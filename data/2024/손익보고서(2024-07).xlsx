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7\00_보고서\"/>
    </mc:Choice>
  </mc:AlternateContent>
  <xr:revisionPtr revIDLastSave="0" documentId="13_ncr:1_{6D7A78EA-262E-44B4-8C85-8846A5C55D30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'골재사업소(누계)'!$D$4:$AJ$33</definedName>
    <definedName name="_xlnm.Print_Area" localSheetId="9">'골재사업소(당월)'!$D$4:$AJ$33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9" i="2" l="1"/>
  <c r="G38" i="2"/>
  <c r="G37" i="2"/>
  <c r="G36" i="2"/>
  <c r="G35" i="2"/>
  <c r="G34" i="2"/>
  <c r="G33" i="2"/>
  <c r="G31" i="2"/>
  <c r="G30" i="2"/>
  <c r="G29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AB21" i="1" l="1"/>
  <c r="AA21" i="1"/>
  <c r="AA20" i="1"/>
  <c r="AA41" i="43" l="1"/>
  <c r="AA40" i="43"/>
  <c r="AA39" i="43"/>
  <c r="AA38" i="43"/>
  <c r="AA37" i="43"/>
  <c r="AA36" i="43"/>
  <c r="AA35" i="43"/>
  <c r="AA39" i="41" l="1"/>
  <c r="AA37" i="41"/>
  <c r="AA36" i="41" l="1"/>
  <c r="AA40" i="41"/>
  <c r="AA38" i="41"/>
  <c r="AA35" i="41"/>
  <c r="AA41" i="41" l="1"/>
  <c r="Z10" i="43" l="1"/>
  <c r="AA10" i="43" l="1"/>
  <c r="Z10" i="41"/>
  <c r="Z13" i="43"/>
  <c r="Z26" i="43"/>
  <c r="Z25" i="43"/>
  <c r="Z24" i="43"/>
  <c r="Z23" i="43"/>
  <c r="Z22" i="43"/>
  <c r="Z21" i="43"/>
  <c r="Z31" i="43" l="1"/>
  <c r="AA31" i="43" s="1"/>
  <c r="AA25" i="43"/>
  <c r="Z32" i="43"/>
  <c r="AA32" i="43" s="1"/>
  <c r="AA26" i="43"/>
  <c r="AA21" i="43"/>
  <c r="Z27" i="43"/>
  <c r="AA27" i="43" s="1"/>
  <c r="AA22" i="43"/>
  <c r="Z28" i="43"/>
  <c r="AA28" i="43" s="1"/>
  <c r="Z15" i="41"/>
  <c r="Z16" i="41" s="1"/>
  <c r="AA16" i="41" s="1"/>
  <c r="Z15" i="43"/>
  <c r="Z30" i="43"/>
  <c r="AA30" i="43" s="1"/>
  <c r="AA24" i="43"/>
  <c r="AA23" i="43"/>
  <c r="Z29" i="43"/>
  <c r="AA29" i="43" s="1"/>
  <c r="AA13" i="43"/>
  <c r="Z17" i="43"/>
  <c r="AA17" i="43" s="1"/>
  <c r="Z21" i="41"/>
  <c r="Z26" i="41"/>
  <c r="Z22" i="41"/>
  <c r="Z23" i="41"/>
  <c r="Z13" i="41"/>
  <c r="Z24" i="41"/>
  <c r="Z25" i="41"/>
  <c r="AA10" i="41"/>
  <c r="AA15" i="43" l="1"/>
  <c r="Z16" i="43"/>
  <c r="AA16" i="43" s="1"/>
  <c r="AA15" i="41"/>
  <c r="Z17" i="41"/>
  <c r="AA17" i="41" s="1"/>
  <c r="AA13" i="41"/>
  <c r="AA22" i="41"/>
  <c r="Z28" i="41"/>
  <c r="AA28" i="41" s="1"/>
  <c r="AA25" i="41"/>
  <c r="Z31" i="41"/>
  <c r="AA31" i="41" s="1"/>
  <c r="AA23" i="41"/>
  <c r="Z29" i="41"/>
  <c r="AA29" i="41" s="1"/>
  <c r="AA26" i="41"/>
  <c r="Z32" i="41"/>
  <c r="AA32" i="41" s="1"/>
  <c r="AA21" i="41"/>
  <c r="Z27" i="41"/>
  <c r="AA27" i="41" s="1"/>
  <c r="AA24" i="41"/>
  <c r="Z30" i="41"/>
  <c r="AA30" i="41" s="1"/>
  <c r="Z8" i="41" l="1"/>
  <c r="Z8" i="43"/>
  <c r="Z12" i="41"/>
  <c r="Z9" i="41" s="1"/>
  <c r="AA9" i="41" s="1"/>
  <c r="AA8" i="41"/>
  <c r="Z14" i="41"/>
  <c r="AA14" i="41" s="1"/>
  <c r="Z12" i="43" l="1"/>
  <c r="AA8" i="43"/>
  <c r="Z9" i="43"/>
  <c r="AA9" i="43" s="1"/>
  <c r="Z14" i="43"/>
  <c r="AA14" i="43" s="1"/>
  <c r="AA12" i="41"/>
  <c r="Z11" i="41"/>
  <c r="AA11" i="41" s="1"/>
  <c r="Z18" i="43"/>
  <c r="AA18" i="43" s="1"/>
  <c r="Z19" i="43"/>
  <c r="AA12" i="43" l="1"/>
  <c r="Z11" i="43"/>
  <c r="AA11" i="43" s="1"/>
  <c r="AA19" i="43"/>
  <c r="Z20" i="43"/>
  <c r="AA20" i="43" s="1"/>
  <c r="Z19" i="41"/>
  <c r="AA19" i="41" s="1"/>
  <c r="Z18" i="41"/>
  <c r="Z20" i="41" l="1"/>
  <c r="AA20" i="41" s="1"/>
  <c r="AA18" i="41"/>
  <c r="AF40" i="43" l="1"/>
  <c r="N40" i="43"/>
  <c r="M40" i="43"/>
  <c r="N39" i="43"/>
  <c r="M39" i="43"/>
  <c r="N38" i="43"/>
  <c r="M38" i="43"/>
  <c r="N37" i="43"/>
  <c r="M37" i="43"/>
  <c r="N36" i="43"/>
  <c r="M36" i="43"/>
  <c r="N35" i="43"/>
  <c r="M35" i="43"/>
  <c r="AF26" i="43"/>
  <c r="N26" i="43"/>
  <c r="M26" i="43"/>
  <c r="N25" i="43"/>
  <c r="M25" i="43"/>
  <c r="N24" i="43"/>
  <c r="M24" i="43"/>
  <c r="N23" i="43"/>
  <c r="M23" i="43"/>
  <c r="N22" i="43"/>
  <c r="M22" i="43"/>
  <c r="N21" i="43"/>
  <c r="M21" i="43"/>
  <c r="N19" i="43"/>
  <c r="N18" i="43"/>
  <c r="N15" i="43"/>
  <c r="N13" i="43"/>
  <c r="N10" i="43"/>
  <c r="N8" i="43"/>
  <c r="W40" i="41"/>
  <c r="T40" i="41"/>
  <c r="T40" i="43" s="1"/>
  <c r="K40" i="41"/>
  <c r="K40" i="43" s="1"/>
  <c r="H40" i="41"/>
  <c r="H40" i="43" s="1"/>
  <c r="AF39" i="41"/>
  <c r="AF39" i="43" s="1"/>
  <c r="W39" i="41"/>
  <c r="T39" i="41"/>
  <c r="T39" i="43" s="1"/>
  <c r="K39" i="41"/>
  <c r="K39" i="43" s="1"/>
  <c r="H39" i="41"/>
  <c r="H39" i="43" s="1"/>
  <c r="AF38" i="41"/>
  <c r="AF38" i="43" s="1"/>
  <c r="W38" i="41"/>
  <c r="T38" i="41"/>
  <c r="T38" i="43" s="1"/>
  <c r="K38" i="41"/>
  <c r="K38" i="43" s="1"/>
  <c r="H38" i="41"/>
  <c r="H38" i="43" s="1"/>
  <c r="AF37" i="41"/>
  <c r="AF37" i="43" s="1"/>
  <c r="W37" i="41"/>
  <c r="T37" i="41"/>
  <c r="T37" i="43" s="1"/>
  <c r="K37" i="41"/>
  <c r="K37" i="43" s="1"/>
  <c r="H37" i="41"/>
  <c r="H37" i="43" s="1"/>
  <c r="AF36" i="41"/>
  <c r="AF36" i="43" s="1"/>
  <c r="W36" i="41"/>
  <c r="T36" i="41"/>
  <c r="T36" i="43" s="1"/>
  <c r="K36" i="41"/>
  <c r="K36" i="43" s="1"/>
  <c r="H36" i="41"/>
  <c r="H36" i="43" s="1"/>
  <c r="AF35" i="41"/>
  <c r="AF35" i="43" s="1"/>
  <c r="W35" i="41"/>
  <c r="T35" i="41"/>
  <c r="T35" i="43" s="1"/>
  <c r="K35" i="41"/>
  <c r="K35" i="43" s="1"/>
  <c r="H35" i="41"/>
  <c r="H35" i="43" s="1"/>
  <c r="W26" i="41"/>
  <c r="T26" i="41"/>
  <c r="K26" i="41"/>
  <c r="K26" i="43" s="1"/>
  <c r="H26" i="41"/>
  <c r="H26" i="43" s="1"/>
  <c r="AF25" i="41"/>
  <c r="AF25" i="43" s="1"/>
  <c r="W25" i="41"/>
  <c r="T25" i="41"/>
  <c r="K25" i="41"/>
  <c r="K25" i="43" s="1"/>
  <c r="H25" i="41"/>
  <c r="H25" i="43" s="1"/>
  <c r="AF24" i="41"/>
  <c r="AF24" i="43" s="1"/>
  <c r="W24" i="41"/>
  <c r="T24" i="41"/>
  <c r="K24" i="41"/>
  <c r="K24" i="43" s="1"/>
  <c r="H24" i="41"/>
  <c r="H24" i="43" s="1"/>
  <c r="AF23" i="41"/>
  <c r="AF23" i="43" s="1"/>
  <c r="W23" i="41"/>
  <c r="T23" i="41"/>
  <c r="K23" i="41"/>
  <c r="K23" i="43" s="1"/>
  <c r="H23" i="41"/>
  <c r="H23" i="43" s="1"/>
  <c r="AF22" i="41"/>
  <c r="AF22" i="43" s="1"/>
  <c r="W22" i="41"/>
  <c r="T22" i="41"/>
  <c r="K22" i="41"/>
  <c r="K22" i="43" s="1"/>
  <c r="H22" i="41"/>
  <c r="H22" i="43" s="1"/>
  <c r="AF21" i="41"/>
  <c r="AF21" i="43" s="1"/>
  <c r="W21" i="41"/>
  <c r="T21" i="41"/>
  <c r="K21" i="41"/>
  <c r="K21" i="43" s="1"/>
  <c r="H21" i="41"/>
  <c r="H21" i="43" s="1"/>
  <c r="AF19" i="41"/>
  <c r="AF19" i="43" s="1"/>
  <c r="W19" i="41"/>
  <c r="T19" i="41"/>
  <c r="K19" i="41"/>
  <c r="K19" i="43" s="1"/>
  <c r="H19" i="41"/>
  <c r="H19" i="43" s="1"/>
  <c r="AF18" i="41"/>
  <c r="AF18" i="43" s="1"/>
  <c r="W18" i="41"/>
  <c r="T18" i="41"/>
  <c r="K18" i="41"/>
  <c r="K18" i="43" s="1"/>
  <c r="H18" i="41"/>
  <c r="H18" i="43" s="1"/>
  <c r="AF15" i="41"/>
  <c r="AF15" i="43" s="1"/>
  <c r="W15" i="41"/>
  <c r="T15" i="41"/>
  <c r="K15" i="41"/>
  <c r="K15" i="43" s="1"/>
  <c r="H15" i="41"/>
  <c r="H15" i="43" s="1"/>
  <c r="AF13" i="41"/>
  <c r="AF13" i="43" s="1"/>
  <c r="W13" i="41"/>
  <c r="T13" i="41"/>
  <c r="K13" i="41"/>
  <c r="K13" i="43" s="1"/>
  <c r="H13" i="41"/>
  <c r="H13" i="43" s="1"/>
  <c r="AF10" i="41"/>
  <c r="AF10" i="43" s="1"/>
  <c r="W10" i="41"/>
  <c r="T10" i="41"/>
  <c r="K10" i="41"/>
  <c r="K10" i="43" s="1"/>
  <c r="H10" i="41"/>
  <c r="H10" i="43" s="1"/>
  <c r="AF8" i="41"/>
  <c r="AF8" i="43" s="1"/>
  <c r="W8" i="41"/>
  <c r="T8" i="41"/>
  <c r="K8" i="41"/>
  <c r="K8" i="43" s="1"/>
  <c r="H8" i="41"/>
  <c r="H8" i="43" s="1"/>
  <c r="AK39" i="29"/>
  <c r="AK38" i="29"/>
  <c r="AK37" i="29"/>
  <c r="G36" i="29"/>
  <c r="L36" i="29" s="1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W40" i="42"/>
  <c r="U40" i="42"/>
  <c r="T40" i="42"/>
  <c r="R40" i="42"/>
  <c r="P40" i="42"/>
  <c r="O40" i="42"/>
  <c r="P38" i="42"/>
  <c r="O38" i="42"/>
  <c r="T37" i="42"/>
  <c r="AG21" i="1" s="1"/>
  <c r="R37" i="42"/>
  <c r="P37" i="42"/>
  <c r="O37" i="42"/>
  <c r="R36" i="42"/>
  <c r="P36" i="42"/>
  <c r="O36" i="42"/>
  <c r="R35" i="42"/>
  <c r="P35" i="42"/>
  <c r="O35" i="42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W46" i="2"/>
  <c r="T46" i="2"/>
  <c r="R46" i="2"/>
  <c r="O46" i="2"/>
  <c r="M46" i="2"/>
  <c r="J46" i="2"/>
  <c r="W39" i="2"/>
  <c r="T39" i="2"/>
  <c r="R39" i="2"/>
  <c r="O39" i="2"/>
  <c r="W38" i="2"/>
  <c r="T38" i="2"/>
  <c r="R38" i="2"/>
  <c r="W37" i="2"/>
  <c r="W36" i="2"/>
  <c r="T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V28" i="1"/>
  <c r="V27" i="1"/>
  <c r="V24" i="1"/>
  <c r="T24" i="1"/>
  <c r="S24" i="1"/>
  <c r="V23" i="1"/>
  <c r="T23" i="1"/>
  <c r="S23" i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H38" i="1"/>
  <c r="E38" i="1"/>
  <c r="H27" i="1"/>
  <c r="E27" i="1"/>
  <c r="H26" i="1"/>
  <c r="E26" i="1"/>
  <c r="H25" i="1"/>
  <c r="E25" i="1"/>
  <c r="H17" i="1"/>
  <c r="E17" i="1"/>
  <c r="H16" i="1"/>
  <c r="E16" i="1"/>
  <c r="H15" i="1"/>
  <c r="E15" i="1"/>
  <c r="H12" i="1"/>
  <c r="E12" i="1"/>
  <c r="H11" i="1"/>
  <c r="E11" i="1"/>
  <c r="H10" i="1"/>
  <c r="E10" i="1"/>
  <c r="H9" i="1"/>
  <c r="E9" i="1"/>
  <c r="H8" i="1"/>
  <c r="E8" i="1"/>
  <c r="H7" i="1"/>
  <c r="E7" i="1"/>
  <c r="AJ39" i="29"/>
  <c r="AI39" i="29"/>
  <c r="AH39" i="29"/>
  <c r="AG39" i="29"/>
  <c r="AF39" i="29"/>
  <c r="AE39" i="29"/>
  <c r="AJ38" i="29"/>
  <c r="AI38" i="29"/>
  <c r="AH38" i="29"/>
  <c r="AG38" i="29"/>
  <c r="AF38" i="29"/>
  <c r="AE38" i="29"/>
  <c r="E13" i="1" l="1"/>
  <c r="AB20" i="1"/>
  <c r="AE20" i="1"/>
  <c r="AB19" i="1"/>
  <c r="AE19" i="1"/>
  <c r="AE21" i="1"/>
  <c r="E28" i="1"/>
  <c r="W40" i="43"/>
  <c r="AC40" i="43" s="1"/>
  <c r="W10" i="43"/>
  <c r="W19" i="43"/>
  <c r="W24" i="43"/>
  <c r="W23" i="43"/>
  <c r="W36" i="43"/>
  <c r="AC36" i="43" s="1"/>
  <c r="W37" i="43"/>
  <c r="AC37" i="43" s="1"/>
  <c r="W18" i="43"/>
  <c r="W13" i="43"/>
  <c r="W21" i="43"/>
  <c r="W25" i="43"/>
  <c r="W8" i="43"/>
  <c r="W35" i="43"/>
  <c r="AC35" i="43" s="1"/>
  <c r="W38" i="43"/>
  <c r="AC38" i="43" s="1"/>
  <c r="W15" i="43"/>
  <c r="W22" i="43"/>
  <c r="W26" i="43"/>
  <c r="W39" i="43"/>
  <c r="AC39" i="43" s="1"/>
  <c r="T15" i="43"/>
  <c r="AC15" i="41"/>
  <c r="T8" i="43"/>
  <c r="AC8" i="41"/>
  <c r="T26" i="43"/>
  <c r="AC26" i="41"/>
  <c r="T10" i="43"/>
  <c r="AC10" i="41"/>
  <c r="T19" i="43"/>
  <c r="AC19" i="41"/>
  <c r="T24" i="43"/>
  <c r="AC24" i="41"/>
  <c r="T18" i="43"/>
  <c r="AC18" i="41"/>
  <c r="T13" i="43"/>
  <c r="AC13" i="41"/>
  <c r="T21" i="43"/>
  <c r="AC21" i="41"/>
  <c r="T25" i="43"/>
  <c r="AC25" i="41"/>
  <c r="T22" i="43"/>
  <c r="AC22" i="41"/>
  <c r="T23" i="43"/>
  <c r="AC23" i="41"/>
  <c r="H18" i="1"/>
  <c r="H13" i="1"/>
  <c r="H28" i="1"/>
  <c r="E18" i="1"/>
  <c r="AM36" i="42"/>
  <c r="AC22" i="43" l="1"/>
  <c r="AC15" i="43"/>
  <c r="AC8" i="43"/>
  <c r="AC23" i="43"/>
  <c r="AC25" i="43"/>
  <c r="AC21" i="43"/>
  <c r="AC24" i="43"/>
  <c r="AC13" i="43"/>
  <c r="AC18" i="43"/>
  <c r="AC19" i="43"/>
  <c r="AC10" i="43"/>
  <c r="AC26" i="43"/>
  <c r="AK43" i="42"/>
  <c r="AJ43" i="42"/>
  <c r="AI43" i="42"/>
  <c r="S60" i="42" l="1"/>
  <c r="S59" i="42"/>
  <c r="S58" i="42"/>
  <c r="S57" i="42"/>
  <c r="M32" i="43" l="1"/>
  <c r="N31" i="43"/>
  <c r="M31" i="43"/>
  <c r="M30" i="43"/>
  <c r="N29" i="43"/>
  <c r="M29" i="43"/>
  <c r="N28" i="43"/>
  <c r="M28" i="43"/>
  <c r="N27" i="43"/>
  <c r="M27" i="43"/>
  <c r="N32" i="43"/>
  <c r="O32" i="43" s="1"/>
  <c r="O25" i="43"/>
  <c r="O24" i="43"/>
  <c r="O23" i="43"/>
  <c r="O22" i="43"/>
  <c r="O21" i="43"/>
  <c r="N20" i="43"/>
  <c r="N16" i="43"/>
  <c r="N17" i="43"/>
  <c r="N12" i="43"/>
  <c r="O27" i="43" l="1"/>
  <c r="O29" i="43"/>
  <c r="O31" i="43"/>
  <c r="O28" i="43"/>
  <c r="N11" i="43"/>
  <c r="N9" i="43"/>
  <c r="O26" i="43"/>
  <c r="N14" i="43"/>
  <c r="N30" i="43"/>
  <c r="O30" i="43" s="1"/>
  <c r="AJ37" i="29" l="1"/>
  <c r="T58" i="42"/>
  <c r="P32" i="43" l="1"/>
  <c r="P31" i="43"/>
  <c r="P30" i="43"/>
  <c r="P29" i="43"/>
  <c r="P28" i="43"/>
  <c r="P27" i="43"/>
  <c r="O35" i="43" l="1"/>
  <c r="O37" i="43" l="1"/>
  <c r="N41" i="43"/>
  <c r="O39" i="43"/>
  <c r="O36" i="43"/>
  <c r="O38" i="43"/>
  <c r="O40" i="43"/>
  <c r="M41" i="43"/>
  <c r="N42" i="43" l="1"/>
  <c r="O41" i="43"/>
  <c r="M15" i="41" l="1"/>
  <c r="M13" i="41"/>
  <c r="M10" i="41"/>
  <c r="M8" i="41"/>
  <c r="M18" i="41" l="1"/>
  <c r="M19" i="41" l="1"/>
  <c r="G18" i="41" l="1"/>
  <c r="O30" i="41" l="1"/>
  <c r="O29" i="41"/>
  <c r="O28" i="41"/>
  <c r="O32" i="41"/>
  <c r="O31" i="41"/>
  <c r="O27" i="41"/>
  <c r="O26" i="41"/>
  <c r="O25" i="41"/>
  <c r="O24" i="41"/>
  <c r="O23" i="41"/>
  <c r="O22" i="41"/>
  <c r="O21" i="41"/>
  <c r="O19" i="41"/>
  <c r="M20" i="41"/>
  <c r="M16" i="41"/>
  <c r="M17" i="41"/>
  <c r="M14" i="41" l="1"/>
  <c r="O14" i="41" s="1"/>
  <c r="O8" i="41"/>
  <c r="O13" i="41"/>
  <c r="O35" i="41"/>
  <c r="O17" i="41"/>
  <c r="O20" i="41"/>
  <c r="O16" i="41"/>
  <c r="O39" i="41"/>
  <c r="O36" i="41"/>
  <c r="O15" i="41"/>
  <c r="O37" i="41"/>
  <c r="O38" i="41"/>
  <c r="O10" i="41"/>
  <c r="O40" i="41"/>
  <c r="M12" i="41"/>
  <c r="M11" i="41" s="1"/>
  <c r="O18" i="41"/>
  <c r="O12" i="41" l="1"/>
  <c r="M9" i="41"/>
  <c r="O9" i="41" s="1"/>
  <c r="O41" i="41"/>
  <c r="O11" i="41"/>
  <c r="AI37" i="29" l="1"/>
  <c r="AH37" i="29" l="1"/>
  <c r="AG37" i="29" l="1"/>
  <c r="AA24" i="1" l="1"/>
  <c r="AA22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AF32" i="43" l="1"/>
  <c r="AF37" i="29" l="1"/>
  <c r="AG26" i="42"/>
  <c r="AG25" i="42"/>
  <c r="AG23" i="42"/>
  <c r="AG21" i="42"/>
  <c r="AG20" i="42"/>
  <c r="AG18" i="42"/>
  <c r="AG16" i="42"/>
  <c r="AG15" i="42"/>
  <c r="AG14" i="42"/>
  <c r="AG11" i="42"/>
  <c r="AG8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G9" i="42"/>
  <c r="AG7" i="42" l="1"/>
  <c r="AG17" i="42"/>
  <c r="AG27" i="42"/>
  <c r="AG24" i="42"/>
  <c r="AG12" i="42"/>
  <c r="AG22" i="42"/>
  <c r="AG19" i="42"/>
  <c r="AG13" i="42"/>
  <c r="AG10" i="42"/>
  <c r="L41" i="42"/>
  <c r="M41" i="42"/>
  <c r="N41" i="42" s="1"/>
  <c r="AE12" i="1" l="1"/>
  <c r="AE11" i="1"/>
  <c r="AE10" i="1"/>
  <c r="AE9" i="1"/>
  <c r="AE8" i="1"/>
  <c r="AE7" i="1"/>
  <c r="AE13" i="1" l="1"/>
  <c r="AE14" i="1" s="1"/>
  <c r="S19" i="41"/>
  <c r="S18" i="41"/>
  <c r="AE40" i="41" l="1"/>
  <c r="AE39" i="41"/>
  <c r="AE38" i="41"/>
  <c r="AE37" i="41"/>
  <c r="AE36" i="41"/>
  <c r="AE35" i="41"/>
  <c r="AE19" i="41"/>
  <c r="AE18" i="41"/>
  <c r="AE26" i="41" l="1"/>
  <c r="AE25" i="41"/>
  <c r="AE24" i="41"/>
  <c r="AE23" i="41"/>
  <c r="AE22" i="41"/>
  <c r="AE21" i="41"/>
  <c r="AE15" i="41"/>
  <c r="AE13" i="41"/>
  <c r="AE10" i="41"/>
  <c r="AE8" i="41"/>
  <c r="V19" i="41" l="1"/>
  <c r="X19" i="41" s="1"/>
  <c r="AB19" i="41" l="1"/>
  <c r="V18" i="41"/>
  <c r="X18" i="41" s="1"/>
  <c r="AB18" i="41" l="1"/>
  <c r="V40" i="41"/>
  <c r="S40" i="41"/>
  <c r="V39" i="41"/>
  <c r="S39" i="41"/>
  <c r="V38" i="41"/>
  <c r="S38" i="41"/>
  <c r="V37" i="41"/>
  <c r="S37" i="41"/>
  <c r="V36" i="41"/>
  <c r="S36" i="41"/>
  <c r="V35" i="41"/>
  <c r="S35" i="41"/>
  <c r="V32" i="41"/>
  <c r="S32" i="41"/>
  <c r="AB32" i="41" s="1"/>
  <c r="V31" i="41"/>
  <c r="S31" i="41"/>
  <c r="V30" i="41"/>
  <c r="S30" i="41"/>
  <c r="V29" i="41"/>
  <c r="S29" i="41"/>
  <c r="V28" i="41"/>
  <c r="S28" i="41"/>
  <c r="V27" i="41"/>
  <c r="S27" i="41"/>
  <c r="AB27" i="41" s="1"/>
  <c r="V26" i="41"/>
  <c r="S26" i="41"/>
  <c r="V25" i="41"/>
  <c r="S25" i="41"/>
  <c r="V24" i="41"/>
  <c r="S24" i="41"/>
  <c r="V23" i="41"/>
  <c r="S23" i="41"/>
  <c r="V22" i="41"/>
  <c r="S22" i="41"/>
  <c r="V21" i="41"/>
  <c r="S21" i="41"/>
  <c r="V15" i="41"/>
  <c r="S15" i="41"/>
  <c r="V13" i="41"/>
  <c r="S13" i="41"/>
  <c r="V10" i="41"/>
  <c r="S10" i="41"/>
  <c r="V8" i="41"/>
  <c r="S8" i="41"/>
  <c r="J40" i="41"/>
  <c r="J39" i="41"/>
  <c r="J38" i="41"/>
  <c r="J37" i="41"/>
  <c r="J36" i="41"/>
  <c r="J35" i="41"/>
  <c r="J32" i="41"/>
  <c r="J31" i="41"/>
  <c r="J30" i="41"/>
  <c r="J29" i="41"/>
  <c r="J28" i="41"/>
  <c r="J27" i="41"/>
  <c r="J19" i="41"/>
  <c r="J18" i="41"/>
  <c r="J15" i="41"/>
  <c r="J13" i="41"/>
  <c r="G40" i="41"/>
  <c r="G39" i="41"/>
  <c r="G38" i="41"/>
  <c r="G37" i="41"/>
  <c r="G36" i="41"/>
  <c r="G35" i="41"/>
  <c r="G32" i="41"/>
  <c r="G31" i="41"/>
  <c r="G30" i="41"/>
  <c r="G29" i="41"/>
  <c r="G28" i="41"/>
  <c r="G27" i="41"/>
  <c r="G19" i="41"/>
  <c r="G15" i="41"/>
  <c r="G13" i="41"/>
  <c r="AB31" i="41" l="1"/>
  <c r="AB30" i="41"/>
  <c r="X22" i="41"/>
  <c r="X23" i="41"/>
  <c r="X15" i="41"/>
  <c r="X24" i="41"/>
  <c r="X25" i="41"/>
  <c r="X21" i="41"/>
  <c r="X26" i="41"/>
  <c r="X8" i="41"/>
  <c r="AB28" i="41"/>
  <c r="X10" i="41"/>
  <c r="AB29" i="41"/>
  <c r="X13" i="41"/>
  <c r="X35" i="41"/>
  <c r="X37" i="41"/>
  <c r="X36" i="41"/>
  <c r="X40" i="41"/>
  <c r="X39" i="41"/>
  <c r="X38" i="41"/>
  <c r="AB15" i="41"/>
  <c r="AB22" i="41"/>
  <c r="AB26" i="41"/>
  <c r="AB24" i="41"/>
  <c r="AB25" i="41"/>
  <c r="AB21" i="41"/>
  <c r="AB23" i="41"/>
  <c r="AB8" i="41"/>
  <c r="AB10" i="41"/>
  <c r="AB13" i="41"/>
  <c r="P38" i="41"/>
  <c r="P35" i="41"/>
  <c r="P36" i="41"/>
  <c r="P40" i="41"/>
  <c r="P37" i="41"/>
  <c r="P39" i="41"/>
  <c r="P15" i="41"/>
  <c r="P19" i="41"/>
  <c r="P18" i="41"/>
  <c r="P13" i="41"/>
  <c r="P32" i="41"/>
  <c r="P31" i="41"/>
  <c r="P30" i="41"/>
  <c r="P29" i="41"/>
  <c r="P28" i="41"/>
  <c r="P27" i="41"/>
  <c r="J26" i="41"/>
  <c r="G26" i="41"/>
  <c r="J25" i="41"/>
  <c r="G25" i="41"/>
  <c r="J24" i="41"/>
  <c r="G24" i="41"/>
  <c r="J23" i="41"/>
  <c r="G23" i="41"/>
  <c r="J22" i="41"/>
  <c r="G22" i="41"/>
  <c r="J21" i="41"/>
  <c r="G21" i="41"/>
  <c r="J10" i="41"/>
  <c r="G10" i="41"/>
  <c r="J8" i="41"/>
  <c r="G8" i="41"/>
  <c r="P25" i="41" l="1"/>
  <c r="P26" i="41"/>
  <c r="P8" i="41"/>
  <c r="P21" i="41"/>
  <c r="P24" i="41"/>
  <c r="P10" i="41"/>
  <c r="P23" i="41"/>
  <c r="P22" i="41"/>
  <c r="AB40" i="41"/>
  <c r="AE29" i="41"/>
  <c r="AE28" i="41"/>
  <c r="AB35" i="41"/>
  <c r="AF32" i="41"/>
  <c r="AE30" i="41"/>
  <c r="AG26" i="41"/>
  <c r="AE31" i="41"/>
  <c r="AG24" i="41"/>
  <c r="V20" i="41"/>
  <c r="S20" i="41"/>
  <c r="J20" i="41"/>
  <c r="J17" i="41"/>
  <c r="J14" i="41"/>
  <c r="AE14" i="41"/>
  <c r="V17" i="41"/>
  <c r="G14" i="41"/>
  <c r="G12" i="41"/>
  <c r="G9" i="41" s="1"/>
  <c r="V16" i="41"/>
  <c r="G11" i="41" l="1"/>
  <c r="AH22" i="41"/>
  <c r="AH26" i="41"/>
  <c r="S14" i="41"/>
  <c r="AE20" i="41"/>
  <c r="AE32" i="41"/>
  <c r="AG32" i="41" s="1"/>
  <c r="AB36" i="41"/>
  <c r="AH36" i="41" s="1"/>
  <c r="AB39" i="41"/>
  <c r="AH25" i="41"/>
  <c r="AH21" i="41"/>
  <c r="AB17" i="41"/>
  <c r="AH24" i="41"/>
  <c r="V41" i="41"/>
  <c r="V42" i="41" s="1"/>
  <c r="AB37" i="41"/>
  <c r="AH37" i="41" s="1"/>
  <c r="AH40" i="41"/>
  <c r="J41" i="41"/>
  <c r="J42" i="41" s="1"/>
  <c r="AE17" i="41"/>
  <c r="AE16" i="41"/>
  <c r="AH19" i="41"/>
  <c r="G20" i="41"/>
  <c r="AH23" i="41"/>
  <c r="AH35" i="41"/>
  <c r="V12" i="41"/>
  <c r="G16" i="41"/>
  <c r="AE41" i="41"/>
  <c r="AE42" i="41" s="1"/>
  <c r="AE27" i="41"/>
  <c r="G41" i="41"/>
  <c r="S41" i="41"/>
  <c r="AB38" i="41"/>
  <c r="AH38" i="41" s="1"/>
  <c r="J16" i="41"/>
  <c r="V14" i="41"/>
  <c r="S12" i="41"/>
  <c r="AH8" i="41"/>
  <c r="S16" i="41"/>
  <c r="S17" i="41"/>
  <c r="AG23" i="41"/>
  <c r="AE12" i="41"/>
  <c r="G17" i="41"/>
  <c r="AB20" i="41"/>
  <c r="J12" i="41"/>
  <c r="J9" i="41" s="1"/>
  <c r="AE11" i="41" l="1"/>
  <c r="S9" i="41"/>
  <c r="V11" i="41"/>
  <c r="P41" i="41"/>
  <c r="AH28" i="41"/>
  <c r="V9" i="41"/>
  <c r="AE9" i="41"/>
  <c r="AH32" i="41"/>
  <c r="AB14" i="41"/>
  <c r="AH39" i="41"/>
  <c r="AH31" i="41" s="1"/>
  <c r="AH27" i="41"/>
  <c r="P17" i="41"/>
  <c r="AH13" i="41"/>
  <c r="P14" i="41"/>
  <c r="AH10" i="41"/>
  <c r="AH12" i="41" s="1"/>
  <c r="J11" i="41"/>
  <c r="AH30" i="41"/>
  <c r="AH18" i="41"/>
  <c r="AH20" i="41" s="1"/>
  <c r="P20" i="41"/>
  <c r="AH29" i="41"/>
  <c r="P16" i="41"/>
  <c r="AH15" i="41"/>
  <c r="S11" i="41"/>
  <c r="G42" i="41"/>
  <c r="AB16" i="41"/>
  <c r="AB41" i="41"/>
  <c r="AB42" i="41" s="1"/>
  <c r="S42" i="41"/>
  <c r="P12" i="41"/>
  <c r="AB12" i="41"/>
  <c r="AB11" i="41" l="1"/>
  <c r="P9" i="41"/>
  <c r="AH16" i="41"/>
  <c r="AH11" i="41"/>
  <c r="P11" i="41"/>
  <c r="AB9" i="41"/>
  <c r="AH9" i="41"/>
  <c r="AH17" i="41"/>
  <c r="AH14" i="41"/>
  <c r="P42" i="41"/>
  <c r="AH41" i="41"/>
  <c r="AH42" i="41" s="1"/>
  <c r="AE37" i="29" l="1"/>
  <c r="I36" i="29"/>
  <c r="I25" i="29" l="1"/>
  <c r="I24" i="29"/>
  <c r="I16" i="29"/>
  <c r="I15" i="29"/>
  <c r="I13" i="29"/>
  <c r="I12" i="29"/>
  <c r="I10" i="29"/>
  <c r="F16" i="29"/>
  <c r="F15" i="29"/>
  <c r="F13" i="29"/>
  <c r="F12" i="29"/>
  <c r="F10" i="29"/>
  <c r="F25" i="29" l="1"/>
  <c r="F24" i="29"/>
  <c r="F36" i="29" l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F11" i="29" l="1"/>
  <c r="V29" i="1" l="1"/>
  <c r="I20" i="29" l="1"/>
  <c r="I18" i="29"/>
  <c r="I19" i="29" l="1"/>
  <c r="I21" i="29"/>
  <c r="I22" i="29"/>
  <c r="I26" i="29"/>
  <c r="I17" i="29"/>
  <c r="I14" i="29"/>
  <c r="I27" i="29" l="1"/>
  <c r="I23" i="29"/>
  <c r="F18" i="29"/>
  <c r="F20" i="29"/>
  <c r="F14" i="29"/>
  <c r="F26" i="29"/>
  <c r="F17" i="29"/>
  <c r="I37" i="29" l="1"/>
  <c r="I28" i="29"/>
  <c r="F22" i="29"/>
  <c r="F19" i="29"/>
  <c r="F21" i="29"/>
  <c r="F23" i="29" l="1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H29" i="1"/>
  <c r="H35" i="1" l="1"/>
  <c r="H36" i="1" l="1"/>
  <c r="AE24" i="1" s="1"/>
  <c r="W41" i="2" l="1"/>
  <c r="AE26" i="1" s="1"/>
  <c r="H40" i="1"/>
  <c r="H39" i="1"/>
  <c r="AE22" i="1" l="1"/>
  <c r="AE23" i="1" s="1"/>
  <c r="V36" i="1"/>
  <c r="W43" i="2"/>
  <c r="W47" i="2" l="1"/>
  <c r="V35" i="1"/>
  <c r="M26" i="2" l="1"/>
  <c r="M24" i="2" l="1"/>
  <c r="M25" i="2"/>
  <c r="M32" i="2"/>
  <c r="M27" i="2" l="1"/>
  <c r="M47" i="2" s="1"/>
  <c r="J25" i="29" l="1"/>
  <c r="H25" i="29"/>
  <c r="H24" i="29" l="1"/>
  <c r="J24" i="29"/>
  <c r="G26" i="29"/>
  <c r="J26" i="29" l="1"/>
  <c r="H26" i="29"/>
  <c r="L26" i="29"/>
  <c r="J13" i="29" l="1"/>
  <c r="H13" i="29"/>
  <c r="J15" i="29"/>
  <c r="H15" i="29"/>
  <c r="G17" i="29"/>
  <c r="W23" i="1"/>
  <c r="H17" i="29" l="1"/>
  <c r="J17" i="29"/>
  <c r="H16" i="29"/>
  <c r="J16" i="29"/>
  <c r="L17" i="29"/>
  <c r="G11" i="29"/>
  <c r="G18" i="29"/>
  <c r="J12" i="29"/>
  <c r="H12" i="29"/>
  <c r="G14" i="29"/>
  <c r="J10" i="29"/>
  <c r="H10" i="29"/>
  <c r="G20" i="29"/>
  <c r="L20" i="29"/>
  <c r="J14" i="29" l="1"/>
  <c r="H14" i="29"/>
  <c r="J11" i="29"/>
  <c r="H11" i="29"/>
  <c r="L18" i="29"/>
  <c r="L11" i="29"/>
  <c r="L14" i="29"/>
  <c r="G19" i="29"/>
  <c r="J18" i="29"/>
  <c r="H18" i="29"/>
  <c r="G22" i="29"/>
  <c r="H20" i="29"/>
  <c r="G21" i="29"/>
  <c r="J20" i="29"/>
  <c r="L21" i="29"/>
  <c r="H22" i="29" l="1"/>
  <c r="G23" i="29"/>
  <c r="J22" i="29"/>
  <c r="G27" i="29"/>
  <c r="W24" i="1"/>
  <c r="L19" i="29"/>
  <c r="H21" i="29"/>
  <c r="J21" i="29"/>
  <c r="J19" i="29"/>
  <c r="H19" i="29"/>
  <c r="L22" i="29"/>
  <c r="L23" i="29" l="1"/>
  <c r="L27" i="29"/>
  <c r="G37" i="29"/>
  <c r="J27" i="29"/>
  <c r="H27" i="29"/>
  <c r="G28" i="29"/>
  <c r="J23" i="29"/>
  <c r="H23" i="29"/>
  <c r="H28" i="29" l="1"/>
  <c r="J28" i="29"/>
  <c r="L28" i="29"/>
  <c r="L38" i="29"/>
  <c r="L37" i="29"/>
  <c r="AB11" i="1" l="1"/>
  <c r="E21" i="1"/>
  <c r="AB8" i="1"/>
  <c r="O41" i="2" l="1"/>
  <c r="J32" i="2" l="1"/>
  <c r="O32" i="2" l="1"/>
  <c r="AL12" i="41"/>
  <c r="AL13" i="41" l="1"/>
  <c r="AL17" i="41"/>
  <c r="AB9" i="1"/>
  <c r="AB12" i="1" l="1"/>
  <c r="AL18" i="41"/>
  <c r="S33" i="1" l="1"/>
  <c r="S32" i="1" l="1"/>
  <c r="E32" i="1" l="1"/>
  <c r="AB17" i="1" l="1"/>
  <c r="E22" i="1" l="1"/>
  <c r="T32" i="2" l="1"/>
  <c r="E33" i="1"/>
  <c r="AB18" i="1" l="1"/>
  <c r="AL20" i="41"/>
  <c r="AL22" i="41" l="1"/>
  <c r="AL21" i="41"/>
  <c r="O25" i="2" l="1"/>
  <c r="J25" i="2" l="1"/>
  <c r="O26" i="2" l="1"/>
  <c r="J26" i="2" l="1"/>
  <c r="O24" i="2" l="1"/>
  <c r="J24" i="2"/>
  <c r="J27" i="2" l="1"/>
  <c r="G27" i="2" s="1"/>
  <c r="O27" i="2"/>
  <c r="O43" i="2" l="1"/>
  <c r="G43" i="2" s="1"/>
  <c r="AB10" i="1"/>
  <c r="E14" i="1"/>
  <c r="AB7" i="1"/>
  <c r="J47" i="2"/>
  <c r="AB13" i="1" l="1"/>
  <c r="O47" i="2"/>
  <c r="AB14" i="1" l="1"/>
  <c r="T26" i="2" l="1"/>
  <c r="T25" i="2" l="1"/>
  <c r="T24" i="2" l="1"/>
  <c r="T27" i="2" l="1"/>
  <c r="E20" i="1"/>
  <c r="E23" i="1" l="1"/>
  <c r="E30" i="1"/>
  <c r="AB15" i="1" s="1"/>
  <c r="E19" i="1"/>
  <c r="E31" i="1" l="1"/>
  <c r="E24" i="1"/>
  <c r="AB16" i="1" l="1"/>
  <c r="S34" i="1" l="1"/>
  <c r="E29" i="1" l="1"/>
  <c r="E34" i="1"/>
  <c r="T41" i="2" l="1"/>
  <c r="AB26" i="1" s="1"/>
  <c r="AB22" i="1" s="1"/>
  <c r="AB23" i="1" s="1"/>
  <c r="E35" i="1"/>
  <c r="S36" i="1" l="1"/>
  <c r="T43" i="2"/>
  <c r="G44" i="2" s="1"/>
  <c r="E40" i="1"/>
  <c r="E36" i="1"/>
  <c r="E39" i="1"/>
  <c r="AB24" i="1" l="1"/>
  <c r="T44" i="2"/>
  <c r="T47" i="2"/>
  <c r="S35" i="1"/>
  <c r="AG18" i="41" l="1"/>
  <c r="AF30" i="41" l="1"/>
  <c r="AG30" i="41" s="1"/>
  <c r="AF29" i="41"/>
  <c r="AG29" i="41" s="1"/>
  <c r="AF28" i="41"/>
  <c r="AG28" i="41" s="1"/>
  <c r="AF27" i="41"/>
  <c r="AG27" i="41" s="1"/>
  <c r="AF41" i="41"/>
  <c r="AG22" i="41"/>
  <c r="AF12" i="41"/>
  <c r="AF4" i="43" s="1"/>
  <c r="AF14" i="41"/>
  <c r="AG14" i="41" s="1"/>
  <c r="AG13" i="41"/>
  <c r="AF31" i="41"/>
  <c r="AG31" i="41" s="1"/>
  <c r="AG8" i="41"/>
  <c r="AG21" i="41"/>
  <c r="AG25" i="41"/>
  <c r="AG12" i="41" l="1"/>
  <c r="AF9" i="41"/>
  <c r="AG9" i="41" s="1"/>
  <c r="AF42" i="41"/>
  <c r="AF27" i="43"/>
  <c r="AF41" i="43"/>
  <c r="AF28" i="43"/>
  <c r="AF17" i="43"/>
  <c r="AG15" i="41"/>
  <c r="AF16" i="41"/>
  <c r="AG16" i="41" s="1"/>
  <c r="AF29" i="43"/>
  <c r="AF17" i="41"/>
  <c r="AG17" i="41" s="1"/>
  <c r="AF31" i="43"/>
  <c r="AF12" i="43"/>
  <c r="AF9" i="43" s="1"/>
  <c r="AF14" i="43"/>
  <c r="AG10" i="41"/>
  <c r="AF11" i="41"/>
  <c r="AG11" i="41" s="1"/>
  <c r="AF30" i="43"/>
  <c r="AF16" i="43" l="1"/>
  <c r="AF42" i="43"/>
  <c r="AF11" i="43"/>
  <c r="W16" i="41" l="1"/>
  <c r="X16" i="41" s="1"/>
  <c r="U21" i="41"/>
  <c r="T16" i="41"/>
  <c r="U16" i="41" s="1"/>
  <c r="U15" i="41"/>
  <c r="U23" i="41"/>
  <c r="W17" i="41"/>
  <c r="X17" i="41" s="1"/>
  <c r="U24" i="41"/>
  <c r="U22" i="41"/>
  <c r="U25" i="41"/>
  <c r="T17" i="41"/>
  <c r="U17" i="41" s="1"/>
  <c r="U13" i="41"/>
  <c r="U26" i="41"/>
  <c r="U10" i="41"/>
  <c r="AD22" i="41" l="1"/>
  <c r="W17" i="43"/>
  <c r="AD23" i="41"/>
  <c r="AD13" i="41"/>
  <c r="AC17" i="41"/>
  <c r="AD17" i="41" s="1"/>
  <c r="AD25" i="41"/>
  <c r="AD26" i="41"/>
  <c r="T17" i="43"/>
  <c r="AD15" i="41"/>
  <c r="AC16" i="41"/>
  <c r="AD16" i="41" s="1"/>
  <c r="T16" i="43"/>
  <c r="AD21" i="41"/>
  <c r="AD24" i="41"/>
  <c r="W16" i="43"/>
  <c r="AD10" i="41"/>
  <c r="AC16" i="43" l="1"/>
  <c r="AC17" i="43"/>
  <c r="I24" i="41" l="1"/>
  <c r="Q24" i="41"/>
  <c r="L24" i="41"/>
  <c r="L23" i="41"/>
  <c r="Q25" i="41"/>
  <c r="I25" i="41"/>
  <c r="L25" i="41"/>
  <c r="L22" i="41"/>
  <c r="Q26" i="41"/>
  <c r="I26" i="41"/>
  <c r="L26" i="41"/>
  <c r="Q23" i="41"/>
  <c r="I23" i="41"/>
  <c r="I10" i="41"/>
  <c r="Q10" i="41"/>
  <c r="K17" i="41"/>
  <c r="L17" i="41" s="1"/>
  <c r="L13" i="41"/>
  <c r="L10" i="41"/>
  <c r="I21" i="41"/>
  <c r="Q21" i="41"/>
  <c r="L21" i="41"/>
  <c r="I13" i="41"/>
  <c r="Q13" i="41"/>
  <c r="H17" i="41"/>
  <c r="I17" i="41" s="1"/>
  <c r="Q15" i="41"/>
  <c r="I15" i="41"/>
  <c r="H16" i="41"/>
  <c r="I16" i="41" s="1"/>
  <c r="Q22" i="41"/>
  <c r="I22" i="41"/>
  <c r="L15" i="41"/>
  <c r="K16" i="41"/>
  <c r="L16" i="41" s="1"/>
  <c r="K17" i="43" l="1"/>
  <c r="Q17" i="41"/>
  <c r="R17" i="41" s="1"/>
  <c r="R13" i="41"/>
  <c r="AI13" i="41"/>
  <c r="AI10" i="41"/>
  <c r="R10" i="41"/>
  <c r="R25" i="41"/>
  <c r="AI25" i="41"/>
  <c r="Q13" i="43"/>
  <c r="H17" i="43"/>
  <c r="Q15" i="43"/>
  <c r="H16" i="43"/>
  <c r="Q23" i="43"/>
  <c r="AI23" i="41"/>
  <c r="R23" i="41"/>
  <c r="AI15" i="41"/>
  <c r="Q16" i="41"/>
  <c r="R16" i="41" s="1"/>
  <c r="R15" i="41"/>
  <c r="Q25" i="43"/>
  <c r="Q10" i="43"/>
  <c r="K16" i="43"/>
  <c r="R21" i="41"/>
  <c r="AI21" i="41"/>
  <c r="Q21" i="43"/>
  <c r="Q26" i="43"/>
  <c r="R24" i="41"/>
  <c r="AI24" i="41"/>
  <c r="Q22" i="43"/>
  <c r="AI22" i="41"/>
  <c r="R22" i="41"/>
  <c r="AI26" i="41"/>
  <c r="R26" i="41"/>
  <c r="Q24" i="43"/>
  <c r="AJ25" i="41" l="1"/>
  <c r="AI25" i="43"/>
  <c r="AJ26" i="41"/>
  <c r="AJ15" i="41"/>
  <c r="AI16" i="41"/>
  <c r="AJ16" i="41" s="1"/>
  <c r="AJ10" i="41"/>
  <c r="AJ23" i="41"/>
  <c r="AI24" i="43"/>
  <c r="AJ21" i="41"/>
  <c r="AJ13" i="41"/>
  <c r="AI17" i="41"/>
  <c r="AI23" i="43"/>
  <c r="AI21" i="43"/>
  <c r="AJ22" i="41"/>
  <c r="AI10" i="43"/>
  <c r="AI13" i="43"/>
  <c r="Q17" i="43"/>
  <c r="AI22" i="43"/>
  <c r="AJ24" i="41"/>
  <c r="AI26" i="43"/>
  <c r="Q16" i="43"/>
  <c r="AI15" i="43"/>
  <c r="AI17" i="43" l="1"/>
  <c r="AI16" i="43"/>
  <c r="AJ17" i="41"/>
  <c r="S29" i="1" l="1"/>
  <c r="T12" i="41" l="1"/>
  <c r="T4" i="43" s="1"/>
  <c r="U8" i="41"/>
  <c r="T14" i="41"/>
  <c r="U14" i="41" s="1"/>
  <c r="W12" i="41"/>
  <c r="W14" i="41"/>
  <c r="X14" i="41" s="1"/>
  <c r="W4" i="43" l="1"/>
  <c r="X12" i="41"/>
  <c r="T9" i="41"/>
  <c r="U9" i="41" s="1"/>
  <c r="W9" i="41"/>
  <c r="X9" i="41" s="1"/>
  <c r="W11" i="41"/>
  <c r="X11" i="41" s="1"/>
  <c r="W12" i="43"/>
  <c r="W9" i="43" s="1"/>
  <c r="W14" i="43"/>
  <c r="U12" i="41"/>
  <c r="T11" i="41"/>
  <c r="U11" i="41" s="1"/>
  <c r="AC12" i="41"/>
  <c r="AC4" i="43" s="1"/>
  <c r="AD8" i="41"/>
  <c r="AC14" i="41"/>
  <c r="AD14" i="41" s="1"/>
  <c r="T12" i="43"/>
  <c r="T9" i="43" s="1"/>
  <c r="T14" i="43"/>
  <c r="AC9" i="41" l="1"/>
  <c r="AD9" i="41" s="1"/>
  <c r="T11" i="43"/>
  <c r="AD12" i="41"/>
  <c r="AC11" i="41"/>
  <c r="AD11" i="41" s="1"/>
  <c r="W11" i="43"/>
  <c r="AC12" i="43"/>
  <c r="AC9" i="43" s="1"/>
  <c r="AC14" i="43"/>
  <c r="U19" i="41" l="1"/>
  <c r="AD19" i="41"/>
  <c r="W20" i="41"/>
  <c r="X20" i="41" s="1"/>
  <c r="AC11" i="43"/>
  <c r="W20" i="43"/>
  <c r="U18" i="41"/>
  <c r="T20" i="41"/>
  <c r="U20" i="41" s="1"/>
  <c r="T20" i="43" l="1"/>
  <c r="AC20" i="41"/>
  <c r="AD20" i="41" s="1"/>
  <c r="AD18" i="41"/>
  <c r="AC20" i="43" l="1"/>
  <c r="L8" i="41" l="1"/>
  <c r="K12" i="41"/>
  <c r="K9" i="41" s="1"/>
  <c r="L9" i="41" s="1"/>
  <c r="K14" i="41"/>
  <c r="L14" i="41" s="1"/>
  <c r="I8" i="41"/>
  <c r="H12" i="41"/>
  <c r="H9" i="41" s="1"/>
  <c r="I9" i="41" s="1"/>
  <c r="Q8" i="41"/>
  <c r="H14" i="41"/>
  <c r="I14" i="41" s="1"/>
  <c r="W28" i="1"/>
  <c r="U28" i="1"/>
  <c r="R8" i="41" l="1"/>
  <c r="Q12" i="41"/>
  <c r="Q4" i="43" s="1"/>
  <c r="AI8" i="41"/>
  <c r="Q14" i="41"/>
  <c r="R14" i="41" s="1"/>
  <c r="I12" i="41"/>
  <c r="H11" i="41"/>
  <c r="I11" i="41" s="1"/>
  <c r="U27" i="1"/>
  <c r="T29" i="1"/>
  <c r="W27" i="1"/>
  <c r="Q8" i="43"/>
  <c r="H12" i="43"/>
  <c r="H9" i="43" s="1"/>
  <c r="H14" i="43"/>
  <c r="L12" i="41"/>
  <c r="K11" i="41"/>
  <c r="L11" i="41" s="1"/>
  <c r="K12" i="43"/>
  <c r="K9" i="43" s="1"/>
  <c r="K14" i="43"/>
  <c r="Q9" i="41" l="1"/>
  <c r="R9" i="41" s="1"/>
  <c r="Q12" i="43"/>
  <c r="Q9" i="43" s="1"/>
  <c r="AI8" i="43"/>
  <c r="Q14" i="43"/>
  <c r="AI12" i="41"/>
  <c r="AI4" i="43" s="1"/>
  <c r="AJ8" i="41"/>
  <c r="AI14" i="41"/>
  <c r="AJ14" i="41" s="1"/>
  <c r="R12" i="41"/>
  <c r="Q11" i="41"/>
  <c r="R11" i="41" s="1"/>
  <c r="K11" i="43"/>
  <c r="H11" i="43"/>
  <c r="U29" i="1"/>
  <c r="W29" i="1"/>
  <c r="AI9" i="41" l="1"/>
  <c r="AJ9" i="41" s="1"/>
  <c r="AJ12" i="41"/>
  <c r="AI11" i="41"/>
  <c r="AJ11" i="41" s="1"/>
  <c r="AI12" i="43"/>
  <c r="AI9" i="43" s="1"/>
  <c r="AI14" i="43"/>
  <c r="Q11" i="43"/>
  <c r="AI11" i="43" l="1"/>
  <c r="U23" i="1" l="1"/>
  <c r="U24" i="1"/>
  <c r="AE10" i="42" l="1"/>
  <c r="AF21" i="42"/>
  <c r="AF11" i="42"/>
  <c r="AF22" i="42"/>
  <c r="AF19" i="42"/>
  <c r="AF14" i="42"/>
  <c r="AF16" i="42"/>
  <c r="AF23" i="42"/>
  <c r="AF18" i="42"/>
  <c r="AF7" i="42"/>
  <c r="AF10" i="42"/>
  <c r="AF13" i="42"/>
  <c r="AF9" i="42"/>
  <c r="AF12" i="42"/>
  <c r="AF20" i="42"/>
  <c r="AF8" i="42"/>
  <c r="AF15" i="42"/>
  <c r="AF17" i="42"/>
  <c r="AF24" i="42" l="1"/>
  <c r="AF25" i="42"/>
  <c r="AF26" i="42"/>
  <c r="AF27" i="42"/>
  <c r="AE14" i="42" l="1"/>
  <c r="AE12" i="42"/>
  <c r="AE18" i="42"/>
  <c r="AE8" i="42"/>
  <c r="AE23" i="42"/>
  <c r="AE9" i="42"/>
  <c r="AE22" i="42"/>
  <c r="AE16" i="42" l="1"/>
  <c r="AE11" i="42"/>
  <c r="AE21" i="42"/>
  <c r="AE20" i="42"/>
  <c r="AE17" i="42"/>
  <c r="AE13" i="42"/>
  <c r="AE15" i="42"/>
  <c r="AE19" i="42"/>
  <c r="AE25" i="42" l="1"/>
  <c r="AE26" i="42"/>
  <c r="AE7" i="42" l="1"/>
  <c r="AE27" i="42" l="1"/>
  <c r="AE24" i="42"/>
  <c r="Q38" i="42"/>
  <c r="S37" i="42"/>
  <c r="Q37" i="42"/>
  <c r="Q35" i="42"/>
  <c r="S35" i="42"/>
  <c r="V40" i="42"/>
  <c r="Q36" i="42"/>
  <c r="S36" i="42"/>
  <c r="Q40" i="42"/>
  <c r="S40" i="42"/>
  <c r="U36" i="41" l="1"/>
  <c r="AC36" i="41"/>
  <c r="T28" i="41"/>
  <c r="U37" i="41"/>
  <c r="AC37" i="41"/>
  <c r="T29" i="41"/>
  <c r="U38" i="41"/>
  <c r="AC38" i="41"/>
  <c r="T30" i="41"/>
  <c r="U39" i="41"/>
  <c r="AC39" i="41"/>
  <c r="T31" i="41"/>
  <c r="U40" i="41"/>
  <c r="AC40" i="41"/>
  <c r="T32" i="41"/>
  <c r="W41" i="41"/>
  <c r="X41" i="41" s="1"/>
  <c r="W27" i="41"/>
  <c r="X27" i="41" s="1"/>
  <c r="W28" i="41"/>
  <c r="X28" i="41" s="1"/>
  <c r="W29" i="41"/>
  <c r="X29" i="41" s="1"/>
  <c r="W30" i="41"/>
  <c r="X30" i="41" s="1"/>
  <c r="AC35" i="41"/>
  <c r="U35" i="41"/>
  <c r="T41" i="41"/>
  <c r="T27" i="41"/>
  <c r="W31" i="41"/>
  <c r="X31" i="41" s="1"/>
  <c r="W32" i="41"/>
  <c r="X32" i="41" s="1"/>
  <c r="U31" i="41" l="1"/>
  <c r="AC31" i="41"/>
  <c r="U30" i="41"/>
  <c r="AC30" i="41"/>
  <c r="U27" i="41"/>
  <c r="AC27" i="41"/>
  <c r="AD27" i="41" s="1"/>
  <c r="U32" i="41"/>
  <c r="AC32" i="41"/>
  <c r="AD32" i="41" s="1"/>
  <c r="U29" i="41"/>
  <c r="AC29" i="41"/>
  <c r="AD29" i="41" s="1"/>
  <c r="U28" i="41"/>
  <c r="AC28" i="41"/>
  <c r="AD28" i="41" s="1"/>
  <c r="T41" i="43"/>
  <c r="AC41" i="43" s="1"/>
  <c r="T27" i="43"/>
  <c r="W31" i="43"/>
  <c r="T30" i="43"/>
  <c r="T32" i="43"/>
  <c r="AD37" i="41"/>
  <c r="W28" i="43"/>
  <c r="T29" i="43"/>
  <c r="AD35" i="41"/>
  <c r="AD39" i="41"/>
  <c r="AD31" i="41"/>
  <c r="T31" i="43"/>
  <c r="AD38" i="41"/>
  <c r="AD30" i="41"/>
  <c r="W30" i="43"/>
  <c r="W42" i="41"/>
  <c r="AD36" i="41"/>
  <c r="AC41" i="41"/>
  <c r="U41" i="41"/>
  <c r="T42" i="41"/>
  <c r="W29" i="43"/>
  <c r="W32" i="43"/>
  <c r="AD40" i="41"/>
  <c r="W41" i="43"/>
  <c r="W27" i="43"/>
  <c r="T28" i="43"/>
  <c r="AC28" i="43" l="1"/>
  <c r="AC27" i="43"/>
  <c r="AC30" i="43"/>
  <c r="AC31" i="43"/>
  <c r="AC29" i="43"/>
  <c r="AC32" i="43"/>
  <c r="AD41" i="41"/>
  <c r="AC42" i="41"/>
  <c r="W42" i="43"/>
  <c r="T42" i="43"/>
  <c r="AC42" i="43" l="1"/>
  <c r="L36" i="41" l="1"/>
  <c r="K28" i="41"/>
  <c r="L28" i="41" s="1"/>
  <c r="Q36" i="41"/>
  <c r="I36" i="41"/>
  <c r="H28" i="41"/>
  <c r="I28" i="41" s="1"/>
  <c r="L37" i="41"/>
  <c r="K29" i="41"/>
  <c r="L29" i="41" s="1"/>
  <c r="Q37" i="41"/>
  <c r="I37" i="41"/>
  <c r="H29" i="41"/>
  <c r="I29" i="41" s="1"/>
  <c r="L38" i="41"/>
  <c r="K30" i="41"/>
  <c r="L30" i="41" s="1"/>
  <c r="Q38" i="41"/>
  <c r="I38" i="41"/>
  <c r="H30" i="41"/>
  <c r="I30" i="41" s="1"/>
  <c r="L39" i="41"/>
  <c r="K31" i="41"/>
  <c r="L31" i="41" s="1"/>
  <c r="Q39" i="41"/>
  <c r="I39" i="41"/>
  <c r="H31" i="41"/>
  <c r="I31" i="41" s="1"/>
  <c r="L35" i="41"/>
  <c r="K41" i="41"/>
  <c r="K27" i="41"/>
  <c r="L27" i="41" s="1"/>
  <c r="L40" i="41"/>
  <c r="K32" i="41"/>
  <c r="L32" i="41" s="1"/>
  <c r="Q35" i="41"/>
  <c r="H41" i="41"/>
  <c r="I35" i="41"/>
  <c r="H27" i="41"/>
  <c r="I27" i="41" s="1"/>
  <c r="Q40" i="41"/>
  <c r="I40" i="41"/>
  <c r="H32" i="41"/>
  <c r="I32" i="41" s="1"/>
  <c r="R38" i="41" l="1"/>
  <c r="AI38" i="41"/>
  <c r="Q30" i="41"/>
  <c r="R30" i="41" s="1"/>
  <c r="K30" i="43"/>
  <c r="L41" i="41"/>
  <c r="K42" i="41"/>
  <c r="Q35" i="43"/>
  <c r="H41" i="43"/>
  <c r="H27" i="43"/>
  <c r="K41" i="43"/>
  <c r="K27" i="43"/>
  <c r="K32" i="43"/>
  <c r="K29" i="43"/>
  <c r="R35" i="41"/>
  <c r="AI35" i="41"/>
  <c r="Q27" i="41"/>
  <c r="R27" i="41" s="1"/>
  <c r="R39" i="41"/>
  <c r="AI39" i="41"/>
  <c r="Q31" i="41"/>
  <c r="R31" i="41" s="1"/>
  <c r="Q39" i="43"/>
  <c r="H31" i="43"/>
  <c r="R36" i="41"/>
  <c r="AI36" i="41"/>
  <c r="Q28" i="41"/>
  <c r="R28" i="41" s="1"/>
  <c r="Q37" i="43"/>
  <c r="H29" i="43"/>
  <c r="Q36" i="43"/>
  <c r="H28" i="43"/>
  <c r="Q41" i="41"/>
  <c r="I41" i="41"/>
  <c r="H42" i="41"/>
  <c r="R40" i="41"/>
  <c r="AI40" i="41"/>
  <c r="Q32" i="41"/>
  <c r="R32" i="41" s="1"/>
  <c r="K31" i="43"/>
  <c r="Q38" i="43"/>
  <c r="H30" i="43"/>
  <c r="R37" i="41"/>
  <c r="AI37" i="41"/>
  <c r="Q29" i="41"/>
  <c r="R29" i="41" s="1"/>
  <c r="Q40" i="43"/>
  <c r="H32" i="43"/>
  <c r="K28" i="43"/>
  <c r="AJ35" i="41" l="1"/>
  <c r="AI27" i="41"/>
  <c r="AJ27" i="41" s="1"/>
  <c r="Q41" i="43"/>
  <c r="H42" i="43"/>
  <c r="AI35" i="43"/>
  <c r="Q27" i="43"/>
  <c r="R27" i="43" s="1"/>
  <c r="AI40" i="43"/>
  <c r="Q32" i="43"/>
  <c r="R32" i="43" s="1"/>
  <c r="AJ36" i="41"/>
  <c r="AI28" i="41"/>
  <c r="AJ28" i="41" s="1"/>
  <c r="R41" i="41"/>
  <c r="AI41" i="41"/>
  <c r="Q42" i="41"/>
  <c r="AI36" i="43"/>
  <c r="Q28" i="43"/>
  <c r="R28" i="43" s="1"/>
  <c r="AI38" i="43"/>
  <c r="Q30" i="43"/>
  <c r="R30" i="43" s="1"/>
  <c r="K42" i="43"/>
  <c r="AJ39" i="41"/>
  <c r="AI31" i="41"/>
  <c r="AJ31" i="41" s="1"/>
  <c r="AJ38" i="41"/>
  <c r="AI30" i="41"/>
  <c r="AJ30" i="41" s="1"/>
  <c r="AI37" i="43"/>
  <c r="Q29" i="43"/>
  <c r="R29" i="43" s="1"/>
  <c r="AJ37" i="41"/>
  <c r="AI29" i="41"/>
  <c r="AJ29" i="41" s="1"/>
  <c r="AI39" i="43"/>
  <c r="Q31" i="43"/>
  <c r="R31" i="43" s="1"/>
  <c r="AJ40" i="41"/>
  <c r="AI32" i="41"/>
  <c r="AJ32" i="41" s="1"/>
  <c r="AI29" i="43" l="1"/>
  <c r="AJ41" i="41"/>
  <c r="AI42" i="41"/>
  <c r="AI27" i="43"/>
  <c r="AI31" i="43"/>
  <c r="AI28" i="43"/>
  <c r="AI41" i="43"/>
  <c r="Q42" i="43"/>
  <c r="AI32" i="43"/>
  <c r="AI30" i="43"/>
  <c r="AI42" i="43" l="1"/>
  <c r="L18" i="41" l="1"/>
  <c r="K20" i="41"/>
  <c r="L20" i="41" s="1"/>
  <c r="I19" i="41"/>
  <c r="Q19" i="41"/>
  <c r="I18" i="41"/>
  <c r="H20" i="41"/>
  <c r="I20" i="41" s="1"/>
  <c r="Q18" i="41"/>
  <c r="L19" i="41"/>
  <c r="AI18" i="41" l="1"/>
  <c r="R18" i="41"/>
  <c r="H20" i="43"/>
  <c r="Q18" i="43"/>
  <c r="Q20" i="41"/>
  <c r="R20" i="41" s="1"/>
  <c r="AI19" i="41"/>
  <c r="AJ19" i="41" s="1"/>
  <c r="R19" i="41"/>
  <c r="Q19" i="43"/>
  <c r="K20" i="43"/>
  <c r="AG19" i="41"/>
  <c r="AF20" i="41"/>
  <c r="AG20" i="41" s="1"/>
  <c r="AI19" i="43" l="1"/>
  <c r="Q20" i="43"/>
  <c r="AI18" i="43"/>
  <c r="AF20" i="43"/>
  <c r="AJ18" i="41"/>
  <c r="AI20" i="41"/>
  <c r="AI20" i="43" l="1"/>
  <c r="AJ20" i="41"/>
  <c r="F8" i="1" l="1"/>
  <c r="K28" i="2"/>
  <c r="N28" i="2" l="1"/>
  <c r="L28" i="2"/>
  <c r="G8" i="1"/>
  <c r="I8" i="1"/>
  <c r="AC8" i="1"/>
  <c r="AF8" i="1" l="1"/>
  <c r="AD8" i="1"/>
  <c r="K16" i="2" l="1"/>
  <c r="K15" i="2"/>
  <c r="K14" i="2"/>
  <c r="K8" i="2"/>
  <c r="K13" i="2"/>
  <c r="K31" i="2"/>
  <c r="K12" i="2"/>
  <c r="K30" i="2"/>
  <c r="K9" i="2"/>
  <c r="K10" i="2"/>
  <c r="K23" i="2"/>
  <c r="K20" i="2"/>
  <c r="K21" i="2"/>
  <c r="K19" i="2"/>
  <c r="K18" i="2"/>
  <c r="K17" i="2"/>
  <c r="L30" i="2" l="1"/>
  <c r="N30" i="2"/>
  <c r="L31" i="2"/>
  <c r="N31" i="2"/>
  <c r="L13" i="2"/>
  <c r="N13" i="2"/>
  <c r="N18" i="2"/>
  <c r="L18" i="2"/>
  <c r="L17" i="2"/>
  <c r="N17" i="2"/>
  <c r="N8" i="2"/>
  <c r="L8" i="2"/>
  <c r="N14" i="2"/>
  <c r="L14" i="2"/>
  <c r="N15" i="2"/>
  <c r="L15" i="2"/>
  <c r="L19" i="2"/>
  <c r="N19" i="2"/>
  <c r="L12" i="2"/>
  <c r="N12" i="2"/>
  <c r="N21" i="2"/>
  <c r="L21" i="2"/>
  <c r="N20" i="2"/>
  <c r="L20" i="2"/>
  <c r="N16" i="2"/>
  <c r="L16" i="2"/>
  <c r="L23" i="2"/>
  <c r="N23" i="2"/>
  <c r="N10" i="2"/>
  <c r="L10" i="2"/>
  <c r="N9" i="2"/>
  <c r="L9" i="2"/>
  <c r="P20" i="2"/>
  <c r="P23" i="2"/>
  <c r="K11" i="2"/>
  <c r="P8" i="2"/>
  <c r="P7" i="2"/>
  <c r="P11" i="2"/>
  <c r="P29" i="2"/>
  <c r="P30" i="2"/>
  <c r="P22" i="2"/>
  <c r="K7" i="2"/>
  <c r="K22" i="2"/>
  <c r="P10" i="2"/>
  <c r="K29" i="2"/>
  <c r="S22" i="2" l="1"/>
  <c r="Q22" i="2"/>
  <c r="F11" i="1"/>
  <c r="P28" i="2"/>
  <c r="P9" i="2"/>
  <c r="P24" i="2" s="1"/>
  <c r="P16" i="2"/>
  <c r="P19" i="2"/>
  <c r="S29" i="2"/>
  <c r="Q29" i="2"/>
  <c r="S10" i="2"/>
  <c r="Q10" i="2"/>
  <c r="P18" i="2"/>
  <c r="P17" i="2"/>
  <c r="P31" i="2"/>
  <c r="P32" i="2" s="1"/>
  <c r="P15" i="2"/>
  <c r="P12" i="2"/>
  <c r="P14" i="2"/>
  <c r="Q11" i="2"/>
  <c r="S11" i="2"/>
  <c r="P21" i="2"/>
  <c r="F16" i="1"/>
  <c r="Q8" i="2"/>
  <c r="S8" i="2"/>
  <c r="P13" i="2"/>
  <c r="S7" i="2"/>
  <c r="Q7" i="2"/>
  <c r="Q23" i="2"/>
  <c r="S23" i="2"/>
  <c r="Q30" i="2"/>
  <c r="S30" i="2"/>
  <c r="S20" i="2"/>
  <c r="Q20" i="2"/>
  <c r="L22" i="2"/>
  <c r="N22" i="2"/>
  <c r="N7" i="2"/>
  <c r="L7" i="2"/>
  <c r="K24" i="2"/>
  <c r="N11" i="2"/>
  <c r="L11" i="2"/>
  <c r="K25" i="2"/>
  <c r="K26" i="2"/>
  <c r="N29" i="2"/>
  <c r="K32" i="2"/>
  <c r="L29" i="2"/>
  <c r="P33" i="2"/>
  <c r="F10" i="1"/>
  <c r="F7" i="1"/>
  <c r="F12" i="1"/>
  <c r="P34" i="2"/>
  <c r="P25" i="2" l="1"/>
  <c r="S25" i="2" s="1"/>
  <c r="F15" i="1"/>
  <c r="Q32" i="2"/>
  <c r="AM17" i="41"/>
  <c r="S32" i="2"/>
  <c r="F20" i="1"/>
  <c r="G10" i="1"/>
  <c r="I10" i="1"/>
  <c r="AC10" i="1"/>
  <c r="S18" i="2"/>
  <c r="Q18" i="2"/>
  <c r="Q14" i="2"/>
  <c r="S14" i="2"/>
  <c r="I12" i="1"/>
  <c r="G12" i="1"/>
  <c r="AC12" i="1"/>
  <c r="S19" i="2"/>
  <c r="P26" i="2"/>
  <c r="Q19" i="2"/>
  <c r="Q34" i="2"/>
  <c r="S34" i="2"/>
  <c r="S15" i="2"/>
  <c r="Q15" i="2"/>
  <c r="Q16" i="2"/>
  <c r="S16" i="2"/>
  <c r="S33" i="2"/>
  <c r="Q33" i="2"/>
  <c r="S13" i="2"/>
  <c r="Q13" i="2"/>
  <c r="Q24" i="2"/>
  <c r="S24" i="2"/>
  <c r="S31" i="2"/>
  <c r="Q31" i="2"/>
  <c r="S9" i="2"/>
  <c r="Q9" i="2"/>
  <c r="S28" i="2"/>
  <c r="Q28" i="2"/>
  <c r="Q12" i="2"/>
  <c r="S12" i="2"/>
  <c r="I11" i="1"/>
  <c r="AC11" i="1"/>
  <c r="F21" i="1"/>
  <c r="G11" i="1"/>
  <c r="F17" i="1"/>
  <c r="F22" i="1" s="1"/>
  <c r="Q21" i="2"/>
  <c r="S21" i="2"/>
  <c r="Q17" i="2"/>
  <c r="S17" i="2"/>
  <c r="G16" i="1"/>
  <c r="I16" i="1"/>
  <c r="G7" i="1"/>
  <c r="A7" i="1"/>
  <c r="AC7" i="1"/>
  <c r="I7" i="1"/>
  <c r="F9" i="1"/>
  <c r="L25" i="2"/>
  <c r="N25" i="2"/>
  <c r="AM12" i="41"/>
  <c r="N32" i="2"/>
  <c r="L32" i="2"/>
  <c r="K27" i="2"/>
  <c r="N24" i="2"/>
  <c r="L24" i="2"/>
  <c r="N26" i="2"/>
  <c r="L26" i="2"/>
  <c r="K46" i="2"/>
  <c r="G15" i="1" l="1"/>
  <c r="I15" i="1"/>
  <c r="P27" i="2"/>
  <c r="Q25" i="2"/>
  <c r="U35" i="2"/>
  <c r="U38" i="2"/>
  <c r="S27" i="2"/>
  <c r="Q27" i="2"/>
  <c r="G22" i="1"/>
  <c r="I22" i="1"/>
  <c r="U19" i="2"/>
  <c r="U18" i="2"/>
  <c r="U20" i="2"/>
  <c r="U13" i="2"/>
  <c r="AF10" i="1"/>
  <c r="AD10" i="1"/>
  <c r="U23" i="2"/>
  <c r="U9" i="2"/>
  <c r="AF12" i="1"/>
  <c r="AD12" i="1"/>
  <c r="F27" i="1"/>
  <c r="G20" i="1"/>
  <c r="I20" i="1"/>
  <c r="U8" i="2"/>
  <c r="U36" i="2"/>
  <c r="U12" i="2"/>
  <c r="U11" i="2"/>
  <c r="U16" i="2"/>
  <c r="U10" i="2"/>
  <c r="U31" i="2"/>
  <c r="U37" i="2"/>
  <c r="AC21" i="1" s="1"/>
  <c r="U14" i="2"/>
  <c r="I17" i="1"/>
  <c r="G17" i="1"/>
  <c r="U22" i="2"/>
  <c r="U17" i="2"/>
  <c r="S26" i="2"/>
  <c r="Q26" i="2"/>
  <c r="F26" i="1"/>
  <c r="F32" i="1" s="1"/>
  <c r="U30" i="2"/>
  <c r="I21" i="1"/>
  <c r="G21" i="1"/>
  <c r="U15" i="2"/>
  <c r="AD11" i="1"/>
  <c r="AF11" i="1"/>
  <c r="AM18" i="41"/>
  <c r="U21" i="2"/>
  <c r="K47" i="2"/>
  <c r="AM13" i="41"/>
  <c r="I9" i="1"/>
  <c r="AC9" i="1"/>
  <c r="G9" i="1"/>
  <c r="L27" i="2"/>
  <c r="N27" i="2"/>
  <c r="AF7" i="1"/>
  <c r="AD7" i="1"/>
  <c r="F18" i="1"/>
  <c r="U29" i="2"/>
  <c r="AC19" i="1" l="1"/>
  <c r="AF21" i="1"/>
  <c r="AD21" i="1"/>
  <c r="V35" i="2"/>
  <c r="X35" i="2"/>
  <c r="T34" i="1"/>
  <c r="U34" i="1" s="1"/>
  <c r="V38" i="2"/>
  <c r="X38" i="2"/>
  <c r="I18" i="1"/>
  <c r="G18" i="1"/>
  <c r="F19" i="1"/>
  <c r="U32" i="2"/>
  <c r="X29" i="2"/>
  <c r="V29" i="2"/>
  <c r="X15" i="2"/>
  <c r="V15" i="2"/>
  <c r="X11" i="2"/>
  <c r="U25" i="2"/>
  <c r="V11" i="2"/>
  <c r="X23" i="2"/>
  <c r="V23" i="2"/>
  <c r="I32" i="1"/>
  <c r="AC17" i="1"/>
  <c r="G32" i="1"/>
  <c r="V14" i="2"/>
  <c r="X14" i="2"/>
  <c r="X18" i="2"/>
  <c r="V18" i="2"/>
  <c r="V30" i="2"/>
  <c r="X30" i="2"/>
  <c r="X37" i="2"/>
  <c r="V37" i="2"/>
  <c r="U33" i="2"/>
  <c r="X8" i="2"/>
  <c r="V8" i="2"/>
  <c r="I26" i="1"/>
  <c r="G26" i="1"/>
  <c r="X12" i="2"/>
  <c r="V12" i="2"/>
  <c r="V9" i="2"/>
  <c r="X9" i="2"/>
  <c r="U28" i="2"/>
  <c r="X19" i="2"/>
  <c r="U26" i="2"/>
  <c r="V19" i="2"/>
  <c r="V31" i="2"/>
  <c r="X31" i="2"/>
  <c r="V21" i="2"/>
  <c r="X21" i="2"/>
  <c r="U7" i="2"/>
  <c r="X10" i="2"/>
  <c r="V10" i="2"/>
  <c r="X17" i="2"/>
  <c r="V17" i="2"/>
  <c r="I27" i="1"/>
  <c r="G27" i="1"/>
  <c r="F33" i="1"/>
  <c r="W34" i="1"/>
  <c r="V22" i="2"/>
  <c r="X22" i="2"/>
  <c r="X20" i="2"/>
  <c r="V20" i="2"/>
  <c r="F25" i="1"/>
  <c r="V16" i="2"/>
  <c r="X16" i="2"/>
  <c r="P46" i="2"/>
  <c r="P39" i="2"/>
  <c r="F13" i="1"/>
  <c r="V13" i="2"/>
  <c r="X13" i="2"/>
  <c r="V36" i="2"/>
  <c r="X36" i="2"/>
  <c r="AD9" i="1"/>
  <c r="AF9" i="1"/>
  <c r="AD19" i="1" l="1"/>
  <c r="AF19" i="1"/>
  <c r="U34" i="2"/>
  <c r="AC20" i="1" s="1"/>
  <c r="AC18" i="1"/>
  <c r="I33" i="1"/>
  <c r="G33" i="1"/>
  <c r="G25" i="1"/>
  <c r="I25" i="1"/>
  <c r="F30" i="1"/>
  <c r="AC15" i="1" s="1"/>
  <c r="V26" i="2"/>
  <c r="X26" i="2"/>
  <c r="V33" i="2"/>
  <c r="T32" i="1"/>
  <c r="X33" i="2"/>
  <c r="V25" i="2"/>
  <c r="X25" i="2"/>
  <c r="V28" i="2"/>
  <c r="X28" i="2"/>
  <c r="AF17" i="1"/>
  <c r="AD17" i="1"/>
  <c r="Q39" i="2"/>
  <c r="S39" i="2"/>
  <c r="P41" i="2"/>
  <c r="AM20" i="41"/>
  <c r="X32" i="2"/>
  <c r="V32" i="2"/>
  <c r="I19" i="1"/>
  <c r="G19" i="1"/>
  <c r="X7" i="2"/>
  <c r="V7" i="2"/>
  <c r="U24" i="2"/>
  <c r="F23" i="1"/>
  <c r="G13" i="1"/>
  <c r="AC13" i="1"/>
  <c r="I13" i="1"/>
  <c r="F14" i="1"/>
  <c r="F28" i="1"/>
  <c r="AD20" i="1" l="1"/>
  <c r="AF20" i="1"/>
  <c r="V34" i="2"/>
  <c r="X34" i="2"/>
  <c r="T33" i="1"/>
  <c r="W33" i="1" s="1"/>
  <c r="G28" i="1"/>
  <c r="I28" i="1"/>
  <c r="F29" i="1"/>
  <c r="S41" i="2"/>
  <c r="Q41" i="2"/>
  <c r="P43" i="2"/>
  <c r="V24" i="2"/>
  <c r="X24" i="2"/>
  <c r="U27" i="2"/>
  <c r="U32" i="1"/>
  <c r="W32" i="1"/>
  <c r="I30" i="1"/>
  <c r="G30" i="1"/>
  <c r="F31" i="1"/>
  <c r="G14" i="1"/>
  <c r="A14" i="1"/>
  <c r="I14" i="1"/>
  <c r="AD13" i="1"/>
  <c r="AF13" i="1"/>
  <c r="AC14" i="1"/>
  <c r="I23" i="1"/>
  <c r="G23" i="1"/>
  <c r="F34" i="1"/>
  <c r="F24" i="1"/>
  <c r="AM21" i="41"/>
  <c r="AM22" i="41"/>
  <c r="AF18" i="1"/>
  <c r="AD18" i="1"/>
  <c r="U33" i="1" l="1"/>
  <c r="X27" i="2"/>
  <c r="V27" i="2"/>
  <c r="AF15" i="1"/>
  <c r="AD15" i="1"/>
  <c r="P44" i="2"/>
  <c r="S43" i="2"/>
  <c r="Q43" i="2"/>
  <c r="P47" i="2"/>
  <c r="I24" i="1"/>
  <c r="G24" i="1"/>
  <c r="I34" i="1"/>
  <c r="G34" i="1"/>
  <c r="G29" i="1"/>
  <c r="I29" i="1"/>
  <c r="AF14" i="1"/>
  <c r="AD14" i="1"/>
  <c r="F35" i="1"/>
  <c r="AC16" i="1"/>
  <c r="G31" i="1"/>
  <c r="I31" i="1"/>
  <c r="AF16" i="1" l="1"/>
  <c r="AD16" i="1"/>
  <c r="I35" i="1"/>
  <c r="G35" i="1"/>
  <c r="F36" i="1"/>
  <c r="U46" i="2" l="1"/>
  <c r="U39" i="2"/>
  <c r="F38" i="1"/>
  <c r="I36" i="1"/>
  <c r="AF24" i="1" s="1"/>
  <c r="AC24" i="1"/>
  <c r="G36" i="1"/>
  <c r="AD24" i="1" s="1"/>
  <c r="F40" i="1" l="1"/>
  <c r="F39" i="1"/>
  <c r="V39" i="2"/>
  <c r="X39" i="2"/>
  <c r="U41" i="2"/>
  <c r="AC26" i="1" s="1"/>
  <c r="AD26" i="1" l="1"/>
  <c r="AF26" i="1" s="1"/>
  <c r="AC22" i="1"/>
  <c r="T36" i="1"/>
  <c r="X41" i="2"/>
  <c r="V41" i="2"/>
  <c r="U43" i="2"/>
  <c r="AC23" i="1" l="1"/>
  <c r="AF22" i="1"/>
  <c r="AD22" i="1"/>
  <c r="V43" i="2"/>
  <c r="U44" i="2"/>
  <c r="X43" i="2"/>
  <c r="U47" i="2"/>
  <c r="W36" i="1"/>
  <c r="T35" i="1"/>
  <c r="U36" i="1"/>
  <c r="AD23" i="1" l="1"/>
  <c r="AF23" i="1"/>
  <c r="W35" i="1"/>
  <c r="U35" i="1"/>
  <c r="W46" i="42" l="1"/>
  <c r="T46" i="42"/>
  <c r="R46" i="42"/>
  <c r="O46" i="42"/>
  <c r="M46" i="42"/>
  <c r="J46" i="42"/>
  <c r="W39" i="42"/>
  <c r="R39" i="42"/>
  <c r="O39" i="42"/>
  <c r="W38" i="42"/>
  <c r="R38" i="42"/>
  <c r="S38" i="42" s="1"/>
  <c r="W37" i="42"/>
  <c r="AJ21" i="1" s="1"/>
  <c r="W36" i="42"/>
  <c r="W35" i="42"/>
  <c r="AJ19" i="1" s="1"/>
  <c r="T35" i="42"/>
  <c r="AG19" i="1" s="1"/>
  <c r="W34" i="42"/>
  <c r="T34" i="42"/>
  <c r="R34" i="42"/>
  <c r="O34" i="42"/>
  <c r="W33" i="42"/>
  <c r="R33" i="42"/>
  <c r="O33" i="42"/>
  <c r="O41" i="42" s="1"/>
  <c r="W31" i="42"/>
  <c r="R31" i="42"/>
  <c r="O31" i="42"/>
  <c r="M31" i="42"/>
  <c r="J31" i="42"/>
  <c r="W30" i="42"/>
  <c r="R30" i="42"/>
  <c r="O30" i="42"/>
  <c r="M30" i="42"/>
  <c r="J30" i="42"/>
  <c r="W29" i="42"/>
  <c r="R29" i="42"/>
  <c r="R32" i="42" s="1"/>
  <c r="O29" i="42"/>
  <c r="M29" i="42"/>
  <c r="J29" i="42"/>
  <c r="W28" i="42"/>
  <c r="T28" i="42"/>
  <c r="T51" i="42" s="1"/>
  <c r="R28" i="42"/>
  <c r="O28" i="42"/>
  <c r="M28" i="42"/>
  <c r="J28" i="42"/>
  <c r="T23" i="42"/>
  <c r="R23" i="42"/>
  <c r="O23" i="42"/>
  <c r="M23" i="42"/>
  <c r="J23" i="42"/>
  <c r="T22" i="42"/>
  <c r="R22" i="42"/>
  <c r="O22" i="42"/>
  <c r="M22" i="42"/>
  <c r="J22" i="42"/>
  <c r="T21" i="42"/>
  <c r="R21" i="42"/>
  <c r="O21" i="42"/>
  <c r="M21" i="42"/>
  <c r="J21" i="42"/>
  <c r="T20" i="42"/>
  <c r="R20" i="42"/>
  <c r="O20" i="42"/>
  <c r="M20" i="42"/>
  <c r="J20" i="42"/>
  <c r="T19" i="42"/>
  <c r="R19" i="42"/>
  <c r="O19" i="42"/>
  <c r="M19" i="42"/>
  <c r="J19" i="42"/>
  <c r="T18" i="42"/>
  <c r="R18" i="42"/>
  <c r="O18" i="42"/>
  <c r="M18" i="42"/>
  <c r="J18" i="42"/>
  <c r="T17" i="42"/>
  <c r="R17" i="42"/>
  <c r="O17" i="42"/>
  <c r="M17" i="42"/>
  <c r="J17" i="42"/>
  <c r="T16" i="42"/>
  <c r="R16" i="42"/>
  <c r="O16" i="42"/>
  <c r="M16" i="42"/>
  <c r="J16" i="42"/>
  <c r="T15" i="42"/>
  <c r="R15" i="42"/>
  <c r="O15" i="42"/>
  <c r="M15" i="42"/>
  <c r="J15" i="42"/>
  <c r="T14" i="42"/>
  <c r="R14" i="42"/>
  <c r="O14" i="42"/>
  <c r="M14" i="42"/>
  <c r="J14" i="42"/>
  <c r="T13" i="42"/>
  <c r="R13" i="42"/>
  <c r="O13" i="42"/>
  <c r="M13" i="42"/>
  <c r="J13" i="42"/>
  <c r="T12" i="42"/>
  <c r="R12" i="42"/>
  <c r="O12" i="42"/>
  <c r="M12" i="42"/>
  <c r="J12" i="42"/>
  <c r="T11" i="42"/>
  <c r="R11" i="42"/>
  <c r="O11" i="42"/>
  <c r="M11" i="42"/>
  <c r="J11" i="42"/>
  <c r="T10" i="42"/>
  <c r="R10" i="42"/>
  <c r="O10" i="42"/>
  <c r="M10" i="42"/>
  <c r="J10" i="42"/>
  <c r="T9" i="42"/>
  <c r="R9" i="42"/>
  <c r="O9" i="42"/>
  <c r="M9" i="42"/>
  <c r="J9" i="42"/>
  <c r="T8" i="42"/>
  <c r="R8" i="42"/>
  <c r="O8" i="42"/>
  <c r="M8" i="42"/>
  <c r="J8" i="42"/>
  <c r="T7" i="42"/>
  <c r="R7" i="42"/>
  <c r="O7" i="42"/>
  <c r="M7" i="42"/>
  <c r="J7" i="42"/>
  <c r="M38" i="1"/>
  <c r="J38" i="1"/>
  <c r="J27" i="1"/>
  <c r="M26" i="1"/>
  <c r="J26" i="1"/>
  <c r="M25" i="1"/>
  <c r="M17" i="1"/>
  <c r="J17" i="1"/>
  <c r="M16" i="1"/>
  <c r="J16" i="1"/>
  <c r="M15" i="1"/>
  <c r="J15" i="1"/>
  <c r="M12" i="1"/>
  <c r="J12" i="1"/>
  <c r="M11" i="1"/>
  <c r="J10" i="1"/>
  <c r="M9" i="1"/>
  <c r="AJ9" i="1" s="1"/>
  <c r="J9" i="1"/>
  <c r="AG9" i="1" s="1"/>
  <c r="M8" i="1"/>
  <c r="AJ8" i="1" s="1"/>
  <c r="J8" i="1"/>
  <c r="AG8" i="1" s="1"/>
  <c r="M7" i="1"/>
  <c r="AJ7" i="1" s="1"/>
  <c r="J7" i="1"/>
  <c r="AG7" i="1" s="1"/>
  <c r="R24" i="42" l="1"/>
  <c r="T30" i="42"/>
  <c r="AI30" i="42" s="1"/>
  <c r="O24" i="42"/>
  <c r="T24" i="42"/>
  <c r="J25" i="42"/>
  <c r="T31" i="42"/>
  <c r="AI31" i="42" s="1"/>
  <c r="T39" i="42"/>
  <c r="T60" i="42" s="1"/>
  <c r="R25" i="42"/>
  <c r="R41" i="42"/>
  <c r="AJ11" i="1"/>
  <c r="M21" i="1"/>
  <c r="M32" i="1" s="1"/>
  <c r="AJ17" i="1" s="1"/>
  <c r="J32" i="42"/>
  <c r="T33" i="42"/>
  <c r="AG12" i="1"/>
  <c r="J22" i="1"/>
  <c r="J33" i="1" s="1"/>
  <c r="AG18" i="1" s="1"/>
  <c r="T25" i="42"/>
  <c r="M32" i="42"/>
  <c r="AJ20" i="1"/>
  <c r="W41" i="42"/>
  <c r="AJ26" i="1" s="1"/>
  <c r="AJ22" i="1" s="1"/>
  <c r="O32" i="42"/>
  <c r="O25" i="42"/>
  <c r="J26" i="42"/>
  <c r="T29" i="42"/>
  <c r="T38" i="42"/>
  <c r="T59" i="42" s="1"/>
  <c r="M26" i="42"/>
  <c r="W32" i="42"/>
  <c r="O26" i="42"/>
  <c r="M22" i="1"/>
  <c r="M33" i="1" s="1"/>
  <c r="AJ18" i="1" s="1"/>
  <c r="AJ12" i="1"/>
  <c r="R26" i="42"/>
  <c r="J24" i="42"/>
  <c r="M24" i="42"/>
  <c r="M25" i="42"/>
  <c r="AG10" i="1"/>
  <c r="J20" i="1"/>
  <c r="T26" i="42"/>
  <c r="T36" i="42"/>
  <c r="T57" i="42" s="1"/>
  <c r="W10" i="42"/>
  <c r="W20" i="42"/>
  <c r="W11" i="42"/>
  <c r="W21" i="42"/>
  <c r="W16" i="42"/>
  <c r="W23" i="42"/>
  <c r="W7" i="42"/>
  <c r="W8" i="42"/>
  <c r="W18" i="42"/>
  <c r="W13" i="42"/>
  <c r="W17" i="42"/>
  <c r="W15" i="42"/>
  <c r="W12" i="42"/>
  <c r="W22" i="42"/>
  <c r="W14" i="42"/>
  <c r="W9" i="42"/>
  <c r="W19" i="42"/>
  <c r="M13" i="1"/>
  <c r="M18" i="1"/>
  <c r="M19" i="1" s="1"/>
  <c r="M28" i="1"/>
  <c r="J28" i="1"/>
  <c r="J13" i="1"/>
  <c r="J18" i="1"/>
  <c r="J19" i="1" s="1"/>
  <c r="M27" i="1"/>
  <c r="M29" i="1" s="1"/>
  <c r="M10" i="1"/>
  <c r="J11" i="1"/>
  <c r="J25" i="1"/>
  <c r="J29" i="1" s="1"/>
  <c r="AG11" i="1" l="1"/>
  <c r="J21" i="1"/>
  <c r="J32" i="1" s="1"/>
  <c r="AG17" i="1" s="1"/>
  <c r="W25" i="42"/>
  <c r="AJ10" i="1"/>
  <c r="AJ14" i="1" s="1"/>
  <c r="M14" i="1"/>
  <c r="M20" i="1"/>
  <c r="J30" i="1"/>
  <c r="T27" i="42"/>
  <c r="O27" i="42"/>
  <c r="O43" i="42" s="1"/>
  <c r="O47" i="42" s="1"/>
  <c r="J14" i="1"/>
  <c r="W24" i="42"/>
  <c r="AG13" i="1"/>
  <c r="AG14" i="1" s="1"/>
  <c r="J23" i="1"/>
  <c r="J34" i="1" s="1"/>
  <c r="W26" i="42"/>
  <c r="M27" i="42"/>
  <c r="M47" i="42" s="1"/>
  <c r="J27" i="42"/>
  <c r="J47" i="42" s="1"/>
  <c r="R27" i="42"/>
  <c r="R43" i="42" s="1"/>
  <c r="R47" i="42" s="1"/>
  <c r="AI29" i="42"/>
  <c r="AI32" i="42" s="1"/>
  <c r="T32" i="42"/>
  <c r="T52" i="42" s="1"/>
  <c r="M23" i="1"/>
  <c r="M34" i="1" s="1"/>
  <c r="AJ13" i="1"/>
  <c r="AG20" i="1"/>
  <c r="T56" i="42"/>
  <c r="T61" i="42" s="1"/>
  <c r="T53" i="42"/>
  <c r="T41" i="42"/>
  <c r="AG26" i="1" s="1"/>
  <c r="AG22" i="1" s="1"/>
  <c r="W27" i="42" l="1"/>
  <c r="W43" i="42" s="1"/>
  <c r="W47" i="42" s="1"/>
  <c r="T50" i="42"/>
  <c r="T54" i="42" s="1"/>
  <c r="T43" i="42"/>
  <c r="AG15" i="1"/>
  <c r="AG23" i="1" s="1"/>
  <c r="J31" i="1"/>
  <c r="AG16" i="1" s="1"/>
  <c r="J35" i="1"/>
  <c r="J24" i="1"/>
  <c r="M24" i="1"/>
  <c r="M30" i="1"/>
  <c r="AJ15" i="1" l="1"/>
  <c r="AJ23" i="1" s="1"/>
  <c r="M31" i="1"/>
  <c r="AJ16" i="1" s="1"/>
  <c r="M35" i="1"/>
  <c r="T44" i="42"/>
  <c r="T47" i="42"/>
  <c r="J36" i="1"/>
  <c r="AG24" i="1" s="1"/>
  <c r="J40" i="1"/>
  <c r="J39" i="1"/>
  <c r="M40" i="1" l="1"/>
  <c r="M39" i="1"/>
  <c r="M36" i="1"/>
  <c r="AJ24" i="1" s="1"/>
  <c r="M15" i="43" l="1"/>
  <c r="M13" i="43"/>
  <c r="M8" i="43"/>
  <c r="O8" i="43" l="1"/>
  <c r="O13" i="43"/>
  <c r="M14" i="43"/>
  <c r="O14" i="43" s="1"/>
  <c r="M42" i="43"/>
  <c r="M17" i="43"/>
  <c r="O17" i="43" s="1"/>
  <c r="O15" i="43"/>
  <c r="M18" i="43"/>
  <c r="O18" i="43" l="1"/>
  <c r="M10" i="43"/>
  <c r="O10" i="43" l="1"/>
  <c r="M11" i="43"/>
  <c r="O11" i="43" s="1"/>
  <c r="M12" i="43"/>
  <c r="M16" i="43"/>
  <c r="O16" i="43" s="1"/>
  <c r="G18" i="43"/>
  <c r="M19" i="43" l="1"/>
  <c r="I18" i="43"/>
  <c r="M9" i="43"/>
  <c r="O9" i="43" s="1"/>
  <c r="O12" i="43"/>
  <c r="O19" i="43" l="1"/>
  <c r="M20" i="43"/>
  <c r="O20" i="43" s="1"/>
  <c r="S19" i="43" l="1"/>
  <c r="U19" i="43" s="1"/>
  <c r="S18" i="43"/>
  <c r="S20" i="43" l="1"/>
  <c r="U20" i="43" s="1"/>
  <c r="U18" i="43"/>
  <c r="AE40" i="43"/>
  <c r="AE39" i="43"/>
  <c r="AE38" i="43"/>
  <c r="AE37" i="43"/>
  <c r="AE36" i="43"/>
  <c r="AE35" i="43"/>
  <c r="AE19" i="43"/>
  <c r="AG19" i="43" s="1"/>
  <c r="AE18" i="43"/>
  <c r="AE20" i="43" l="1"/>
  <c r="AG20" i="43" s="1"/>
  <c r="AG18" i="43"/>
  <c r="AE41" i="43"/>
  <c r="AE26" i="43"/>
  <c r="AG26" i="43" s="1"/>
  <c r="AE25" i="43"/>
  <c r="AG25" i="43" s="1"/>
  <c r="AE24" i="43"/>
  <c r="AG24" i="43" s="1"/>
  <c r="AE23" i="43"/>
  <c r="AG23" i="43" s="1"/>
  <c r="AE22" i="43"/>
  <c r="AG22" i="43" s="1"/>
  <c r="AE21" i="43"/>
  <c r="AG21" i="43" s="1"/>
  <c r="AE15" i="43"/>
  <c r="AE13" i="43"/>
  <c r="AE10" i="43"/>
  <c r="AG10" i="43" s="1"/>
  <c r="AE8" i="43"/>
  <c r="AE16" i="43" l="1"/>
  <c r="AG16" i="43" s="1"/>
  <c r="AG15" i="43"/>
  <c r="AE12" i="43"/>
  <c r="AE9" i="43"/>
  <c r="AG9" i="43" s="1"/>
  <c r="AG8" i="43"/>
  <c r="AE14" i="43"/>
  <c r="AG14" i="43" s="1"/>
  <c r="AE17" i="43"/>
  <c r="AG17" i="43" s="1"/>
  <c r="AG13" i="43"/>
  <c r="AE30" i="43"/>
  <c r="AG30" i="43" s="1"/>
  <c r="AE31" i="43"/>
  <c r="AG31" i="43" s="1"/>
  <c r="AE32" i="43"/>
  <c r="AG32" i="43" s="1"/>
  <c r="AE29" i="43"/>
  <c r="AG29" i="43" s="1"/>
  <c r="AE28" i="43"/>
  <c r="AG28" i="43" s="1"/>
  <c r="AE27" i="43"/>
  <c r="AG27" i="43" s="1"/>
  <c r="AE42" i="43"/>
  <c r="V19" i="43"/>
  <c r="AB19" i="43" l="1"/>
  <c r="AD19" i="43" s="1"/>
  <c r="X19" i="43"/>
  <c r="AE11" i="43"/>
  <c r="AG11" i="43" s="1"/>
  <c r="AG12" i="43"/>
  <c r="V18" i="43"/>
  <c r="AB18" i="43" l="1"/>
  <c r="V20" i="43"/>
  <c r="X20" i="43" s="1"/>
  <c r="X18" i="43"/>
  <c r="V40" i="43"/>
  <c r="S40" i="43"/>
  <c r="V39" i="43"/>
  <c r="S39" i="43"/>
  <c r="V38" i="43"/>
  <c r="S38" i="43"/>
  <c r="V37" i="43"/>
  <c r="S37" i="43"/>
  <c r="V36" i="43"/>
  <c r="S36" i="43"/>
  <c r="V35" i="43"/>
  <c r="S35" i="43"/>
  <c r="V26" i="43"/>
  <c r="X26" i="43" s="1"/>
  <c r="S26" i="43"/>
  <c r="V25" i="43"/>
  <c r="X25" i="43" s="1"/>
  <c r="S25" i="43"/>
  <c r="V24" i="43"/>
  <c r="X24" i="43" s="1"/>
  <c r="S24" i="43"/>
  <c r="V23" i="43"/>
  <c r="X23" i="43" s="1"/>
  <c r="S23" i="43"/>
  <c r="V22" i="43"/>
  <c r="X22" i="43" s="1"/>
  <c r="S22" i="43"/>
  <c r="V21" i="43"/>
  <c r="X21" i="43" s="1"/>
  <c r="S21" i="43"/>
  <c r="V15" i="43"/>
  <c r="S15" i="43"/>
  <c r="V13" i="43"/>
  <c r="S13" i="43"/>
  <c r="V10" i="43"/>
  <c r="X10" i="43" s="1"/>
  <c r="S10" i="43"/>
  <c r="V8" i="43"/>
  <c r="S8" i="43"/>
  <c r="J40" i="43"/>
  <c r="J39" i="43"/>
  <c r="J38" i="43"/>
  <c r="J37" i="43"/>
  <c r="J36" i="43"/>
  <c r="J35" i="43"/>
  <c r="J19" i="43"/>
  <c r="L19" i="43" s="1"/>
  <c r="J18" i="43"/>
  <c r="J15" i="43"/>
  <c r="J13" i="43"/>
  <c r="G40" i="43"/>
  <c r="G39" i="43"/>
  <c r="G38" i="43"/>
  <c r="G37" i="43"/>
  <c r="G36" i="43"/>
  <c r="G35" i="43"/>
  <c r="G19" i="43"/>
  <c r="G15" i="43"/>
  <c r="G13" i="43"/>
  <c r="AB25" i="43" l="1"/>
  <c r="AD25" i="43" s="1"/>
  <c r="U25" i="43"/>
  <c r="L38" i="43"/>
  <c r="P35" i="43"/>
  <c r="G41" i="43"/>
  <c r="I35" i="43"/>
  <c r="L39" i="43"/>
  <c r="AB26" i="43"/>
  <c r="AD26" i="43" s="1"/>
  <c r="U26" i="43"/>
  <c r="S41" i="43"/>
  <c r="S27" i="43"/>
  <c r="U35" i="43"/>
  <c r="L36" i="43"/>
  <c r="J29" i="43"/>
  <c r="L29" i="43" s="1"/>
  <c r="L37" i="43"/>
  <c r="P36" i="43"/>
  <c r="I36" i="43"/>
  <c r="L40" i="43"/>
  <c r="AB35" i="43"/>
  <c r="AD35" i="43" s="1"/>
  <c r="V41" i="43"/>
  <c r="V27" i="43"/>
  <c r="X27" i="43" s="1"/>
  <c r="X35" i="43"/>
  <c r="P38" i="43"/>
  <c r="I38" i="43"/>
  <c r="AB37" i="43"/>
  <c r="AD37" i="43" s="1"/>
  <c r="V29" i="43"/>
  <c r="X29" i="43" s="1"/>
  <c r="X37" i="43"/>
  <c r="J41" i="43"/>
  <c r="J27" i="43"/>
  <c r="L27" i="43" s="1"/>
  <c r="L35" i="43"/>
  <c r="AB13" i="43"/>
  <c r="S17" i="43"/>
  <c r="U17" i="43" s="1"/>
  <c r="S14" i="43"/>
  <c r="U14" i="43" s="1"/>
  <c r="U13" i="43"/>
  <c r="S30" i="43"/>
  <c r="U38" i="43"/>
  <c r="P37" i="43"/>
  <c r="I37" i="43"/>
  <c r="V17" i="43"/>
  <c r="X17" i="43" s="1"/>
  <c r="V14" i="43"/>
  <c r="X14" i="43" s="1"/>
  <c r="X13" i="43"/>
  <c r="AB38" i="43"/>
  <c r="AD38" i="43" s="1"/>
  <c r="V30" i="43"/>
  <c r="X30" i="43" s="1"/>
  <c r="X38" i="43"/>
  <c r="AB10" i="43"/>
  <c r="U10" i="43"/>
  <c r="AB15" i="43"/>
  <c r="S16" i="43"/>
  <c r="U16" i="43" s="1"/>
  <c r="U15" i="43"/>
  <c r="S31" i="43"/>
  <c r="U39" i="43"/>
  <c r="P39" i="43"/>
  <c r="I39" i="43"/>
  <c r="V16" i="43"/>
  <c r="X16" i="43" s="1"/>
  <c r="X15" i="43"/>
  <c r="AB39" i="43"/>
  <c r="AD39" i="43" s="1"/>
  <c r="V31" i="43"/>
  <c r="X31" i="43" s="1"/>
  <c r="X39" i="43"/>
  <c r="AB36" i="43"/>
  <c r="AD36" i="43" s="1"/>
  <c r="V28" i="43"/>
  <c r="X28" i="43" s="1"/>
  <c r="X36" i="43"/>
  <c r="AB21" i="43"/>
  <c r="AD21" i="43" s="1"/>
  <c r="U21" i="43"/>
  <c r="S32" i="43"/>
  <c r="U40" i="43"/>
  <c r="J17" i="43"/>
  <c r="L17" i="43" s="1"/>
  <c r="L13" i="43"/>
  <c r="AB40" i="43"/>
  <c r="AD40" i="43" s="1"/>
  <c r="V32" i="43"/>
  <c r="X32" i="43" s="1"/>
  <c r="X40" i="43"/>
  <c r="S28" i="43"/>
  <c r="U36" i="43"/>
  <c r="L15" i="43"/>
  <c r="AB22" i="43"/>
  <c r="AD22" i="43" s="1"/>
  <c r="U22" i="43"/>
  <c r="AB24" i="43"/>
  <c r="AD24" i="43" s="1"/>
  <c r="U24" i="43"/>
  <c r="V12" i="43"/>
  <c r="V9" i="43"/>
  <c r="X9" i="43" s="1"/>
  <c r="X8" i="43"/>
  <c r="P40" i="43"/>
  <c r="I40" i="43"/>
  <c r="P13" i="43"/>
  <c r="G17" i="43"/>
  <c r="I17" i="43" s="1"/>
  <c r="I13" i="43"/>
  <c r="P15" i="43"/>
  <c r="I15" i="43"/>
  <c r="P19" i="43"/>
  <c r="I19" i="43"/>
  <c r="G20" i="43"/>
  <c r="I20" i="43" s="1"/>
  <c r="AB8" i="43"/>
  <c r="S12" i="43"/>
  <c r="U12" i="43" s="1"/>
  <c r="U8" i="43"/>
  <c r="S29" i="43"/>
  <c r="U37" i="43"/>
  <c r="J20" i="43"/>
  <c r="L20" i="43" s="1"/>
  <c r="L18" i="43"/>
  <c r="P18" i="43"/>
  <c r="AB23" i="43"/>
  <c r="AD23" i="43" s="1"/>
  <c r="U23" i="43"/>
  <c r="AB20" i="43"/>
  <c r="AD20" i="43" s="1"/>
  <c r="AD18" i="43"/>
  <c r="J26" i="43"/>
  <c r="L26" i="43" s="1"/>
  <c r="G26" i="43"/>
  <c r="G32" i="43" s="1"/>
  <c r="I32" i="43" s="1"/>
  <c r="J25" i="43"/>
  <c r="L25" i="43" s="1"/>
  <c r="G25" i="43"/>
  <c r="J24" i="43"/>
  <c r="L24" i="43" s="1"/>
  <c r="G24" i="43"/>
  <c r="J23" i="43"/>
  <c r="L23" i="43" s="1"/>
  <c r="G23" i="43"/>
  <c r="G29" i="43" s="1"/>
  <c r="I29" i="43" s="1"/>
  <c r="J22" i="43"/>
  <c r="L22" i="43" s="1"/>
  <c r="G22" i="43"/>
  <c r="J21" i="43"/>
  <c r="L21" i="43" s="1"/>
  <c r="G21" i="43"/>
  <c r="J10" i="43"/>
  <c r="G10" i="43"/>
  <c r="J8" i="43"/>
  <c r="G8" i="43"/>
  <c r="G14" i="43" s="1"/>
  <c r="I14" i="43" s="1"/>
  <c r="J42" i="43" l="1"/>
  <c r="L41" i="43"/>
  <c r="AH36" i="43"/>
  <c r="AJ36" i="43" s="1"/>
  <c r="R36" i="43"/>
  <c r="P17" i="43"/>
  <c r="R17" i="43" s="1"/>
  <c r="AH13" i="43"/>
  <c r="R13" i="43"/>
  <c r="J28" i="43"/>
  <c r="L28" i="43" s="1"/>
  <c r="P22" i="43"/>
  <c r="I22" i="43"/>
  <c r="P20" i="43"/>
  <c r="R20" i="43" s="1"/>
  <c r="AH18" i="43"/>
  <c r="R18" i="43"/>
  <c r="AB32" i="43"/>
  <c r="AD32" i="43" s="1"/>
  <c r="U32" i="43"/>
  <c r="S11" i="43"/>
  <c r="U11" i="43" s="1"/>
  <c r="AB27" i="43"/>
  <c r="AD27" i="43" s="1"/>
  <c r="U27" i="43"/>
  <c r="AB16" i="43"/>
  <c r="AD16" i="43" s="1"/>
  <c r="AD15" i="43"/>
  <c r="L10" i="43"/>
  <c r="P24" i="43"/>
  <c r="I24" i="43"/>
  <c r="AB29" i="43"/>
  <c r="AD29" i="43" s="1"/>
  <c r="U29" i="43"/>
  <c r="V11" i="43"/>
  <c r="X11" i="43" s="1"/>
  <c r="X12" i="43"/>
  <c r="G30" i="43"/>
  <c r="I30" i="43" s="1"/>
  <c r="AB31" i="43"/>
  <c r="AD31" i="43" s="1"/>
  <c r="U31" i="43"/>
  <c r="S42" i="43"/>
  <c r="AB41" i="43"/>
  <c r="U41" i="43"/>
  <c r="AH38" i="43"/>
  <c r="AJ38" i="43" s="1"/>
  <c r="R38" i="43"/>
  <c r="J31" i="43"/>
  <c r="L31" i="43" s="1"/>
  <c r="P21" i="43"/>
  <c r="I21" i="43"/>
  <c r="P25" i="43"/>
  <c r="I25" i="43"/>
  <c r="S9" i="43"/>
  <c r="U9" i="43" s="1"/>
  <c r="P41" i="43"/>
  <c r="G42" i="43"/>
  <c r="I41" i="43"/>
  <c r="AB12" i="43"/>
  <c r="AD8" i="43"/>
  <c r="V42" i="43"/>
  <c r="X41" i="43"/>
  <c r="G27" i="43"/>
  <c r="I27" i="43" s="1"/>
  <c r="P10" i="43"/>
  <c r="G11" i="43"/>
  <c r="I11" i="43" s="1"/>
  <c r="I10" i="43"/>
  <c r="AH40" i="43"/>
  <c r="AJ40" i="43" s="1"/>
  <c r="R40" i="43"/>
  <c r="AH35" i="43"/>
  <c r="AJ35" i="43" s="1"/>
  <c r="R35" i="43"/>
  <c r="J12" i="43"/>
  <c r="L8" i="43"/>
  <c r="AB14" i="43"/>
  <c r="AD14" i="43" s="1"/>
  <c r="AB17" i="43"/>
  <c r="AD17" i="43" s="1"/>
  <c r="AD13" i="43"/>
  <c r="J16" i="43"/>
  <c r="L16" i="43" s="1"/>
  <c r="AH37" i="43"/>
  <c r="AJ37" i="43" s="1"/>
  <c r="R37" i="43"/>
  <c r="P8" i="43"/>
  <c r="G12" i="43"/>
  <c r="I12" i="43" s="1"/>
  <c r="G9" i="43"/>
  <c r="I9" i="43" s="1"/>
  <c r="I8" i="43"/>
  <c r="AB11" i="43"/>
  <c r="AD11" i="43" s="1"/>
  <c r="AD10" i="43"/>
  <c r="AH19" i="43"/>
  <c r="AJ19" i="43" s="1"/>
  <c r="R19" i="43"/>
  <c r="J32" i="43"/>
  <c r="L32" i="43" s="1"/>
  <c r="J30" i="43"/>
  <c r="L30" i="43" s="1"/>
  <c r="J14" i="43"/>
  <c r="L14" i="43" s="1"/>
  <c r="P23" i="43"/>
  <c r="I23" i="43"/>
  <c r="AB28" i="43"/>
  <c r="AD28" i="43" s="1"/>
  <c r="U28" i="43"/>
  <c r="G31" i="43"/>
  <c r="I31" i="43" s="1"/>
  <c r="AB30" i="43"/>
  <c r="AD30" i="43" s="1"/>
  <c r="U30" i="43"/>
  <c r="AH15" i="43"/>
  <c r="R15" i="43"/>
  <c r="P26" i="43"/>
  <c r="I26" i="43"/>
  <c r="G16" i="43"/>
  <c r="I16" i="43" s="1"/>
  <c r="AH39" i="43"/>
  <c r="R39" i="43"/>
  <c r="G28" i="43"/>
  <c r="I28" i="43" s="1"/>
  <c r="AH25" i="43" l="1"/>
  <c r="AJ25" i="43" s="1"/>
  <c r="R25" i="43"/>
  <c r="J9" i="43"/>
  <c r="L9" i="43" s="1"/>
  <c r="L12" i="43"/>
  <c r="P16" i="43"/>
  <c r="R16" i="43" s="1"/>
  <c r="AH10" i="43"/>
  <c r="AJ10" i="43" s="1"/>
  <c r="R10" i="43"/>
  <c r="AH22" i="43"/>
  <c r="R22" i="43"/>
  <c r="AH21" i="43"/>
  <c r="R21" i="43"/>
  <c r="AH26" i="43"/>
  <c r="R26" i="43"/>
  <c r="P14" i="43"/>
  <c r="R14" i="43" s="1"/>
  <c r="P12" i="43"/>
  <c r="R12" i="43" s="1"/>
  <c r="P9" i="43"/>
  <c r="R9" i="43" s="1"/>
  <c r="AH8" i="43"/>
  <c r="AH14" i="43" s="1"/>
  <c r="AJ14" i="43" s="1"/>
  <c r="R8" i="43"/>
  <c r="AB9" i="43"/>
  <c r="AD9" i="43" s="1"/>
  <c r="AD12" i="43"/>
  <c r="AH17" i="43"/>
  <c r="AJ17" i="43" s="1"/>
  <c r="AJ13" i="43"/>
  <c r="AB42" i="43"/>
  <c r="AD41" i="43"/>
  <c r="AH31" i="43"/>
  <c r="AJ31" i="43" s="1"/>
  <c r="AJ39" i="43"/>
  <c r="P42" i="43"/>
  <c r="AH41" i="43"/>
  <c r="R41" i="43"/>
  <c r="AH24" i="43"/>
  <c r="R24" i="43"/>
  <c r="AH20" i="43"/>
  <c r="AJ18" i="43"/>
  <c r="AH23" i="43"/>
  <c r="R23" i="43"/>
  <c r="AH16" i="43"/>
  <c r="AJ16" i="43" s="1"/>
  <c r="AJ15" i="43"/>
  <c r="J11" i="43"/>
  <c r="L11" i="43" s="1"/>
  <c r="P4" i="43"/>
  <c r="AJ20" i="43" l="1"/>
  <c r="AH30" i="43"/>
  <c r="AJ30" i="43" s="1"/>
  <c r="AJ24" i="43"/>
  <c r="AH28" i="43"/>
  <c r="AJ28" i="43" s="1"/>
  <c r="AJ22" i="43"/>
  <c r="P11" i="43"/>
  <c r="R11" i="43" s="1"/>
  <c r="AH42" i="43"/>
  <c r="AJ41" i="43"/>
  <c r="AH29" i="43"/>
  <c r="AJ29" i="43" s="1"/>
  <c r="AJ23" i="43"/>
  <c r="AH27" i="43"/>
  <c r="AJ27" i="43" s="1"/>
  <c r="AJ21" i="43"/>
  <c r="AH12" i="43"/>
  <c r="AH9" i="43"/>
  <c r="AJ9" i="43" s="1"/>
  <c r="AJ8" i="43"/>
  <c r="AH32" i="43"/>
  <c r="AJ32" i="43" s="1"/>
  <c r="AJ26" i="43"/>
  <c r="AH11" i="43" l="1"/>
  <c r="AJ11" i="43" s="1"/>
  <c r="AJ12" i="43"/>
  <c r="N36" i="29" l="1"/>
  <c r="N25" i="29" l="1"/>
  <c r="O25" i="29" s="1"/>
  <c r="N24" i="29"/>
  <c r="N16" i="29"/>
  <c r="O16" i="29" s="1"/>
  <c r="N15" i="29"/>
  <c r="N13" i="29"/>
  <c r="N12" i="29"/>
  <c r="N10" i="29"/>
  <c r="O10" i="29" s="1"/>
  <c r="K16" i="29"/>
  <c r="M16" i="29" s="1"/>
  <c r="K15" i="29"/>
  <c r="K13" i="29"/>
  <c r="K12" i="29"/>
  <c r="K10" i="29"/>
  <c r="M10" i="29" s="1"/>
  <c r="K14" i="29" l="1"/>
  <c r="K18" i="29"/>
  <c r="K11" i="29"/>
  <c r="M11" i="29" s="1"/>
  <c r="M12" i="29"/>
  <c r="K17" i="29"/>
  <c r="M17" i="29" s="1"/>
  <c r="M15" i="29"/>
  <c r="M13" i="29"/>
  <c r="K20" i="29"/>
  <c r="N18" i="29"/>
  <c r="N11" i="29"/>
  <c r="O11" i="29" s="1"/>
  <c r="O12" i="29"/>
  <c r="N14" i="29"/>
  <c r="N20" i="29"/>
  <c r="O13" i="29"/>
  <c r="N17" i="29"/>
  <c r="O17" i="29" s="1"/>
  <c r="O15" i="29"/>
  <c r="N26" i="29"/>
  <c r="O26" i="29" s="1"/>
  <c r="O24" i="29"/>
  <c r="K25" i="29"/>
  <c r="M25" i="29" s="1"/>
  <c r="K24" i="29"/>
  <c r="K26" i="29" l="1"/>
  <c r="M26" i="29" s="1"/>
  <c r="M24" i="29"/>
  <c r="K19" i="29"/>
  <c r="M19" i="29" s="1"/>
  <c r="M18" i="29"/>
  <c r="N21" i="29"/>
  <c r="O21" i="29" s="1"/>
  <c r="O20" i="29"/>
  <c r="N22" i="29"/>
  <c r="O14" i="29"/>
  <c r="N19" i="29"/>
  <c r="O19" i="29" s="1"/>
  <c r="O18" i="29"/>
  <c r="K21" i="29"/>
  <c r="M21" i="29" s="1"/>
  <c r="M20" i="29"/>
  <c r="M14" i="29"/>
  <c r="K22" i="29"/>
  <c r="K36" i="29"/>
  <c r="K27" i="29" l="1"/>
  <c r="K23" i="29"/>
  <c r="M23" i="29" s="1"/>
  <c r="M22" i="29"/>
  <c r="N23" i="29"/>
  <c r="O23" i="29" s="1"/>
  <c r="N27" i="29"/>
  <c r="O22" i="29"/>
  <c r="N28" i="29" l="1"/>
  <c r="O28" i="29" s="1"/>
  <c r="N38" i="29"/>
  <c r="O27" i="29"/>
  <c r="N37" i="29"/>
  <c r="K28" i="29"/>
  <c r="M28" i="29" s="1"/>
  <c r="K38" i="29"/>
  <c r="K37" i="29"/>
  <c r="M27" i="29"/>
  <c r="S4" i="43" l="1"/>
  <c r="V4" i="43" l="1"/>
  <c r="AB4" i="43" l="1"/>
  <c r="AE4" i="43" l="1"/>
  <c r="AH4" i="43" l="1"/>
  <c r="AL12" i="43" l="1"/>
  <c r="AL13" i="43" s="1"/>
  <c r="AL17" i="43" l="1"/>
  <c r="AL18" i="43" s="1"/>
  <c r="AL20" i="43" l="1"/>
  <c r="AL21" i="43" l="1"/>
  <c r="AL22" i="43"/>
  <c r="K8" i="1" l="1"/>
  <c r="N8" i="1" l="1"/>
  <c r="AH8" i="1"/>
  <c r="L8" i="1"/>
  <c r="K28" i="42"/>
  <c r="AK8" i="1" l="1"/>
  <c r="AI8" i="1"/>
  <c r="G28" i="42"/>
  <c r="N28" i="42"/>
  <c r="L28" i="42"/>
  <c r="P17" i="42" l="1"/>
  <c r="K17" i="42"/>
  <c r="K19" i="42"/>
  <c r="K14" i="42"/>
  <c r="K18" i="42"/>
  <c r="K11" i="42"/>
  <c r="K21" i="42"/>
  <c r="K31" i="42"/>
  <c r="K15" i="42"/>
  <c r="K30" i="42"/>
  <c r="K20" i="42"/>
  <c r="K8" i="42"/>
  <c r="K13" i="42"/>
  <c r="K10" i="42"/>
  <c r="K23" i="42"/>
  <c r="K9" i="42"/>
  <c r="K12" i="42"/>
  <c r="L18" i="42" l="1"/>
  <c r="G18" i="42"/>
  <c r="N18" i="42"/>
  <c r="G14" i="42"/>
  <c r="N14" i="42"/>
  <c r="L14" i="42"/>
  <c r="L20" i="42"/>
  <c r="G20" i="42"/>
  <c r="N20" i="42"/>
  <c r="L19" i="42"/>
  <c r="N19" i="42"/>
  <c r="G19" i="42"/>
  <c r="L21" i="42"/>
  <c r="N21" i="42"/>
  <c r="G21" i="42"/>
  <c r="L17" i="42"/>
  <c r="N17" i="42"/>
  <c r="G17" i="42"/>
  <c r="L11" i="42"/>
  <c r="N11" i="42"/>
  <c r="G11" i="42"/>
  <c r="G9" i="42"/>
  <c r="N9" i="42"/>
  <c r="L9" i="42"/>
  <c r="N23" i="42"/>
  <c r="L23" i="42"/>
  <c r="G23" i="42"/>
  <c r="N13" i="42"/>
  <c r="L13" i="42"/>
  <c r="G13" i="42"/>
  <c r="N31" i="42"/>
  <c r="L31" i="42"/>
  <c r="N8" i="42"/>
  <c r="G8" i="42"/>
  <c r="L8" i="42"/>
  <c r="N12" i="42"/>
  <c r="G12" i="42"/>
  <c r="L12" i="42"/>
  <c r="L30" i="42"/>
  <c r="N30" i="42"/>
  <c r="N15" i="42"/>
  <c r="G15" i="42"/>
  <c r="L15" i="42"/>
  <c r="L10" i="42"/>
  <c r="G10" i="42"/>
  <c r="N10" i="42"/>
  <c r="Q17" i="42"/>
  <c r="S17" i="42"/>
  <c r="P23" i="42"/>
  <c r="P13" i="42"/>
  <c r="P30" i="42"/>
  <c r="P22" i="42"/>
  <c r="P20" i="42"/>
  <c r="K16" i="1"/>
  <c r="P31" i="42"/>
  <c r="P15" i="42"/>
  <c r="P8" i="42"/>
  <c r="P29" i="42"/>
  <c r="P21" i="42"/>
  <c r="P14" i="42"/>
  <c r="P16" i="42"/>
  <c r="P12" i="42"/>
  <c r="P10" i="42"/>
  <c r="P9" i="42"/>
  <c r="P19" i="42"/>
  <c r="P18" i="42"/>
  <c r="P11" i="42"/>
  <c r="P7" i="42"/>
  <c r="K7" i="42"/>
  <c r="K29" i="42"/>
  <c r="K22" i="42"/>
  <c r="K26" i="42" s="1"/>
  <c r="L26" i="42" l="1"/>
  <c r="N26" i="42"/>
  <c r="G26" i="42"/>
  <c r="N7" i="42"/>
  <c r="K24" i="42"/>
  <c r="L7" i="42"/>
  <c r="G7" i="42"/>
  <c r="Q9" i="42"/>
  <c r="S9" i="42"/>
  <c r="Q7" i="42"/>
  <c r="S7" i="42"/>
  <c r="P24" i="42"/>
  <c r="S15" i="42"/>
  <c r="Q15" i="42"/>
  <c r="S23" i="42"/>
  <c r="Q23" i="42"/>
  <c r="Q31" i="42"/>
  <c r="S31" i="42"/>
  <c r="N29" i="42"/>
  <c r="K32" i="42"/>
  <c r="L29" i="42"/>
  <c r="Q8" i="42"/>
  <c r="S8" i="42"/>
  <c r="Q11" i="42"/>
  <c r="S11" i="42"/>
  <c r="P25" i="42"/>
  <c r="Q16" i="42"/>
  <c r="S16" i="42"/>
  <c r="K16" i="42"/>
  <c r="Q10" i="42"/>
  <c r="S10" i="42"/>
  <c r="Q14" i="42"/>
  <c r="S14" i="42"/>
  <c r="N16" i="1"/>
  <c r="L16" i="1"/>
  <c r="L22" i="42"/>
  <c r="G22" i="42"/>
  <c r="N22" i="42"/>
  <c r="Q12" i="42"/>
  <c r="S12" i="42"/>
  <c r="S21" i="42"/>
  <c r="Q21" i="42"/>
  <c r="S20" i="42"/>
  <c r="Q20" i="42"/>
  <c r="Q19" i="42"/>
  <c r="P26" i="42"/>
  <c r="S19" i="42"/>
  <c r="S22" i="42"/>
  <c r="Q22" i="42"/>
  <c r="S30" i="42"/>
  <c r="Q30" i="42"/>
  <c r="S13" i="42"/>
  <c r="Q13" i="42"/>
  <c r="S18" i="42"/>
  <c r="Q18" i="42"/>
  <c r="S29" i="42"/>
  <c r="Q29" i="42"/>
  <c r="P32" i="42"/>
  <c r="K15" i="1"/>
  <c r="K11" i="1"/>
  <c r="U17" i="42"/>
  <c r="U31" i="42"/>
  <c r="K12" i="1"/>
  <c r="P33" i="42"/>
  <c r="K17" i="1"/>
  <c r="U14" i="42"/>
  <c r="P34" i="42"/>
  <c r="K10" i="1"/>
  <c r="K9" i="1"/>
  <c r="K7" i="1"/>
  <c r="S32" i="42" l="1"/>
  <c r="Q32" i="42"/>
  <c r="V17" i="42"/>
  <c r="F17" i="42"/>
  <c r="X17" i="42"/>
  <c r="AH7" i="1"/>
  <c r="B7" i="1"/>
  <c r="L7" i="1"/>
  <c r="N7" i="1"/>
  <c r="N12" i="1"/>
  <c r="AH12" i="1"/>
  <c r="L12" i="1"/>
  <c r="K22" i="1"/>
  <c r="AH9" i="1"/>
  <c r="L9" i="1"/>
  <c r="N9" i="1"/>
  <c r="S24" i="42"/>
  <c r="P27" i="42"/>
  <c r="Q24" i="42"/>
  <c r="G16" i="42"/>
  <c r="N16" i="42"/>
  <c r="L16" i="42"/>
  <c r="K25" i="42"/>
  <c r="P28" i="42"/>
  <c r="K20" i="1"/>
  <c r="AH10" i="1"/>
  <c r="N10" i="1"/>
  <c r="L10" i="1"/>
  <c r="Q26" i="42"/>
  <c r="S26" i="42"/>
  <c r="S33" i="42"/>
  <c r="Q33" i="42"/>
  <c r="Q25" i="42"/>
  <c r="S25" i="42"/>
  <c r="G32" i="42"/>
  <c r="L32" i="42"/>
  <c r="N32" i="42"/>
  <c r="N15" i="1"/>
  <c r="L15" i="1"/>
  <c r="L24" i="42"/>
  <c r="N24" i="42"/>
  <c r="G24" i="42"/>
  <c r="K27" i="42"/>
  <c r="S34" i="42"/>
  <c r="Q34" i="42"/>
  <c r="L17" i="1"/>
  <c r="N17" i="1"/>
  <c r="V14" i="42"/>
  <c r="F14" i="42"/>
  <c r="X14" i="42"/>
  <c r="X31" i="42"/>
  <c r="AJ31" i="42"/>
  <c r="V31" i="42"/>
  <c r="AK31" i="42" s="1"/>
  <c r="AH11" i="1"/>
  <c r="N11" i="1"/>
  <c r="L11" i="1"/>
  <c r="K21" i="1"/>
  <c r="U7" i="42"/>
  <c r="U19" i="42"/>
  <c r="U8" i="42"/>
  <c r="U18" i="42"/>
  <c r="U37" i="42"/>
  <c r="U23" i="42"/>
  <c r="U22" i="42"/>
  <c r="U13" i="42"/>
  <c r="K26" i="1"/>
  <c r="U15" i="42"/>
  <c r="U11" i="42"/>
  <c r="U16" i="42"/>
  <c r="U20" i="42"/>
  <c r="U21" i="42"/>
  <c r="U12" i="42"/>
  <c r="U9" i="42"/>
  <c r="U10" i="42"/>
  <c r="U36" i="42"/>
  <c r="K46" i="42"/>
  <c r="K47" i="42" s="1"/>
  <c r="AM12" i="43" l="1"/>
  <c r="AM13" i="43" s="1"/>
  <c r="V20" i="42"/>
  <c r="F20" i="42"/>
  <c r="X20" i="42"/>
  <c r="AK9" i="1"/>
  <c r="AI9" i="1"/>
  <c r="AI12" i="1"/>
  <c r="AK12" i="1"/>
  <c r="X15" i="42"/>
  <c r="F15" i="42"/>
  <c r="V15" i="42"/>
  <c r="F22" i="42"/>
  <c r="V22" i="42"/>
  <c r="X22" i="42"/>
  <c r="F8" i="42"/>
  <c r="V8" i="42"/>
  <c r="X8" i="42"/>
  <c r="N26" i="1"/>
  <c r="L26" i="1"/>
  <c r="X19" i="42"/>
  <c r="F19" i="42"/>
  <c r="U26" i="42"/>
  <c r="V19" i="42"/>
  <c r="L22" i="1"/>
  <c r="N22" i="1"/>
  <c r="X11" i="42"/>
  <c r="F11" i="42"/>
  <c r="U25" i="42"/>
  <c r="V11" i="42"/>
  <c r="AK10" i="1"/>
  <c r="AI10" i="1"/>
  <c r="Q27" i="42"/>
  <c r="S27" i="42"/>
  <c r="AH21" i="1"/>
  <c r="U58" i="42"/>
  <c r="V58" i="42" s="1"/>
  <c r="X37" i="42"/>
  <c r="V37" i="42"/>
  <c r="L27" i="42"/>
  <c r="N27" i="42"/>
  <c r="G27" i="42"/>
  <c r="N20" i="1"/>
  <c r="L20" i="1"/>
  <c r="AI7" i="1"/>
  <c r="AK7" i="1"/>
  <c r="Q28" i="42"/>
  <c r="S28" i="42"/>
  <c r="G29" i="42"/>
  <c r="X13" i="42"/>
  <c r="V13" i="42"/>
  <c r="F13" i="42"/>
  <c r="F18" i="42"/>
  <c r="X18" i="42"/>
  <c r="V18" i="42"/>
  <c r="F7" i="42"/>
  <c r="V7" i="42"/>
  <c r="U24" i="42"/>
  <c r="X7" i="42"/>
  <c r="F21" i="42"/>
  <c r="X21" i="42"/>
  <c r="V21" i="42"/>
  <c r="X10" i="42"/>
  <c r="V10" i="42"/>
  <c r="F10" i="42"/>
  <c r="X9" i="42"/>
  <c r="V9" i="42"/>
  <c r="F9" i="42"/>
  <c r="F12" i="42"/>
  <c r="X12" i="42"/>
  <c r="V12" i="42"/>
  <c r="N25" i="42"/>
  <c r="L25" i="42"/>
  <c r="G25" i="42"/>
  <c r="AI11" i="1"/>
  <c r="AK11" i="1"/>
  <c r="X23" i="42"/>
  <c r="V23" i="42"/>
  <c r="F23" i="42"/>
  <c r="X16" i="42"/>
  <c r="V16" i="42"/>
  <c r="F16" i="42"/>
  <c r="U57" i="42"/>
  <c r="V57" i="42" s="1"/>
  <c r="X36" i="42"/>
  <c r="V36" i="42"/>
  <c r="AM17" i="43"/>
  <c r="AM18" i="43" s="1"/>
  <c r="N21" i="1"/>
  <c r="L21" i="1"/>
  <c r="K32" i="1"/>
  <c r="K18" i="1"/>
  <c r="U33" i="42"/>
  <c r="K25" i="1"/>
  <c r="K30" i="1" s="1"/>
  <c r="U28" i="42"/>
  <c r="L30" i="1" l="1"/>
  <c r="N30" i="1"/>
  <c r="AH15" i="1"/>
  <c r="K31" i="1"/>
  <c r="L32" i="1"/>
  <c r="N32" i="1"/>
  <c r="AH17" i="1"/>
  <c r="V25" i="42"/>
  <c r="F25" i="42"/>
  <c r="X25" i="42"/>
  <c r="X28" i="42"/>
  <c r="U51" i="42"/>
  <c r="V51" i="42" s="1"/>
  <c r="V28" i="42"/>
  <c r="F26" i="42"/>
  <c r="X26" i="42"/>
  <c r="V26" i="42"/>
  <c r="L25" i="1"/>
  <c r="N25" i="1"/>
  <c r="X33" i="42"/>
  <c r="V33" i="42"/>
  <c r="U27" i="42"/>
  <c r="V24" i="42"/>
  <c r="F24" i="42"/>
  <c r="X24" i="42"/>
  <c r="AI21" i="1"/>
  <c r="AK21" i="1"/>
  <c r="K19" i="1"/>
  <c r="L18" i="1"/>
  <c r="N18" i="1"/>
  <c r="P46" i="42"/>
  <c r="K13" i="1"/>
  <c r="P39" i="42"/>
  <c r="L19" i="1" l="1"/>
  <c r="N19" i="1"/>
  <c r="AI17" i="1"/>
  <c r="AK17" i="1"/>
  <c r="V27" i="42"/>
  <c r="F27" i="42"/>
  <c r="X27" i="42"/>
  <c r="AH16" i="1"/>
  <c r="L31" i="1"/>
  <c r="N31" i="1"/>
  <c r="AH13" i="1"/>
  <c r="L13" i="1"/>
  <c r="N13" i="1"/>
  <c r="K23" i="1"/>
  <c r="K14" i="1"/>
  <c r="AI15" i="1"/>
  <c r="AK15" i="1"/>
  <c r="Q39" i="42"/>
  <c r="S39" i="42"/>
  <c r="P41" i="42"/>
  <c r="U34" i="42"/>
  <c r="N14" i="1" l="1"/>
  <c r="B14" i="1"/>
  <c r="L14" i="1"/>
  <c r="AK16" i="1"/>
  <c r="AI16" i="1"/>
  <c r="AI13" i="1"/>
  <c r="AK13" i="1"/>
  <c r="AH14" i="1"/>
  <c r="L23" i="1"/>
  <c r="N23" i="1"/>
  <c r="K24" i="1"/>
  <c r="AH20" i="1"/>
  <c r="V34" i="42"/>
  <c r="X34" i="42"/>
  <c r="U56" i="42"/>
  <c r="U53" i="42"/>
  <c r="V53" i="42" s="1"/>
  <c r="Q41" i="42"/>
  <c r="S41" i="42"/>
  <c r="P43" i="42"/>
  <c r="V56" i="42" l="1"/>
  <c r="N24" i="1"/>
  <c r="L24" i="1"/>
  <c r="AK14" i="1"/>
  <c r="AI14" i="1"/>
  <c r="AK20" i="1"/>
  <c r="AI20" i="1"/>
  <c r="Q43" i="42"/>
  <c r="S43" i="42"/>
  <c r="G43" i="42"/>
  <c r="P44" i="42"/>
  <c r="P47" i="42"/>
  <c r="U30" i="42" l="1"/>
  <c r="U35" i="42"/>
  <c r="U29" i="42"/>
  <c r="K27" i="1"/>
  <c r="N27" i="1" l="1"/>
  <c r="L27" i="1"/>
  <c r="K33" i="1"/>
  <c r="AH19" i="1"/>
  <c r="X35" i="42"/>
  <c r="V35" i="42"/>
  <c r="U50" i="42"/>
  <c r="V50" i="42" s="1"/>
  <c r="U32" i="42"/>
  <c r="AJ29" i="42"/>
  <c r="X29" i="42"/>
  <c r="V29" i="42"/>
  <c r="AK29" i="42" s="1"/>
  <c r="X30" i="42"/>
  <c r="V30" i="42"/>
  <c r="AK30" i="42" s="1"/>
  <c r="AJ30" i="42"/>
  <c r="K28" i="1"/>
  <c r="U38" i="42"/>
  <c r="K29" i="1" l="1"/>
  <c r="N28" i="1"/>
  <c r="L28" i="1"/>
  <c r="K34" i="1"/>
  <c r="X32" i="42"/>
  <c r="U52" i="42"/>
  <c r="V52" i="42" s="1"/>
  <c r="V32" i="42"/>
  <c r="AK32" i="42"/>
  <c r="AI19" i="1"/>
  <c r="AK19" i="1"/>
  <c r="AH18" i="1"/>
  <c r="N33" i="1"/>
  <c r="L33" i="1"/>
  <c r="AJ32" i="42"/>
  <c r="X38" i="42"/>
  <c r="V38" i="42"/>
  <c r="U59" i="42"/>
  <c r="AM20" i="43"/>
  <c r="K38" i="1"/>
  <c r="AK18" i="1" l="1"/>
  <c r="AI18" i="1"/>
  <c r="V59" i="42"/>
  <c r="K35" i="1"/>
  <c r="L34" i="1"/>
  <c r="N34" i="1"/>
  <c r="AM22" i="43"/>
  <c r="AM21" i="43"/>
  <c r="N29" i="1"/>
  <c r="L29" i="1"/>
  <c r="U46" i="42"/>
  <c r="U39" i="42"/>
  <c r="U60" i="42" l="1"/>
  <c r="V39" i="42"/>
  <c r="X39" i="42"/>
  <c r="U41" i="42"/>
  <c r="L35" i="1"/>
  <c r="N35" i="1"/>
  <c r="K36" i="1"/>
  <c r="K40" i="1"/>
  <c r="K39" i="1"/>
  <c r="U54" i="42"/>
  <c r="V54" i="42" s="1"/>
  <c r="AH24" i="1" l="1"/>
  <c r="L36" i="1"/>
  <c r="AI24" i="1" s="1"/>
  <c r="N36" i="1"/>
  <c r="AK24" i="1" s="1"/>
  <c r="AH26" i="1"/>
  <c r="AH22" i="1" s="1"/>
  <c r="V41" i="42"/>
  <c r="X41" i="42"/>
  <c r="U43" i="42"/>
  <c r="V60" i="42"/>
  <c r="V61" i="42" s="1"/>
  <c r="U61" i="42"/>
  <c r="U44" i="42" l="1"/>
  <c r="V43" i="42"/>
  <c r="X43" i="42"/>
  <c r="G44" i="42"/>
  <c r="U47" i="42"/>
  <c r="AK22" i="1"/>
  <c r="AI22" i="1"/>
  <c r="AH23" i="1"/>
  <c r="AI23" i="1" l="1"/>
  <c r="AK23" i="1"/>
</calcChain>
</file>

<file path=xl/sharedStrings.xml><?xml version="1.0" encoding="utf-8"?>
<sst xmlns="http://schemas.openxmlformats.org/spreadsheetml/2006/main" count="782" uniqueCount="249">
  <si>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</si>
  <si>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</si>
  <si>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</si>
  <si>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</si>
  <si>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</si>
  <si>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</si>
  <si>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</si>
  <si>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</si>
  <si>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</si>
  <si>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</si>
  <si>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</si>
  <si>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</si>
  <si>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</si>
  <si>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</si>
  <si>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</si>
  <si>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</si>
  <si>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</si>
  <si>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</si>
  <si>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</si>
  <si>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</si>
  <si>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</si>
  <si>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</si>
  <si>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</si>
  <si>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</si>
  <si>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</si>
  <si>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</si>
  <si>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</si>
  <si>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</si>
  <si>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</si>
  <si>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</si>
  <si>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</si>
  <si>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</si>
  <si>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</si>
  <si>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</si>
  <si>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</si>
  <si>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</si>
  <si>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</si>
  <si>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</si>
  <si>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</si>
  <si>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</si>
  <si>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</si>
  <si>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</si>
  <si>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</si>
  <si>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</si>
  <si>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</si>
  <si>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</si>
  <si>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</si>
  <si>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</si>
  <si>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</si>
  <si>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</si>
  <si>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</si>
  <si>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</si>
  <si>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</si>
  <si>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</si>
  <si>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</si>
  <si>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</si>
  <si>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</si>
  <si>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</si>
  <si>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</si>
  <si>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</si>
  <si>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</si>
  <si>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</si>
  <si>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</si>
  <si>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</si>
  <si>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</si>
  <si>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</si>
  <si>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</si>
  <si>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</si>
  <si>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</si>
  <si>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</si>
  <si>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</si>
  <si>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</si>
  <si>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</si>
  <si>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</si>
  <si>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</si>
  <si>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</si>
  <si>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</si>
  <si>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</si>
  <si>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</si>
  <si>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</si>
  <si>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</si>
  <si>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</si>
  <si>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</si>
  <si>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</si>
  <si>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</si>
  <si>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</si>
  <si>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</si>
  <si>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</si>
  <si>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</si>
  <si>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</si>
  <si>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</si>
  <si>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</si>
  <si>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</si>
  <si>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</si>
  <si>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</si>
  <si>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</si>
  <si>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</si>
  <si>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</si>
  <si>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</si>
  <si>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</si>
  <si>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</si>
  <si>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</si>
  <si>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</si>
  <si>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</si>
  <si>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</si>
  <si>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</si>
  <si>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</si>
  <si>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</si>
  <si>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</si>
  <si>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</si>
  <si>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</si>
  <si>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</si>
  <si>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</si>
  <si>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</si>
  <si>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</si>
  <si>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</si>
  <si>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</si>
  <si>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</si>
  <si>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</si>
  <si>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</si>
  <si>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</si>
  <si>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</si>
  <si>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</si>
  <si>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</si>
  <si>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</si>
  <si>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</si>
  <si>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</si>
  <si>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</si>
  <si>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</si>
  <si>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</si>
  <si>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</si>
  <si>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</si>
  <si>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</si>
  <si>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</si>
  <si>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</si>
  <si>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</si>
  <si>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</si>
  <si>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</si>
  <si>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</si>
  <si>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</si>
  <si>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</si>
  <si>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</si>
  <si>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</si>
  <si>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</si>
  <si>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</si>
  <si>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</si>
  <si>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</si>
  <si>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</si>
  <si>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</si>
  <si>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</si>
  <si>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</si>
  <si>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</si>
  <si>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</si>
  <si>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</si>
  <si>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</si>
  <si>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</si>
  <si>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</si>
  <si>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</si>
  <si>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</si>
  <si>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</si>
  <si>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</si>
  <si>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</si>
  <si>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</si>
  <si>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</si>
  <si>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</si>
  <si>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</si>
  <si>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</si>
  <si>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</si>
  <si>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</si>
  <si>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</si>
  <si>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</si>
  <si>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</si>
  <si>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</si>
  <si>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</si>
  <si>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</si>
  <si>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</si>
  <si>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</si>
  <si>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</si>
  <si>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</si>
  <si>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</si>
  <si>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</si>
  <si>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</si>
  <si>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</si>
  <si>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</si>
  <si>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</si>
  <si>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</si>
  <si>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</si>
  <si>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</si>
  <si>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</si>
  <si>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</si>
  <si>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</si>
  <si>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</si>
  <si>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</si>
  <si>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</si>
  <si>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</si>
  <si>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</si>
  <si>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</si>
  <si>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</si>
  <si>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</si>
  <si>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</si>
  <si>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</si>
  <si>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</si>
  <si>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</si>
  <si>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</si>
  <si>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</si>
  <si>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</si>
  <si>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</si>
  <si>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</si>
  <si>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</si>
  <si>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</si>
  <si>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</si>
  <si>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</si>
  <si>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</si>
  <si>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</si>
  <si>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</si>
  <si>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</si>
  <si>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임대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</si>
  <si>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</si>
  <si>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</si>
  <si>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</si>
  <si>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 xml:space="preserve">  - 집합대손 : 2.1억</t>
    <phoneticPr fontId="1" type="noConversion"/>
  </si>
  <si>
    <t xml:space="preserve">  - 개별 대손환입 : -3.7억(신일 0.6억, 태영건설 -3.1억)</t>
    <phoneticPr fontId="1" type="noConversion"/>
  </si>
  <si>
    <t xml:space="preserve">  - 개별 대손 : 11.7억(송학 0.9억, 계원토건 1.2억, 남양건설 1.7억, 선원건설 7.9억)</t>
    <phoneticPr fontId="1" type="noConversion"/>
  </si>
  <si>
    <t xml:space="preserve">  □ 상반기 총 대손 : 9.8억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</si>
  <si>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</si>
  <si>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</si>
  <si>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</si>
  <si>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</si>
  <si>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</si>
  <si>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</si>
  <si>
    <t>2024년 7월 마감 손익</t>
    <phoneticPr fontId="1" type="noConversion"/>
  </si>
  <si>
    <t>□ 건재사업본부 손익실적(2024-07)</t>
    <phoneticPr fontId="1" type="noConversion"/>
  </si>
  <si>
    <t>7월</t>
  </si>
  <si>
    <t>7월</t>
    <phoneticPr fontId="1" type="noConversion"/>
  </si>
  <si>
    <t>7월 누계</t>
    <phoneticPr fontId="1" type="noConversion"/>
  </si>
  <si>
    <t>7월 주요지표</t>
    <phoneticPr fontId="1" type="noConversion"/>
  </si>
  <si>
    <t>□ 사업장별 손익실적(2024-07)</t>
  </si>
  <si>
    <t>□ 사업장별 손익실적(2024-07누계)</t>
  </si>
  <si>
    <t>□ 레미콘 영업이익 차이분석(2024-07)</t>
  </si>
  <si>
    <t>□ 레미콘 단위당 공헌이익(2024-07)</t>
  </si>
  <si>
    <t>□ 2024년 레미콘 원재료단가(2024-07)</t>
  </si>
  <si>
    <t>□ 레미콘 원재료 원단위(2024-07)</t>
  </si>
  <si>
    <t>□ 건자재 손익실적(2024-07)</t>
  </si>
  <si>
    <t>7월누계</t>
  </si>
  <si>
    <t>□ 2024년 골재사업소 손익(2024-07)</t>
  </si>
  <si>
    <t>□ 2024년 골재사업소 손익(2024-07누계)</t>
  </si>
  <si>
    <t>서해사1</t>
    <phoneticPr fontId="1" type="noConversion"/>
  </si>
  <si>
    <t>□ 건재부문 실적(7월)</t>
    <phoneticPr fontId="1" type="noConversion"/>
  </si>
  <si>
    <t>공통비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</si>
</sst>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  <numFmt numFmtId="183" formatCode="_-* #,##0.0_-;\-* #,##0.0_-;_-* &quot;-&quot;_-;_-@_-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49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83" fontId="6" fillId="0" borderId="0" xfId="1" applyNumberFormat="1" applyFont="1">
      <alignment vertical="center"/>
    </xf>
    <xf numFmtId="183" fontId="2" fillId="0" borderId="0" xfId="1" applyNumberFormat="1" applyFont="1">
      <alignment vertical="center"/>
    </xf>
    <xf numFmtId="183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14" fontId="0" fillId="0" borderId="0" xfId="0" applyNumberFormat="1" applyFont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건자재!$Y$37:$AK$37</c:f>
              <c:strCache>
                <c:ptCount val="13"/>
                <c:pt idx="0">
                  <c:v>7월</c:v>
                </c:pt>
                <c:pt idx="1">
                  <c:v>8월</c:v>
                </c:pt>
                <c:pt idx="2">
                  <c:v>9월</c:v>
                </c:pt>
                <c:pt idx="3">
                  <c:v>10월</c:v>
                </c:pt>
                <c:pt idx="4">
                  <c:v>11월</c:v>
                </c:pt>
                <c:pt idx="5">
                  <c:v>12월</c:v>
                </c:pt>
                <c:pt idx="6">
                  <c:v>1월</c:v>
                </c:pt>
                <c:pt idx="7">
                  <c:v>2월</c:v>
                </c:pt>
                <c:pt idx="8">
                  <c:v>3월</c:v>
                </c:pt>
                <c:pt idx="9">
                  <c:v>4월</c:v>
                </c:pt>
                <c:pt idx="10">
                  <c:v>5월</c:v>
                </c:pt>
                <c:pt idx="11">
                  <c:v>6월</c:v>
                </c:pt>
                <c:pt idx="12">
                  <c:v>7월</c:v>
                </c:pt>
              </c:strCache>
            </c:strRef>
          </c:cat>
          <c:val>
            <c:numRef>
              <c:f>건자재!$Y$38:$AK$38</c:f>
              <c:numCache>
                <c:formatCode>#,##0_);[Red]\(#,##0\)</c:formatCode>
                <c:ptCount val="13"/>
                <c:pt idx="0">
                  <c:v>1025254.3120930659</c:v>
                </c:pt>
                <c:pt idx="1">
                  <c:v>957693.63511625899</c:v>
                </c:pt>
                <c:pt idx="2">
                  <c:v>1007624.1816933632</c:v>
                </c:pt>
                <c:pt idx="3">
                  <c:v>964243.14311560732</c:v>
                </c:pt>
                <c:pt idx="4">
                  <c:v>985246.58044154115</c:v>
                </c:pt>
                <c:pt idx="5">
                  <c:v>951341.4287927025</c:v>
                </c:pt>
                <c:pt idx="6">
                  <c:v>920730.85338998202</c:v>
                </c:pt>
                <c:pt idx="7">
                  <c:v>886130.8859870329</c:v>
                </c:pt>
                <c:pt idx="8">
                  <c:v>873530.5235919673</c:v>
                </c:pt>
                <c:pt idx="9">
                  <c:v>853042.90795678552</c:v>
                </c:pt>
                <c:pt idx="10">
                  <c:v>811389.30758305453</c:v>
                </c:pt>
                <c:pt idx="11">
                  <c:v>785072.67759542307</c:v>
                </c:pt>
                <c:pt idx="12">
                  <c:v>751049.2097042331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건자재!$Y$37:$AK$37</c:f>
              <c:strCache>
                <c:ptCount val="13"/>
                <c:pt idx="0">
                  <c:v>7월</c:v>
                </c:pt>
                <c:pt idx="1">
                  <c:v>8월</c:v>
                </c:pt>
                <c:pt idx="2">
                  <c:v>9월</c:v>
                </c:pt>
                <c:pt idx="3">
                  <c:v>10월</c:v>
                </c:pt>
                <c:pt idx="4">
                  <c:v>11월</c:v>
                </c:pt>
                <c:pt idx="5">
                  <c:v>12월</c:v>
                </c:pt>
                <c:pt idx="6">
                  <c:v>1월</c:v>
                </c:pt>
                <c:pt idx="7">
                  <c:v>2월</c:v>
                </c:pt>
                <c:pt idx="8">
                  <c:v>3월</c:v>
                </c:pt>
                <c:pt idx="9">
                  <c:v>4월</c:v>
                </c:pt>
                <c:pt idx="10">
                  <c:v>5월</c:v>
                </c:pt>
                <c:pt idx="11">
                  <c:v>6월</c:v>
                </c:pt>
                <c:pt idx="12">
                  <c:v>7월</c:v>
                </c:pt>
              </c:strCache>
            </c:strRef>
          </c:cat>
          <c:val>
            <c:numRef>
              <c:f>건자재!$Y$39:$AK$39</c:f>
              <c:numCache>
                <c:formatCode>0.0%</c:formatCode>
                <c:ptCount val="13"/>
                <c:pt idx="0">
                  <c:v>2.4066421287530761E-2</c:v>
                </c:pt>
                <c:pt idx="1">
                  <c:v>2.751551238666371E-2</c:v>
                </c:pt>
                <c:pt idx="2">
                  <c:v>1.6738202604907604E-2</c:v>
                </c:pt>
                <c:pt idx="3">
                  <c:v>1.8118540365804674E-2</c:v>
                </c:pt>
                <c:pt idx="4">
                  <c:v>1.7419708473984639E-2</c:v>
                </c:pt>
                <c:pt idx="5">
                  <c:v>2.0746012557623313E-2</c:v>
                </c:pt>
                <c:pt idx="6">
                  <c:v>2.6651369945751794E-2</c:v>
                </c:pt>
                <c:pt idx="7">
                  <c:v>2.5582238806566245E-2</c:v>
                </c:pt>
                <c:pt idx="8">
                  <c:v>1.8641220384622476E-2</c:v>
                </c:pt>
                <c:pt idx="9">
                  <c:v>1.847120545626342E-2</c:v>
                </c:pt>
                <c:pt idx="10">
                  <c:v>2.607951153265552E-2</c:v>
                </c:pt>
                <c:pt idx="11">
                  <c:v>3.568968550509475E-2</c:v>
                </c:pt>
                <c:pt idx="12">
                  <c:v>1.0750284938609023E-2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6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1_&#47112;&#48120;&#53080;/&#47112;&#48120;&#53080;&#50896;&#44032;&#49552;&#51061;(2024-07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1_&#47112;&#48120;&#53080;/&#47112;&#48120;&#53080;&#50896;&#44032;&#49552;&#51061;(2024-07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3_&#44264;&#51116;/&#44264;&#51116;&#50896;&#44032;&#49552;&#51061;(2024-07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7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1_&#47112;&#48120;&#53080;/&#47112;&#48120;&#53080;&#50896;&#44032;&#49552;&#51061;(2024-07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1_&#47112;&#48120;&#53080;/&#47112;&#48120;&#53080;&#50896;&#44032;&#49552;&#51061;(2024-07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7/03_&#44264;&#51116;/&#44264;&#51116;&#49892;&#51201;(2024-0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6">
          <cell r="D6" t="str">
            <v>구분</v>
          </cell>
        </row>
      </sheetData>
      <sheetData sheetId="4">
        <row r="6">
          <cell r="D6" t="str">
            <v>구분</v>
          </cell>
        </row>
      </sheetData>
      <sheetData sheetId="5">
        <row r="6">
          <cell r="D6" t="str">
            <v>구분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</row>
      </sheetData>
      <sheetData sheetId="8">
        <row r="6">
          <cell r="D6" t="str">
            <v>구분</v>
          </cell>
        </row>
      </sheetData>
      <sheetData sheetId="9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39000</v>
          </cell>
          <cell r="G7">
            <v>35000</v>
          </cell>
          <cell r="H7">
            <v>23000</v>
          </cell>
          <cell r="I7">
            <v>18500</v>
          </cell>
          <cell r="J7">
            <v>22000</v>
          </cell>
          <cell r="K7">
            <v>26000</v>
          </cell>
          <cell r="L7">
            <v>11000</v>
          </cell>
          <cell r="M7">
            <v>17000</v>
          </cell>
          <cell r="N7">
            <v>9000</v>
          </cell>
          <cell r="O7">
            <v>16000</v>
          </cell>
          <cell r="P7">
            <v>16000</v>
          </cell>
          <cell r="Q7">
            <v>10000</v>
          </cell>
          <cell r="R7">
            <v>24000</v>
          </cell>
          <cell r="S7">
            <v>10000</v>
          </cell>
          <cell r="T7">
            <v>7000</v>
          </cell>
          <cell r="U7">
            <v>5000</v>
          </cell>
          <cell r="V7">
            <v>6000</v>
          </cell>
          <cell r="W7">
            <v>0</v>
          </cell>
          <cell r="X7">
            <v>0</v>
          </cell>
          <cell r="Y7">
            <v>0</v>
          </cell>
          <cell r="Z7">
            <v>294500</v>
          </cell>
          <cell r="AA7">
            <v>7100</v>
          </cell>
          <cell r="AB7">
            <v>50611.16416</v>
          </cell>
          <cell r="AC7">
            <v>42799.509732629442</v>
          </cell>
          <cell r="AD7">
            <v>27749.090710905504</v>
          </cell>
          <cell r="AE7">
            <v>121159.76460353495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41175995.447188206</v>
          </cell>
          <cell r="F8">
            <v>3945979.95</v>
          </cell>
          <cell r="G8">
            <v>3584786.9799999995</v>
          </cell>
          <cell r="H8">
            <v>2282138.6143749845</v>
          </cell>
          <cell r="I8">
            <v>1779578.5</v>
          </cell>
          <cell r="J8">
            <v>2367189.0579999997</v>
          </cell>
          <cell r="K8">
            <v>2701484.4</v>
          </cell>
          <cell r="L8">
            <v>1111002.2</v>
          </cell>
          <cell r="M8">
            <v>1768000</v>
          </cell>
          <cell r="N8">
            <v>873305.97</v>
          </cell>
          <cell r="O8">
            <v>1627229</v>
          </cell>
          <cell r="P8">
            <v>1564159.9999999998</v>
          </cell>
          <cell r="Q8">
            <v>1012585.14</v>
          </cell>
          <cell r="R8">
            <v>2424003.5999999996</v>
          </cell>
          <cell r="S8">
            <v>1030069.14</v>
          </cell>
          <cell r="T8">
            <v>762999.02899999998</v>
          </cell>
          <cell r="U8">
            <v>539500</v>
          </cell>
          <cell r="V8">
            <v>760800</v>
          </cell>
          <cell r="W8">
            <v>0</v>
          </cell>
          <cell r="X8">
            <v>0</v>
          </cell>
          <cell r="Y8">
            <v>0</v>
          </cell>
          <cell r="Z8">
            <v>30134811.581374981</v>
          </cell>
          <cell r="AA8">
            <v>8684490.5263157897</v>
          </cell>
          <cell r="AB8">
            <v>626523.72906666668</v>
          </cell>
          <cell r="AC8">
            <v>775756.57068754709</v>
          </cell>
          <cell r="AD8">
            <v>789505.53940989065</v>
          </cell>
          <cell r="AE8">
            <v>2191785.8391641043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101178.97307692308</v>
          </cell>
          <cell r="G9">
            <v>102422.48514285713</v>
          </cell>
          <cell r="H9">
            <v>99223.418016303665</v>
          </cell>
          <cell r="I9">
            <v>96193.432432432426</v>
          </cell>
          <cell r="J9">
            <v>107599.50263636363</v>
          </cell>
          <cell r="K9">
            <v>103903.24615384615</v>
          </cell>
          <cell r="L9">
            <v>101000.2</v>
          </cell>
          <cell r="M9">
            <v>104000</v>
          </cell>
          <cell r="N9">
            <v>97033.996666666673</v>
          </cell>
          <cell r="O9">
            <v>101701.8125</v>
          </cell>
          <cell r="P9">
            <v>97759.999999999985</v>
          </cell>
          <cell r="Q9">
            <v>101258.51400000001</v>
          </cell>
          <cell r="R9">
            <v>101000.15</v>
          </cell>
          <cell r="S9">
            <v>103006.91399999999</v>
          </cell>
          <cell r="T9">
            <v>108999.86128571429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102325.33643930384</v>
          </cell>
          <cell r="AA9">
            <v>1223167.6797627872</v>
          </cell>
          <cell r="AB9">
            <v>12379.160595595094</v>
          </cell>
          <cell r="AC9">
            <v>18125.361143941485</v>
          </cell>
          <cell r="AD9">
            <v>28451.582346790619</v>
          </cell>
          <cell r="AE9">
            <v>18090.047024572683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34783450.522259489</v>
          </cell>
          <cell r="F10">
            <v>3265797.2003900697</v>
          </cell>
          <cell r="G10">
            <v>3009154.3509156122</v>
          </cell>
          <cell r="H10">
            <v>1889504.413807838</v>
          </cell>
          <cell r="I10">
            <v>1430285.6461491412</v>
          </cell>
          <cell r="J10">
            <v>1871198.8282869926</v>
          </cell>
          <cell r="K10">
            <v>2139811.4925980377</v>
          </cell>
          <cell r="L10">
            <v>928834.53447046701</v>
          </cell>
          <cell r="M10">
            <v>1445660.1026088223</v>
          </cell>
          <cell r="N10">
            <v>705993.0011679437</v>
          </cell>
          <cell r="O10">
            <v>1272610.5857206793</v>
          </cell>
          <cell r="P10">
            <v>1215495.6629989608</v>
          </cell>
          <cell r="Q10">
            <v>874550.69617001957</v>
          </cell>
          <cell r="R10">
            <v>1975987.6281008187</v>
          </cell>
          <cell r="S10">
            <v>815536.2738453293</v>
          </cell>
          <cell r="T10">
            <v>543895.81850876904</v>
          </cell>
          <cell r="U10">
            <v>435300.55421246332</v>
          </cell>
          <cell r="V10">
            <v>613151.89711576956</v>
          </cell>
          <cell r="W10">
            <v>0</v>
          </cell>
          <cell r="X10">
            <v>0</v>
          </cell>
          <cell r="Y10">
            <v>0</v>
          </cell>
          <cell r="Z10">
            <v>24432768.687067736</v>
          </cell>
          <cell r="AA10">
            <v>8462695.4458105247</v>
          </cell>
          <cell r="AB10">
            <v>496016.63911999995</v>
          </cell>
          <cell r="AC10">
            <v>661960.94812840607</v>
          </cell>
          <cell r="AD10">
            <v>691754.88713282277</v>
          </cell>
          <cell r="AE10">
            <v>1849732.4743812287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83738.389753591531</v>
          </cell>
          <cell r="G11">
            <v>85975.838597588925</v>
          </cell>
          <cell r="H11">
            <v>82152.36581773209</v>
          </cell>
          <cell r="I11">
            <v>77312.73762968331</v>
          </cell>
          <cell r="J11">
            <v>85054.492194863298</v>
          </cell>
          <cell r="K11">
            <v>82300.442023001451</v>
          </cell>
          <cell r="L11">
            <v>84439.503133678823</v>
          </cell>
          <cell r="M11">
            <v>85038.829565224849</v>
          </cell>
          <cell r="N11">
            <v>78443.666796438192</v>
          </cell>
          <cell r="O11">
            <v>79538.161607542454</v>
          </cell>
          <cell r="P11">
            <v>75968.478937435051</v>
          </cell>
          <cell r="Q11">
            <v>87455.069617001951</v>
          </cell>
          <cell r="R11">
            <v>82332.817837534109</v>
          </cell>
          <cell r="S11">
            <v>81553.627384532927</v>
          </cell>
          <cell r="T11">
            <v>77699.402644109869</v>
          </cell>
          <cell r="U11">
            <v>87060.110842492664</v>
          </cell>
          <cell r="V11">
            <v>102191.98285262825</v>
          </cell>
          <cell r="W11">
            <v>0</v>
          </cell>
          <cell r="X11">
            <v>0</v>
          </cell>
          <cell r="Y11">
            <v>0</v>
          </cell>
          <cell r="Z11">
            <v>82963.560906851402</v>
          </cell>
          <cell r="AA11">
            <v>1191928.9360296514</v>
          </cell>
          <cell r="AB11">
            <v>9800.5380305403341</v>
          </cell>
          <cell r="AC11">
            <v>15466.554459705436</v>
          </cell>
          <cell r="AD11">
            <v>24928.920891125283</v>
          </cell>
          <cell r="AE11">
            <v>15266.887323807667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6392544.9249287173</v>
          </cell>
          <cell r="F12">
            <v>680182.74960993044</v>
          </cell>
          <cell r="G12">
            <v>575632.62908438733</v>
          </cell>
          <cell r="H12">
            <v>392634.20056714653</v>
          </cell>
          <cell r="I12">
            <v>349292.85385085875</v>
          </cell>
          <cell r="J12">
            <v>495990.22971300711</v>
          </cell>
          <cell r="K12">
            <v>561672.90740196221</v>
          </cell>
          <cell r="L12">
            <v>182167.66552953294</v>
          </cell>
          <cell r="M12">
            <v>322339.89739117771</v>
          </cell>
          <cell r="N12">
            <v>167312.96883205627</v>
          </cell>
          <cell r="O12">
            <v>354618.41427932074</v>
          </cell>
          <cell r="P12">
            <v>348664.33700103895</v>
          </cell>
          <cell r="Q12">
            <v>138034.44382998045</v>
          </cell>
          <cell r="R12">
            <v>448015.97189918091</v>
          </cell>
          <cell r="S12">
            <v>214532.86615467072</v>
          </cell>
          <cell r="T12">
            <v>219103.21049123094</v>
          </cell>
          <cell r="U12">
            <v>104199.44578753668</v>
          </cell>
          <cell r="V12">
            <v>147648.10288423044</v>
          </cell>
          <cell r="W12">
            <v>0</v>
          </cell>
          <cell r="X12">
            <v>0</v>
          </cell>
          <cell r="Y12">
            <v>0</v>
          </cell>
          <cell r="Z12">
            <v>5702042.8943072446</v>
          </cell>
          <cell r="AA12">
            <v>221795.08050526492</v>
          </cell>
          <cell r="AB12">
            <v>130507.08994666673</v>
          </cell>
          <cell r="AC12">
            <v>113795.62255914102</v>
          </cell>
          <cell r="AD12">
            <v>97750.652277067886</v>
          </cell>
          <cell r="AE12">
            <v>342053.36478287564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776926.10200000007</v>
          </cell>
          <cell r="F13">
            <v>65196.599999999991</v>
          </cell>
          <cell r="G13">
            <v>60681.440000000002</v>
          </cell>
          <cell r="H13">
            <v>46085.41</v>
          </cell>
          <cell r="I13">
            <v>34643.03</v>
          </cell>
          <cell r="J13">
            <v>53297.16</v>
          </cell>
          <cell r="K13">
            <v>48980</v>
          </cell>
          <cell r="L13">
            <v>34877.57</v>
          </cell>
          <cell r="M13">
            <v>45769.53</v>
          </cell>
          <cell r="N13">
            <v>34746.870000000003</v>
          </cell>
          <cell r="O13">
            <v>39406.69</v>
          </cell>
          <cell r="P13">
            <v>34111.94</v>
          </cell>
          <cell r="Q13">
            <v>26085.420000000002</v>
          </cell>
          <cell r="R13">
            <v>40161.259999999995</v>
          </cell>
          <cell r="S13">
            <v>24445.47</v>
          </cell>
          <cell r="T13">
            <v>10003.150000000001</v>
          </cell>
          <cell r="U13">
            <v>9826.630000000001</v>
          </cell>
          <cell r="V13">
            <v>14681.390000000001</v>
          </cell>
          <cell r="W13">
            <v>0</v>
          </cell>
          <cell r="X13">
            <v>0</v>
          </cell>
          <cell r="Y13">
            <v>0</v>
          </cell>
          <cell r="Z13">
            <v>622999.56000000006</v>
          </cell>
          <cell r="AA13">
            <v>116595.95999999999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26888.569999999996</v>
          </cell>
          <cell r="AS13">
            <v>0</v>
          </cell>
          <cell r="AT13">
            <v>0</v>
          </cell>
          <cell r="AU13">
            <v>37330.581999999995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211137.54199999999</v>
          </cell>
          <cell r="F15">
            <v>16900.059999999998</v>
          </cell>
          <cell r="G15">
            <v>14603.51</v>
          </cell>
          <cell r="H15">
            <v>11922.37</v>
          </cell>
          <cell r="I15">
            <v>9258.5300000000007</v>
          </cell>
          <cell r="J15">
            <v>12933.16</v>
          </cell>
          <cell r="K15">
            <v>15497.169999999998</v>
          </cell>
          <cell r="L15">
            <v>9439.83</v>
          </cell>
          <cell r="M15">
            <v>12713.220000000001</v>
          </cell>
          <cell r="N15">
            <v>8548.85</v>
          </cell>
          <cell r="O15">
            <v>9305.7999999999993</v>
          </cell>
          <cell r="P15">
            <v>8593.02</v>
          </cell>
          <cell r="Q15">
            <v>7227.37</v>
          </cell>
          <cell r="R15">
            <v>10918.380000000001</v>
          </cell>
          <cell r="S15">
            <v>6484.84</v>
          </cell>
          <cell r="T15">
            <v>3262.3900000000003</v>
          </cell>
          <cell r="U15">
            <v>3845.08</v>
          </cell>
          <cell r="V15">
            <v>4127.8600000000006</v>
          </cell>
          <cell r="W15">
            <v>0</v>
          </cell>
          <cell r="X15">
            <v>0</v>
          </cell>
          <cell r="Y15">
            <v>0</v>
          </cell>
          <cell r="Z15">
            <v>165581.44</v>
          </cell>
          <cell r="AA15">
            <v>33091.49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2022.6</v>
          </cell>
          <cell r="AS15">
            <v>0</v>
          </cell>
          <cell r="AT15">
            <v>0</v>
          </cell>
          <cell r="AU15">
            <v>12464.611999999999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5615618.8229287174</v>
          </cell>
          <cell r="F17">
            <v>614986.14960993046</v>
          </cell>
          <cell r="G17">
            <v>514951.18908438733</v>
          </cell>
          <cell r="H17">
            <v>346548.7905671465</v>
          </cell>
          <cell r="I17">
            <v>314649.82385085872</v>
          </cell>
          <cell r="J17">
            <v>442693.06971300708</v>
          </cell>
          <cell r="K17">
            <v>512692.90740196221</v>
          </cell>
          <cell r="L17">
            <v>147290.09552953293</v>
          </cell>
          <cell r="M17">
            <v>276570.36739117769</v>
          </cell>
          <cell r="N17">
            <v>132566.09883205628</v>
          </cell>
          <cell r="O17">
            <v>315211.72427932074</v>
          </cell>
          <cell r="P17">
            <v>314552.39700103895</v>
          </cell>
          <cell r="Q17">
            <v>111949.02382998045</v>
          </cell>
          <cell r="R17">
            <v>407854.7118991809</v>
          </cell>
          <cell r="S17">
            <v>190087.39615467071</v>
          </cell>
          <cell r="T17">
            <v>209100.06049123095</v>
          </cell>
          <cell r="U17">
            <v>94372.815787536674</v>
          </cell>
          <cell r="V17">
            <v>132966.71288423042</v>
          </cell>
          <cell r="W17">
            <v>0</v>
          </cell>
          <cell r="X17">
            <v>0</v>
          </cell>
          <cell r="Y17">
            <v>0</v>
          </cell>
          <cell r="Z17">
            <v>5079043.334307244</v>
          </cell>
          <cell r="AA17">
            <v>105199.12050526493</v>
          </cell>
          <cell r="AB17">
            <v>130507.08994666673</v>
          </cell>
          <cell r="AC17">
            <v>113795.62255914102</v>
          </cell>
          <cell r="AD17">
            <v>97750.652277067886</v>
          </cell>
          <cell r="AE17">
            <v>342053.36478287564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-71968.411999999982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552051.85011195019</v>
          </cell>
          <cell r="F18">
            <v>30130.660666666659</v>
          </cell>
          <cell r="G18">
            <v>34391.757239466679</v>
          </cell>
          <cell r="H18">
            <v>19365.797555555557</v>
          </cell>
          <cell r="I18">
            <v>19238.434444444443</v>
          </cell>
          <cell r="J18">
            <v>47248.159333333337</v>
          </cell>
          <cell r="K18">
            <v>29220.166777777777</v>
          </cell>
          <cell r="L18">
            <v>13037.444888888889</v>
          </cell>
          <cell r="M18">
            <v>24735.857777777783</v>
          </cell>
          <cell r="N18">
            <v>11475.898111111112</v>
          </cell>
          <cell r="O18">
            <v>32560.991888888886</v>
          </cell>
          <cell r="P18">
            <v>14967.475474676306</v>
          </cell>
          <cell r="Q18">
            <v>12710.483222222223</v>
          </cell>
          <cell r="R18">
            <v>34063.269</v>
          </cell>
          <cell r="S18">
            <v>23608.662666666667</v>
          </cell>
          <cell r="T18">
            <v>10246.369555555555</v>
          </cell>
          <cell r="U18">
            <v>5428.9927777777775</v>
          </cell>
          <cell r="V18">
            <v>10192.983842236315</v>
          </cell>
          <cell r="W18">
            <v>0</v>
          </cell>
          <cell r="X18">
            <v>0</v>
          </cell>
          <cell r="Y18">
            <v>0</v>
          </cell>
          <cell r="Z18">
            <v>372623.40522304596</v>
          </cell>
          <cell r="AA18">
            <v>4908.0999999999995</v>
          </cell>
          <cell r="AB18">
            <v>12380.822555555558</v>
          </cell>
          <cell r="AC18">
            <v>56856.659666666666</v>
          </cell>
          <cell r="AD18">
            <v>35106.999222222221</v>
          </cell>
          <cell r="AE18">
            <v>104344.48144444445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478695.86966749048</v>
          </cell>
          <cell r="F19">
            <v>27803.03866666666</v>
          </cell>
          <cell r="G19">
            <v>31781.875239466681</v>
          </cell>
          <cell r="H19">
            <v>17300.203555555556</v>
          </cell>
          <cell r="I19">
            <v>18046.446444444442</v>
          </cell>
          <cell r="J19">
            <v>44145.857333333333</v>
          </cell>
          <cell r="K19">
            <v>27655.764777777778</v>
          </cell>
          <cell r="L19">
            <v>11843.845888888889</v>
          </cell>
          <cell r="M19">
            <v>22878.205777777781</v>
          </cell>
          <cell r="N19">
            <v>9988.6461111111112</v>
          </cell>
          <cell r="O19">
            <v>31342.225888888886</v>
          </cell>
          <cell r="P19">
            <v>13762.087474676306</v>
          </cell>
          <cell r="Q19">
            <v>11608.328222222222</v>
          </cell>
          <cell r="R19">
            <v>32475.067999999999</v>
          </cell>
          <cell r="S19">
            <v>22765.504666666668</v>
          </cell>
          <cell r="T19">
            <v>9803.5005555555545</v>
          </cell>
          <cell r="U19">
            <v>5058.5927777777779</v>
          </cell>
          <cell r="V19">
            <v>9367.6138422363147</v>
          </cell>
          <cell r="W19">
            <v>0</v>
          </cell>
          <cell r="X19">
            <v>0</v>
          </cell>
          <cell r="Y19">
            <v>0</v>
          </cell>
          <cell r="Z19">
            <v>347626.80522304599</v>
          </cell>
          <cell r="AA19">
            <v>0</v>
          </cell>
          <cell r="AB19">
            <v>12380.822555555558</v>
          </cell>
          <cell r="AC19">
            <v>56856.659666666666</v>
          </cell>
          <cell r="AD19">
            <v>34736.599222222219</v>
          </cell>
          <cell r="AE19">
            <v>103974.08144444445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5063566.9728167672</v>
          </cell>
          <cell r="F21">
            <v>584855.48894326377</v>
          </cell>
          <cell r="G21">
            <v>480559.43184492062</v>
          </cell>
          <cell r="H21">
            <v>327182.99301159097</v>
          </cell>
          <cell r="I21">
            <v>295411.3894064143</v>
          </cell>
          <cell r="J21">
            <v>395444.91037967376</v>
          </cell>
          <cell r="K21">
            <v>483472.74062418443</v>
          </cell>
          <cell r="L21">
            <v>134252.65064064405</v>
          </cell>
          <cell r="M21">
            <v>251834.50961339992</v>
          </cell>
          <cell r="N21">
            <v>121090.20072094517</v>
          </cell>
          <cell r="O21">
            <v>282650.73239043186</v>
          </cell>
          <cell r="P21">
            <v>299584.92152636265</v>
          </cell>
          <cell r="Q21">
            <v>99238.54060775823</v>
          </cell>
          <cell r="R21">
            <v>373791.44289918093</v>
          </cell>
          <cell r="S21">
            <v>166478.73348800404</v>
          </cell>
          <cell r="T21">
            <v>198853.6909356754</v>
          </cell>
          <cell r="U21">
            <v>88943.823009758897</v>
          </cell>
          <cell r="V21">
            <v>122773.72904199411</v>
          </cell>
          <cell r="W21">
            <v>0</v>
          </cell>
          <cell r="X21">
            <v>0</v>
          </cell>
          <cell r="Y21">
            <v>0</v>
          </cell>
          <cell r="Z21">
            <v>4706419.9290841985</v>
          </cell>
          <cell r="AA21">
            <v>100291.02050526493</v>
          </cell>
          <cell r="AB21">
            <v>118126.26739111118</v>
          </cell>
          <cell r="AC21">
            <v>56938.962892474352</v>
          </cell>
          <cell r="AD21">
            <v>62643.653054845665</v>
          </cell>
          <cell r="AE21">
            <v>237708.88333843119</v>
          </cell>
          <cell r="AF21">
            <v>8969.7469999999994</v>
          </cell>
          <cell r="AG21">
            <v>43596.712999999996</v>
          </cell>
          <cell r="AH21">
            <v>19599.499</v>
          </cell>
          <cell r="AI21">
            <v>58284.484333333334</v>
          </cell>
          <cell r="AJ21">
            <v>3745.9890000000005</v>
          </cell>
          <cell r="AK21">
            <v>0</v>
          </cell>
          <cell r="AL21">
            <v>134196.43233333333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-27752.631000000001</v>
          </cell>
          <cell r="AR21">
            <v>-63296.399999999994</v>
          </cell>
          <cell r="AS21">
            <v>0</v>
          </cell>
          <cell r="AT21">
            <v>-15985.408000000003</v>
          </cell>
          <cell r="AU21">
            <v>-115049.29244445963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1269227.7493448704</v>
          </cell>
          <cell r="F22">
            <v>162734.55567586358</v>
          </cell>
          <cell r="G22">
            <v>147838.74317022841</v>
          </cell>
          <cell r="H22">
            <v>94116.751252383852</v>
          </cell>
          <cell r="I22">
            <v>73390.873789873091</v>
          </cell>
          <cell r="J22">
            <v>97700.569849837761</v>
          </cell>
          <cell r="K22">
            <v>111497.88160285044</v>
          </cell>
          <cell r="L22">
            <v>45854.194736829268</v>
          </cell>
          <cell r="M22">
            <v>72970.347218677111</v>
          </cell>
          <cell r="N22">
            <v>36043.80082525091</v>
          </cell>
          <cell r="O22">
            <v>67160.33095831488</v>
          </cell>
          <cell r="P22">
            <v>64557.295421700204</v>
          </cell>
          <cell r="Q22">
            <v>41792.245053321705</v>
          </cell>
          <cell r="R22">
            <v>96108.236430722012</v>
          </cell>
          <cell r="S22">
            <v>40840.751411058343</v>
          </cell>
          <cell r="T22">
            <v>30251.807825509557</v>
          </cell>
          <cell r="U22">
            <v>21390.394615905083</v>
          </cell>
          <cell r="V22">
            <v>30164.619506544186</v>
          </cell>
          <cell r="W22">
            <v>0</v>
          </cell>
          <cell r="X22">
            <v>0</v>
          </cell>
          <cell r="Y22">
            <v>0</v>
          </cell>
          <cell r="Z22">
            <v>1234413.3993448704</v>
          </cell>
          <cell r="AA22">
            <v>0</v>
          </cell>
          <cell r="AB22">
            <v>9951.7096959394057</v>
          </cell>
          <cell r="AC22">
            <v>12322.125768006612</v>
          </cell>
          <cell r="AD22">
            <v>12540.514536053983</v>
          </cell>
          <cell r="AE22">
            <v>34814.35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256920.24333333338</v>
          </cell>
          <cell r="F23">
            <v>30178.720336747516</v>
          </cell>
          <cell r="G23">
            <v>27416.328797168295</v>
          </cell>
          <cell r="H23">
            <v>17453.718438917851</v>
          </cell>
          <cell r="I23">
            <v>13610.155791285415</v>
          </cell>
          <cell r="J23">
            <v>18180.469148665874</v>
          </cell>
          <cell r="K23">
            <v>20747.921938815478</v>
          </cell>
          <cell r="L23">
            <v>8532.7114676110141</v>
          </cell>
          <cell r="M23">
            <v>13578.581459817338</v>
          </cell>
          <cell r="N23">
            <v>6707.1585141345004</v>
          </cell>
          <cell r="O23">
            <v>12497.432992238182</v>
          </cell>
          <cell r="P23">
            <v>12013.050891508985</v>
          </cell>
          <cell r="Q23">
            <v>7776.8494391914846</v>
          </cell>
          <cell r="R23">
            <v>14679.585972671803</v>
          </cell>
          <cell r="S23">
            <v>6238.0222943670997</v>
          </cell>
          <cell r="T23">
            <v>4620.6655152123567</v>
          </cell>
          <cell r="U23">
            <v>3267.1719762530215</v>
          </cell>
          <cell r="V23">
            <v>4607.348358727153</v>
          </cell>
          <cell r="W23">
            <v>0</v>
          </cell>
          <cell r="X23">
            <v>0</v>
          </cell>
          <cell r="Y23">
            <v>0</v>
          </cell>
          <cell r="Z23">
            <v>222105.89333333337</v>
          </cell>
          <cell r="AA23">
            <v>0</v>
          </cell>
          <cell r="AB23">
            <v>9951.7096959394057</v>
          </cell>
          <cell r="AC23">
            <v>12322.125768006612</v>
          </cell>
          <cell r="AD23">
            <v>12540.514536053983</v>
          </cell>
          <cell r="AE23">
            <v>34814.35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375232.37466666684</v>
          </cell>
          <cell r="F24">
            <v>49134.51750070625</v>
          </cell>
          <cell r="G24">
            <v>44637.01813921125</v>
          </cell>
          <cell r="H24">
            <v>28416.712985844035</v>
          </cell>
          <cell r="I24">
            <v>22158.939492870606</v>
          </cell>
          <cell r="J24">
            <v>29475.743331585185</v>
          </cell>
          <cell r="K24">
            <v>33638.319051693339</v>
          </cell>
          <cell r="L24">
            <v>13833.967159215583</v>
          </cell>
          <cell r="M24">
            <v>22014.766431149415</v>
          </cell>
          <cell r="N24">
            <v>10874.223389410849</v>
          </cell>
          <cell r="O24">
            <v>20261.915364814951</v>
          </cell>
          <cell r="P24">
            <v>19476.593360263952</v>
          </cell>
          <cell r="Q24">
            <v>12608.498500425754</v>
          </cell>
          <cell r="R24">
            <v>30183.186132503011</v>
          </cell>
          <cell r="S24">
            <v>12826.205613707549</v>
          </cell>
          <cell r="T24">
            <v>9500.704417776471</v>
          </cell>
          <cell r="U24">
            <v>6717.7412271522116</v>
          </cell>
          <cell r="V24">
            <v>9473.3225683362416</v>
          </cell>
          <cell r="W24">
            <v>0</v>
          </cell>
          <cell r="X24">
            <v>0</v>
          </cell>
          <cell r="Y24">
            <v>0</v>
          </cell>
          <cell r="Z24">
            <v>375232.37466666684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637075.13134487031</v>
          </cell>
          <cell r="F25">
            <v>83421.317838409799</v>
          </cell>
          <cell r="G25">
            <v>75785.396233848864</v>
          </cell>
          <cell r="H25">
            <v>48246.319827621963</v>
          </cell>
          <cell r="I25">
            <v>37621.778505717077</v>
          </cell>
          <cell r="J25">
            <v>50044.357369586702</v>
          </cell>
          <cell r="K25">
            <v>57111.640612341624</v>
          </cell>
          <cell r="L25">
            <v>23487.516110002671</v>
          </cell>
          <cell r="M25">
            <v>37376.999327710349</v>
          </cell>
          <cell r="N25">
            <v>18462.418921705561</v>
          </cell>
          <cell r="O25">
            <v>34400.982601261756</v>
          </cell>
          <cell r="P25">
            <v>33067.651169927267</v>
          </cell>
          <cell r="Q25">
            <v>21406.897113704465</v>
          </cell>
          <cell r="R25">
            <v>51245.464325547196</v>
          </cell>
          <cell r="S25">
            <v>21776.523502983695</v>
          </cell>
          <cell r="T25">
            <v>16130.437892520729</v>
          </cell>
          <cell r="U25">
            <v>11405.481412499848</v>
          </cell>
          <cell r="V25">
            <v>16083.94857948079</v>
          </cell>
          <cell r="W25">
            <v>0</v>
          </cell>
          <cell r="X25">
            <v>0</v>
          </cell>
          <cell r="Y25">
            <v>0</v>
          </cell>
          <cell r="Z25">
            <v>637075.13134487031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3794339.2234718967</v>
          </cell>
          <cell r="F26">
            <v>422120.93326740019</v>
          </cell>
          <cell r="G26">
            <v>332720.68867469218</v>
          </cell>
          <cell r="H26">
            <v>233066.2417592071</v>
          </cell>
          <cell r="I26">
            <v>222020.5156165412</v>
          </cell>
          <cell r="J26">
            <v>297744.34052983602</v>
          </cell>
          <cell r="K26">
            <v>371974.85902133398</v>
          </cell>
          <cell r="L26">
            <v>88398.455903814785</v>
          </cell>
          <cell r="M26">
            <v>178864.16239472281</v>
          </cell>
          <cell r="N26">
            <v>85046.399895694252</v>
          </cell>
          <cell r="O26">
            <v>215490.40143211698</v>
          </cell>
          <cell r="P26">
            <v>235027.62610466246</v>
          </cell>
          <cell r="Q26">
            <v>57446.295554436525</v>
          </cell>
          <cell r="R26">
            <v>277683.20646845893</v>
          </cell>
          <cell r="S26">
            <v>125637.9820769457</v>
          </cell>
          <cell r="T26">
            <v>168601.88311016586</v>
          </cell>
          <cell r="U26">
            <v>67553.428393853814</v>
          </cell>
          <cell r="V26">
            <v>92609.109535449927</v>
          </cell>
          <cell r="W26">
            <v>0</v>
          </cell>
          <cell r="X26">
            <v>0</v>
          </cell>
          <cell r="Y26">
            <v>0</v>
          </cell>
          <cell r="Z26">
            <v>3472006.5297393282</v>
          </cell>
          <cell r="AA26">
            <v>100291.02050526493</v>
          </cell>
          <cell r="AB26">
            <v>108174.55769517177</v>
          </cell>
          <cell r="AC26">
            <v>44616.83712446774</v>
          </cell>
          <cell r="AD26">
            <v>50103.138518791682</v>
          </cell>
          <cell r="AE26">
            <v>202894.53333843118</v>
          </cell>
          <cell r="AF26">
            <v>8969.7469999999994</v>
          </cell>
          <cell r="AG26">
            <v>43596.712999999996</v>
          </cell>
          <cell r="AH26">
            <v>19599.499</v>
          </cell>
          <cell r="AI26">
            <v>58284.484333333334</v>
          </cell>
          <cell r="AJ26">
            <v>3745.9890000000005</v>
          </cell>
          <cell r="AK26">
            <v>0</v>
          </cell>
          <cell r="AL26">
            <v>134196.43233333333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-27752.631000000001</v>
          </cell>
          <cell r="AR26">
            <v>-63296.399999999994</v>
          </cell>
          <cell r="AS26">
            <v>0</v>
          </cell>
          <cell r="AT26">
            <v>-15985.408000000003</v>
          </cell>
          <cell r="AU26">
            <v>-115049.29244445963</v>
          </cell>
          <cell r="AV26"/>
          <cell r="AW26"/>
          <cell r="AX26"/>
          <cell r="AY26"/>
          <cell r="AZ26"/>
        </row>
        <row r="27">
          <cell r="E27">
            <v>3859581.0284719034</v>
          </cell>
          <cell r="F27">
            <v>422120.93326740019</v>
          </cell>
          <cell r="G27">
            <v>332720.68867469218</v>
          </cell>
          <cell r="H27">
            <v>233066.2417592071</v>
          </cell>
          <cell r="I27">
            <v>222020.5156165412</v>
          </cell>
          <cell r="J27">
            <v>297744.34052983602</v>
          </cell>
          <cell r="K27">
            <v>371974.85902133398</v>
          </cell>
          <cell r="L27">
            <v>88398.455903814785</v>
          </cell>
          <cell r="M27">
            <v>178864.16239472281</v>
          </cell>
          <cell r="N27">
            <v>85046.399895694252</v>
          </cell>
          <cell r="O27">
            <v>215490.40143211698</v>
          </cell>
          <cell r="P27">
            <v>235027.62610466246</v>
          </cell>
          <cell r="Q27">
            <v>57446.29555443651</v>
          </cell>
          <cell r="R27">
            <v>277683.20646845893</v>
          </cell>
          <cell r="S27">
            <v>125637.9820769457</v>
          </cell>
          <cell r="T27">
            <v>168601.88311016586</v>
          </cell>
          <cell r="U27">
            <v>67553.428393853814</v>
          </cell>
          <cell r="V27">
            <v>92609.109535449941</v>
          </cell>
          <cell r="W27">
            <v>0</v>
          </cell>
          <cell r="X27">
            <v>0</v>
          </cell>
          <cell r="Y27">
            <v>0</v>
          </cell>
          <cell r="Z27">
            <v>3472006.5297393333</v>
          </cell>
          <cell r="AA27">
            <v>100291.02050526493</v>
          </cell>
          <cell r="AB27">
            <v>108174.55769517177</v>
          </cell>
          <cell r="AC27">
            <v>44616.83712446774</v>
          </cell>
          <cell r="AD27">
            <v>50103.138518791682</v>
          </cell>
          <cell r="AE27">
            <v>202894.53333843118</v>
          </cell>
          <cell r="AF27">
            <v>8969.7469999999994</v>
          </cell>
          <cell r="AG27">
            <v>43596.712999999996</v>
          </cell>
          <cell r="AH27">
            <v>19599.499</v>
          </cell>
          <cell r="AI27">
            <v>58284.484333333334</v>
          </cell>
          <cell r="AJ27">
            <v>3745.9890000000005</v>
          </cell>
          <cell r="AK27">
            <v>0</v>
          </cell>
          <cell r="AL27">
            <v>134196.43233333333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-25118.569999999996</v>
          </cell>
          <cell r="AU27">
            <v>-49807.487444459635</v>
          </cell>
          <cell r="AV27"/>
          <cell r="AW27"/>
          <cell r="AX27"/>
          <cell r="AY27"/>
          <cell r="AZ27"/>
        </row>
        <row r="28">
          <cell r="E28">
            <v>-65241.805000006687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-5.1222741603851318E-9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-9997.2229999999981</v>
          </cell>
          <cell r="AR28">
            <v>-63296.399999999994</v>
          </cell>
          <cell r="AS28">
            <v>0</v>
          </cell>
          <cell r="AT28">
            <v>9133.161999999993</v>
          </cell>
          <cell r="AU28">
            <v>-65241.804999999993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422759.76460353495</v>
          </cell>
          <cell r="F30">
            <v>39000</v>
          </cell>
          <cell r="G30">
            <v>35000</v>
          </cell>
          <cell r="H30">
            <v>23000</v>
          </cell>
          <cell r="I30">
            <v>18500</v>
          </cell>
          <cell r="J30">
            <v>22000</v>
          </cell>
          <cell r="K30">
            <v>26000</v>
          </cell>
          <cell r="L30">
            <v>11000</v>
          </cell>
          <cell r="M30">
            <v>17000</v>
          </cell>
          <cell r="N30">
            <v>9000</v>
          </cell>
          <cell r="O30">
            <v>16000</v>
          </cell>
          <cell r="P30">
            <v>16000</v>
          </cell>
          <cell r="Q30">
            <v>10000</v>
          </cell>
          <cell r="R30">
            <v>24000</v>
          </cell>
          <cell r="S30">
            <v>10000</v>
          </cell>
          <cell r="T30">
            <v>7000</v>
          </cell>
          <cell r="U30">
            <v>5000</v>
          </cell>
          <cell r="V30">
            <v>6000</v>
          </cell>
          <cell r="W30">
            <v>0</v>
          </cell>
          <cell r="X30">
            <v>0</v>
          </cell>
          <cell r="Y30">
            <v>0</v>
          </cell>
          <cell r="Z30">
            <v>294500</v>
          </cell>
          <cell r="AA30">
            <v>7100</v>
          </cell>
          <cell r="AB30">
            <v>50611.16416</v>
          </cell>
          <cell r="AC30">
            <v>42799.509732629442</v>
          </cell>
          <cell r="AD30">
            <v>27749.090710905504</v>
          </cell>
          <cell r="AE30">
            <v>121159.76460353495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41175995.447188206</v>
          </cell>
          <cell r="F31">
            <v>3945979.95</v>
          </cell>
          <cell r="G31">
            <v>3584786.9799999995</v>
          </cell>
          <cell r="H31">
            <v>2282138.6143749845</v>
          </cell>
          <cell r="I31">
            <v>1779578.5</v>
          </cell>
          <cell r="J31">
            <v>2367189.0579999997</v>
          </cell>
          <cell r="K31">
            <v>2701484.4</v>
          </cell>
          <cell r="L31">
            <v>1111002.2</v>
          </cell>
          <cell r="M31">
            <v>1768000</v>
          </cell>
          <cell r="N31">
            <v>873305.97</v>
          </cell>
          <cell r="O31">
            <v>1627229</v>
          </cell>
          <cell r="P31">
            <v>1564159.9999999998</v>
          </cell>
          <cell r="Q31">
            <v>1012585.14</v>
          </cell>
          <cell r="R31">
            <v>2424003.5999999996</v>
          </cell>
          <cell r="S31">
            <v>1030069.14</v>
          </cell>
          <cell r="T31">
            <v>762999.02899999998</v>
          </cell>
          <cell r="U31">
            <v>539500</v>
          </cell>
          <cell r="V31">
            <v>760800</v>
          </cell>
          <cell r="W31">
            <v>0</v>
          </cell>
          <cell r="X31">
            <v>0</v>
          </cell>
          <cell r="Y31">
            <v>0</v>
          </cell>
          <cell r="Z31">
            <v>30134811.581374981</v>
          </cell>
          <cell r="AA31">
            <v>8684490.5263157897</v>
          </cell>
          <cell r="AB31">
            <v>626523.72906666668</v>
          </cell>
          <cell r="AC31">
            <v>775756.57068754709</v>
          </cell>
          <cell r="AD31">
            <v>789505.53940989065</v>
          </cell>
          <cell r="AE31">
            <v>2191785.8391641043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35262146.391926982</v>
          </cell>
          <cell r="F32">
            <v>3293600.2390567362</v>
          </cell>
          <cell r="G32">
            <v>3040936.226155079</v>
          </cell>
          <cell r="H32">
            <v>1906804.6173633935</v>
          </cell>
          <cell r="I32">
            <v>1448332.0925935856</v>
          </cell>
          <cell r="J32">
            <v>1915344.6856203259</v>
          </cell>
          <cell r="K32">
            <v>2167467.2573758154</v>
          </cell>
          <cell r="L32">
            <v>940678.38035935594</v>
          </cell>
          <cell r="M32">
            <v>1468538.3083866001</v>
          </cell>
          <cell r="N32">
            <v>715981.64727905486</v>
          </cell>
          <cell r="O32">
            <v>1303952.8116095681</v>
          </cell>
          <cell r="P32">
            <v>1229257.7504736371</v>
          </cell>
          <cell r="Q32">
            <v>886159.02439224184</v>
          </cell>
          <cell r="R32">
            <v>2008462.6961008187</v>
          </cell>
          <cell r="S32">
            <v>838301.77851199592</v>
          </cell>
          <cell r="T32">
            <v>553699.31906432461</v>
          </cell>
          <cell r="U32">
            <v>440359.14699024108</v>
          </cell>
          <cell r="V32">
            <v>622519.51095800591</v>
          </cell>
          <cell r="W32">
            <v>0</v>
          </cell>
          <cell r="X32">
            <v>0</v>
          </cell>
          <cell r="Y32">
            <v>0</v>
          </cell>
          <cell r="Z32">
            <v>24780395.492290784</v>
          </cell>
          <cell r="AA32">
            <v>8462695.4458105247</v>
          </cell>
          <cell r="AB32">
            <v>508397.4616755555</v>
          </cell>
          <cell r="AC32">
            <v>718817.60779507272</v>
          </cell>
          <cell r="AD32">
            <v>726491.486355045</v>
          </cell>
          <cell r="AE32">
            <v>1953706.555825673</v>
          </cell>
          <cell r="AF32">
            <v>3530.2530000000002</v>
          </cell>
          <cell r="AG32">
            <v>6403.2870000000003</v>
          </cell>
          <cell r="AH32">
            <v>8740.5010000000002</v>
          </cell>
          <cell r="AI32">
            <v>8763.0159999999996</v>
          </cell>
          <cell r="AJ32">
            <v>1504.011</v>
          </cell>
          <cell r="AK32">
            <v>0</v>
          </cell>
          <cell r="AL32">
            <v>28941.067999999999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5913849.0552612264</v>
          </cell>
          <cell r="F33">
            <v>652379.71094326396</v>
          </cell>
          <cell r="G33">
            <v>543850.75384492055</v>
          </cell>
          <cell r="H33">
            <v>375333.99701159098</v>
          </cell>
          <cell r="I33">
            <v>331246.40740641439</v>
          </cell>
          <cell r="J33">
            <v>451844.37237967388</v>
          </cell>
          <cell r="K33">
            <v>534017.14262418449</v>
          </cell>
          <cell r="L33">
            <v>170323.81964064401</v>
          </cell>
          <cell r="M33">
            <v>299461.69161339989</v>
          </cell>
          <cell r="N33">
            <v>157324.32272094511</v>
          </cell>
          <cell r="O33">
            <v>323276.18839043193</v>
          </cell>
          <cell r="P33">
            <v>334902.24952636263</v>
          </cell>
          <cell r="Q33">
            <v>126426.11560775817</v>
          </cell>
          <cell r="R33">
            <v>415540.90389918094</v>
          </cell>
          <cell r="S33">
            <v>191767.3614880041</v>
          </cell>
          <cell r="T33">
            <v>209299.70993567538</v>
          </cell>
          <cell r="U33">
            <v>99140.853009758925</v>
          </cell>
          <cell r="V33">
            <v>138280.48904199409</v>
          </cell>
          <cell r="W33">
            <v>0</v>
          </cell>
          <cell r="X33">
            <v>0</v>
          </cell>
          <cell r="Y33">
            <v>0</v>
          </cell>
          <cell r="Z33">
            <v>5354416.0890841968</v>
          </cell>
          <cell r="AA33">
            <v>221795.08050526492</v>
          </cell>
          <cell r="AB33">
            <v>118126.26739111118</v>
          </cell>
          <cell r="AC33">
            <v>56938.962892474374</v>
          </cell>
          <cell r="AD33">
            <v>63014.053054845659</v>
          </cell>
          <cell r="AE33">
            <v>238079.28333843127</v>
          </cell>
          <cell r="AF33">
            <v>8969.7469999999994</v>
          </cell>
          <cell r="AG33">
            <v>43596.713000000003</v>
          </cell>
          <cell r="AH33">
            <v>19599.499</v>
          </cell>
          <cell r="AI33">
            <v>58284.484333333327</v>
          </cell>
          <cell r="AJ33">
            <v>3745.989</v>
          </cell>
          <cell r="AK33">
            <v>0</v>
          </cell>
          <cell r="AL33">
            <v>134196.43233333333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2119509.8317893301</v>
          </cell>
          <cell r="F34">
            <v>230258.77767586356</v>
          </cell>
          <cell r="G34">
            <v>211130.06517022842</v>
          </cell>
          <cell r="H34">
            <v>142267.75525238385</v>
          </cell>
          <cell r="I34">
            <v>109225.89178987309</v>
          </cell>
          <cell r="J34">
            <v>154100.03184983777</v>
          </cell>
          <cell r="K34">
            <v>162042.28360285045</v>
          </cell>
          <cell r="L34">
            <v>81925.363736829269</v>
          </cell>
          <cell r="M34">
            <v>120597.52921867711</v>
          </cell>
          <cell r="N34">
            <v>72277.922825250906</v>
          </cell>
          <cell r="O34">
            <v>107785.78695831489</v>
          </cell>
          <cell r="P34">
            <v>99874.623421700206</v>
          </cell>
          <cell r="Q34">
            <v>68979.820053321702</v>
          </cell>
          <cell r="R34">
            <v>137857.69743072201</v>
          </cell>
          <cell r="S34">
            <v>66129.37941105834</v>
          </cell>
          <cell r="T34">
            <v>40697.826825509554</v>
          </cell>
          <cell r="U34">
            <v>31587.424615905085</v>
          </cell>
          <cell r="V34">
            <v>45671.379506544188</v>
          </cell>
          <cell r="W34">
            <v>0</v>
          </cell>
          <cell r="X34">
            <v>0</v>
          </cell>
          <cell r="Y34">
            <v>0</v>
          </cell>
          <cell r="Z34">
            <v>1882409.5593448705</v>
          </cell>
          <cell r="AA34">
            <v>121504.06</v>
          </cell>
          <cell r="AB34">
            <v>9951.7096959394057</v>
          </cell>
          <cell r="AC34">
            <v>12322.125768006612</v>
          </cell>
          <cell r="AD34">
            <v>12910.914536053982</v>
          </cell>
          <cell r="AE34">
            <v>35184.75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27752.631000000001</v>
          </cell>
          <cell r="AR34">
            <v>26888.569999999996</v>
          </cell>
          <cell r="AS34">
            <v>0</v>
          </cell>
          <cell r="AT34">
            <v>17755.408000000003</v>
          </cell>
          <cell r="AU34">
            <v>80411.462444459641</v>
          </cell>
        </row>
        <row r="35">
          <cell r="D35" t="str">
            <v>영업이익</v>
          </cell>
          <cell r="E35">
            <v>3794339.2234718963</v>
          </cell>
          <cell r="F35">
            <v>422120.93326740037</v>
          </cell>
          <cell r="G35">
            <v>332720.68867469212</v>
          </cell>
          <cell r="H35">
            <v>233066.24175920713</v>
          </cell>
          <cell r="I35">
            <v>222020.51561654132</v>
          </cell>
          <cell r="J35">
            <v>297744.34052983613</v>
          </cell>
          <cell r="K35">
            <v>371974.85902133404</v>
          </cell>
          <cell r="L35">
            <v>88398.455903814742</v>
          </cell>
          <cell r="M35">
            <v>178864.16239472278</v>
          </cell>
          <cell r="N35">
            <v>85046.399895694209</v>
          </cell>
          <cell r="O35">
            <v>215490.40143211704</v>
          </cell>
          <cell r="P35">
            <v>235027.62610466243</v>
          </cell>
          <cell r="Q35">
            <v>57446.295554436467</v>
          </cell>
          <cell r="R35">
            <v>277683.20646845893</v>
          </cell>
          <cell r="S35">
            <v>125637.98207694576</v>
          </cell>
          <cell r="T35">
            <v>168601.88311016583</v>
          </cell>
          <cell r="U35">
            <v>67553.428393853843</v>
          </cell>
          <cell r="V35">
            <v>92609.109535449912</v>
          </cell>
          <cell r="W35">
            <v>0</v>
          </cell>
          <cell r="X35">
            <v>0</v>
          </cell>
          <cell r="Y35">
            <v>0</v>
          </cell>
          <cell r="Z35">
            <v>3472006.5297393263</v>
          </cell>
          <cell r="AA35">
            <v>100291.02050526493</v>
          </cell>
          <cell r="AB35">
            <v>108174.55769517177</v>
          </cell>
          <cell r="AC35">
            <v>44616.837124467762</v>
          </cell>
          <cell r="AD35">
            <v>50103.138518791675</v>
          </cell>
          <cell r="AE35">
            <v>202894.53333843127</v>
          </cell>
          <cell r="AF35">
            <v>8969.7469999999994</v>
          </cell>
          <cell r="AG35">
            <v>43596.713000000003</v>
          </cell>
          <cell r="AH35">
            <v>19599.499</v>
          </cell>
          <cell r="AI35">
            <v>58284.484333333327</v>
          </cell>
          <cell r="AJ35">
            <v>3745.989</v>
          </cell>
          <cell r="AK35">
            <v>0</v>
          </cell>
          <cell r="AL35">
            <v>134196.43233333333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-27752.631000000001</v>
          </cell>
          <cell r="AR35">
            <v>-63296.399999999994</v>
          </cell>
          <cell r="AS35">
            <v>0</v>
          </cell>
          <cell r="AT35">
            <v>-15985.408000000003</v>
          </cell>
          <cell r="AU35">
            <v>-115049.29244445963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/>
      <sheetData sheetId="7">
        <row r="6">
          <cell r="F6" t="str">
            <v>합계</v>
          </cell>
        </row>
      </sheetData>
      <sheetData sheetId="8" refreshError="1"/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 refreshError="1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30154</v>
          </cell>
          <cell r="H7">
            <v>25908</v>
          </cell>
          <cell r="I7">
            <v>24724</v>
          </cell>
          <cell r="J7">
            <v>8562</v>
          </cell>
          <cell r="K7">
            <v>17425</v>
          </cell>
          <cell r="L7">
            <v>20050</v>
          </cell>
          <cell r="M7">
            <v>11781</v>
          </cell>
          <cell r="N7">
            <v>17288</v>
          </cell>
          <cell r="O7">
            <v>11070</v>
          </cell>
          <cell r="P7">
            <v>13405.5</v>
          </cell>
          <cell r="Q7">
            <v>12691</v>
          </cell>
          <cell r="R7">
            <v>15045.5</v>
          </cell>
          <cell r="S7">
            <v>24195</v>
          </cell>
          <cell r="T7">
            <v>5172.5</v>
          </cell>
          <cell r="U7">
            <v>7211</v>
          </cell>
          <cell r="V7">
            <v>8073.5</v>
          </cell>
          <cell r="W7">
            <v>3901.5</v>
          </cell>
          <cell r="Z7">
            <v>256657.5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256657.5</v>
          </cell>
          <cell r="AJ7">
            <v>14977</v>
          </cell>
          <cell r="AK7">
            <v>10470</v>
          </cell>
          <cell r="AL7">
            <v>35515</v>
          </cell>
          <cell r="AN7">
            <v>60962</v>
          </cell>
          <cell r="AO7">
            <v>12986.909999999998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38860654.469999999</v>
          </cell>
          <cell r="G8">
            <v>3033833.2220000001</v>
          </cell>
          <cell r="H8">
            <v>2597184.2779999999</v>
          </cell>
          <cell r="I8">
            <v>2369881.8939999999</v>
          </cell>
          <cell r="J8">
            <v>821125.58400000003</v>
          </cell>
          <cell r="K8">
            <v>1927916</v>
          </cell>
          <cell r="L8">
            <v>2059034.6</v>
          </cell>
          <cell r="M8">
            <v>1132066.7</v>
          </cell>
          <cell r="N8">
            <v>1737784.4</v>
          </cell>
          <cell r="O8">
            <v>1022587.773</v>
          </cell>
          <cell r="P8">
            <v>1358995.05</v>
          </cell>
          <cell r="Q8">
            <v>1308702.54</v>
          </cell>
          <cell r="R8">
            <v>1592912.1</v>
          </cell>
          <cell r="S8">
            <v>2473766.0189999999</v>
          </cell>
          <cell r="T8">
            <v>592476.64500000002</v>
          </cell>
          <cell r="U8">
            <v>865034.25</v>
          </cell>
          <cell r="V8">
            <v>767062</v>
          </cell>
          <cell r="W8">
            <v>478870.40899999999</v>
          </cell>
          <cell r="Z8">
            <v>26139233.464000002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26230073.464000002</v>
          </cell>
          <cell r="AJ8">
            <v>424890.5</v>
          </cell>
          <cell r="AK8">
            <v>168030</v>
          </cell>
          <cell r="AL8">
            <v>648402.5</v>
          </cell>
          <cell r="AN8">
            <v>1241323</v>
          </cell>
          <cell r="AO8">
            <v>11314648.652999999</v>
          </cell>
          <cell r="AP8">
            <v>0</v>
          </cell>
          <cell r="AS8">
            <v>11314648.652999999</v>
          </cell>
          <cell r="AT8">
            <v>5512.5</v>
          </cell>
          <cell r="AU8">
            <v>6050</v>
          </cell>
          <cell r="AV8">
            <v>61230.652999999998</v>
          </cell>
          <cell r="BA8">
            <v>72793.152999999991</v>
          </cell>
          <cell r="BB8">
            <v>0</v>
          </cell>
          <cell r="BC8">
            <v>1816.2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1816.2</v>
          </cell>
        </row>
        <row r="9">
          <cell r="G9">
            <v>100611.30271274126</v>
          </cell>
          <cell r="H9">
            <v>100246.42110545005</v>
          </cell>
          <cell r="I9">
            <v>95853.498382138816</v>
          </cell>
          <cell r="J9">
            <v>95903.478626489145</v>
          </cell>
          <cell r="K9">
            <v>110640.80344332855</v>
          </cell>
          <cell r="L9">
            <v>102694.99251870325</v>
          </cell>
          <cell r="M9">
            <v>96092.581274934215</v>
          </cell>
          <cell r="N9">
            <v>100519.68995835261</v>
          </cell>
          <cell r="O9">
            <v>92374.685907859093</v>
          </cell>
          <cell r="P9">
            <v>101375.93152064452</v>
          </cell>
          <cell r="Q9">
            <v>103120.52162950122</v>
          </cell>
          <cell r="R9">
            <v>105872.99192449571</v>
          </cell>
          <cell r="S9">
            <v>102242.86088034717</v>
          </cell>
          <cell r="T9">
            <v>114543.57564040599</v>
          </cell>
          <cell r="U9">
            <v>119960.37304118706</v>
          </cell>
          <cell r="V9">
            <v>95009.847030408127</v>
          </cell>
          <cell r="W9">
            <v>122740.07663719082</v>
          </cell>
          <cell r="Z9">
            <v>101844.80665478313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102198.74137323088</v>
          </cell>
          <cell r="AJ9">
            <v>28369.533284369369</v>
          </cell>
          <cell r="AK9">
            <v>16048.710601719196</v>
          </cell>
          <cell r="AL9">
            <v>18257.144868365478</v>
          </cell>
          <cell r="AO9">
            <v>871234.85517340153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34692908.381019995</v>
          </cell>
          <cell r="G10">
            <v>2678841.0096900002</v>
          </cell>
          <cell r="H10">
            <v>2303366.4502800005</v>
          </cell>
          <cell r="I10">
            <v>2130562.05528</v>
          </cell>
          <cell r="J10">
            <v>735223.64835999999</v>
          </cell>
          <cell r="K10">
            <v>1614465.4321600001</v>
          </cell>
          <cell r="L10">
            <v>1733670.4461400001</v>
          </cell>
          <cell r="M10">
            <v>1037300.3843499999</v>
          </cell>
          <cell r="N10">
            <v>1522960.1649200001</v>
          </cell>
          <cell r="O10">
            <v>934021.84010999999</v>
          </cell>
          <cell r="P10">
            <v>1106110.8868900002</v>
          </cell>
          <cell r="Q10">
            <v>1082501.60195</v>
          </cell>
          <cell r="R10">
            <v>1312257.00712</v>
          </cell>
          <cell r="S10">
            <v>1996996.1479400001</v>
          </cell>
          <cell r="T10">
            <v>453532.41256000003</v>
          </cell>
          <cell r="U10">
            <v>602559.48765000002</v>
          </cell>
          <cell r="V10">
            <v>672585.28590999998</v>
          </cell>
          <cell r="W10">
            <v>423850.21492</v>
          </cell>
          <cell r="Z10">
            <v>22340804.476229999</v>
          </cell>
          <cell r="AA10">
            <v>-1808.625</v>
          </cell>
          <cell r="AB10">
            <v>0</v>
          </cell>
          <cell r="AC10">
            <v>3135.451</v>
          </cell>
          <cell r="AD10">
            <v>8444.4619999999995</v>
          </cell>
          <cell r="AH10">
            <v>9771.2880000000005</v>
          </cell>
          <cell r="AI10">
            <v>22350575.764229998</v>
          </cell>
          <cell r="AJ10">
            <v>315083.86060000001</v>
          </cell>
          <cell r="AK10">
            <v>156317.12860999999</v>
          </cell>
          <cell r="AL10">
            <v>677589.41558000003</v>
          </cell>
          <cell r="AN10">
            <v>1148990.4047900001</v>
          </cell>
          <cell r="AO10">
            <v>11193012.956</v>
          </cell>
          <cell r="AP10">
            <v>0</v>
          </cell>
          <cell r="AS10">
            <v>11193012.956</v>
          </cell>
          <cell r="AT10">
            <v>143.00399999999999</v>
          </cell>
          <cell r="AU10">
            <v>186.25200000000001</v>
          </cell>
          <cell r="AV10">
            <v>0</v>
          </cell>
          <cell r="BA10">
            <v>329.25599999999997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J10">
            <v>0</v>
          </cell>
        </row>
        <row r="11">
          <cell r="G11">
            <v>88838.661858791544</v>
          </cell>
          <cell r="H11">
            <v>88905.606387216321</v>
          </cell>
          <cell r="I11">
            <v>86173.841420482117</v>
          </cell>
          <cell r="J11">
            <v>85870.549913571595</v>
          </cell>
          <cell r="K11">
            <v>92652.248617503588</v>
          </cell>
          <cell r="L11">
            <v>86467.353922194525</v>
          </cell>
          <cell r="M11">
            <v>88048.585379000084</v>
          </cell>
          <cell r="N11">
            <v>88093.484782508094</v>
          </cell>
          <cell r="O11">
            <v>84374.149964769647</v>
          </cell>
          <cell r="P11">
            <v>82511.721822386346</v>
          </cell>
          <cell r="Q11">
            <v>85296.793156567641</v>
          </cell>
          <cell r="R11">
            <v>87219.235460436685</v>
          </cell>
          <cell r="S11">
            <v>82537.555194874978</v>
          </cell>
          <cell r="T11">
            <v>87681.471737071057</v>
          </cell>
          <cell r="U11">
            <v>83561.154853695742</v>
          </cell>
          <cell r="V11">
            <v>83307.77059639561</v>
          </cell>
          <cell r="W11">
            <v>108637.75853389721</v>
          </cell>
          <cell r="Z11">
            <v>87045.204119225033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87083.275432161521</v>
          </cell>
          <cell r="AJ11">
            <v>21037.848741403486</v>
          </cell>
          <cell r="AK11">
            <v>14930.002732569244</v>
          </cell>
          <cell r="AL11">
            <v>19078.964256792904</v>
          </cell>
          <cell r="AO11">
            <v>861868.83223183977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4167746.0889800042</v>
          </cell>
          <cell r="G12">
            <v>354992.21230999986</v>
          </cell>
          <cell r="H12">
            <v>293817.82771999948</v>
          </cell>
          <cell r="I12">
            <v>239319.83871999988</v>
          </cell>
          <cell r="J12">
            <v>85901.93564000004</v>
          </cell>
          <cell r="K12">
            <v>313450.56783999992</v>
          </cell>
          <cell r="L12">
            <v>325364.15385999996</v>
          </cell>
          <cell r="M12">
            <v>94766.315650000004</v>
          </cell>
          <cell r="N12">
            <v>214824.23507999978</v>
          </cell>
          <cell r="O12">
            <v>88565.932890000055</v>
          </cell>
          <cell r="P12">
            <v>252884.16310999985</v>
          </cell>
          <cell r="Q12">
            <v>226200.93805</v>
          </cell>
          <cell r="R12">
            <v>280655.09288000013</v>
          </cell>
          <cell r="S12">
            <v>476769.8710599998</v>
          </cell>
          <cell r="T12">
            <v>138944.23243999999</v>
          </cell>
          <cell r="U12">
            <v>262474.76234999998</v>
          </cell>
          <cell r="V12">
            <v>94476.714090000023</v>
          </cell>
          <cell r="W12">
            <v>55020.194079999987</v>
          </cell>
          <cell r="Z12">
            <v>3798428.9877699986</v>
          </cell>
          <cell r="AA12">
            <v>51808.625</v>
          </cell>
          <cell r="AB12">
            <v>0</v>
          </cell>
          <cell r="AC12">
            <v>9364.5489999999991</v>
          </cell>
          <cell r="AD12">
            <v>19895.538</v>
          </cell>
          <cell r="AH12">
            <v>81068.712</v>
          </cell>
          <cell r="AI12">
            <v>3879497.6997700036</v>
          </cell>
          <cell r="AJ12">
            <v>109806.63939999999</v>
          </cell>
          <cell r="AK12">
            <v>11712.871390000015</v>
          </cell>
          <cell r="AL12">
            <v>-29186.91558000003</v>
          </cell>
          <cell r="AN12">
            <v>92332.595209999941</v>
          </cell>
          <cell r="AO12">
            <v>121635.69699999876</v>
          </cell>
          <cell r="AP12">
            <v>0</v>
          </cell>
          <cell r="AS12">
            <v>121635.69699999876</v>
          </cell>
          <cell r="AT12">
            <v>5369.4960000000001</v>
          </cell>
          <cell r="AU12">
            <v>5863.7479999999996</v>
          </cell>
          <cell r="AV12">
            <v>61230.652999999998</v>
          </cell>
          <cell r="BA12">
            <v>72463.896999999997</v>
          </cell>
          <cell r="BB12">
            <v>0</v>
          </cell>
          <cell r="BC12">
            <v>1816.2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J12">
            <v>1816.2</v>
          </cell>
        </row>
        <row r="13">
          <cell r="F13">
            <v>859476.79200000013</v>
          </cell>
          <cell r="G13">
            <v>66723.520000000004</v>
          </cell>
          <cell r="H13">
            <v>59281.133000000002</v>
          </cell>
          <cell r="I13">
            <v>48079.859000000004</v>
          </cell>
          <cell r="J13">
            <v>32674.875</v>
          </cell>
          <cell r="K13">
            <v>44731.489000000001</v>
          </cell>
          <cell r="L13">
            <v>47848.962</v>
          </cell>
          <cell r="M13">
            <v>39289.644999999997</v>
          </cell>
          <cell r="N13">
            <v>43909.751000000004</v>
          </cell>
          <cell r="O13">
            <v>27785.125000000004</v>
          </cell>
          <cell r="P13">
            <v>47804.741999999998</v>
          </cell>
          <cell r="Q13">
            <v>35681.637999999999</v>
          </cell>
          <cell r="R13">
            <v>26809.27</v>
          </cell>
          <cell r="S13">
            <v>46049.059000000008</v>
          </cell>
          <cell r="T13">
            <v>12225.679</v>
          </cell>
          <cell r="U13">
            <v>10972.724</v>
          </cell>
          <cell r="V13">
            <v>28718.807000000001</v>
          </cell>
          <cell r="W13">
            <v>13896.8</v>
          </cell>
          <cell r="Z13">
            <v>632483.0780000001</v>
          </cell>
          <cell r="AA13">
            <v>2089.6999999999998</v>
          </cell>
          <cell r="AB13">
            <v>141.87900000000002</v>
          </cell>
          <cell r="AC13">
            <v>275.39999999999998</v>
          </cell>
          <cell r="AD13">
            <v>0</v>
          </cell>
          <cell r="AH13">
            <v>2506.9789999999998</v>
          </cell>
          <cell r="AI13">
            <v>634990.05700000015</v>
          </cell>
          <cell r="AJ13">
            <v>1460</v>
          </cell>
          <cell r="AK13">
            <v>56092.935999999994</v>
          </cell>
          <cell r="AL13">
            <v>0</v>
          </cell>
          <cell r="AN13">
            <v>57552.935999999994</v>
          </cell>
          <cell r="AO13">
            <v>155654.92800000001</v>
          </cell>
          <cell r="AP13">
            <v>0</v>
          </cell>
          <cell r="AS13">
            <v>155654.92800000001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11278.870999999999</v>
          </cell>
          <cell r="BG13">
            <v>0</v>
          </cell>
          <cell r="BJ13">
            <v>11278.870999999999</v>
          </cell>
        </row>
        <row r="14">
          <cell r="F14">
            <v>530432.84800000023</v>
          </cell>
          <cell r="G14">
            <v>46703.006000000001</v>
          </cell>
          <cell r="H14">
            <v>40823.361000000004</v>
          </cell>
          <cell r="I14">
            <v>33162.942999999999</v>
          </cell>
          <cell r="J14">
            <v>24573.263999999999</v>
          </cell>
          <cell r="K14">
            <v>31264.812000000002</v>
          </cell>
          <cell r="L14">
            <v>33662.955000000002</v>
          </cell>
          <cell r="M14">
            <v>25713.399999999998</v>
          </cell>
          <cell r="N14">
            <v>32846.332000000002</v>
          </cell>
          <cell r="O14">
            <v>19149.673000000003</v>
          </cell>
          <cell r="P14">
            <v>31623.273000000001</v>
          </cell>
          <cell r="Q14">
            <v>25443.496999999999</v>
          </cell>
          <cell r="R14">
            <v>19090.748</v>
          </cell>
          <cell r="S14">
            <v>30725.731000000003</v>
          </cell>
          <cell r="T14">
            <v>7177.6719999999996</v>
          </cell>
          <cell r="U14">
            <v>7157.8350000000009</v>
          </cell>
          <cell r="V14">
            <v>21952.053</v>
          </cell>
          <cell r="W14">
            <v>10360.079</v>
          </cell>
          <cell r="Z14">
            <v>441430.63400000014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441430.63400000014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89008.37</v>
          </cell>
          <cell r="AP14">
            <v>0</v>
          </cell>
          <cell r="AS14">
            <v>89008.37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-6.1559999999999997</v>
          </cell>
          <cell r="BG14">
            <v>0</v>
          </cell>
          <cell r="BJ14">
            <v>-6.1559999999999997</v>
          </cell>
        </row>
        <row r="15">
          <cell r="F15">
            <v>329043.94399999996</v>
          </cell>
          <cell r="G15">
            <v>20020.513999999999</v>
          </cell>
          <cell r="H15">
            <v>18457.772000000001</v>
          </cell>
          <cell r="I15">
            <v>14916.916000000003</v>
          </cell>
          <cell r="J15">
            <v>8101.6109999999999</v>
          </cell>
          <cell r="K15">
            <v>13466.677</v>
          </cell>
          <cell r="L15">
            <v>14186.007000000001</v>
          </cell>
          <cell r="M15">
            <v>13576.244999999999</v>
          </cell>
          <cell r="N15">
            <v>11063.419</v>
          </cell>
          <cell r="O15">
            <v>8635.4520000000011</v>
          </cell>
          <cell r="P15">
            <v>16181.469000000001</v>
          </cell>
          <cell r="Q15">
            <v>10238.141</v>
          </cell>
          <cell r="R15">
            <v>7718.5220000000008</v>
          </cell>
          <cell r="S15">
            <v>15323.328000000001</v>
          </cell>
          <cell r="T15">
            <v>5048.0069999999996</v>
          </cell>
          <cell r="U15">
            <v>3814.8889999999997</v>
          </cell>
          <cell r="V15">
            <v>6766.7539999999999</v>
          </cell>
          <cell r="W15">
            <v>3536.721</v>
          </cell>
          <cell r="Z15">
            <v>191052.44399999999</v>
          </cell>
          <cell r="AA15">
            <v>2089.6999999999998</v>
          </cell>
          <cell r="AB15">
            <v>141.87900000000002</v>
          </cell>
          <cell r="AC15">
            <v>275.39999999999998</v>
          </cell>
          <cell r="AD15">
            <v>0</v>
          </cell>
          <cell r="AH15">
            <v>2506.9789999999998</v>
          </cell>
          <cell r="AI15">
            <v>193559.42299999998</v>
          </cell>
          <cell r="AJ15">
            <v>1460</v>
          </cell>
          <cell r="AK15">
            <v>56092.935999999994</v>
          </cell>
          <cell r="AL15">
            <v>0</v>
          </cell>
          <cell r="AN15">
            <v>57552.935999999994</v>
          </cell>
          <cell r="AO15">
            <v>66646.558000000005</v>
          </cell>
          <cell r="AP15">
            <v>0</v>
          </cell>
          <cell r="AS15">
            <v>66646.558000000005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11285.027</v>
          </cell>
          <cell r="BG15">
            <v>0</v>
          </cell>
          <cell r="BJ15">
            <v>11285.027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3308269.2969800038</v>
          </cell>
          <cell r="G17">
            <v>288268.69230999984</v>
          </cell>
          <cell r="H17">
            <v>234536.69471999948</v>
          </cell>
          <cell r="I17">
            <v>191239.97971999989</v>
          </cell>
          <cell r="J17">
            <v>53227.06064000004</v>
          </cell>
          <cell r="K17">
            <v>268719.07883999991</v>
          </cell>
          <cell r="L17">
            <v>277515.19185999996</v>
          </cell>
          <cell r="M17">
            <v>55476.670650000007</v>
          </cell>
          <cell r="N17">
            <v>170914.48407999979</v>
          </cell>
          <cell r="O17">
            <v>60780.807890000055</v>
          </cell>
          <cell r="P17">
            <v>205079.42110999985</v>
          </cell>
          <cell r="Q17">
            <v>190519.30004999999</v>
          </cell>
          <cell r="R17">
            <v>253845.82288000014</v>
          </cell>
          <cell r="S17">
            <v>430720.81205999979</v>
          </cell>
          <cell r="T17">
            <v>126718.55343999999</v>
          </cell>
          <cell r="U17">
            <v>251502.03834999999</v>
          </cell>
          <cell r="V17">
            <v>65757.907090000022</v>
          </cell>
          <cell r="W17">
            <v>41123.394079999984</v>
          </cell>
          <cell r="Z17">
            <v>3165945.9097699984</v>
          </cell>
          <cell r="AA17">
            <v>49718.925000000003</v>
          </cell>
          <cell r="AB17">
            <v>-141.87900000000002</v>
          </cell>
          <cell r="AC17">
            <v>9089.1489999999994</v>
          </cell>
          <cell r="AD17">
            <v>19895.538</v>
          </cell>
          <cell r="AH17">
            <v>78561.732999999993</v>
          </cell>
          <cell r="AI17">
            <v>3244507.6427700035</v>
          </cell>
          <cell r="AJ17">
            <v>108346.63939999999</v>
          </cell>
          <cell r="AK17">
            <v>-44380.064609999979</v>
          </cell>
          <cell r="AL17">
            <v>-29186.91558000003</v>
          </cell>
          <cell r="AN17">
            <v>34779.659209999947</v>
          </cell>
          <cell r="AO17">
            <v>-34019.231000001251</v>
          </cell>
          <cell r="AP17">
            <v>0</v>
          </cell>
          <cell r="AS17">
            <v>-34019.231000001251</v>
          </cell>
          <cell r="AT17">
            <v>5369.4960000000001</v>
          </cell>
          <cell r="AU17">
            <v>5863.7479999999996</v>
          </cell>
          <cell r="AV17">
            <v>61230.652999999998</v>
          </cell>
          <cell r="BA17">
            <v>72463.896999999997</v>
          </cell>
          <cell r="BB17">
            <v>0</v>
          </cell>
          <cell r="BC17">
            <v>1816.2</v>
          </cell>
          <cell r="BD17">
            <v>0</v>
          </cell>
          <cell r="BE17">
            <v>0</v>
          </cell>
          <cell r="BF17">
            <v>-11278.870999999999</v>
          </cell>
          <cell r="BG17">
            <v>0</v>
          </cell>
          <cell r="BJ17">
            <v>-9462.6709999999985</v>
          </cell>
        </row>
        <row r="18">
          <cell r="F18">
            <v>607160.56397999998</v>
          </cell>
          <cell r="G18">
            <v>29672.462309999999</v>
          </cell>
          <cell r="H18">
            <v>34736.512719999999</v>
          </cell>
          <cell r="I18">
            <v>19905.977719999999</v>
          </cell>
          <cell r="J18">
            <v>20673.935640000003</v>
          </cell>
          <cell r="K18">
            <v>78101.101840000003</v>
          </cell>
          <cell r="L18">
            <v>51885.129860000001</v>
          </cell>
          <cell r="M18">
            <v>16921.08265</v>
          </cell>
          <cell r="N18">
            <v>33064.968079999999</v>
          </cell>
          <cell r="O18">
            <v>11188.05989</v>
          </cell>
          <cell r="P18">
            <v>31586.92211</v>
          </cell>
          <cell r="Q18">
            <v>14925.602050000001</v>
          </cell>
          <cell r="R18">
            <v>13339.889880000001</v>
          </cell>
          <cell r="S18">
            <v>35610.350060000004</v>
          </cell>
          <cell r="T18">
            <v>5795.0674399999998</v>
          </cell>
          <cell r="U18">
            <v>10469.77635</v>
          </cell>
          <cell r="V18">
            <v>20936.249090000001</v>
          </cell>
          <cell r="W18">
            <v>12135.299080000001</v>
          </cell>
          <cell r="Z18">
            <v>440948.38676999998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446974.64976999996</v>
          </cell>
          <cell r="AJ18">
            <v>29530.217399999998</v>
          </cell>
          <cell r="AK18">
            <v>11142.435390000001</v>
          </cell>
          <cell r="AL18">
            <v>62479.720420000005</v>
          </cell>
          <cell r="AN18">
            <v>103152.37321000001</v>
          </cell>
          <cell r="AO18">
            <v>5550.3850000000002</v>
          </cell>
          <cell r="AP18">
            <v>855.83600000000001</v>
          </cell>
          <cell r="AS18">
            <v>6406.2210000000005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17716.909</v>
          </cell>
          <cell r="BD18">
            <v>0</v>
          </cell>
          <cell r="BE18">
            <v>0</v>
          </cell>
          <cell r="BF18">
            <v>23107.911</v>
          </cell>
          <cell r="BG18">
            <v>0</v>
          </cell>
          <cell r="BJ18">
            <v>40824.82</v>
          </cell>
        </row>
        <row r="19">
          <cell r="F19">
            <v>537512.43797999993</v>
          </cell>
          <cell r="G19">
            <v>27344.84031</v>
          </cell>
          <cell r="H19">
            <v>32791.377719999997</v>
          </cell>
          <cell r="I19">
            <v>18134.73072</v>
          </cell>
          <cell r="J19">
            <v>19481.947640000002</v>
          </cell>
          <cell r="K19">
            <v>76225.035839999997</v>
          </cell>
          <cell r="L19">
            <v>50320.727859999999</v>
          </cell>
          <cell r="M19">
            <v>15727.48365</v>
          </cell>
          <cell r="N19">
            <v>31501.663079999998</v>
          </cell>
          <cell r="O19">
            <v>10438.02389</v>
          </cell>
          <cell r="P19">
            <v>30368.15611</v>
          </cell>
          <cell r="Q19">
            <v>13720.21405</v>
          </cell>
          <cell r="R19">
            <v>12237.73488</v>
          </cell>
          <cell r="S19">
            <v>34022.149060000003</v>
          </cell>
          <cell r="T19">
            <v>5424.6674400000002</v>
          </cell>
          <cell r="U19">
            <v>10026.907349999999</v>
          </cell>
          <cell r="V19">
            <v>19809.38509</v>
          </cell>
          <cell r="W19">
            <v>11309.92908</v>
          </cell>
          <cell r="Z19">
            <v>418884.97376999992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424557.56476999994</v>
          </cell>
          <cell r="AJ19">
            <v>29530.217399999998</v>
          </cell>
          <cell r="AK19">
            <v>11142.435390000001</v>
          </cell>
          <cell r="AL19">
            <v>62479.720420000005</v>
          </cell>
          <cell r="AN19">
            <v>103152.37321000001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69648.126000000004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5550.3850000000002</v>
          </cell>
          <cell r="AP20">
            <v>855.83600000000001</v>
          </cell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17716.909</v>
          </cell>
          <cell r="BD20">
            <v>0</v>
          </cell>
          <cell r="BE20">
            <v>0</v>
          </cell>
          <cell r="BF20">
            <v>23107.911</v>
          </cell>
          <cell r="BG20">
            <v>0</v>
          </cell>
          <cell r="BJ20">
            <v>40824.82</v>
          </cell>
        </row>
        <row r="21">
          <cell r="F21">
            <v>2701108.7330000037</v>
          </cell>
          <cell r="G21">
            <v>258596.22999999984</v>
          </cell>
          <cell r="H21">
            <v>199800.18199999948</v>
          </cell>
          <cell r="I21">
            <v>171334.00199999989</v>
          </cell>
          <cell r="J21">
            <v>32553.125000000036</v>
          </cell>
          <cell r="K21">
            <v>190617.9769999999</v>
          </cell>
          <cell r="L21">
            <v>225630.06199999998</v>
          </cell>
          <cell r="M21">
            <v>38555.588000000003</v>
          </cell>
          <cell r="N21">
            <v>137849.5159999998</v>
          </cell>
          <cell r="O21">
            <v>49592.748000000051</v>
          </cell>
          <cell r="P21">
            <v>173492.49899999984</v>
          </cell>
          <cell r="Q21">
            <v>175593.69799999997</v>
          </cell>
          <cell r="R21">
            <v>240505.93300000014</v>
          </cell>
          <cell r="S21">
            <v>395110.46199999977</v>
          </cell>
          <cell r="T21">
            <v>120923.48599999999</v>
          </cell>
          <cell r="U21">
            <v>241032.26199999999</v>
          </cell>
          <cell r="V21">
            <v>44821.658000000025</v>
          </cell>
          <cell r="W21">
            <v>28988.094999999983</v>
          </cell>
          <cell r="Z21">
            <v>2724997.5229999982</v>
          </cell>
          <cell r="AA21">
            <v>44046.334000000003</v>
          </cell>
          <cell r="AB21">
            <v>-495.55100000000004</v>
          </cell>
          <cell r="AC21">
            <v>9089.1489999999994</v>
          </cell>
          <cell r="AD21">
            <v>19895.538</v>
          </cell>
          <cell r="AH21">
            <v>72535.469999999987</v>
          </cell>
          <cell r="AI21">
            <v>2797532.9930000035</v>
          </cell>
          <cell r="AJ21">
            <v>78816.421999999991</v>
          </cell>
          <cell r="AK21">
            <v>-55522.499999999978</v>
          </cell>
          <cell r="AL21">
            <v>-91666.636000000028</v>
          </cell>
          <cell r="AN21">
            <v>-68372.714000000065</v>
          </cell>
          <cell r="AO21">
            <v>-39569.616000001253</v>
          </cell>
          <cell r="AP21">
            <v>-855.83600000000001</v>
          </cell>
          <cell r="AS21">
            <v>-40425.452000001249</v>
          </cell>
          <cell r="AT21">
            <v>4056.6040000000003</v>
          </cell>
          <cell r="AU21">
            <v>-2625.8600000000006</v>
          </cell>
          <cell r="AV21">
            <v>61230.652999999998</v>
          </cell>
          <cell r="BA21">
            <v>62661.396999999997</v>
          </cell>
          <cell r="BB21">
            <v>0</v>
          </cell>
          <cell r="BC21">
            <v>-15900.708999999999</v>
          </cell>
          <cell r="BD21">
            <v>0</v>
          </cell>
          <cell r="BE21">
            <v>0</v>
          </cell>
          <cell r="BF21">
            <v>-34386.781999999999</v>
          </cell>
          <cell r="BG21">
            <v>0</v>
          </cell>
          <cell r="BJ21">
            <v>-50287.490999999995</v>
          </cell>
        </row>
        <row r="22">
          <cell r="F22">
            <v>1380611.8289998556</v>
          </cell>
          <cell r="G22">
            <v>156080.84338104835</v>
          </cell>
          <cell r="H22">
            <v>133616.67661447974</v>
          </cell>
          <cell r="I22">
            <v>121922.70888415904</v>
          </cell>
          <cell r="J22">
            <v>42244.238326320192</v>
          </cell>
          <cell r="K22">
            <v>99982.011449716723</v>
          </cell>
          <cell r="L22">
            <v>106781.8416116485</v>
          </cell>
          <cell r="M22">
            <v>58709.147992569706</v>
          </cell>
          <cell r="N22">
            <v>90121.758301678652</v>
          </cell>
          <cell r="O22">
            <v>53031.554501558334</v>
          </cell>
          <cell r="P22">
            <v>70477.686086535075</v>
          </cell>
          <cell r="Q22">
            <v>67869.509013127827</v>
          </cell>
          <cell r="R22">
            <v>82608.659205376345</v>
          </cell>
          <cell r="S22">
            <v>121834.73404391567</v>
          </cell>
          <cell r="T22">
            <v>29179.895720285756</v>
          </cell>
          <cell r="U22">
            <v>42603.551418428651</v>
          </cell>
          <cell r="V22">
            <v>37778.34849674764</v>
          </cell>
          <cell r="W22">
            <v>23584.707880174064</v>
          </cell>
          <cell r="Z22">
            <v>1338427.8729277705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1338427.8729277705</v>
          </cell>
          <cell r="AJ22">
            <v>14439.080068207624</v>
          </cell>
          <cell r="AK22">
            <v>5710.1738538774744</v>
          </cell>
          <cell r="AL22">
            <v>22034.702149999997</v>
          </cell>
          <cell r="AN22">
            <v>42183.9560720851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249808.43899985545</v>
          </cell>
          <cell r="G23">
            <v>24834.8794602977</v>
          </cell>
          <cell r="H23">
            <v>21260.482617363301</v>
          </cell>
          <cell r="I23">
            <v>19399.791242918891</v>
          </cell>
          <cell r="J23">
            <v>6721.7125689470586</v>
          </cell>
          <cell r="K23">
            <v>16578.879087868678</v>
          </cell>
          <cell r="L23">
            <v>17706.417536416549</v>
          </cell>
          <cell r="M23">
            <v>9735.0698571423763</v>
          </cell>
          <cell r="N23">
            <v>14943.865525460868</v>
          </cell>
          <cell r="O23">
            <v>8793.619143831942</v>
          </cell>
          <cell r="P23">
            <v>11686.512594408703</v>
          </cell>
          <cell r="Q23">
            <v>11254.028273351443</v>
          </cell>
          <cell r="R23">
            <v>13698.053807065753</v>
          </cell>
          <cell r="S23">
            <v>14817.709072444441</v>
          </cell>
          <cell r="T23">
            <v>3548.8993261282017</v>
          </cell>
          <cell r="U23">
            <v>5181.5029213561902</v>
          </cell>
          <cell r="V23">
            <v>4594.6550600294986</v>
          </cell>
          <cell r="W23">
            <v>2868.4048327387422</v>
          </cell>
          <cell r="Z23">
            <v>207624.48292777035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207624.48292777035</v>
          </cell>
          <cell r="AJ23">
            <v>14439.080068207624</v>
          </cell>
          <cell r="AK23">
            <v>5710.1738538774744</v>
          </cell>
          <cell r="AL23">
            <v>22034.702149999997</v>
          </cell>
          <cell r="AN23">
            <v>42183.9560720851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469414.57900000009</v>
          </cell>
          <cell r="G24">
            <v>54482.299437843358</v>
          </cell>
          <cell r="H24">
            <v>46640.85372365106</v>
          </cell>
          <cell r="I24">
            <v>42558.903384976955</v>
          </cell>
          <cell r="J24">
            <v>14745.968769525854</v>
          </cell>
          <cell r="K24">
            <v>34621.974616576073</v>
          </cell>
          <cell r="L24">
            <v>36976.633658236089</v>
          </cell>
          <cell r="M24">
            <v>20329.923374084265</v>
          </cell>
          <cell r="N24">
            <v>31207.546068335905</v>
          </cell>
          <cell r="O24">
            <v>18363.874733145563</v>
          </cell>
          <cell r="P24">
            <v>24405.156721118834</v>
          </cell>
          <cell r="Q24">
            <v>23501.991850541537</v>
          </cell>
          <cell r="R24">
            <v>28605.894806950564</v>
          </cell>
          <cell r="S24">
            <v>44424.479239327055</v>
          </cell>
          <cell r="T24">
            <v>10639.83667551084</v>
          </cell>
          <cell r="U24">
            <v>15534.49104938645</v>
          </cell>
          <cell r="V24">
            <v>13775.082054062563</v>
          </cell>
          <cell r="W24">
            <v>8599.6688367270181</v>
          </cell>
          <cell r="Z24">
            <v>469414.57900000009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469414.57900000009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661388.81099999987</v>
          </cell>
          <cell r="G25">
            <v>76763.664482907305</v>
          </cell>
          <cell r="H25">
            <v>65715.340273465379</v>
          </cell>
          <cell r="I25">
            <v>59964.014256263188</v>
          </cell>
          <cell r="J25">
            <v>20776.556987847278</v>
          </cell>
          <cell r="K25">
            <v>48781.157745271965</v>
          </cell>
          <cell r="L25">
            <v>52098.790416995857</v>
          </cell>
          <cell r="M25">
            <v>28644.154761343063</v>
          </cell>
          <cell r="N25">
            <v>43970.346707881879</v>
          </cell>
          <cell r="O25">
            <v>25874.060624580827</v>
          </cell>
          <cell r="P25">
            <v>34386.01677100754</v>
          </cell>
          <cell r="Q25">
            <v>33113.488889234854</v>
          </cell>
          <cell r="R25">
            <v>40304.710591360024</v>
          </cell>
          <cell r="S25">
            <v>62592.545732144172</v>
          </cell>
          <cell r="T25">
            <v>14991.159718646717</v>
          </cell>
          <cell r="U25">
            <v>21887.557447686013</v>
          </cell>
          <cell r="V25">
            <v>19408.611382655577</v>
          </cell>
          <cell r="W25">
            <v>12116.634210708302</v>
          </cell>
          <cell r="Z25">
            <v>661388.81099999987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661388.81099999987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1320496.9040001482</v>
          </cell>
          <cell r="G26">
            <v>102515.38661895148</v>
          </cell>
          <cell r="H26">
            <v>66183.505385519733</v>
          </cell>
          <cell r="I26">
            <v>49411.293115840846</v>
          </cell>
          <cell r="J26">
            <v>-9691.1133263201555</v>
          </cell>
          <cell r="K26">
            <v>90635.965550283174</v>
          </cell>
          <cell r="L26">
            <v>118848.22038835147</v>
          </cell>
          <cell r="M26">
            <v>-20153.559992569702</v>
          </cell>
          <cell r="N26">
            <v>47727.757698321147</v>
          </cell>
          <cell r="O26">
            <v>-3438.8065015582833</v>
          </cell>
          <cell r="P26">
            <v>103014.81291346476</v>
          </cell>
          <cell r="Q26">
            <v>107724.18898687215</v>
          </cell>
          <cell r="R26">
            <v>157897.27379462379</v>
          </cell>
          <cell r="S26">
            <v>273275.72795608407</v>
          </cell>
          <cell r="T26">
            <v>91743.590279714233</v>
          </cell>
          <cell r="U26">
            <v>198428.71058157133</v>
          </cell>
          <cell r="V26">
            <v>7043.3095032523852</v>
          </cell>
          <cell r="W26">
            <v>5403.3871198259185</v>
          </cell>
          <cell r="Z26">
            <v>1386569.6500722277</v>
          </cell>
          <cell r="AA26">
            <v>44046.334000000003</v>
          </cell>
          <cell r="AB26">
            <v>-495.55100000000004</v>
          </cell>
          <cell r="AC26">
            <v>9089.1489999999994</v>
          </cell>
          <cell r="AD26">
            <v>19895.538</v>
          </cell>
          <cell r="AH26">
            <v>72535.469999999987</v>
          </cell>
          <cell r="AI26">
            <v>1459105.120072233</v>
          </cell>
          <cell r="AJ26">
            <v>64377.341931792369</v>
          </cell>
          <cell r="AK26">
            <v>-61232.673853877452</v>
          </cell>
          <cell r="AL26">
            <v>-113701.33815000003</v>
          </cell>
          <cell r="AN26">
            <v>-110556.67007208517</v>
          </cell>
          <cell r="AO26">
            <v>-39569.616000001253</v>
          </cell>
          <cell r="AP26">
            <v>-855.83600000000001</v>
          </cell>
          <cell r="AS26">
            <v>-40425.452000001249</v>
          </cell>
          <cell r="AT26">
            <v>4056.6040000000003</v>
          </cell>
          <cell r="AU26">
            <v>-2625.8600000000006</v>
          </cell>
          <cell r="AV26">
            <v>61230.652999999998</v>
          </cell>
          <cell r="BA26">
            <v>62661.396999999997</v>
          </cell>
          <cell r="BB26">
            <v>0</v>
          </cell>
          <cell r="BC26">
            <v>-15900.708999999999</v>
          </cell>
          <cell r="BD26">
            <v>0</v>
          </cell>
          <cell r="BE26">
            <v>0</v>
          </cell>
          <cell r="BF26">
            <v>-34386.781999999999</v>
          </cell>
          <cell r="BG26">
            <v>0</v>
          </cell>
          <cell r="BJ26">
            <v>-50287.490999999995</v>
          </cell>
        </row>
        <row r="27">
          <cell r="F27">
            <v>1320496.9040001424</v>
          </cell>
          <cell r="G27">
            <v>102515.38661895148</v>
          </cell>
          <cell r="H27">
            <v>66183.505385519748</v>
          </cell>
          <cell r="I27">
            <v>49411.293115840839</v>
          </cell>
          <cell r="J27">
            <v>-9691.1133263201427</v>
          </cell>
          <cell r="K27">
            <v>90635.965550283217</v>
          </cell>
          <cell r="L27">
            <v>118848.22038835146</v>
          </cell>
          <cell r="M27">
            <v>-20153.559992569692</v>
          </cell>
          <cell r="N27">
            <v>47727.75769832114</v>
          </cell>
          <cell r="O27">
            <v>-3438.8065015582906</v>
          </cell>
          <cell r="P27">
            <v>103014.81291346478</v>
          </cell>
          <cell r="Q27">
            <v>107724.18898687218</v>
          </cell>
          <cell r="R27">
            <v>157897.27379462379</v>
          </cell>
          <cell r="S27">
            <v>273275.72795608413</v>
          </cell>
          <cell r="T27">
            <v>91743.590279714248</v>
          </cell>
          <cell r="U27">
            <v>198428.71058157136</v>
          </cell>
          <cell r="V27">
            <v>7043.3095032523797</v>
          </cell>
          <cell r="W27">
            <v>5403.3871198259267</v>
          </cell>
          <cell r="Z27">
            <v>1386569.6500722286</v>
          </cell>
          <cell r="AA27">
            <v>44046.334000000003</v>
          </cell>
          <cell r="AB27">
            <v>-495.55100000000004</v>
          </cell>
          <cell r="AC27">
            <v>9089.1489999999994</v>
          </cell>
          <cell r="AD27">
            <v>19895.538</v>
          </cell>
          <cell r="AH27">
            <v>72535.47</v>
          </cell>
          <cell r="AI27">
            <v>1459105.1200722286</v>
          </cell>
          <cell r="AJ27">
            <v>64377.341931792369</v>
          </cell>
          <cell r="AK27">
            <v>-61232.673853877452</v>
          </cell>
          <cell r="AL27">
            <v>-113701.33815000003</v>
          </cell>
          <cell r="AN27">
            <v>-110556.67007208511</v>
          </cell>
          <cell r="AO27">
            <v>-39569.616000001239</v>
          </cell>
          <cell r="AP27">
            <v>-855.83600000000001</v>
          </cell>
          <cell r="AS27">
            <v>-40425.452000001242</v>
          </cell>
          <cell r="AT27">
            <v>4056.6040000000003</v>
          </cell>
          <cell r="AU27">
            <v>-2625.8600000000006</v>
          </cell>
          <cell r="AV27">
            <v>61230.652999999998</v>
          </cell>
          <cell r="BA27">
            <v>62661.396999999997</v>
          </cell>
          <cell r="BB27">
            <v>0</v>
          </cell>
          <cell r="BC27">
            <v>-15900.708999999999</v>
          </cell>
          <cell r="BD27">
            <v>0</v>
          </cell>
          <cell r="BE27">
            <v>0</v>
          </cell>
          <cell r="BF27">
            <v>-34386.781999999999</v>
          </cell>
          <cell r="BG27">
            <v>0</v>
          </cell>
          <cell r="BJ27">
            <v>-50287.490999999995</v>
          </cell>
        </row>
        <row r="28">
          <cell r="F28">
            <v>5.8207660913467407E-9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7.2759576141834259E-12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-8.1854523159563541E-12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4.4237822294235229E-9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30154</v>
          </cell>
          <cell r="H31">
            <v>25908</v>
          </cell>
          <cell r="I31">
            <v>24724</v>
          </cell>
          <cell r="J31">
            <v>8562</v>
          </cell>
          <cell r="K31">
            <v>17425</v>
          </cell>
          <cell r="L31">
            <v>20050</v>
          </cell>
          <cell r="M31">
            <v>11781</v>
          </cell>
          <cell r="N31">
            <v>17288</v>
          </cell>
          <cell r="O31">
            <v>11070</v>
          </cell>
          <cell r="P31">
            <v>13405.5</v>
          </cell>
          <cell r="Q31">
            <v>12691</v>
          </cell>
          <cell r="R31">
            <v>15045.5</v>
          </cell>
          <cell r="S31">
            <v>24195</v>
          </cell>
          <cell r="T31">
            <v>5172.5</v>
          </cell>
          <cell r="U31">
            <v>7211</v>
          </cell>
          <cell r="V31">
            <v>8073.5</v>
          </cell>
          <cell r="W31">
            <v>3901.5</v>
          </cell>
          <cell r="X31">
            <v>0</v>
          </cell>
          <cell r="Y31">
            <v>0</v>
          </cell>
          <cell r="Z31">
            <v>256657.5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256657.5</v>
          </cell>
          <cell r="AJ31">
            <v>14977</v>
          </cell>
          <cell r="AK31">
            <v>10470</v>
          </cell>
          <cell r="AL31">
            <v>35515</v>
          </cell>
          <cell r="AN31">
            <v>60962</v>
          </cell>
          <cell r="AO31">
            <v>12986.909999999998</v>
          </cell>
          <cell r="AP31">
            <v>0</v>
          </cell>
          <cell r="AS31">
            <v>12986.909999999998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38860654.469999999</v>
          </cell>
          <cell r="G32">
            <v>3033833.2220000001</v>
          </cell>
          <cell r="H32">
            <v>2597184.2779999999</v>
          </cell>
          <cell r="I32">
            <v>2369881.8939999999</v>
          </cell>
          <cell r="J32">
            <v>821125.58400000003</v>
          </cell>
          <cell r="K32">
            <v>1927916</v>
          </cell>
          <cell r="L32">
            <v>2059034.6</v>
          </cell>
          <cell r="M32">
            <v>1132066.7</v>
          </cell>
          <cell r="N32">
            <v>1737784.4</v>
          </cell>
          <cell r="O32">
            <v>1022587.773</v>
          </cell>
          <cell r="P32">
            <v>1358995.05</v>
          </cell>
          <cell r="Q32">
            <v>1308702.54</v>
          </cell>
          <cell r="R32">
            <v>1592912.1</v>
          </cell>
          <cell r="S32">
            <v>2473766.0189999999</v>
          </cell>
          <cell r="T32">
            <v>592476.64500000002</v>
          </cell>
          <cell r="U32">
            <v>865034.25</v>
          </cell>
          <cell r="V32">
            <v>767062</v>
          </cell>
          <cell r="W32">
            <v>478870.40899999999</v>
          </cell>
          <cell r="X32">
            <v>0</v>
          </cell>
          <cell r="Y32">
            <v>0</v>
          </cell>
          <cell r="Z32">
            <v>26139233.464000002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26230073.464000002</v>
          </cell>
          <cell r="AJ32">
            <v>424890.5</v>
          </cell>
          <cell r="AK32">
            <v>168030</v>
          </cell>
          <cell r="AL32">
            <v>648402.5</v>
          </cell>
          <cell r="AN32">
            <v>1241323</v>
          </cell>
          <cell r="AO32">
            <v>11314648.652999999</v>
          </cell>
          <cell r="AP32">
            <v>0</v>
          </cell>
          <cell r="AS32">
            <v>11314648.652999999</v>
          </cell>
          <cell r="AT32">
            <v>5512.5</v>
          </cell>
          <cell r="AU32">
            <v>6050</v>
          </cell>
          <cell r="AV32">
            <v>61230.652999999998</v>
          </cell>
          <cell r="BA32">
            <v>72793.152999999991</v>
          </cell>
          <cell r="BB32">
            <v>0</v>
          </cell>
          <cell r="BC32">
            <v>1816.2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1816.2</v>
          </cell>
        </row>
        <row r="33">
          <cell r="F33">
            <v>35230420.818999998</v>
          </cell>
          <cell r="G33">
            <v>2706185.85</v>
          </cell>
          <cell r="H33">
            <v>2336157.8280000007</v>
          </cell>
          <cell r="I33">
            <v>2148696.7859999998</v>
          </cell>
          <cell r="J33">
            <v>754705.59600000002</v>
          </cell>
          <cell r="K33">
            <v>1690690.4680000001</v>
          </cell>
          <cell r="L33">
            <v>1783991.1740000001</v>
          </cell>
          <cell r="M33">
            <v>1053027.868</v>
          </cell>
          <cell r="N33">
            <v>1554461.8280000002</v>
          </cell>
          <cell r="O33">
            <v>944459.86399999994</v>
          </cell>
          <cell r="P33">
            <v>1136479.0430000003</v>
          </cell>
          <cell r="Q33">
            <v>1096221.8160000001</v>
          </cell>
          <cell r="R33">
            <v>1324494.7419999999</v>
          </cell>
          <cell r="S33">
            <v>2031018.297</v>
          </cell>
          <cell r="T33">
            <v>458957.08</v>
          </cell>
          <cell r="U33">
            <v>612586.39500000002</v>
          </cell>
          <cell r="V33">
            <v>692394.67099999997</v>
          </cell>
          <cell r="W33">
            <v>435160.14399999997</v>
          </cell>
          <cell r="X33">
            <v>0</v>
          </cell>
          <cell r="Y33">
            <v>0</v>
          </cell>
          <cell r="Z33">
            <v>22759689.449999999</v>
          </cell>
          <cell r="AA33">
            <v>3863.9660000000003</v>
          </cell>
          <cell r="AB33">
            <v>0</v>
          </cell>
          <cell r="AC33">
            <v>3135.451</v>
          </cell>
          <cell r="AD33">
            <v>8444.4619999999995</v>
          </cell>
          <cell r="AH33">
            <v>15443.879000000001</v>
          </cell>
          <cell r="AI33">
            <v>22775133.329</v>
          </cell>
          <cell r="AJ33">
            <v>344614.07800000004</v>
          </cell>
          <cell r="AK33">
            <v>167459.56399999998</v>
          </cell>
          <cell r="AL33">
            <v>740069.13600000006</v>
          </cell>
          <cell r="AN33">
            <v>1252142.7779999999</v>
          </cell>
          <cell r="AO33">
            <v>11193012.956</v>
          </cell>
          <cell r="AP33">
            <v>0</v>
          </cell>
          <cell r="AS33">
            <v>11193012.956</v>
          </cell>
          <cell r="AT33">
            <v>1455.896</v>
          </cell>
          <cell r="AU33">
            <v>8675.86</v>
          </cell>
          <cell r="AV33">
            <v>0</v>
          </cell>
          <cell r="BA33">
            <v>10131.756000000001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J33">
            <v>0</v>
          </cell>
        </row>
        <row r="34">
          <cell r="F34">
            <v>3630233.6510000005</v>
          </cell>
          <cell r="G34">
            <v>327647.37199999997</v>
          </cell>
          <cell r="H34">
            <v>261026.44999999925</v>
          </cell>
          <cell r="I34">
            <v>221185.10800000001</v>
          </cell>
          <cell r="J34">
            <v>66419.988000000012</v>
          </cell>
          <cell r="K34">
            <v>237225.53199999989</v>
          </cell>
          <cell r="L34">
            <v>275043.42599999998</v>
          </cell>
          <cell r="M34">
            <v>79038.831999999937</v>
          </cell>
          <cell r="N34">
            <v>183322.57199999969</v>
          </cell>
          <cell r="O34">
            <v>78127.909000000102</v>
          </cell>
          <cell r="P34">
            <v>222516.00699999975</v>
          </cell>
          <cell r="Q34">
            <v>212480.72399999993</v>
          </cell>
          <cell r="R34">
            <v>268417.35800000024</v>
          </cell>
          <cell r="S34">
            <v>442747.72199999983</v>
          </cell>
          <cell r="T34">
            <v>133519.565</v>
          </cell>
          <cell r="U34">
            <v>252447.85499999998</v>
          </cell>
          <cell r="V34">
            <v>74667.329000000027</v>
          </cell>
          <cell r="W34">
            <v>43710.265000000014</v>
          </cell>
          <cell r="X34">
            <v>0</v>
          </cell>
          <cell r="Y34">
            <v>0</v>
          </cell>
          <cell r="Z34">
            <v>3379544.0140000023</v>
          </cell>
          <cell r="AA34">
            <v>46136.034</v>
          </cell>
          <cell r="AB34">
            <v>0</v>
          </cell>
          <cell r="AC34">
            <v>9364.5489999999991</v>
          </cell>
          <cell r="AD34">
            <v>19895.538</v>
          </cell>
          <cell r="AH34">
            <v>75396.120999999999</v>
          </cell>
          <cell r="AI34">
            <v>3454940.1350000016</v>
          </cell>
          <cell r="AJ34">
            <v>80276.421999999962</v>
          </cell>
          <cell r="AK34">
            <v>570.43600000001607</v>
          </cell>
          <cell r="AL34">
            <v>-91666.636000000057</v>
          </cell>
          <cell r="AN34">
            <v>-10819.777999999933</v>
          </cell>
          <cell r="AO34">
            <v>121635.69699999876</v>
          </cell>
          <cell r="AP34">
            <v>0</v>
          </cell>
          <cell r="AS34">
            <v>121635.69699999876</v>
          </cell>
          <cell r="AT34">
            <v>4056.6040000000003</v>
          </cell>
          <cell r="AU34">
            <v>-2625.8600000000006</v>
          </cell>
          <cell r="AV34">
            <v>61230.652999999998</v>
          </cell>
          <cell r="BA34">
            <v>62661.39699999999</v>
          </cell>
          <cell r="BB34">
            <v>0</v>
          </cell>
          <cell r="BC34">
            <v>1816.2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J34">
            <v>1816.2</v>
          </cell>
        </row>
        <row r="35">
          <cell r="F35">
            <v>2309736.7469998561</v>
          </cell>
          <cell r="G35">
            <v>225131.98538104838</v>
          </cell>
          <cell r="H35">
            <v>194842.94461447975</v>
          </cell>
          <cell r="I35">
            <v>171773.81488415904</v>
          </cell>
          <cell r="J35">
            <v>76111.101326320189</v>
          </cell>
          <cell r="K35">
            <v>146589.56644971672</v>
          </cell>
          <cell r="L35">
            <v>156195.2056116485</v>
          </cell>
          <cell r="M35">
            <v>99192.391992569712</v>
          </cell>
          <cell r="N35">
            <v>135594.81430167865</v>
          </cell>
          <cell r="O35">
            <v>81566.715501558327</v>
          </cell>
          <cell r="P35">
            <v>119501.19408653508</v>
          </cell>
          <cell r="Q35">
            <v>104756.53501312784</v>
          </cell>
          <cell r="R35">
            <v>110520.08420537635</v>
          </cell>
          <cell r="S35">
            <v>169471.99404391568</v>
          </cell>
          <cell r="T35">
            <v>41775.974720285762</v>
          </cell>
          <cell r="U35">
            <v>54019.144418428652</v>
          </cell>
          <cell r="V35">
            <v>67624.019496747642</v>
          </cell>
          <cell r="W35">
            <v>38306.877880174063</v>
          </cell>
          <cell r="X35">
            <v>0</v>
          </cell>
          <cell r="Y35">
            <v>0</v>
          </cell>
          <cell r="Z35">
            <v>1992974.3639277706</v>
          </cell>
          <cell r="AA35">
            <v>2089.6999999999998</v>
          </cell>
          <cell r="AB35">
            <v>495.55100000000004</v>
          </cell>
          <cell r="AC35">
            <v>275.39999999999998</v>
          </cell>
          <cell r="AD35">
            <v>0</v>
          </cell>
          <cell r="AH35">
            <v>2860.6509999999998</v>
          </cell>
          <cell r="AI35">
            <v>1995835.0149277707</v>
          </cell>
          <cell r="AJ35">
            <v>15899.080068207624</v>
          </cell>
          <cell r="AK35">
            <v>61803.109853877468</v>
          </cell>
          <cell r="AL35">
            <v>22034.702149999997</v>
          </cell>
          <cell r="AN35">
            <v>99736.892072085087</v>
          </cell>
          <cell r="AO35">
            <v>161205.31300000002</v>
          </cell>
          <cell r="AP35">
            <v>855.83600000000001</v>
          </cell>
          <cell r="AS35">
            <v>162061.14900000003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17716.909</v>
          </cell>
          <cell r="BD35">
            <v>0</v>
          </cell>
          <cell r="BE35">
            <v>0</v>
          </cell>
          <cell r="BF35">
            <v>34386.781999999999</v>
          </cell>
          <cell r="BG35">
            <v>0</v>
          </cell>
          <cell r="BJ35">
            <v>52103.690999999999</v>
          </cell>
        </row>
        <row r="36">
          <cell r="F36">
            <v>1320496.9040001445</v>
          </cell>
          <cell r="G36">
            <v>102515.3866189516</v>
          </cell>
          <cell r="H36">
            <v>66183.5053855195</v>
          </cell>
          <cell r="I36">
            <v>49411.293115840963</v>
          </cell>
          <cell r="J36">
            <v>-9691.1133263201773</v>
          </cell>
          <cell r="K36">
            <v>90635.965550283174</v>
          </cell>
          <cell r="L36">
            <v>118848.22038835147</v>
          </cell>
          <cell r="M36">
            <v>-20153.559992569775</v>
          </cell>
          <cell r="N36">
            <v>47727.757698321046</v>
          </cell>
          <cell r="O36">
            <v>-3438.8065015582251</v>
          </cell>
          <cell r="P36">
            <v>103014.81291346467</v>
          </cell>
          <cell r="Q36">
            <v>107724.18898687209</v>
          </cell>
          <cell r="R36">
            <v>157897.27379462391</v>
          </cell>
          <cell r="S36">
            <v>273275.72795608419</v>
          </cell>
          <cell r="T36">
            <v>91743.590279714233</v>
          </cell>
          <cell r="U36">
            <v>198428.71058157133</v>
          </cell>
          <cell r="V36">
            <v>7043.3095032523852</v>
          </cell>
          <cell r="W36">
            <v>5403.3871198259512</v>
          </cell>
          <cell r="X36">
            <v>0</v>
          </cell>
          <cell r="Y36">
            <v>0</v>
          </cell>
          <cell r="Z36">
            <v>1386569.6500722317</v>
          </cell>
          <cell r="AA36">
            <v>44046.334000000003</v>
          </cell>
          <cell r="AB36">
            <v>-495.55100000000004</v>
          </cell>
          <cell r="AC36">
            <v>9089.1489999999994</v>
          </cell>
          <cell r="AD36">
            <v>19895.538</v>
          </cell>
          <cell r="AH36">
            <v>72535.47</v>
          </cell>
          <cell r="AI36">
            <v>1459105.1200722309</v>
          </cell>
          <cell r="AJ36">
            <v>64377.34193179234</v>
          </cell>
          <cell r="AK36">
            <v>-61232.673853877452</v>
          </cell>
          <cell r="AL36">
            <v>-113701.33815000005</v>
          </cell>
          <cell r="AN36">
            <v>-110556.67007208502</v>
          </cell>
          <cell r="AO36">
            <v>-39569.616000001261</v>
          </cell>
          <cell r="AP36">
            <v>-855.83600000000001</v>
          </cell>
          <cell r="AS36">
            <v>-40425.452000001271</v>
          </cell>
          <cell r="AT36">
            <v>4056.6040000000003</v>
          </cell>
          <cell r="AU36">
            <v>-2625.8600000000006</v>
          </cell>
          <cell r="AV36">
            <v>61230.652999999998</v>
          </cell>
          <cell r="BA36">
            <v>62661.39699999999</v>
          </cell>
          <cell r="BB36">
            <v>0</v>
          </cell>
          <cell r="BC36">
            <v>-15900.708999999999</v>
          </cell>
          <cell r="BD36">
            <v>0</v>
          </cell>
          <cell r="BE36">
            <v>0</v>
          </cell>
          <cell r="BF36">
            <v>-34386.781999999999</v>
          </cell>
          <cell r="BG36">
            <v>0</v>
          </cell>
          <cell r="BJ36">
            <v>-50287.491000000002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-10914</v>
          </cell>
          <cell r="AK38">
            <v>-8550</v>
          </cell>
          <cell r="AL38">
            <v>-23906</v>
          </cell>
          <cell r="AN38">
            <v>-43370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-913529</v>
          </cell>
          <cell r="Z39">
            <v>0</v>
          </cell>
          <cell r="AH39">
            <v>0</v>
          </cell>
          <cell r="AI39">
            <v>0</v>
          </cell>
          <cell r="AJ39">
            <v>-317680</v>
          </cell>
          <cell r="AK39">
            <v>-145350</v>
          </cell>
          <cell r="AL39">
            <v>-450499</v>
          </cell>
          <cell r="AN39">
            <v>-913529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-913529</v>
          </cell>
          <cell r="K40">
            <v>-23294.486000000001</v>
          </cell>
          <cell r="L40">
            <v>21095.687000000002</v>
          </cell>
          <cell r="M40">
            <v>-5384.2250000000004</v>
          </cell>
          <cell r="N40">
            <v>-15581.124</v>
          </cell>
          <cell r="O40">
            <v>0</v>
          </cell>
          <cell r="P40">
            <v>0</v>
          </cell>
          <cell r="Z40">
            <v>-23164.148000000001</v>
          </cell>
          <cell r="AH40">
            <v>0</v>
          </cell>
          <cell r="AI40">
            <v>-23164.148000000001</v>
          </cell>
          <cell r="AJ40">
            <v>-252437.44899999999</v>
          </cell>
          <cell r="AK40">
            <v>-141231.20199999999</v>
          </cell>
          <cell r="AL40">
            <v>-496696.201</v>
          </cell>
          <cell r="AN40">
            <v>-890364.85199999996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23294.486000000001</v>
          </cell>
          <cell r="L41">
            <v>-21095.687000000002</v>
          </cell>
          <cell r="M41">
            <v>5384.2250000000004</v>
          </cell>
          <cell r="N41">
            <v>15581.124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23164.148000000001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23164.148000000001</v>
          </cell>
          <cell r="AJ41">
            <v>-65242.551000000007</v>
          </cell>
          <cell r="AK41">
            <v>-4118.7980000000098</v>
          </cell>
          <cell r="AL41">
            <v>46197.201000000001</v>
          </cell>
          <cell r="AN41">
            <v>-23164.148000000045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23294.486000000001</v>
          </cell>
          <cell r="L43">
            <v>-21095.687000000002</v>
          </cell>
          <cell r="M43">
            <v>5384.2250000000004</v>
          </cell>
          <cell r="N43">
            <v>15581.124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23164.148000000001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23164.148000000001</v>
          </cell>
          <cell r="AJ43">
            <v>-65242.551000000007</v>
          </cell>
          <cell r="AK43">
            <v>-4118.7980000000098</v>
          </cell>
          <cell r="AL43">
            <v>46197.201000000001</v>
          </cell>
          <cell r="AN43">
            <v>-23164.148000000045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30154</v>
          </cell>
          <cell r="H45">
            <v>25908</v>
          </cell>
          <cell r="I45">
            <v>24724</v>
          </cell>
          <cell r="J45">
            <v>8562</v>
          </cell>
          <cell r="K45">
            <v>17425</v>
          </cell>
          <cell r="L45">
            <v>20050</v>
          </cell>
          <cell r="M45">
            <v>11781</v>
          </cell>
          <cell r="N45">
            <v>17288</v>
          </cell>
          <cell r="O45">
            <v>11070</v>
          </cell>
          <cell r="P45">
            <v>13405.5</v>
          </cell>
          <cell r="Q45">
            <v>12691</v>
          </cell>
          <cell r="R45">
            <v>15045.5</v>
          </cell>
          <cell r="S45">
            <v>24195</v>
          </cell>
          <cell r="T45">
            <v>5172.5</v>
          </cell>
          <cell r="U45">
            <v>7211</v>
          </cell>
          <cell r="V45">
            <v>8073.5</v>
          </cell>
          <cell r="W45">
            <v>3901.5</v>
          </cell>
          <cell r="X45">
            <v>0</v>
          </cell>
          <cell r="Y45">
            <v>0</v>
          </cell>
          <cell r="Z45">
            <v>256657.5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256657.5</v>
          </cell>
          <cell r="AJ45">
            <v>4063</v>
          </cell>
          <cell r="AK45">
            <v>1920</v>
          </cell>
          <cell r="AL45">
            <v>11609</v>
          </cell>
          <cell r="AN45">
            <v>17592</v>
          </cell>
          <cell r="AO45">
            <v>12986.909999999998</v>
          </cell>
          <cell r="AP45">
            <v>0</v>
          </cell>
          <cell r="AS45">
            <v>12986.909999999998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37947125.469999999</v>
          </cell>
          <cell r="G46">
            <v>3033833.2220000001</v>
          </cell>
          <cell r="H46">
            <v>2597184.2779999999</v>
          </cell>
          <cell r="I46">
            <v>2369881.8939999999</v>
          </cell>
          <cell r="J46">
            <v>821125.58400000003</v>
          </cell>
          <cell r="K46">
            <v>1927916</v>
          </cell>
          <cell r="L46">
            <v>2059034.6</v>
          </cell>
          <cell r="M46">
            <v>1132066.7</v>
          </cell>
          <cell r="N46">
            <v>1737784.4</v>
          </cell>
          <cell r="O46">
            <v>1022587.773</v>
          </cell>
          <cell r="P46">
            <v>1358995.05</v>
          </cell>
          <cell r="Q46">
            <v>1308702.54</v>
          </cell>
          <cell r="R46">
            <v>1592912.1</v>
          </cell>
          <cell r="S46">
            <v>2473766.0189999999</v>
          </cell>
          <cell r="T46">
            <v>592476.64500000002</v>
          </cell>
          <cell r="U46">
            <v>865034.25</v>
          </cell>
          <cell r="V46">
            <v>767062</v>
          </cell>
          <cell r="W46">
            <v>478870.40899999999</v>
          </cell>
          <cell r="X46">
            <v>0</v>
          </cell>
          <cell r="Y46">
            <v>0</v>
          </cell>
          <cell r="Z46">
            <v>26139233.464000002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26230073.464000002</v>
          </cell>
          <cell r="AJ46">
            <v>107210.5</v>
          </cell>
          <cell r="AK46">
            <v>22680</v>
          </cell>
          <cell r="AL46">
            <v>197903.5</v>
          </cell>
          <cell r="AN46">
            <v>327794</v>
          </cell>
          <cell r="AO46">
            <v>11314648.652999999</v>
          </cell>
          <cell r="AP46">
            <v>0</v>
          </cell>
          <cell r="AS46">
            <v>11314648.652999999</v>
          </cell>
          <cell r="AT46">
            <v>5512.5</v>
          </cell>
          <cell r="AU46">
            <v>6050</v>
          </cell>
          <cell r="AV46">
            <v>61230.652999999998</v>
          </cell>
          <cell r="BA46">
            <v>72793.152999999991</v>
          </cell>
          <cell r="BB46">
            <v>0</v>
          </cell>
          <cell r="BC46">
            <v>1816.2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1816.2</v>
          </cell>
        </row>
        <row r="47">
          <cell r="F47">
            <v>34316891.818999991</v>
          </cell>
          <cell r="G47">
            <v>2706185.85</v>
          </cell>
          <cell r="H47">
            <v>2336157.8280000007</v>
          </cell>
          <cell r="I47">
            <v>2148696.7859999998</v>
          </cell>
          <cell r="J47">
            <v>754705.59600000002</v>
          </cell>
          <cell r="K47">
            <v>1667395.9820000001</v>
          </cell>
          <cell r="L47">
            <v>1805086.861</v>
          </cell>
          <cell r="M47">
            <v>1047643.643</v>
          </cell>
          <cell r="N47">
            <v>1538880.7040000001</v>
          </cell>
          <cell r="O47">
            <v>944459.86399999994</v>
          </cell>
          <cell r="P47">
            <v>1136479.0430000003</v>
          </cell>
          <cell r="Q47">
            <v>1096221.8160000001</v>
          </cell>
          <cell r="R47">
            <v>1324494.7419999999</v>
          </cell>
          <cell r="S47">
            <v>2031018.297</v>
          </cell>
          <cell r="T47">
            <v>458957.08</v>
          </cell>
          <cell r="U47">
            <v>612586.39500000002</v>
          </cell>
          <cell r="V47">
            <v>692394.67099999997</v>
          </cell>
          <cell r="W47">
            <v>435160.14399999997</v>
          </cell>
          <cell r="X47">
            <v>0</v>
          </cell>
          <cell r="Y47">
            <v>0</v>
          </cell>
          <cell r="Z47">
            <v>22736525.301999997</v>
          </cell>
          <cell r="AA47">
            <v>3863.9660000000003</v>
          </cell>
          <cell r="AB47">
            <v>0</v>
          </cell>
          <cell r="AC47">
            <v>3135.451</v>
          </cell>
          <cell r="AD47">
            <v>8444.4619999999995</v>
          </cell>
          <cell r="AH47">
            <v>15443.879000000001</v>
          </cell>
          <cell r="AI47">
            <v>22751969.180999998</v>
          </cell>
          <cell r="AJ47">
            <v>92176.629000000044</v>
          </cell>
          <cell r="AK47">
            <v>26228.361999999994</v>
          </cell>
          <cell r="AL47">
            <v>243372.93500000006</v>
          </cell>
          <cell r="AN47">
            <v>361777.92600000009</v>
          </cell>
          <cell r="AO47">
            <v>11193012.956</v>
          </cell>
          <cell r="AP47">
            <v>0</v>
          </cell>
          <cell r="AS47">
            <v>11193012.956</v>
          </cell>
          <cell r="AT47">
            <v>1455.896</v>
          </cell>
          <cell r="AU47">
            <v>8675.86</v>
          </cell>
          <cell r="AV47">
            <v>0</v>
          </cell>
          <cell r="BA47">
            <v>10131.756000000001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J47">
            <v>0</v>
          </cell>
        </row>
        <row r="48">
          <cell r="F48">
            <v>3630233.651000008</v>
          </cell>
          <cell r="G48">
            <v>327647.37199999997</v>
          </cell>
          <cell r="H48">
            <v>261026.44999999925</v>
          </cell>
          <cell r="I48">
            <v>221185.10800000001</v>
          </cell>
          <cell r="J48">
            <v>66419.988000000012</v>
          </cell>
          <cell r="K48">
            <v>260520.01799999992</v>
          </cell>
          <cell r="L48">
            <v>253947.73900000006</v>
          </cell>
          <cell r="M48">
            <v>84423.056999999913</v>
          </cell>
          <cell r="N48">
            <v>198903.69599999976</v>
          </cell>
          <cell r="O48">
            <v>78127.909000000102</v>
          </cell>
          <cell r="P48">
            <v>222516.00699999975</v>
          </cell>
          <cell r="Q48">
            <v>212480.72399999993</v>
          </cell>
          <cell r="R48">
            <v>268417.35800000024</v>
          </cell>
          <cell r="S48">
            <v>442747.72199999983</v>
          </cell>
          <cell r="T48">
            <v>133519.565</v>
          </cell>
          <cell r="U48">
            <v>252447.85499999998</v>
          </cell>
          <cell r="V48">
            <v>74667.329000000027</v>
          </cell>
          <cell r="W48">
            <v>43710.265000000014</v>
          </cell>
          <cell r="X48">
            <v>0</v>
          </cell>
          <cell r="Y48">
            <v>0</v>
          </cell>
          <cell r="Z48">
            <v>3402708.1620000042</v>
          </cell>
          <cell r="AA48">
            <v>46136.034</v>
          </cell>
          <cell r="AB48">
            <v>0</v>
          </cell>
          <cell r="AC48">
            <v>9364.5489999999991</v>
          </cell>
          <cell r="AD48">
            <v>19895.538</v>
          </cell>
          <cell r="AH48">
            <v>75396.120999999999</v>
          </cell>
          <cell r="AI48">
            <v>3478104.2830000035</v>
          </cell>
          <cell r="AJ48">
            <v>15033.870999999956</v>
          </cell>
          <cell r="AK48">
            <v>-3548.3619999999937</v>
          </cell>
          <cell r="AL48">
            <v>-45469.435000000056</v>
          </cell>
          <cell r="AN48">
            <v>-33983.926000000094</v>
          </cell>
          <cell r="AO48">
            <v>121635.69699999876</v>
          </cell>
          <cell r="AP48">
            <v>0</v>
          </cell>
          <cell r="AS48">
            <v>121635.69699999876</v>
          </cell>
          <cell r="AT48">
            <v>4056.6040000000003</v>
          </cell>
          <cell r="AU48">
            <v>-2625.8600000000006</v>
          </cell>
          <cell r="AV48">
            <v>61230.652999999998</v>
          </cell>
          <cell r="BA48">
            <v>62661.39699999999</v>
          </cell>
          <cell r="BB48">
            <v>0</v>
          </cell>
          <cell r="BC48">
            <v>1816.2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J48">
            <v>1816.2</v>
          </cell>
        </row>
        <row r="49">
          <cell r="F49">
            <v>2309736.7469998561</v>
          </cell>
          <cell r="G49">
            <v>225131.98538104838</v>
          </cell>
          <cell r="H49">
            <v>194842.94461447975</v>
          </cell>
          <cell r="I49">
            <v>171773.81488415904</v>
          </cell>
          <cell r="J49">
            <v>76111.101326320189</v>
          </cell>
          <cell r="K49">
            <v>146589.56644971672</v>
          </cell>
          <cell r="L49">
            <v>156195.2056116485</v>
          </cell>
          <cell r="M49">
            <v>99192.391992569712</v>
          </cell>
          <cell r="N49">
            <v>135594.81430167865</v>
          </cell>
          <cell r="O49">
            <v>81566.715501558327</v>
          </cell>
          <cell r="P49">
            <v>119501.19408653508</v>
          </cell>
          <cell r="Q49">
            <v>104756.53501312784</v>
          </cell>
          <cell r="R49">
            <v>110520.08420537635</v>
          </cell>
          <cell r="S49">
            <v>169471.99404391568</v>
          </cell>
          <cell r="T49">
            <v>41775.974720285762</v>
          </cell>
          <cell r="U49">
            <v>54019.144418428652</v>
          </cell>
          <cell r="V49">
            <v>67624.019496747642</v>
          </cell>
          <cell r="W49">
            <v>38306.877880174063</v>
          </cell>
          <cell r="X49">
            <v>0</v>
          </cell>
          <cell r="Y49">
            <v>0</v>
          </cell>
          <cell r="Z49">
            <v>1992974.3639277706</v>
          </cell>
          <cell r="AA49">
            <v>2089.6999999999998</v>
          </cell>
          <cell r="AB49">
            <v>495.55100000000004</v>
          </cell>
          <cell r="AC49">
            <v>275.39999999999998</v>
          </cell>
          <cell r="AD49">
            <v>0</v>
          </cell>
          <cell r="AH49">
            <v>2860.6509999999998</v>
          </cell>
          <cell r="AI49">
            <v>1995835.0149277707</v>
          </cell>
          <cell r="AJ49">
            <v>15899.080068207624</v>
          </cell>
          <cell r="AK49">
            <v>61803.109853877468</v>
          </cell>
          <cell r="AL49">
            <v>22034.702149999997</v>
          </cell>
          <cell r="AN49">
            <v>99736.892072085087</v>
          </cell>
          <cell r="AO49">
            <v>161205.31300000002</v>
          </cell>
          <cell r="AP49">
            <v>855.83600000000001</v>
          </cell>
          <cell r="AS49">
            <v>162061.14900000003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17716.909</v>
          </cell>
          <cell r="BD49">
            <v>0</v>
          </cell>
          <cell r="BE49">
            <v>0</v>
          </cell>
          <cell r="BF49">
            <v>34386.781999999999</v>
          </cell>
          <cell r="BG49">
            <v>0</v>
          </cell>
          <cell r="BJ49">
            <v>52103.690999999999</v>
          </cell>
        </row>
        <row r="50">
          <cell r="F50">
            <v>1320496.9040001519</v>
          </cell>
          <cell r="G50">
            <v>102515.3866189516</v>
          </cell>
          <cell r="H50">
            <v>66183.5053855195</v>
          </cell>
          <cell r="I50">
            <v>49411.293115840963</v>
          </cell>
          <cell r="J50">
            <v>-9691.1133263201773</v>
          </cell>
          <cell r="K50">
            <v>113930.45155028321</v>
          </cell>
          <cell r="L50">
            <v>97752.533388351556</v>
          </cell>
          <cell r="M50">
            <v>-14769.334992569798</v>
          </cell>
          <cell r="N50">
            <v>63308.881698321115</v>
          </cell>
          <cell r="O50">
            <v>-3438.8065015582251</v>
          </cell>
          <cell r="P50">
            <v>103014.81291346467</v>
          </cell>
          <cell r="Q50">
            <v>107724.18898687209</v>
          </cell>
          <cell r="R50">
            <v>157897.27379462391</v>
          </cell>
          <cell r="S50">
            <v>273275.72795608419</v>
          </cell>
          <cell r="T50">
            <v>91743.590279714233</v>
          </cell>
          <cell r="U50">
            <v>198428.71058157133</v>
          </cell>
          <cell r="V50">
            <v>7043.3095032523852</v>
          </cell>
          <cell r="W50">
            <v>5403.3871198259512</v>
          </cell>
          <cell r="X50">
            <v>0</v>
          </cell>
          <cell r="Y50">
            <v>0</v>
          </cell>
          <cell r="Z50">
            <v>1409733.7980722336</v>
          </cell>
          <cell r="AA50">
            <v>44046.334000000003</v>
          </cell>
          <cell r="AB50">
            <v>-495.55100000000004</v>
          </cell>
          <cell r="AC50">
            <v>9089.1489999999994</v>
          </cell>
          <cell r="AD50">
            <v>19895.538</v>
          </cell>
          <cell r="AH50">
            <v>72535.47</v>
          </cell>
          <cell r="AI50">
            <v>1482269.2680722328</v>
          </cell>
          <cell r="AJ50">
            <v>-865.20906820766868</v>
          </cell>
          <cell r="AK50">
            <v>-65351.471853877461</v>
          </cell>
          <cell r="AL50">
            <v>-67504.137150000053</v>
          </cell>
          <cell r="AN50">
            <v>-133720.81807208518</v>
          </cell>
          <cell r="AO50">
            <v>-39569.616000001261</v>
          </cell>
          <cell r="AP50">
            <v>-855.83600000000001</v>
          </cell>
          <cell r="AS50">
            <v>-40425.452000001271</v>
          </cell>
          <cell r="AT50">
            <v>4056.6040000000003</v>
          </cell>
          <cell r="AU50">
            <v>-2625.8600000000006</v>
          </cell>
          <cell r="AV50">
            <v>61230.652999999998</v>
          </cell>
          <cell r="BA50">
            <v>62661.39699999999</v>
          </cell>
          <cell r="BB50">
            <v>0</v>
          </cell>
          <cell r="BC50">
            <v>-15900.708999999999</v>
          </cell>
          <cell r="BD50">
            <v>0</v>
          </cell>
          <cell r="BE50">
            <v>0</v>
          </cell>
          <cell r="BF50">
            <v>-34386.781999999999</v>
          </cell>
          <cell r="BG50">
            <v>0</v>
          </cell>
          <cell r="BJ50">
            <v>-50287.491000000002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37196</v>
          </cell>
          <cell r="H7">
            <v>36185</v>
          </cell>
          <cell r="I7">
            <v>29254</v>
          </cell>
          <cell r="J7">
            <v>12718</v>
          </cell>
          <cell r="K7">
            <v>21362</v>
          </cell>
          <cell r="L7">
            <v>15915</v>
          </cell>
          <cell r="M7">
            <v>9562</v>
          </cell>
          <cell r="N7">
            <v>15233</v>
          </cell>
          <cell r="O7">
            <v>10519</v>
          </cell>
          <cell r="P7">
            <v>16909</v>
          </cell>
          <cell r="Q7">
            <v>16467</v>
          </cell>
          <cell r="R7">
            <v>5963.5</v>
          </cell>
          <cell r="S7">
            <v>20317</v>
          </cell>
          <cell r="T7">
            <v>4104.5</v>
          </cell>
          <cell r="U7">
            <v>5138.5</v>
          </cell>
          <cell r="V7">
            <v>6746</v>
          </cell>
          <cell r="W7">
            <v>5169.5</v>
          </cell>
          <cell r="X7"/>
          <cell r="Y7"/>
          <cell r="Z7">
            <v>268759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268759</v>
          </cell>
          <cell r="AJ7">
            <v>20186</v>
          </cell>
          <cell r="AK7">
            <v>23860</v>
          </cell>
          <cell r="AL7">
            <v>3532</v>
          </cell>
          <cell r="AM7"/>
          <cell r="AN7">
            <v>47578</v>
          </cell>
          <cell r="AO7">
            <v>6748.1729999999998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35956171.851000004</v>
          </cell>
          <cell r="G8">
            <v>3521670.648</v>
          </cell>
          <cell r="H8">
            <v>3536913.892</v>
          </cell>
          <cell r="I8">
            <v>2764520.7349999999</v>
          </cell>
          <cell r="J8">
            <v>1172461.1170000001</v>
          </cell>
          <cell r="K8">
            <v>2269535.4</v>
          </cell>
          <cell r="L8">
            <v>1700039.4</v>
          </cell>
          <cell r="M8">
            <v>951484.5</v>
          </cell>
          <cell r="N8">
            <v>1610087.9</v>
          </cell>
          <cell r="O8">
            <v>1013719</v>
          </cell>
          <cell r="P8">
            <v>1624368.2</v>
          </cell>
          <cell r="Q8">
            <v>1583271.6</v>
          </cell>
          <cell r="R8">
            <v>569460.4</v>
          </cell>
          <cell r="S8">
            <v>2001379.9909999999</v>
          </cell>
          <cell r="T8">
            <v>421239.2</v>
          </cell>
          <cell r="U8">
            <v>532015.38100000005</v>
          </cell>
          <cell r="V8">
            <v>742791.39599999995</v>
          </cell>
          <cell r="W8">
            <v>634655.88199999998</v>
          </cell>
          <cell r="X8"/>
          <cell r="Y8"/>
          <cell r="Z8">
            <v>26649614.642000001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>
            <v>0</v>
          </cell>
          <cell r="AF8"/>
          <cell r="AG8"/>
          <cell r="AH8">
            <v>90840</v>
          </cell>
          <cell r="AI8">
            <v>26740454.642000001</v>
          </cell>
          <cell r="AJ8">
            <v>581908.5</v>
          </cell>
          <cell r="AK8">
            <v>290312</v>
          </cell>
          <cell r="AL8">
            <v>63335</v>
          </cell>
          <cell r="AM8"/>
          <cell r="AN8">
            <v>935555.5</v>
          </cell>
          <cell r="AO8">
            <v>8183477.6199999992</v>
          </cell>
          <cell r="AP8">
            <v>0</v>
          </cell>
          <cell r="AQ8"/>
          <cell r="AR8"/>
          <cell r="AS8">
            <v>8183477.6199999992</v>
          </cell>
          <cell r="AT8">
            <v>5250</v>
          </cell>
          <cell r="AU8">
            <v>9183</v>
          </cell>
          <cell r="AV8">
            <v>0</v>
          </cell>
          <cell r="AW8">
            <v>80488.989000000001</v>
          </cell>
          <cell r="AX8">
            <v>0</v>
          </cell>
          <cell r="AY8"/>
          <cell r="AZ8"/>
          <cell r="BA8">
            <v>94921.989000000001</v>
          </cell>
          <cell r="BB8">
            <v>0</v>
          </cell>
          <cell r="BC8">
            <v>1762.1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1762.1</v>
          </cell>
          <cell r="BK8"/>
          <cell r="BL8"/>
          <cell r="BM8"/>
          <cell r="BN8"/>
          <cell r="BO8"/>
        </row>
        <row r="9">
          <cell r="F9"/>
          <cell r="G9">
            <v>94678.746316808261</v>
          </cell>
          <cell r="H9">
            <v>97745.305844963383</v>
          </cell>
          <cell r="I9">
            <v>94500.60624188144</v>
          </cell>
          <cell r="J9">
            <v>92189.111259632031</v>
          </cell>
          <cell r="K9">
            <v>106241.7095777549</v>
          </cell>
          <cell r="L9">
            <v>106819.94344957586</v>
          </cell>
          <cell r="M9">
            <v>99506.850031374182</v>
          </cell>
          <cell r="N9">
            <v>105697.36099258189</v>
          </cell>
          <cell r="O9">
            <v>96370.282346230626</v>
          </cell>
          <cell r="P9">
            <v>96065.302501626342</v>
          </cell>
          <cell r="Q9">
            <v>96148.150847148849</v>
          </cell>
          <cell r="R9">
            <v>95490.970067913135</v>
          </cell>
          <cell r="S9">
            <v>98507.653246050104</v>
          </cell>
          <cell r="T9">
            <v>102628.62711657937</v>
          </cell>
          <cell r="U9">
            <v>103535.15247640363</v>
          </cell>
          <cell r="V9">
            <v>110108.41921138452</v>
          </cell>
          <cell r="W9">
            <v>122769.29722410292</v>
          </cell>
          <cell r="X9"/>
          <cell r="Y9"/>
          <cell r="Z9">
            <v>99158.036166230711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99496.034149554063</v>
          </cell>
          <cell r="AJ9">
            <v>28827.330823342912</v>
          </cell>
          <cell r="AK9">
            <v>12167.309304274937</v>
          </cell>
          <cell r="AL9">
            <v>17931.766704416761</v>
          </cell>
          <cell r="AM9"/>
          <cell r="AN9"/>
          <cell r="AO9">
            <v>1212695.2910069139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30389093.66285</v>
          </cell>
          <cell r="G10">
            <v>2908430.6381900003</v>
          </cell>
          <cell r="H10">
            <v>2887326.6075800001</v>
          </cell>
          <cell r="I10">
            <v>2253421.1493500005</v>
          </cell>
          <cell r="J10">
            <v>968886.42125000001</v>
          </cell>
          <cell r="K10">
            <v>1722773.5912799998</v>
          </cell>
          <cell r="L10">
            <v>1304546.4655899999</v>
          </cell>
          <cell r="M10">
            <v>801146.64342999994</v>
          </cell>
          <cell r="N10">
            <v>1285717.537</v>
          </cell>
          <cell r="O10">
            <v>842075.44836000004</v>
          </cell>
          <cell r="P10">
            <v>1252570.7971600001</v>
          </cell>
          <cell r="Q10">
            <v>1232361.04113</v>
          </cell>
          <cell r="R10">
            <v>535421.81374999997</v>
          </cell>
          <cell r="S10">
            <v>1699324.68934</v>
          </cell>
          <cell r="T10">
            <v>331052.79016999999</v>
          </cell>
          <cell r="U10">
            <v>397142.04516000004</v>
          </cell>
          <cell r="V10">
            <v>582620.58302999998</v>
          </cell>
          <cell r="W10">
            <v>513887.09378</v>
          </cell>
          <cell r="X10"/>
          <cell r="Y10"/>
          <cell r="Z10">
            <v>21518705.355549999</v>
          </cell>
          <cell r="AA10">
            <v>2917.0320000000002</v>
          </cell>
          <cell r="AB10">
            <v>0</v>
          </cell>
          <cell r="AC10">
            <v>3697.3150000000001</v>
          </cell>
          <cell r="AD10">
            <v>8428.7659999999996</v>
          </cell>
          <cell r="AE10">
            <v>0</v>
          </cell>
          <cell r="AF10"/>
          <cell r="AG10"/>
          <cell r="AH10">
            <v>15043.112999999999</v>
          </cell>
          <cell r="AI10">
            <v>21533748.46855</v>
          </cell>
          <cell r="AJ10">
            <v>517154.50147999998</v>
          </cell>
          <cell r="AK10">
            <v>228262.60002000001</v>
          </cell>
          <cell r="AL10">
            <v>123091.1758</v>
          </cell>
          <cell r="AM10"/>
          <cell r="AN10">
            <v>868508.27729999996</v>
          </cell>
          <cell r="AO10">
            <v>7986530.5999999996</v>
          </cell>
          <cell r="AP10">
            <v>0</v>
          </cell>
          <cell r="AQ10"/>
          <cell r="AR10"/>
          <cell r="AS10">
            <v>7986530.5999999996</v>
          </cell>
          <cell r="AT10">
            <v>126.027</v>
          </cell>
          <cell r="AU10">
            <v>180.29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78192.027051026991</v>
          </cell>
          <cell r="H11">
            <v>79793.467115655658</v>
          </cell>
          <cell r="I11">
            <v>77029.505344568272</v>
          </cell>
          <cell r="J11">
            <v>76182.29448419562</v>
          </cell>
          <cell r="K11">
            <v>80646.643164497698</v>
          </cell>
          <cell r="L11">
            <v>81969.617693371038</v>
          </cell>
          <cell r="M11">
            <v>83784.422027818437</v>
          </cell>
          <cell r="N11">
            <v>84403.435764458729</v>
          </cell>
          <cell r="O11">
            <v>80052.80429318377</v>
          </cell>
          <cell r="P11">
            <v>74077.165838310961</v>
          </cell>
          <cell r="Q11">
            <v>74838.224396064863</v>
          </cell>
          <cell r="R11">
            <v>89783.14978619937</v>
          </cell>
          <cell r="S11">
            <v>83640.532034257034</v>
          </cell>
          <cell r="T11">
            <v>80656.058026556217</v>
          </cell>
          <cell r="U11">
            <v>77287.544061496548</v>
          </cell>
          <cell r="V11">
            <v>86365.33990957604</v>
          </cell>
          <cell r="W11">
            <v>99407.504358255159</v>
          </cell>
          <cell r="X11"/>
          <cell r="Y11"/>
          <cell r="Z11">
            <v>80066.920012167029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80122.892511692626</v>
          </cell>
          <cell r="AJ11">
            <v>25619.4640582582</v>
          </cell>
          <cell r="AK11">
            <v>9566.7476957250619</v>
          </cell>
          <cell r="AL11">
            <v>34850.276274065684</v>
          </cell>
          <cell r="AM11"/>
          <cell r="AN11"/>
          <cell r="AO11">
            <v>1183510.0552401368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5567078.1881500036</v>
          </cell>
          <cell r="G12">
            <v>613240.00980999973</v>
          </cell>
          <cell r="H12">
            <v>649587.28441999992</v>
          </cell>
          <cell r="I12">
            <v>511099.58564999932</v>
          </cell>
          <cell r="J12">
            <v>203574.69575000007</v>
          </cell>
          <cell r="K12">
            <v>546761.80872000009</v>
          </cell>
          <cell r="L12">
            <v>395492.93440999999</v>
          </cell>
          <cell r="M12">
            <v>150337.85657000006</v>
          </cell>
          <cell r="N12">
            <v>324370.3629999999</v>
          </cell>
          <cell r="O12">
            <v>171643.55163999996</v>
          </cell>
          <cell r="P12">
            <v>371797.40283999988</v>
          </cell>
          <cell r="Q12">
            <v>350910.55887000007</v>
          </cell>
          <cell r="R12">
            <v>34038.586250000051</v>
          </cell>
          <cell r="S12">
            <v>302055.30165999988</v>
          </cell>
          <cell r="T12">
            <v>90186.409830000019</v>
          </cell>
          <cell r="U12">
            <v>134873.33584000001</v>
          </cell>
          <cell r="V12">
            <v>160170.81296999997</v>
          </cell>
          <cell r="W12">
            <v>120768.78821999999</v>
          </cell>
          <cell r="X12"/>
          <cell r="Y12"/>
          <cell r="Z12">
            <v>5130909.2864499986</v>
          </cell>
          <cell r="AA12">
            <v>47082.968000000001</v>
          </cell>
          <cell r="AB12">
            <v>0</v>
          </cell>
          <cell r="AC12">
            <v>8802.6849999999995</v>
          </cell>
          <cell r="AD12">
            <v>19911.234</v>
          </cell>
          <cell r="AE12">
            <v>0</v>
          </cell>
          <cell r="AF12"/>
          <cell r="AG12"/>
          <cell r="AH12">
            <v>75796.887000000002</v>
          </cell>
          <cell r="AI12">
            <v>5206706.1734500006</v>
          </cell>
          <cell r="AJ12">
            <v>64753.998520000023</v>
          </cell>
          <cell r="AK12">
            <v>62049.399979999987</v>
          </cell>
          <cell r="AL12">
            <v>-59756.175799999997</v>
          </cell>
          <cell r="AM12"/>
          <cell r="AN12">
            <v>67047.222700000042</v>
          </cell>
          <cell r="AO12">
            <v>196947.01999999955</v>
          </cell>
          <cell r="AP12">
            <v>0</v>
          </cell>
          <cell r="AQ12"/>
          <cell r="AR12"/>
          <cell r="AS12">
            <v>196947.01999999955</v>
          </cell>
          <cell r="AT12">
            <v>5123.973</v>
          </cell>
          <cell r="AU12">
            <v>9002.7099999999991</v>
          </cell>
          <cell r="AV12">
            <v>0</v>
          </cell>
          <cell r="AW12">
            <v>80488.989000000001</v>
          </cell>
          <cell r="AX12">
            <v>0</v>
          </cell>
          <cell r="AY12"/>
          <cell r="AZ12"/>
          <cell r="BA12">
            <v>94615.672000000006</v>
          </cell>
          <cell r="BB12">
            <v>0</v>
          </cell>
          <cell r="BC12">
            <v>1762.1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1762.1</v>
          </cell>
          <cell r="BK12"/>
          <cell r="BL12"/>
          <cell r="BM12"/>
          <cell r="BN12"/>
          <cell r="BO12"/>
        </row>
        <row r="13">
          <cell r="F13">
            <v>738375.39699999988</v>
          </cell>
          <cell r="G13">
            <v>68549.991999999998</v>
          </cell>
          <cell r="H13">
            <v>64427.684999999998</v>
          </cell>
          <cell r="I13">
            <v>45167.684000000001</v>
          </cell>
          <cell r="J13">
            <v>30340.279000000002</v>
          </cell>
          <cell r="K13">
            <v>53873.141999999993</v>
          </cell>
          <cell r="L13">
            <v>41563.418000000005</v>
          </cell>
          <cell r="M13">
            <v>35455.074000000001</v>
          </cell>
          <cell r="N13">
            <v>43548.368000000002</v>
          </cell>
          <cell r="O13">
            <v>32569.871999999999</v>
          </cell>
          <cell r="P13">
            <v>38401.089999999997</v>
          </cell>
          <cell r="Q13">
            <v>33868.993000000002</v>
          </cell>
          <cell r="R13">
            <v>23699.59</v>
          </cell>
          <cell r="S13">
            <v>37586.995999999999</v>
          </cell>
          <cell r="T13">
            <v>8920.0190000000002</v>
          </cell>
          <cell r="U13">
            <v>11412.334000000001</v>
          </cell>
          <cell r="V13">
            <v>25655.877</v>
          </cell>
          <cell r="W13">
            <v>14388.194</v>
          </cell>
          <cell r="X13"/>
          <cell r="Y13"/>
          <cell r="Z13">
            <v>609428.60699999996</v>
          </cell>
          <cell r="AA13">
            <v>0</v>
          </cell>
          <cell r="AB13">
            <v>448.22399999999993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448.22399999999993</v>
          </cell>
          <cell r="AI13">
            <v>609876.83099999989</v>
          </cell>
          <cell r="AJ13">
            <v>8724.2479999999996</v>
          </cell>
          <cell r="AK13">
            <v>0</v>
          </cell>
          <cell r="AL13">
            <v>288.98099999999999</v>
          </cell>
          <cell r="AM13"/>
          <cell r="AN13">
            <v>9013.2289999999994</v>
          </cell>
          <cell r="AO13">
            <v>106356.576</v>
          </cell>
          <cell r="AP13">
            <v>0</v>
          </cell>
          <cell r="AQ13"/>
          <cell r="AR13"/>
          <cell r="AS13">
            <v>106356.576</v>
          </cell>
          <cell r="AT13">
            <v>0</v>
          </cell>
          <cell r="AU13">
            <v>0</v>
          </cell>
          <cell r="AV13">
            <v>-513.46600000000001</v>
          </cell>
          <cell r="AW13">
            <v>0</v>
          </cell>
          <cell r="AX13">
            <v>9399.1909999999989</v>
          </cell>
          <cell r="AY13"/>
          <cell r="AZ13"/>
          <cell r="BA13">
            <v>8885.7249999999985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4243.0360000000001</v>
          </cell>
          <cell r="BG13">
            <v>0</v>
          </cell>
          <cell r="BH13"/>
          <cell r="BI13"/>
          <cell r="BJ13">
            <v>4243.0360000000001</v>
          </cell>
          <cell r="BK13"/>
          <cell r="BL13"/>
          <cell r="BM13"/>
          <cell r="BN13"/>
          <cell r="BO13"/>
        </row>
        <row r="14">
          <cell r="F14">
            <v>510327.50599999994</v>
          </cell>
          <cell r="G14">
            <v>44820.405999999995</v>
          </cell>
          <cell r="H14">
            <v>43020.963000000003</v>
          </cell>
          <cell r="I14">
            <v>32612.296000000002</v>
          </cell>
          <cell r="J14">
            <v>21646.854000000003</v>
          </cell>
          <cell r="K14">
            <v>37557.998999999996</v>
          </cell>
          <cell r="L14">
            <v>31291.009000000002</v>
          </cell>
          <cell r="M14">
            <v>23764.041000000001</v>
          </cell>
          <cell r="N14">
            <v>31232.173999999999</v>
          </cell>
          <cell r="O14">
            <v>23952.368999999999</v>
          </cell>
          <cell r="P14">
            <v>26466.986000000001</v>
          </cell>
          <cell r="Q14">
            <v>24701.534</v>
          </cell>
          <cell r="R14">
            <v>17552.356</v>
          </cell>
          <cell r="S14">
            <v>26379.729999999996</v>
          </cell>
          <cell r="T14">
            <v>5624.9059999999999</v>
          </cell>
          <cell r="U14">
            <v>6743.5730000000012</v>
          </cell>
          <cell r="V14">
            <v>17791.876</v>
          </cell>
          <cell r="W14">
            <v>9410.0319999999992</v>
          </cell>
          <cell r="X14"/>
          <cell r="Y14"/>
          <cell r="Z14">
            <v>424569.10399999993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424569.10399999993</v>
          </cell>
          <cell r="AJ14">
            <v>7075.8180000000002</v>
          </cell>
          <cell r="AK14">
            <v>0</v>
          </cell>
          <cell r="AL14">
            <v>0</v>
          </cell>
          <cell r="AM14"/>
          <cell r="AN14">
            <v>7075.8180000000002</v>
          </cell>
          <cell r="AO14">
            <v>78682.584000000003</v>
          </cell>
          <cell r="AP14">
            <v>0</v>
          </cell>
          <cell r="AQ14"/>
          <cell r="AR14"/>
          <cell r="AS14">
            <v>78682.584000000003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227763.94099999999</v>
          </cell>
          <cell r="G15">
            <v>23729.586000000003</v>
          </cell>
          <cell r="H15">
            <v>21406.721999999998</v>
          </cell>
          <cell r="I15">
            <v>12555.387999999999</v>
          </cell>
          <cell r="J15">
            <v>8693.4249999999993</v>
          </cell>
          <cell r="K15">
            <v>16315.143</v>
          </cell>
          <cell r="L15">
            <v>10272.409</v>
          </cell>
          <cell r="M15">
            <v>11691.032999999999</v>
          </cell>
          <cell r="N15">
            <v>12316.194</v>
          </cell>
          <cell r="O15">
            <v>8617.5030000000006</v>
          </cell>
          <cell r="P15">
            <v>11934.103999999999</v>
          </cell>
          <cell r="Q15">
            <v>9167.4590000000007</v>
          </cell>
          <cell r="R15">
            <v>6147.2340000000004</v>
          </cell>
          <cell r="S15">
            <v>11207.266</v>
          </cell>
          <cell r="T15">
            <v>3295.1130000000003</v>
          </cell>
          <cell r="U15">
            <v>4668.7609999999995</v>
          </cell>
          <cell r="V15">
            <v>7864.0010000000002</v>
          </cell>
          <cell r="W15">
            <v>4978.1620000000003</v>
          </cell>
          <cell r="X15"/>
          <cell r="Y15"/>
          <cell r="Z15">
            <v>184859.503</v>
          </cell>
          <cell r="AA15">
            <v>0</v>
          </cell>
          <cell r="AB15">
            <v>448.22399999999993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448.22399999999993</v>
          </cell>
          <cell r="AI15">
            <v>185307.72699999998</v>
          </cell>
          <cell r="AJ15">
            <v>1648.43</v>
          </cell>
          <cell r="AK15">
            <v>0</v>
          </cell>
          <cell r="AL15">
            <v>288.98099999999999</v>
          </cell>
          <cell r="AM15"/>
          <cell r="AN15">
            <v>1937.4110000000001</v>
          </cell>
          <cell r="AO15">
            <v>27673.992000000002</v>
          </cell>
          <cell r="AP15">
            <v>0</v>
          </cell>
          <cell r="AQ15"/>
          <cell r="AR15"/>
          <cell r="AS15">
            <v>27673.992000000002</v>
          </cell>
          <cell r="AT15">
            <v>0</v>
          </cell>
          <cell r="AU15">
            <v>0</v>
          </cell>
          <cell r="AV15">
            <v>-513.46600000000001</v>
          </cell>
          <cell r="AW15">
            <v>0</v>
          </cell>
          <cell r="AX15">
            <v>9399.1909999999989</v>
          </cell>
          <cell r="AY15"/>
          <cell r="AZ15"/>
          <cell r="BA15">
            <v>8885.7249999999985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3959.0859999999998</v>
          </cell>
          <cell r="BG15">
            <v>0</v>
          </cell>
          <cell r="BH15"/>
          <cell r="BI15"/>
          <cell r="BJ15">
            <v>3959.0859999999998</v>
          </cell>
          <cell r="BK15"/>
          <cell r="BL15"/>
          <cell r="BM15"/>
          <cell r="BN15"/>
          <cell r="BO15"/>
        </row>
        <row r="16">
          <cell r="F16">
            <v>283.95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283.95</v>
          </cell>
          <cell r="BG16">
            <v>0</v>
          </cell>
          <cell r="BH16"/>
          <cell r="BI16"/>
          <cell r="BJ16">
            <v>283.95</v>
          </cell>
          <cell r="BK16"/>
          <cell r="BL16"/>
          <cell r="BM16"/>
          <cell r="BN16"/>
          <cell r="BO16"/>
        </row>
        <row r="17">
          <cell r="F17">
            <v>4828702.7911500037</v>
          </cell>
          <cell r="G17">
            <v>544690.01780999976</v>
          </cell>
          <cell r="H17">
            <v>585159.59941999987</v>
          </cell>
          <cell r="I17">
            <v>465931.90164999932</v>
          </cell>
          <cell r="J17">
            <v>173234.41675000006</v>
          </cell>
          <cell r="K17">
            <v>492888.6667200001</v>
          </cell>
          <cell r="L17">
            <v>353929.51640999998</v>
          </cell>
          <cell r="M17">
            <v>114882.78257000007</v>
          </cell>
          <cell r="N17">
            <v>280821.99499999988</v>
          </cell>
          <cell r="O17">
            <v>139073.67963999996</v>
          </cell>
          <cell r="P17">
            <v>333396.31283999991</v>
          </cell>
          <cell r="Q17">
            <v>317041.56587000005</v>
          </cell>
          <cell r="R17">
            <v>10338.996250000051</v>
          </cell>
          <cell r="S17">
            <v>264468.3056599999</v>
          </cell>
          <cell r="T17">
            <v>81266.390830000018</v>
          </cell>
          <cell r="U17">
            <v>123461.00184000001</v>
          </cell>
          <cell r="V17">
            <v>134514.93596999996</v>
          </cell>
          <cell r="W17">
            <v>106380.59421999998</v>
          </cell>
          <cell r="X17"/>
          <cell r="Y17"/>
          <cell r="Z17">
            <v>4521480.6794499988</v>
          </cell>
          <cell r="AA17">
            <v>47082.968000000001</v>
          </cell>
          <cell r="AB17">
            <v>-448.22399999999993</v>
          </cell>
          <cell r="AC17">
            <v>8802.6849999999995</v>
          </cell>
          <cell r="AD17">
            <v>19911.234</v>
          </cell>
          <cell r="AE17">
            <v>0</v>
          </cell>
          <cell r="AF17"/>
          <cell r="AG17"/>
          <cell r="AH17">
            <v>75348.663</v>
          </cell>
          <cell r="AI17">
            <v>4596829.3424500003</v>
          </cell>
          <cell r="AJ17">
            <v>56029.750520000023</v>
          </cell>
          <cell r="AK17">
            <v>62049.399979999987</v>
          </cell>
          <cell r="AL17">
            <v>-60045.156799999997</v>
          </cell>
          <cell r="AM17"/>
          <cell r="AN17">
            <v>58033.993700000043</v>
          </cell>
          <cell r="AO17">
            <v>90590.443999999552</v>
          </cell>
          <cell r="AP17">
            <v>0</v>
          </cell>
          <cell r="AQ17"/>
          <cell r="AR17"/>
          <cell r="AS17">
            <v>90590.443999999552</v>
          </cell>
          <cell r="AT17">
            <v>5123.973</v>
          </cell>
          <cell r="AU17">
            <v>9002.7099999999991</v>
          </cell>
          <cell r="AV17">
            <v>513.46600000000001</v>
          </cell>
          <cell r="AW17">
            <v>80488.989000000001</v>
          </cell>
          <cell r="AX17">
            <v>-9399.1909999999989</v>
          </cell>
          <cell r="AY17"/>
          <cell r="AZ17"/>
          <cell r="BA17">
            <v>85729.947000000015</v>
          </cell>
          <cell r="BB17">
            <v>0</v>
          </cell>
          <cell r="BC17">
            <v>1762.1</v>
          </cell>
          <cell r="BD17">
            <v>0</v>
          </cell>
          <cell r="BE17">
            <v>0</v>
          </cell>
          <cell r="BF17">
            <v>-4243.0360000000001</v>
          </cell>
          <cell r="BG17">
            <v>0</v>
          </cell>
          <cell r="BH17"/>
          <cell r="BI17"/>
          <cell r="BJ17">
            <v>-2480.9360000000001</v>
          </cell>
          <cell r="BK17"/>
          <cell r="BL17"/>
          <cell r="BM17"/>
          <cell r="BN17"/>
          <cell r="BO17"/>
        </row>
        <row r="18">
          <cell r="F18">
            <v>554616.04316</v>
          </cell>
          <cell r="G18">
            <v>29455.412810000002</v>
          </cell>
          <cell r="H18">
            <v>32679.468420000001</v>
          </cell>
          <cell r="I18">
            <v>18016.466649999998</v>
          </cell>
          <cell r="J18">
            <v>16901.30975</v>
          </cell>
          <cell r="K18">
            <v>70777.437720000002</v>
          </cell>
          <cell r="L18">
            <v>56767.87840999999</v>
          </cell>
          <cell r="M18">
            <v>15555.11657</v>
          </cell>
          <cell r="N18">
            <v>27213.221999999998</v>
          </cell>
          <cell r="O18">
            <v>12070.718640000001</v>
          </cell>
          <cell r="P18">
            <v>31472.670840000002</v>
          </cell>
          <cell r="Q18">
            <v>13353.664870000001</v>
          </cell>
          <cell r="R18">
            <v>11176.239250000001</v>
          </cell>
          <cell r="S18">
            <v>33410.714659999998</v>
          </cell>
          <cell r="T18">
            <v>5096.4758300000003</v>
          </cell>
          <cell r="U18">
            <v>9397.9408399999993</v>
          </cell>
          <cell r="V18">
            <v>22947.041969999998</v>
          </cell>
          <cell r="W18">
            <v>8380.2362200000007</v>
          </cell>
          <cell r="X18"/>
          <cell r="Y18"/>
          <cell r="Z18">
            <v>414672.01545000001</v>
          </cell>
          <cell r="AA18">
            <v>5622.5950000000003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5976.2669999999998</v>
          </cell>
          <cell r="AI18">
            <v>420648.28244999994</v>
          </cell>
          <cell r="AJ18">
            <v>34514.239529999999</v>
          </cell>
          <cell r="AK18">
            <v>10324.63198</v>
          </cell>
          <cell r="AL18">
            <v>33524.677199999998</v>
          </cell>
          <cell r="AM18"/>
          <cell r="AN18">
            <v>78363.548709999988</v>
          </cell>
          <cell r="AO18">
            <v>2800.721</v>
          </cell>
          <cell r="AP18">
            <v>855.83600000000001</v>
          </cell>
          <cell r="AQ18"/>
          <cell r="AR18"/>
          <cell r="AS18">
            <v>3656.5569999999998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17188.030999999999</v>
          </cell>
          <cell r="BD18">
            <v>0</v>
          </cell>
          <cell r="BE18">
            <v>0</v>
          </cell>
          <cell r="BF18">
            <v>6267.0689999999995</v>
          </cell>
          <cell r="BG18">
            <v>0</v>
          </cell>
          <cell r="BH18"/>
          <cell r="BI18"/>
          <cell r="BJ18">
            <v>23455.1</v>
          </cell>
          <cell r="BK18"/>
          <cell r="BL18"/>
          <cell r="BM18"/>
          <cell r="BN18"/>
          <cell r="BO18"/>
        </row>
        <row r="19">
          <cell r="F19">
            <v>494895.43915999995</v>
          </cell>
          <cell r="G19">
            <v>27725.88681</v>
          </cell>
          <cell r="H19">
            <v>30932.081420000002</v>
          </cell>
          <cell r="I19">
            <v>16865.764649999997</v>
          </cell>
          <cell r="J19">
            <v>16628.59175</v>
          </cell>
          <cell r="K19">
            <v>69551.864719999998</v>
          </cell>
          <cell r="L19">
            <v>55589.570409999993</v>
          </cell>
          <cell r="M19">
            <v>15280.78757</v>
          </cell>
          <cell r="N19">
            <v>26006.062999999998</v>
          </cell>
          <cell r="O19">
            <v>11127.958640000001</v>
          </cell>
          <cell r="P19">
            <v>30798.396840000001</v>
          </cell>
          <cell r="Q19">
            <v>12692.76887</v>
          </cell>
          <cell r="R19">
            <v>10887.35325</v>
          </cell>
          <cell r="S19">
            <v>32473.006659999999</v>
          </cell>
          <cell r="T19">
            <v>4832.07683</v>
          </cell>
          <cell r="U19">
            <v>9397.9408399999993</v>
          </cell>
          <cell r="V19">
            <v>22277.97597</v>
          </cell>
          <cell r="W19">
            <v>8368.1352200000001</v>
          </cell>
          <cell r="X19"/>
          <cell r="Y19"/>
          <cell r="Z19">
            <v>401436.22344999999</v>
          </cell>
          <cell r="AA19">
            <v>5622.5950000000003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5622.5950000000003</v>
          </cell>
          <cell r="AI19">
            <v>407058.81844999996</v>
          </cell>
          <cell r="AJ19">
            <v>34184.811529999999</v>
          </cell>
          <cell r="AK19">
            <v>10324.63198</v>
          </cell>
          <cell r="AL19">
            <v>33524.677199999998</v>
          </cell>
          <cell r="AM19"/>
          <cell r="AN19">
            <v>78034.120709999988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59720.603999999999</v>
          </cell>
          <cell r="G20">
            <v>1729.5260000000001</v>
          </cell>
          <cell r="H20">
            <v>1747.3869999999999</v>
          </cell>
          <cell r="I20">
            <v>1150.702</v>
          </cell>
          <cell r="J20">
            <v>272.71800000000002</v>
          </cell>
          <cell r="K20">
            <v>1225.5730000000001</v>
          </cell>
          <cell r="L20">
            <v>1178.308</v>
          </cell>
          <cell r="M20">
            <v>274.32900000000001</v>
          </cell>
          <cell r="N20">
            <v>1207.1590000000001</v>
          </cell>
          <cell r="O20">
            <v>942.76</v>
          </cell>
          <cell r="P20">
            <v>674.274</v>
          </cell>
          <cell r="Q20">
            <v>660.89599999999996</v>
          </cell>
          <cell r="R20">
            <v>288.88600000000002</v>
          </cell>
          <cell r="S20">
            <v>937.70799999999997</v>
          </cell>
          <cell r="T20">
            <v>264.399</v>
          </cell>
          <cell r="U20">
            <v>0</v>
          </cell>
          <cell r="V20">
            <v>669.06600000000003</v>
          </cell>
          <cell r="W20">
            <v>12.101000000000001</v>
          </cell>
          <cell r="X20"/>
          <cell r="Y20"/>
          <cell r="Z20">
            <v>13235.792000000001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13589.464000000002</v>
          </cell>
          <cell r="AJ20">
            <v>329.428</v>
          </cell>
          <cell r="AK20">
            <v>0</v>
          </cell>
          <cell r="AL20">
            <v>0</v>
          </cell>
          <cell r="AM20"/>
          <cell r="AN20">
            <v>329.428</v>
          </cell>
          <cell r="AO20">
            <v>2800.721</v>
          </cell>
          <cell r="AP20">
            <v>855.83600000000001</v>
          </cell>
          <cell r="AQ20"/>
          <cell r="AR20"/>
          <cell r="AS20">
            <v>3656.5569999999998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17188.030999999999</v>
          </cell>
          <cell r="BD20">
            <v>0</v>
          </cell>
          <cell r="BE20">
            <v>0</v>
          </cell>
          <cell r="BF20">
            <v>6267.0689999999995</v>
          </cell>
          <cell r="BG20">
            <v>0</v>
          </cell>
          <cell r="BH20"/>
          <cell r="BI20"/>
          <cell r="BJ20">
            <v>23455.1</v>
          </cell>
          <cell r="BK20"/>
          <cell r="BL20"/>
          <cell r="BM20"/>
          <cell r="BN20"/>
          <cell r="BO20"/>
        </row>
        <row r="21">
          <cell r="F21">
            <v>4274086.7479900038</v>
          </cell>
          <cell r="G21">
            <v>515234.60499999975</v>
          </cell>
          <cell r="H21">
            <v>552480.13099999982</v>
          </cell>
          <cell r="I21">
            <v>447915.4349999993</v>
          </cell>
          <cell r="J21">
            <v>156333.10700000008</v>
          </cell>
          <cell r="K21">
            <v>422111.22900000011</v>
          </cell>
          <cell r="L21">
            <v>297161.63799999998</v>
          </cell>
          <cell r="M21">
            <v>99327.66600000007</v>
          </cell>
          <cell r="N21">
            <v>253608.77299999987</v>
          </cell>
          <cell r="O21">
            <v>127002.96099999995</v>
          </cell>
          <cell r="P21">
            <v>301923.64199999993</v>
          </cell>
          <cell r="Q21">
            <v>303687.90100000007</v>
          </cell>
          <cell r="R21">
            <v>-837.24299999994946</v>
          </cell>
          <cell r="S21">
            <v>231057.5909999999</v>
          </cell>
          <cell r="T21">
            <v>76169.915000000023</v>
          </cell>
          <cell r="U21">
            <v>114063.06100000002</v>
          </cell>
          <cell r="V21">
            <v>111567.89399999997</v>
          </cell>
          <cell r="W21">
            <v>98000.357999999978</v>
          </cell>
          <cell r="X21"/>
          <cell r="Y21"/>
          <cell r="Z21">
            <v>4106808.6639999989</v>
          </cell>
          <cell r="AA21">
            <v>41460.373</v>
          </cell>
          <cell r="AB21">
            <v>-801.89599999999996</v>
          </cell>
          <cell r="AC21">
            <v>8802.6849999999995</v>
          </cell>
          <cell r="AD21">
            <v>19911.234</v>
          </cell>
          <cell r="AE21">
            <v>0</v>
          </cell>
          <cell r="AF21"/>
          <cell r="AG21"/>
          <cell r="AH21">
            <v>69372.396000000008</v>
          </cell>
          <cell r="AI21">
            <v>4176181.0600000005</v>
          </cell>
          <cell r="AJ21">
            <v>21515.510990000024</v>
          </cell>
          <cell r="AK21">
            <v>51724.767999999989</v>
          </cell>
          <cell r="AL21">
            <v>-93569.834000000003</v>
          </cell>
          <cell r="AM21"/>
          <cell r="AN21">
            <v>-20329.555009999945</v>
          </cell>
          <cell r="AO21">
            <v>87789.722999999547</v>
          </cell>
          <cell r="AP21">
            <v>-855.83600000000001</v>
          </cell>
          <cell r="AQ21"/>
          <cell r="AR21"/>
          <cell r="AS21">
            <v>86933.886999999551</v>
          </cell>
          <cell r="AT21">
            <v>3811.0810000000001</v>
          </cell>
          <cell r="AU21">
            <v>513.10199999999895</v>
          </cell>
          <cell r="AV21">
            <v>81.295999999999992</v>
          </cell>
          <cell r="AW21">
            <v>80488.989000000001</v>
          </cell>
          <cell r="AX21">
            <v>-27657.075999999997</v>
          </cell>
          <cell r="AY21"/>
          <cell r="AZ21"/>
          <cell r="BA21">
            <v>57237.392000000014</v>
          </cell>
          <cell r="BB21">
            <v>0</v>
          </cell>
          <cell r="BC21">
            <v>-15425.930999999999</v>
          </cell>
          <cell r="BD21">
            <v>0</v>
          </cell>
          <cell r="BE21">
            <v>0</v>
          </cell>
          <cell r="BF21">
            <v>-10510.105</v>
          </cell>
          <cell r="BG21">
            <v>0</v>
          </cell>
          <cell r="BH21"/>
          <cell r="BI21"/>
          <cell r="BJ21">
            <v>-25936.036</v>
          </cell>
          <cell r="BK21"/>
          <cell r="BL21"/>
          <cell r="BM21"/>
          <cell r="BN21"/>
          <cell r="BO21"/>
        </row>
        <row r="22">
          <cell r="F22">
            <v>1181052.1129999999</v>
          </cell>
          <cell r="G22">
            <v>157072.85338242835</v>
          </cell>
          <cell r="H22">
            <v>157752.7295177065</v>
          </cell>
          <cell r="I22">
            <v>123302.60364578478</v>
          </cell>
          <cell r="J22">
            <v>52293.877404954648</v>
          </cell>
          <cell r="K22">
            <v>101175.39326327611</v>
          </cell>
          <cell r="L22">
            <v>75787.385761008161</v>
          </cell>
          <cell r="M22">
            <v>42416.971540259576</v>
          </cell>
          <cell r="N22">
            <v>71777.367504795198</v>
          </cell>
          <cell r="O22">
            <v>45191.371980122014</v>
          </cell>
          <cell r="P22">
            <v>72413.9801649976</v>
          </cell>
          <cell r="Q22">
            <v>70581.90269804842</v>
          </cell>
          <cell r="R22">
            <v>25386.420462030474</v>
          </cell>
          <cell r="S22">
            <v>85883.661373783543</v>
          </cell>
          <cell r="T22">
            <v>18076.309832640618</v>
          </cell>
          <cell r="U22">
            <v>22829.961842787532</v>
          </cell>
          <cell r="V22">
            <v>31874.828874225495</v>
          </cell>
          <cell r="W22">
            <v>27234.493751150898</v>
          </cell>
          <cell r="X22"/>
          <cell r="Y22"/>
          <cell r="Z22">
            <v>1181052.1129999999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1181052.1129999999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190767.59399999998</v>
          </cell>
          <cell r="G23">
            <v>26209.575598484713</v>
          </cell>
          <cell r="H23">
            <v>26323.021458679232</v>
          </cell>
          <cell r="I23">
            <v>20574.585882615171</v>
          </cell>
          <cell r="J23">
            <v>8725.88931612532</v>
          </cell>
          <cell r="K23">
            <v>16840.748949117155</v>
          </cell>
          <cell r="L23">
            <v>12614.888817776429</v>
          </cell>
          <cell r="M23">
            <v>7060.348824467007</v>
          </cell>
          <cell r="N23">
            <v>11947.417127713119</v>
          </cell>
          <cell r="O23">
            <v>7522.150649842295</v>
          </cell>
          <cell r="P23">
            <v>12053.381964048378</v>
          </cell>
          <cell r="Q23">
            <v>11748.430773041495</v>
          </cell>
          <cell r="R23">
            <v>4225.5959668502346</v>
          </cell>
          <cell r="S23">
            <v>11513.519503134778</v>
          </cell>
          <cell r="T23">
            <v>2423.3008056913727</v>
          </cell>
          <cell r="U23">
            <v>3060.5729509919843</v>
          </cell>
          <cell r="V23">
            <v>4273.1231765405955</v>
          </cell>
          <cell r="W23">
            <v>3651.0422348807251</v>
          </cell>
          <cell r="X23"/>
          <cell r="Y23"/>
          <cell r="Z23">
            <v>190767.59399999998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190767.59399999998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365078.65299999993</v>
          </cell>
          <cell r="G24">
            <v>48244.103854891189</v>
          </cell>
          <cell r="H24">
            <v>48452.924247291907</v>
          </cell>
          <cell r="I24">
            <v>37871.748604340275</v>
          </cell>
          <cell r="J24">
            <v>16061.790425090805</v>
          </cell>
          <cell r="K24">
            <v>31090.840820714933</v>
          </cell>
          <cell r="L24">
            <v>23289.195830275978</v>
          </cell>
          <cell r="M24">
            <v>13034.585463120573</v>
          </cell>
          <cell r="N24">
            <v>22056.931390565303</v>
          </cell>
          <cell r="O24">
            <v>13887.148914237832</v>
          </cell>
          <cell r="P24">
            <v>22252.560211412096</v>
          </cell>
          <cell r="Q24">
            <v>21689.569279932206</v>
          </cell>
          <cell r="R24">
            <v>7801.1572985821931</v>
          </cell>
          <cell r="S24">
            <v>27417.323705082934</v>
          </cell>
          <cell r="T24">
            <v>5770.6440334199251</v>
          </cell>
          <cell r="U24">
            <v>7288.1901400802171</v>
          </cell>
          <cell r="V24">
            <v>10175.654918637811</v>
          </cell>
          <cell r="W24">
            <v>8694.283862323733</v>
          </cell>
          <cell r="X24"/>
          <cell r="Y24"/>
          <cell r="Z24">
            <v>365078.65299999993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365078.65299999993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625205.86599999981</v>
          </cell>
          <cell r="G25">
            <v>82619.173929052471</v>
          </cell>
          <cell r="H25">
            <v>82976.783811735339</v>
          </cell>
          <cell r="I25">
            <v>64856.269158829346</v>
          </cell>
          <cell r="J25">
            <v>27506.197663738523</v>
          </cell>
          <cell r="K25">
            <v>53243.803493444015</v>
          </cell>
          <cell r="L25">
            <v>39883.301112955749</v>
          </cell>
          <cell r="M25">
            <v>22322.037252671991</v>
          </cell>
          <cell r="N25">
            <v>37773.01898651677</v>
          </cell>
          <cell r="O25">
            <v>23782.072416041883</v>
          </cell>
          <cell r="P25">
            <v>38108.037989537137</v>
          </cell>
          <cell r="Q25">
            <v>37143.902645074719</v>
          </cell>
          <cell r="R25">
            <v>13359.667196598048</v>
          </cell>
          <cell r="S25">
            <v>46952.818165565841</v>
          </cell>
          <cell r="T25">
            <v>9882.3649935293197</v>
          </cell>
          <cell r="U25">
            <v>12481.19875171533</v>
          </cell>
          <cell r="V25">
            <v>17426.050779047091</v>
          </cell>
          <cell r="W25">
            <v>14889.167653946439</v>
          </cell>
          <cell r="X25"/>
          <cell r="Y25"/>
          <cell r="Z25">
            <v>625205.86599999981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625205.86599999981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3093034.6349900039</v>
          </cell>
          <cell r="G26">
            <v>358161.7516175714</v>
          </cell>
          <cell r="H26">
            <v>394727.40148229332</v>
          </cell>
          <cell r="I26">
            <v>324612.83135421452</v>
          </cell>
          <cell r="J26">
            <v>104039.22959504543</v>
          </cell>
          <cell r="K26">
            <v>320935.83573672397</v>
          </cell>
          <cell r="L26">
            <v>221374.25223899182</v>
          </cell>
          <cell r="M26">
            <v>56910.694459740494</v>
          </cell>
          <cell r="N26">
            <v>181831.40549520467</v>
          </cell>
          <cell r="O26">
            <v>81811.589019877938</v>
          </cell>
          <cell r="P26">
            <v>229509.66183500233</v>
          </cell>
          <cell r="Q26">
            <v>233105.99830195165</v>
          </cell>
          <cell r="R26">
            <v>-26223.663462030425</v>
          </cell>
          <cell r="S26">
            <v>145173.92962621636</v>
          </cell>
          <cell r="T26">
            <v>58093.605167359405</v>
          </cell>
          <cell r="U26">
            <v>91233.099157212477</v>
          </cell>
          <cell r="V26">
            <v>79693.065125774476</v>
          </cell>
          <cell r="W26">
            <v>70765.864248849073</v>
          </cell>
          <cell r="X26"/>
          <cell r="Y26"/>
          <cell r="Z26">
            <v>2925756.550999999</v>
          </cell>
          <cell r="AA26">
            <v>41460.373</v>
          </cell>
          <cell r="AB26">
            <v>-801.89599999999996</v>
          </cell>
          <cell r="AC26">
            <v>8802.6849999999995</v>
          </cell>
          <cell r="AD26">
            <v>19911.234</v>
          </cell>
          <cell r="AE26">
            <v>0</v>
          </cell>
          <cell r="AF26"/>
          <cell r="AG26"/>
          <cell r="AH26">
            <v>69372.396000000008</v>
          </cell>
          <cell r="AI26">
            <v>2995128.9470000006</v>
          </cell>
          <cell r="AJ26">
            <v>21515.510990000024</v>
          </cell>
          <cell r="AK26">
            <v>51724.767999999989</v>
          </cell>
          <cell r="AL26">
            <v>-93569.834000000003</v>
          </cell>
          <cell r="AM26"/>
          <cell r="AN26">
            <v>-20329.555009999945</v>
          </cell>
          <cell r="AO26">
            <v>87789.722999999547</v>
          </cell>
          <cell r="AP26">
            <v>-855.83600000000001</v>
          </cell>
          <cell r="AQ26"/>
          <cell r="AR26"/>
          <cell r="AS26">
            <v>86933.886999999551</v>
          </cell>
          <cell r="AT26">
            <v>3811.0810000000001</v>
          </cell>
          <cell r="AU26">
            <v>513.10199999999895</v>
          </cell>
          <cell r="AV26">
            <v>81.295999999999992</v>
          </cell>
          <cell r="AW26">
            <v>80488.989000000001</v>
          </cell>
          <cell r="AX26">
            <v>-27657.075999999997</v>
          </cell>
          <cell r="AY26"/>
          <cell r="AZ26"/>
          <cell r="BA26">
            <v>57237.392000000014</v>
          </cell>
          <cell r="BB26">
            <v>0</v>
          </cell>
          <cell r="BC26">
            <v>-15425.930999999999</v>
          </cell>
          <cell r="BD26">
            <v>0</v>
          </cell>
          <cell r="BE26">
            <v>0</v>
          </cell>
          <cell r="BF26">
            <v>-10510.105</v>
          </cell>
          <cell r="BG26">
            <v>0</v>
          </cell>
          <cell r="BH26"/>
          <cell r="BI26"/>
          <cell r="BJ26">
            <v>-25936.036</v>
          </cell>
          <cell r="BK26"/>
          <cell r="BL26"/>
          <cell r="BM26"/>
          <cell r="BN26"/>
          <cell r="BO26"/>
        </row>
        <row r="27">
          <cell r="F27">
            <v>3093034.6349899997</v>
          </cell>
          <cell r="G27">
            <v>358161.75161757134</v>
          </cell>
          <cell r="H27">
            <v>394727.4014822935</v>
          </cell>
          <cell r="I27">
            <v>324612.83135421452</v>
          </cell>
          <cell r="J27">
            <v>104039.22959504544</v>
          </cell>
          <cell r="K27">
            <v>320935.83573672402</v>
          </cell>
          <cell r="L27">
            <v>221374.25223899187</v>
          </cell>
          <cell r="M27">
            <v>56910.694459740509</v>
          </cell>
          <cell r="N27">
            <v>181831.4054952047</v>
          </cell>
          <cell r="O27">
            <v>81811.589019877967</v>
          </cell>
          <cell r="P27">
            <v>229509.66183500231</v>
          </cell>
          <cell r="Q27">
            <v>233105.99830195171</v>
          </cell>
          <cell r="R27">
            <v>-26223.663462030425</v>
          </cell>
          <cell r="S27">
            <v>145173.92962621633</v>
          </cell>
          <cell r="T27">
            <v>58093.605167359405</v>
          </cell>
          <cell r="U27">
            <v>91233.099157212477</v>
          </cell>
          <cell r="V27">
            <v>79693.06512577449</v>
          </cell>
          <cell r="W27">
            <v>70765.864248849102</v>
          </cell>
          <cell r="X27"/>
          <cell r="Y27"/>
          <cell r="Z27">
            <v>2925756.5509999995</v>
          </cell>
          <cell r="AA27">
            <v>41460.373</v>
          </cell>
          <cell r="AB27">
            <v>-801.89599999999996</v>
          </cell>
          <cell r="AC27">
            <v>8802.6849999999995</v>
          </cell>
          <cell r="AD27">
            <v>19911.234</v>
          </cell>
          <cell r="AE27">
            <v>0</v>
          </cell>
          <cell r="AF27"/>
          <cell r="AG27"/>
          <cell r="AH27">
            <v>69372.395999999993</v>
          </cell>
          <cell r="AI27">
            <v>2995128.9469999997</v>
          </cell>
          <cell r="AJ27">
            <v>21515.510990000024</v>
          </cell>
          <cell r="AK27">
            <v>51724.767999999989</v>
          </cell>
          <cell r="AL27">
            <v>-93569.834000000003</v>
          </cell>
          <cell r="AM27"/>
          <cell r="AN27">
            <v>-20329.555009999982</v>
          </cell>
          <cell r="AO27">
            <v>87789.722999999547</v>
          </cell>
          <cell r="AP27">
            <v>-855.83600000000001</v>
          </cell>
          <cell r="AQ27"/>
          <cell r="AR27"/>
          <cell r="AS27">
            <v>86933.886999999551</v>
          </cell>
          <cell r="AT27">
            <v>3811.0810000000001</v>
          </cell>
          <cell r="AU27">
            <v>513.10199999999895</v>
          </cell>
          <cell r="AV27">
            <v>81.295999999999992</v>
          </cell>
          <cell r="AW27">
            <v>80488.989000000001</v>
          </cell>
          <cell r="AX27">
            <v>-27657.075999999997</v>
          </cell>
          <cell r="AY27"/>
          <cell r="AZ27"/>
          <cell r="BA27">
            <v>57237.391999999993</v>
          </cell>
          <cell r="BB27">
            <v>0</v>
          </cell>
          <cell r="BC27">
            <v>-15425.930999999999</v>
          </cell>
          <cell r="BD27">
            <v>0</v>
          </cell>
          <cell r="BE27">
            <v>0</v>
          </cell>
          <cell r="BF27">
            <v>-10510.105</v>
          </cell>
          <cell r="BG27">
            <v>0</v>
          </cell>
          <cell r="BH27"/>
          <cell r="BI27"/>
          <cell r="BJ27">
            <v>-25936.036</v>
          </cell>
          <cell r="BK27"/>
          <cell r="BL27"/>
          <cell r="BM27"/>
          <cell r="BN27"/>
          <cell r="BO27"/>
        </row>
        <row r="28">
          <cell r="F28">
            <v>4.1909515857696533E-9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3.637978807091713E-11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37196</v>
          </cell>
          <cell r="H31">
            <v>36185</v>
          </cell>
          <cell r="I31">
            <v>29254</v>
          </cell>
          <cell r="J31">
            <v>12718</v>
          </cell>
          <cell r="K31">
            <v>21362</v>
          </cell>
          <cell r="L31">
            <v>15915</v>
          </cell>
          <cell r="M31">
            <v>9562</v>
          </cell>
          <cell r="N31">
            <v>15233</v>
          </cell>
          <cell r="O31">
            <v>10519</v>
          </cell>
          <cell r="P31">
            <v>16909</v>
          </cell>
          <cell r="Q31">
            <v>16467</v>
          </cell>
          <cell r="R31">
            <v>5963.5</v>
          </cell>
          <cell r="S31">
            <v>20317</v>
          </cell>
          <cell r="T31">
            <v>4104.5</v>
          </cell>
          <cell r="U31">
            <v>5138.5</v>
          </cell>
          <cell r="V31">
            <v>6746</v>
          </cell>
          <cell r="W31">
            <v>5169.5</v>
          </cell>
          <cell r="X31">
            <v>0</v>
          </cell>
          <cell r="Y31">
            <v>0</v>
          </cell>
          <cell r="Z31">
            <v>268759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268759</v>
          </cell>
          <cell r="AJ31">
            <v>20186</v>
          </cell>
          <cell r="AK31">
            <v>23860</v>
          </cell>
          <cell r="AL31">
            <v>3532</v>
          </cell>
          <cell r="AM31"/>
          <cell r="AN31">
            <v>47578</v>
          </cell>
          <cell r="AO31">
            <v>6748.1729999999998</v>
          </cell>
          <cell r="AP31">
            <v>0</v>
          </cell>
          <cell r="AQ31"/>
          <cell r="AR31"/>
          <cell r="AS31">
            <v>6748.1729999999998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35956171.851000004</v>
          </cell>
          <cell r="G32">
            <v>3521670.648</v>
          </cell>
          <cell r="H32">
            <v>3536913.892</v>
          </cell>
          <cell r="I32">
            <v>2764520.7349999999</v>
          </cell>
          <cell r="J32">
            <v>1172461.1170000001</v>
          </cell>
          <cell r="K32">
            <v>2269535.4</v>
          </cell>
          <cell r="L32">
            <v>1700039.4</v>
          </cell>
          <cell r="M32">
            <v>951484.5</v>
          </cell>
          <cell r="N32">
            <v>1610087.9</v>
          </cell>
          <cell r="O32">
            <v>1013719</v>
          </cell>
          <cell r="P32">
            <v>1624368.2</v>
          </cell>
          <cell r="Q32">
            <v>1583271.6</v>
          </cell>
          <cell r="R32">
            <v>569460.4</v>
          </cell>
          <cell r="S32">
            <v>2001379.9909999999</v>
          </cell>
          <cell r="T32">
            <v>421239.2</v>
          </cell>
          <cell r="U32">
            <v>532015.38100000005</v>
          </cell>
          <cell r="V32">
            <v>742791.39599999995</v>
          </cell>
          <cell r="W32">
            <v>634655.88199999998</v>
          </cell>
          <cell r="X32">
            <v>0</v>
          </cell>
          <cell r="Y32">
            <v>0</v>
          </cell>
          <cell r="Z32">
            <v>26649614.642000001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>
            <v>0</v>
          </cell>
          <cell r="AF32"/>
          <cell r="AG32"/>
          <cell r="AH32">
            <v>90840</v>
          </cell>
          <cell r="AI32">
            <v>26740454.642000001</v>
          </cell>
          <cell r="AJ32">
            <v>581908.5</v>
          </cell>
          <cell r="AK32">
            <v>290312</v>
          </cell>
          <cell r="AL32">
            <v>63335</v>
          </cell>
          <cell r="AM32"/>
          <cell r="AN32">
            <v>935555.5</v>
          </cell>
          <cell r="AO32">
            <v>8183477.6199999992</v>
          </cell>
          <cell r="AP32">
            <v>0</v>
          </cell>
          <cell r="AQ32"/>
          <cell r="AR32"/>
          <cell r="AS32">
            <v>8183477.6199999992</v>
          </cell>
          <cell r="AT32">
            <v>5250</v>
          </cell>
          <cell r="AU32">
            <v>9183</v>
          </cell>
          <cell r="AV32">
            <v>0</v>
          </cell>
          <cell r="AW32">
            <v>80488.989000000001</v>
          </cell>
          <cell r="AX32">
            <v>0</v>
          </cell>
          <cell r="AY32"/>
          <cell r="AZ32"/>
          <cell r="BA32">
            <v>94921.989000000001</v>
          </cell>
          <cell r="BB32">
            <v>0</v>
          </cell>
          <cell r="BC32">
            <v>1762.1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1762.1</v>
          </cell>
        </row>
        <row r="33">
          <cell r="F33">
            <v>30883989.102009997</v>
          </cell>
          <cell r="G33">
            <v>2936156.5250000004</v>
          </cell>
          <cell r="H33">
            <v>2918258.6890000002</v>
          </cell>
          <cell r="I33">
            <v>2270286.9140000003</v>
          </cell>
          <cell r="J33">
            <v>985515.01300000004</v>
          </cell>
          <cell r="K33">
            <v>1792325.4559999998</v>
          </cell>
          <cell r="L33">
            <v>1360136.0359999998</v>
          </cell>
          <cell r="M33">
            <v>816427.43099999998</v>
          </cell>
          <cell r="N33">
            <v>1311723.6000000001</v>
          </cell>
          <cell r="O33">
            <v>853203.40700000001</v>
          </cell>
          <cell r="P33">
            <v>1283369.1940000001</v>
          </cell>
          <cell r="Q33">
            <v>1245053.81</v>
          </cell>
          <cell r="R33">
            <v>546309.16700000002</v>
          </cell>
          <cell r="S33">
            <v>1731797.696</v>
          </cell>
          <cell r="T33">
            <v>335884.86699999997</v>
          </cell>
          <cell r="U33">
            <v>406539.98600000003</v>
          </cell>
          <cell r="V33">
            <v>604898.55900000001</v>
          </cell>
          <cell r="W33">
            <v>522255.22899999999</v>
          </cell>
          <cell r="X33">
            <v>0</v>
          </cell>
          <cell r="Y33">
            <v>0</v>
          </cell>
          <cell r="Z33">
            <v>21920141.578999996</v>
          </cell>
          <cell r="AA33">
            <v>8539.6270000000004</v>
          </cell>
          <cell r="AB33">
            <v>0</v>
          </cell>
          <cell r="AC33">
            <v>3697.3150000000001</v>
          </cell>
          <cell r="AD33">
            <v>8428.7659999999996</v>
          </cell>
          <cell r="AE33">
            <v>0</v>
          </cell>
          <cell r="AF33"/>
          <cell r="AG33"/>
          <cell r="AH33">
            <v>20665.707999999999</v>
          </cell>
          <cell r="AI33">
            <v>21940807.286999997</v>
          </cell>
          <cell r="AJ33">
            <v>551339.31300999993</v>
          </cell>
          <cell r="AK33">
            <v>238587.23200000002</v>
          </cell>
          <cell r="AL33">
            <v>156615.853</v>
          </cell>
          <cell r="AM33"/>
          <cell r="AN33">
            <v>946542.39801</v>
          </cell>
          <cell r="AO33">
            <v>7986530.5999999996</v>
          </cell>
          <cell r="AP33">
            <v>0</v>
          </cell>
          <cell r="AQ33"/>
          <cell r="AR33"/>
          <cell r="AS33">
            <v>7986530.5999999996</v>
          </cell>
          <cell r="AT33">
            <v>1438.9190000000001</v>
          </cell>
          <cell r="AU33">
            <v>8669.898000000001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5072182.7489900067</v>
          </cell>
          <cell r="G34">
            <v>585514.12299999967</v>
          </cell>
          <cell r="H34">
            <v>618655.20299999975</v>
          </cell>
          <cell r="I34">
            <v>494233.82099999953</v>
          </cell>
          <cell r="J34">
            <v>186946.10400000005</v>
          </cell>
          <cell r="K34">
            <v>477209.94400000013</v>
          </cell>
          <cell r="L34">
            <v>339903.36400000006</v>
          </cell>
          <cell r="M34">
            <v>135057.06900000002</v>
          </cell>
          <cell r="N34">
            <v>298364.29999999981</v>
          </cell>
          <cell r="O34">
            <v>160515.59299999999</v>
          </cell>
          <cell r="P34">
            <v>340999.00599999982</v>
          </cell>
          <cell r="Q34">
            <v>338217.79000000004</v>
          </cell>
          <cell r="R34">
            <v>23151.233000000007</v>
          </cell>
          <cell r="S34">
            <v>269582.29499999993</v>
          </cell>
          <cell r="T34">
            <v>85354.333000000042</v>
          </cell>
          <cell r="U34">
            <v>125475.39500000002</v>
          </cell>
          <cell r="V34">
            <v>137892.83699999994</v>
          </cell>
          <cell r="W34">
            <v>112400.65299999999</v>
          </cell>
          <cell r="X34">
            <v>0</v>
          </cell>
          <cell r="Y34">
            <v>0</v>
          </cell>
          <cell r="Z34">
            <v>4729473.0630000047</v>
          </cell>
          <cell r="AA34">
            <v>41460.373</v>
          </cell>
          <cell r="AB34">
            <v>0</v>
          </cell>
          <cell r="AC34">
            <v>8802.6849999999995</v>
          </cell>
          <cell r="AD34">
            <v>19911.234</v>
          </cell>
          <cell r="AE34">
            <v>0</v>
          </cell>
          <cell r="AF34"/>
          <cell r="AG34"/>
          <cell r="AH34">
            <v>70174.292000000001</v>
          </cell>
          <cell r="AI34">
            <v>4799647.3550000042</v>
          </cell>
          <cell r="AJ34">
            <v>30569.186990000075</v>
          </cell>
          <cell r="AK34">
            <v>51724.767999999982</v>
          </cell>
          <cell r="AL34">
            <v>-93280.853000000003</v>
          </cell>
          <cell r="AM34"/>
          <cell r="AN34">
            <v>-10986.898010000004</v>
          </cell>
          <cell r="AO34">
            <v>196947.01999999955</v>
          </cell>
          <cell r="AP34">
            <v>0</v>
          </cell>
          <cell r="AQ34"/>
          <cell r="AR34"/>
          <cell r="AS34">
            <v>196947.01999999955</v>
          </cell>
          <cell r="AT34">
            <v>3811.0810000000001</v>
          </cell>
          <cell r="AU34">
            <v>513.10199999999895</v>
          </cell>
          <cell r="AV34">
            <v>0</v>
          </cell>
          <cell r="AW34">
            <v>80488.989000000001</v>
          </cell>
          <cell r="AX34">
            <v>0</v>
          </cell>
          <cell r="AY34"/>
          <cell r="AZ34"/>
          <cell r="BA34">
            <v>84813.172000000006</v>
          </cell>
          <cell r="BB34">
            <v>0</v>
          </cell>
          <cell r="BC34">
            <v>1762.1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1762.1</v>
          </cell>
        </row>
        <row r="35">
          <cell r="F35">
            <v>1979148.1139999996</v>
          </cell>
          <cell r="G35">
            <v>227352.37138242836</v>
          </cell>
          <cell r="H35">
            <v>223927.80151770648</v>
          </cell>
          <cell r="I35">
            <v>169620.98964578478</v>
          </cell>
          <cell r="J35">
            <v>82906.874404954637</v>
          </cell>
          <cell r="K35">
            <v>156274.10826327611</v>
          </cell>
          <cell r="L35">
            <v>118529.11176100817</v>
          </cell>
          <cell r="M35">
            <v>78146.374540259567</v>
          </cell>
          <cell r="N35">
            <v>116532.8945047952</v>
          </cell>
          <cell r="O35">
            <v>78704.003980122012</v>
          </cell>
          <cell r="P35">
            <v>111489.3441649976</v>
          </cell>
          <cell r="Q35">
            <v>105111.79169804842</v>
          </cell>
          <cell r="R35">
            <v>49374.896462030476</v>
          </cell>
          <cell r="S35">
            <v>124408.36537378354</v>
          </cell>
          <cell r="T35">
            <v>27260.727832640619</v>
          </cell>
          <cell r="U35">
            <v>34242.295842787535</v>
          </cell>
          <cell r="V35">
            <v>58199.771874225495</v>
          </cell>
          <cell r="W35">
            <v>41634.788751150896</v>
          </cell>
          <cell r="X35">
            <v>0</v>
          </cell>
          <cell r="Y35">
            <v>0</v>
          </cell>
          <cell r="Z35">
            <v>1803716.5119999999</v>
          </cell>
          <cell r="AA35">
            <v>0</v>
          </cell>
          <cell r="AB35">
            <v>801.89599999999996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801.89599999999996</v>
          </cell>
          <cell r="AI35">
            <v>1804518.4079999998</v>
          </cell>
          <cell r="AJ35">
            <v>9053.6759999999995</v>
          </cell>
          <cell r="AK35">
            <v>0</v>
          </cell>
          <cell r="AL35">
            <v>288.98099999999999</v>
          </cell>
          <cell r="AM35"/>
          <cell r="AN35">
            <v>9342.6569999999992</v>
          </cell>
          <cell r="AO35">
            <v>109157.29700000001</v>
          </cell>
          <cell r="AP35">
            <v>855.83600000000001</v>
          </cell>
          <cell r="AQ35"/>
          <cell r="AR35"/>
          <cell r="AS35">
            <v>110013.133</v>
          </cell>
          <cell r="AT35">
            <v>0</v>
          </cell>
          <cell r="AU35">
            <v>0</v>
          </cell>
          <cell r="AV35">
            <v>-81.295999999999992</v>
          </cell>
          <cell r="AW35">
            <v>0</v>
          </cell>
          <cell r="AX35">
            <v>27657.075999999997</v>
          </cell>
          <cell r="AY35"/>
          <cell r="AZ35"/>
          <cell r="BA35">
            <v>27575.78</v>
          </cell>
          <cell r="BB35">
            <v>0</v>
          </cell>
          <cell r="BC35">
            <v>17188.030999999999</v>
          </cell>
          <cell r="BD35">
            <v>0</v>
          </cell>
          <cell r="BE35">
            <v>0</v>
          </cell>
          <cell r="BF35">
            <v>10510.105</v>
          </cell>
          <cell r="BG35">
            <v>0</v>
          </cell>
          <cell r="BH35"/>
          <cell r="BI35"/>
          <cell r="BJ35">
            <v>27698.135999999999</v>
          </cell>
        </row>
        <row r="36">
          <cell r="F36">
            <v>3093034.6349900072</v>
          </cell>
          <cell r="G36">
            <v>358161.75161757134</v>
          </cell>
          <cell r="H36">
            <v>394727.40148229327</v>
          </cell>
          <cell r="I36">
            <v>324612.83135421475</v>
          </cell>
          <cell r="J36">
            <v>104039.22959504541</v>
          </cell>
          <cell r="K36">
            <v>320935.83573672402</v>
          </cell>
          <cell r="L36">
            <v>221374.2522389919</v>
          </cell>
          <cell r="M36">
            <v>56910.694459740451</v>
          </cell>
          <cell r="N36">
            <v>181831.40549520461</v>
          </cell>
          <cell r="O36">
            <v>81811.589019877982</v>
          </cell>
          <cell r="P36">
            <v>229509.66183500222</v>
          </cell>
          <cell r="Q36">
            <v>233105.99830195162</v>
          </cell>
          <cell r="R36">
            <v>-26223.663462030469</v>
          </cell>
          <cell r="S36">
            <v>145173.92962621638</v>
          </cell>
          <cell r="T36">
            <v>58093.605167359419</v>
          </cell>
          <cell r="U36">
            <v>91233.099157212477</v>
          </cell>
          <cell r="V36">
            <v>79693.065125774447</v>
          </cell>
          <cell r="W36">
            <v>70765.864248849102</v>
          </cell>
          <cell r="X36">
            <v>0</v>
          </cell>
          <cell r="Y36">
            <v>0</v>
          </cell>
          <cell r="Z36">
            <v>2925756.5510000046</v>
          </cell>
          <cell r="AA36">
            <v>41460.373</v>
          </cell>
          <cell r="AB36">
            <v>-801.89599999999996</v>
          </cell>
          <cell r="AC36">
            <v>8802.6849999999995</v>
          </cell>
          <cell r="AD36">
            <v>19911.234</v>
          </cell>
          <cell r="AE36">
            <v>0</v>
          </cell>
          <cell r="AF36"/>
          <cell r="AG36"/>
          <cell r="AH36">
            <v>69372.396000000008</v>
          </cell>
          <cell r="AI36">
            <v>2995128.9470000044</v>
          </cell>
          <cell r="AJ36">
            <v>21515.510990000075</v>
          </cell>
          <cell r="AK36">
            <v>51724.767999999982</v>
          </cell>
          <cell r="AL36">
            <v>-93569.834000000003</v>
          </cell>
          <cell r="AM36"/>
          <cell r="AN36">
            <v>-20329.555010000004</v>
          </cell>
          <cell r="AO36">
            <v>87789.722999999547</v>
          </cell>
          <cell r="AP36">
            <v>-855.83600000000001</v>
          </cell>
          <cell r="AQ36"/>
          <cell r="AR36"/>
          <cell r="AS36">
            <v>86933.886999999551</v>
          </cell>
          <cell r="AT36">
            <v>3811.0810000000001</v>
          </cell>
          <cell r="AU36">
            <v>513.10199999999895</v>
          </cell>
          <cell r="AV36">
            <v>81.295999999999992</v>
          </cell>
          <cell r="AW36">
            <v>80488.989000000001</v>
          </cell>
          <cell r="AX36">
            <v>-27657.075999999997</v>
          </cell>
          <cell r="AY36"/>
          <cell r="AZ36"/>
          <cell r="BA36">
            <v>57237.392000000007</v>
          </cell>
          <cell r="BB36">
            <v>0</v>
          </cell>
          <cell r="BC36">
            <v>-15425.930999999999</v>
          </cell>
          <cell r="BD36">
            <v>0</v>
          </cell>
          <cell r="BE36">
            <v>0</v>
          </cell>
          <cell r="BF36">
            <v>-10510.105</v>
          </cell>
          <cell r="BG36">
            <v>0</v>
          </cell>
          <cell r="BH36"/>
          <cell r="BI36"/>
          <cell r="BJ36">
            <v>-25936.036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-14721</v>
          </cell>
          <cell r="AK38">
            <v>-16772</v>
          </cell>
          <cell r="AL38">
            <v>-3532</v>
          </cell>
          <cell r="AM38"/>
          <cell r="AN38">
            <v>-35025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-706653.5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-422662.5</v>
          </cell>
          <cell r="AK39">
            <v>-220656</v>
          </cell>
          <cell r="AL39">
            <v>-63335</v>
          </cell>
          <cell r="AM39"/>
          <cell r="AN39">
            <v>-706653.5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-706653.49999999988</v>
          </cell>
          <cell r="G40"/>
          <cell r="H40"/>
          <cell r="I40"/>
          <cell r="J40"/>
          <cell r="K40">
            <v>25509.026000000002</v>
          </cell>
          <cell r="L40">
            <v>5844.9369999999999</v>
          </cell>
          <cell r="M40">
            <v>-755.76800000000003</v>
          </cell>
          <cell r="N40">
            <v>-491.74400000000003</v>
          </cell>
          <cell r="O40">
            <v>-674.84400000000005</v>
          </cell>
          <cell r="P40">
            <v>-1653.807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27777.800000000003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27777.800000000003</v>
          </cell>
          <cell r="AJ40">
            <v>-402135.30699999997</v>
          </cell>
          <cell r="AK40">
            <v>-175680.14</v>
          </cell>
          <cell r="AL40">
            <v>-156615.853</v>
          </cell>
          <cell r="AM40"/>
          <cell r="AN40">
            <v>-734431.29999999993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-25509.026000000002</v>
          </cell>
          <cell r="L41">
            <v>-5844.9369999999999</v>
          </cell>
          <cell r="M41">
            <v>755.76800000000003</v>
          </cell>
          <cell r="N41">
            <v>491.74400000000003</v>
          </cell>
          <cell r="O41">
            <v>674.84400000000005</v>
          </cell>
          <cell r="P41">
            <v>1653.807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-27777.800000000003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-27777.800000000003</v>
          </cell>
          <cell r="AJ41">
            <v>-20527.193000000028</v>
          </cell>
          <cell r="AK41">
            <v>-44975.859999999986</v>
          </cell>
          <cell r="AL41">
            <v>93280.853000000003</v>
          </cell>
          <cell r="AM41"/>
          <cell r="AN41">
            <v>27777.79999999993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-25509.026000000002</v>
          </cell>
          <cell r="L43">
            <v>-5844.9369999999999</v>
          </cell>
          <cell r="M43">
            <v>755.76800000000003</v>
          </cell>
          <cell r="N43">
            <v>491.74400000000003</v>
          </cell>
          <cell r="O43">
            <v>674.84400000000005</v>
          </cell>
          <cell r="P43">
            <v>1653.807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-27777.800000000003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-27777.800000000003</v>
          </cell>
          <cell r="AJ43">
            <v>-20527.193000000028</v>
          </cell>
          <cell r="AK43">
            <v>-44975.859999999986</v>
          </cell>
          <cell r="AL43">
            <v>93280.853000000003</v>
          </cell>
          <cell r="AM43"/>
          <cell r="AN43">
            <v>27777.79999999993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37196</v>
          </cell>
          <cell r="H45">
            <v>36185</v>
          </cell>
          <cell r="I45">
            <v>29254</v>
          </cell>
          <cell r="J45">
            <v>12718</v>
          </cell>
          <cell r="K45">
            <v>21362</v>
          </cell>
          <cell r="L45">
            <v>15915</v>
          </cell>
          <cell r="M45">
            <v>9562</v>
          </cell>
          <cell r="N45">
            <v>15233</v>
          </cell>
          <cell r="O45">
            <v>10519</v>
          </cell>
          <cell r="P45">
            <v>16909</v>
          </cell>
          <cell r="Q45">
            <v>16467</v>
          </cell>
          <cell r="R45">
            <v>5963.5</v>
          </cell>
          <cell r="S45">
            <v>20317</v>
          </cell>
          <cell r="T45">
            <v>4104.5</v>
          </cell>
          <cell r="U45">
            <v>5138.5</v>
          </cell>
          <cell r="V45">
            <v>6746</v>
          </cell>
          <cell r="W45">
            <v>5169.5</v>
          </cell>
          <cell r="X45">
            <v>0</v>
          </cell>
          <cell r="Y45">
            <v>0</v>
          </cell>
          <cell r="Z45">
            <v>268759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268759</v>
          </cell>
          <cell r="AJ45">
            <v>5465</v>
          </cell>
          <cell r="AK45">
            <v>7088</v>
          </cell>
          <cell r="AL45">
            <v>0</v>
          </cell>
          <cell r="AM45"/>
          <cell r="AN45">
            <v>12553</v>
          </cell>
          <cell r="AO45">
            <v>6748.1729999999998</v>
          </cell>
          <cell r="AP45">
            <v>0</v>
          </cell>
          <cell r="AQ45"/>
          <cell r="AR45"/>
          <cell r="AS45">
            <v>6748.1729999999998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35249518.351000004</v>
          </cell>
          <cell r="G46">
            <v>3521670.648</v>
          </cell>
          <cell r="H46">
            <v>3536913.892</v>
          </cell>
          <cell r="I46">
            <v>2764520.7349999999</v>
          </cell>
          <cell r="J46">
            <v>1172461.1170000001</v>
          </cell>
          <cell r="K46">
            <v>2269535.4</v>
          </cell>
          <cell r="L46">
            <v>1700039.4</v>
          </cell>
          <cell r="M46">
            <v>951484.5</v>
          </cell>
          <cell r="N46">
            <v>1610087.9</v>
          </cell>
          <cell r="O46">
            <v>1013719</v>
          </cell>
          <cell r="P46">
            <v>1624368.2</v>
          </cell>
          <cell r="Q46">
            <v>1583271.6</v>
          </cell>
          <cell r="R46">
            <v>569460.4</v>
          </cell>
          <cell r="S46">
            <v>2001379.9909999999</v>
          </cell>
          <cell r="T46">
            <v>421239.2</v>
          </cell>
          <cell r="U46">
            <v>532015.38100000005</v>
          </cell>
          <cell r="V46">
            <v>742791.39599999995</v>
          </cell>
          <cell r="W46">
            <v>634655.88199999998</v>
          </cell>
          <cell r="X46">
            <v>0</v>
          </cell>
          <cell r="Y46">
            <v>0</v>
          </cell>
          <cell r="Z46">
            <v>26649614.642000001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>
            <v>0</v>
          </cell>
          <cell r="AF46"/>
          <cell r="AG46"/>
          <cell r="AH46">
            <v>90840</v>
          </cell>
          <cell r="AI46">
            <v>26740454.642000001</v>
          </cell>
          <cell r="AJ46">
            <v>159246</v>
          </cell>
          <cell r="AK46">
            <v>69656</v>
          </cell>
          <cell r="AL46">
            <v>0</v>
          </cell>
          <cell r="AM46"/>
          <cell r="AN46">
            <v>228902</v>
          </cell>
          <cell r="AO46">
            <v>8183477.6199999992</v>
          </cell>
          <cell r="AP46">
            <v>0</v>
          </cell>
          <cell r="AQ46"/>
          <cell r="AR46"/>
          <cell r="AS46">
            <v>8183477.6199999992</v>
          </cell>
          <cell r="AT46">
            <v>5250</v>
          </cell>
          <cell r="AU46">
            <v>9183</v>
          </cell>
          <cell r="AV46">
            <v>0</v>
          </cell>
          <cell r="AW46">
            <v>80488.989000000001</v>
          </cell>
          <cell r="AX46">
            <v>0</v>
          </cell>
          <cell r="AY46"/>
          <cell r="AZ46"/>
          <cell r="BA46">
            <v>94921.989000000001</v>
          </cell>
          <cell r="BB46">
            <v>0</v>
          </cell>
          <cell r="BC46">
            <v>1762.1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1762.1</v>
          </cell>
        </row>
        <row r="47">
          <cell r="F47">
            <v>30177335.602009997</v>
          </cell>
          <cell r="G47">
            <v>2936156.5250000004</v>
          </cell>
          <cell r="H47">
            <v>2918258.6890000002</v>
          </cell>
          <cell r="I47">
            <v>2270286.9140000003</v>
          </cell>
          <cell r="J47">
            <v>985515.01300000004</v>
          </cell>
          <cell r="K47">
            <v>1817834.4819999998</v>
          </cell>
          <cell r="L47">
            <v>1365980.9729999998</v>
          </cell>
          <cell r="M47">
            <v>815671.66299999994</v>
          </cell>
          <cell r="N47">
            <v>1311231.8560000001</v>
          </cell>
          <cell r="O47">
            <v>852528.56299999997</v>
          </cell>
          <cell r="P47">
            <v>1281715.3870000001</v>
          </cell>
          <cell r="Q47">
            <v>1245053.81</v>
          </cell>
          <cell r="R47">
            <v>546309.16700000002</v>
          </cell>
          <cell r="S47">
            <v>1731797.696</v>
          </cell>
          <cell r="T47">
            <v>335884.86699999997</v>
          </cell>
          <cell r="U47">
            <v>406539.98600000003</v>
          </cell>
          <cell r="V47">
            <v>604898.55900000001</v>
          </cell>
          <cell r="W47">
            <v>522255.22899999999</v>
          </cell>
          <cell r="X47">
            <v>0</v>
          </cell>
          <cell r="Y47">
            <v>0</v>
          </cell>
          <cell r="Z47">
            <v>21947919.378999997</v>
          </cell>
          <cell r="AA47">
            <v>8539.6270000000004</v>
          </cell>
          <cell r="AB47">
            <v>0</v>
          </cell>
          <cell r="AC47">
            <v>3697.3150000000001</v>
          </cell>
          <cell r="AD47">
            <v>8428.7659999999996</v>
          </cell>
          <cell r="AE47">
            <v>0</v>
          </cell>
          <cell r="AF47"/>
          <cell r="AG47"/>
          <cell r="AH47">
            <v>20665.707999999999</v>
          </cell>
          <cell r="AI47">
            <v>21968585.086999997</v>
          </cell>
          <cell r="AJ47">
            <v>149204.00600999995</v>
          </cell>
          <cell r="AK47">
            <v>62907.092000000004</v>
          </cell>
          <cell r="AL47">
            <v>0</v>
          </cell>
          <cell r="AM47"/>
          <cell r="AN47">
            <v>212111.09800999996</v>
          </cell>
          <cell r="AO47">
            <v>7986530.5999999996</v>
          </cell>
          <cell r="AP47">
            <v>0</v>
          </cell>
          <cell r="AQ47"/>
          <cell r="AR47"/>
          <cell r="AS47">
            <v>7986530.5999999996</v>
          </cell>
          <cell r="AT47">
            <v>1438.9190000000001</v>
          </cell>
          <cell r="AU47">
            <v>8669.898000000001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5072182.7489900067</v>
          </cell>
          <cell r="G48">
            <v>585514.12299999967</v>
          </cell>
          <cell r="H48">
            <v>618655.20299999975</v>
          </cell>
          <cell r="I48">
            <v>494233.82099999953</v>
          </cell>
          <cell r="J48">
            <v>186946.10400000005</v>
          </cell>
          <cell r="K48">
            <v>451700.91800000006</v>
          </cell>
          <cell r="L48">
            <v>334058.42700000014</v>
          </cell>
          <cell r="M48">
            <v>135812.83700000006</v>
          </cell>
          <cell r="N48">
            <v>298856.04399999976</v>
          </cell>
          <cell r="O48">
            <v>161190.43700000003</v>
          </cell>
          <cell r="P48">
            <v>342652.81299999985</v>
          </cell>
          <cell r="Q48">
            <v>338217.79000000004</v>
          </cell>
          <cell r="R48">
            <v>23151.233000000007</v>
          </cell>
          <cell r="S48">
            <v>269582.29499999993</v>
          </cell>
          <cell r="T48">
            <v>85354.333000000042</v>
          </cell>
          <cell r="U48">
            <v>125475.39500000002</v>
          </cell>
          <cell r="V48">
            <v>137892.83699999994</v>
          </cell>
          <cell r="W48">
            <v>112400.65299999999</v>
          </cell>
          <cell r="X48">
            <v>0</v>
          </cell>
          <cell r="Y48">
            <v>0</v>
          </cell>
          <cell r="Z48">
            <v>4701695.263000004</v>
          </cell>
          <cell r="AA48">
            <v>41460.373</v>
          </cell>
          <cell r="AB48">
            <v>0</v>
          </cell>
          <cell r="AC48">
            <v>8802.6849999999995</v>
          </cell>
          <cell r="AD48">
            <v>19911.234</v>
          </cell>
          <cell r="AE48">
            <v>0</v>
          </cell>
          <cell r="AF48"/>
          <cell r="AG48"/>
          <cell r="AH48">
            <v>70174.292000000001</v>
          </cell>
          <cell r="AI48">
            <v>4771869.5550000034</v>
          </cell>
          <cell r="AJ48">
            <v>10041.993990000046</v>
          </cell>
          <cell r="AK48">
            <v>6748.9079999999958</v>
          </cell>
          <cell r="AL48">
            <v>0</v>
          </cell>
          <cell r="AM48"/>
          <cell r="AN48">
            <v>16790.901990000042</v>
          </cell>
          <cell r="AO48">
            <v>196947.01999999955</v>
          </cell>
          <cell r="AP48">
            <v>0</v>
          </cell>
          <cell r="AQ48"/>
          <cell r="AR48"/>
          <cell r="AS48">
            <v>196947.01999999955</v>
          </cell>
          <cell r="AT48">
            <v>3811.0810000000001</v>
          </cell>
          <cell r="AU48">
            <v>513.10199999999895</v>
          </cell>
          <cell r="AV48">
            <v>0</v>
          </cell>
          <cell r="AW48">
            <v>80488.989000000001</v>
          </cell>
          <cell r="AX48">
            <v>0</v>
          </cell>
          <cell r="AY48"/>
          <cell r="AZ48"/>
          <cell r="BA48">
            <v>84813.172000000006</v>
          </cell>
          <cell r="BB48">
            <v>0</v>
          </cell>
          <cell r="BC48">
            <v>1762.1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1762.1</v>
          </cell>
        </row>
        <row r="49">
          <cell r="F49">
            <v>1979148.1139999996</v>
          </cell>
          <cell r="G49">
            <v>227352.37138242836</v>
          </cell>
          <cell r="H49">
            <v>223927.80151770648</v>
          </cell>
          <cell r="I49">
            <v>169620.98964578478</v>
          </cell>
          <cell r="J49">
            <v>82906.874404954637</v>
          </cell>
          <cell r="K49">
            <v>156274.10826327611</v>
          </cell>
          <cell r="L49">
            <v>118529.11176100817</v>
          </cell>
          <cell r="M49">
            <v>78146.374540259567</v>
          </cell>
          <cell r="N49">
            <v>116532.8945047952</v>
          </cell>
          <cell r="O49">
            <v>78704.003980122012</v>
          </cell>
          <cell r="P49">
            <v>111489.3441649976</v>
          </cell>
          <cell r="Q49">
            <v>105111.79169804842</v>
          </cell>
          <cell r="R49">
            <v>49374.896462030476</v>
          </cell>
          <cell r="S49">
            <v>124408.36537378354</v>
          </cell>
          <cell r="T49">
            <v>27260.727832640619</v>
          </cell>
          <cell r="U49">
            <v>34242.295842787535</v>
          </cell>
          <cell r="V49">
            <v>58199.771874225495</v>
          </cell>
          <cell r="W49">
            <v>41634.788751150896</v>
          </cell>
          <cell r="X49">
            <v>0</v>
          </cell>
          <cell r="Y49">
            <v>0</v>
          </cell>
          <cell r="Z49">
            <v>1803716.5119999999</v>
          </cell>
          <cell r="AA49">
            <v>0</v>
          </cell>
          <cell r="AB49">
            <v>801.89599999999996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801.89599999999996</v>
          </cell>
          <cell r="AI49">
            <v>1804518.4079999998</v>
          </cell>
          <cell r="AJ49">
            <v>9053.6759999999995</v>
          </cell>
          <cell r="AK49">
            <v>0</v>
          </cell>
          <cell r="AL49">
            <v>288.98099999999999</v>
          </cell>
          <cell r="AM49"/>
          <cell r="AN49">
            <v>9342.6569999999992</v>
          </cell>
          <cell r="AO49">
            <v>109157.29700000001</v>
          </cell>
          <cell r="AP49">
            <v>855.83600000000001</v>
          </cell>
          <cell r="AQ49"/>
          <cell r="AR49"/>
          <cell r="AS49">
            <v>110013.133</v>
          </cell>
          <cell r="AT49">
            <v>0</v>
          </cell>
          <cell r="AU49">
            <v>0</v>
          </cell>
          <cell r="AV49">
            <v>-81.295999999999992</v>
          </cell>
          <cell r="AW49">
            <v>0</v>
          </cell>
          <cell r="AX49">
            <v>27657.075999999997</v>
          </cell>
          <cell r="AY49"/>
          <cell r="AZ49"/>
          <cell r="BA49">
            <v>27575.78</v>
          </cell>
          <cell r="BB49">
            <v>0</v>
          </cell>
          <cell r="BC49">
            <v>17188.030999999999</v>
          </cell>
          <cell r="BD49">
            <v>0</v>
          </cell>
          <cell r="BE49">
            <v>0</v>
          </cell>
          <cell r="BF49">
            <v>10510.105</v>
          </cell>
          <cell r="BG49">
            <v>0</v>
          </cell>
          <cell r="BH49"/>
          <cell r="BI49"/>
          <cell r="BJ49">
            <v>27698.135999999999</v>
          </cell>
        </row>
        <row r="50">
          <cell r="F50">
            <v>3093034.6349900072</v>
          </cell>
          <cell r="G50">
            <v>358161.75161757134</v>
          </cell>
          <cell r="H50">
            <v>394727.40148229327</v>
          </cell>
          <cell r="I50">
            <v>324612.83135421475</v>
          </cell>
          <cell r="J50">
            <v>104039.22959504541</v>
          </cell>
          <cell r="K50">
            <v>295426.80973672395</v>
          </cell>
          <cell r="L50">
            <v>215529.31523899199</v>
          </cell>
          <cell r="M50">
            <v>57666.462459740491</v>
          </cell>
          <cell r="N50">
            <v>182323.14949520456</v>
          </cell>
          <cell r="O50">
            <v>82486.433019878023</v>
          </cell>
          <cell r="P50">
            <v>231163.46883500225</v>
          </cell>
          <cell r="Q50">
            <v>233105.99830195162</v>
          </cell>
          <cell r="R50">
            <v>-26223.663462030469</v>
          </cell>
          <cell r="S50">
            <v>145173.92962621638</v>
          </cell>
          <cell r="T50">
            <v>58093.605167359419</v>
          </cell>
          <cell r="U50">
            <v>91233.099157212477</v>
          </cell>
          <cell r="V50">
            <v>79693.065125774447</v>
          </cell>
          <cell r="W50">
            <v>70765.864248849102</v>
          </cell>
          <cell r="X50">
            <v>0</v>
          </cell>
          <cell r="Y50">
            <v>0</v>
          </cell>
          <cell r="Z50">
            <v>2897978.7510000039</v>
          </cell>
          <cell r="AA50">
            <v>41460.373</v>
          </cell>
          <cell r="AB50">
            <v>-801.89599999999996</v>
          </cell>
          <cell r="AC50">
            <v>8802.6849999999995</v>
          </cell>
          <cell r="AD50">
            <v>19911.234</v>
          </cell>
          <cell r="AE50">
            <v>0</v>
          </cell>
          <cell r="AF50"/>
          <cell r="AG50"/>
          <cell r="AH50">
            <v>69372.396000000008</v>
          </cell>
          <cell r="AI50">
            <v>2967351.1470000036</v>
          </cell>
          <cell r="AJ50">
            <v>988.31799000004685</v>
          </cell>
          <cell r="AK50">
            <v>6748.9079999999958</v>
          </cell>
          <cell r="AL50">
            <v>-288.98099999999999</v>
          </cell>
          <cell r="AM50"/>
          <cell r="AN50">
            <v>7448.2449900000429</v>
          </cell>
          <cell r="AO50">
            <v>87789.722999999547</v>
          </cell>
          <cell r="AP50">
            <v>-855.83600000000001</v>
          </cell>
          <cell r="AQ50"/>
          <cell r="AR50"/>
          <cell r="AS50">
            <v>86933.886999999551</v>
          </cell>
          <cell r="AT50">
            <v>3811.0810000000001</v>
          </cell>
          <cell r="AU50">
            <v>513.10199999999895</v>
          </cell>
          <cell r="AV50">
            <v>81.295999999999992</v>
          </cell>
          <cell r="AW50">
            <v>80488.989000000001</v>
          </cell>
          <cell r="AX50">
            <v>-27657.075999999997</v>
          </cell>
          <cell r="AY50"/>
          <cell r="AZ50"/>
          <cell r="BA50">
            <v>57237.392000000007</v>
          </cell>
          <cell r="BB50">
            <v>0</v>
          </cell>
          <cell r="BC50">
            <v>-15425.930999999999</v>
          </cell>
          <cell r="BD50">
            <v>0</v>
          </cell>
          <cell r="BE50">
            <v>0</v>
          </cell>
          <cell r="BF50">
            <v>-10510.105</v>
          </cell>
          <cell r="BG50">
            <v>0</v>
          </cell>
          <cell r="BH50"/>
          <cell r="BI50"/>
          <cell r="BJ50">
            <v>-25936.036</v>
          </cell>
        </row>
        <row r="53">
          <cell r="J53"/>
        </row>
        <row r="54">
          <cell r="J54"/>
        </row>
      </sheetData>
      <sheetData sheetId="16">
        <row r="6">
          <cell r="F6" t="str">
            <v>합계</v>
          </cell>
        </row>
      </sheetData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1682</v>
          </cell>
          <cell r="K7">
            <v>1778.2486999999999</v>
          </cell>
          <cell r="M7">
            <v>1994.1309999999999</v>
          </cell>
        </row>
        <row r="8">
          <cell r="J8">
            <v>41600</v>
          </cell>
          <cell r="K8">
            <v>48080.048000000003</v>
          </cell>
          <cell r="M8">
            <v>48940.798000000003</v>
          </cell>
        </row>
        <row r="9">
          <cell r="J9">
            <v>499.67197389037665</v>
          </cell>
          <cell r="K9">
            <v>496.69900000000001</v>
          </cell>
          <cell r="M9">
            <v>377.46300000000002</v>
          </cell>
        </row>
        <row r="10">
          <cell r="J10">
            <v>170780.64537909187</v>
          </cell>
          <cell r="K10">
            <v>180238.861573</v>
          </cell>
          <cell r="M10">
            <v>190264.985824</v>
          </cell>
        </row>
        <row r="11">
          <cell r="J11">
            <v>50866.286315789483</v>
          </cell>
          <cell r="K11">
            <v>49403.738082999997</v>
          </cell>
          <cell r="M11">
            <v>59347.902576</v>
          </cell>
        </row>
        <row r="12">
          <cell r="J12">
            <v>9896.9631574406958</v>
          </cell>
          <cell r="K12">
            <v>9981.20658</v>
          </cell>
          <cell r="M12">
            <v>7223.0639000000001</v>
          </cell>
        </row>
        <row r="13">
          <cell r="J13">
            <v>989.44500199998083</v>
          </cell>
          <cell r="K13">
            <v>991.75997999998708</v>
          </cell>
          <cell r="M13">
            <v>1209.2668910000023</v>
          </cell>
        </row>
        <row r="15">
          <cell r="J15">
            <v>143774.57409769078</v>
          </cell>
          <cell r="K15">
            <v>155350.48804000003</v>
          </cell>
          <cell r="M15">
            <v>156203.45711501001</v>
          </cell>
        </row>
        <row r="16">
          <cell r="J16">
            <v>49564.541677726309</v>
          </cell>
          <cell r="K16">
            <v>48171.056183000001</v>
          </cell>
          <cell r="M16">
            <v>58159.216073999996</v>
          </cell>
        </row>
        <row r="17">
          <cell r="J17">
            <v>8951.4712094207662</v>
          </cell>
          <cell r="K17">
            <v>8992.6372180099988</v>
          </cell>
          <cell r="M17">
            <v>6437.7238609799997</v>
          </cell>
        </row>
        <row r="18">
          <cell r="J18">
            <v>-980.77399500001025</v>
          </cell>
          <cell r="K18">
            <v>325.56325300001004</v>
          </cell>
          <cell r="M18">
            <v>398.80390500002159</v>
          </cell>
        </row>
        <row r="25">
          <cell r="J25">
            <v>3958.6054779999999</v>
          </cell>
          <cell r="K25">
            <v>3966.5114360000002</v>
          </cell>
          <cell r="M25">
            <v>3892.3913960000004</v>
          </cell>
        </row>
        <row r="26">
          <cell r="J26">
            <v>755.02471000000014</v>
          </cell>
          <cell r="K26">
            <v>817.55946499999993</v>
          </cell>
          <cell r="M26">
            <v>694.79239499999994</v>
          </cell>
        </row>
        <row r="27">
          <cell r="J27">
            <v>403.07518511111113</v>
          </cell>
          <cell r="K27">
            <v>268.05110894832615</v>
          </cell>
          <cell r="M27">
            <v>249.50875399999995</v>
          </cell>
        </row>
        <row r="28">
          <cell r="J28">
            <v>9380.7898082148822</v>
          </cell>
          <cell r="K28">
            <v>10377.363668047676</v>
          </cell>
          <cell r="M28">
            <v>8582.229077</v>
          </cell>
        </row>
        <row r="38">
          <cell r="J38">
            <v>16726.031683158177</v>
          </cell>
          <cell r="K38">
            <v>12346.335843993977</v>
          </cell>
          <cell r="M38">
            <v>23427.096614010006</v>
          </cell>
        </row>
      </sheetData>
      <sheetData sheetId="2"/>
      <sheetData sheetId="3">
        <row r="7">
          <cell r="J7">
            <v>245</v>
          </cell>
          <cell r="K7">
            <v>246.67800000000003</v>
          </cell>
          <cell r="M7">
            <v>273.58500000000004</v>
          </cell>
          <cell r="O7">
            <v>24443.855350000002</v>
          </cell>
          <cell r="P7">
            <v>24515.111294000002</v>
          </cell>
          <cell r="R7">
            <v>25195.483884000001</v>
          </cell>
          <cell r="T7">
            <v>3168.0669857363591</v>
          </cell>
          <cell r="U7">
            <v>2578.0809679999998</v>
          </cell>
          <cell r="W7">
            <v>3600.9308819800008</v>
          </cell>
        </row>
        <row r="8">
          <cell r="J8">
            <v>180</v>
          </cell>
          <cell r="K8">
            <v>172.876</v>
          </cell>
          <cell r="M8">
            <v>236.40700000000001</v>
          </cell>
          <cell r="O8">
            <v>18179.5612</v>
          </cell>
          <cell r="P8">
            <v>17322.637502999998</v>
          </cell>
          <cell r="R8">
            <v>22303.781559000003</v>
          </cell>
          <cell r="T8">
            <v>1691.7894741354494</v>
          </cell>
          <cell r="U8">
            <v>1395.4453000000001</v>
          </cell>
          <cell r="W8">
            <v>2722.0365119999997</v>
          </cell>
        </row>
        <row r="9">
          <cell r="J9">
            <v>151</v>
          </cell>
          <cell r="K9">
            <v>154.51020000000003</v>
          </cell>
          <cell r="M9">
            <v>153.66</v>
          </cell>
          <cell r="O9">
            <v>14817.268766841866</v>
          </cell>
          <cell r="P9">
            <v>15237.953450999999</v>
          </cell>
          <cell r="R9">
            <v>13915.301921999999</v>
          </cell>
          <cell r="T9">
            <v>1920.45429556509</v>
          </cell>
          <cell r="U9">
            <v>1231.0106340000002</v>
          </cell>
          <cell r="W9">
            <v>1418.7954220099998</v>
          </cell>
        </row>
        <row r="10">
          <cell r="J10">
            <v>84</v>
          </cell>
          <cell r="K10">
            <v>73.718499999999992</v>
          </cell>
          <cell r="M10">
            <v>105.3395</v>
          </cell>
          <cell r="O10">
            <v>7982.8369999999995</v>
          </cell>
          <cell r="P10">
            <v>7287.6592220000011</v>
          </cell>
          <cell r="R10">
            <v>9333.4066180000009</v>
          </cell>
          <cell r="T10">
            <v>953.13157578759183</v>
          </cell>
          <cell r="U10">
            <v>731.09263300000009</v>
          </cell>
          <cell r="W10">
            <v>1255.6415000000002</v>
          </cell>
        </row>
        <row r="11">
          <cell r="J11">
            <v>113</v>
          </cell>
          <cell r="K11">
            <v>131.88149999999999</v>
          </cell>
          <cell r="M11">
            <v>148.95949999999999</v>
          </cell>
          <cell r="O11">
            <v>12158.808718249998</v>
          </cell>
          <cell r="P11">
            <v>14056.406790999999</v>
          </cell>
          <cell r="R11">
            <v>15134.805849999999</v>
          </cell>
          <cell r="T11">
            <v>1625.1373631501037</v>
          </cell>
          <cell r="U11">
            <v>1520.4732289999993</v>
          </cell>
          <cell r="W11">
            <v>2856.3738729999995</v>
          </cell>
        </row>
        <row r="12">
          <cell r="J12">
            <v>141</v>
          </cell>
          <cell r="K12">
            <v>136.59200000000001</v>
          </cell>
          <cell r="M12">
            <v>132.52799999999999</v>
          </cell>
          <cell r="O12">
            <v>14616.969639999999</v>
          </cell>
          <cell r="P12">
            <v>13806.265810999999</v>
          </cell>
          <cell r="R12">
            <v>13173.640300000001</v>
          </cell>
          <cell r="T12">
            <v>2466.5262457101826</v>
          </cell>
          <cell r="U12">
            <v>1660.9627799999989</v>
          </cell>
          <cell r="W12">
            <v>2269.099471</v>
          </cell>
        </row>
        <row r="13">
          <cell r="J13">
            <v>69</v>
          </cell>
          <cell r="K13">
            <v>79.308999999999997</v>
          </cell>
          <cell r="M13">
            <v>83.628</v>
          </cell>
          <cell r="O13">
            <v>6969.0011999999988</v>
          </cell>
          <cell r="P13">
            <v>7717.5712999999996</v>
          </cell>
          <cell r="R13">
            <v>8103.9855999999991</v>
          </cell>
          <cell r="T13">
            <v>803.15271244981307</v>
          </cell>
          <cell r="U13">
            <v>543.83888300000012</v>
          </cell>
          <cell r="W13">
            <v>1161.2079749999998</v>
          </cell>
        </row>
        <row r="14">
          <cell r="J14">
            <v>105</v>
          </cell>
          <cell r="K14">
            <v>122.34350000000001</v>
          </cell>
          <cell r="M14">
            <v>119.20399999999998</v>
          </cell>
          <cell r="O14">
            <v>10920</v>
          </cell>
          <cell r="P14">
            <v>12481.763249999998</v>
          </cell>
          <cell r="R14">
            <v>11904.13214</v>
          </cell>
          <cell r="T14">
            <v>1466.4773196160977</v>
          </cell>
          <cell r="U14">
            <v>1241.0809799999993</v>
          </cell>
          <cell r="W14">
            <v>1921.8461030000005</v>
          </cell>
        </row>
        <row r="15">
          <cell r="J15">
            <v>63.5</v>
          </cell>
          <cell r="K15">
            <v>76.345000000000013</v>
          </cell>
          <cell r="M15">
            <v>89.588000000000008</v>
          </cell>
          <cell r="O15">
            <v>6128.074654</v>
          </cell>
          <cell r="P15">
            <v>7154.8031350000001</v>
          </cell>
          <cell r="R15">
            <v>8388.8042719999994</v>
          </cell>
          <cell r="T15">
            <v>760.27708000970335</v>
          </cell>
          <cell r="U15">
            <v>729.89130200000022</v>
          </cell>
          <cell r="W15">
            <v>1465.8736869999998</v>
          </cell>
        </row>
        <row r="16">
          <cell r="J16">
            <v>99</v>
          </cell>
          <cell r="K16">
            <v>111.36699999999999</v>
          </cell>
          <cell r="M16">
            <v>122.60100000000001</v>
          </cell>
          <cell r="O16">
            <v>9932.2050000000017</v>
          </cell>
          <cell r="P16">
            <v>11303.831749999999</v>
          </cell>
          <cell r="R16">
            <v>11578.8019</v>
          </cell>
          <cell r="T16">
            <v>1590.2352694603844</v>
          </cell>
          <cell r="U16">
            <v>1783.9063200000001</v>
          </cell>
          <cell r="W16">
            <v>2308.7129579999992</v>
          </cell>
        </row>
        <row r="17">
          <cell r="J17">
            <v>92.5</v>
          </cell>
          <cell r="K17">
            <v>98.734499999999997</v>
          </cell>
          <cell r="M17">
            <v>123.387</v>
          </cell>
          <cell r="O17">
            <v>9045.18</v>
          </cell>
          <cell r="P17">
            <v>10024.104911999999</v>
          </cell>
          <cell r="R17">
            <v>11403.811750000001</v>
          </cell>
          <cell r="T17">
            <v>1500.2399449711074</v>
          </cell>
          <cell r="U17">
            <v>1597.3059209999999</v>
          </cell>
          <cell r="W17">
            <v>2213.9872680000003</v>
          </cell>
        </row>
        <row r="18">
          <cell r="J18">
            <v>45</v>
          </cell>
          <cell r="K18">
            <v>54.877500000000005</v>
          </cell>
          <cell r="M18">
            <v>56.587000000000003</v>
          </cell>
          <cell r="O18">
            <v>4476.2831000000006</v>
          </cell>
          <cell r="P18">
            <v>5724.7483920000004</v>
          </cell>
          <cell r="R18">
            <v>5336.7266</v>
          </cell>
          <cell r="T18">
            <v>140.46471660239388</v>
          </cell>
          <cell r="U18">
            <v>556.29892400000017</v>
          </cell>
          <cell r="W18">
            <v>463.32659300000023</v>
          </cell>
        </row>
        <row r="19">
          <cell r="J19">
            <v>127</v>
          </cell>
          <cell r="K19">
            <v>161.62099999999998</v>
          </cell>
          <cell r="M19">
            <v>158.49200000000002</v>
          </cell>
          <cell r="O19">
            <v>12826.9953</v>
          </cell>
          <cell r="P19">
            <v>16452.682892000001</v>
          </cell>
          <cell r="R19">
            <v>15079.707492</v>
          </cell>
          <cell r="T19">
            <v>1817.2575602535617</v>
          </cell>
          <cell r="U19">
            <v>2317.5861839999998</v>
          </cell>
          <cell r="W19">
            <v>2769.1377440000001</v>
          </cell>
        </row>
        <row r="20">
          <cell r="J20">
            <v>69</v>
          </cell>
          <cell r="K20">
            <v>47.923999999999992</v>
          </cell>
          <cell r="M20">
            <v>65.25800000000001</v>
          </cell>
          <cell r="O20">
            <v>7099.3363170000002</v>
          </cell>
          <cell r="P20">
            <v>4592.3412979999994</v>
          </cell>
          <cell r="R20">
            <v>6187.9409880000012</v>
          </cell>
          <cell r="T20">
            <v>1107.9292441722455</v>
          </cell>
          <cell r="U20">
            <v>288.78857500000004</v>
          </cell>
          <cell r="W20">
            <v>913.99055700000031</v>
          </cell>
        </row>
        <row r="21">
          <cell r="J21">
            <v>38</v>
          </cell>
          <cell r="K21">
            <v>54.055999999999997</v>
          </cell>
          <cell r="M21">
            <v>51.61</v>
          </cell>
          <cell r="O21">
            <v>4145.069133</v>
          </cell>
          <cell r="P21">
            <v>6033.5480900000002</v>
          </cell>
          <cell r="R21">
            <v>4988.4201849999999</v>
          </cell>
          <cell r="T21">
            <v>1013.1543581398445</v>
          </cell>
          <cell r="U21">
            <v>1678.0764120000003</v>
          </cell>
          <cell r="W21">
            <v>1180.9580959999998</v>
          </cell>
        </row>
        <row r="22">
          <cell r="J22">
            <v>30</v>
          </cell>
          <cell r="K22">
            <v>34.023499999999999</v>
          </cell>
          <cell r="M22">
            <v>26.490499999999997</v>
          </cell>
          <cell r="O22">
            <v>3237</v>
          </cell>
          <cell r="P22">
            <v>3813.959445</v>
          </cell>
          <cell r="R22">
            <v>2674.335118</v>
          </cell>
          <cell r="T22">
            <v>505.17107913747145</v>
          </cell>
          <cell r="U22">
            <v>774.71565299999997</v>
          </cell>
          <cell r="W22">
            <v>423.90053400000005</v>
          </cell>
        </row>
        <row r="23">
          <cell r="J23">
            <v>30</v>
          </cell>
          <cell r="K23">
            <v>21.391500000000001</v>
          </cell>
          <cell r="M23">
            <v>46.8065</v>
          </cell>
          <cell r="O23">
            <v>3802.2000000000007</v>
          </cell>
          <cell r="P23">
            <v>2713.4730369999997</v>
          </cell>
          <cell r="R23">
            <v>5561.8996459999998</v>
          </cell>
          <cell r="T23">
            <v>518.00057850368762</v>
          </cell>
          <cell r="U23">
            <v>293.30739899999998</v>
          </cell>
          <cell r="W23">
            <v>1223.3181380000001</v>
          </cell>
        </row>
        <row r="28">
          <cell r="J28">
            <v>41600</v>
          </cell>
          <cell r="K28">
            <v>48080.048000000003</v>
          </cell>
          <cell r="M28">
            <v>48940.798000000003</v>
          </cell>
          <cell r="O28">
            <v>50866.286315789483</v>
          </cell>
          <cell r="P28">
            <v>49403.738082999997</v>
          </cell>
          <cell r="R28">
            <v>59347.902576</v>
          </cell>
          <cell r="T28">
            <v>546.71992806316621</v>
          </cell>
          <cell r="U28">
            <v>415.12243500000136</v>
          </cell>
          <cell r="W28">
            <v>493.89410700000218</v>
          </cell>
        </row>
        <row r="29">
          <cell r="J29">
            <v>130.31244781683998</v>
          </cell>
          <cell r="K29">
            <v>131.08799999999999</v>
          </cell>
          <cell r="M29">
            <v>154.82299999999998</v>
          </cell>
          <cell r="O29">
            <v>3895.6724506610435</v>
          </cell>
          <cell r="P29">
            <v>3921.28008</v>
          </cell>
          <cell r="R29">
            <v>4585.1399000000001</v>
          </cell>
          <cell r="T29">
            <v>154.66300094735612</v>
          </cell>
          <cell r="U29">
            <v>183.33354121302619</v>
          </cell>
          <cell r="W29">
            <v>224.29726701999988</v>
          </cell>
        </row>
        <row r="30">
          <cell r="J30">
            <v>124.97330272000001</v>
          </cell>
          <cell r="K30">
            <v>151.232</v>
          </cell>
          <cell r="M30">
            <v>218.83999999999997</v>
          </cell>
          <cell r="O30">
            <v>1621.6944741333334</v>
          </cell>
          <cell r="P30">
            <v>2098.7440000000001</v>
          </cell>
          <cell r="R30">
            <v>2570.444</v>
          </cell>
          <cell r="T30">
            <v>289.82973806529128</v>
          </cell>
          <cell r="U30">
            <v>269.85781962864752</v>
          </cell>
          <cell r="W30">
            <v>509.11536000000012</v>
          </cell>
        </row>
        <row r="31">
          <cell r="J31">
            <v>244.38622335353671</v>
          </cell>
          <cell r="K31">
            <v>214.37900000000002</v>
          </cell>
          <cell r="M31">
            <v>3.8</v>
          </cell>
          <cell r="O31">
            <v>4379.5962326463214</v>
          </cell>
          <cell r="P31">
            <v>3961.1824999999999</v>
          </cell>
          <cell r="R31">
            <v>67.48</v>
          </cell>
          <cell r="T31">
            <v>97.924023896172997</v>
          </cell>
          <cell r="U31">
            <v>267.32689220000015</v>
          </cell>
          <cell r="W31">
            <v>-197.58134200000001</v>
          </cell>
        </row>
        <row r="33">
          <cell r="O33">
            <v>545.04000000000008</v>
          </cell>
          <cell r="P33">
            <v>545.04000000000008</v>
          </cell>
          <cell r="R33">
            <v>476.29000000000008</v>
          </cell>
          <cell r="T33">
            <v>378.101652</v>
          </cell>
          <cell r="U33">
            <v>336.29001199999999</v>
          </cell>
          <cell r="W33">
            <v>303.24134199999997</v>
          </cell>
        </row>
        <row r="34">
          <cell r="O34">
            <v>433.78500200000002</v>
          </cell>
          <cell r="P34">
            <v>436.50238000000002</v>
          </cell>
          <cell r="R34">
            <v>567.93109100000004</v>
          </cell>
          <cell r="T34">
            <v>397.42866499999997</v>
          </cell>
          <cell r="U34">
            <v>401.04650800000002</v>
          </cell>
          <cell r="W34">
            <v>373.06082600000002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-8992.3453405481232</v>
          </cell>
          <cell r="U35">
            <v>-9052.3438580476759</v>
          </cell>
          <cell r="W35">
            <v>-6984.9840919999997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1329.7</v>
          </cell>
          <cell r="U36">
            <v>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-975.50771499999996</v>
          </cell>
          <cell r="W37">
            <v>-1247.069137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-196.74349766675783</v>
          </cell>
          <cell r="U38">
            <v>-260.987571</v>
          </cell>
          <cell r="W38">
            <v>-55.277708000000004</v>
          </cell>
        </row>
        <row r="39">
          <cell r="O39">
            <v>10.62</v>
          </cell>
          <cell r="P39">
            <v>10.217599999994041</v>
          </cell>
          <cell r="R39">
            <v>-23.580199999995532</v>
          </cell>
          <cell r="T39">
            <v>-326.71229000000375</v>
          </cell>
          <cell r="U39">
            <v>-159.66431700001775</v>
          </cell>
          <cell r="W39">
            <v>-160.73732199999785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1682</v>
          </cell>
          <cell r="K46">
            <v>1778.2486999999999</v>
          </cell>
          <cell r="M46">
            <v>1994.1309999999999</v>
          </cell>
          <cell r="O46">
            <v>232533.33985432202</v>
          </cell>
          <cell r="P46">
            <v>240615.56621599998</v>
          </cell>
          <cell r="R46">
            <v>258045.21919100004</v>
          </cell>
          <cell r="T46">
            <v>16726.031683158177</v>
          </cell>
          <cell r="U46">
            <v>12346.335843993977</v>
          </cell>
          <cell r="W46">
            <v>23427.096614010006</v>
          </cell>
        </row>
      </sheetData>
      <sheetData sheetId="4"/>
      <sheetData sheetId="5"/>
      <sheetData sheetId="6"/>
      <sheetData sheetId="7"/>
      <sheetData sheetId="8">
        <row r="10">
          <cell r="K10">
            <v>41600</v>
          </cell>
          <cell r="L10">
            <v>48080.048000000003</v>
          </cell>
          <cell r="N10">
            <v>48940.798000000003</v>
          </cell>
        </row>
        <row r="12">
          <cell r="K12">
            <v>40660000</v>
          </cell>
          <cell r="L12">
            <v>40896430.122000009</v>
          </cell>
          <cell r="N12">
            <v>51400865.903999999</v>
          </cell>
        </row>
        <row r="13">
          <cell r="K13">
            <v>10206286.31578948</v>
          </cell>
          <cell r="L13">
            <v>8507307.9609999992</v>
          </cell>
          <cell r="N13">
            <v>7947036.6720000003</v>
          </cell>
        </row>
        <row r="15">
          <cell r="K15">
            <v>39713230</v>
          </cell>
          <cell r="L15">
            <v>39860886.372000001</v>
          </cell>
          <cell r="N15">
            <v>50375712.228</v>
          </cell>
        </row>
        <row r="16">
          <cell r="K16">
            <v>9851311.6777263135</v>
          </cell>
          <cell r="L16">
            <v>8310169.8109999998</v>
          </cell>
          <cell r="N16">
            <v>7783503.845999998</v>
          </cell>
        </row>
        <row r="24">
          <cell r="K24">
            <v>498452</v>
          </cell>
          <cell r="L24">
            <v>536398.39599999995</v>
          </cell>
          <cell r="N24">
            <v>477558.25300000003</v>
          </cell>
        </row>
        <row r="25">
          <cell r="K25">
            <v>256572.71000000002</v>
          </cell>
          <cell r="L25">
            <v>281161.06899999996</v>
          </cell>
          <cell r="N25">
            <v>217234.14199999999</v>
          </cell>
        </row>
        <row r="36">
          <cell r="K36">
            <v>546719.92806316621</v>
          </cell>
          <cell r="L36">
            <v>415122.43500000134</v>
          </cell>
          <cell r="N36">
            <v>493894.10700000223</v>
          </cell>
        </row>
      </sheetData>
      <sheetData sheetId="9"/>
      <sheetData sheetId="10">
        <row r="8">
          <cell r="G8">
            <v>54256.2</v>
          </cell>
          <cell r="H8">
            <v>85616</v>
          </cell>
          <cell r="J8">
            <v>6117.1027199999999</v>
          </cell>
          <cell r="K8">
            <v>2064</v>
          </cell>
          <cell r="M8">
            <v>0</v>
          </cell>
          <cell r="N8">
            <v>0</v>
          </cell>
          <cell r="S8">
            <v>61301.002944865024</v>
          </cell>
          <cell r="T8">
            <v>67766</v>
          </cell>
          <cell r="V8">
            <v>56085.220408671696</v>
          </cell>
          <cell r="W8">
            <v>73733</v>
          </cell>
          <cell r="AB8">
            <v>84312.44781683998</v>
          </cell>
          <cell r="AC8">
            <v>77635</v>
          </cell>
        </row>
        <row r="10">
          <cell r="G10">
            <v>6600</v>
          </cell>
          <cell r="H10">
            <v>50464</v>
          </cell>
          <cell r="J10">
            <v>14000</v>
          </cell>
          <cell r="K10">
            <v>13088</v>
          </cell>
          <cell r="M10">
            <v>44000</v>
          </cell>
          <cell r="N10">
            <v>0</v>
          </cell>
          <cell r="S10">
            <v>36000</v>
          </cell>
          <cell r="T10">
            <v>35648</v>
          </cell>
          <cell r="V10">
            <v>91000</v>
          </cell>
          <cell r="W10">
            <v>37232</v>
          </cell>
          <cell r="AB10">
            <v>46000</v>
          </cell>
          <cell r="AC10">
            <v>53453</v>
          </cell>
        </row>
        <row r="12">
          <cell r="P12">
            <v>124973.30272000001</v>
          </cell>
          <cell r="Q12">
            <v>151232</v>
          </cell>
          <cell r="S12">
            <v>97301.002944865031</v>
          </cell>
          <cell r="T12">
            <v>103414</v>
          </cell>
          <cell r="V12">
            <v>147085.22040867171</v>
          </cell>
          <cell r="W12">
            <v>110965</v>
          </cell>
          <cell r="Y12">
            <v>244386.22335353671</v>
          </cell>
          <cell r="Z12">
            <v>214379</v>
          </cell>
          <cell r="AB12">
            <v>130312.44781683998</v>
          </cell>
          <cell r="AC12">
            <v>131088</v>
          </cell>
          <cell r="AE12">
            <v>499671.97389037668</v>
          </cell>
          <cell r="AF12">
            <v>496699</v>
          </cell>
          <cell r="AI12">
            <v>499671.97389037668</v>
          </cell>
          <cell r="AJ12">
            <v>496699</v>
          </cell>
        </row>
        <row r="13">
          <cell r="G13">
            <v>840438</v>
          </cell>
          <cell r="H13">
            <v>1380392</v>
          </cell>
          <cell r="J13">
            <v>99356.474133333322</v>
          </cell>
          <cell r="K13">
            <v>19536</v>
          </cell>
          <cell r="M13">
            <v>0</v>
          </cell>
          <cell r="N13">
            <v>0</v>
          </cell>
          <cell r="S13">
            <v>980816.04711784038</v>
          </cell>
          <cell r="T13">
            <v>1180009</v>
          </cell>
          <cell r="V13">
            <v>1237780.1855284814</v>
          </cell>
          <cell r="W13">
            <v>1636341.5</v>
          </cell>
          <cell r="AB13">
            <v>2506672.4506610432</v>
          </cell>
          <cell r="AC13">
            <v>2315114.08</v>
          </cell>
        </row>
        <row r="15">
          <cell r="G15">
            <v>75900</v>
          </cell>
          <cell r="H15">
            <v>588192</v>
          </cell>
          <cell r="J15">
            <v>210000</v>
          </cell>
          <cell r="K15">
            <v>110624</v>
          </cell>
          <cell r="M15">
            <v>396000</v>
          </cell>
          <cell r="N15">
            <v>0</v>
          </cell>
          <cell r="S15">
            <v>432000</v>
          </cell>
          <cell r="T15">
            <v>463424</v>
          </cell>
          <cell r="V15">
            <v>1729000</v>
          </cell>
          <cell r="W15">
            <v>681408</v>
          </cell>
          <cell r="AB15">
            <v>1389000</v>
          </cell>
          <cell r="AC15">
            <v>1606166</v>
          </cell>
        </row>
        <row r="17">
          <cell r="AI17">
            <v>9896963.1574406978</v>
          </cell>
          <cell r="AJ17">
            <v>9981206.5800000001</v>
          </cell>
        </row>
        <row r="18">
          <cell r="G18">
            <v>106245.08072492754</v>
          </cell>
          <cell r="H18">
            <v>273156.148321088</v>
          </cell>
          <cell r="J18">
            <v>36970.545891521193</v>
          </cell>
          <cell r="K18">
            <v>9311.371154193801</v>
          </cell>
          <cell r="M18">
            <v>0</v>
          </cell>
          <cell r="N18">
            <v>0</v>
          </cell>
          <cell r="S18">
            <v>-89713.313174702256</v>
          </cell>
          <cell r="T18">
            <v>9901.069516362908</v>
          </cell>
          <cell r="V18">
            <v>251275.91360962298</v>
          </cell>
          <cell r="W18">
            <v>362415.32334436855</v>
          </cell>
          <cell r="AB18">
            <v>96919.618933001446</v>
          </cell>
          <cell r="AC18">
            <v>175818.96799999999</v>
          </cell>
        </row>
        <row r="19">
          <cell r="G19">
            <v>7174.7379333071895</v>
          </cell>
          <cell r="H19">
            <v>-52968.585540341664</v>
          </cell>
          <cell r="J19">
            <v>63424.98262935743</v>
          </cell>
          <cell r="K19">
            <v>40358.885703707383</v>
          </cell>
          <cell r="M19">
            <v>76014.390886177891</v>
          </cell>
          <cell r="N19">
            <v>0</v>
          </cell>
          <cell r="S19">
            <v>-194629.6101990334</v>
          </cell>
          <cell r="T19">
            <v>-147955.98159108541</v>
          </cell>
          <cell r="V19">
            <v>130991.03366028583</v>
          </cell>
          <cell r="W19">
            <v>42966.480930353937</v>
          </cell>
          <cell r="AB19">
            <v>57743.3820143548</v>
          </cell>
          <cell r="AC19">
            <v>7514.5732130262259</v>
          </cell>
        </row>
        <row r="20">
          <cell r="AI20">
            <v>542416.7629088203</v>
          </cell>
          <cell r="AJ20">
            <v>720518.25304167392</v>
          </cell>
        </row>
        <row r="21">
          <cell r="G21">
            <v>0</v>
          </cell>
          <cell r="H21">
            <v>4208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61301.002944865024</v>
          </cell>
          <cell r="T21">
            <v>66694</v>
          </cell>
          <cell r="V21">
            <v>43040.249440929751</v>
          </cell>
          <cell r="W21">
            <v>46853</v>
          </cell>
          <cell r="AB21">
            <v>24311.000264392416</v>
          </cell>
          <cell r="AC21">
            <v>28643</v>
          </cell>
        </row>
        <row r="22">
          <cell r="G22">
            <v>49646</v>
          </cell>
          <cell r="H22">
            <v>71200</v>
          </cell>
          <cell r="J22">
            <v>3963.3333333333335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1072</v>
          </cell>
          <cell r="V22">
            <v>13044.970967741938</v>
          </cell>
          <cell r="W22">
            <v>24576</v>
          </cell>
          <cell r="AB22">
            <v>17529.510489510489</v>
          </cell>
          <cell r="AC22">
            <v>15552</v>
          </cell>
        </row>
        <row r="23">
          <cell r="G23">
            <v>2656</v>
          </cell>
          <cell r="H23">
            <v>6704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AB23">
            <v>12090.909090909092</v>
          </cell>
          <cell r="AC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2064</v>
          </cell>
          <cell r="AB24">
            <v>24318.88111888112</v>
          </cell>
          <cell r="AC24">
            <v>0</v>
          </cell>
        </row>
        <row r="25">
          <cell r="G25">
            <v>0</v>
          </cell>
          <cell r="H25">
            <v>0</v>
          </cell>
          <cell r="J25">
            <v>1024.4360533333333</v>
          </cell>
          <cell r="K25">
            <v>1184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AB25">
            <v>6062.1468531468527</v>
          </cell>
          <cell r="AC25">
            <v>12560</v>
          </cell>
        </row>
        <row r="26">
          <cell r="G26">
            <v>1954.2</v>
          </cell>
          <cell r="H26">
            <v>3504</v>
          </cell>
          <cell r="J26">
            <v>1129.3333333333333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AB26">
            <v>0</v>
          </cell>
          <cell r="AC26">
            <v>0</v>
          </cell>
        </row>
        <row r="35">
          <cell r="G35">
            <v>0</v>
          </cell>
          <cell r="H35">
            <v>52600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980816.04711784038</v>
          </cell>
          <cell r="T35">
            <v>1167145</v>
          </cell>
          <cell r="V35">
            <v>989925.73714138451</v>
          </cell>
          <cell r="W35">
            <v>1101045.5</v>
          </cell>
          <cell r="AB35">
            <v>778680.47513656737</v>
          </cell>
          <cell r="AC35">
            <v>929386.4</v>
          </cell>
        </row>
        <row r="36">
          <cell r="G36">
            <v>794336</v>
          </cell>
          <cell r="H36">
            <v>1210400</v>
          </cell>
          <cell r="J36">
            <v>67049.93333333332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12864</v>
          </cell>
          <cell r="V36">
            <v>247854.44838709681</v>
          </cell>
          <cell r="W36">
            <v>491520</v>
          </cell>
          <cell r="AB36">
            <v>490826.29370629374</v>
          </cell>
          <cell r="AC36">
            <v>435551.34399999998</v>
          </cell>
        </row>
        <row r="37">
          <cell r="G37">
            <v>26560</v>
          </cell>
          <cell r="H37">
            <v>77096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B37">
            <v>332500</v>
          </cell>
          <cell r="AC37">
            <v>356943.93599999999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39216</v>
          </cell>
          <cell r="AB38">
            <v>725513.28671328677</v>
          </cell>
          <cell r="AC38">
            <v>560904.4</v>
          </cell>
        </row>
        <row r="39">
          <cell r="G39">
            <v>0</v>
          </cell>
          <cell r="H39">
            <v>0</v>
          </cell>
          <cell r="J39">
            <v>15366.540799999999</v>
          </cell>
          <cell r="K39">
            <v>10656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B39">
            <v>179152.39510489511</v>
          </cell>
          <cell r="AC39">
            <v>32328</v>
          </cell>
        </row>
        <row r="40">
          <cell r="G40">
            <v>19542</v>
          </cell>
          <cell r="H40">
            <v>40296</v>
          </cell>
          <cell r="J40">
            <v>16940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B40">
            <v>0</v>
          </cell>
          <cell r="AC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294500</v>
          </cell>
          <cell r="U5">
            <v>256657.5</v>
          </cell>
        </row>
        <row r="9">
          <cell r="E9">
            <v>228.95675317905335</v>
          </cell>
          <cell r="F9">
            <v>248.29189901968954</v>
          </cell>
          <cell r="G9">
            <v>100518.4125651543</v>
          </cell>
          <cell r="H9">
            <v>100368.31384562985</v>
          </cell>
        </row>
        <row r="10">
          <cell r="E10">
            <v>26.213512993867116</v>
          </cell>
          <cell r="F10">
            <v>32.131742991623078</v>
          </cell>
          <cell r="G10">
            <v>91713.129198411785</v>
          </cell>
          <cell r="H10">
            <v>92772.27307588367</v>
          </cell>
        </row>
        <row r="11">
          <cell r="E11">
            <v>0</v>
          </cell>
          <cell r="F11">
            <v>0</v>
          </cell>
        </row>
        <row r="12">
          <cell r="E12">
            <v>57.181822050254119</v>
          </cell>
          <cell r="F12">
            <v>52.206928018199392</v>
          </cell>
          <cell r="G12">
            <v>64092.956001343635</v>
          </cell>
          <cell r="H12">
            <v>63761.348289281901</v>
          </cell>
        </row>
        <row r="13">
          <cell r="E13">
            <v>38.018994125226278</v>
          </cell>
          <cell r="F13">
            <v>36.062376153206706</v>
          </cell>
          <cell r="G13">
            <v>40378.765934764175</v>
          </cell>
          <cell r="H13">
            <v>41202.216231314131</v>
          </cell>
        </row>
        <row r="14">
          <cell r="E14">
            <v>0</v>
          </cell>
          <cell r="F14">
            <v>0</v>
          </cell>
        </row>
        <row r="15">
          <cell r="E15">
            <v>350.37108234840088</v>
          </cell>
          <cell r="F15">
            <v>368.69294618271869</v>
          </cell>
        </row>
        <row r="16">
          <cell r="E16">
            <v>821.15210669890553</v>
          </cell>
          <cell r="F16">
            <v>819.52089013508089</v>
          </cell>
          <cell r="G16">
            <v>12772.122787609409</v>
          </cell>
          <cell r="H16">
            <v>13241.910604358518</v>
          </cell>
        </row>
        <row r="17">
          <cell r="E17">
            <v>906.05976466956395</v>
          </cell>
          <cell r="F17">
            <v>899.11306348668063</v>
          </cell>
          <cell r="G17">
            <v>15858.674150455141</v>
          </cell>
          <cell r="H17">
            <v>16229.220720648151</v>
          </cell>
        </row>
        <row r="19">
          <cell r="E19">
            <v>3.2035810218030418</v>
          </cell>
          <cell r="F19">
            <v>3.1213270175425012</v>
          </cell>
        </row>
        <row r="20">
          <cell r="Q20">
            <v>58025.914805739863</v>
          </cell>
          <cell r="R20">
            <v>60828.503882292986</v>
          </cell>
        </row>
        <row r="21">
          <cell r="Q21">
            <v>17893.482243720679</v>
          </cell>
          <cell r="R21">
            <v>18260.577497621409</v>
          </cell>
        </row>
        <row r="22">
          <cell r="Q22">
            <v>191.17147707979626</v>
          </cell>
          <cell r="R22">
            <v>238.19205481522533</v>
          </cell>
        </row>
        <row r="50">
          <cell r="Q50">
            <v>82963.560906851373</v>
          </cell>
          <cell r="R50">
            <v>87148.134619744567</v>
          </cell>
        </row>
        <row r="56">
          <cell r="L56">
            <v>-1042372.430230392</v>
          </cell>
        </row>
        <row r="61">
          <cell r="T61">
            <v>102325.33643930384</v>
          </cell>
          <cell r="U61">
            <v>101862.35624803558</v>
          </cell>
        </row>
        <row r="80">
          <cell r="H80">
            <v>622999.56000000006</v>
          </cell>
          <cell r="I80">
            <v>632483.07799999998</v>
          </cell>
          <cell r="L80">
            <v>-9483.5179999999818</v>
          </cell>
        </row>
        <row r="85">
          <cell r="H85">
            <v>372623.40522304596</v>
          </cell>
          <cell r="I85">
            <v>440948.38676999992</v>
          </cell>
          <cell r="L85">
            <v>-68324.981546953932</v>
          </cell>
          <cell r="Q85">
            <v>102325.33643930384</v>
          </cell>
          <cell r="R85">
            <v>101862.35624803558</v>
          </cell>
        </row>
        <row r="86">
          <cell r="H86">
            <v>4706419.9290841985</v>
          </cell>
          <cell r="I86">
            <v>2724997.5230000066</v>
          </cell>
          <cell r="K86">
            <v>-118576.86615695723</v>
          </cell>
          <cell r="M86">
            <v>-742664.61014988786</v>
          </cell>
        </row>
        <row r="89">
          <cell r="Q89">
            <v>76110.568526540344</v>
          </cell>
          <cell r="R89">
            <v>79327.273434729621</v>
          </cell>
        </row>
        <row r="90">
          <cell r="Q90">
            <v>26214.767912763491</v>
          </cell>
          <cell r="R90">
            <v>22535.082813305955</v>
          </cell>
        </row>
      </sheetData>
      <sheetData sheetId="1">
        <row r="5">
          <cell r="T5">
            <v>115500</v>
          </cell>
          <cell r="U5">
            <v>89348</v>
          </cell>
        </row>
        <row r="9">
          <cell r="E9">
            <v>249.08770562770565</v>
          </cell>
          <cell r="F9">
            <v>271.64022243724611</v>
          </cell>
          <cell r="G9">
            <v>99999.999999999985</v>
          </cell>
          <cell r="H9">
            <v>99894.896148001993</v>
          </cell>
        </row>
        <row r="10">
          <cell r="E10">
            <v>7.3719480519480527</v>
          </cell>
          <cell r="F10">
            <v>3.5176026957999076</v>
          </cell>
          <cell r="G10">
            <v>92684.412655908673</v>
          </cell>
          <cell r="H10">
            <v>95606.609638319685</v>
          </cell>
        </row>
        <row r="11">
          <cell r="E11">
            <v>0</v>
          </cell>
          <cell r="F11">
            <v>0</v>
          </cell>
        </row>
        <row r="12">
          <cell r="E12">
            <v>53.618874458874458</v>
          </cell>
          <cell r="F12">
            <v>56.259680689476696</v>
          </cell>
          <cell r="G12">
            <v>64319.473016221607</v>
          </cell>
          <cell r="H12">
            <v>64275.654983356064</v>
          </cell>
        </row>
        <row r="13">
          <cell r="E13">
            <v>41.741212121212122</v>
          </cell>
          <cell r="F13">
            <v>41.835600985609666</v>
          </cell>
          <cell r="G13">
            <v>45165.003495045748</v>
          </cell>
          <cell r="H13">
            <v>47722.711596455352</v>
          </cell>
        </row>
        <row r="14">
          <cell r="E14">
            <v>0</v>
          </cell>
          <cell r="F14">
            <v>0</v>
          </cell>
        </row>
        <row r="15">
          <cell r="E15">
            <v>351.81974025974029</v>
          </cell>
          <cell r="F15">
            <v>373.25310680813237</v>
          </cell>
        </row>
        <row r="16">
          <cell r="E16">
            <v>842.2807792207791</v>
          </cell>
          <cell r="F16">
            <v>849.39714792020573</v>
          </cell>
          <cell r="G16">
            <v>15355.351303574174</v>
          </cell>
          <cell r="H16">
            <v>16254.630579354263</v>
          </cell>
        </row>
        <row r="17">
          <cell r="E17">
            <v>893.42562770562768</v>
          </cell>
          <cell r="F17">
            <v>872.92516036409029</v>
          </cell>
          <cell r="G17">
            <v>14777.100520052993</v>
          </cell>
          <cell r="H17">
            <v>14769.043775642587</v>
          </cell>
        </row>
        <row r="19">
          <cell r="E19">
            <v>3.0493087445887448</v>
          </cell>
          <cell r="F19">
            <v>3.0852808987499869</v>
          </cell>
        </row>
        <row r="20">
          <cell r="Q20">
            <v>59477.05064430544</v>
          </cell>
          <cell r="R20">
            <v>62287.216170298947</v>
          </cell>
        </row>
        <row r="21">
          <cell r="Q21">
            <v>17689.96266085195</v>
          </cell>
          <cell r="R21">
            <v>18275.143464710451</v>
          </cell>
        </row>
        <row r="22">
          <cell r="Q22">
            <v>217.31601731601734</v>
          </cell>
          <cell r="R22">
            <v>216.59604631015199</v>
          </cell>
        </row>
        <row r="50">
          <cell r="Q50">
            <v>83071.355941668065</v>
          </cell>
          <cell r="R50">
            <v>87817.289247178749</v>
          </cell>
        </row>
        <row r="56">
          <cell r="L56">
            <v>-421739.77614178474</v>
          </cell>
        </row>
        <row r="61">
          <cell r="T61">
            <v>100367.82722402584</v>
          </cell>
          <cell r="U61">
            <v>98771.936466854982</v>
          </cell>
        </row>
        <row r="80">
          <cell r="H80">
            <v>206606.48</v>
          </cell>
          <cell r="I80">
            <v>206759.38700000005</v>
          </cell>
          <cell r="L80">
            <v>-152.9070000000138</v>
          </cell>
        </row>
        <row r="85">
          <cell r="H85">
            <v>103126.64990613335</v>
          </cell>
          <cell r="I85">
            <v>104988.88838999999</v>
          </cell>
          <cell r="L85">
            <v>-1862.2384838666439</v>
          </cell>
          <cell r="Q85">
            <v>100367.82722402584</v>
          </cell>
          <cell r="R85">
            <v>98771.936466854982</v>
          </cell>
        </row>
        <row r="86">
          <cell r="H86">
            <v>1688009.30320619</v>
          </cell>
          <cell r="I86">
            <v>662283.5390000008</v>
          </cell>
          <cell r="K86">
            <v>-141822.02391750237</v>
          </cell>
          <cell r="M86">
            <v>-460148.81866303459</v>
          </cell>
        </row>
        <row r="89">
          <cell r="Q89">
            <v>77384.329322473408</v>
          </cell>
          <cell r="R89">
            <v>80778.955681319552</v>
          </cell>
        </row>
        <row r="90">
          <cell r="Q90">
            <v>22983.49790155243</v>
          </cell>
          <cell r="R90">
            <v>17992.98078553543</v>
          </cell>
        </row>
      </sheetData>
      <sheetData sheetId="2">
        <row r="5">
          <cell r="T5">
            <v>127000</v>
          </cell>
          <cell r="U5">
            <v>118756</v>
          </cell>
        </row>
        <row r="9">
          <cell r="E9">
            <v>201.30577804119059</v>
          </cell>
          <cell r="F9">
            <v>220.89793795953599</v>
          </cell>
          <cell r="G9">
            <v>100000.00000000001</v>
          </cell>
          <cell r="H9">
            <v>99991.642624407032</v>
          </cell>
        </row>
        <row r="10">
          <cell r="E10">
            <v>46.105980918849326</v>
          </cell>
          <cell r="F10">
            <v>59.938197291331264</v>
          </cell>
          <cell r="G10">
            <v>92100.000000000029</v>
          </cell>
          <cell r="H10">
            <v>92336.421061530462</v>
          </cell>
        </row>
        <row r="11">
          <cell r="E11">
            <v>0</v>
          </cell>
          <cell r="F11">
            <v>0</v>
          </cell>
        </row>
        <row r="12">
          <cell r="E12">
            <v>63.048555856691657</v>
          </cell>
          <cell r="F12">
            <v>51.946561052928573</v>
          </cell>
          <cell r="G12">
            <v>63729.991054779079</v>
          </cell>
          <cell r="H12">
            <v>63050.054040436204</v>
          </cell>
        </row>
        <row r="13">
          <cell r="E13">
            <v>38.967116298260947</v>
          </cell>
          <cell r="F13">
            <v>34.951991336243388</v>
          </cell>
          <cell r="G13">
            <v>35468.34101649074</v>
          </cell>
          <cell r="H13">
            <v>35535.440193400565</v>
          </cell>
        </row>
        <row r="14">
          <cell r="E14">
            <v>0</v>
          </cell>
          <cell r="F14">
            <v>0</v>
          </cell>
        </row>
        <row r="15">
          <cell r="E15">
            <v>349.42743111499249</v>
          </cell>
          <cell r="F15">
            <v>367.73468764003923</v>
          </cell>
        </row>
        <row r="16">
          <cell r="E16">
            <v>807.48382222698945</v>
          </cell>
          <cell r="F16">
            <v>798.36108887819307</v>
          </cell>
          <cell r="G16">
            <v>10400.722097146547</v>
          </cell>
          <cell r="H16">
            <v>11039.378014405345</v>
          </cell>
        </row>
        <row r="17">
          <cell r="E17">
            <v>909.80378500146912</v>
          </cell>
          <cell r="F17">
            <v>908.21410433021856</v>
          </cell>
          <cell r="G17">
            <v>17348.167206000602</v>
          </cell>
          <cell r="H17">
            <v>17934.141899001203</v>
          </cell>
        </row>
        <row r="19">
          <cell r="E19">
            <v>3.4585673300865807</v>
          </cell>
          <cell r="F19">
            <v>3.2098142769414624</v>
          </cell>
        </row>
        <row r="20">
          <cell r="Q20">
            <v>56721.659908106667</v>
          </cell>
          <cell r="R20">
            <v>60137.608678694131</v>
          </cell>
        </row>
        <row r="21">
          <cell r="Q21">
            <v>18008.441408905746</v>
          </cell>
          <cell r="R21">
            <v>19103.288725498336</v>
          </cell>
        </row>
        <row r="22">
          <cell r="Q22">
            <v>175.19685039370077</v>
          </cell>
          <cell r="R22">
            <v>267.64966556571676</v>
          </cell>
        </row>
        <row r="50">
          <cell r="Q50">
            <v>82316.18034662932</v>
          </cell>
          <cell r="R50">
            <v>87334.564662827179</v>
          </cell>
        </row>
        <row r="56">
          <cell r="L56">
            <v>-566542.42121648672</v>
          </cell>
        </row>
        <row r="61">
          <cell r="T61">
            <v>102558.70683464568</v>
          </cell>
          <cell r="U61">
            <v>102226.31902507246</v>
          </cell>
        </row>
        <row r="80">
          <cell r="H80">
            <v>317275.18</v>
          </cell>
          <cell r="I80">
            <v>313860.62199999997</v>
          </cell>
          <cell r="L80">
            <v>3414.55800000001</v>
          </cell>
        </row>
        <row r="85">
          <cell r="H85">
            <v>185956.4774746763</v>
          </cell>
          <cell r="I85">
            <v>251012.75636000003</v>
          </cell>
          <cell r="L85">
            <v>-65056.278885323729</v>
          </cell>
          <cell r="Q85">
            <v>102558.70683464568</v>
          </cell>
          <cell r="R85">
            <v>102226.31902507246</v>
          </cell>
        </row>
        <row r="86">
          <cell r="H86">
            <v>2067569.2065034022</v>
          </cell>
          <cell r="I86">
            <v>1231838.0210000011</v>
          </cell>
          <cell r="K86">
            <v>-39453.103445103108</v>
          </cell>
          <cell r="M86">
            <v>-168093.93995648797</v>
          </cell>
        </row>
        <row r="89">
          <cell r="Q89">
            <v>74905.298167406116</v>
          </cell>
          <cell r="R89">
            <v>79508.547069758177</v>
          </cell>
        </row>
        <row r="90">
          <cell r="Q90">
            <v>27653.408667239564</v>
          </cell>
          <cell r="R90">
            <v>22717.771955314282</v>
          </cell>
        </row>
      </sheetData>
      <sheetData sheetId="3">
        <row r="5">
          <cell r="T5">
            <v>52000</v>
          </cell>
          <cell r="U5">
            <v>48553.5</v>
          </cell>
        </row>
        <row r="9">
          <cell r="E9">
            <v>251.77499999999998</v>
          </cell>
          <cell r="F9">
            <v>273.48951582236208</v>
          </cell>
          <cell r="G9">
            <v>102669.92048761486</v>
          </cell>
          <cell r="H9">
            <v>101980.94415956095</v>
          </cell>
        </row>
        <row r="10">
          <cell r="E10">
            <v>19.479999999999997</v>
          </cell>
          <cell r="F10">
            <v>15.532658095150001</v>
          </cell>
          <cell r="G10">
            <v>88660.377507502766</v>
          </cell>
          <cell r="H10">
            <v>95765.54836026259</v>
          </cell>
        </row>
        <row r="11">
          <cell r="E11">
            <v>0</v>
          </cell>
          <cell r="F11">
            <v>0</v>
          </cell>
        </row>
        <row r="12">
          <cell r="E12">
            <v>50.767307692307696</v>
          </cell>
          <cell r="F12">
            <v>45.447765752988211</v>
          </cell>
          <cell r="G12">
            <v>64662.487215424815</v>
          </cell>
          <cell r="H12">
            <v>64611.987833186264</v>
          </cell>
        </row>
        <row r="13">
          <cell r="E13">
            <v>27.435769230769228</v>
          </cell>
          <cell r="F13">
            <v>28.265484948457839</v>
          </cell>
          <cell r="G13">
            <v>41238.010457992794</v>
          </cell>
          <cell r="H13">
            <v>40927.358020665975</v>
          </cell>
        </row>
        <row r="14">
          <cell r="E14">
            <v>0</v>
          </cell>
          <cell r="F14">
            <v>0</v>
          </cell>
        </row>
        <row r="15">
          <cell r="E15">
            <v>349.45807692307687</v>
          </cell>
          <cell r="F15">
            <v>362.73542461895818</v>
          </cell>
        </row>
        <row r="16">
          <cell r="E16">
            <v>807.60423076923075</v>
          </cell>
          <cell r="F16">
            <v>817.35080524979708</v>
          </cell>
          <cell r="G16">
            <v>12578.836628692683</v>
          </cell>
          <cell r="H16">
            <v>12850.893231586952</v>
          </cell>
        </row>
        <row r="17">
          <cell r="E17">
            <v>924.97807692307697</v>
          </cell>
          <cell r="F17">
            <v>924.41365276107649</v>
          </cell>
          <cell r="G17">
            <v>14600.945827203255</v>
          </cell>
          <cell r="H17">
            <v>14599.28455455499</v>
          </cell>
        </row>
        <row r="19">
          <cell r="E19">
            <v>2.9234884615384615</v>
          </cell>
          <cell r="F19">
            <v>2.9680027543962426</v>
          </cell>
        </row>
        <row r="20">
          <cell r="Q20">
            <v>57988.110625837813</v>
          </cell>
          <cell r="R20">
            <v>59874.853061182555</v>
          </cell>
        </row>
        <row r="21">
          <cell r="Q21">
            <v>18064.764894544394</v>
          </cell>
          <cell r="R21">
            <v>16146.619554157805</v>
          </cell>
        </row>
        <row r="22">
          <cell r="Q22">
            <v>172.11538461538461</v>
          </cell>
          <cell r="R22">
            <v>204.68154862845458</v>
          </cell>
        </row>
        <row r="50">
          <cell r="Q50">
            <v>84305.234072752879</v>
          </cell>
          <cell r="R50">
            <v>85463.862691291797</v>
          </cell>
        </row>
        <row r="56">
          <cell r="L56">
            <v>-56209.366428593443</v>
          </cell>
        </row>
        <row r="61">
          <cell r="T61">
            <v>106103.30324999998</v>
          </cell>
          <cell r="U61">
            <v>106628.96234051097</v>
          </cell>
        </row>
        <row r="80">
          <cell r="H80">
            <v>99117.900000000009</v>
          </cell>
          <cell r="I80">
            <v>111863.06900000002</v>
          </cell>
          <cell r="L80">
            <v>-12745.169000000004</v>
          </cell>
        </row>
        <row r="85">
          <cell r="H85">
            <v>83540.277842236319</v>
          </cell>
          <cell r="I85">
            <v>84946.742020000005</v>
          </cell>
          <cell r="L85">
            <v>-1406.4641777636957</v>
          </cell>
          <cell r="Q85">
            <v>106103.30324999998</v>
          </cell>
          <cell r="R85">
            <v>106628.96234051097</v>
          </cell>
        </row>
        <row r="86">
          <cell r="H86">
            <v>950841.41937461286</v>
          </cell>
          <cell r="I86">
            <v>830875.96299999941</v>
          </cell>
          <cell r="K86">
            <v>25522.588651125428</v>
          </cell>
          <cell r="M86">
            <v>-75127.045419382164</v>
          </cell>
        </row>
        <row r="89">
          <cell r="Q89">
            <v>76224.990904997598</v>
          </cell>
          <cell r="R89">
            <v>76226.154163968822</v>
          </cell>
        </row>
        <row r="90">
          <cell r="Q90">
            <v>29878.312345002385</v>
          </cell>
          <cell r="R90">
            <v>30402.808176542152</v>
          </cell>
        </row>
      </sheetData>
      <sheetData sheetId="4">
        <row r="2">
          <cell r="N2">
            <v>39000</v>
          </cell>
        </row>
        <row r="5">
          <cell r="T5">
            <v>39000</v>
          </cell>
          <cell r="U5">
            <v>30154</v>
          </cell>
        </row>
        <row r="9">
          <cell r="E9">
            <v>261.3</v>
          </cell>
          <cell r="F9">
            <v>284.91517609604074</v>
          </cell>
          <cell r="G9">
            <v>100000</v>
          </cell>
          <cell r="H9">
            <v>99853.948495079705</v>
          </cell>
        </row>
        <row r="10">
          <cell r="E10">
            <v>12</v>
          </cell>
          <cell r="F10">
            <v>0</v>
          </cell>
          <cell r="G10">
            <v>87100.000000000015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</v>
          </cell>
          <cell r="F12">
            <v>55.045971015454043</v>
          </cell>
          <cell r="G12">
            <v>64000</v>
          </cell>
          <cell r="H12">
            <v>64172.92917197926</v>
          </cell>
        </row>
        <row r="13">
          <cell r="E13">
            <v>47.1</v>
          </cell>
          <cell r="F13">
            <v>43.977819194800027</v>
          </cell>
          <cell r="G13">
            <v>45000</v>
          </cell>
          <cell r="H13">
            <v>46811.472611308425</v>
          </cell>
        </row>
        <row r="14">
          <cell r="E14">
            <v>0</v>
          </cell>
          <cell r="F14">
            <v>0</v>
          </cell>
        </row>
        <row r="15">
          <cell r="E15">
            <v>365.40000000000003</v>
          </cell>
          <cell r="F15">
            <v>383.93896630629479</v>
          </cell>
        </row>
        <row r="16">
          <cell r="E16">
            <v>845</v>
          </cell>
          <cell r="F16">
            <v>855.9680307753531</v>
          </cell>
          <cell r="G16">
            <v>15333.333333333334</v>
          </cell>
          <cell r="H16">
            <v>16766.819393077178</v>
          </cell>
        </row>
        <row r="17">
          <cell r="E17">
            <v>880</v>
          </cell>
          <cell r="F17">
            <v>865.96156397161201</v>
          </cell>
          <cell r="G17">
            <v>15161.290322580646</v>
          </cell>
          <cell r="H17">
            <v>15916.545232392291</v>
          </cell>
        </row>
        <row r="19">
          <cell r="E19">
            <v>3.29</v>
          </cell>
          <cell r="F19">
            <v>3.223151157392055</v>
          </cell>
        </row>
        <row r="20">
          <cell r="Q20">
            <v>61254.997150537638</v>
          </cell>
          <cell r="R20">
            <v>65025.608376998076</v>
          </cell>
        </row>
        <row r="21">
          <cell r="Q21">
            <v>17104.760465587045</v>
          </cell>
          <cell r="R21">
            <v>17366.728460569077</v>
          </cell>
        </row>
        <row r="22">
          <cell r="Q22">
            <v>192.30769230769232</v>
          </cell>
          <cell r="R22">
            <v>237.45456655833388</v>
          </cell>
        </row>
        <row r="50">
          <cell r="Q50">
            <v>83738.389753591531</v>
          </cell>
          <cell r="R50">
            <v>88838.661736419701</v>
          </cell>
        </row>
        <row r="56">
          <cell r="L56">
            <v>-153793.60506020117</v>
          </cell>
        </row>
        <row r="80">
          <cell r="H80">
            <v>65196.599999999991</v>
          </cell>
          <cell r="I80">
            <v>66723.520000000004</v>
          </cell>
          <cell r="L80">
            <v>-1526.9200000000083</v>
          </cell>
        </row>
        <row r="85">
          <cell r="H85">
            <v>30130.660666666659</v>
          </cell>
          <cell r="I85">
            <v>29672.462309999999</v>
          </cell>
          <cell r="L85">
            <v>458.1983566666604</v>
          </cell>
          <cell r="Q85">
            <v>101178.97307692308</v>
          </cell>
          <cell r="R85">
            <v>100611.30271274126</v>
          </cell>
        </row>
        <row r="86">
          <cell r="H86">
            <v>584855.48894326377</v>
          </cell>
          <cell r="I86">
            <v>258596.22999999984</v>
          </cell>
          <cell r="K86">
            <v>-17117.5321615385</v>
          </cell>
          <cell r="M86">
            <v>-154279.40007819084</v>
          </cell>
        </row>
        <row r="89">
          <cell r="Q89">
            <v>78552.065308432371</v>
          </cell>
          <cell r="R89">
            <v>82629.791404125484</v>
          </cell>
        </row>
      </sheetData>
      <sheetData sheetId="5">
        <row r="2">
          <cell r="N2">
            <v>35000</v>
          </cell>
        </row>
        <row r="5">
          <cell r="T5">
            <v>35000</v>
          </cell>
          <cell r="U5">
            <v>25908</v>
          </cell>
        </row>
        <row r="9">
          <cell r="E9">
            <v>264.70999999999998</v>
          </cell>
          <cell r="F9">
            <v>284.07357391640835</v>
          </cell>
          <cell r="G9">
            <v>100000</v>
          </cell>
          <cell r="H9">
            <v>99825.249398670378</v>
          </cell>
        </row>
        <row r="10">
          <cell r="E10">
            <v>10.956</v>
          </cell>
          <cell r="F10">
            <v>4.5313858359133121</v>
          </cell>
          <cell r="G10">
            <v>99500</v>
          </cell>
          <cell r="H10">
            <v>92593.462128305167</v>
          </cell>
        </row>
        <row r="11">
          <cell r="E11">
            <v>0</v>
          </cell>
          <cell r="F11">
            <v>0</v>
          </cell>
        </row>
        <row r="12">
          <cell r="E12">
            <v>55.26</v>
          </cell>
          <cell r="F12">
            <v>57.112388544891601</v>
          </cell>
          <cell r="G12">
            <v>64500</v>
          </cell>
          <cell r="H12">
            <v>64499.009516378348</v>
          </cell>
        </row>
        <row r="13">
          <cell r="E13">
            <v>36.94</v>
          </cell>
          <cell r="F13">
            <v>44.207508900928801</v>
          </cell>
          <cell r="G13">
            <v>45000</v>
          </cell>
          <cell r="H13">
            <v>50475.769078882236</v>
          </cell>
        </row>
        <row r="14">
          <cell r="E14">
            <v>0</v>
          </cell>
          <cell r="F14">
            <v>0</v>
          </cell>
        </row>
        <row r="15">
          <cell r="E15">
            <v>367.86599999999999</v>
          </cell>
          <cell r="F15">
            <v>389.92485719814204</v>
          </cell>
        </row>
        <row r="16">
          <cell r="E16">
            <v>883.01300000000003</v>
          </cell>
          <cell r="F16">
            <v>887.46071981424041</v>
          </cell>
          <cell r="G16">
            <v>15733.333333333332</v>
          </cell>
          <cell r="H16">
            <v>15928.953424659945</v>
          </cell>
        </row>
        <row r="17">
          <cell r="E17">
            <v>848.56</v>
          </cell>
          <cell r="F17">
            <v>832.10913312693458</v>
          </cell>
          <cell r="G17">
            <v>15504.278556367113</v>
          </cell>
          <cell r="H17">
            <v>15255.068529465119</v>
          </cell>
        </row>
        <row r="19">
          <cell r="E19">
            <v>3.3109999999999999</v>
          </cell>
          <cell r="F19">
            <v>3.1901799535603717</v>
          </cell>
        </row>
        <row r="20">
          <cell r="Q20">
            <v>62617.980478457546</v>
          </cell>
          <cell r="R20">
            <v>63943.182004643961</v>
          </cell>
        </row>
        <row r="21">
          <cell r="Q21">
            <v>17607.206425135006</v>
          </cell>
          <cell r="R21">
            <v>17414.040286377709</v>
          </cell>
        </row>
        <row r="22">
          <cell r="Q22">
            <v>314.28571428571428</v>
          </cell>
          <cell r="R22">
            <v>290.67120743034059</v>
          </cell>
        </row>
        <row r="50">
          <cell r="Q50">
            <v>85975.838597588925</v>
          </cell>
          <cell r="R50">
            <v>88914.304450464391</v>
          </cell>
        </row>
        <row r="56">
          <cell r="L56">
            <v>-75929.980918302725</v>
          </cell>
        </row>
        <row r="80">
          <cell r="H80">
            <v>60681.440000000002</v>
          </cell>
          <cell r="I80">
            <v>59281.133000000002</v>
          </cell>
          <cell r="L80">
            <v>1400.3069999999971</v>
          </cell>
        </row>
        <row r="85">
          <cell r="H85">
            <v>34391.757239466679</v>
          </cell>
          <cell r="I85">
            <v>34736.512719999999</v>
          </cell>
          <cell r="L85">
            <v>-344.7554805333159</v>
          </cell>
          <cell r="Q85">
            <v>102422.48514285713</v>
          </cell>
          <cell r="R85">
            <v>100279.70116099071</v>
          </cell>
        </row>
        <row r="86">
          <cell r="H86">
            <v>480559.43184492062</v>
          </cell>
          <cell r="I86">
            <v>199800.18199999948</v>
          </cell>
          <cell r="K86">
            <v>-55369.538091428331</v>
          </cell>
          <cell r="M86">
            <v>-150515.28235465672</v>
          </cell>
        </row>
        <row r="89">
          <cell r="Q89">
            <v>80539.472617878258</v>
          </cell>
          <cell r="R89">
            <v>81647.893498452002</v>
          </cell>
        </row>
      </sheetData>
      <sheetData sheetId="6">
        <row r="2">
          <cell r="N2">
            <v>23000</v>
          </cell>
        </row>
        <row r="5">
          <cell r="T5">
            <v>23000</v>
          </cell>
          <cell r="U5">
            <v>24724</v>
          </cell>
        </row>
        <row r="9">
          <cell r="E9">
            <v>240.06869565217389</v>
          </cell>
          <cell r="F9">
            <v>263.16252248182957</v>
          </cell>
          <cell r="G9">
            <v>100000</v>
          </cell>
          <cell r="H9">
            <v>99999.999687929027</v>
          </cell>
        </row>
        <row r="10">
          <cell r="E10">
            <v>0</v>
          </cell>
          <cell r="F10">
            <v>8.0298115221943913</v>
          </cell>
          <cell r="G10">
            <v>0</v>
          </cell>
          <cell r="H10">
            <v>97410.815648171818</v>
          </cell>
        </row>
        <row r="11">
          <cell r="E11">
            <v>0</v>
          </cell>
          <cell r="F11">
            <v>0</v>
          </cell>
        </row>
        <row r="12">
          <cell r="E12">
            <v>56.581739130434784</v>
          </cell>
          <cell r="F12">
            <v>50.490115796821719</v>
          </cell>
          <cell r="G12">
            <v>64499.999999999985</v>
          </cell>
          <cell r="H12">
            <v>64375.717939941409</v>
          </cell>
        </row>
        <row r="13">
          <cell r="E13">
            <v>38.948260869565217</v>
          </cell>
          <cell r="F13">
            <v>39.566344187574451</v>
          </cell>
          <cell r="G13">
            <v>45000</v>
          </cell>
          <cell r="H13">
            <v>44464.285006344886</v>
          </cell>
        </row>
        <row r="14">
          <cell r="E14">
            <v>0</v>
          </cell>
          <cell r="F14">
            <v>0</v>
          </cell>
        </row>
        <row r="15">
          <cell r="E15">
            <v>335.59869565217389</v>
          </cell>
          <cell r="F15">
            <v>361.24879398842012</v>
          </cell>
        </row>
        <row r="16">
          <cell r="E16">
            <v>874.0423913043478</v>
          </cell>
          <cell r="F16">
            <v>822.40808565679788</v>
          </cell>
          <cell r="G16">
            <v>15266.666666666672</v>
          </cell>
          <cell r="H16">
            <v>16503.537488351911</v>
          </cell>
        </row>
        <row r="17">
          <cell r="E17">
            <v>882.65478260869565</v>
          </cell>
          <cell r="F17">
            <v>888.11071851517272</v>
          </cell>
          <cell r="G17">
            <v>13419.354838709676</v>
          </cell>
          <cell r="H17">
            <v>12988.598185871557</v>
          </cell>
        </row>
        <row r="19">
          <cell r="E19">
            <v>2.6847895652173919</v>
          </cell>
          <cell r="F19">
            <v>2.967796205806267</v>
          </cell>
        </row>
        <row r="20">
          <cell r="Q20">
            <v>56530.483533707338</v>
          </cell>
          <cell r="R20">
            <v>59351.042540960043</v>
          </cell>
        </row>
        <row r="21">
          <cell r="Q21">
            <v>18619.024782608696</v>
          </cell>
          <cell r="R21">
            <v>20278.359134398226</v>
          </cell>
        </row>
        <row r="22">
          <cell r="Q22">
            <v>202.5</v>
          </cell>
          <cell r="R22">
            <v>157.74734118999714</v>
          </cell>
        </row>
        <row r="50">
          <cell r="Q50">
            <v>82152.365817732076</v>
          </cell>
          <cell r="R50">
            <v>86075.743070668905</v>
          </cell>
        </row>
        <row r="56">
          <cell r="L56">
            <v>-95460.919910583354</v>
          </cell>
        </row>
        <row r="80">
          <cell r="H80">
            <v>46085.41</v>
          </cell>
          <cell r="I80">
            <v>48079.859000000004</v>
          </cell>
          <cell r="L80">
            <v>-1994.4489999999983</v>
          </cell>
        </row>
        <row r="85">
          <cell r="H85">
            <v>19365.797555555557</v>
          </cell>
          <cell r="I85">
            <v>19905.977719999999</v>
          </cell>
          <cell r="L85">
            <v>-540.18016444444379</v>
          </cell>
          <cell r="Q85">
            <v>99223.418016303665</v>
          </cell>
          <cell r="R85">
            <v>95898.500225956202</v>
          </cell>
        </row>
        <row r="86">
          <cell r="H86">
            <v>327182.99301159097</v>
          </cell>
          <cell r="I86">
            <v>171334.00199999989</v>
          </cell>
          <cell r="K86">
            <v>-80931.823934847591</v>
          </cell>
          <cell r="M86">
            <v>23078.381998284458</v>
          </cell>
        </row>
        <row r="89">
          <cell r="Q89">
            <v>75352.008316316031</v>
          </cell>
          <cell r="R89">
            <v>79787.149016548268</v>
          </cell>
        </row>
      </sheetData>
      <sheetData sheetId="7">
        <row r="2">
          <cell r="N2">
            <v>18500</v>
          </cell>
        </row>
        <row r="5">
          <cell r="T5">
            <v>18500</v>
          </cell>
          <cell r="U5">
            <v>8562</v>
          </cell>
        </row>
        <row r="9">
          <cell r="E9">
            <v>205</v>
          </cell>
          <cell r="F9">
            <v>211.26594585091411</v>
          </cell>
          <cell r="G9">
            <v>100000</v>
          </cell>
          <cell r="H9">
            <v>99999.997226107342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65</v>
          </cell>
          <cell r="F12">
            <v>74.434838255977496</v>
          </cell>
          <cell r="G12">
            <v>64300</v>
          </cell>
          <cell r="H12">
            <v>63831.380470973309</v>
          </cell>
        </row>
        <row r="13">
          <cell r="E13">
            <v>43</v>
          </cell>
          <cell r="F13">
            <v>33.558135255508702</v>
          </cell>
          <cell r="G13">
            <v>46000</v>
          </cell>
          <cell r="H13">
            <v>51925.064022343504</v>
          </cell>
        </row>
        <row r="14">
          <cell r="E14">
            <v>0</v>
          </cell>
          <cell r="F14">
            <v>0</v>
          </cell>
        </row>
        <row r="15">
          <cell r="E15">
            <v>313</v>
          </cell>
          <cell r="F15">
            <v>319.25891936240032</v>
          </cell>
        </row>
        <row r="16">
          <cell r="E16">
            <v>720</v>
          </cell>
          <cell r="F16">
            <v>787.93014533520875</v>
          </cell>
          <cell r="G16">
            <v>14666.666666666666</v>
          </cell>
          <cell r="H16">
            <v>14657.523554804522</v>
          </cell>
        </row>
        <row r="17">
          <cell r="E17">
            <v>1020</v>
          </cell>
          <cell r="F17">
            <v>977.80707923112959</v>
          </cell>
          <cell r="G17">
            <v>14394.556042661781</v>
          </cell>
          <cell r="H17">
            <v>14540.532564592788</v>
          </cell>
        </row>
        <row r="19">
          <cell r="E19">
            <v>2.5</v>
          </cell>
          <cell r="F19">
            <v>2.6156575246132219</v>
          </cell>
        </row>
        <row r="20">
          <cell r="Q20">
            <v>53449.947163515018</v>
          </cell>
          <cell r="R20">
            <v>55974.628340365685</v>
          </cell>
        </row>
        <row r="21">
          <cell r="Q21">
            <v>17925.147799501628</v>
          </cell>
          <cell r="R21">
            <v>18375.816338490389</v>
          </cell>
        </row>
        <row r="22">
          <cell r="Q22">
            <v>105</v>
          </cell>
          <cell r="R22">
            <v>86.506094702297233</v>
          </cell>
        </row>
        <row r="50">
          <cell r="Q50">
            <v>77312.73762968331</v>
          </cell>
          <cell r="R50">
            <v>85856.029887482422</v>
          </cell>
        </row>
        <row r="56">
          <cell r="L56">
            <v>-72891.370903542018</v>
          </cell>
        </row>
        <row r="80">
          <cell r="H80">
            <v>34643.03</v>
          </cell>
          <cell r="I80">
            <v>32674.875</v>
          </cell>
          <cell r="L80">
            <v>1968.1550000000009</v>
          </cell>
        </row>
        <row r="85">
          <cell r="H85">
            <v>19238.434444444443</v>
          </cell>
          <cell r="I85">
            <v>20673.935640000003</v>
          </cell>
          <cell r="L85">
            <v>-1435.5011955555601</v>
          </cell>
          <cell r="Q85">
            <v>96193.432432432426</v>
          </cell>
          <cell r="R85">
            <v>95902.436005625888</v>
          </cell>
        </row>
        <row r="86">
          <cell r="H86">
            <v>295411.3894064143</v>
          </cell>
          <cell r="I86">
            <v>32553.125000000036</v>
          </cell>
          <cell r="K86">
            <v>-2482.7815135133801</v>
          </cell>
          <cell r="M86">
            <v>-188016.76579380326</v>
          </cell>
        </row>
        <row r="89">
          <cell r="Q89">
            <v>71480.094963016643</v>
          </cell>
          <cell r="R89">
            <v>74436.950773558376</v>
          </cell>
        </row>
      </sheetData>
      <sheetData sheetId="8">
        <row r="2">
          <cell r="N2">
            <v>22000</v>
          </cell>
        </row>
        <row r="5">
          <cell r="T5">
            <v>22000</v>
          </cell>
          <cell r="U5">
            <v>17425</v>
          </cell>
        </row>
        <row r="9">
          <cell r="E9">
            <v>202.58990051050932</v>
          </cell>
          <cell r="F9">
            <v>184.3906323748424</v>
          </cell>
          <cell r="G9">
            <v>100000</v>
          </cell>
          <cell r="H9">
            <v>100000.18949444892</v>
          </cell>
        </row>
        <row r="10">
          <cell r="E10">
            <v>50.432841122448409</v>
          </cell>
          <cell r="F10">
            <v>171.62071543132083</v>
          </cell>
          <cell r="G10">
            <v>92100</v>
          </cell>
          <cell r="H10">
            <v>92582.840981378671</v>
          </cell>
        </row>
        <row r="11">
          <cell r="E11">
            <v>0</v>
          </cell>
          <cell r="F11">
            <v>0</v>
          </cell>
        </row>
        <row r="12">
          <cell r="E12">
            <v>59.184999718174566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40.854853176324546</v>
          </cell>
          <cell r="F13">
            <v>34.715361438881907</v>
          </cell>
          <cell r="G13">
            <v>36500</v>
          </cell>
          <cell r="H13">
            <v>36500.007474497841</v>
          </cell>
        </row>
        <row r="14">
          <cell r="E14">
            <v>0</v>
          </cell>
          <cell r="F14">
            <v>0</v>
          </cell>
        </row>
        <row r="15">
          <cell r="E15">
            <v>353.06259452745684</v>
          </cell>
          <cell r="F15">
            <v>390.72670924504519</v>
          </cell>
        </row>
        <row r="16">
          <cell r="E16">
            <v>843.68586848062978</v>
          </cell>
          <cell r="F16">
            <v>879.68386596402718</v>
          </cell>
          <cell r="G16">
            <v>10737.308563108463</v>
          </cell>
          <cell r="H16">
            <v>11702.026830745535</v>
          </cell>
        </row>
        <row r="17">
          <cell r="E17">
            <v>889.67450029235943</v>
          </cell>
          <cell r="F17">
            <v>840.27379997708761</v>
          </cell>
          <cell r="G17">
            <v>17407.644303304787</v>
          </cell>
          <cell r="H17">
            <v>18054.467159753232</v>
          </cell>
        </row>
        <row r="19">
          <cell r="E19">
            <v>3.5348626964088972</v>
          </cell>
          <cell r="F19">
            <v>3.5150108832626898</v>
          </cell>
        </row>
        <row r="20">
          <cell r="Q20">
            <v>58025.45025231105</v>
          </cell>
          <cell r="R20">
            <v>64404.242181234971</v>
          </cell>
        </row>
        <row r="21">
          <cell r="Q21">
            <v>19638.390782828286</v>
          </cell>
          <cell r="R21">
            <v>20076.458643601785</v>
          </cell>
        </row>
        <row r="22">
          <cell r="Q22">
            <v>45.454545454545453</v>
          </cell>
          <cell r="R22">
            <v>0</v>
          </cell>
        </row>
        <row r="50">
          <cell r="Q50">
            <v>85054.492194863298</v>
          </cell>
          <cell r="R50">
            <v>94481.724882575334</v>
          </cell>
        </row>
        <row r="56">
          <cell r="L56">
            <v>-132390.90566450707</v>
          </cell>
        </row>
        <row r="80">
          <cell r="H80">
            <v>53297.16</v>
          </cell>
          <cell r="I80">
            <v>44731.489000000001</v>
          </cell>
          <cell r="L80">
            <v>8565.6709999999985</v>
          </cell>
        </row>
        <row r="85">
          <cell r="H85">
            <v>47248.159333333337</v>
          </cell>
          <cell r="I85">
            <v>78101.101840000003</v>
          </cell>
          <cell r="L85">
            <v>-30852.942506666663</v>
          </cell>
          <cell r="Q85">
            <v>107599.50263636363</v>
          </cell>
          <cell r="R85">
            <v>110640.80344332855</v>
          </cell>
        </row>
        <row r="86">
          <cell r="H86">
            <v>395444.91037967376</v>
          </cell>
          <cell r="I86">
            <v>190617.9769999999</v>
          </cell>
          <cell r="K86">
            <v>52994.666561363774</v>
          </cell>
          <cell r="M86">
            <v>-103143.42276986397</v>
          </cell>
        </row>
        <row r="89">
          <cell r="Q89">
            <v>77709.295580593884</v>
          </cell>
          <cell r="R89">
            <v>84480.700824836764</v>
          </cell>
        </row>
      </sheetData>
      <sheetData sheetId="9">
        <row r="2">
          <cell r="N2">
            <v>26000</v>
          </cell>
        </row>
        <row r="5">
          <cell r="T5">
            <v>26000</v>
          </cell>
          <cell r="U5">
            <v>20050</v>
          </cell>
        </row>
        <row r="9">
          <cell r="E9">
            <v>210.5</v>
          </cell>
          <cell r="F9">
            <v>230.29420784115453</v>
          </cell>
          <cell r="G9">
            <v>100000</v>
          </cell>
          <cell r="H9">
            <v>100003.27671164437</v>
          </cell>
        </row>
        <row r="10">
          <cell r="E10">
            <v>48.900000000000006</v>
          </cell>
          <cell r="F10">
            <v>58.671784253343745</v>
          </cell>
          <cell r="G10">
            <v>92100.000000000015</v>
          </cell>
          <cell r="H10">
            <v>92100.032023732987</v>
          </cell>
        </row>
        <row r="11">
          <cell r="E11">
            <v>0</v>
          </cell>
          <cell r="F11">
            <v>0</v>
          </cell>
        </row>
        <row r="12">
          <cell r="E12">
            <v>56.099999999999994</v>
          </cell>
          <cell r="F12">
            <v>33.354649997701841</v>
          </cell>
          <cell r="G12">
            <v>65000</v>
          </cell>
          <cell r="H12">
            <v>65357.609521724524</v>
          </cell>
        </row>
        <row r="13">
          <cell r="E13">
            <v>41.2</v>
          </cell>
          <cell r="F13">
            <v>33.737029002160249</v>
          </cell>
          <cell r="G13">
            <v>35199.999999999993</v>
          </cell>
          <cell r="H13">
            <v>35354.737374174132</v>
          </cell>
        </row>
        <row r="14">
          <cell r="E14">
            <v>0</v>
          </cell>
          <cell r="F14">
            <v>0</v>
          </cell>
        </row>
        <row r="15">
          <cell r="E15">
            <v>356.7</v>
          </cell>
          <cell r="F15">
            <v>356.05767109436039</v>
          </cell>
        </row>
        <row r="16">
          <cell r="E16">
            <v>820.69999999999993</v>
          </cell>
          <cell r="F16">
            <v>818.7914234499242</v>
          </cell>
          <cell r="G16">
            <v>10666.666666666666</v>
          </cell>
          <cell r="H16">
            <v>11100.582083808953</v>
          </cell>
        </row>
        <row r="17">
          <cell r="E17">
            <v>910.90000000000009</v>
          </cell>
          <cell r="F17">
            <v>913.06476076664978</v>
          </cell>
          <cell r="G17">
            <v>17810.722151239384</v>
          </cell>
          <cell r="H17">
            <v>19089.012335424897</v>
          </cell>
        </row>
        <row r="19">
          <cell r="E19">
            <v>4.8380000000000001</v>
          </cell>
          <cell r="F19">
            <v>3.3864613687548846</v>
          </cell>
        </row>
        <row r="20">
          <cell r="Q20">
            <v>59855.190140897292</v>
          </cell>
          <cell r="R20">
            <v>61255.875580273023</v>
          </cell>
        </row>
        <row r="21">
          <cell r="Q21">
            <v>16266.590087232355</v>
          </cell>
          <cell r="R21">
            <v>17233.711587075428</v>
          </cell>
        </row>
        <row r="22">
          <cell r="Q22">
            <v>76.923076923076934</v>
          </cell>
          <cell r="R22">
            <v>629.61630739532109</v>
          </cell>
        </row>
        <row r="50">
          <cell r="Q50">
            <v>82300.442023001437</v>
          </cell>
          <cell r="R50">
            <v>85793.60817208256</v>
          </cell>
        </row>
        <row r="56">
          <cell r="L56">
            <v>-82340.610100201025</v>
          </cell>
        </row>
        <row r="80">
          <cell r="H80">
            <v>48980</v>
          </cell>
          <cell r="I80">
            <v>47848.962</v>
          </cell>
          <cell r="L80">
            <v>1131.0379999999996</v>
          </cell>
        </row>
        <row r="85">
          <cell r="H85">
            <v>29220.166777777777</v>
          </cell>
          <cell r="I85">
            <v>51885.129860000001</v>
          </cell>
          <cell r="L85">
            <v>-22664.963082222221</v>
          </cell>
          <cell r="Q85">
            <v>103903.24615384615</v>
          </cell>
          <cell r="R85">
            <v>102695.87793896948</v>
          </cell>
        </row>
        <row r="86">
          <cell r="H86">
            <v>483472.74062418443</v>
          </cell>
          <cell r="I86">
            <v>225630.06199999998</v>
          </cell>
          <cell r="K86">
            <v>-24135.290615384583</v>
          </cell>
          <cell r="M86">
            <v>-129832.85282637674</v>
          </cell>
        </row>
        <row r="89">
          <cell r="Q89">
            <v>76198.703305052724</v>
          </cell>
          <cell r="R89">
            <v>79119.203474743772</v>
          </cell>
        </row>
      </sheetData>
      <sheetData sheetId="10">
        <row r="2">
          <cell r="N2">
            <v>11000</v>
          </cell>
        </row>
        <row r="5">
          <cell r="T5">
            <v>11000</v>
          </cell>
          <cell r="U5">
            <v>11781</v>
          </cell>
        </row>
        <row r="9">
          <cell r="E9">
            <v>158.38</v>
          </cell>
          <cell r="F9">
            <v>207.77439266615747</v>
          </cell>
          <cell r="G9">
            <v>100000</v>
          </cell>
          <cell r="H9">
            <v>100000.01348154797</v>
          </cell>
        </row>
        <row r="10">
          <cell r="E10">
            <v>152.32000000000002</v>
          </cell>
          <cell r="F10">
            <v>128.66395212630505</v>
          </cell>
          <cell r="G10">
            <v>92100</v>
          </cell>
          <cell r="H10">
            <v>92100.001423680049</v>
          </cell>
        </row>
        <row r="11">
          <cell r="E11">
            <v>0</v>
          </cell>
          <cell r="F11">
            <v>0</v>
          </cell>
        </row>
        <row r="12">
          <cell r="E12">
            <v>13.12</v>
          </cell>
          <cell r="F12">
            <v>3.0328512010864954</v>
          </cell>
          <cell r="G12">
            <v>64000</v>
          </cell>
          <cell r="H12">
            <v>63452.413404750398</v>
          </cell>
        </row>
        <row r="13">
          <cell r="E13">
            <v>19.18</v>
          </cell>
          <cell r="F13">
            <v>18.144473304473308</v>
          </cell>
          <cell r="G13">
            <v>35000</v>
          </cell>
          <cell r="H13">
            <v>34999.988772457182</v>
          </cell>
        </row>
        <row r="14">
          <cell r="E14">
            <v>0</v>
          </cell>
          <cell r="F14">
            <v>0</v>
          </cell>
        </row>
        <row r="15">
          <cell r="E15">
            <v>343.00000000000006</v>
          </cell>
          <cell r="F15">
            <v>357.61566929802234</v>
          </cell>
        </row>
        <row r="16">
          <cell r="E16">
            <v>830</v>
          </cell>
          <cell r="F16">
            <v>724.47160682454808</v>
          </cell>
          <cell r="G16">
            <v>9426.6666666666679</v>
          </cell>
          <cell r="H16">
            <v>9533.33403632103</v>
          </cell>
        </row>
        <row r="17">
          <cell r="E17">
            <v>890</v>
          </cell>
          <cell r="F17">
            <v>994.64901111959921</v>
          </cell>
          <cell r="G17">
            <v>17730.479017177098</v>
          </cell>
          <cell r="H17">
            <v>16437.184288050139</v>
          </cell>
        </row>
        <row r="19">
          <cell r="E19">
            <v>3.3</v>
          </cell>
          <cell r="F19">
            <v>2.9346362787539269</v>
          </cell>
        </row>
        <row r="20">
          <cell r="Q20">
            <v>57614.511658620948</v>
          </cell>
          <cell r="R20">
            <v>59926.634071810549</v>
          </cell>
        </row>
        <row r="21">
          <cell r="Q21">
            <v>18117.643482190328</v>
          </cell>
          <cell r="R21">
            <v>20499.883541295305</v>
          </cell>
        </row>
        <row r="22">
          <cell r="Q22">
            <v>445.45454545454544</v>
          </cell>
          <cell r="R22">
            <v>481.43790849673201</v>
          </cell>
        </row>
        <row r="50">
          <cell r="Q50">
            <v>84439.503133678809</v>
          </cell>
          <cell r="R50">
            <v>88369.761140819974</v>
          </cell>
        </row>
        <row r="56">
          <cell r="L56">
            <v>-42518.597932129771</v>
          </cell>
        </row>
        <row r="80">
          <cell r="H80">
            <v>34877.57</v>
          </cell>
          <cell r="I80">
            <v>39289.644999999997</v>
          </cell>
          <cell r="L80">
            <v>-4412.0749999999971</v>
          </cell>
        </row>
        <row r="85">
          <cell r="H85">
            <v>13037.444888888889</v>
          </cell>
          <cell r="I85">
            <v>16921.08265</v>
          </cell>
          <cell r="L85">
            <v>-3883.6377611111111</v>
          </cell>
          <cell r="Q85">
            <v>101000.2</v>
          </cell>
          <cell r="R85">
            <v>96092.581274934215</v>
          </cell>
        </row>
        <row r="86">
          <cell r="H86">
            <v>134252.65064064405</v>
          </cell>
          <cell r="I86">
            <v>38555.588000000003</v>
          </cell>
          <cell r="K86">
            <v>-57816.656199999983</v>
          </cell>
          <cell r="M86">
            <v>12933.90425259684</v>
          </cell>
        </row>
        <row r="89">
          <cell r="Q89">
            <v>76177.609686265816</v>
          </cell>
          <cell r="R89">
            <v>80907.955521602591</v>
          </cell>
        </row>
      </sheetData>
      <sheetData sheetId="11">
        <row r="2">
          <cell r="N2">
            <v>17000</v>
          </cell>
        </row>
        <row r="5">
          <cell r="T5">
            <v>17000</v>
          </cell>
          <cell r="U5">
            <v>17288</v>
          </cell>
        </row>
        <row r="9">
          <cell r="E9">
            <v>172.4</v>
          </cell>
          <cell r="F9">
            <v>200.74101595929227</v>
          </cell>
          <cell r="G9">
            <v>100000</v>
          </cell>
          <cell r="H9">
            <v>100002.9579891824</v>
          </cell>
        </row>
        <row r="10">
          <cell r="E10">
            <v>102.5</v>
          </cell>
          <cell r="F10">
            <v>81.318733086619645</v>
          </cell>
          <cell r="G10">
            <v>92100</v>
          </cell>
          <cell r="H10">
            <v>92099.986306875013</v>
          </cell>
        </row>
        <row r="11">
          <cell r="E11">
            <v>0</v>
          </cell>
          <cell r="F11">
            <v>0</v>
          </cell>
        </row>
        <row r="12">
          <cell r="E12">
            <v>44</v>
          </cell>
          <cell r="F12">
            <v>50.220371805250387</v>
          </cell>
          <cell r="G12">
            <v>63500</v>
          </cell>
          <cell r="H12">
            <v>63390.303665775777</v>
          </cell>
        </row>
        <row r="13">
          <cell r="E13">
            <v>39.5</v>
          </cell>
          <cell r="F13">
            <v>35.289041285995147</v>
          </cell>
          <cell r="G13">
            <v>35500</v>
          </cell>
          <cell r="H13">
            <v>35500.011240582084</v>
          </cell>
        </row>
        <row r="14">
          <cell r="E14">
            <v>0</v>
          </cell>
          <cell r="F14">
            <v>0</v>
          </cell>
        </row>
        <row r="15">
          <cell r="E15">
            <v>358.4</v>
          </cell>
          <cell r="F15">
            <v>367.56916213715749</v>
          </cell>
        </row>
        <row r="16">
          <cell r="E16">
            <v>795</v>
          </cell>
          <cell r="F16">
            <v>777.14814386492469</v>
          </cell>
          <cell r="G16">
            <v>10733.333333333332</v>
          </cell>
          <cell r="H16">
            <v>11326.831026785709</v>
          </cell>
        </row>
        <row r="17">
          <cell r="E17">
            <v>920</v>
          </cell>
          <cell r="F17">
            <v>955.87747195559086</v>
          </cell>
          <cell r="G17">
            <v>18315.171013635976</v>
          </cell>
          <cell r="H17">
            <v>19282.973235952344</v>
          </cell>
        </row>
        <row r="19">
          <cell r="E19">
            <v>3.05592</v>
          </cell>
          <cell r="F19">
            <v>3.2003209205504803</v>
          </cell>
        </row>
        <row r="20">
          <cell r="Q20">
            <v>58570.53253254509</v>
          </cell>
          <cell r="R20">
            <v>62001.70695038743</v>
          </cell>
        </row>
        <row r="21">
          <cell r="Q21">
            <v>19052.270915032677</v>
          </cell>
          <cell r="R21">
            <v>19711.588874754249</v>
          </cell>
        </row>
        <row r="22">
          <cell r="Q22">
            <v>264.70588235294116</v>
          </cell>
          <cell r="R22">
            <v>197.12692263212676</v>
          </cell>
        </row>
        <row r="50">
          <cell r="Q50">
            <v>85038.82956522482</v>
          </cell>
          <cell r="R50">
            <v>88566.904417717131</v>
          </cell>
        </row>
        <row r="56">
          <cell r="L56">
            <v>-52808.879396392746</v>
          </cell>
        </row>
        <row r="80">
          <cell r="H80">
            <v>45769.53</v>
          </cell>
          <cell r="I80">
            <v>43909.751000000004</v>
          </cell>
          <cell r="L80">
            <v>1859.7789999999959</v>
          </cell>
        </row>
        <row r="85">
          <cell r="H85">
            <v>24735.857777777783</v>
          </cell>
          <cell r="I85">
            <v>33064.968079999999</v>
          </cell>
          <cell r="L85">
            <v>-8329.1103022222178</v>
          </cell>
          <cell r="Q85">
            <v>104000</v>
          </cell>
          <cell r="R85">
            <v>100519.68995835261</v>
          </cell>
        </row>
        <row r="86">
          <cell r="H86">
            <v>251834.50961339992</v>
          </cell>
          <cell r="I86">
            <v>137849.5159999998</v>
          </cell>
          <cell r="K86">
            <v>-60167.600000000071</v>
          </cell>
          <cell r="M86">
            <v>5460.8170852152434</v>
          </cell>
        </row>
        <row r="89">
          <cell r="Q89">
            <v>77887.509329930705</v>
          </cell>
          <cell r="R89">
            <v>81910.422747773817</v>
          </cell>
        </row>
      </sheetData>
      <sheetData sheetId="12">
        <row r="2">
          <cell r="N2">
            <v>9000</v>
          </cell>
        </row>
        <row r="5">
          <cell r="T5">
            <v>9000</v>
          </cell>
          <cell r="U5">
            <v>11070</v>
          </cell>
        </row>
        <row r="9">
          <cell r="E9">
            <v>186.45288888888888</v>
          </cell>
          <cell r="F9">
            <v>262.51545528455296</v>
          </cell>
          <cell r="G9">
            <v>100000</v>
          </cell>
          <cell r="H9">
            <v>99912.335870763796</v>
          </cell>
        </row>
        <row r="10">
          <cell r="E10">
            <v>6.2796746666666658</v>
          </cell>
          <cell r="F10">
            <v>2.5185185185185186</v>
          </cell>
          <cell r="G10">
            <v>92100</v>
          </cell>
          <cell r="H10">
            <v>101458.03443328552</v>
          </cell>
        </row>
        <row r="11">
          <cell r="E11">
            <v>0</v>
          </cell>
          <cell r="F11">
            <v>0</v>
          </cell>
        </row>
        <row r="12">
          <cell r="E12">
            <v>88.130733333333353</v>
          </cell>
          <cell r="F12">
            <v>74.737942186088603</v>
          </cell>
          <cell r="G12">
            <v>62999.999999999993</v>
          </cell>
          <cell r="H12">
            <v>63458.195671761285</v>
          </cell>
        </row>
        <row r="13">
          <cell r="E13">
            <v>53.193000000000012</v>
          </cell>
          <cell r="F13">
            <v>20.831712737127358</v>
          </cell>
          <cell r="G13">
            <v>36000</v>
          </cell>
          <cell r="H13">
            <v>35999.99930617911</v>
          </cell>
        </row>
        <row r="14">
          <cell r="E14">
            <v>0</v>
          </cell>
          <cell r="F14">
            <v>0</v>
          </cell>
        </row>
        <row r="15">
          <cell r="E15">
            <v>334.05629688888894</v>
          </cell>
          <cell r="F15">
            <v>360.60362872628747</v>
          </cell>
        </row>
        <row r="16">
          <cell r="E16">
            <v>781.66666666666663</v>
          </cell>
          <cell r="F16">
            <v>798.36946702800367</v>
          </cell>
          <cell r="G16">
            <v>9066.6666666666661</v>
          </cell>
          <cell r="H16">
            <v>9569.5294723323841</v>
          </cell>
        </row>
        <row r="17">
          <cell r="E17">
            <v>889.92167555555568</v>
          </cell>
          <cell r="F17">
            <v>891.68518518518511</v>
          </cell>
          <cell r="G17">
            <v>17398.369447328696</v>
          </cell>
          <cell r="H17">
            <v>16619.82341120996</v>
          </cell>
        </row>
        <row r="19">
          <cell r="E19">
            <v>2.4969368444444444</v>
          </cell>
          <cell r="F19">
            <v>3.4075682023486888</v>
          </cell>
        </row>
        <row r="20">
          <cell r="Q20">
            <v>51122.000457256894</v>
          </cell>
          <cell r="R20">
            <v>57550.041192411925</v>
          </cell>
        </row>
        <row r="21">
          <cell r="Q21">
            <v>17357.066228070176</v>
          </cell>
          <cell r="R21">
            <v>18190.842095754291</v>
          </cell>
        </row>
        <row r="22">
          <cell r="Q22">
            <v>105.55555555555556</v>
          </cell>
          <cell r="R22">
            <v>21.369918699186993</v>
          </cell>
        </row>
        <row r="50">
          <cell r="Q50">
            <v>78443.666796438192</v>
          </cell>
          <cell r="R50">
            <v>84374.150948509487</v>
          </cell>
        </row>
        <row r="56">
          <cell r="L56">
            <v>-65650.4486734292</v>
          </cell>
        </row>
        <row r="80">
          <cell r="H80">
            <v>34746.870000000003</v>
          </cell>
          <cell r="I80">
            <v>27785.125000000004</v>
          </cell>
          <cell r="L80">
            <v>6961.7449999999981</v>
          </cell>
        </row>
        <row r="85">
          <cell r="H85">
            <v>11475.898111111112</v>
          </cell>
          <cell r="I85">
            <v>11188.05989</v>
          </cell>
          <cell r="L85">
            <v>287.83822111111101</v>
          </cell>
          <cell r="Q85">
            <v>97033.996666666673</v>
          </cell>
          <cell r="R85">
            <v>92374.685907859093</v>
          </cell>
        </row>
        <row r="86">
          <cell r="H86">
            <v>121090.20072094517</v>
          </cell>
          <cell r="I86">
            <v>49592.748000000051</v>
          </cell>
          <cell r="K86">
            <v>-51578.57009999991</v>
          </cell>
          <cell r="M86">
            <v>38481.982831372967</v>
          </cell>
        </row>
        <row r="89">
          <cell r="Q89">
            <v>68584.622240882629</v>
          </cell>
          <cell r="R89">
            <v>75762.253206865411</v>
          </cell>
        </row>
      </sheetData>
      <sheetData sheetId="13">
        <row r="2">
          <cell r="N2">
            <v>16000</v>
          </cell>
        </row>
        <row r="5">
          <cell r="T5">
            <v>16000</v>
          </cell>
          <cell r="U5">
            <v>13405.5</v>
          </cell>
        </row>
        <row r="9">
          <cell r="E9">
            <v>239.8</v>
          </cell>
          <cell r="F9">
            <v>228.93104322852557</v>
          </cell>
          <cell r="G9">
            <v>100000</v>
          </cell>
          <cell r="H9">
            <v>100000.22581122686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69.2</v>
          </cell>
          <cell r="F12">
            <v>84.351205102383318</v>
          </cell>
          <cell r="G12">
            <v>65000</v>
          </cell>
          <cell r="H12">
            <v>65056.794746461659</v>
          </cell>
        </row>
        <row r="13">
          <cell r="E13">
            <v>34.9</v>
          </cell>
          <cell r="F13">
            <v>40.867037410018241</v>
          </cell>
          <cell r="G13">
            <v>33000</v>
          </cell>
          <cell r="H13">
            <v>32999.992132783598</v>
          </cell>
        </row>
        <row r="14">
          <cell r="E14">
            <v>0</v>
          </cell>
          <cell r="F14">
            <v>0</v>
          </cell>
        </row>
        <row r="15">
          <cell r="E15">
            <v>343.9</v>
          </cell>
          <cell r="F15">
            <v>354.1492857409271</v>
          </cell>
        </row>
        <row r="16">
          <cell r="E16">
            <v>836.9</v>
          </cell>
          <cell r="F16">
            <v>823.10805266495197</v>
          </cell>
          <cell r="G16">
            <v>10400</v>
          </cell>
          <cell r="H16">
            <v>11310.722822503707</v>
          </cell>
        </row>
        <row r="17">
          <cell r="E17">
            <v>880.4</v>
          </cell>
          <cell r="F17">
            <v>893.12297191451273</v>
          </cell>
          <cell r="G17">
            <v>17019.566391856468</v>
          </cell>
          <cell r="H17">
            <v>17586.469953461023</v>
          </cell>
        </row>
        <row r="19">
          <cell r="E19">
            <v>3.09</v>
          </cell>
          <cell r="F19">
            <v>2.7932378501361375</v>
          </cell>
        </row>
        <row r="20">
          <cell r="Q20">
            <v>55782.28625139044</v>
          </cell>
          <cell r="R20">
            <v>57166.228935884523</v>
          </cell>
        </row>
        <row r="21">
          <cell r="Q21">
            <v>16565.951032801418</v>
          </cell>
          <cell r="R21">
            <v>16863.281265152364</v>
          </cell>
        </row>
        <row r="22">
          <cell r="Q22">
            <v>75</v>
          </cell>
          <cell r="R22">
            <v>108.94520905598448</v>
          </cell>
        </row>
        <row r="50">
          <cell r="Q50">
            <v>79538.161607542454</v>
          </cell>
          <cell r="R50">
            <v>82531.466636828161</v>
          </cell>
        </row>
        <row r="56">
          <cell r="L56">
            <v>-39862.061460089797</v>
          </cell>
        </row>
        <row r="80">
          <cell r="H80">
            <v>39406.69</v>
          </cell>
          <cell r="I80">
            <v>47804.741999999998</v>
          </cell>
          <cell r="L80">
            <v>-8398.0519999999997</v>
          </cell>
        </row>
        <row r="85">
          <cell r="H85">
            <v>32560.991888888886</v>
          </cell>
          <cell r="I85">
            <v>31586.92211</v>
          </cell>
          <cell r="L85">
            <v>974.0697788888865</v>
          </cell>
          <cell r="Q85">
            <v>101701.8125</v>
          </cell>
          <cell r="R85">
            <v>101375.93152064452</v>
          </cell>
        </row>
        <row r="86">
          <cell r="H86">
            <v>282650.73239043186</v>
          </cell>
          <cell r="I86">
            <v>173492.49899999984</v>
          </cell>
          <cell r="K86">
            <v>-4368.5974687499256</v>
          </cell>
          <cell r="M86">
            <v>-57503.592240481084</v>
          </cell>
        </row>
        <row r="89">
          <cell r="Q89">
            <v>72423.237284191855</v>
          </cell>
          <cell r="R89">
            <v>74138.455410092865</v>
          </cell>
        </row>
      </sheetData>
      <sheetData sheetId="14">
        <row r="2">
          <cell r="N2">
            <v>16000</v>
          </cell>
        </row>
        <row r="5">
          <cell r="T5">
            <v>16000</v>
          </cell>
          <cell r="U5">
            <v>12691</v>
          </cell>
        </row>
        <row r="9">
          <cell r="E9">
            <v>204</v>
          </cell>
          <cell r="F9">
            <v>229.56205815144611</v>
          </cell>
          <cell r="G9">
            <v>100000</v>
          </cell>
          <cell r="H9">
            <v>99999.999999999898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91.800000000000011</v>
          </cell>
          <cell r="F12">
            <v>94.795611062958017</v>
          </cell>
          <cell r="G12">
            <v>62500</v>
          </cell>
          <cell r="H12">
            <v>61370.117196185594</v>
          </cell>
        </row>
        <row r="13">
          <cell r="E13">
            <v>44.2</v>
          </cell>
          <cell r="F13">
            <v>44.932165314002063</v>
          </cell>
          <cell r="G13">
            <v>35499.999999999993</v>
          </cell>
          <cell r="H13">
            <v>35434.328893443424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369.28983452840623</v>
          </cell>
        </row>
        <row r="16">
          <cell r="E16">
            <v>771.29726976586358</v>
          </cell>
          <cell r="F16">
            <v>733.1380505870311</v>
          </cell>
          <cell r="G16">
            <v>10466.666666666666</v>
          </cell>
          <cell r="H16">
            <v>10922.395076231236</v>
          </cell>
        </row>
        <row r="17">
          <cell r="E17">
            <v>942.69666304716668</v>
          </cell>
          <cell r="F17">
            <v>930.05397525805688</v>
          </cell>
          <cell r="G17">
            <v>14718.131256952169</v>
          </cell>
          <cell r="H17">
            <v>15030.261922180334</v>
          </cell>
        </row>
        <row r="19">
          <cell r="E19">
            <v>2.72</v>
          </cell>
          <cell r="F19">
            <v>3.074576471515249</v>
          </cell>
        </row>
        <row r="20">
          <cell r="Q20">
            <v>51286.244645768384</v>
          </cell>
          <cell r="R20">
            <v>55059.433693168387</v>
          </cell>
        </row>
        <row r="21">
          <cell r="Q21">
            <v>17358.298750000002</v>
          </cell>
          <cell r="R21">
            <v>20245.766291072414</v>
          </cell>
        </row>
        <row r="22">
          <cell r="Q22">
            <v>318.75</v>
          </cell>
          <cell r="R22">
            <v>330.631471121267</v>
          </cell>
        </row>
        <row r="50">
          <cell r="Q50">
            <v>75968.478937435051</v>
          </cell>
          <cell r="R50">
            <v>85296.793239303428</v>
          </cell>
        </row>
        <row r="56">
          <cell r="L56">
            <v>-118385.6357550117</v>
          </cell>
        </row>
        <row r="80">
          <cell r="H80">
            <v>34111.94</v>
          </cell>
          <cell r="I80">
            <v>35681.637999999999</v>
          </cell>
          <cell r="L80">
            <v>-1569.698000000001</v>
          </cell>
        </row>
        <row r="85">
          <cell r="H85">
            <v>14967.475474676306</v>
          </cell>
          <cell r="I85">
            <v>14925.602050000001</v>
          </cell>
          <cell r="L85">
            <v>41.873424676305149</v>
          </cell>
          <cell r="Q85">
            <v>97759.999999999985</v>
          </cell>
          <cell r="R85">
            <v>103120.52162950122</v>
          </cell>
        </row>
        <row r="86">
          <cell r="H86">
            <v>299584.92152636265</v>
          </cell>
          <cell r="I86">
            <v>175593.69799999997</v>
          </cell>
          <cell r="K86">
            <v>68030.380000000194</v>
          </cell>
          <cell r="M86">
            <v>-72108.143196027406</v>
          </cell>
        </row>
        <row r="89">
          <cell r="Q89">
            <v>68963.293395768385</v>
          </cell>
          <cell r="R89">
            <v>75635.831455362058</v>
          </cell>
        </row>
      </sheetData>
      <sheetData sheetId="15">
        <row r="2">
          <cell r="N2">
            <v>10000</v>
          </cell>
        </row>
        <row r="5">
          <cell r="T5">
            <v>10000</v>
          </cell>
          <cell r="U5">
            <v>15045.5</v>
          </cell>
        </row>
        <row r="9">
          <cell r="E9">
            <v>218.4</v>
          </cell>
          <cell r="F9">
            <v>238.03011265826999</v>
          </cell>
          <cell r="G9">
            <v>100000</v>
          </cell>
          <cell r="H9">
            <v>100001.19258967273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98.5</v>
          </cell>
          <cell r="F12">
            <v>97.607660097703615</v>
          </cell>
          <cell r="G12">
            <v>61300</v>
          </cell>
          <cell r="H12">
            <v>61299.85777526164</v>
          </cell>
        </row>
        <row r="13">
          <cell r="E13">
            <v>35.200000000000003</v>
          </cell>
          <cell r="F13">
            <v>46.457384600046531</v>
          </cell>
          <cell r="G13">
            <v>37000</v>
          </cell>
          <cell r="H13">
            <v>36999.995049891513</v>
          </cell>
        </row>
        <row r="14">
          <cell r="E14">
            <v>0</v>
          </cell>
          <cell r="F14">
            <v>0</v>
          </cell>
        </row>
        <row r="15">
          <cell r="E15">
            <v>352.09999999999997</v>
          </cell>
          <cell r="F15">
            <v>382.09515735602014</v>
          </cell>
        </row>
        <row r="16">
          <cell r="E16">
            <v>724</v>
          </cell>
          <cell r="F16">
            <v>789.65551161476844</v>
          </cell>
          <cell r="G16">
            <v>10546.666666666666</v>
          </cell>
          <cell r="H16">
            <v>11780.793268983927</v>
          </cell>
        </row>
        <row r="17">
          <cell r="E17">
            <v>968</v>
          </cell>
          <cell r="F17">
            <v>864.75231796882815</v>
          </cell>
          <cell r="G17">
            <v>18681.860814127729</v>
          </cell>
          <cell r="H17">
            <v>19621.082866772562</v>
          </cell>
        </row>
        <row r="19">
          <cell r="E19">
            <v>3.2</v>
          </cell>
          <cell r="F19">
            <v>3.1663593765577751</v>
          </cell>
        </row>
        <row r="20">
          <cell r="Q20">
            <v>56820.277934742306</v>
          </cell>
          <cell r="R20">
            <v>60427.069156890764</v>
          </cell>
        </row>
        <row r="21">
          <cell r="Q21">
            <v>20991.184300366298</v>
          </cell>
          <cell r="R21">
            <v>20588.356319165196</v>
          </cell>
        </row>
        <row r="22">
          <cell r="Q22">
            <v>260</v>
          </cell>
          <cell r="R22">
            <v>237.92835066963545</v>
          </cell>
        </row>
        <row r="50">
          <cell r="Q50">
            <v>87455.069617001951</v>
          </cell>
          <cell r="R50">
            <v>87219.234588415129</v>
          </cell>
        </row>
        <row r="56">
          <cell r="L56">
            <v>3548.2428026027146</v>
          </cell>
        </row>
        <row r="80">
          <cell r="H80">
            <v>26085.420000000002</v>
          </cell>
          <cell r="I80">
            <v>26809.27</v>
          </cell>
          <cell r="L80">
            <v>-723.8499999999965</v>
          </cell>
        </row>
        <row r="85">
          <cell r="H85">
            <v>12710.483222222223</v>
          </cell>
          <cell r="I85">
            <v>13339.889880000001</v>
          </cell>
          <cell r="L85">
            <v>-629.40665777777758</v>
          </cell>
          <cell r="Q85">
            <v>101258.51400000001</v>
          </cell>
          <cell r="R85">
            <v>105872.99192449571</v>
          </cell>
        </row>
        <row r="86">
          <cell r="H86">
            <v>99238.54060775823</v>
          </cell>
          <cell r="I86">
            <v>240505.93300000014</v>
          </cell>
          <cell r="K86">
            <v>69427.127613000092</v>
          </cell>
          <cell r="M86">
            <v>69645.278634416696</v>
          </cell>
        </row>
        <row r="89">
          <cell r="Q89">
            <v>78071.4622351086</v>
          </cell>
          <cell r="R89">
            <v>81253.353826725594</v>
          </cell>
        </row>
      </sheetData>
      <sheetData sheetId="16">
        <row r="2">
          <cell r="N2">
            <v>24000</v>
          </cell>
        </row>
        <row r="5">
          <cell r="T5">
            <v>24000</v>
          </cell>
          <cell r="U5">
            <v>24195</v>
          </cell>
        </row>
        <row r="9">
          <cell r="E9">
            <v>245.70416666666665</v>
          </cell>
          <cell r="F9">
            <v>300.91350994195398</v>
          </cell>
          <cell r="G9">
            <v>100000</v>
          </cell>
          <cell r="H9">
            <v>100702.81209096704</v>
          </cell>
        </row>
        <row r="10">
          <cell r="E10">
            <v>32.523333333333326</v>
          </cell>
          <cell r="F10">
            <v>0</v>
          </cell>
          <cell r="G10">
            <v>87100.000000000015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50.558333333333337</v>
          </cell>
          <cell r="F12">
            <v>42.6165262854555</v>
          </cell>
          <cell r="G12">
            <v>64500</v>
          </cell>
          <cell r="H12">
            <v>64427.93883187804</v>
          </cell>
        </row>
        <row r="13">
          <cell r="E13">
            <v>32.523333333333326</v>
          </cell>
          <cell r="F13">
            <v>37.695364126631247</v>
          </cell>
          <cell r="G13">
            <v>42000</v>
          </cell>
          <cell r="H13">
            <v>40351.704859616337</v>
          </cell>
        </row>
        <row r="14">
          <cell r="E14">
            <v>0</v>
          </cell>
          <cell r="F14">
            <v>0</v>
          </cell>
        </row>
        <row r="15">
          <cell r="E15">
            <v>361.30916666666661</v>
          </cell>
          <cell r="F15">
            <v>381.22540035404074</v>
          </cell>
        </row>
        <row r="16">
          <cell r="E16">
            <v>854.9133333333333</v>
          </cell>
          <cell r="F16">
            <v>874.65913301222679</v>
          </cell>
          <cell r="G16">
            <v>10933.333333333334</v>
          </cell>
          <cell r="H16">
            <v>11406.33054767773</v>
          </cell>
        </row>
        <row r="17">
          <cell r="E17">
            <v>864.74416666666662</v>
          </cell>
          <cell r="F17">
            <v>865.46169363138574</v>
          </cell>
          <cell r="G17">
            <v>13742.253874325719</v>
          </cell>
          <cell r="H17">
            <v>13329.441091227538</v>
          </cell>
        </row>
        <row r="19">
          <cell r="E19">
            <v>3.0019333333333331</v>
          </cell>
          <cell r="F19">
            <v>3.106636202708823</v>
          </cell>
        </row>
        <row r="20">
          <cell r="Q20">
            <v>55812.421152453346</v>
          </cell>
          <cell r="R20">
            <v>58705.202791157222</v>
          </cell>
        </row>
        <row r="21">
          <cell r="Q21">
            <v>20629.190336879434</v>
          </cell>
          <cell r="R21">
            <v>16788.771890823762</v>
          </cell>
        </row>
        <row r="22">
          <cell r="Q22">
            <v>166.66666666666666</v>
          </cell>
          <cell r="R22">
            <v>216.56848215388416</v>
          </cell>
        </row>
        <row r="50">
          <cell r="Q50">
            <v>82332.817837534109</v>
          </cell>
          <cell r="R50">
            <v>82551.019225227457</v>
          </cell>
        </row>
        <row r="56">
          <cell r="L56">
            <v>-4953.6203608623373</v>
          </cell>
        </row>
        <row r="80">
          <cell r="H80">
            <v>40161.259999999995</v>
          </cell>
          <cell r="I80">
            <v>46049.059000000008</v>
          </cell>
          <cell r="L80">
            <v>-5887.7990000000063</v>
          </cell>
        </row>
        <row r="85">
          <cell r="H85">
            <v>34063.269</v>
          </cell>
          <cell r="I85">
            <v>35610.350060000004</v>
          </cell>
          <cell r="L85">
            <v>-1547.0810600000041</v>
          </cell>
          <cell r="Q85">
            <v>101000.15</v>
          </cell>
          <cell r="R85">
            <v>102242.86088034717</v>
          </cell>
        </row>
        <row r="86">
          <cell r="H86">
            <v>373791.44289918093</v>
          </cell>
          <cell r="I86">
            <v>395110.46199999977</v>
          </cell>
          <cell r="K86">
            <v>30067.389749999977</v>
          </cell>
          <cell r="M86">
            <v>3640.1297716808476</v>
          </cell>
        </row>
        <row r="89">
          <cell r="Q89">
            <v>76608.278155999447</v>
          </cell>
          <cell r="R89">
            <v>75710.54316413487</v>
          </cell>
        </row>
      </sheetData>
      <sheetData sheetId="17">
        <row r="2">
          <cell r="N2">
            <v>5000</v>
          </cell>
        </row>
        <row r="5">
          <cell r="T5">
            <v>5000</v>
          </cell>
          <cell r="U5">
            <v>5172.5</v>
          </cell>
        </row>
        <row r="9">
          <cell r="E9">
            <v>259.90000000000003</v>
          </cell>
          <cell r="F9">
            <v>290.23547800869994</v>
          </cell>
          <cell r="G9">
            <v>100000</v>
          </cell>
          <cell r="H9">
            <v>100000.03463796308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44.4</v>
          </cell>
          <cell r="F12">
            <v>41.548386660222334</v>
          </cell>
          <cell r="G12">
            <v>64000</v>
          </cell>
          <cell r="H12">
            <v>63989.707645137103</v>
          </cell>
        </row>
        <row r="13">
          <cell r="E13">
            <v>39.199999999999996</v>
          </cell>
          <cell r="F13">
            <v>38.314751087481888</v>
          </cell>
          <cell r="G13">
            <v>49000</v>
          </cell>
          <cell r="H13">
            <v>49000.007821052284</v>
          </cell>
        </row>
        <row r="14">
          <cell r="E14">
            <v>0</v>
          </cell>
          <cell r="F14">
            <v>0</v>
          </cell>
        </row>
        <row r="15">
          <cell r="E15">
            <v>343.5</v>
          </cell>
          <cell r="F15">
            <v>370.09861575640417</v>
          </cell>
        </row>
        <row r="16">
          <cell r="E16">
            <v>815.9</v>
          </cell>
          <cell r="F16">
            <v>835.63518608023196</v>
          </cell>
          <cell r="G16">
            <v>13666.666666666666</v>
          </cell>
          <cell r="H16">
            <v>14193.213695505865</v>
          </cell>
        </row>
        <row r="17">
          <cell r="E17">
            <v>953.30000000000007</v>
          </cell>
          <cell r="F17">
            <v>929.44166263895568</v>
          </cell>
          <cell r="G17">
            <v>13419.354838709678</v>
          </cell>
          <cell r="H17">
            <v>14184.373828012145</v>
          </cell>
        </row>
        <row r="19">
          <cell r="E19">
            <v>2.871</v>
          </cell>
          <cell r="F19">
            <v>2.8504881585306903</v>
          </cell>
        </row>
        <row r="20">
          <cell r="Q20">
            <v>56418.304301075266</v>
          </cell>
          <cell r="R20">
            <v>60493.710778153698</v>
          </cell>
        </row>
        <row r="21">
          <cell r="Q21">
            <v>16191.588212446835</v>
          </cell>
          <cell r="R21">
            <v>14140.192170130496</v>
          </cell>
        </row>
        <row r="22">
          <cell r="Q22">
            <v>300</v>
          </cell>
          <cell r="R22">
            <v>385.55302078298695</v>
          </cell>
        </row>
        <row r="50">
          <cell r="Q50">
            <v>87060.11084249265</v>
          </cell>
          <cell r="R50">
            <v>87681.470855485735</v>
          </cell>
        </row>
        <row r="56">
          <cell r="L56">
            <v>-3213.9892272067359</v>
          </cell>
        </row>
        <row r="80">
          <cell r="H80">
            <v>9826.630000000001</v>
          </cell>
          <cell r="I80">
            <v>12225.679</v>
          </cell>
          <cell r="L80">
            <v>-2399.0489999999995</v>
          </cell>
        </row>
        <row r="85">
          <cell r="H85">
            <v>5428.9927777777775</v>
          </cell>
          <cell r="I85">
            <v>5795.0674399999998</v>
          </cell>
          <cell r="L85">
            <v>-366.07466222222229</v>
          </cell>
          <cell r="Q85">
            <v>107900</v>
          </cell>
          <cell r="R85">
            <v>114543.57564040599</v>
          </cell>
        </row>
        <row r="86">
          <cell r="H86">
            <v>88943.823009758897</v>
          </cell>
          <cell r="I86">
            <v>120923.48599999999</v>
          </cell>
          <cell r="K86">
            <v>34363.894999999997</v>
          </cell>
          <cell r="M86">
            <v>3594.8808796700141</v>
          </cell>
        </row>
        <row r="89">
          <cell r="Q89">
            <v>72909.892513522107</v>
          </cell>
          <cell r="R89">
            <v>75019.455969067189</v>
          </cell>
        </row>
      </sheetData>
      <sheetData sheetId="18">
        <row r="2">
          <cell r="N2">
            <v>7000</v>
          </cell>
        </row>
        <row r="5">
          <cell r="T5">
            <v>7000</v>
          </cell>
          <cell r="U5">
            <v>7211</v>
          </cell>
        </row>
        <row r="9">
          <cell r="E9">
            <v>213.5</v>
          </cell>
          <cell r="F9">
            <v>250.57398973790046</v>
          </cell>
          <cell r="G9">
            <v>100000</v>
          </cell>
          <cell r="H9">
            <v>100000</v>
          </cell>
        </row>
        <row r="10">
          <cell r="E10">
            <v>14</v>
          </cell>
          <cell r="F10">
            <v>40.45209124947997</v>
          </cell>
          <cell r="G10">
            <v>95000</v>
          </cell>
          <cell r="H10">
            <v>93524.33045687378</v>
          </cell>
        </row>
        <row r="11">
          <cell r="E11">
            <v>0</v>
          </cell>
          <cell r="F11">
            <v>0</v>
          </cell>
        </row>
        <row r="12">
          <cell r="E12">
            <v>89</v>
          </cell>
          <cell r="F12">
            <v>69.535014561087237</v>
          </cell>
          <cell r="G12">
            <v>64899.999999999993</v>
          </cell>
          <cell r="H12">
            <v>64903.26544379758</v>
          </cell>
        </row>
        <row r="13">
          <cell r="E13">
            <v>23</v>
          </cell>
          <cell r="F13">
            <v>8.4302510054084046</v>
          </cell>
          <cell r="G13">
            <v>37500</v>
          </cell>
          <cell r="H13">
            <v>39529.571541887934</v>
          </cell>
        </row>
        <row r="14">
          <cell r="E14">
            <v>0</v>
          </cell>
          <cell r="F14">
            <v>0</v>
          </cell>
        </row>
        <row r="15">
          <cell r="E15">
            <v>339.5</v>
          </cell>
          <cell r="F15">
            <v>368.9913465538761</v>
          </cell>
        </row>
        <row r="16">
          <cell r="E16">
            <v>785</v>
          </cell>
          <cell r="F16">
            <v>802.65011787546791</v>
          </cell>
          <cell r="G16">
            <v>13666.666666666666</v>
          </cell>
          <cell r="H16">
            <v>14091.143780742965</v>
          </cell>
        </row>
        <row r="17">
          <cell r="E17">
            <v>935</v>
          </cell>
          <cell r="F17">
            <v>916.20094300374433</v>
          </cell>
          <cell r="G17">
            <v>14837.329653268933</v>
          </cell>
          <cell r="H17">
            <v>15388.670937567402</v>
          </cell>
        </row>
        <row r="19">
          <cell r="E19">
            <v>2.84</v>
          </cell>
          <cell r="F19">
            <v>2.8920676743863543</v>
          </cell>
        </row>
        <row r="20">
          <cell r="Q20">
            <v>56475.836559139789</v>
          </cell>
          <cell r="R20">
            <v>61010.560393842752</v>
          </cell>
        </row>
        <row r="21">
          <cell r="Q21">
            <v>13171.534241531663</v>
          </cell>
          <cell r="R21">
            <v>14093.748439883513</v>
          </cell>
        </row>
        <row r="22">
          <cell r="Q22">
            <v>64.285714285714278</v>
          </cell>
          <cell r="R22">
            <v>59.122729163777556</v>
          </cell>
        </row>
        <row r="50">
          <cell r="Q50">
            <v>77699.402644109869</v>
          </cell>
          <cell r="R50">
            <v>83561.154624878662</v>
          </cell>
        </row>
        <row r="56">
          <cell r="L56">
            <v>-42269.095183323734</v>
          </cell>
        </row>
        <row r="80">
          <cell r="H80">
            <v>10003.150000000001</v>
          </cell>
          <cell r="I80">
            <v>10972.724</v>
          </cell>
          <cell r="L80">
            <v>-969.57400000000075</v>
          </cell>
        </row>
        <row r="85">
          <cell r="H85">
            <v>10246.369555555555</v>
          </cell>
          <cell r="I85">
            <v>10469.77635</v>
          </cell>
          <cell r="L85">
            <v>-223.40679444444504</v>
          </cell>
          <cell r="Q85">
            <v>108999.86128571429</v>
          </cell>
          <cell r="R85">
            <v>119960.37304118706</v>
          </cell>
        </row>
        <row r="86">
          <cell r="H86">
            <v>198853.6909356754</v>
          </cell>
          <cell r="I86">
            <v>241032.26199999999</v>
          </cell>
          <cell r="K86">
            <v>79036.250268714182</v>
          </cell>
          <cell r="M86">
            <v>6604.3967733785321</v>
          </cell>
        </row>
        <row r="89">
          <cell r="Q89">
            <v>69711.656514957169</v>
          </cell>
          <cell r="R89">
            <v>75163.431562890037</v>
          </cell>
        </row>
      </sheetData>
      <sheetData sheetId="19">
        <row r="2">
          <cell r="N2">
            <v>10000</v>
          </cell>
        </row>
        <row r="5">
          <cell r="T5">
            <v>10000</v>
          </cell>
          <cell r="U5">
            <v>8073.5</v>
          </cell>
        </row>
        <row r="9">
          <cell r="E9">
            <v>234.51999999999998</v>
          </cell>
          <cell r="F9">
            <v>177.34019074750722</v>
          </cell>
          <cell r="G9">
            <v>100000</v>
          </cell>
          <cell r="H9">
            <v>99910.41211120307</v>
          </cell>
        </row>
        <row r="10">
          <cell r="E10">
            <v>13.440000000000001</v>
          </cell>
          <cell r="F10">
            <v>54.051156251935353</v>
          </cell>
          <cell r="G10">
            <v>93100</v>
          </cell>
          <cell r="H10">
            <v>95921.935462004956</v>
          </cell>
        </row>
        <row r="11">
          <cell r="E11">
            <v>0</v>
          </cell>
          <cell r="F11">
            <v>0</v>
          </cell>
        </row>
        <row r="12">
          <cell r="E12">
            <v>58.15</v>
          </cell>
          <cell r="F12">
            <v>56.912989409797483</v>
          </cell>
          <cell r="G12">
            <v>65000</v>
          </cell>
          <cell r="H12">
            <v>64999.831768914832</v>
          </cell>
        </row>
        <row r="13">
          <cell r="E13">
            <v>28.91</v>
          </cell>
          <cell r="F13">
            <v>24.830622406638994</v>
          </cell>
          <cell r="G13">
            <v>36000</v>
          </cell>
          <cell r="H13">
            <v>35999.994612661067</v>
          </cell>
        </row>
        <row r="14">
          <cell r="E14">
            <v>0</v>
          </cell>
          <cell r="F14">
            <v>0</v>
          </cell>
        </row>
        <row r="15">
          <cell r="E15">
            <v>335.02</v>
          </cell>
          <cell r="F15">
            <v>313.13495881587909</v>
          </cell>
        </row>
        <row r="16">
          <cell r="E16">
            <v>764.48</v>
          </cell>
          <cell r="F16">
            <v>635.02446274849854</v>
          </cell>
          <cell r="G16">
            <v>12533.333333333336</v>
          </cell>
          <cell r="H16">
            <v>12943.825765037922</v>
          </cell>
        </row>
        <row r="17">
          <cell r="E17">
            <v>980.37000000000012</v>
          </cell>
          <cell r="F17">
            <v>1104.5859912057965</v>
          </cell>
          <cell r="G17">
            <v>14400.083562466927</v>
          </cell>
          <cell r="H17">
            <v>14920.791892687443</v>
          </cell>
        </row>
        <row r="19">
          <cell r="E19">
            <v>2.75</v>
          </cell>
          <cell r="F19">
            <v>2.3714807704217504</v>
          </cell>
        </row>
        <row r="20">
          <cell r="Q20">
            <v>55175.166588802371</v>
          </cell>
          <cell r="R20">
            <v>54488.900724592808</v>
          </cell>
        </row>
        <row r="21">
          <cell r="Q21">
            <v>17135.006413978495</v>
          </cell>
          <cell r="R21">
            <v>17338.381990462625</v>
          </cell>
        </row>
        <row r="22">
          <cell r="Q22">
            <v>300</v>
          </cell>
          <cell r="R22">
            <v>45.683160958692014</v>
          </cell>
        </row>
        <row r="50">
          <cell r="Q50">
            <v>81553.627384532942</v>
          </cell>
          <cell r="R50">
            <v>83307.770235957141</v>
          </cell>
        </row>
        <row r="56">
          <cell r="L56">
            <v>-14162.075220973376</v>
          </cell>
        </row>
        <row r="80">
          <cell r="H80">
            <v>24445.47</v>
          </cell>
          <cell r="I80">
            <v>28718.807000000001</v>
          </cell>
          <cell r="L80">
            <v>-4273.3369999999986</v>
          </cell>
        </row>
        <row r="85">
          <cell r="H85">
            <v>23608.662666666667</v>
          </cell>
          <cell r="I85">
            <v>20936.249090000001</v>
          </cell>
          <cell r="L85">
            <v>2672.4135766666677</v>
          </cell>
          <cell r="Q85">
            <v>103006.91399999999</v>
          </cell>
          <cell r="R85">
            <v>95009.847030408127</v>
          </cell>
        </row>
        <row r="86">
          <cell r="H86">
            <v>166478.73348800404</v>
          </cell>
          <cell r="I86">
            <v>44821.658000000025</v>
          </cell>
          <cell r="K86">
            <v>-64564.3201789999</v>
          </cell>
          <cell r="M86">
            <v>-41329.756664697285</v>
          </cell>
        </row>
        <row r="89">
          <cell r="Q89">
            <v>72610.173002780866</v>
          </cell>
          <cell r="R89">
            <v>71872.965876014132</v>
          </cell>
        </row>
      </sheetData>
      <sheetData sheetId="20">
        <row r="2">
          <cell r="N2">
            <v>6000</v>
          </cell>
        </row>
        <row r="5">
          <cell r="T5">
            <v>6000</v>
          </cell>
          <cell r="U5">
            <v>3901.5</v>
          </cell>
        </row>
        <row r="9">
          <cell r="E9">
            <v>342.69999999999993</v>
          </cell>
          <cell r="F9">
            <v>321.86339869281045</v>
          </cell>
          <cell r="G9">
            <v>117000</v>
          </cell>
          <cell r="H9">
            <v>116999.98658172462</v>
          </cell>
        </row>
        <row r="10">
          <cell r="E10">
            <v>0</v>
          </cell>
          <cell r="F10">
            <v>7.0675406894784061</v>
          </cell>
          <cell r="G10">
            <v>0</v>
          </cell>
          <cell r="H10">
            <v>116999.99383477411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342.69999999999993</v>
          </cell>
          <cell r="F15">
            <v>328.93093938228884</v>
          </cell>
        </row>
        <row r="16">
          <cell r="E16">
            <v>709.7</v>
          </cell>
          <cell r="F16">
            <v>840.76893502499092</v>
          </cell>
          <cell r="G16">
            <v>18143.333333333336</v>
          </cell>
          <cell r="H16">
            <v>18104.995945443337</v>
          </cell>
        </row>
        <row r="17">
          <cell r="E17">
            <v>1038.3</v>
          </cell>
          <cell r="F17">
            <v>927.1293092400357</v>
          </cell>
          <cell r="G17">
            <v>18433.378210746429</v>
          </cell>
          <cell r="H17">
            <v>20296.546633510221</v>
          </cell>
        </row>
        <row r="19">
          <cell r="E19">
            <v>3.04</v>
          </cell>
          <cell r="F19">
            <v>3.6354094579008063</v>
          </cell>
        </row>
        <row r="20">
          <cell r="Q20">
            <v>74451.600262884676</v>
          </cell>
          <cell r="R20">
            <v>75382.948353197484</v>
          </cell>
        </row>
        <row r="21">
          <cell r="Q21">
            <v>16626.410256410258</v>
          </cell>
          <cell r="R21">
            <v>16136.695886197618</v>
          </cell>
        </row>
        <row r="22">
          <cell r="Q22">
            <v>0</v>
          </cell>
          <cell r="R22">
            <v>488.92989875688835</v>
          </cell>
        </row>
        <row r="50">
          <cell r="Q50">
            <v>102191.98285262828</v>
          </cell>
          <cell r="R50">
            <v>108637.75547866206</v>
          </cell>
        </row>
        <row r="56">
          <cell r="L56">
            <v>-25148.193820470853</v>
          </cell>
        </row>
        <row r="80">
          <cell r="H80">
            <v>14681.390000000001</v>
          </cell>
          <cell r="I80">
            <v>13896.8</v>
          </cell>
          <cell r="L80">
            <v>784.59000000000106</v>
          </cell>
        </row>
        <row r="85">
          <cell r="H85">
            <v>10192.983842236315</v>
          </cell>
          <cell r="I85">
            <v>12135.299080000001</v>
          </cell>
          <cell r="L85">
            <v>-1942.3152377636852</v>
          </cell>
          <cell r="Q85">
            <v>126800</v>
          </cell>
          <cell r="R85">
            <v>122740.07663719082</v>
          </cell>
        </row>
        <row r="86">
          <cell r="H86">
            <v>122773.72904199411</v>
          </cell>
          <cell r="I86">
            <v>28988.094999999983</v>
          </cell>
          <cell r="K86">
            <v>-15839.790999999996</v>
          </cell>
          <cell r="M86">
            <v>-51639.923983759596</v>
          </cell>
        </row>
        <row r="89">
          <cell r="Q89">
            <v>91078.010519294941</v>
          </cell>
          <cell r="R89">
            <v>92008.574138151991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99152.128821664402</v>
          </cell>
        </row>
        <row r="89">
          <cell r="Q89">
            <v>73170.19251228722</v>
          </cell>
        </row>
        <row r="90">
          <cell r="Q90">
            <v>25981.936309377183</v>
          </cell>
        </row>
      </sheetData>
      <sheetData sheetId="1">
        <row r="5">
          <cell r="T5">
            <v>115353</v>
          </cell>
        </row>
        <row r="85">
          <cell r="Q85">
            <v>95276.160428088042</v>
          </cell>
        </row>
        <row r="89">
          <cell r="Q89">
            <v>72664.040542312432</v>
          </cell>
        </row>
        <row r="90">
          <cell r="Q90">
            <v>22612.11988577561</v>
          </cell>
        </row>
      </sheetData>
      <sheetData sheetId="2">
        <row r="5">
          <cell r="T5">
            <v>111930.5</v>
          </cell>
        </row>
        <row r="85">
          <cell r="Q85">
            <v>101161.29260188452</v>
          </cell>
        </row>
        <row r="89">
          <cell r="Q89">
            <v>72915.571788187837</v>
          </cell>
        </row>
        <row r="90">
          <cell r="Q90">
            <v>28245.72081369668</v>
          </cell>
        </row>
      </sheetData>
      <sheetData sheetId="3">
        <row r="5">
          <cell r="T5">
            <v>41475.5</v>
          </cell>
        </row>
        <row r="85">
          <cell r="Q85">
            <v>104529.84050467912</v>
          </cell>
        </row>
        <row r="89">
          <cell r="Q89">
            <v>75291.445695551258</v>
          </cell>
        </row>
        <row r="90">
          <cell r="Q90">
            <v>29238.394809127858</v>
          </cell>
        </row>
      </sheetData>
      <sheetData sheetId="4">
        <row r="85">
          <cell r="Q85">
            <v>94593.287458139777</v>
          </cell>
        </row>
        <row r="89">
          <cell r="Q89">
            <v>73484.458686383514</v>
          </cell>
        </row>
      </sheetData>
      <sheetData sheetId="5">
        <row r="85">
          <cell r="Q85">
            <v>97701.903426010977</v>
          </cell>
        </row>
        <row r="89">
          <cell r="Q89">
            <v>74386.721076507747</v>
          </cell>
        </row>
      </sheetData>
      <sheetData sheetId="6">
        <row r="85">
          <cell r="Q85">
            <v>94486.183048135776</v>
          </cell>
        </row>
        <row r="89">
          <cell r="Q89">
            <v>72143.806274346134</v>
          </cell>
        </row>
      </sheetData>
      <sheetData sheetId="7">
        <row r="85">
          <cell r="Q85">
            <v>92182.423526623475</v>
          </cell>
        </row>
        <row r="89">
          <cell r="Q89">
            <v>66553.840338126087</v>
          </cell>
        </row>
      </sheetData>
      <sheetData sheetId="8">
        <row r="85">
          <cell r="Q85">
            <v>106241.7095777549</v>
          </cell>
        </row>
        <row r="89">
          <cell r="Q89">
            <v>74764.118858212445</v>
          </cell>
        </row>
      </sheetData>
      <sheetData sheetId="9">
        <row r="85">
          <cell r="Q85">
            <v>106819.94344957586</v>
          </cell>
        </row>
        <row r="89">
          <cell r="Q89">
            <v>75936.262268300343</v>
          </cell>
        </row>
      </sheetData>
      <sheetData sheetId="10">
        <row r="85">
          <cell r="Q85">
            <v>99506.850031374182</v>
          </cell>
        </row>
        <row r="89">
          <cell r="Q89">
            <v>75075.388935369163</v>
          </cell>
        </row>
      </sheetData>
      <sheetData sheetId="11">
        <row r="85">
          <cell r="Q85">
            <v>105697.36099258189</v>
          </cell>
        </row>
        <row r="89">
          <cell r="Q89">
            <v>77276.29721220072</v>
          </cell>
        </row>
      </sheetData>
      <sheetData sheetId="12">
        <row r="85">
          <cell r="Q85">
            <v>96370.282346230626</v>
          </cell>
        </row>
        <row r="89">
          <cell r="Q89">
            <v>69998.175777165132</v>
          </cell>
        </row>
      </sheetData>
      <sheetData sheetId="13">
        <row r="85">
          <cell r="Q85">
            <v>96065.302501626342</v>
          </cell>
        </row>
        <row r="89">
          <cell r="Q89">
            <v>67976.161511621031</v>
          </cell>
        </row>
      </sheetData>
      <sheetData sheetId="14">
        <row r="85">
          <cell r="Q85">
            <v>96148.150847148849</v>
          </cell>
        </row>
        <row r="89">
          <cell r="Q89">
            <v>68492.830934596466</v>
          </cell>
        </row>
      </sheetData>
      <sheetData sheetId="15">
        <row r="85">
          <cell r="Q85">
            <v>95552.436413462361</v>
          </cell>
        </row>
        <row r="89">
          <cell r="Q89">
            <v>75027.189517855615</v>
          </cell>
        </row>
      </sheetData>
      <sheetData sheetId="16">
        <row r="85">
          <cell r="Q85">
            <v>98479.176629741181</v>
          </cell>
        </row>
        <row r="89">
          <cell r="Q89">
            <v>76785.689512630779</v>
          </cell>
        </row>
      </sheetData>
      <sheetData sheetId="17">
        <row r="85">
          <cell r="Q85">
            <v>102654.58541946513</v>
          </cell>
        </row>
        <row r="89">
          <cell r="Q89">
            <v>66452.560507998525</v>
          </cell>
        </row>
      </sheetData>
      <sheetData sheetId="18">
        <row r="85">
          <cell r="Q85">
            <v>103400.05552810988</v>
          </cell>
        </row>
        <row r="89">
          <cell r="Q89">
            <v>66178.643217073419</v>
          </cell>
        </row>
      </sheetData>
      <sheetData sheetId="19">
        <row r="85">
          <cell r="Q85">
            <v>110108.41921138452</v>
          </cell>
        </row>
        <row r="89">
          <cell r="Q89">
            <v>73699.284508293844</v>
          </cell>
        </row>
      </sheetData>
      <sheetData sheetId="20">
        <row r="85">
          <cell r="Q85">
            <v>122769.29722410292</v>
          </cell>
        </row>
        <row r="89">
          <cell r="Q89">
            <v>87515.061811212276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Q3">
            <v>61066.957999999999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Q5">
            <v>61066.957999999999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Q6">
            <v>50650238.614000008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Q7">
            <v>10068148.121999998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Q8">
            <v>60718386.736000001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9672935.4979999997</v>
          </cell>
          <cell r="Q9">
            <v>49533821.870000005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1520077.4580000006</v>
          </cell>
          <cell r="Q10">
            <v>9830247.2690000013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Q11">
            <v>59364069.139000006</v>
          </cell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80872.994000000879</v>
          </cell>
          <cell r="Q12">
            <v>1116416.7440000027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40762.702999997884</v>
          </cell>
          <cell r="Q13">
            <v>237900.85299999639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Q14">
            <v>1354317.5969999954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Q15">
            <v>468530.35</v>
          </cell>
          <cell r="S15">
            <v>0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Q16">
            <v>105595.06600000001</v>
          </cell>
          <cell r="S16">
            <v>0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Q17">
            <v>51281.35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Q18">
            <v>625406.76599999995</v>
          </cell>
          <cell r="S18">
            <v>0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Q19">
            <v>84502.927999999985</v>
          </cell>
          <cell r="S19">
            <v>0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Q20">
            <v>13109.863999999998</v>
          </cell>
          <cell r="S20">
            <v>0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Q21">
            <v>24418.801999999996</v>
          </cell>
          <cell r="S21">
            <v>0</v>
          </cell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Q22">
            <v>1300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Q23">
            <v>11293.68</v>
          </cell>
          <cell r="S23">
            <v>0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Q24">
            <v>2803.4269999999997</v>
          </cell>
          <cell r="S24">
            <v>0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Q25">
            <v>1774.4350000000002</v>
          </cell>
          <cell r="S25">
            <v>0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Q26">
            <v>22788.370000000003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Q28">
            <v>65536.62999999999</v>
          </cell>
          <cell r="S28">
            <v>0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Q29">
            <v>904.99900000000002</v>
          </cell>
          <cell r="S29">
            <v>0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Q30">
            <v>42104.778000000006</v>
          </cell>
          <cell r="S30">
            <v>0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Q31">
            <v>51482.845999999998</v>
          </cell>
          <cell r="S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Q33">
            <v>-6654.8429999999998</v>
          </cell>
          <cell r="S33">
            <v>0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Q36">
            <v>315365.91599999997</v>
          </cell>
          <cell r="S36">
            <v>0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Q37">
            <v>940772.68199999991</v>
          </cell>
          <cell r="S37">
            <v>0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Q38">
            <v>413544.9149999955</v>
          </cell>
          <cell r="S38">
            <v>0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Q39">
            <v>37992.096000000005</v>
          </cell>
          <cell r="S39">
            <v>0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Q40">
            <v>375552.81899999548</v>
          </cell>
          <cell r="S40">
            <v>0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Q41">
            <v>6.1851580581822304E-3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Q43">
            <v>829421.34785885364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>
            <v>1.847120545626342E-2</v>
          </cell>
          <cell r="I44">
            <v>2.607951153265552E-2</v>
          </cell>
          <cell r="J44">
            <v>3.568968550509475E-2</v>
          </cell>
          <cell r="K44">
            <v>1.0750284938609023E-2</v>
          </cell>
          <cell r="Q44">
            <v>2.230490086781273E-2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>
            <v>169136.37199999997</v>
          </cell>
          <cell r="I49">
            <v>132554.527</v>
          </cell>
          <cell r="J49">
            <v>130827.359</v>
          </cell>
          <cell r="K49">
            <v>161205.31300000002</v>
          </cell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>
            <v>199136.37199999997</v>
          </cell>
          <cell r="I50">
            <v>162554.527</v>
          </cell>
          <cell r="J50">
            <v>160827.359</v>
          </cell>
          <cell r="K50">
            <v>191205.31300000002</v>
          </cell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>
            <v>0.82915389810182005</v>
          </cell>
          <cell r="I52">
            <v>0.81243687934850584</v>
          </cell>
          <cell r="J52">
            <v>0.79591306854871746</v>
          </cell>
          <cell r="K52">
            <v>0.86205138057149011</v>
          </cell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>
            <v>0.17084610189818</v>
          </cell>
          <cell r="I53">
            <v>0.18756312065149416</v>
          </cell>
          <cell r="J53">
            <v>0.20408693145128257</v>
          </cell>
          <cell r="K53">
            <v>0.13794861942850986</v>
          </cell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>
            <v>2.0045029420160843E-2</v>
          </cell>
          <cell r="I55">
            <v>2.7812889049050216E-2</v>
          </cell>
          <cell r="J55">
            <v>3.0345726629506187E-2</v>
          </cell>
          <cell r="K55">
            <v>2.6115872732209833E-2</v>
          </cell>
        </row>
        <row r="57">
          <cell r="E57">
            <v>2.7823178707229314E-2</v>
          </cell>
          <cell r="F57">
            <v>2.7130154457106714E-2</v>
          </cell>
          <cell r="G57">
            <v>1.8797000201944851E-2</v>
          </cell>
          <cell r="H57">
            <v>1.8146921038230335E-2</v>
          </cell>
          <cell r="I57">
            <v>2.5679335587291203E-2</v>
          </cell>
          <cell r="J57">
            <v>3.7059976070507129E-2</v>
          </cell>
          <cell r="K57">
            <v>8.2914272990219449E-3</v>
          </cell>
        </row>
        <row r="58">
          <cell r="E58">
            <v>2.2005694548837322E-2</v>
          </cell>
          <cell r="F58">
            <v>1.5188168703492945E-2</v>
          </cell>
          <cell r="G58">
            <v>1.7650951996336726E-2</v>
          </cell>
          <cell r="H58">
            <v>2.0045029420160815E-2</v>
          </cell>
          <cell r="I58">
            <v>2.7812889049050205E-2</v>
          </cell>
          <cell r="J58">
            <v>3.0345726629506131E-2</v>
          </cell>
          <cell r="K58">
            <v>2.6115872732209847E-2</v>
          </cell>
        </row>
        <row r="59">
          <cell r="E59">
            <v>2.6651369945751794E-2</v>
          </cell>
          <cell r="F59">
            <v>2.5582238806566245E-2</v>
          </cell>
          <cell r="G59">
            <v>1.8641220384622476E-2</v>
          </cell>
          <cell r="H59">
            <v>1.847120545626342E-2</v>
          </cell>
          <cell r="I59">
            <v>2.607951153265552E-2</v>
          </cell>
          <cell r="J59">
            <v>3.568968550509475E-2</v>
          </cell>
          <cell r="K59">
            <v>1.0750284938609023E-2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8">
          <cell r="G8">
            <v>12986.909999999998</v>
          </cell>
        </row>
        <row r="9">
          <cell r="G9">
            <v>9753808.4920000006</v>
          </cell>
          <cell r="J9">
            <v>1560840.1609999985</v>
          </cell>
        </row>
        <row r="10">
          <cell r="F10">
            <v>975352.11267605633</v>
          </cell>
          <cell r="G10">
            <v>751049.2097042331</v>
          </cell>
        </row>
        <row r="11">
          <cell r="G11">
            <v>9672935.4979999997</v>
          </cell>
          <cell r="J11">
            <v>1520077.4580000006</v>
          </cell>
        </row>
        <row r="15">
          <cell r="F15">
            <v>2.3191335740072202E-2</v>
          </cell>
          <cell r="G15">
            <v>8.2914272990219449E-3</v>
          </cell>
        </row>
        <row r="19">
          <cell r="M19">
            <v>89008.37</v>
          </cell>
        </row>
        <row r="37">
          <cell r="M37">
            <v>66646.558000000005</v>
          </cell>
        </row>
        <row r="40">
          <cell r="M40">
            <v>5550.3850000000002</v>
          </cell>
        </row>
        <row r="41">
          <cell r="M41">
            <v>-39569.616000001253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  <row r="10">
          <cell r="G10">
            <v>1025254.3120930659</v>
          </cell>
        </row>
        <row r="15">
          <cell r="G15">
            <v>2.4765464081284817E-2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4063</v>
          </cell>
        </row>
        <row r="48">
          <cell r="Q48">
            <v>18249.090710905504</v>
          </cell>
          <cell r="R48">
            <v>10914</v>
          </cell>
        </row>
        <row r="53">
          <cell r="R53">
            <v>107210.5</v>
          </cell>
        </row>
        <row r="54">
          <cell r="R54">
            <v>317680</v>
          </cell>
        </row>
        <row r="64">
          <cell r="R64">
            <v>3650</v>
          </cell>
        </row>
        <row r="65">
          <cell r="R65">
            <v>2240</v>
          </cell>
        </row>
        <row r="66">
          <cell r="R66">
            <v>1232</v>
          </cell>
        </row>
        <row r="76">
          <cell r="R76">
            <v>116800</v>
          </cell>
        </row>
        <row r="77">
          <cell r="R77">
            <v>62720</v>
          </cell>
        </row>
        <row r="78">
          <cell r="R78">
            <v>33880</v>
          </cell>
        </row>
        <row r="79">
          <cell r="R79">
            <v>104280</v>
          </cell>
        </row>
        <row r="80">
          <cell r="R80">
            <v>0</v>
          </cell>
        </row>
        <row r="81">
          <cell r="I81">
            <v>64377.341931792369</v>
          </cell>
        </row>
        <row r="82">
          <cell r="R82">
            <v>65242.550999999999</v>
          </cell>
        </row>
      </sheetData>
      <sheetData sheetId="1">
        <row r="59">
          <cell r="F59">
            <v>1200</v>
          </cell>
          <cell r="I59">
            <v>720</v>
          </cell>
          <cell r="N59">
            <v>32300</v>
          </cell>
          <cell r="O59">
            <v>1920</v>
          </cell>
        </row>
        <row r="60">
          <cell r="F60">
            <v>0</v>
          </cell>
          <cell r="I60">
            <v>0</v>
          </cell>
        </row>
        <row r="61">
          <cell r="F61">
            <v>8550</v>
          </cell>
          <cell r="I61">
            <v>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8550</v>
          </cell>
          <cell r="I66">
            <v>0</v>
          </cell>
          <cell r="N66">
            <v>18311.16416</v>
          </cell>
          <cell r="O66">
            <v>8550</v>
          </cell>
        </row>
        <row r="71">
          <cell r="F71">
            <v>16200</v>
          </cell>
          <cell r="I71">
            <v>6480</v>
          </cell>
        </row>
        <row r="72">
          <cell r="F72">
            <v>145350</v>
          </cell>
          <cell r="I72">
            <v>0</v>
          </cell>
        </row>
        <row r="86">
          <cell r="F86">
            <v>-9580.4447867279177</v>
          </cell>
          <cell r="I86">
            <v>-2309.8476285373208</v>
          </cell>
        </row>
        <row r="87">
          <cell r="F87">
            <v>-49342.381438612239</v>
          </cell>
          <cell r="I87">
            <v>0</v>
          </cell>
        </row>
      </sheetData>
      <sheetData sheetId="2">
        <row r="59">
          <cell r="F59">
            <v>5536</v>
          </cell>
          <cell r="I59">
            <v>4832</v>
          </cell>
          <cell r="L59">
            <v>1241</v>
          </cell>
          <cell r="N59">
            <v>20000</v>
          </cell>
          <cell r="O59">
            <v>11609</v>
          </cell>
        </row>
        <row r="60">
          <cell r="F60">
            <v>8150</v>
          </cell>
          <cell r="I60">
            <v>6300</v>
          </cell>
          <cell r="L60">
            <v>0</v>
          </cell>
        </row>
        <row r="61">
          <cell r="F61">
            <v>3600</v>
          </cell>
          <cell r="I61">
            <v>5360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496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11750</v>
          </cell>
          <cell r="I66">
            <v>12156</v>
          </cell>
          <cell r="L66">
            <v>0</v>
          </cell>
          <cell r="N66">
            <v>22799.509732629442</v>
          </cell>
          <cell r="O66">
            <v>23906</v>
          </cell>
        </row>
        <row r="71">
          <cell r="F71">
            <v>71968</v>
          </cell>
          <cell r="I71">
            <v>91808</v>
          </cell>
          <cell r="L71">
            <v>34127.5</v>
          </cell>
        </row>
        <row r="72">
          <cell r="F72">
            <v>185825</v>
          </cell>
          <cell r="I72">
            <v>264674</v>
          </cell>
          <cell r="L72">
            <v>0</v>
          </cell>
        </row>
        <row r="86">
          <cell r="F86">
            <v>-44232.923551315878</v>
          </cell>
          <cell r="I86">
            <v>-12775.249159686362</v>
          </cell>
          <cell r="L86">
            <v>4813.3760625666546</v>
          </cell>
        </row>
        <row r="87">
          <cell r="F87">
            <v>-61932.020867972213</v>
          </cell>
          <cell r="I87">
            <v>425.47936640781518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10">
          <cell r="I10">
            <v>6725</v>
          </cell>
        </row>
        <row r="47">
          <cell r="R47">
            <v>5465</v>
          </cell>
        </row>
        <row r="48">
          <cell r="R48">
            <v>14721</v>
          </cell>
        </row>
      </sheetData>
      <sheetData sheetId="1"/>
      <sheetData sheetId="2">
        <row r="8">
          <cell r="F8">
            <v>21100</v>
          </cell>
        </row>
        <row r="59">
          <cell r="O59">
            <v>7088</v>
          </cell>
        </row>
        <row r="66">
          <cell r="O66">
            <v>16772</v>
          </cell>
        </row>
      </sheetData>
      <sheetData sheetId="3"/>
      <sheetData sheetId="4">
        <row r="8">
          <cell r="F8">
            <v>3996</v>
          </cell>
        </row>
        <row r="59">
          <cell r="O59">
            <v>0</v>
          </cell>
        </row>
        <row r="66">
          <cell r="O66">
            <v>3532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101652.14113861213</v>
          </cell>
          <cell r="R85">
            <v>101427.41265986627</v>
          </cell>
        </row>
        <row r="89">
          <cell r="Q89">
            <v>76570.613063646801</v>
          </cell>
          <cell r="R89">
            <v>79121.804284466911</v>
          </cell>
        </row>
      </sheetData>
      <sheetData sheetId="1">
        <row r="85">
          <cell r="Q85">
            <v>99311.420194992723</v>
          </cell>
          <cell r="R85">
            <v>99296.299959522148</v>
          </cell>
        </row>
        <row r="89">
          <cell r="Q89">
            <v>78100.725484550348</v>
          </cell>
          <cell r="R89">
            <v>80978.927443523047</v>
          </cell>
        </row>
      </sheetData>
      <sheetData sheetId="2">
        <row r="85">
          <cell r="Q85">
            <v>102071.90418742689</v>
          </cell>
          <cell r="R85">
            <v>101505.26641947271</v>
          </cell>
        </row>
        <row r="89">
          <cell r="Q89">
            <v>75372.945460314746</v>
          </cell>
          <cell r="R89">
            <v>78824.379452576482</v>
          </cell>
        </row>
      </sheetData>
      <sheetData sheetId="3">
        <row r="85">
          <cell r="Q85">
            <v>105861.19225144507</v>
          </cell>
          <cell r="R85">
            <v>105499.25552457728</v>
          </cell>
        </row>
        <row r="89">
          <cell r="Q89">
            <v>76100.681325028912</v>
          </cell>
          <cell r="R89">
            <v>76159.404299075104</v>
          </cell>
        </row>
      </sheetData>
      <sheetData sheetId="4">
        <row r="2">
          <cell r="N2">
            <v>284000</v>
          </cell>
        </row>
        <row r="85">
          <cell r="Q85">
            <v>99964.208802816895</v>
          </cell>
          <cell r="R85">
            <v>99509.439789497264</v>
          </cell>
        </row>
        <row r="89">
          <cell r="Q89">
            <v>79129.06571014371</v>
          </cell>
          <cell r="R89">
            <v>81474.350449743972</v>
          </cell>
        </row>
      </sheetData>
      <sheetData sheetId="5">
        <row r="2">
          <cell r="N2">
            <v>215000</v>
          </cell>
        </row>
        <row r="85">
          <cell r="Q85">
            <v>101229.52641860466</v>
          </cell>
          <cell r="R85">
            <v>100212.69037722176</v>
          </cell>
        </row>
        <row r="89">
          <cell r="Q89">
            <v>81283.385601461618</v>
          </cell>
          <cell r="R89">
            <v>82061.112299007873</v>
          </cell>
        </row>
      </sheetData>
      <sheetData sheetId="6">
        <row r="2">
          <cell r="N2">
            <v>174000</v>
          </cell>
        </row>
        <row r="85">
          <cell r="Q85">
            <v>98272.456213889964</v>
          </cell>
          <cell r="R85">
            <v>98269.313494768227</v>
          </cell>
        </row>
        <row r="89">
          <cell r="Q89">
            <v>76335.988282381659</v>
          </cell>
          <cell r="R89">
            <v>81410.231990832239</v>
          </cell>
        </row>
      </sheetData>
      <sheetData sheetId="7">
        <row r="2">
          <cell r="N2">
            <v>102500</v>
          </cell>
        </row>
        <row r="85">
          <cell r="Q85">
            <v>95243.078048780488</v>
          </cell>
          <cell r="R85">
            <v>98569.377893982732</v>
          </cell>
        </row>
        <row r="89">
          <cell r="Q89">
            <v>71571.395962334893</v>
          </cell>
          <cell r="R89">
            <v>75733.316676969785</v>
          </cell>
        </row>
      </sheetData>
      <sheetData sheetId="8">
        <row r="2">
          <cell r="N2">
            <v>135000</v>
          </cell>
        </row>
        <row r="85">
          <cell r="Q85">
            <v>107599.98352777776</v>
          </cell>
          <cell r="R85">
            <v>107057.11265751993</v>
          </cell>
        </row>
        <row r="89">
          <cell r="Q89">
            <v>78482.742769633405</v>
          </cell>
          <cell r="R89">
            <v>83555.49452781376</v>
          </cell>
        </row>
      </sheetData>
      <sheetData sheetId="9">
        <row r="2">
          <cell r="N2">
            <v>167000</v>
          </cell>
        </row>
        <row r="85">
          <cell r="Q85">
            <v>103703.31760479041</v>
          </cell>
          <cell r="R85">
            <v>101283.39407467014</v>
          </cell>
        </row>
        <row r="89">
          <cell r="Q89">
            <v>77129.807872249294</v>
          </cell>
          <cell r="R89">
            <v>79088.307145512867</v>
          </cell>
        </row>
      </sheetData>
      <sheetData sheetId="10">
        <row r="2">
          <cell r="N2">
            <v>80000</v>
          </cell>
        </row>
        <row r="85">
          <cell r="Q85">
            <v>101000.04250000003</v>
          </cell>
          <cell r="R85">
            <v>97228.123368762404</v>
          </cell>
        </row>
        <row r="89">
          <cell r="Q89">
            <v>76391.226840456497</v>
          </cell>
          <cell r="R89">
            <v>79599.415297815402</v>
          </cell>
        </row>
      </sheetData>
      <sheetData sheetId="11">
        <row r="2">
          <cell r="N2">
            <v>122000</v>
          </cell>
        </row>
        <row r="85">
          <cell r="Q85">
            <v>104000</v>
          </cell>
          <cell r="R85">
            <v>101836.24504499343</v>
          </cell>
        </row>
        <row r="89">
          <cell r="Q89">
            <v>78312.550180268227</v>
          </cell>
          <cell r="R89">
            <v>81998.952934648376</v>
          </cell>
        </row>
      </sheetData>
      <sheetData sheetId="12">
        <row r="2">
          <cell r="N2">
            <v>72500</v>
          </cell>
        </row>
        <row r="85">
          <cell r="Q85">
            <v>96570.767227586199</v>
          </cell>
          <cell r="R85">
            <v>93546.770096665336</v>
          </cell>
        </row>
        <row r="89">
          <cell r="Q89">
            <v>70639.122501799488</v>
          </cell>
          <cell r="R89">
            <v>73438.275425813015</v>
          </cell>
        </row>
      </sheetData>
      <sheetData sheetId="13">
        <row r="2">
          <cell r="N2">
            <v>115000</v>
          </cell>
        </row>
        <row r="85">
          <cell r="Q85">
            <v>100516.81739130434</v>
          </cell>
          <cell r="R85">
            <v>101487.32132481116</v>
          </cell>
        </row>
        <row r="89">
          <cell r="Q89">
            <v>72209.567033241794</v>
          </cell>
          <cell r="R89">
            <v>74881.71654906297</v>
          </cell>
        </row>
      </sheetData>
      <sheetData sheetId="14">
        <row r="2">
          <cell r="N2">
            <v>108500</v>
          </cell>
        </row>
        <row r="85">
          <cell r="Q85">
            <v>97781.93548387097</v>
          </cell>
          <cell r="R85">
            <v>101707.48573710685</v>
          </cell>
        </row>
        <row r="89">
          <cell r="Q89">
            <v>69848.169969911076</v>
          </cell>
          <cell r="R89">
            <v>74973.944493538293</v>
          </cell>
        </row>
      </sheetData>
      <sheetData sheetId="15">
        <row r="2">
          <cell r="N2">
            <v>55000</v>
          </cell>
        </row>
        <row r="85">
          <cell r="Q85">
            <v>99797.604363636347</v>
          </cell>
          <cell r="R85">
            <v>104653.12546658468</v>
          </cell>
        </row>
        <row r="89">
          <cell r="Q89">
            <v>78156.870524274389</v>
          </cell>
          <cell r="R89">
            <v>80632.855619407041</v>
          </cell>
        </row>
      </sheetData>
      <sheetData sheetId="16">
        <row r="2">
          <cell r="N2">
            <v>151000</v>
          </cell>
        </row>
        <row r="85">
          <cell r="Q85">
            <v>100999.99271523178</v>
          </cell>
          <cell r="R85">
            <v>101804.27057995724</v>
          </cell>
        </row>
        <row r="89">
          <cell r="Q89">
            <v>76455.416605698978</v>
          </cell>
          <cell r="R89">
            <v>77661.374835053095</v>
          </cell>
        </row>
      </sheetData>
      <sheetData sheetId="17">
        <row r="2">
          <cell r="N2">
            <v>35000</v>
          </cell>
        </row>
        <row r="85">
          <cell r="Q85">
            <v>107900</v>
          </cell>
          <cell r="R85">
            <v>112428.34793044455</v>
          </cell>
        </row>
        <row r="89">
          <cell r="Q89">
            <v>73498.624781108563</v>
          </cell>
          <cell r="R89">
            <v>73710.191915838921</v>
          </cell>
        </row>
      </sheetData>
      <sheetData sheetId="18">
        <row r="2">
          <cell r="N2">
            <v>45000</v>
          </cell>
        </row>
        <row r="85">
          <cell r="Q85">
            <v>109068.18137777776</v>
          </cell>
          <cell r="R85">
            <v>112608.63117311684</v>
          </cell>
        </row>
        <row r="89">
          <cell r="Q89">
            <v>69652.403665096266</v>
          </cell>
          <cell r="R89">
            <v>72129.022231660099</v>
          </cell>
        </row>
      </sheetData>
      <sheetData sheetId="19">
        <row r="2">
          <cell r="N2">
            <v>79000</v>
          </cell>
        </row>
        <row r="85">
          <cell r="Q85">
            <v>102903.86654430379</v>
          </cell>
          <cell r="R85">
            <v>95709.773647954396</v>
          </cell>
        </row>
        <row r="89">
          <cell r="Q89">
            <v>73713.733093606119</v>
          </cell>
          <cell r="R89">
            <v>71276.829356749178</v>
          </cell>
        </row>
      </sheetData>
      <sheetData sheetId="20">
        <row r="2">
          <cell r="N2">
            <v>36000</v>
          </cell>
        </row>
        <row r="85">
          <cell r="Q85">
            <v>126750</v>
          </cell>
          <cell r="R85">
            <v>126214.50385482149</v>
          </cell>
        </row>
        <row r="89">
          <cell r="Q89">
            <v>90440.913453790054</v>
          </cell>
          <cell r="R89">
            <v>89489.173744260741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95871.986733029829</v>
          </cell>
        </row>
        <row r="89">
          <cell r="Q89">
            <v>71455.028901929982</v>
          </cell>
        </row>
      </sheetData>
      <sheetData sheetId="1">
        <row r="85">
          <cell r="Q85">
            <v>92423.210947942018</v>
          </cell>
        </row>
        <row r="89">
          <cell r="Q89">
            <v>72643.54096309765</v>
          </cell>
        </row>
      </sheetData>
      <sheetData sheetId="2">
        <row r="85">
          <cell r="Q85">
            <v>97480.60162494595</v>
          </cell>
        </row>
        <row r="89">
          <cell r="Q89">
            <v>70954.607676811705</v>
          </cell>
        </row>
      </sheetData>
      <sheetData sheetId="3">
        <row r="85">
          <cell r="Q85">
            <v>99672.851767340311</v>
          </cell>
        </row>
        <row r="89">
          <cell r="Q89">
            <v>70008.282583670749</v>
          </cell>
        </row>
      </sheetData>
      <sheetData sheetId="4">
        <row r="85">
          <cell r="Q85">
            <v>92372.674321200218</v>
          </cell>
        </row>
        <row r="89">
          <cell r="Q89">
            <v>72551.074262163544</v>
          </cell>
        </row>
      </sheetData>
      <sheetData sheetId="5">
        <row r="85">
          <cell r="Q85">
            <v>94780.813739116376</v>
          </cell>
        </row>
        <row r="89">
          <cell r="Q89">
            <v>75126.066490202575</v>
          </cell>
        </row>
      </sheetData>
      <sheetData sheetId="6">
        <row r="85">
          <cell r="Q85">
            <v>91179.996462157011</v>
          </cell>
        </row>
        <row r="89">
          <cell r="Q89">
            <v>72614.642887152833</v>
          </cell>
        </row>
      </sheetData>
      <sheetData sheetId="7">
        <row r="85">
          <cell r="Q85">
            <v>88941.75655137279</v>
          </cell>
        </row>
        <row r="89">
          <cell r="Q89">
            <v>67151.104041714294</v>
          </cell>
        </row>
      </sheetData>
      <sheetData sheetId="8">
        <row r="85">
          <cell r="Q85">
            <v>102185.22764301627</v>
          </cell>
        </row>
        <row r="89">
          <cell r="Q89">
            <v>72926.760690517593</v>
          </cell>
        </row>
      </sheetData>
      <sheetData sheetId="9">
        <row r="85">
          <cell r="Q85">
            <v>100197.91906657776</v>
          </cell>
        </row>
        <row r="89">
          <cell r="Q89">
            <v>73392.192804844381</v>
          </cell>
        </row>
      </sheetData>
      <sheetData sheetId="10">
        <row r="85">
          <cell r="Q85">
            <v>97181.754578282184</v>
          </cell>
        </row>
        <row r="89">
          <cell r="Q89">
            <v>73243.428284326379</v>
          </cell>
        </row>
      </sheetData>
      <sheetData sheetId="11">
        <row r="85">
          <cell r="Q85">
            <v>100524.55826892894</v>
          </cell>
        </row>
        <row r="89">
          <cell r="Q89">
            <v>74556.083524163565</v>
          </cell>
        </row>
      </sheetData>
      <sheetData sheetId="12">
        <row r="85">
          <cell r="Q85">
            <v>93926.945319370046</v>
          </cell>
        </row>
        <row r="89">
          <cell r="Q89">
            <v>67953.754990508533</v>
          </cell>
        </row>
      </sheetData>
      <sheetData sheetId="13">
        <row r="85">
          <cell r="Q85">
            <v>94639.596444699302</v>
          </cell>
        </row>
        <row r="89">
          <cell r="Q89">
            <v>66741.988589122397</v>
          </cell>
        </row>
      </sheetData>
      <sheetData sheetId="14">
        <row r="85">
          <cell r="Q85">
            <v>92855.856226942225</v>
          </cell>
        </row>
        <row r="89">
          <cell r="Q89">
            <v>66396.553854749392</v>
          </cell>
        </row>
      </sheetData>
      <sheetData sheetId="15">
        <row r="85">
          <cell r="Q85">
            <v>94442.568792554695</v>
          </cell>
        </row>
        <row r="89">
          <cell r="Q89">
            <v>72919.314177262015</v>
          </cell>
        </row>
      </sheetData>
      <sheetData sheetId="16">
        <row r="85">
          <cell r="Q85">
            <v>95630.256428141336</v>
          </cell>
        </row>
        <row r="89">
          <cell r="Q89">
            <v>69556.548450732749</v>
          </cell>
        </row>
      </sheetData>
      <sheetData sheetId="17">
        <row r="85">
          <cell r="Q85">
            <v>101184.08230533899</v>
          </cell>
        </row>
        <row r="89">
          <cell r="Q89">
            <v>66587.082157539873</v>
          </cell>
        </row>
      </sheetData>
      <sheetData sheetId="18">
        <row r="85">
          <cell r="Q85">
            <v>97136.932266666656</v>
          </cell>
        </row>
        <row r="89">
          <cell r="Q89">
            <v>63815.356268242656</v>
          </cell>
        </row>
      </sheetData>
      <sheetData sheetId="19">
        <row r="85">
          <cell r="Q85">
            <v>96365.044906222771</v>
          </cell>
        </row>
        <row r="89">
          <cell r="Q89">
            <v>68168.716358319725</v>
          </cell>
        </row>
      </sheetData>
      <sheetData sheetId="20">
        <row r="85">
          <cell r="Q85">
            <v>119262.47707545612</v>
          </cell>
        </row>
        <row r="89">
          <cell r="Q89">
            <v>82696.591138171119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>
        <row r="86">
          <cell r="H86">
            <v>10500</v>
          </cell>
        </row>
      </sheetData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97182.426162880511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991512.8326094409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475816.24022164498</v>
          </cell>
          <cell r="Z24">
            <v>566519.78666097834</v>
          </cell>
          <cell r="AA24">
            <v>643852.55895950552</v>
          </cell>
          <cell r="AB24">
            <v>716789.07879687438</v>
          </cell>
          <cell r="AC24">
            <v>796645.29061176302</v>
          </cell>
          <cell r="AD24">
            <v>868067.08292935207</v>
          </cell>
          <cell r="AE24">
            <v>942520.02999852097</v>
          </cell>
          <cell r="AF24">
            <v>991512.8326094409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175074.72192533195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2069850.8146454392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802134.92673576484</v>
          </cell>
          <cell r="Z25">
            <v>962991.0011194651</v>
          </cell>
          <cell r="AA25">
            <v>1148661.7236515756</v>
          </cell>
          <cell r="AB25">
            <v>1322036.2272438442</v>
          </cell>
          <cell r="AC25">
            <v>1502847.6817637158</v>
          </cell>
          <cell r="AD25">
            <v>1689624.856974009</v>
          </cell>
          <cell r="AE25">
            <v>1882598.3445120107</v>
          </cell>
          <cell r="AF25">
            <v>2069850.8146454392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272257.14808821247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3061363.6472548796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1277951.1669574098</v>
          </cell>
          <cell r="Z26">
            <v>1529510.7877804434</v>
          </cell>
          <cell r="AA26">
            <v>1792514.2826110811</v>
          </cell>
          <cell r="AB26">
            <v>2038825.3060407187</v>
          </cell>
          <cell r="AC26">
            <v>2299492.9723754786</v>
          </cell>
          <cell r="AD26">
            <v>2557691.9399033608</v>
          </cell>
          <cell r="AE26">
            <v>2825118.3745105318</v>
          </cell>
          <cell r="AF26">
            <v>3061363.6472548801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242956.0654072013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2731765.4564832309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1204801.1146052061</v>
          </cell>
          <cell r="Z27">
            <v>1431559.9807035397</v>
          </cell>
          <cell r="AA27">
            <v>1663558.2975991212</v>
          </cell>
          <cell r="AB27">
            <v>1882367.8571112277</v>
          </cell>
          <cell r="AC27">
            <v>2121936.4925558935</v>
          </cell>
          <cell r="AD27">
            <v>2321917.511045143</v>
          </cell>
          <cell r="AE27">
            <v>2530385.7628388158</v>
          </cell>
          <cell r="AF27">
            <v>2731765.4564832309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161987.80610875387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1863212.3558953458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729302.92310054856</v>
          </cell>
          <cell r="Z28">
            <v>880544.83499077416</v>
          </cell>
          <cell r="AA28">
            <v>1047503.9713929611</v>
          </cell>
          <cell r="AB28">
            <v>1205389.121485719</v>
          </cell>
          <cell r="AC28">
            <v>1361831.3680822954</v>
          </cell>
          <cell r="AD28">
            <v>1525959.8585685983</v>
          </cell>
          <cell r="AE28">
            <v>1697661.8998689989</v>
          </cell>
          <cell r="AF28">
            <v>1863212.3558953458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404943.87151595519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4594977.812378576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1934104.0377057546</v>
          </cell>
          <cell r="Z29">
            <v>2312104.815694314</v>
          </cell>
          <cell r="AA29">
            <v>2711062.2689920822</v>
          </cell>
          <cell r="AB29">
            <v>3087756.9785969467</v>
          </cell>
          <cell r="AC29">
            <v>3483767.8606381891</v>
          </cell>
          <cell r="AD29">
            <v>3847877.3696137415</v>
          </cell>
          <cell r="AE29">
            <v>4228047.6627078149</v>
          </cell>
          <cell r="AF29">
            <v>4594977.812378577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340138.49157008179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3723278.2890926721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1680617.354826851</v>
          </cell>
          <cell r="Z30">
            <v>1998079.767364518</v>
          </cell>
          <cell r="AA30">
            <v>2307410.8565586265</v>
          </cell>
          <cell r="AB30">
            <v>2599156.935908102</v>
          </cell>
          <cell r="AC30">
            <v>2918581.7831676565</v>
          </cell>
          <cell r="AD30">
            <v>3189984.5939744953</v>
          </cell>
          <cell r="AE30">
            <v>3472905.7928373367</v>
          </cell>
          <cell r="AF30">
            <v>3723278.2890926721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337062.52803408582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3933063.170540785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1531437.8498363134</v>
          </cell>
          <cell r="Z31">
            <v>1843535.8361102394</v>
          </cell>
          <cell r="AA31">
            <v>2196165.6950445366</v>
          </cell>
          <cell r="AB31">
            <v>2527425.3487295629</v>
          </cell>
          <cell r="AC31">
            <v>2864679.0498460112</v>
          </cell>
          <cell r="AD31">
            <v>3215584.715542607</v>
          </cell>
          <cell r="AE31">
            <v>3580260.2443810096</v>
          </cell>
          <cell r="AF31">
            <v>3933063.170540785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677201.01960416767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7656341.4596334565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3212055.2046631644</v>
          </cell>
          <cell r="Z32">
            <v>3841615.6034747576</v>
          </cell>
          <cell r="AA32">
            <v>4503576.5516031627</v>
          </cell>
          <cell r="AB32">
            <v>5126582.2846376654</v>
          </cell>
          <cell r="AC32">
            <v>5783260.8330136677</v>
          </cell>
          <cell r="AD32">
            <v>6405569.3095171023</v>
          </cell>
          <cell r="AE32">
            <v>7053166.0372183463</v>
          </cell>
          <cell r="AF32">
            <v>7656341.4596334565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-25182.426162880511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-218640.83260944081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-115816.24022164498</v>
          </cell>
          <cell r="Z33">
            <v>-134519.78666097834</v>
          </cell>
          <cell r="AA33">
            <v>-151852.55895950552</v>
          </cell>
          <cell r="AB33">
            <v>-164789.07879687438</v>
          </cell>
          <cell r="AC33">
            <v>-184645.29061176302</v>
          </cell>
          <cell r="AD33">
            <v>-196067.08292935207</v>
          </cell>
          <cell r="AE33">
            <v>-210520.02999852097</v>
          </cell>
          <cell r="AF33">
            <v>-218640.8326094409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-2130.1478038486384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99188.646693679475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8432.1748112025671</v>
          </cell>
          <cell r="Z34">
            <v>17825.045998375281</v>
          </cell>
          <cell r="AA34">
            <v>24228.8781612569</v>
          </cell>
          <cell r="AB34">
            <v>41019.196229086956</v>
          </cell>
          <cell r="AC34">
            <v>41344.763273928082</v>
          </cell>
          <cell r="AD34">
            <v>63777.879936184734</v>
          </cell>
          <cell r="AE34">
            <v>78155.204028217122</v>
          </cell>
          <cell r="AF34">
            <v>99188.646693679271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-27312.573966729149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-119452.18591576137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-107384.06541044242</v>
          </cell>
          <cell r="Z35">
            <v>-116694.74066260306</v>
          </cell>
          <cell r="AA35">
            <v>-127623.68079824862</v>
          </cell>
          <cell r="AB35">
            <v>-123769.88256778743</v>
          </cell>
          <cell r="AC35">
            <v>-143300.52733783494</v>
          </cell>
          <cell r="AD35">
            <v>-132289.20299316733</v>
          </cell>
          <cell r="AE35">
            <v>-132364.82597030385</v>
          </cell>
          <cell r="AF35">
            <v>-119452.18591576163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42043.934592798701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650234.54351676884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239198.88539479394</v>
          </cell>
          <cell r="Z36">
            <v>297440.01929646032</v>
          </cell>
          <cell r="AA36">
            <v>350441.70240087877</v>
          </cell>
          <cell r="AB36">
            <v>416632.1428887723</v>
          </cell>
          <cell r="AC36">
            <v>462063.50744410651</v>
          </cell>
          <cell r="AD36">
            <v>528082.48895485699</v>
          </cell>
          <cell r="AE36">
            <v>585614.2371611842</v>
          </cell>
          <cell r="AF36">
            <v>650234.54351676907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58545.631438487442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836658.84957554482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287584.67738806421</v>
          </cell>
          <cell r="Z37">
            <v>357235.35053770721</v>
          </cell>
          <cell r="AA37">
            <v>428958.23012807511</v>
          </cell>
          <cell r="AB37">
            <v>510411.18905376294</v>
          </cell>
          <cell r="AC37">
            <v>572271.03087998554</v>
          </cell>
          <cell r="AD37">
            <v>662947.80761006591</v>
          </cell>
          <cell r="AE37">
            <v>746990.00459603989</v>
          </cell>
          <cell r="AF37">
            <v>836658.84957554494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1486893.393092314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526783.56278285815</v>
          </cell>
          <cell r="Z38">
            <v>654675.36983416753</v>
          </cell>
          <cell r="AA38">
            <v>779399.93252895388</v>
          </cell>
          <cell r="AB38">
            <v>927043.33194253524</v>
          </cell>
          <cell r="AC38">
            <v>1034334.538324092</v>
          </cell>
          <cell r="AD38">
            <v>1191030.2965649229</v>
          </cell>
          <cell r="AE38">
            <v>1332604.2417572241</v>
          </cell>
          <cell r="AF38">
            <v>1486893.393092314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16861.508429918191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431593.71090732812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123382.64517314895</v>
          </cell>
          <cell r="Z39">
            <v>162920.23263548198</v>
          </cell>
          <cell r="AA39">
            <v>198589.14344137325</v>
          </cell>
          <cell r="AB39">
            <v>251843.06409189792</v>
          </cell>
          <cell r="AC39">
            <v>277418.21683234349</v>
          </cell>
          <cell r="AD39">
            <v>332015.40602550493</v>
          </cell>
          <cell r="AE39">
            <v>375094.20716266322</v>
          </cell>
          <cell r="AF39">
            <v>431593.71090732818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56415.483634638804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935847.49626922421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296016.85219926678</v>
          </cell>
          <cell r="Z40">
            <v>375060.3965360825</v>
          </cell>
          <cell r="AA40">
            <v>453187.10828933201</v>
          </cell>
          <cell r="AB40">
            <v>551430.38528284989</v>
          </cell>
          <cell r="AC40">
            <v>613615.79415391362</v>
          </cell>
          <cell r="AD40">
            <v>726725.68754625064</v>
          </cell>
          <cell r="AE40">
            <v>825145.20862425701</v>
          </cell>
          <cell r="AF40">
            <v>935847.49626922421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73276.992064556995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1367441.2071765524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419399.49737241573</v>
          </cell>
          <cell r="Z41">
            <v>537980.62917156448</v>
          </cell>
          <cell r="AA41">
            <v>651776.25173070526</v>
          </cell>
          <cell r="AB41">
            <v>803273.44937474781</v>
          </cell>
          <cell r="AC41">
            <v>891034.01098625711</v>
          </cell>
          <cell r="AD41">
            <v>1058741.0935717556</v>
          </cell>
          <cell r="AE41">
            <v>1200239.4157869201</v>
          </cell>
          <cell r="AF41">
            <v>1367441.2071765524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-34510.03139783418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-322149.91171273525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-157903.31823684872</v>
          </cell>
          <cell r="Z60">
            <v>-184798.45468120114</v>
          </cell>
          <cell r="AA60">
            <v>-208773.43620383544</v>
          </cell>
          <cell r="AB60">
            <v>-228366.27823179757</v>
          </cell>
          <cell r="AC60">
            <v>-255136.61487786408</v>
          </cell>
          <cell r="AD60">
            <v>-273083.79563528439</v>
          </cell>
          <cell r="AE60">
            <v>-294073.44323368289</v>
          </cell>
          <cell r="AF60">
            <v>-306812.41661325225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-19635.470134066774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-126644.27835685498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-62417.779202746184</v>
          </cell>
          <cell r="Z61">
            <v>-67552.090941650575</v>
          </cell>
          <cell r="AA61">
            <v>-77095.751015160742</v>
          </cell>
          <cell r="AB61">
            <v>-76127.911975909694</v>
          </cell>
          <cell r="AC61">
            <v>-91457.394664145861</v>
          </cell>
          <cell r="AD61">
            <v>-86089.008252874948</v>
          </cell>
          <cell r="AE61">
            <v>-88654.06116232046</v>
          </cell>
          <cell r="AF61">
            <v>-85271.45367759277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-54145.501531900954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-448794.19006959029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-220321.09743959492</v>
          </cell>
          <cell r="Z62">
            <v>-252350.5456228517</v>
          </cell>
          <cell r="AA62">
            <v>-285869.18721899617</v>
          </cell>
          <cell r="AB62">
            <v>-304494.19020770723</v>
          </cell>
          <cell r="AC62">
            <v>-346594.00954200991</v>
          </cell>
          <cell r="AD62">
            <v>-359172.80388815934</v>
          </cell>
          <cell r="AE62">
            <v>-382727.50439600332</v>
          </cell>
          <cell r="AF62">
            <v>-392083.87029084505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17021.103953697264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340769.93226385157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132620.01694461447</v>
          </cell>
          <cell r="Z63">
            <v>170382.17583373311</v>
          </cell>
          <cell r="AA63">
            <v>203457.23126583025</v>
          </cell>
          <cell r="AB63">
            <v>249678.70518194407</v>
          </cell>
          <cell r="AC63">
            <v>274367.69524374465</v>
          </cell>
          <cell r="AD63">
            <v>322115.58912296756</v>
          </cell>
          <cell r="AE63">
            <v>361344.57584745192</v>
          </cell>
          <cell r="AF63">
            <v>406982.38344757806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41366.847990769762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619085.48315890785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223164.50175628503</v>
          </cell>
          <cell r="Z64">
            <v>279156.26318290527</v>
          </cell>
          <cell r="AA64">
            <v>336538.81223942677</v>
          </cell>
          <cell r="AB64">
            <v>403582.87928939983</v>
          </cell>
          <cell r="AC64">
            <v>451897.61050674465</v>
          </cell>
          <cell r="AD64">
            <v>527578.9338925028</v>
          </cell>
          <cell r="AE64">
            <v>596546.31022436055</v>
          </cell>
          <cell r="AF64">
            <v>670610.00024204154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58387.95194446703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959855.41542275948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355784.5187008995</v>
          </cell>
          <cell r="Z65">
            <v>449538.43901663838</v>
          </cell>
          <cell r="AA65">
            <v>539996.043505257</v>
          </cell>
          <cell r="AB65">
            <v>653261.5844713439</v>
          </cell>
          <cell r="AC65">
            <v>726265.30575048923</v>
          </cell>
          <cell r="AD65">
            <v>849694.52301547036</v>
          </cell>
          <cell r="AE65">
            <v>957890.88607181248</v>
          </cell>
          <cell r="AF65">
            <v>1077592.3836896196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-17488.927444136916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18620.020551116271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-25283.301292234246</v>
          </cell>
          <cell r="Z66">
            <v>-14416.278847468027</v>
          </cell>
          <cell r="AA66">
            <v>-5316.2049380051903</v>
          </cell>
          <cell r="AB66">
            <v>21312.426950146502</v>
          </cell>
          <cell r="AC66">
            <v>19231.080365880567</v>
          </cell>
          <cell r="AD66">
            <v>49031.793487683171</v>
          </cell>
          <cell r="AE66">
            <v>67271.132613769034</v>
          </cell>
          <cell r="AF66">
            <v>100169.96683432581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21731.377856702988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492441.20480205293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160746.72255353886</v>
          </cell>
          <cell r="Z67">
            <v>211604.17224125471</v>
          </cell>
          <cell r="AA67">
            <v>259443.06122426601</v>
          </cell>
          <cell r="AB67">
            <v>327454.96731349011</v>
          </cell>
          <cell r="AC67">
            <v>360440.21584259882</v>
          </cell>
          <cell r="AD67">
            <v>441489.92563962785</v>
          </cell>
          <cell r="AE67">
            <v>507892.24906204012</v>
          </cell>
          <cell r="AF67">
            <v>585338.54656444874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4242.4504125660715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511061.2253531692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135463.42126130461</v>
          </cell>
          <cell r="Z68">
            <v>197187.89339378668</v>
          </cell>
          <cell r="AA68">
            <v>254126.85628626082</v>
          </cell>
          <cell r="AB68">
            <v>348767.39426363661</v>
          </cell>
          <cell r="AC68">
            <v>379671.29620847938</v>
          </cell>
          <cell r="AD68">
            <v>490521.71912731102</v>
          </cell>
          <cell r="AE68">
            <v>575163.38167580916</v>
          </cell>
          <cell r="AF68">
            <v>685508.51339877455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326779.72966666671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3463453.3337777774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734057.67927083443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8338274.1534112347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16420.332397890161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685508.51339877397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97182.426162880511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991512.8326094409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475816.24022164498</v>
          </cell>
          <cell r="Z87">
            <v>566519.78666097834</v>
          </cell>
          <cell r="AA87">
            <v>643852.55895950552</v>
          </cell>
          <cell r="AB87">
            <v>716789.07879687438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175074.72192533195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2069850.8146454392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802134.92673576484</v>
          </cell>
          <cell r="Z88">
            <v>962991.0011194651</v>
          </cell>
          <cell r="AA88">
            <v>1148661.7236515756</v>
          </cell>
          <cell r="AB88">
            <v>1322036.2272438442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175074.72192533195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2069850.8146454392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802134.92673576484</v>
          </cell>
          <cell r="Z94">
            <v>962991.0011194651</v>
          </cell>
          <cell r="AA94">
            <v>1148661.7236515756</v>
          </cell>
          <cell r="AB94">
            <v>1322036.2272438442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272257.14808821247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3061363.6472548801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1277951.1669574096</v>
          </cell>
          <cell r="Z95">
            <v>1529510.7877804432</v>
          </cell>
          <cell r="AA95">
            <v>1792514.2826110809</v>
          </cell>
          <cell r="AB95">
            <v>2038825.3060407182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16197.071027146752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15309.040624159064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79302.706703607502</v>
          </cell>
          <cell r="Z96">
            <v>94419.964443496399</v>
          </cell>
          <cell r="AA96">
            <v>109886.51890320184</v>
          </cell>
          <cell r="AB96">
            <v>124473.82287067561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242956.0654072013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2731765.4564832309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1204801.1146052061</v>
          </cell>
          <cell r="Z97">
            <v>1431559.9807035397</v>
          </cell>
          <cell r="AA97">
            <v>1663558.2975991212</v>
          </cell>
          <cell r="AB97">
            <v>1882367.8571112277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123556.85893679412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1455318.7661078828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559442.11368689616</v>
          </cell>
          <cell r="Z98">
            <v>675865.56742782926</v>
          </cell>
          <cell r="AA98">
            <v>805706.76924272487</v>
          </cell>
          <cell r="AB98">
            <v>928576.74311523559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38430.947171959757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407893.58978746249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169860.80941365249</v>
          </cell>
          <cell r="Z99">
            <v>204679.267562945</v>
          </cell>
          <cell r="AA99">
            <v>241797.20215023626</v>
          </cell>
          <cell r="AB99">
            <v>276812.37837048329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161987.80610875387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1863212.3558953453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729302.92310054856</v>
          </cell>
          <cell r="Z104">
            <v>880544.83499077416</v>
          </cell>
          <cell r="AA104">
            <v>1047503.9713929611</v>
          </cell>
          <cell r="AB104">
            <v>1205389.121485719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404943.87151595519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4594977.812378576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1934104.0377057549</v>
          </cell>
          <cell r="Z105">
            <v>2312104.815694314</v>
          </cell>
          <cell r="AA105">
            <v>2711062.2689920822</v>
          </cell>
          <cell r="AB105">
            <v>3087756.9785969462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16197.071027146752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15315.116802537839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79302.706703607502</v>
          </cell>
          <cell r="Z106">
            <v>94419.964443496399</v>
          </cell>
          <cell r="AA106">
            <v>109886.51890320184</v>
          </cell>
          <cell r="AB106">
            <v>124473.82287067561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340138.49157008179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3723278.2890926721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1680617.354826851</v>
          </cell>
          <cell r="Z107">
            <v>1998079.767364518</v>
          </cell>
          <cell r="AA107">
            <v>2307410.8565586265</v>
          </cell>
          <cell r="AB107">
            <v>2599156.935908102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298631.58086212608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3525169.5807533222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1361577.040422661</v>
          </cell>
          <cell r="Z108">
            <v>1638856.5685472945</v>
          </cell>
          <cell r="AA108">
            <v>1954368.4928943007</v>
          </cell>
          <cell r="AB108">
            <v>2250612.97035908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38430.947171959757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407893.58978746249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169860.80941365249</v>
          </cell>
          <cell r="Z109">
            <v>204679.267562945</v>
          </cell>
          <cell r="AA109">
            <v>241797.20215023626</v>
          </cell>
          <cell r="AB109">
            <v>276812.37837048329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337062.52803408582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3933063.1705407845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1531437.8498363134</v>
          </cell>
          <cell r="Z114">
            <v>1843535.8361102394</v>
          </cell>
          <cell r="AA114">
            <v>2196165.6950445366</v>
          </cell>
          <cell r="AB114">
            <v>2527425.3487295629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677201.01960416767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7656341.4596334565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3212055.2046631649</v>
          </cell>
          <cell r="Z115">
            <v>3841615.6034747576</v>
          </cell>
          <cell r="AA115">
            <v>4503576.5516031636</v>
          </cell>
          <cell r="AB115">
            <v>5126582.2846376654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16197.071027146756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15312.68668341643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79302.706703607517</v>
          </cell>
          <cell r="Z116">
            <v>94419.964443496414</v>
          </cell>
          <cell r="AA116">
            <v>109886.51890320185</v>
          </cell>
          <cell r="AB116">
            <v>124473.82287067562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-25182.426162880511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-218640.83260944081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-115816.24022164501</v>
          </cell>
          <cell r="Z117">
            <v>-134519.78666097843</v>
          </cell>
          <cell r="AA117">
            <v>-151852.55895950558</v>
          </cell>
          <cell r="AB117">
            <v>-164789.07879687438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-2130.1478038486384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99188.646693679475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8432.1748112027126</v>
          </cell>
          <cell r="Z118">
            <v>17825.045998375455</v>
          </cell>
          <cell r="AA118">
            <v>24228.87816125722</v>
          </cell>
          <cell r="AB118">
            <v>41019.196229087247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-2130.1478038486384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99188.646693679475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8432.1748112027126</v>
          </cell>
          <cell r="Z124">
            <v>17825.045998375455</v>
          </cell>
          <cell r="AA124">
            <v>24228.87816125722</v>
          </cell>
          <cell r="AB124">
            <v>41019.196229087247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-27312.573966729149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-119452.18591576134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-107384.0654104423</v>
          </cell>
          <cell r="Z125">
            <v>-116694.74066260297</v>
          </cell>
          <cell r="AA125">
            <v>-127623.68079824837</v>
          </cell>
          <cell r="AB125">
            <v>-123769.88256778716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42043.934592798701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650234.54351676884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239198.88539479396</v>
          </cell>
          <cell r="Z126">
            <v>297440.01929646044</v>
          </cell>
          <cell r="AA126">
            <v>350441.70240087889</v>
          </cell>
          <cell r="AB126">
            <v>416632.14288877242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51895.094739479435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737282.16516945884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253352.32873720041</v>
          </cell>
          <cell r="Z127">
            <v>314060.16971355514</v>
          </cell>
          <cell r="AA127">
            <v>377303.19034282735</v>
          </cell>
          <cell r="AB127">
            <v>448163.97065005265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6650.5366990079929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99376.684406085958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34232.3486508637</v>
          </cell>
          <cell r="Z128">
            <v>43175.180824151845</v>
          </cell>
          <cell r="AA128">
            <v>51655.039785247667</v>
          </cell>
          <cell r="AB128">
            <v>62247.218403710329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58545.631438487428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836658.84957554482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287584.6773880641</v>
          </cell>
          <cell r="Z133">
            <v>357235.35053770698</v>
          </cell>
          <cell r="AA133">
            <v>428958.230128075</v>
          </cell>
          <cell r="AB133">
            <v>510411.18905376294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100589.56603128613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1486893.3930923138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526783.56278285815</v>
          </cell>
          <cell r="Z134">
            <v>654675.36983416753</v>
          </cell>
          <cell r="AA134">
            <v>779399.932528954</v>
          </cell>
          <cell r="AB134">
            <v>927043.33194253547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16861.508429918191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431593.71090732812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123382.64517314895</v>
          </cell>
          <cell r="Z135">
            <v>162920.23263548204</v>
          </cell>
          <cell r="AA135">
            <v>198589.14344137331</v>
          </cell>
          <cell r="AB135">
            <v>251843.06409189804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49764.946935630796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836470.81186313822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261784.5035484031</v>
          </cell>
          <cell r="Z136">
            <v>331885.21571193053</v>
          </cell>
          <cell r="AA136">
            <v>401532.06850408448</v>
          </cell>
          <cell r="AB136">
            <v>489183.16687913978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6650.5366990079929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99376.684406085958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34232.3486508637</v>
          </cell>
          <cell r="Z137">
            <v>43175.180824151845</v>
          </cell>
          <cell r="AA137">
            <v>51655.039785247667</v>
          </cell>
          <cell r="AB137">
            <v>62247.218403710329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56415.483634638789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935847.49626922421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296016.85219926684</v>
          </cell>
          <cell r="Z142">
            <v>375060.39653608244</v>
          </cell>
          <cell r="AA142">
            <v>453187.10828933225</v>
          </cell>
          <cell r="AB142">
            <v>551430.38528285024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73276.99206455698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1367441.2071765524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419399.49737241579</v>
          </cell>
          <cell r="Z143">
            <v>537980.62917156448</v>
          </cell>
          <cell r="AA143">
            <v>651776.25173070549</v>
          </cell>
          <cell r="AB143">
            <v>803273.44937474816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-25182.426162880511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-218640.83260944081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-115816.24022164501</v>
          </cell>
          <cell r="Z144">
            <v>-134519.78666097843</v>
          </cell>
          <cell r="AA144">
            <v>-151852.55895950558</v>
          </cell>
          <cell r="AB144">
            <v>-164789.07879687438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-2130.1478038486384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99188.646693679475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8432.1748112027126</v>
          </cell>
          <cell r="Z145">
            <v>17825.045998375455</v>
          </cell>
          <cell r="AA145">
            <v>24228.87816125722</v>
          </cell>
          <cell r="AB145">
            <v>41019.196229087247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-2130.1478038486384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99188.646693679475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8432.1748112027126</v>
          </cell>
          <cell r="Z151">
            <v>17825.045998375455</v>
          </cell>
          <cell r="AA151">
            <v>24228.87816125722</v>
          </cell>
          <cell r="AB151">
            <v>41019.196229087247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-27312.573966729149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-119452.18591576134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-107384.0654104423</v>
          </cell>
          <cell r="Z152">
            <v>-116694.74066260297</v>
          </cell>
          <cell r="AA152">
            <v>-127623.68079824837</v>
          </cell>
          <cell r="AB152">
            <v>-123769.88256778716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42043.934592798701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650234.54351676884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239198.88539479396</v>
          </cell>
          <cell r="Z153">
            <v>297440.01929646044</v>
          </cell>
          <cell r="AA153">
            <v>350441.70240087889</v>
          </cell>
          <cell r="AB153">
            <v>416632.14288877242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51895.094739479435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737282.16516945884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253352.32873720041</v>
          </cell>
          <cell r="Z154">
            <v>314060.16971355514</v>
          </cell>
          <cell r="AA154">
            <v>377303.19034282735</v>
          </cell>
          <cell r="AB154">
            <v>448163.97065005265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6650.5366990079929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99376.684406085958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34232.3486508637</v>
          </cell>
          <cell r="Z155">
            <v>43175.180824151845</v>
          </cell>
          <cell r="AA155">
            <v>51655.039785247667</v>
          </cell>
          <cell r="AB155">
            <v>62247.218403710329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58545.631438487428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836658.84957554482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287584.6773880641</v>
          </cell>
          <cell r="Z160">
            <v>357235.35053770698</v>
          </cell>
          <cell r="AA160">
            <v>428958.230128075</v>
          </cell>
          <cell r="AB160">
            <v>510411.18905376294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100589.56603128613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1486893.3930923138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526783.56278285815</v>
          </cell>
          <cell r="Z161">
            <v>654675.36983416753</v>
          </cell>
          <cell r="AA161">
            <v>779399.932528954</v>
          </cell>
          <cell r="AB161">
            <v>927043.33194253547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16861.508429918191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431593.71090732812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123382.64517314895</v>
          </cell>
          <cell r="Z162">
            <v>162920.23263548204</v>
          </cell>
          <cell r="AA162">
            <v>198589.14344137331</v>
          </cell>
          <cell r="AB162">
            <v>251843.06409189804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49764.946935630796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836470.81186313822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261784.5035484031</v>
          </cell>
          <cell r="Z163">
            <v>331885.21571193053</v>
          </cell>
          <cell r="AA163">
            <v>401532.06850408448</v>
          </cell>
          <cell r="AB163">
            <v>489183.16687913978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6650.5366990079929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99376.684406085958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34232.3486508637</v>
          </cell>
          <cell r="Z164">
            <v>43175.180824151845</v>
          </cell>
          <cell r="AA164">
            <v>51655.039785247667</v>
          </cell>
          <cell r="AB164">
            <v>62247.218403710329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56415.483634638789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935847.49626922421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296016.85219926684</v>
          </cell>
          <cell r="Z169">
            <v>375060.39653608244</v>
          </cell>
          <cell r="AA169">
            <v>453187.10828933225</v>
          </cell>
          <cell r="AB169">
            <v>551430.38528285024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73276.99206455698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1367441.2071765524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419399.49737241579</v>
          </cell>
          <cell r="Z170">
            <v>537980.62917156448</v>
          </cell>
          <cell r="AA170">
            <v>651776.25173070549</v>
          </cell>
          <cell r="AB170">
            <v>803273.44937474816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-33341.699362370913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-306812.41661325225</v>
          </cell>
          <cell r="T201">
            <v>-306812.41661325219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-157903.31823684875</v>
          </cell>
          <cell r="Z201">
            <v>-184798.45468120126</v>
          </cell>
          <cell r="AA201">
            <v>-208773.43620383553</v>
          </cell>
          <cell r="AB201">
            <v>-228366.27823179759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-16829.127268710097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-85271.45367759261</v>
          </cell>
          <cell r="T202">
            <v>-85271.453677592566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-62417.779202746038</v>
          </cell>
          <cell r="Z202">
            <v>-67552.0909416504</v>
          </cell>
          <cell r="AA202">
            <v>-77095.751015160422</v>
          </cell>
          <cell r="AB202">
            <v>-76127.911975909403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-16829.127268710097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-85271.45367759261</v>
          </cell>
          <cell r="T208">
            <v>-85271.453677592566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-62417.779202746038</v>
          </cell>
          <cell r="Z208">
            <v>-67552.0909416504</v>
          </cell>
          <cell r="AA208">
            <v>-77095.751015160422</v>
          </cell>
          <cell r="AB208">
            <v>-76127.911975909403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-50170.826631081014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-392083.87029084488</v>
          </cell>
          <cell r="T209">
            <v>-392083.87029084476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-220321.09743959474</v>
          </cell>
          <cell r="Z209">
            <v>-252350.54562285161</v>
          </cell>
          <cell r="AA209">
            <v>-285869.18721899588</v>
          </cell>
          <cell r="AB209">
            <v>-304494.19020770694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21645.751594072699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406982.383447578</v>
          </cell>
          <cell r="T210">
            <v>406982.38344757783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132620.0169446145</v>
          </cell>
          <cell r="Z210">
            <v>170382.17583373329</v>
          </cell>
          <cell r="AA210">
            <v>203457.2312658304</v>
          </cell>
          <cell r="AB210">
            <v>249678.70518194424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41521.468482747186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607585.18005950691</v>
          </cell>
          <cell r="T211">
            <v>607585.18005950702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203939.98288090635</v>
          </cell>
          <cell r="Z211">
            <v>254133.42571681016</v>
          </cell>
          <cell r="AA211">
            <v>306224.22196914145</v>
          </cell>
          <cell r="AB211">
            <v>365871.66038030636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3423.938952151449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63024.820182534459</v>
          </cell>
          <cell r="T212">
            <v>63024.820182534429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19224.518875378573</v>
          </cell>
          <cell r="Z212">
            <v>25022.837466094876</v>
          </cell>
          <cell r="AA212">
            <v>30314.590270285134</v>
          </cell>
          <cell r="AB212">
            <v>37711.218909093448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44945.407434898632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670610.00024204142</v>
          </cell>
          <cell r="T217">
            <v>670610.00024204142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223164.50175628491</v>
          </cell>
          <cell r="Z217">
            <v>279156.26318290504</v>
          </cell>
          <cell r="AA217">
            <v>336538.8122394266</v>
          </cell>
          <cell r="AB217">
            <v>403582.87928939983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66591.159028971335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1077592.3836896194</v>
          </cell>
          <cell r="T218">
            <v>1077592.3836896194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355784.51870089944</v>
          </cell>
          <cell r="Z218">
            <v>449538.43901663832</v>
          </cell>
          <cell r="AA218">
            <v>539996.043505257</v>
          </cell>
          <cell r="AB218">
            <v>653261.58447134402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-11695.947768298214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100169.96683432577</v>
          </cell>
          <cell r="T219">
            <v>100169.96683432569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-25283.301292234242</v>
          </cell>
          <cell r="Z219">
            <v>-14416.278847467973</v>
          </cell>
          <cell r="AA219">
            <v>-5316.2049380051285</v>
          </cell>
          <cell r="AB219">
            <v>21312.426950146641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24692.341214037089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522313.72638191434</v>
          </cell>
          <cell r="T220">
            <v>522313.72638191434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141522.20367816032</v>
          </cell>
          <cell r="Z220">
            <v>186581.33477515978</v>
          </cell>
          <cell r="AA220">
            <v>229128.47095398104</v>
          </cell>
          <cell r="AB220">
            <v>289743.74840439699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3423.938952151449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63024.820182534459</v>
          </cell>
          <cell r="T221">
            <v>63024.820182534429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19224.518875378573</v>
          </cell>
          <cell r="Z221">
            <v>25022.837466094876</v>
          </cell>
          <cell r="AA221">
            <v>30314.590270285134</v>
          </cell>
          <cell r="AB221">
            <v>37711.218909093448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28116.280166188539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585338.54656444886</v>
          </cell>
          <cell r="T226">
            <v>585338.54656444886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160746.72255353892</v>
          </cell>
          <cell r="Z226">
            <v>211604.17224125465</v>
          </cell>
          <cell r="AA226">
            <v>259443.06122426619</v>
          </cell>
          <cell r="AB226">
            <v>327454.96731349046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16420.332397890325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685508.51339877455</v>
          </cell>
          <cell r="T227">
            <v>685508.51339877455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135463.42126130464</v>
          </cell>
          <cell r="Z227">
            <v>197187.89339378665</v>
          </cell>
          <cell r="AA227">
            <v>254126.85628626103</v>
          </cell>
          <cell r="AB227">
            <v>348767.39426363702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34456596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/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/>
          <cell r="O17">
            <v>145350000</v>
          </cell>
          <cell r="P17">
            <v>145350000</v>
          </cell>
        </row>
        <row r="18">
          <cell r="L18" t="str">
            <v>김해</v>
          </cell>
          <cell r="M18" t="str">
            <v>(주)동양건재부문_EL1_김해레미콘</v>
          </cell>
          <cell r="N18"/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/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/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/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0</v>
          </cell>
          <cell r="O22">
            <v>145350000</v>
          </cell>
          <cell r="P22">
            <v>145350000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142625000</v>
          </cell>
          <cell r="O16">
            <v>148050000</v>
          </cell>
          <cell r="P16">
            <v>290675000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43200000</v>
          </cell>
          <cell r="O17">
            <v>107200000</v>
          </cell>
          <cell r="P17">
            <v>150400000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9424000</v>
          </cell>
          <cell r="P19">
            <v>9424000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185825000</v>
          </cell>
          <cell r="O22">
            <v>264674000</v>
          </cell>
          <cell r="P22">
            <v>450499000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>
      <selection activeCell="C32" sqref="C32"/>
    </sheetView>
  </sheetViews>
  <sheetFormatPr defaultRowHeight="16.5"/>
  <cols>
    <col min="13" max="13" width="15.75" customWidth="1"/>
  </cols>
  <sheetData>
    <row r="6" spans="1:13">
      <c r="A6" s="794" t="s">
        <v>230</v>
      </c>
      <c r="B6" s="795"/>
      <c r="C6" s="795"/>
      <c r="D6" s="795"/>
      <c r="E6" s="795"/>
      <c r="F6" s="795"/>
      <c r="G6" s="795"/>
      <c r="H6" s="795"/>
      <c r="I6" s="795"/>
      <c r="J6" s="795"/>
      <c r="K6" s="795"/>
      <c r="L6" s="795"/>
      <c r="M6" s="795"/>
    </row>
    <row r="7" spans="1:13">
      <c r="A7" s="795"/>
      <c r="B7" s="795"/>
      <c r="C7" s="795"/>
      <c r="D7" s="795"/>
      <c r="E7" s="795"/>
      <c r="F7" s="795"/>
      <c r="G7" s="795"/>
      <c r="H7" s="795"/>
      <c r="I7" s="795"/>
      <c r="J7" s="795"/>
      <c r="K7" s="795"/>
      <c r="L7" s="795"/>
      <c r="M7" s="795"/>
    </row>
    <row r="8" spans="1:13">
      <c r="A8" s="795"/>
      <c r="B8" s="795"/>
      <c r="C8" s="795"/>
      <c r="D8" s="795"/>
      <c r="E8" s="795"/>
      <c r="F8" s="795"/>
      <c r="G8" s="795"/>
      <c r="H8" s="795"/>
      <c r="I8" s="795"/>
      <c r="J8" s="795"/>
      <c r="K8" s="795"/>
      <c r="L8" s="795"/>
      <c r="M8" s="795"/>
    </row>
    <row r="9" spans="1:13">
      <c r="A9" s="795"/>
      <c r="B9" s="795"/>
      <c r="C9" s="795"/>
      <c r="D9" s="795"/>
      <c r="E9" s="795"/>
      <c r="F9" s="795"/>
      <c r="G9" s="795"/>
      <c r="H9" s="795"/>
      <c r="I9" s="795"/>
      <c r="J9" s="795"/>
      <c r="K9" s="795"/>
      <c r="L9" s="795"/>
      <c r="M9" s="795"/>
    </row>
    <row r="10" spans="1:13">
      <c r="A10" s="795"/>
      <c r="B10" s="795"/>
      <c r="C10" s="795"/>
      <c r="D10" s="795"/>
      <c r="E10" s="795"/>
      <c r="F10" s="795"/>
      <c r="G10" s="795"/>
      <c r="H10" s="795"/>
      <c r="I10" s="795"/>
      <c r="J10" s="795"/>
      <c r="K10" s="795"/>
      <c r="L10" s="795"/>
      <c r="M10" s="795"/>
    </row>
    <row r="11" spans="1:13">
      <c r="A11" s="795"/>
      <c r="B11" s="795"/>
      <c r="C11" s="795"/>
      <c r="D11" s="795"/>
      <c r="E11" s="795"/>
      <c r="F11" s="795"/>
      <c r="G11" s="795"/>
      <c r="H11" s="795"/>
      <c r="I11" s="795"/>
      <c r="J11" s="795"/>
      <c r="K11" s="795"/>
      <c r="L11" s="795"/>
      <c r="M11" s="795"/>
    </row>
    <row r="12" spans="1:13">
      <c r="A12" s="795"/>
      <c r="B12" s="795"/>
      <c r="C12" s="795"/>
      <c r="D12" s="795"/>
      <c r="E12" s="795"/>
      <c r="F12" s="795"/>
      <c r="G12" s="795"/>
      <c r="H12" s="795"/>
      <c r="I12" s="795"/>
      <c r="J12" s="795"/>
      <c r="K12" s="795"/>
      <c r="L12" s="795"/>
      <c r="M12" s="795"/>
    </row>
    <row r="13" spans="1:13">
      <c r="A13" s="795"/>
      <c r="B13" s="795"/>
      <c r="C13" s="795"/>
      <c r="D13" s="795"/>
      <c r="E13" s="795"/>
      <c r="F13" s="795"/>
      <c r="G13" s="795"/>
      <c r="H13" s="795"/>
      <c r="I13" s="795"/>
      <c r="J13" s="795"/>
      <c r="K13" s="795"/>
      <c r="L13" s="795"/>
      <c r="M13" s="795"/>
    </row>
    <row r="14" spans="1:13">
      <c r="A14" s="795"/>
      <c r="B14" s="795"/>
      <c r="C14" s="795"/>
      <c r="D14" s="795"/>
      <c r="E14" s="795"/>
      <c r="F14" s="795"/>
      <c r="G14" s="795"/>
      <c r="H14" s="795"/>
      <c r="I14" s="795"/>
      <c r="J14" s="795"/>
      <c r="K14" s="795"/>
      <c r="L14" s="795"/>
      <c r="M14" s="795"/>
    </row>
    <row r="24" spans="1:13">
      <c r="A24" s="796" t="s">
        <v>120</v>
      </c>
      <c r="B24" s="796"/>
      <c r="C24" s="796"/>
      <c r="D24" s="796"/>
      <c r="E24" s="796"/>
      <c r="F24" s="796"/>
      <c r="G24" s="796"/>
      <c r="H24" s="796"/>
      <c r="I24" s="796"/>
      <c r="J24" s="796"/>
      <c r="K24" s="796"/>
      <c r="L24" s="796"/>
      <c r="M24" s="796"/>
    </row>
    <row r="25" spans="1:13">
      <c r="A25" s="796"/>
      <c r="B25" s="796"/>
      <c r="C25" s="796"/>
      <c r="D25" s="796"/>
      <c r="E25" s="796"/>
      <c r="F25" s="796"/>
      <c r="G25" s="796"/>
      <c r="H25" s="796"/>
      <c r="I25" s="796"/>
      <c r="J25" s="796"/>
      <c r="K25" s="796"/>
      <c r="L25" s="796"/>
      <c r="M25" s="79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A1:AL42"/>
  <sheetViews>
    <sheetView showGridLines="0" view="pageBreakPreview" zoomScale="70" zoomScaleNormal="70" zoomScaleSheetLayoutView="70" workbookViewId="0">
      <selection activeCell="Q30" sqref="Q30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/>
    <row r="2" spans="1:38" ht="20.100000000000001" customHeight="1"/>
    <row r="3" spans="1:38" ht="20.100000000000001" customHeight="1">
      <c r="C3" s="4" t="s">
        <v>231</v>
      </c>
      <c r="Z3" s="674" t="s">
        <v>247</v>
      </c>
    </row>
    <row r="4" spans="1:38" ht="20.100000000000001" customHeight="1">
      <c r="H4" s="598"/>
      <c r="X4" s="5" t="s">
        <v>142</v>
      </c>
      <c r="AK4" s="5" t="s">
        <v>209</v>
      </c>
    </row>
    <row r="5" spans="1:38" ht="27" customHeight="1" thickBot="1">
      <c r="C5" s="808" t="s">
        <v>78</v>
      </c>
      <c r="D5" s="809"/>
      <c r="E5" s="133" t="s">
        <v>233</v>
      </c>
      <c r="F5" s="134"/>
      <c r="G5" s="134"/>
      <c r="H5" s="134"/>
      <c r="I5" s="135"/>
      <c r="J5" s="134" t="s">
        <v>234</v>
      </c>
      <c r="K5" s="134"/>
      <c r="L5" s="134"/>
      <c r="M5" s="134"/>
      <c r="N5" s="135"/>
      <c r="O5" s="136"/>
      <c r="P5" s="808" t="s">
        <v>235</v>
      </c>
      <c r="Q5" s="809"/>
      <c r="R5" s="809"/>
      <c r="S5" s="809"/>
      <c r="T5" s="809"/>
      <c r="U5" s="809"/>
      <c r="V5" s="809"/>
      <c r="W5" s="809"/>
      <c r="X5" s="812"/>
      <c r="Z5" s="801" t="s">
        <v>204</v>
      </c>
      <c r="AA5" s="798"/>
      <c r="AB5" s="798" t="str">
        <f>+E5</f>
        <v>7월</v>
      </c>
      <c r="AC5" s="799"/>
      <c r="AD5" s="798"/>
      <c r="AE5" s="798"/>
      <c r="AF5" s="800"/>
      <c r="AG5" s="801" t="str">
        <f>+J5</f>
        <v>7월 누계</v>
      </c>
      <c r="AH5" s="799"/>
      <c r="AI5" s="798"/>
      <c r="AJ5" s="798"/>
      <c r="AK5" s="802"/>
    </row>
    <row r="6" spans="1:38" ht="27" customHeight="1" thickTop="1" thickBot="1">
      <c r="C6" s="810"/>
      <c r="D6" s="811"/>
      <c r="E6" s="209" t="s">
        <v>79</v>
      </c>
      <c r="F6" s="328" t="s">
        <v>80</v>
      </c>
      <c r="G6" s="325" t="s">
        <v>81</v>
      </c>
      <c r="H6" s="137" t="s">
        <v>82</v>
      </c>
      <c r="I6" s="138" t="s">
        <v>83</v>
      </c>
      <c r="J6" s="209" t="s">
        <v>79</v>
      </c>
      <c r="K6" s="328" t="s">
        <v>80</v>
      </c>
      <c r="L6" s="325" t="s">
        <v>81</v>
      </c>
      <c r="M6" s="137" t="s">
        <v>82</v>
      </c>
      <c r="N6" s="138" t="s">
        <v>83</v>
      </c>
      <c r="O6" s="136"/>
      <c r="P6" s="810"/>
      <c r="Q6" s="811"/>
      <c r="R6" s="811"/>
      <c r="S6" s="811"/>
      <c r="T6" s="811"/>
      <c r="U6" s="811"/>
      <c r="V6" s="811"/>
      <c r="W6" s="811"/>
      <c r="X6" s="813"/>
      <c r="Z6" s="804"/>
      <c r="AA6" s="805"/>
      <c r="AB6" s="690" t="str">
        <f>+E6</f>
        <v>계획</v>
      </c>
      <c r="AC6" s="691" t="str">
        <f>+F6</f>
        <v>실적</v>
      </c>
      <c r="AD6" s="692" t="str">
        <f>+G6</f>
        <v>계획대비</v>
      </c>
      <c r="AE6" s="693" t="str">
        <f t="shared" ref="AE6:AK7" si="0">+H6</f>
        <v>전년</v>
      </c>
      <c r="AF6" s="694" t="str">
        <f t="shared" si="0"/>
        <v>전년대비</v>
      </c>
      <c r="AG6" s="695" t="str">
        <f t="shared" si="0"/>
        <v>계획</v>
      </c>
      <c r="AH6" s="691" t="str">
        <f t="shared" si="0"/>
        <v>실적</v>
      </c>
      <c r="AI6" s="692" t="str">
        <f t="shared" si="0"/>
        <v>계획대비</v>
      </c>
      <c r="AJ6" s="693" t="str">
        <f t="shared" si="0"/>
        <v>전년</v>
      </c>
      <c r="AK6" s="690" t="str">
        <f t="shared" si="0"/>
        <v>전년대비</v>
      </c>
    </row>
    <row r="7" spans="1:38" ht="21.75" customHeight="1">
      <c r="A7" s="598">
        <f>+F7/E7</f>
        <v>0.87150254668930405</v>
      </c>
      <c r="B7" s="598">
        <f>+K7/J7</f>
        <v>1.0295503162155324</v>
      </c>
      <c r="C7" s="101" t="s">
        <v>0</v>
      </c>
      <c r="D7" s="102" t="s">
        <v>53</v>
      </c>
      <c r="E7" s="771">
        <f>+'[1]7월'!$Z$7/1000</f>
        <v>294.5</v>
      </c>
      <c r="F7" s="772">
        <f>+'[2]7월'!$Z$7/1000</f>
        <v>256.65750000000003</v>
      </c>
      <c r="G7" s="747">
        <f>+F7-E7</f>
        <v>-37.842499999999973</v>
      </c>
      <c r="H7" s="748">
        <f>+'[3]7월'!$Z$7/1000</f>
        <v>268.75900000000001</v>
      </c>
      <c r="I7" s="749">
        <f>+F7-H7</f>
        <v>-12.101499999999987</v>
      </c>
      <c r="J7" s="771">
        <f>+[4]손익총괄!J7+E7</f>
        <v>1976.5</v>
      </c>
      <c r="K7" s="772">
        <f>+[4]손익총괄!K7+F7</f>
        <v>2034.9061999999999</v>
      </c>
      <c r="L7" s="747">
        <f t="shared" ref="L7:L36" si="1">+K7-J7</f>
        <v>58.406199999999899</v>
      </c>
      <c r="M7" s="748">
        <f>+[4]손익총괄!M7+H7</f>
        <v>2262.89</v>
      </c>
      <c r="N7" s="749">
        <f t="shared" ref="N7:N36" si="2">+K7-M7</f>
        <v>-227.98379999999997</v>
      </c>
      <c r="O7" s="100"/>
      <c r="P7" s="103"/>
      <c r="Q7" s="104" t="s">
        <v>105</v>
      </c>
      <c r="R7" s="104"/>
      <c r="S7" s="100"/>
      <c r="T7" s="100"/>
      <c r="U7" s="100"/>
      <c r="V7" s="100"/>
      <c r="W7" s="100"/>
      <c r="X7" s="105"/>
      <c r="Y7" s="598"/>
      <c r="Z7" s="797" t="s">
        <v>205</v>
      </c>
      <c r="AA7" s="733" t="str">
        <f>+D7</f>
        <v>레미콘</v>
      </c>
      <c r="AB7" s="734">
        <f>+E7</f>
        <v>294.5</v>
      </c>
      <c r="AC7" s="735">
        <f t="shared" ref="AC7" si="3">+F7</f>
        <v>256.65750000000003</v>
      </c>
      <c r="AD7" s="736">
        <f>+AC7-AB7</f>
        <v>-37.842499999999973</v>
      </c>
      <c r="AE7" s="737">
        <f t="shared" si="0"/>
        <v>268.75900000000001</v>
      </c>
      <c r="AF7" s="738">
        <f>+AC7-AE7</f>
        <v>-12.101499999999987</v>
      </c>
      <c r="AG7" s="739">
        <f t="shared" ref="AG7" si="4">+J7</f>
        <v>1976.5</v>
      </c>
      <c r="AH7" s="735">
        <f t="shared" ref="AH7" si="5">+K7</f>
        <v>2034.9061999999999</v>
      </c>
      <c r="AI7" s="736">
        <f>+AH7-AG7</f>
        <v>58.406199999999899</v>
      </c>
      <c r="AJ7" s="737">
        <f t="shared" ref="AJ7" si="6">+M7</f>
        <v>2262.89</v>
      </c>
      <c r="AK7" s="734">
        <f>+AH7-AJ7</f>
        <v>-227.98379999999997</v>
      </c>
    </row>
    <row r="8" spans="1:38" ht="21.75" customHeight="1">
      <c r="B8" s="598"/>
      <c r="C8" s="101"/>
      <c r="D8" s="106" t="s">
        <v>86</v>
      </c>
      <c r="E8" s="773">
        <f>+'[1]7월'!$AA$7</f>
        <v>7100</v>
      </c>
      <c r="F8" s="774">
        <f>+'[2]7월'!$AO$7</f>
        <v>12986.909999999998</v>
      </c>
      <c r="G8" s="750">
        <f>+F8-E8</f>
        <v>5886.909999999998</v>
      </c>
      <c r="H8" s="751">
        <f>+'[3]7월'!$AO$7</f>
        <v>6748.1729999999998</v>
      </c>
      <c r="I8" s="752">
        <f>+F8-H8</f>
        <v>6238.7369999999983</v>
      </c>
      <c r="J8" s="773">
        <f>+[4]손익총괄!J8+E8</f>
        <v>48700</v>
      </c>
      <c r="K8" s="774">
        <f>+[4]손익총괄!K8+F8</f>
        <v>61066.957999999999</v>
      </c>
      <c r="L8" s="750">
        <f t="shared" si="1"/>
        <v>12366.957999999999</v>
      </c>
      <c r="M8" s="751">
        <f>+[4]손익총괄!M8+H8</f>
        <v>55688.971000000005</v>
      </c>
      <c r="N8" s="752">
        <f t="shared" si="2"/>
        <v>5377.9869999999937</v>
      </c>
      <c r="O8" s="100"/>
      <c r="P8" s="103"/>
      <c r="Q8" s="339" t="s">
        <v>70</v>
      </c>
      <c r="R8" s="340"/>
      <c r="S8" s="341" t="s">
        <v>15</v>
      </c>
      <c r="T8" s="342" t="s">
        <v>84</v>
      </c>
      <c r="U8" s="343" t="s">
        <v>71</v>
      </c>
      <c r="V8" s="342" t="s">
        <v>52</v>
      </c>
      <c r="W8" s="344" t="s">
        <v>72</v>
      </c>
      <c r="X8" s="105"/>
      <c r="Y8" s="598"/>
      <c r="Z8" s="797"/>
      <c r="AA8" s="668" t="str">
        <f t="shared" ref="AA8:AA9" si="7">+D8</f>
        <v>철강재</v>
      </c>
      <c r="AB8" s="727">
        <f>+E8/1000</f>
        <v>7.1</v>
      </c>
      <c r="AC8" s="728">
        <f>+F8/1000</f>
        <v>12.986909999999998</v>
      </c>
      <c r="AD8" s="729">
        <f t="shared" ref="AD8:AD18" si="8">+AC8-AB8</f>
        <v>5.8869099999999985</v>
      </c>
      <c r="AE8" s="730">
        <f>+H8/1000</f>
        <v>6.7481729999999995</v>
      </c>
      <c r="AF8" s="731">
        <f t="shared" ref="AF8:AF21" si="9">+AC8-AE8</f>
        <v>6.2387369999999986</v>
      </c>
      <c r="AG8" s="732">
        <f>+J8/1000</f>
        <v>48.7</v>
      </c>
      <c r="AH8" s="728">
        <f>+K8/1000</f>
        <v>61.066958</v>
      </c>
      <c r="AI8" s="729">
        <f t="shared" ref="AI8:AI22" si="10">+AH8-AG8</f>
        <v>12.366957999999997</v>
      </c>
      <c r="AJ8" s="730">
        <f>+M8/1000</f>
        <v>55.688971000000002</v>
      </c>
      <c r="AK8" s="727">
        <f t="shared" ref="AK8:AK22" si="11">+AH8-AJ8</f>
        <v>5.3779869999999974</v>
      </c>
    </row>
    <row r="9" spans="1:38" ht="21.75" customHeight="1">
      <c r="B9" s="598"/>
      <c r="C9" s="101"/>
      <c r="D9" s="106" t="s">
        <v>1</v>
      </c>
      <c r="E9" s="773">
        <f>+'[1]7월'!$AE$7/1000</f>
        <v>121.15976460353495</v>
      </c>
      <c r="F9" s="774">
        <f>+'[2]7월'!$AN$7/1000</f>
        <v>60.962000000000003</v>
      </c>
      <c r="G9" s="750">
        <f t="shared" ref="G9:G36" si="12">+F9-E9</f>
        <v>-60.197764603534949</v>
      </c>
      <c r="H9" s="751">
        <f>+'[3]7월'!$AN$7/1000</f>
        <v>47.578000000000003</v>
      </c>
      <c r="I9" s="752">
        <f t="shared" ref="I9:I36" si="13">+F9-H9</f>
        <v>13.384</v>
      </c>
      <c r="J9" s="773">
        <f>+[4]손익총괄!J9+E9</f>
        <v>620.83173849391164</v>
      </c>
      <c r="K9" s="774">
        <f>+[4]손익총괄!K9+F9</f>
        <v>557.66100000000006</v>
      </c>
      <c r="L9" s="750">
        <f t="shared" si="1"/>
        <v>-63.170738493911585</v>
      </c>
      <c r="M9" s="751">
        <f>+[4]손익총괄!M9+H9</f>
        <v>425.04100000000005</v>
      </c>
      <c r="N9" s="752">
        <f t="shared" si="2"/>
        <v>132.62</v>
      </c>
      <c r="O9" s="100"/>
      <c r="P9" s="103"/>
      <c r="Q9" s="107" t="s">
        <v>66</v>
      </c>
      <c r="R9" s="302" t="s">
        <v>19</v>
      </c>
      <c r="S9" s="315">
        <f>+[5]수도권!$T$5/1000</f>
        <v>115.5</v>
      </c>
      <c r="T9" s="108">
        <f>+[5]수도권!$U$5/1000</f>
        <v>89.347999999999999</v>
      </c>
      <c r="U9" s="747">
        <f>+T9-S9</f>
        <v>-26.152000000000001</v>
      </c>
      <c r="V9" s="748">
        <f>+[6]수도권!$T$5/1000</f>
        <v>115.35299999999999</v>
      </c>
      <c r="W9" s="749">
        <f>+T9-V9</f>
        <v>-26.004999999999995</v>
      </c>
      <c r="X9" s="105"/>
      <c r="Y9" s="598"/>
      <c r="Z9" s="803"/>
      <c r="AA9" s="670" t="str">
        <f t="shared" si="7"/>
        <v>골재</v>
      </c>
      <c r="AB9" s="676">
        <f t="shared" ref="AB9" si="14">+E9</f>
        <v>121.15976460353495</v>
      </c>
      <c r="AC9" s="682">
        <f t="shared" ref="AC9" si="15">+F9</f>
        <v>60.962000000000003</v>
      </c>
      <c r="AD9" s="679">
        <f t="shared" si="8"/>
        <v>-60.197764603534949</v>
      </c>
      <c r="AE9" s="672">
        <f t="shared" ref="AE9" si="16">+H9</f>
        <v>47.578000000000003</v>
      </c>
      <c r="AF9" s="688">
        <f t="shared" si="9"/>
        <v>13.384</v>
      </c>
      <c r="AG9" s="685">
        <f t="shared" ref="AG9" si="17">+J9</f>
        <v>620.83173849391164</v>
      </c>
      <c r="AH9" s="682">
        <f t="shared" ref="AH9" si="18">+K9</f>
        <v>557.66100000000006</v>
      </c>
      <c r="AI9" s="679">
        <f t="shared" si="10"/>
        <v>-63.170738493911585</v>
      </c>
      <c r="AJ9" s="672">
        <f t="shared" ref="AJ9" si="19">+M9</f>
        <v>425.04100000000005</v>
      </c>
      <c r="AK9" s="676">
        <f t="shared" si="11"/>
        <v>132.62</v>
      </c>
    </row>
    <row r="10" spans="1:38" ht="21.75" customHeight="1">
      <c r="B10" s="598"/>
      <c r="C10" s="109" t="s">
        <v>2</v>
      </c>
      <c r="D10" s="110" t="s">
        <v>53</v>
      </c>
      <c r="E10" s="775">
        <f>+'[1]7월'!$Z$8/1000</f>
        <v>30134.811581374979</v>
      </c>
      <c r="F10" s="776">
        <f>+'[2]7월'!$Z$8/1000</f>
        <v>26139.233464000001</v>
      </c>
      <c r="G10" s="777">
        <f t="shared" si="12"/>
        <v>-3995.5781173749783</v>
      </c>
      <c r="H10" s="778">
        <f>+'[3]7월'!$Z$8/1000</f>
        <v>26649.614642</v>
      </c>
      <c r="I10" s="779">
        <f t="shared" si="13"/>
        <v>-510.38117799999964</v>
      </c>
      <c r="J10" s="775">
        <f>+[4]손익총괄!J10+E10</f>
        <v>200915.45696046686</v>
      </c>
      <c r="K10" s="776">
        <f>+[4]손익총괄!K10+F10</f>
        <v>206378.09503699999</v>
      </c>
      <c r="L10" s="777">
        <f t="shared" si="1"/>
        <v>5462.6380765331269</v>
      </c>
      <c r="M10" s="778">
        <f>+[4]손익총괄!M10+H10</f>
        <v>216914.600466</v>
      </c>
      <c r="N10" s="779">
        <f t="shared" si="2"/>
        <v>-10536.505429000012</v>
      </c>
      <c r="O10" s="100"/>
      <c r="P10" s="103"/>
      <c r="Q10" s="111"/>
      <c r="R10" s="303" t="s">
        <v>20</v>
      </c>
      <c r="S10" s="316">
        <f>+[5]영남권!$T$5/1000</f>
        <v>127</v>
      </c>
      <c r="T10" s="112">
        <f>+[5]영남권!$U$5/1000</f>
        <v>118.756</v>
      </c>
      <c r="U10" s="750">
        <f t="shared" ref="U10:U20" si="20">+T10-S10</f>
        <v>-8.2439999999999998</v>
      </c>
      <c r="V10" s="751">
        <f>+[6]영남권!$T$5/1000</f>
        <v>111.93049999999999</v>
      </c>
      <c r="W10" s="752">
        <f t="shared" ref="W10:W20" si="21">+T10-V10</f>
        <v>6.8255000000000052</v>
      </c>
      <c r="X10" s="105"/>
      <c r="Y10" s="598"/>
      <c r="Z10" s="797" t="s">
        <v>206</v>
      </c>
      <c r="AA10" s="733" t="str">
        <f>+D10</f>
        <v>레미콘</v>
      </c>
      <c r="AB10" s="734">
        <f>+E10/100</f>
        <v>301.34811581374981</v>
      </c>
      <c r="AC10" s="735">
        <f t="shared" ref="AC10:AC13" si="22">+F10/100</f>
        <v>261.39233464</v>
      </c>
      <c r="AD10" s="736">
        <f t="shared" si="8"/>
        <v>-39.955781173749813</v>
      </c>
      <c r="AE10" s="737">
        <f t="shared" ref="AE10:AE13" si="23">+H10/100</f>
        <v>266.49614642</v>
      </c>
      <c r="AF10" s="738">
        <f t="shared" si="9"/>
        <v>-5.1038117800000009</v>
      </c>
      <c r="AG10" s="739">
        <f t="shared" ref="AG10:AG13" si="24">+J10/100</f>
        <v>2009.1545696046687</v>
      </c>
      <c r="AH10" s="735">
        <f t="shared" ref="AH10:AH13" si="25">+K10/100</f>
        <v>2063.78095037</v>
      </c>
      <c r="AI10" s="736">
        <f t="shared" si="10"/>
        <v>54.626380765331305</v>
      </c>
      <c r="AJ10" s="737">
        <f t="shared" ref="AJ10:AJ13" si="26">+M10/100</f>
        <v>2169.14600466</v>
      </c>
      <c r="AK10" s="734">
        <f t="shared" si="11"/>
        <v>-105.36505428999999</v>
      </c>
    </row>
    <row r="11" spans="1:38" ht="21.75" customHeight="1">
      <c r="B11" s="598"/>
      <c r="C11" s="101"/>
      <c r="D11" s="106" t="s">
        <v>3</v>
      </c>
      <c r="E11" s="773">
        <f>+'[1]7월'!$AA$8/1000</f>
        <v>8684.4905263157889</v>
      </c>
      <c r="F11" s="774">
        <f>+'[2]7월'!$AO$8/1000</f>
        <v>11314.648652999998</v>
      </c>
      <c r="G11" s="750">
        <f>+F11-E11</f>
        <v>2630.1581266842095</v>
      </c>
      <c r="H11" s="751">
        <f>+'[3]7월'!$AO$8/1000</f>
        <v>8183.4776199999988</v>
      </c>
      <c r="I11" s="752">
        <f>+F11-H11</f>
        <v>3131.1710329999996</v>
      </c>
      <c r="J11" s="773">
        <f>+[4]손익총괄!J11+E11</f>
        <v>59550.776842105275</v>
      </c>
      <c r="K11" s="774">
        <f>+[4]손익총괄!K11+F11</f>
        <v>60718.386735999993</v>
      </c>
      <c r="L11" s="750">
        <f t="shared" si="1"/>
        <v>1167.609893894718</v>
      </c>
      <c r="M11" s="751">
        <f>+[4]손익총괄!M11+H11</f>
        <v>67531.380195999998</v>
      </c>
      <c r="N11" s="752">
        <f t="shared" si="2"/>
        <v>-6812.9934600000051</v>
      </c>
      <c r="O11" s="100"/>
      <c r="P11" s="103"/>
      <c r="Q11" s="111"/>
      <c r="R11" s="304" t="s">
        <v>170</v>
      </c>
      <c r="S11" s="317">
        <f>+[5]중부권!$T$5/1000</f>
        <v>52</v>
      </c>
      <c r="T11" s="113">
        <f>+[5]중부권!$U$5/1000</f>
        <v>48.5535</v>
      </c>
      <c r="U11" s="753">
        <f t="shared" si="20"/>
        <v>-3.4465000000000003</v>
      </c>
      <c r="V11" s="754">
        <f>+[6]중부권!$T$5/1000</f>
        <v>41.475499999999997</v>
      </c>
      <c r="W11" s="755">
        <f t="shared" si="21"/>
        <v>7.078000000000003</v>
      </c>
      <c r="X11" s="105"/>
      <c r="Y11" s="598"/>
      <c r="Z11" s="797"/>
      <c r="AA11" s="668" t="str">
        <f t="shared" ref="AA11:AA13" si="27">+D11</f>
        <v>건자재</v>
      </c>
      <c r="AB11" s="675">
        <f t="shared" ref="AB11:AB13" si="28">+E11/100</f>
        <v>86.844905263157884</v>
      </c>
      <c r="AC11" s="681">
        <f t="shared" si="22"/>
        <v>113.14648652999999</v>
      </c>
      <c r="AD11" s="678">
        <f t="shared" si="8"/>
        <v>26.301581266842106</v>
      </c>
      <c r="AE11" s="671">
        <f t="shared" si="23"/>
        <v>81.834776199999993</v>
      </c>
      <c r="AF11" s="687">
        <f t="shared" si="9"/>
        <v>31.311710329999997</v>
      </c>
      <c r="AG11" s="684">
        <f t="shared" si="24"/>
        <v>595.50776842105279</v>
      </c>
      <c r="AH11" s="681">
        <f t="shared" si="25"/>
        <v>607.18386735999991</v>
      </c>
      <c r="AI11" s="678">
        <f t="shared" si="10"/>
        <v>11.676098938947121</v>
      </c>
      <c r="AJ11" s="671">
        <f t="shared" si="26"/>
        <v>675.31380195999998</v>
      </c>
      <c r="AK11" s="675">
        <f t="shared" si="11"/>
        <v>-68.12993460000007</v>
      </c>
    </row>
    <row r="12" spans="1:38" ht="21.75" customHeight="1">
      <c r="B12" s="598"/>
      <c r="C12" s="101"/>
      <c r="D12" s="106" t="s">
        <v>1</v>
      </c>
      <c r="E12" s="773">
        <f>+'[1]7월'!$AE$8/1000</f>
        <v>2191.7858391641043</v>
      </c>
      <c r="F12" s="774">
        <f>+'[2]7월'!$AN$8/1000</f>
        <v>1241.3230000000001</v>
      </c>
      <c r="G12" s="750">
        <f t="shared" si="12"/>
        <v>-950.46283916410425</v>
      </c>
      <c r="H12" s="751">
        <f>+'[3]7월'!$AN$8/1000</f>
        <v>935.55550000000005</v>
      </c>
      <c r="I12" s="752">
        <f t="shared" si="13"/>
        <v>305.76750000000004</v>
      </c>
      <c r="J12" s="773">
        <f>+[4]손익총괄!J12+E12</f>
        <v>12088.7489966048</v>
      </c>
      <c r="K12" s="774">
        <f>+[4]손익총괄!K12+F12</f>
        <v>11222.52958</v>
      </c>
      <c r="L12" s="750">
        <f t="shared" si="1"/>
        <v>-866.21941660479933</v>
      </c>
      <c r="M12" s="751">
        <f>+[4]손익총괄!M12+H12</f>
        <v>8158.6194000000005</v>
      </c>
      <c r="N12" s="752">
        <f t="shared" si="2"/>
        <v>3063.9101799999999</v>
      </c>
      <c r="O12" s="100"/>
      <c r="P12" s="103"/>
      <c r="Q12" s="114" t="s">
        <v>73</v>
      </c>
      <c r="R12" s="305"/>
      <c r="S12" s="318">
        <f>SUM(S9:S11)</f>
        <v>294.5</v>
      </c>
      <c r="T12" s="115">
        <f>SUM(T9:T11)</f>
        <v>256.65749999999997</v>
      </c>
      <c r="U12" s="756">
        <f t="shared" si="20"/>
        <v>-37.84250000000003</v>
      </c>
      <c r="V12" s="757">
        <f>SUM(V9:V11)</f>
        <v>268.75900000000001</v>
      </c>
      <c r="W12" s="758">
        <f t="shared" si="21"/>
        <v>-12.101500000000044</v>
      </c>
      <c r="X12" s="105"/>
      <c r="Z12" s="797"/>
      <c r="AA12" s="668" t="str">
        <f t="shared" si="27"/>
        <v>골재</v>
      </c>
      <c r="AB12" s="675">
        <f t="shared" si="28"/>
        <v>21.917858391641044</v>
      </c>
      <c r="AC12" s="681">
        <f t="shared" si="22"/>
        <v>12.41323</v>
      </c>
      <c r="AD12" s="678">
        <f t="shared" si="8"/>
        <v>-9.5046283916410435</v>
      </c>
      <c r="AE12" s="671">
        <f t="shared" si="23"/>
        <v>9.3555550000000007</v>
      </c>
      <c r="AF12" s="687">
        <f t="shared" si="9"/>
        <v>3.0576749999999997</v>
      </c>
      <c r="AG12" s="684">
        <f t="shared" si="24"/>
        <v>120.88748996604799</v>
      </c>
      <c r="AH12" s="681">
        <f t="shared" si="25"/>
        <v>112.2252958</v>
      </c>
      <c r="AI12" s="678">
        <f t="shared" si="10"/>
        <v>-8.6621941660479962</v>
      </c>
      <c r="AJ12" s="671">
        <f t="shared" si="26"/>
        <v>81.586194000000006</v>
      </c>
      <c r="AK12" s="675">
        <f t="shared" si="11"/>
        <v>30.639101799999992</v>
      </c>
    </row>
    <row r="13" spans="1:38" ht="21.75" customHeight="1">
      <c r="B13" s="598"/>
      <c r="C13" s="101"/>
      <c r="D13" s="116" t="s">
        <v>4</v>
      </c>
      <c r="E13" s="780">
        <f>+'[1]7월'!$E$8/1000-E10-E11-E12</f>
        <v>164.90750033333597</v>
      </c>
      <c r="F13" s="781">
        <f>+'[2]7월'!$F$8/1000-F10-F11-F12</f>
        <v>165.44935300000202</v>
      </c>
      <c r="G13" s="753">
        <f t="shared" si="12"/>
        <v>0.54185266666604548</v>
      </c>
      <c r="H13" s="754">
        <f>+'[3]7월'!$F$8/1000-H10-H11-H12</f>
        <v>187.52408900000717</v>
      </c>
      <c r="I13" s="755">
        <f t="shared" si="13"/>
        <v>-22.074736000005146</v>
      </c>
      <c r="J13" s="780">
        <f>+[4]손익총괄!J13+E13</f>
        <v>1154.3525023333168</v>
      </c>
      <c r="K13" s="781">
        <f>+[4]손익총괄!K13+F13</f>
        <v>1157.2093329999891</v>
      </c>
      <c r="L13" s="753">
        <f t="shared" si="1"/>
        <v>2.8568306666722947</v>
      </c>
      <c r="M13" s="754">
        <f>+[4]손익총괄!M13+H13</f>
        <v>1396.7909800000093</v>
      </c>
      <c r="N13" s="755">
        <f t="shared" si="2"/>
        <v>-239.58164700002021</v>
      </c>
      <c r="O13" s="100"/>
      <c r="P13" s="103"/>
      <c r="Q13" s="107" t="s">
        <v>74</v>
      </c>
      <c r="R13" s="302" t="s">
        <v>19</v>
      </c>
      <c r="S13" s="315">
        <f>+[5]수도권!$T$61</f>
        <v>100367.82722402584</v>
      </c>
      <c r="T13" s="108">
        <f>+[5]수도권!$U$61</f>
        <v>98771.936466854982</v>
      </c>
      <c r="U13" s="747">
        <f t="shared" si="20"/>
        <v>-1595.8907571708551</v>
      </c>
      <c r="V13" s="748">
        <f>+[6]수도권!$Q$85</f>
        <v>95276.160428088042</v>
      </c>
      <c r="W13" s="749">
        <f t="shared" si="21"/>
        <v>3495.7760387669405</v>
      </c>
      <c r="X13" s="105"/>
      <c r="Z13" s="797"/>
      <c r="AA13" s="668" t="str">
        <f t="shared" si="27"/>
        <v>기타</v>
      </c>
      <c r="AB13" s="675">
        <f t="shared" si="28"/>
        <v>1.6490750033333597</v>
      </c>
      <c r="AC13" s="681">
        <f t="shared" si="22"/>
        <v>1.6544935300000203</v>
      </c>
      <c r="AD13" s="678">
        <f t="shared" si="8"/>
        <v>5.4185266666606502E-3</v>
      </c>
      <c r="AE13" s="671">
        <f t="shared" si="23"/>
        <v>1.8752408900000717</v>
      </c>
      <c r="AF13" s="687">
        <f t="shared" si="9"/>
        <v>-0.22074736000005135</v>
      </c>
      <c r="AG13" s="684">
        <f t="shared" si="24"/>
        <v>11.543525023333167</v>
      </c>
      <c r="AH13" s="681">
        <f t="shared" si="25"/>
        <v>11.572093329999891</v>
      </c>
      <c r="AI13" s="678">
        <f t="shared" si="10"/>
        <v>2.8568306666723942E-2</v>
      </c>
      <c r="AJ13" s="671">
        <f t="shared" si="26"/>
        <v>13.967909800000093</v>
      </c>
      <c r="AK13" s="675">
        <f t="shared" si="11"/>
        <v>-2.3958164700002023</v>
      </c>
    </row>
    <row r="14" spans="1:38" ht="21.75" customHeight="1">
      <c r="A14" s="598">
        <f>+F14/E14</f>
        <v>0.9437696417040401</v>
      </c>
      <c r="B14" s="598">
        <f>+K14/J14</f>
        <v>1.0210693777694395</v>
      </c>
      <c r="C14" s="117" t="s">
        <v>8</v>
      </c>
      <c r="D14" s="118"/>
      <c r="E14" s="780">
        <f>SUM(E10:E13)</f>
        <v>41175.995447188208</v>
      </c>
      <c r="F14" s="781">
        <f>SUM(F10:F13)</f>
        <v>38860.654470000001</v>
      </c>
      <c r="G14" s="753">
        <f t="shared" si="12"/>
        <v>-2315.340977188207</v>
      </c>
      <c r="H14" s="754">
        <f>SUM(H10:H13)</f>
        <v>35956.171851000006</v>
      </c>
      <c r="I14" s="755">
        <f t="shared" si="13"/>
        <v>2904.4826189999949</v>
      </c>
      <c r="J14" s="780">
        <f>SUM(J10:J13)</f>
        <v>273709.33530151023</v>
      </c>
      <c r="K14" s="781">
        <f>SUM(K10:K13)</f>
        <v>279476.22068599996</v>
      </c>
      <c r="L14" s="753">
        <f t="shared" si="1"/>
        <v>5766.8853844897239</v>
      </c>
      <c r="M14" s="754">
        <f>SUM(M10:M13)</f>
        <v>294001.39104200003</v>
      </c>
      <c r="N14" s="755">
        <f t="shared" si="2"/>
        <v>-14525.170356000075</v>
      </c>
      <c r="O14" s="100"/>
      <c r="P14" s="103"/>
      <c r="Q14" s="111"/>
      <c r="R14" s="303" t="s">
        <v>20</v>
      </c>
      <c r="S14" s="316">
        <f>+[5]영남권!$T$61</f>
        <v>102558.70683464568</v>
      </c>
      <c r="T14" s="112">
        <f>+[5]영남권!$U$61</f>
        <v>102226.31902507246</v>
      </c>
      <c r="U14" s="750">
        <f t="shared" si="20"/>
        <v>-332.3878095732216</v>
      </c>
      <c r="V14" s="751">
        <f>+[6]영남권!$Q$85</f>
        <v>101161.29260188452</v>
      </c>
      <c r="W14" s="752">
        <f t="shared" si="21"/>
        <v>1065.026423187941</v>
      </c>
      <c r="X14" s="105"/>
      <c r="Y14" s="598"/>
      <c r="Z14" s="696"/>
      <c r="AA14" s="706" t="s">
        <v>208</v>
      </c>
      <c r="AB14" s="707">
        <f>SUM(AB10:AB13)</f>
        <v>411.75995447188211</v>
      </c>
      <c r="AC14" s="724">
        <f t="shared" ref="AC14:AJ14" si="29">SUM(AC10:AC13)</f>
        <v>388.60654470000003</v>
      </c>
      <c r="AD14" s="708">
        <f t="shared" si="8"/>
        <v>-23.153409771882082</v>
      </c>
      <c r="AE14" s="709">
        <f t="shared" si="29"/>
        <v>359.56171851000011</v>
      </c>
      <c r="AF14" s="710">
        <f t="shared" si="9"/>
        <v>29.044826189999924</v>
      </c>
      <c r="AG14" s="711">
        <f t="shared" si="29"/>
        <v>2737.0933530151028</v>
      </c>
      <c r="AH14" s="724">
        <f t="shared" si="29"/>
        <v>2794.7622068599999</v>
      </c>
      <c r="AI14" s="708">
        <f t="shared" si="10"/>
        <v>57.668853844897058</v>
      </c>
      <c r="AJ14" s="709">
        <f t="shared" si="29"/>
        <v>2940.0139104200002</v>
      </c>
      <c r="AK14" s="707">
        <f t="shared" si="11"/>
        <v>-145.25170356000035</v>
      </c>
    </row>
    <row r="15" spans="1:38" ht="21.75" customHeight="1">
      <c r="C15" s="101" t="s">
        <v>5</v>
      </c>
      <c r="D15" s="110" t="s">
        <v>53</v>
      </c>
      <c r="E15" s="775">
        <f>+('[1]7월'!$Z$10+'[1]7월'!$Z$19)/1000</f>
        <v>24780.395492290783</v>
      </c>
      <c r="F15" s="776">
        <f>+('[2]7월'!$Z$10+'[2]7월'!$Z$19)/1000</f>
        <v>22759.689449999998</v>
      </c>
      <c r="G15" s="777">
        <f t="shared" si="12"/>
        <v>-2020.7060422907853</v>
      </c>
      <c r="H15" s="778">
        <f>+('[3]7월'!$Z$10+'[3]7월'!$Z$19)/1000</f>
        <v>21920.141578999999</v>
      </c>
      <c r="I15" s="779">
        <f t="shared" si="13"/>
        <v>839.54787099999885</v>
      </c>
      <c r="J15" s="775">
        <f>+[4]손익총괄!J15+E15</f>
        <v>168554.96958998157</v>
      </c>
      <c r="K15" s="776">
        <f>+[4]손익총괄!K15+F15</f>
        <v>178110.17749000003</v>
      </c>
      <c r="L15" s="777">
        <f t="shared" si="1"/>
        <v>9555.2079000184604</v>
      </c>
      <c r="M15" s="778">
        <f>+[4]손익총괄!M15+H15</f>
        <v>178123.59869401</v>
      </c>
      <c r="N15" s="779">
        <f t="shared" si="2"/>
        <v>-13.421204009966459</v>
      </c>
      <c r="O15" s="100"/>
      <c r="P15" s="103"/>
      <c r="Q15" s="111"/>
      <c r="R15" s="304" t="s">
        <v>169</v>
      </c>
      <c r="S15" s="317">
        <f>+[5]중부권!$T$61</f>
        <v>106103.30324999998</v>
      </c>
      <c r="T15" s="113">
        <f>+[5]중부권!$U$61</f>
        <v>106628.96234051097</v>
      </c>
      <c r="U15" s="753">
        <f t="shared" si="20"/>
        <v>525.65909051099152</v>
      </c>
      <c r="V15" s="754">
        <f>+[6]중부권!$Q$85</f>
        <v>104529.84050467912</v>
      </c>
      <c r="W15" s="755">
        <f t="shared" si="21"/>
        <v>2099.1218358318583</v>
      </c>
      <c r="X15" s="105"/>
      <c r="Z15" s="791" t="s">
        <v>207</v>
      </c>
      <c r="AA15" s="740" t="str">
        <f>+D30</f>
        <v>레미콘</v>
      </c>
      <c r="AB15" s="741">
        <f>+E30/100</f>
        <v>47.064199290841962</v>
      </c>
      <c r="AC15" s="742">
        <f t="shared" ref="AC15:AC18" si="30">+F30/100</f>
        <v>27.249975230000029</v>
      </c>
      <c r="AD15" s="743">
        <f t="shared" si="8"/>
        <v>-19.814224060841934</v>
      </c>
      <c r="AE15" s="744">
        <f t="shared" ref="AE15:AE18" si="31">+H30/100</f>
        <v>41.068086640000011</v>
      </c>
      <c r="AF15" s="745">
        <f t="shared" si="9"/>
        <v>-13.818111409999982</v>
      </c>
      <c r="AG15" s="746">
        <f t="shared" ref="AG15:AH15" si="32">+J30/100</f>
        <v>277.53885732485293</v>
      </c>
      <c r="AH15" s="742">
        <f t="shared" si="32"/>
        <v>236.46859619999958</v>
      </c>
      <c r="AI15" s="743">
        <f t="shared" si="10"/>
        <v>-41.070261124853346</v>
      </c>
      <c r="AJ15" s="744">
        <f t="shared" ref="AJ15:AJ18" si="33">+M30/100</f>
        <v>342.75945976990005</v>
      </c>
      <c r="AK15" s="741">
        <f t="shared" si="11"/>
        <v>-106.29086356990047</v>
      </c>
    </row>
    <row r="16" spans="1:38" ht="21.75" customHeight="1">
      <c r="C16" s="101"/>
      <c r="D16" s="106" t="s">
        <v>3</v>
      </c>
      <c r="E16" s="773">
        <f>+('[1]7월'!$AA$10+'[1]7월'!$AA$19)/1000</f>
        <v>8462.6954458105247</v>
      </c>
      <c r="F16" s="774">
        <f>+('[2]7월'!$AO$10+'[2]7월'!$AO$19)/1000</f>
        <v>11193.012956</v>
      </c>
      <c r="G16" s="750">
        <f>+F16-E16</f>
        <v>2730.3175101894758</v>
      </c>
      <c r="H16" s="751">
        <f>+('[3]7월'!$AO$10+'[3]7월'!$AO$19)/1000</f>
        <v>7986.5306</v>
      </c>
      <c r="I16" s="752">
        <f>+F16-H16</f>
        <v>3206.4823560000004</v>
      </c>
      <c r="J16" s="773">
        <f>+[4]손익총괄!J16+E16</f>
        <v>58027.237123536834</v>
      </c>
      <c r="K16" s="774">
        <f>+[4]손익총괄!K16+F16</f>
        <v>59364.069138999999</v>
      </c>
      <c r="L16" s="750">
        <f t="shared" si="1"/>
        <v>1336.8320154631656</v>
      </c>
      <c r="M16" s="751">
        <f>+[4]손익총괄!M16+H16</f>
        <v>66145.746673999995</v>
      </c>
      <c r="N16" s="752">
        <f t="shared" si="2"/>
        <v>-6781.6775349999953</v>
      </c>
      <c r="O16" s="100"/>
      <c r="P16" s="103"/>
      <c r="Q16" s="114" t="s">
        <v>73</v>
      </c>
      <c r="R16" s="305"/>
      <c r="S16" s="318">
        <f>+[5]합계!$T$61</f>
        <v>102325.33643930384</v>
      </c>
      <c r="T16" s="115">
        <f>+[5]합계!$U$61</f>
        <v>101862.35624803558</v>
      </c>
      <c r="U16" s="756">
        <f>+T16-S16</f>
        <v>-462.98019126825966</v>
      </c>
      <c r="V16" s="757">
        <f>+[6]합계!$Q$85</f>
        <v>99152.128821664402</v>
      </c>
      <c r="W16" s="758">
        <f>+T16-V16</f>
        <v>2710.2274263711734</v>
      </c>
      <c r="X16" s="105"/>
      <c r="Z16" s="792"/>
      <c r="AA16" s="698" t="str">
        <f t="shared" ref="AA16" si="34">+D31</f>
        <v>%</v>
      </c>
      <c r="AB16" s="699">
        <f>+E31</f>
        <v>0.15617884042099106</v>
      </c>
      <c r="AC16" s="700">
        <f>+F31</f>
        <v>0.10424932799781518</v>
      </c>
      <c r="AD16" s="701">
        <f t="shared" si="8"/>
        <v>-5.192951242317588E-2</v>
      </c>
      <c r="AE16" s="702">
        <f>+H31</f>
        <v>0.1541038667601459</v>
      </c>
      <c r="AF16" s="703">
        <f t="shared" si="9"/>
        <v>-4.9854538762330716E-2</v>
      </c>
      <c r="AG16" s="704">
        <f>+J31</f>
        <v>0.13813713565077418</v>
      </c>
      <c r="AH16" s="700">
        <f>+K31</f>
        <v>0.11458027856958602</v>
      </c>
      <c r="AI16" s="701">
        <f t="shared" si="10"/>
        <v>-2.3556857081188154E-2</v>
      </c>
      <c r="AJ16" s="702">
        <f>+M31</f>
        <v>0.15801585464212467</v>
      </c>
      <c r="AK16" s="699">
        <f t="shared" si="11"/>
        <v>-4.3435576072538645E-2</v>
      </c>
      <c r="AL16" s="705"/>
    </row>
    <row r="17" spans="2:37" ht="21.75" customHeight="1">
      <c r="C17" s="101"/>
      <c r="D17" s="106" t="s">
        <v>1</v>
      </c>
      <c r="E17" s="773">
        <f>+('[1]7월'!$AE$10+'[1]7월'!$AE$19)/1000</f>
        <v>1953.7065558256731</v>
      </c>
      <c r="F17" s="774">
        <f>+('[2]7월'!$AN$10+'[2]7월'!$AN$19)/1000</f>
        <v>1252.1427780000001</v>
      </c>
      <c r="G17" s="750">
        <f t="shared" si="12"/>
        <v>-701.56377782567301</v>
      </c>
      <c r="H17" s="751">
        <f>+('[3]7월'!$AN$10+'[3]7월'!$AN$19)/1000</f>
        <v>946.54239800999994</v>
      </c>
      <c r="I17" s="752">
        <f t="shared" si="13"/>
        <v>305.60037999000019</v>
      </c>
      <c r="J17" s="773">
        <f>+[4]손익총괄!J17+E17</f>
        <v>10905.177765246439</v>
      </c>
      <c r="K17" s="774">
        <f>+[4]손익총괄!K17+F17</f>
        <v>10244.779996009998</v>
      </c>
      <c r="L17" s="750">
        <f t="shared" si="1"/>
        <v>-660.39776923644058</v>
      </c>
      <c r="M17" s="751">
        <f>+[4]손익총괄!M17+H17</f>
        <v>7384.2662589899992</v>
      </c>
      <c r="N17" s="752">
        <f t="shared" si="2"/>
        <v>2860.5137370199991</v>
      </c>
      <c r="O17" s="100"/>
      <c r="P17" s="103"/>
      <c r="Q17" s="297" t="s">
        <v>75</v>
      </c>
      <c r="R17" s="306" t="s">
        <v>19</v>
      </c>
      <c r="S17" s="319">
        <f>+[5]수도권!$Q$90</f>
        <v>22983.49790155243</v>
      </c>
      <c r="T17" s="119">
        <f>+[5]수도권!$R$90</f>
        <v>17992.98078553543</v>
      </c>
      <c r="U17" s="759">
        <f t="shared" si="20"/>
        <v>-4990.5171160169994</v>
      </c>
      <c r="V17" s="760">
        <f>+[6]수도권!$Q$90</f>
        <v>22612.11988577561</v>
      </c>
      <c r="W17" s="761">
        <f t="shared" si="21"/>
        <v>-4619.1391002401797</v>
      </c>
      <c r="X17" s="105"/>
      <c r="Z17" s="792"/>
      <c r="AA17" s="669" t="str">
        <f t="shared" ref="AA17" si="35">+D32</f>
        <v>건자재</v>
      </c>
      <c r="AB17" s="677">
        <f t="shared" ref="AB17:AB18" si="36">+E32/100</f>
        <v>1.0029102050526419</v>
      </c>
      <c r="AC17" s="683">
        <f t="shared" si="30"/>
        <v>-0.39569616000002128</v>
      </c>
      <c r="AD17" s="680">
        <f t="shared" si="8"/>
        <v>-1.3986063650526632</v>
      </c>
      <c r="AE17" s="673">
        <f t="shared" si="31"/>
        <v>0.87789722999998698</v>
      </c>
      <c r="AF17" s="689">
        <f t="shared" si="9"/>
        <v>-1.2735933900000083</v>
      </c>
      <c r="AG17" s="686">
        <f t="shared" ref="AG17:AH17" si="37">+J32/100</f>
        <v>6.4701094856844135</v>
      </c>
      <c r="AH17" s="683">
        <f t="shared" si="37"/>
        <v>3.7555281899999384</v>
      </c>
      <c r="AI17" s="680">
        <f t="shared" si="10"/>
        <v>-2.714581295684475</v>
      </c>
      <c r="AJ17" s="673">
        <f t="shared" si="33"/>
        <v>5.8168383000000379</v>
      </c>
      <c r="AK17" s="677">
        <f t="shared" si="11"/>
        <v>-2.0613101100000994</v>
      </c>
    </row>
    <row r="18" spans="2:37" ht="21.75" customHeight="1">
      <c r="C18" s="101"/>
      <c r="D18" s="116" t="s">
        <v>4</v>
      </c>
      <c r="E18" s="780">
        <f>+('[1]7월'!$E$10+'[1]7월'!$E$19)/1000-E15-E16-E17</f>
        <v>65.348897999999735</v>
      </c>
      <c r="F18" s="781">
        <f>+('[2]7월'!$F$10+'[2]7월'!$F$19)/1000-F15-F16-F17</f>
        <v>25.575634999993099</v>
      </c>
      <c r="G18" s="753">
        <f t="shared" si="12"/>
        <v>-39.773263000006637</v>
      </c>
      <c r="H18" s="754">
        <f>+('[3]7월'!$F$10+'[3]7월'!$F$19)/1000-H15-H16-H17</f>
        <v>30.774525000001177</v>
      </c>
      <c r="I18" s="755">
        <f t="shared" si="13"/>
        <v>-5.1988900000080775</v>
      </c>
      <c r="J18" s="780">
        <f>+[4]손익총괄!J18+E18</f>
        <v>-915.42509700001051</v>
      </c>
      <c r="K18" s="781">
        <f>+[4]손익총괄!K18+F18</f>
        <v>351.13888800000313</v>
      </c>
      <c r="L18" s="753">
        <f t="shared" si="1"/>
        <v>1266.5639850000136</v>
      </c>
      <c r="M18" s="754">
        <f>+[4]손익총괄!M18+H18</f>
        <v>429.57843000002276</v>
      </c>
      <c r="N18" s="755">
        <f t="shared" si="2"/>
        <v>-78.439542000019628</v>
      </c>
      <c r="O18" s="100"/>
      <c r="P18" s="103"/>
      <c r="Q18" s="298"/>
      <c r="R18" s="307" t="s">
        <v>20</v>
      </c>
      <c r="S18" s="320">
        <f>+[5]영남권!$Q$90</f>
        <v>27653.408667239564</v>
      </c>
      <c r="T18" s="120">
        <f>+[5]영남권!$R$90</f>
        <v>22717.771955314282</v>
      </c>
      <c r="U18" s="762">
        <f t="shared" si="20"/>
        <v>-4935.6367119252827</v>
      </c>
      <c r="V18" s="763">
        <f>+[6]영남권!$Q$90</f>
        <v>28245.72081369668</v>
      </c>
      <c r="W18" s="764">
        <f t="shared" si="21"/>
        <v>-5527.9488583823986</v>
      </c>
      <c r="X18" s="105"/>
      <c r="Z18" s="792"/>
      <c r="AA18" s="669" t="str">
        <f t="shared" ref="AA18" si="38">+D33</f>
        <v>골재</v>
      </c>
      <c r="AB18" s="677">
        <f t="shared" si="36"/>
        <v>2.0289453333843119</v>
      </c>
      <c r="AC18" s="683">
        <f t="shared" si="30"/>
        <v>-1.1055667007208512</v>
      </c>
      <c r="AD18" s="680">
        <f t="shared" si="8"/>
        <v>-3.1345120341051631</v>
      </c>
      <c r="AE18" s="673">
        <f t="shared" si="31"/>
        <v>-0.20329555009999889</v>
      </c>
      <c r="AF18" s="689">
        <f t="shared" si="9"/>
        <v>-0.90227115062085228</v>
      </c>
      <c r="AG18" s="686">
        <f t="shared" ref="AG18:AH18" si="39">+J33/100</f>
        <v>7.4531129624724963</v>
      </c>
      <c r="AH18" s="683">
        <f t="shared" si="39"/>
        <v>6.0996158296959084</v>
      </c>
      <c r="AI18" s="680">
        <f t="shared" si="10"/>
        <v>-1.3534971327765879</v>
      </c>
      <c r="AJ18" s="673">
        <f t="shared" si="33"/>
        <v>5.1550173001000141</v>
      </c>
      <c r="AK18" s="677">
        <f t="shared" si="11"/>
        <v>0.9445985295958943</v>
      </c>
    </row>
    <row r="19" spans="2:37" ht="21.75" customHeight="1">
      <c r="C19" s="101" t="s">
        <v>8</v>
      </c>
      <c r="D19" s="121"/>
      <c r="E19" s="773">
        <f>SUM(E15:E18)</f>
        <v>35262.146391926974</v>
      </c>
      <c r="F19" s="774">
        <f>SUM(F15:F18)</f>
        <v>35230.420818999992</v>
      </c>
      <c r="G19" s="750">
        <f t="shared" si="12"/>
        <v>-31.72557292698184</v>
      </c>
      <c r="H19" s="751">
        <f>SUM(H15:H18)</f>
        <v>30883.98910201</v>
      </c>
      <c r="I19" s="752">
        <f t="shared" si="13"/>
        <v>4346.4317169899914</v>
      </c>
      <c r="J19" s="773">
        <f>SUM(J15:J18)</f>
        <v>236571.95938176487</v>
      </c>
      <c r="K19" s="774">
        <f>SUM(K15:K18)</f>
        <v>248070.16551301006</v>
      </c>
      <c r="L19" s="750">
        <f t="shared" si="1"/>
        <v>11498.206131245184</v>
      </c>
      <c r="M19" s="751">
        <f>SUM(M15:M18)</f>
        <v>252083.190057</v>
      </c>
      <c r="N19" s="752">
        <f t="shared" si="2"/>
        <v>-4013.0245439899445</v>
      </c>
      <c r="O19" s="100"/>
      <c r="P19" s="103"/>
      <c r="Q19" s="298"/>
      <c r="R19" s="308" t="s">
        <v>169</v>
      </c>
      <c r="S19" s="321">
        <f>+[5]중부권!$Q$90</f>
        <v>29878.312345002385</v>
      </c>
      <c r="T19" s="122">
        <f>+[5]중부권!$R$90</f>
        <v>30402.808176542152</v>
      </c>
      <c r="U19" s="765">
        <f t="shared" si="20"/>
        <v>524.4958315397671</v>
      </c>
      <c r="V19" s="766">
        <f>+[6]중부권!$Q$90</f>
        <v>29238.394809127858</v>
      </c>
      <c r="W19" s="767">
        <f t="shared" si="21"/>
        <v>1164.413367414294</v>
      </c>
      <c r="X19" s="105"/>
      <c r="AA19" s="669" t="s">
        <v>248</v>
      </c>
      <c r="AB19" s="677">
        <f>+'사업장별(당월)'!T35/100</f>
        <v>-12.344133993448704</v>
      </c>
      <c r="AC19" s="683">
        <f>+'사업장별(당월)'!U35/100</f>
        <v>-13.384278729277705</v>
      </c>
      <c r="AD19" s="680">
        <f>+AC19-AB19</f>
        <v>-1.040144735829001</v>
      </c>
      <c r="AE19" s="673">
        <f>+'사업장별(당월)'!W35/100</f>
        <v>-11.81052113</v>
      </c>
      <c r="AF19" s="689">
        <f t="shared" si="9"/>
        <v>-1.5737575992777053</v>
      </c>
      <c r="AG19" s="686">
        <f>+'사업장별(누계)'!T35/100</f>
        <v>-102.26758739892993</v>
      </c>
      <c r="AH19" s="683">
        <f>+'사업장별(누계)'!U35/100</f>
        <v>-103.90771730975446</v>
      </c>
      <c r="AI19" s="680">
        <f t="shared" si="10"/>
        <v>-1.6401299108245269</v>
      </c>
      <c r="AJ19" s="673">
        <f>+'사업장별(누계)'!W35/100</f>
        <v>-81.660362049999989</v>
      </c>
      <c r="AK19" s="677">
        <f t="shared" si="11"/>
        <v>-22.247355259754471</v>
      </c>
    </row>
    <row r="20" spans="2:37" ht="21.75" customHeight="1">
      <c r="C20" s="109" t="s">
        <v>18</v>
      </c>
      <c r="D20" s="110" t="s">
        <v>53</v>
      </c>
      <c r="E20" s="775">
        <f t="shared" ref="E20:F23" si="40">+E10-E15</f>
        <v>5354.4160890841958</v>
      </c>
      <c r="F20" s="776">
        <f t="shared" si="40"/>
        <v>3379.5440140000028</v>
      </c>
      <c r="G20" s="777">
        <f t="shared" si="12"/>
        <v>-1974.8720750841931</v>
      </c>
      <c r="H20" s="778">
        <f t="shared" ref="H20" si="41">+H10-H15</f>
        <v>4729.4730630000013</v>
      </c>
      <c r="I20" s="779">
        <f t="shared" si="13"/>
        <v>-1349.9290489999985</v>
      </c>
      <c r="J20" s="775">
        <f t="shared" ref="J20:K20" si="42">+J10-J15</f>
        <v>32360.487370485294</v>
      </c>
      <c r="K20" s="776">
        <f t="shared" si="42"/>
        <v>28267.917546999961</v>
      </c>
      <c r="L20" s="777">
        <f t="shared" si="1"/>
        <v>-4092.5698234853335</v>
      </c>
      <c r="M20" s="778">
        <f t="shared" ref="M20" si="43">+M10-M15</f>
        <v>38791.001771990006</v>
      </c>
      <c r="N20" s="779">
        <f t="shared" si="2"/>
        <v>-10523.084224990045</v>
      </c>
      <c r="O20" s="100"/>
      <c r="P20" s="103"/>
      <c r="Q20" s="299" t="s">
        <v>73</v>
      </c>
      <c r="R20" s="309"/>
      <c r="S20" s="322">
        <f>+[5]합계!$Q$90</f>
        <v>26214.767912763491</v>
      </c>
      <c r="T20" s="123">
        <f>+[5]합계!$R$90</f>
        <v>22535.082813305955</v>
      </c>
      <c r="U20" s="768">
        <f t="shared" si="20"/>
        <v>-3679.6850994575361</v>
      </c>
      <c r="V20" s="769">
        <f>+[6]합계!$Q$90</f>
        <v>25981.936309377183</v>
      </c>
      <c r="W20" s="770">
        <f t="shared" si="21"/>
        <v>-3446.8534960712277</v>
      </c>
      <c r="X20" s="105"/>
      <c r="AA20" s="669" t="str">
        <f>+'사업장별(누계)'!I34</f>
        <v>임대</v>
      </c>
      <c r="AB20" s="677">
        <f>+('사업장별(당월)'!T33+'사업장별(당월)'!T34)/100</f>
        <v>1.3419643233333334</v>
      </c>
      <c r="AC20" s="683">
        <f>+('사업장별(당월)'!U33+'사업장별(당월)'!U34)/100</f>
        <v>1.35196867</v>
      </c>
      <c r="AD20" s="680">
        <f t="shared" ref="AD20:AD21" si="44">+AC20-AB20</f>
        <v>1.0004346666666608E-2</v>
      </c>
      <c r="AE20" s="673">
        <f>+('사업장별(당월)'!W33+'사업장별(당월)'!W34)/100</f>
        <v>1.2660978800000002</v>
      </c>
      <c r="AF20" s="689">
        <f t="shared" si="9"/>
        <v>8.5870789999999753E-2</v>
      </c>
      <c r="AG20" s="686">
        <f>+('사업장별(누계)'!T33+'사업장별(누계)'!T34)/100</f>
        <v>9.097267493333332</v>
      </c>
      <c r="AH20" s="683">
        <f>+('사업장별(누계)'!U33+'사업장별(누계)'!U34)/100</f>
        <v>8.72533387</v>
      </c>
      <c r="AI20" s="680">
        <f t="shared" si="10"/>
        <v>-0.37193362333333191</v>
      </c>
      <c r="AJ20" s="673">
        <f>+('사업장별(누계)'!W33+'사업장별(누계)'!W34)/100</f>
        <v>8.0291195599999998</v>
      </c>
      <c r="AK20" s="677">
        <f t="shared" si="11"/>
        <v>0.69621431000000022</v>
      </c>
    </row>
    <row r="21" spans="2:37" ht="21.75" customHeight="1">
      <c r="C21" s="101"/>
      <c r="D21" s="106" t="s">
        <v>3</v>
      </c>
      <c r="E21" s="773">
        <f t="shared" si="40"/>
        <v>221.7950805052642</v>
      </c>
      <c r="F21" s="774">
        <f t="shared" si="40"/>
        <v>121.63569699999789</v>
      </c>
      <c r="G21" s="750">
        <f>+F21-E21</f>
        <v>-100.15938350526631</v>
      </c>
      <c r="H21" s="751">
        <f t="shared" ref="H21" si="45">+H11-H16</f>
        <v>196.9470199999987</v>
      </c>
      <c r="I21" s="752">
        <f>+F21-H21</f>
        <v>-75.311323000000812</v>
      </c>
      <c r="J21" s="773">
        <f t="shared" ref="J21:K21" si="46">+J11-J16</f>
        <v>1523.5397185684415</v>
      </c>
      <c r="K21" s="774">
        <f t="shared" si="46"/>
        <v>1354.3175969999938</v>
      </c>
      <c r="L21" s="750">
        <f t="shared" si="1"/>
        <v>-169.22212156844762</v>
      </c>
      <c r="M21" s="751">
        <f t="shared" ref="M21" si="47">+M11-M16</f>
        <v>1385.6335220000037</v>
      </c>
      <c r="N21" s="752">
        <f t="shared" si="2"/>
        <v>-31.315925000009884</v>
      </c>
      <c r="O21" s="100"/>
      <c r="P21" s="103"/>
      <c r="Q21" s="157" t="s">
        <v>106</v>
      </c>
      <c r="R21" s="158"/>
      <c r="S21" s="159"/>
      <c r="T21" s="165"/>
      <c r="U21" s="159"/>
      <c r="X21" s="105"/>
      <c r="AA21" s="669" t="str">
        <f>+'사업장별(누계)'!I37</f>
        <v>대손</v>
      </c>
      <c r="AB21" s="677">
        <f>+'사업장별(당월)'!T37/100</f>
        <v>0</v>
      </c>
      <c r="AC21" s="683">
        <f>+'사업장별(당월)'!U37/100</f>
        <v>0</v>
      </c>
      <c r="AD21" s="680">
        <f t="shared" si="44"/>
        <v>0</v>
      </c>
      <c r="AE21" s="673">
        <f>+'사업장별(당월)'!W37/100</f>
        <v>0</v>
      </c>
      <c r="AF21" s="689">
        <f t="shared" si="9"/>
        <v>0</v>
      </c>
      <c r="AG21" s="686">
        <f>+'사업장별(누계)'!T37/100</f>
        <v>0</v>
      </c>
      <c r="AH21" s="683">
        <f>+'사업장별(누계)'!U37/100</f>
        <v>-9.75507715</v>
      </c>
      <c r="AI21" s="680">
        <f t="shared" si="10"/>
        <v>-9.75507715</v>
      </c>
      <c r="AJ21" s="673">
        <f>+'사업장별(누계)'!W37/100</f>
        <v>-12.470691369999999</v>
      </c>
      <c r="AK21" s="677">
        <f t="shared" si="11"/>
        <v>2.7156142199999991</v>
      </c>
    </row>
    <row r="22" spans="2:37" ht="21.75" customHeight="1">
      <c r="C22" s="101"/>
      <c r="D22" s="106" t="s">
        <v>1</v>
      </c>
      <c r="E22" s="773">
        <f t="shared" si="40"/>
        <v>238.0792833384312</v>
      </c>
      <c r="F22" s="774">
        <f t="shared" si="40"/>
        <v>-10.819778000000042</v>
      </c>
      <c r="G22" s="750">
        <f t="shared" si="12"/>
        <v>-248.89906133843124</v>
      </c>
      <c r="H22" s="751">
        <f t="shared" ref="H22" si="48">+H12-H17</f>
        <v>-10.986898009999891</v>
      </c>
      <c r="I22" s="752">
        <f t="shared" si="13"/>
        <v>0.16712000999984866</v>
      </c>
      <c r="J22" s="773">
        <f t="shared" ref="J22:K22" si="49">+J12-J17</f>
        <v>1183.5712313583608</v>
      </c>
      <c r="K22" s="774">
        <f t="shared" si="49"/>
        <v>977.74958399000207</v>
      </c>
      <c r="L22" s="750">
        <f t="shared" si="1"/>
        <v>-205.82164736835875</v>
      </c>
      <c r="M22" s="751">
        <f t="shared" ref="M22" si="50">+M12-M17</f>
        <v>774.35314101000131</v>
      </c>
      <c r="N22" s="752">
        <f t="shared" si="2"/>
        <v>203.39644298000076</v>
      </c>
      <c r="O22" s="100"/>
      <c r="P22" s="103"/>
      <c r="Q22" s="345" t="s">
        <v>11</v>
      </c>
      <c r="R22" s="346"/>
      <c r="S22" s="347" t="s">
        <v>15</v>
      </c>
      <c r="T22" s="348" t="s">
        <v>16</v>
      </c>
      <c r="U22" s="349" t="s">
        <v>113</v>
      </c>
      <c r="V22" s="348" t="s">
        <v>17</v>
      </c>
      <c r="W22" s="350" t="s">
        <v>114</v>
      </c>
      <c r="X22" s="105"/>
      <c r="Z22" s="792"/>
      <c r="AA22" s="669" t="str">
        <f>+D34</f>
        <v>기타</v>
      </c>
      <c r="AB22" s="677">
        <f>+AB26-AB19-AB20-AB21</f>
        <v>-1.1504929244446087</v>
      </c>
      <c r="AC22" s="683">
        <f>+AC26-AC19-AC20-AC21</f>
        <v>-0.51143326999993399</v>
      </c>
      <c r="AD22" s="680">
        <f>+AC22-AB22</f>
        <v>0.63905965444467472</v>
      </c>
      <c r="AE22" s="673">
        <f>+AE26-AE19-AE20-AE21</f>
        <v>-0.26791871999995465</v>
      </c>
      <c r="AF22" s="689">
        <f>+AC22-AE22</f>
        <v>-0.24351454999997935</v>
      </c>
      <c r="AG22" s="686">
        <f>+AG26-AG19-AG20-AG21</f>
        <v>6.9119491988877702</v>
      </c>
      <c r="AH22" s="683">
        <f>+AH26-AH19-AH20-AH21</f>
        <v>-4.7179521500001211</v>
      </c>
      <c r="AI22" s="680">
        <f t="shared" si="10"/>
        <v>-11.629901348887891</v>
      </c>
      <c r="AJ22" s="673">
        <f>+AJ26-AJ19-AJ20-AJ21</f>
        <v>-2.4280690199999526</v>
      </c>
      <c r="AK22" s="677">
        <f t="shared" si="11"/>
        <v>-2.2898831300001685</v>
      </c>
    </row>
    <row r="23" spans="2:37" ht="21.75" customHeight="1">
      <c r="C23" s="101"/>
      <c r="D23" s="116" t="s">
        <v>4</v>
      </c>
      <c r="E23" s="780">
        <f t="shared" si="40"/>
        <v>99.558602333336239</v>
      </c>
      <c r="F23" s="781">
        <f t="shared" si="40"/>
        <v>139.87371800000892</v>
      </c>
      <c r="G23" s="753">
        <f t="shared" si="12"/>
        <v>40.315115666672682</v>
      </c>
      <c r="H23" s="754">
        <f t="shared" ref="H23" si="51">+H13-H18</f>
        <v>156.74956400000599</v>
      </c>
      <c r="I23" s="755">
        <f t="shared" si="13"/>
        <v>-16.875845999997068</v>
      </c>
      <c r="J23" s="780">
        <f t="shared" ref="J23:K23" si="52">+J13-J18</f>
        <v>2069.7775993333271</v>
      </c>
      <c r="K23" s="781">
        <f t="shared" si="52"/>
        <v>806.07044499998597</v>
      </c>
      <c r="L23" s="753">
        <f t="shared" si="1"/>
        <v>-1263.7071543333411</v>
      </c>
      <c r="M23" s="754">
        <f t="shared" ref="M23" si="53">+M13-M18</f>
        <v>967.21254999998655</v>
      </c>
      <c r="N23" s="755">
        <f t="shared" si="2"/>
        <v>-161.14210500000058</v>
      </c>
      <c r="O23" s="100"/>
      <c r="P23" s="103"/>
      <c r="Q23" s="160" t="s">
        <v>107</v>
      </c>
      <c r="R23" s="161"/>
      <c r="S23" s="331">
        <f>+'[7]7월'!$F$10</f>
        <v>975352.11267605633</v>
      </c>
      <c r="T23" s="337">
        <f>+'[7]7월'!$G$10</f>
        <v>751049.2097042331</v>
      </c>
      <c r="U23" s="334">
        <f>+T23-S23</f>
        <v>-224302.90297182323</v>
      </c>
      <c r="V23" s="313">
        <f>+'[8]7월'!$G$10</f>
        <v>1025254.3120930659</v>
      </c>
      <c r="W23" s="310">
        <f>+T23-V23</f>
        <v>-274205.10238883283</v>
      </c>
      <c r="X23" s="105"/>
      <c r="Z23" s="792"/>
      <c r="AA23" s="712" t="s">
        <v>208</v>
      </c>
      <c r="AB23" s="713">
        <f>SUM(AB15,AB17:AB22)</f>
        <v>37.943392234718949</v>
      </c>
      <c r="AC23" s="725">
        <f>SUM(AC15,AC17:AC22)</f>
        <v>13.204969040001519</v>
      </c>
      <c r="AD23" s="714">
        <f>+AC23-AB23</f>
        <v>-24.738423194717431</v>
      </c>
      <c r="AE23" s="715">
        <f>SUM(AE15,AE17:AE22)</f>
        <v>30.930346349900045</v>
      </c>
      <c r="AF23" s="716">
        <f>+AC23-AE23</f>
        <v>-17.725377309898526</v>
      </c>
      <c r="AG23" s="717">
        <f>SUM(AG15,AG17:AG22)</f>
        <v>205.20370906630103</v>
      </c>
      <c r="AH23" s="725">
        <f>SUM(AH15,AH17:AH22)</f>
        <v>136.66832747994084</v>
      </c>
      <c r="AI23" s="714">
        <f>+AH23-AG23</f>
        <v>-68.535381586360188</v>
      </c>
      <c r="AJ23" s="715">
        <f>SUM(AJ15,AJ17:AJ22)</f>
        <v>265.20131249000019</v>
      </c>
      <c r="AK23" s="713">
        <f>+AH23-AJ23</f>
        <v>-128.53298501005935</v>
      </c>
    </row>
    <row r="24" spans="2:37" ht="21.75" customHeight="1" thickBot="1">
      <c r="C24" s="117" t="s">
        <v>8</v>
      </c>
      <c r="D24" s="118"/>
      <c r="E24" s="780">
        <f>SUM(E20:E23)</f>
        <v>5913.8490552612275</v>
      </c>
      <c r="F24" s="781">
        <f>SUM(F20:F23)</f>
        <v>3630.2336510000096</v>
      </c>
      <c r="G24" s="753">
        <f t="shared" si="12"/>
        <v>-2283.6154042612179</v>
      </c>
      <c r="H24" s="754">
        <f>SUM(H20:H23)</f>
        <v>5072.1827489900061</v>
      </c>
      <c r="I24" s="755">
        <f t="shared" si="13"/>
        <v>-1441.9490979899965</v>
      </c>
      <c r="J24" s="780">
        <f>SUM(J20:J23)</f>
        <v>37137.375919745427</v>
      </c>
      <c r="K24" s="781">
        <f>SUM(K20:K23)</f>
        <v>31406.055172989942</v>
      </c>
      <c r="L24" s="753">
        <f t="shared" si="1"/>
        <v>-5731.3207467554857</v>
      </c>
      <c r="M24" s="754">
        <f>SUM(M20:M23)</f>
        <v>41918.200985000003</v>
      </c>
      <c r="N24" s="755">
        <f t="shared" si="2"/>
        <v>-10512.145812010061</v>
      </c>
      <c r="O24" s="100"/>
      <c r="P24" s="103"/>
      <c r="Q24" s="162" t="s">
        <v>108</v>
      </c>
      <c r="R24" s="163"/>
      <c r="S24" s="332">
        <f>+'[7]7월'!$F$15</f>
        <v>2.3191335740072202E-2</v>
      </c>
      <c r="T24" s="338">
        <f>+'[7]7월'!$G$15</f>
        <v>8.2914272990219449E-3</v>
      </c>
      <c r="U24" s="335">
        <f>+T24-S24</f>
        <v>-1.4899908441050257E-2</v>
      </c>
      <c r="V24" s="314">
        <f>+'[8]7월'!$G$15</f>
        <v>2.4765464081284817E-2</v>
      </c>
      <c r="W24" s="311">
        <f>+T24-V24</f>
        <v>-1.647403678226287E-2</v>
      </c>
      <c r="X24" s="105"/>
      <c r="Z24" s="697"/>
      <c r="AA24" s="718" t="str">
        <f t="shared" ref="AA24:AK24" si="54">+D36</f>
        <v>%</v>
      </c>
      <c r="AB24" s="719">
        <f t="shared" si="54"/>
        <v>9.2149301607983389E-2</v>
      </c>
      <c r="AC24" s="726">
        <f t="shared" si="54"/>
        <v>3.3980305324491207E-2</v>
      </c>
      <c r="AD24" s="720">
        <f t="shared" si="54"/>
        <v>-5.8168996283492182E-2</v>
      </c>
      <c r="AE24" s="721">
        <f t="shared" si="54"/>
        <v>8.6022356545834094E-2</v>
      </c>
      <c r="AF24" s="722">
        <f t="shared" si="54"/>
        <v>-5.2042051221342887E-2</v>
      </c>
      <c r="AG24" s="723">
        <f t="shared" si="54"/>
        <v>7.4971395783872172E-2</v>
      </c>
      <c r="AH24" s="726">
        <f t="shared" si="54"/>
        <v>4.8901594255309419E-2</v>
      </c>
      <c r="AI24" s="720">
        <f t="shared" si="54"/>
        <v>-2.6069801528562753E-2</v>
      </c>
      <c r="AJ24" s="721">
        <f t="shared" si="54"/>
        <v>9.0204101262947492E-2</v>
      </c>
      <c r="AK24" s="719">
        <f t="shared" si="54"/>
        <v>-4.1302507007638073E-2</v>
      </c>
    </row>
    <row r="25" spans="2:37" ht="21.75" customHeight="1">
      <c r="C25" s="109" t="s">
        <v>6</v>
      </c>
      <c r="D25" s="110" t="s">
        <v>53</v>
      </c>
      <c r="E25" s="775">
        <f>+('[1]7월'!$Z$13+'[1]7월'!$Z$20)/1000</f>
        <v>647.99616000000003</v>
      </c>
      <c r="F25" s="776">
        <f>+('[2]7월'!$Z$13+'[2]7월'!$Z$20)/1000</f>
        <v>654.54649100000017</v>
      </c>
      <c r="G25" s="777">
        <f t="shared" si="12"/>
        <v>6.550331000000142</v>
      </c>
      <c r="H25" s="778">
        <f>+('[3]7월'!$Z$13+'[3]7월'!$Z$20)/1000</f>
        <v>622.664399</v>
      </c>
      <c r="I25" s="779">
        <f t="shared" si="13"/>
        <v>31.882092000000171</v>
      </c>
      <c r="J25" s="775">
        <f>+[4]손익총괄!J25+E25</f>
        <v>4606.6016380000001</v>
      </c>
      <c r="K25" s="776">
        <f>+[4]손익총괄!K25+F25</f>
        <v>4621.0579270000007</v>
      </c>
      <c r="L25" s="777">
        <f t="shared" si="1"/>
        <v>14.456289000000652</v>
      </c>
      <c r="M25" s="778">
        <f>+[4]손익총괄!M25+H25</f>
        <v>4515.0557950000002</v>
      </c>
      <c r="N25" s="779">
        <f t="shared" si="2"/>
        <v>106.00213200000053</v>
      </c>
      <c r="O25" s="100"/>
      <c r="P25" s="103"/>
      <c r="Q25" s="157" t="s">
        <v>109</v>
      </c>
      <c r="R25" s="164"/>
      <c r="S25" s="75"/>
      <c r="T25" s="165"/>
      <c r="U25" s="75"/>
      <c r="X25" s="105"/>
    </row>
    <row r="26" spans="2:37" ht="21.75" customHeight="1">
      <c r="C26" s="101"/>
      <c r="D26" s="106" t="s">
        <v>85</v>
      </c>
      <c r="E26" s="773">
        <f>+('[1]7월'!$AA$13+'[1]7월'!$AA$20)/1000</f>
        <v>121.50406</v>
      </c>
      <c r="F26" s="774">
        <f>+('[2]7월'!$AO$13+'[2]7월'!$AO$20)/1000</f>
        <v>161.20531300000002</v>
      </c>
      <c r="G26" s="750">
        <f>+F26-E26</f>
        <v>39.701253000000023</v>
      </c>
      <c r="H26" s="751">
        <f>+('[3]7월'!$AO$13+'[3]7월'!$AO$20)/1000</f>
        <v>109.157297</v>
      </c>
      <c r="I26" s="752">
        <f>+F26-H26</f>
        <v>52.048016000000018</v>
      </c>
      <c r="J26" s="773">
        <f>+[4]손익총괄!J26+E26</f>
        <v>876.52877000000012</v>
      </c>
      <c r="K26" s="774">
        <f>+[4]손익총괄!K26+F26</f>
        <v>978.76477799999998</v>
      </c>
      <c r="L26" s="750">
        <f t="shared" si="1"/>
        <v>102.23600799999986</v>
      </c>
      <c r="M26" s="751">
        <f>+[4]손익총괄!M26+H26</f>
        <v>803.94969199999991</v>
      </c>
      <c r="N26" s="752">
        <f t="shared" si="2"/>
        <v>174.81508600000006</v>
      </c>
      <c r="O26" s="100"/>
      <c r="P26" s="103"/>
      <c r="Q26" s="345" t="s">
        <v>11</v>
      </c>
      <c r="R26" s="346"/>
      <c r="S26" s="347" t="s">
        <v>15</v>
      </c>
      <c r="T26" s="348" t="s">
        <v>16</v>
      </c>
      <c r="U26" s="349" t="s">
        <v>113</v>
      </c>
      <c r="V26" s="348" t="s">
        <v>17</v>
      </c>
      <c r="W26" s="350" t="s">
        <v>114</v>
      </c>
      <c r="X26" s="105"/>
      <c r="AB26" s="660">
        <f>+'사업장별(당월)'!T41/100</f>
        <v>-12.152662594559979</v>
      </c>
      <c r="AC26" s="660">
        <f>+'사업장별(당월)'!U41/100</f>
        <v>-12.543743329277639</v>
      </c>
      <c r="AD26" s="660">
        <f>+AC26-AB26</f>
        <v>-0.39108073471765969</v>
      </c>
      <c r="AE26" s="660">
        <f>+'사업장별(당월)'!W41/100</f>
        <v>-10.812341969999954</v>
      </c>
      <c r="AF26" s="660">
        <f>+AE26-AD26</f>
        <v>-10.421261235282294</v>
      </c>
      <c r="AG26">
        <f>+'사업장별(누계)'!T41/100</f>
        <v>-86.258370706708831</v>
      </c>
      <c r="AH26">
        <f>+'사업장별(누계)'!U41/100</f>
        <v>-109.65541273975458</v>
      </c>
      <c r="AJ26">
        <f>+'사업장별(누계)'!W41/100</f>
        <v>-88.530002879999941</v>
      </c>
    </row>
    <row r="27" spans="2:37" ht="21.75" customHeight="1">
      <c r="C27" s="101"/>
      <c r="D27" s="106" t="s">
        <v>1</v>
      </c>
      <c r="E27" s="773">
        <f>+('[1]7월'!$AE$13+'[1]7월'!$AE$20+'[1]7월'!$AE$22)/1000</f>
        <v>35.184750000000001</v>
      </c>
      <c r="F27" s="774">
        <f>+('[2]7월'!$AN$13+'[2]7월'!$AN$20+'[2]7월'!$AN$22)/1000</f>
        <v>99.736892072085084</v>
      </c>
      <c r="G27" s="750">
        <f t="shared" si="12"/>
        <v>64.552142072085076</v>
      </c>
      <c r="H27" s="751">
        <f>+('[3]7월'!$AN$13+'[3]7월'!$AN$20+'[3]7월'!$AN$22)/1000</f>
        <v>9.3426569999999991</v>
      </c>
      <c r="I27" s="752">
        <f t="shared" si="13"/>
        <v>90.394235072085081</v>
      </c>
      <c r="J27" s="773">
        <f>+[4]손익총괄!J27+E27</f>
        <v>438.25993511111113</v>
      </c>
      <c r="K27" s="774">
        <f>+[4]손익총괄!K27+F27</f>
        <v>367.78800102041123</v>
      </c>
      <c r="L27" s="750">
        <f t="shared" si="1"/>
        <v>-70.471934090699904</v>
      </c>
      <c r="M27" s="751">
        <f>+[4]손익총괄!M27+H27</f>
        <v>258.85141099999993</v>
      </c>
      <c r="N27" s="752">
        <f t="shared" si="2"/>
        <v>108.9365900204113</v>
      </c>
      <c r="O27" s="100"/>
      <c r="P27" s="103"/>
      <c r="Q27" s="1" t="s">
        <v>110</v>
      </c>
      <c r="R27" s="300" t="s">
        <v>111</v>
      </c>
      <c r="S27" s="331">
        <f>(+'[9]서부산크라샤(당월)'!$N$66+'[9]부산모래장(당월)'!$Q$48+'[9]부산크라샤(당월)'!$N$66)/1000</f>
        <v>59.359764603534948</v>
      </c>
      <c r="T27" s="337">
        <f>(+'[9]서부산크라샤(당월)'!$O$66+'[9]부산모래장(당월)'!$R$48+'[9]부산크라샤(당월)'!$O$66)/1000</f>
        <v>43.37</v>
      </c>
      <c r="U27" s="334">
        <f>+T27-S27</f>
        <v>-15.989764603534951</v>
      </c>
      <c r="V27" s="313">
        <f>('[10]부산골재(당월)'!$R$48+'[10]서부산골재(당월)'!$O$66+'[10]부산크라샤(당월)'!$O$66)/1000</f>
        <v>35.024999999999999</v>
      </c>
      <c r="W27" s="310">
        <f>+T27-V27</f>
        <v>8.3449999999999989</v>
      </c>
      <c r="X27" s="105"/>
    </row>
    <row r="28" spans="2:37" ht="21.75" customHeight="1">
      <c r="B28" s="98"/>
      <c r="C28" s="101"/>
      <c r="D28" s="116" t="s">
        <v>4</v>
      </c>
      <c r="E28" s="780">
        <f>+('[1]7월'!$E$13+'[1]7월'!$E$20)/1000-E25-E26-E27+('[1]7월'!$E$22/1000)</f>
        <v>1314.82486178933</v>
      </c>
      <c r="F28" s="781">
        <f>+('[2]7월'!$F$13+'[2]7월'!$F$20)/1000-F25-F26-F27+'[2]7월'!$F$22/1000</f>
        <v>1394.2480509277705</v>
      </c>
      <c r="G28" s="753">
        <f t="shared" si="12"/>
        <v>79.423189138440421</v>
      </c>
      <c r="H28" s="754">
        <f>+('[3]7월'!$F$13+'[3]7월'!$F$20)/1000-H25-H26-H27+'[3]7월'!$F$22/1000</f>
        <v>1237.983761</v>
      </c>
      <c r="I28" s="755">
        <f t="shared" si="13"/>
        <v>156.26428992777051</v>
      </c>
      <c r="J28" s="780">
        <f>+[4]손익총괄!J28+E28</f>
        <v>10695.614670004212</v>
      </c>
      <c r="K28" s="781">
        <f>+[4]손익총괄!K28+F28</f>
        <v>11771.611718975446</v>
      </c>
      <c r="L28" s="753">
        <f t="shared" si="1"/>
        <v>1075.9970489712341</v>
      </c>
      <c r="M28" s="754">
        <f>+[4]손익총괄!M28+H28</f>
        <v>9820.2128379999995</v>
      </c>
      <c r="N28" s="755">
        <f t="shared" si="2"/>
        <v>1951.3988809754464</v>
      </c>
      <c r="O28" s="100"/>
      <c r="P28" s="103"/>
      <c r="Q28" s="2"/>
      <c r="R28" s="301" t="s">
        <v>112</v>
      </c>
      <c r="S28" s="333">
        <f>(+'[9]서부산크라샤(당월)'!$N$59+'[9]부산모래장(당월)'!$Q$47+'[9]부산크라샤(당월)'!$N$59)/1000</f>
        <v>61.8</v>
      </c>
      <c r="T28" s="154">
        <f>(+'[9]서부산크라샤(당월)'!$O$59+'[9]부산모래장(당월)'!$R$47+'[9]부산크라샤(당월)'!$O$59)/1000</f>
        <v>17.591999999999999</v>
      </c>
      <c r="U28" s="336">
        <f>+T28-S28</f>
        <v>-44.207999999999998</v>
      </c>
      <c r="V28" s="73">
        <f>+('[10]부산골재(당월)'!$R$47+'[10]서부산골재(당월)'!$O$59+'[10]부산크라샤(당월)'!$O$59)/1000</f>
        <v>12.553000000000001</v>
      </c>
      <c r="W28" s="312">
        <f>+T28-V28</f>
        <v>5.0389999999999979</v>
      </c>
      <c r="X28" s="105"/>
    </row>
    <row r="29" spans="2:37" ht="21.75" customHeight="1">
      <c r="C29" s="117" t="s">
        <v>8</v>
      </c>
      <c r="D29" s="118"/>
      <c r="E29" s="780">
        <f>SUM(E25:E28)</f>
        <v>2119.5098317893298</v>
      </c>
      <c r="F29" s="781">
        <f>SUM(F25:F28)</f>
        <v>2309.7367469998558</v>
      </c>
      <c r="G29" s="753">
        <f t="shared" si="12"/>
        <v>190.22691521052593</v>
      </c>
      <c r="H29" s="754">
        <f>SUM(H25:H28)</f>
        <v>1979.1481140000001</v>
      </c>
      <c r="I29" s="755">
        <f t="shared" si="13"/>
        <v>330.58863299985569</v>
      </c>
      <c r="J29" s="780">
        <f>SUM(J25:J28)</f>
        <v>16617.005013115322</v>
      </c>
      <c r="K29" s="781">
        <f>SUM(K25:K28)</f>
        <v>17739.22242499586</v>
      </c>
      <c r="L29" s="753">
        <f t="shared" si="1"/>
        <v>1122.2174118805378</v>
      </c>
      <c r="M29" s="754">
        <f>SUM(M25:M28)</f>
        <v>15398.069735999999</v>
      </c>
      <c r="N29" s="755">
        <f t="shared" si="2"/>
        <v>2341.1526889958604</v>
      </c>
      <c r="O29" s="100"/>
      <c r="P29" s="103"/>
      <c r="Q29" s="814" t="s">
        <v>141</v>
      </c>
      <c r="R29" s="815"/>
      <c r="S29" s="333">
        <f>SUM(S27:S28)</f>
        <v>121.15976460353494</v>
      </c>
      <c r="T29" s="154">
        <f>SUM(T27:T28)</f>
        <v>60.961999999999996</v>
      </c>
      <c r="U29" s="336">
        <f>+T29-S29</f>
        <v>-60.197764603534942</v>
      </c>
      <c r="V29" s="73">
        <f>SUM(V27:V28)</f>
        <v>47.578000000000003</v>
      </c>
      <c r="W29" s="312">
        <f>+T29-V29</f>
        <v>13.383999999999993</v>
      </c>
      <c r="X29" s="105"/>
    </row>
    <row r="30" spans="2:37" ht="21.75" customHeight="1">
      <c r="B30" s="598"/>
      <c r="C30" s="101" t="s">
        <v>7</v>
      </c>
      <c r="D30" s="110" t="s">
        <v>53</v>
      </c>
      <c r="E30" s="775">
        <f>+E20-E25</f>
        <v>4706.4199290841962</v>
      </c>
      <c r="F30" s="782">
        <f>+F20-F25</f>
        <v>2724.9975230000027</v>
      </c>
      <c r="G30" s="777">
        <f t="shared" si="12"/>
        <v>-1981.4224060841934</v>
      </c>
      <c r="H30" s="778">
        <f>+H20-H25</f>
        <v>4106.808664000001</v>
      </c>
      <c r="I30" s="779">
        <f t="shared" si="13"/>
        <v>-1381.8111409999983</v>
      </c>
      <c r="J30" s="775">
        <f>+J20-J25</f>
        <v>27753.885732485294</v>
      </c>
      <c r="K30" s="782">
        <f>+K20-K25</f>
        <v>23646.859619999959</v>
      </c>
      <c r="L30" s="777">
        <f t="shared" si="1"/>
        <v>-4107.026112485335</v>
      </c>
      <c r="M30" s="778">
        <f>+M20-M25</f>
        <v>34275.945976990006</v>
      </c>
      <c r="N30" s="779">
        <f t="shared" si="2"/>
        <v>-10629.086356990047</v>
      </c>
      <c r="O30" s="100"/>
      <c r="P30" s="103"/>
      <c r="Q30" s="157" t="s">
        <v>183</v>
      </c>
      <c r="X30" s="105"/>
      <c r="Z30" s="598"/>
      <c r="AA30" s="598"/>
    </row>
    <row r="31" spans="2:37" ht="21.75" customHeight="1">
      <c r="B31" s="598"/>
      <c r="C31" s="101"/>
      <c r="D31" s="124" t="s">
        <v>10</v>
      </c>
      <c r="E31" s="323">
        <f>+E30/E10</f>
        <v>0.15617884042099106</v>
      </c>
      <c r="F31" s="329">
        <f>+F30/F10</f>
        <v>0.10424932799781518</v>
      </c>
      <c r="G31" s="326">
        <f t="shared" si="12"/>
        <v>-5.192951242317588E-2</v>
      </c>
      <c r="H31" s="125">
        <f>+H30/H10</f>
        <v>0.1541038667601459</v>
      </c>
      <c r="I31" s="126">
        <f t="shared" si="13"/>
        <v>-4.9854538762330716E-2</v>
      </c>
      <c r="J31" s="323">
        <f>+J30/J10</f>
        <v>0.13813713565077418</v>
      </c>
      <c r="K31" s="329">
        <f>+K30/K10</f>
        <v>0.11458027856958602</v>
      </c>
      <c r="L31" s="326">
        <f t="shared" si="1"/>
        <v>-2.3556857081188154E-2</v>
      </c>
      <c r="M31" s="125">
        <f>+M30/M10</f>
        <v>0.15801585464212467</v>
      </c>
      <c r="N31" s="126">
        <f t="shared" si="2"/>
        <v>-4.3435576072538645E-2</v>
      </c>
      <c r="O31" s="100"/>
      <c r="P31" s="103"/>
      <c r="Q31" s="345" t="s">
        <v>11</v>
      </c>
      <c r="R31" s="346"/>
      <c r="S31" s="347" t="s">
        <v>15</v>
      </c>
      <c r="T31" s="348" t="s">
        <v>16</v>
      </c>
      <c r="U31" s="349" t="s">
        <v>113</v>
      </c>
      <c r="V31" s="348" t="s">
        <v>17</v>
      </c>
      <c r="W31" s="350" t="s">
        <v>114</v>
      </c>
      <c r="X31" s="105"/>
    </row>
    <row r="32" spans="2:37" ht="21.75" customHeight="1">
      <c r="B32" s="598"/>
      <c r="C32" s="101"/>
      <c r="D32" s="106" t="s">
        <v>3</v>
      </c>
      <c r="E32" s="773">
        <f t="shared" ref="E32:F34" si="55">+E21-E26</f>
        <v>100.2910205052642</v>
      </c>
      <c r="F32" s="774">
        <f t="shared" si="55"/>
        <v>-39.569616000002128</v>
      </c>
      <c r="G32" s="750">
        <f>+F32-E32</f>
        <v>-139.86063650526631</v>
      </c>
      <c r="H32" s="751">
        <f t="shared" ref="H32" si="56">+H21-H26</f>
        <v>87.789722999998702</v>
      </c>
      <c r="I32" s="752">
        <f>+F32-H32</f>
        <v>-127.35933900000083</v>
      </c>
      <c r="J32" s="773">
        <f t="shared" ref="J32:J34" si="57">+J21-J26</f>
        <v>647.01094856844134</v>
      </c>
      <c r="K32" s="774">
        <f t="shared" ref="K32" si="58">+K21-K26</f>
        <v>375.55281899999386</v>
      </c>
      <c r="L32" s="750">
        <f t="shared" si="1"/>
        <v>-271.45812956844748</v>
      </c>
      <c r="M32" s="751">
        <f t="shared" ref="M32" si="59">+M21-M26</f>
        <v>581.68383000000381</v>
      </c>
      <c r="N32" s="752">
        <f t="shared" si="2"/>
        <v>-206.13101100000995</v>
      </c>
      <c r="O32" s="100"/>
      <c r="P32" s="103"/>
      <c r="Q32" s="816" t="s">
        <v>168</v>
      </c>
      <c r="R32" s="817"/>
      <c r="S32" s="603">
        <f>+'사업장별(당월)'!T33</f>
        <v>72.165959000000001</v>
      </c>
      <c r="T32" s="604">
        <f>+'사업장별(당월)'!U33</f>
        <v>72.535469999999989</v>
      </c>
      <c r="U32" s="605">
        <f>+T32-S32</f>
        <v>0.3695109999999886</v>
      </c>
      <c r="V32" s="606">
        <f>+'사업장별(당월)'!W33</f>
        <v>69.372396000000009</v>
      </c>
      <c r="W32" s="607">
        <f>+T32-V32</f>
        <v>3.1630739999999804</v>
      </c>
      <c r="X32" s="105"/>
      <c r="Z32" s="598"/>
      <c r="AA32" s="598"/>
    </row>
    <row r="33" spans="2:31" ht="21.75" customHeight="1">
      <c r="B33" s="598"/>
      <c r="C33" s="101"/>
      <c r="D33" s="106" t="s">
        <v>1</v>
      </c>
      <c r="E33" s="773">
        <f t="shared" si="55"/>
        <v>202.89453333843119</v>
      </c>
      <c r="F33" s="774">
        <f t="shared" si="55"/>
        <v>-110.55667007208513</v>
      </c>
      <c r="G33" s="750">
        <f t="shared" si="12"/>
        <v>-313.45120341051631</v>
      </c>
      <c r="H33" s="751">
        <f t="shared" ref="H33" si="60">+H22-H27</f>
        <v>-20.32955500999989</v>
      </c>
      <c r="I33" s="752">
        <f t="shared" si="13"/>
        <v>-90.227115062085232</v>
      </c>
      <c r="J33" s="773">
        <f t="shared" si="57"/>
        <v>745.31129624724963</v>
      </c>
      <c r="K33" s="774">
        <f t="shared" ref="K33" si="61">+K22-K27</f>
        <v>609.96158296959084</v>
      </c>
      <c r="L33" s="750">
        <f t="shared" si="1"/>
        <v>-135.34971327765879</v>
      </c>
      <c r="M33" s="751">
        <f t="shared" ref="M33" si="62">+M22-M27</f>
        <v>515.50173001000144</v>
      </c>
      <c r="N33" s="752">
        <f t="shared" si="2"/>
        <v>94.459852959589398</v>
      </c>
      <c r="O33" s="100"/>
      <c r="P33" s="103"/>
      <c r="Q33" s="818" t="s">
        <v>59</v>
      </c>
      <c r="R33" s="819"/>
      <c r="S33" s="192">
        <f>+'사업장별(당월)'!T34</f>
        <v>62.030473333333333</v>
      </c>
      <c r="T33" s="613">
        <f>+'사업장별(당월)'!U34</f>
        <v>62.661396999999994</v>
      </c>
      <c r="U33" s="205">
        <f>+T33-S33</f>
        <v>0.63092366666666067</v>
      </c>
      <c r="V33" s="614">
        <f>+'사업장별(당월)'!W34</f>
        <v>57.237392000000014</v>
      </c>
      <c r="W33" s="222">
        <f>+T33-V33</f>
        <v>5.4240049999999798</v>
      </c>
      <c r="X33" s="105"/>
      <c r="Z33" s="598"/>
      <c r="AA33" s="598"/>
    </row>
    <row r="34" spans="2:31" ht="21.75" customHeight="1">
      <c r="B34" s="598"/>
      <c r="C34" s="101"/>
      <c r="D34" s="116" t="s">
        <v>4</v>
      </c>
      <c r="E34" s="780">
        <f t="shared" si="55"/>
        <v>-1215.2662594559938</v>
      </c>
      <c r="F34" s="781">
        <f t="shared" si="55"/>
        <v>-1254.3743329277615</v>
      </c>
      <c r="G34" s="753">
        <f t="shared" si="12"/>
        <v>-39.108073471767739</v>
      </c>
      <c r="H34" s="754">
        <f t="shared" ref="H34" si="63">+H23-H28</f>
        <v>-1081.2341969999939</v>
      </c>
      <c r="I34" s="755">
        <f t="shared" si="13"/>
        <v>-173.14013592776769</v>
      </c>
      <c r="J34" s="780">
        <f t="shared" si="57"/>
        <v>-8625.8370706708847</v>
      </c>
      <c r="K34" s="781">
        <f t="shared" ref="K34" si="64">+K23-K28</f>
        <v>-10965.541273975459</v>
      </c>
      <c r="L34" s="753">
        <f t="shared" si="1"/>
        <v>-2339.7042033045745</v>
      </c>
      <c r="M34" s="754">
        <f t="shared" ref="M34" si="65">+M23-M28</f>
        <v>-8853.0002880000138</v>
      </c>
      <c r="N34" s="755">
        <f t="shared" si="2"/>
        <v>-2112.5409859754454</v>
      </c>
      <c r="O34" s="100"/>
      <c r="P34" s="103"/>
      <c r="Q34" s="625" t="s">
        <v>38</v>
      </c>
      <c r="R34" s="626"/>
      <c r="S34" s="620">
        <f>+'사업장별(당월)'!T35</f>
        <v>-1234.4133993448704</v>
      </c>
      <c r="T34" s="621">
        <f>+'사업장별(당월)'!U35</f>
        <v>-1338.4278729277705</v>
      </c>
      <c r="U34" s="622">
        <f>+T34-S34</f>
        <v>-104.01447358290011</v>
      </c>
      <c r="V34" s="623">
        <f>+'사업장별(당월)'!W35</f>
        <v>-1181.052113</v>
      </c>
      <c r="W34" s="624">
        <f>+T34-V34</f>
        <v>-157.37575992777056</v>
      </c>
      <c r="X34" s="105"/>
      <c r="Z34" s="598"/>
      <c r="AA34" s="598"/>
    </row>
    <row r="35" spans="2:31" ht="21.75" customHeight="1">
      <c r="B35" s="598"/>
      <c r="C35" s="101" t="s">
        <v>8</v>
      </c>
      <c r="D35" s="121"/>
      <c r="E35" s="773">
        <f>SUM(E30,E32:E34)</f>
        <v>3794.3392234718972</v>
      </c>
      <c r="F35" s="783">
        <f>SUM(F30,F32:F34)</f>
        <v>1320.496904000154</v>
      </c>
      <c r="G35" s="750">
        <f t="shared" si="12"/>
        <v>-2473.8423194717434</v>
      </c>
      <c r="H35" s="751">
        <f>SUM(H30,H32:H34)</f>
        <v>3093.034634990006</v>
      </c>
      <c r="I35" s="752">
        <f t="shared" si="13"/>
        <v>-1772.537730989852</v>
      </c>
      <c r="J35" s="773">
        <f>SUM(J30,J32:J34)</f>
        <v>20520.370906630098</v>
      </c>
      <c r="K35" s="783">
        <f>SUM(K30,K32:K34)</f>
        <v>13666.832747994084</v>
      </c>
      <c r="L35" s="750">
        <f t="shared" si="1"/>
        <v>-6853.5381586360145</v>
      </c>
      <c r="M35" s="751">
        <f>SUM(M30,M32:M34)</f>
        <v>26520.131248999995</v>
      </c>
      <c r="N35" s="752">
        <f t="shared" si="2"/>
        <v>-12853.298501005911</v>
      </c>
      <c r="O35" s="100"/>
      <c r="P35" s="103"/>
      <c r="Q35" s="627" t="s">
        <v>166</v>
      </c>
      <c r="R35" s="628"/>
      <c r="S35" s="615">
        <f>+S36-S32-S33-S34</f>
        <v>-115.04929244446066</v>
      </c>
      <c r="T35" s="616">
        <f>+T36-T32-T33-T34</f>
        <v>-51.143326999993405</v>
      </c>
      <c r="U35" s="617">
        <f>+T35-S35</f>
        <v>63.905965444467256</v>
      </c>
      <c r="V35" s="618">
        <f>+V36-V32-V33-V34</f>
        <v>-26.791871999995465</v>
      </c>
      <c r="W35" s="619">
        <f>+T35-V35</f>
        <v>-24.351454999997941</v>
      </c>
      <c r="X35" s="105"/>
      <c r="Z35" s="598"/>
      <c r="AA35" s="598"/>
      <c r="AD35" s="99"/>
      <c r="AE35" s="598"/>
    </row>
    <row r="36" spans="2:31" ht="21.75" customHeight="1" thickBot="1">
      <c r="C36" s="127"/>
      <c r="D36" s="128" t="s">
        <v>9</v>
      </c>
      <c r="E36" s="324">
        <f>+E35/E14</f>
        <v>9.2149301607983389E-2</v>
      </c>
      <c r="F36" s="330">
        <f>+F35/F14</f>
        <v>3.3980305324491207E-2</v>
      </c>
      <c r="G36" s="327">
        <f t="shared" si="12"/>
        <v>-5.8168996283492182E-2</v>
      </c>
      <c r="H36" s="129">
        <f>+H35/H14</f>
        <v>8.6022356545834094E-2</v>
      </c>
      <c r="I36" s="130">
        <f t="shared" si="13"/>
        <v>-5.2042051221342887E-2</v>
      </c>
      <c r="J36" s="324">
        <f>+J35/J14</f>
        <v>7.4971395783872172E-2</v>
      </c>
      <c r="K36" s="330">
        <f>+K35/K14</f>
        <v>4.8901594255309419E-2</v>
      </c>
      <c r="L36" s="327">
        <f t="shared" si="1"/>
        <v>-2.6069801528562753E-2</v>
      </c>
      <c r="M36" s="129">
        <f>+M35/M14</f>
        <v>9.0204101262947492E-2</v>
      </c>
      <c r="N36" s="130">
        <f t="shared" si="2"/>
        <v>-4.1302507007638073E-2</v>
      </c>
      <c r="O36" s="100"/>
      <c r="P36" s="131"/>
      <c r="Q36" s="806" t="s">
        <v>165</v>
      </c>
      <c r="R36" s="807"/>
      <c r="S36" s="608">
        <f>+'사업장별(당월)'!T41</f>
        <v>-1215.2662594559979</v>
      </c>
      <c r="T36" s="609">
        <f>+'사업장별(당월)'!U41</f>
        <v>-1254.3743329277638</v>
      </c>
      <c r="U36" s="610">
        <f>+T36-S36</f>
        <v>-39.10807347176592</v>
      </c>
      <c r="V36" s="611">
        <f>+'사업장별(당월)'!W41</f>
        <v>-1081.2341969999954</v>
      </c>
      <c r="W36" s="612">
        <f>+T36-V36</f>
        <v>-173.14013592776837</v>
      </c>
      <c r="X36" s="132"/>
      <c r="AA36" s="598"/>
    </row>
    <row r="37" spans="2:31" ht="20.100000000000001" customHeight="1" thickTop="1">
      <c r="F37" s="598"/>
    </row>
    <row r="38" spans="2:31">
      <c r="E38" s="99">
        <f>+'[1]7월'!$E$26/1000</f>
        <v>3794.3392234718967</v>
      </c>
      <c r="F38" s="351">
        <f>+'[2]7월'!$F$26/1000</f>
        <v>1320.4969040001481</v>
      </c>
      <c r="H38" s="351">
        <f>+'[3]7월'!$F$26/1000</f>
        <v>3093.0346349900037</v>
      </c>
      <c r="J38" s="600">
        <f>+[4]손익총괄!J38+E38</f>
        <v>20520.370906630073</v>
      </c>
      <c r="K38" s="600">
        <f>+[4]손익총괄!K38+F38</f>
        <v>13666.832747994125</v>
      </c>
      <c r="L38" s="601"/>
      <c r="M38" s="600">
        <f>+[4]손익총괄!M38+H38</f>
        <v>26520.131249000009</v>
      </c>
      <c r="N38" s="601"/>
      <c r="O38" s="601"/>
    </row>
    <row r="39" spans="2:31">
      <c r="E39" t="b">
        <f>+E35=E38</f>
        <v>1</v>
      </c>
      <c r="F39" t="b">
        <f>+F35=F38</f>
        <v>1</v>
      </c>
      <c r="H39" t="b">
        <f>+H35=H38</f>
        <v>0</v>
      </c>
      <c r="J39" t="b">
        <f>+J35=J38</f>
        <v>1</v>
      </c>
      <c r="K39" t="b">
        <f>+K35=K38</f>
        <v>1</v>
      </c>
      <c r="M39" t="b">
        <f>+M35=M38</f>
        <v>1</v>
      </c>
    </row>
    <row r="40" spans="2:31">
      <c r="E40" s="602">
        <f>+E35-E38</f>
        <v>0</v>
      </c>
      <c r="F40" s="602">
        <f>+F35-F38</f>
        <v>5.9117155615240335E-12</v>
      </c>
      <c r="G40" s="599"/>
      <c r="H40" s="602">
        <f>+H35-H38</f>
        <v>0</v>
      </c>
      <c r="I40" s="599"/>
      <c r="J40" s="602">
        <f>+J35-J38</f>
        <v>0</v>
      </c>
      <c r="K40" s="602">
        <f>+K35-K38</f>
        <v>-4.1836756281554699E-11</v>
      </c>
      <c r="L40" s="599"/>
      <c r="M40" s="602">
        <f>+M35-M38</f>
        <v>0</v>
      </c>
      <c r="N40" s="599"/>
      <c r="O40" s="99"/>
      <c r="P40" s="99"/>
    </row>
    <row r="42" spans="2:31">
      <c r="E42" s="98"/>
      <c r="F42" s="98"/>
      <c r="G42" s="98"/>
    </row>
  </sheetData>
  <mergeCells count="11">
    <mergeCell ref="Q36:R36"/>
    <mergeCell ref="C5:D6"/>
    <mergeCell ref="P5:X6"/>
    <mergeCell ref="Q29:R29"/>
    <mergeCell ref="Q32:R32"/>
    <mergeCell ref="Q33:R33"/>
    <mergeCell ref="Z10:Z13"/>
    <mergeCell ref="AB5:AF5"/>
    <mergeCell ref="AG5:AK5"/>
    <mergeCell ref="Z7:Z9"/>
    <mergeCell ref="Z5:AA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76"/>
  <sheetViews>
    <sheetView showGridLines="0" showZeros="0" tabSelected="1" view="pageBreakPreview" topLeftCell="E28" zoomScale="85" zoomScaleNormal="85" zoomScaleSheetLayoutView="85" workbookViewId="0">
      <selection activeCell="AD38" sqref="AD38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236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20" t="s">
        <v>48</v>
      </c>
      <c r="I5" s="821"/>
      <c r="J5" s="173" t="s">
        <v>66</v>
      </c>
      <c r="K5" s="174"/>
      <c r="L5" s="174"/>
      <c r="M5" s="174"/>
      <c r="N5" s="175"/>
      <c r="O5" s="173" t="s">
        <v>67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68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22"/>
      <c r="I6" s="823"/>
      <c r="J6" s="176" t="s">
        <v>49</v>
      </c>
      <c r="K6" s="177" t="s">
        <v>50</v>
      </c>
      <c r="L6" s="178" t="s">
        <v>51</v>
      </c>
      <c r="M6" s="177" t="s">
        <v>52</v>
      </c>
      <c r="N6" s="179" t="s">
        <v>51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+IFERROR(HLOOKUP($B7,'[1]7월'!$D$6:$BN$259,2,),)/1000</f>
        <v>39</v>
      </c>
      <c r="K7" s="37">
        <f>+IFERROR(HLOOKUP($B7,'[2]7월'!$F$6:$CP$99,2,),)/1000</f>
        <v>30.154</v>
      </c>
      <c r="L7" s="38">
        <f t="shared" ref="L7:L26" si="0">+K7-J7</f>
        <v>-8.8460000000000001</v>
      </c>
      <c r="M7" s="39">
        <f>+IFERROR(HLOOKUP($B7,'[3]7월'!$F$6:$CC$57,2,),)/1000</f>
        <v>37.195999999999998</v>
      </c>
      <c r="N7" s="40">
        <f>+K7-M7</f>
        <v>-7.041999999999998</v>
      </c>
      <c r="O7" s="36">
        <f>+IFERROR(HLOOKUP($B7,'[1]7월'!$D$6:$BN$259,3,),)/1000</f>
        <v>3945.9799500000004</v>
      </c>
      <c r="P7" s="37">
        <f>+IFERROR(HLOOKUP($B7,'[2]7월'!$F$6:$CP$99,3,),)/1000</f>
        <v>3033.8332220000002</v>
      </c>
      <c r="Q7" s="38">
        <f>+P7-O7</f>
        <v>-912.14672800000017</v>
      </c>
      <c r="R7" s="39">
        <f>+IFERROR(HLOOKUP($B7,'[3]7월'!$F$6:$CC$57,3,),)/1000</f>
        <v>3521.6706480000003</v>
      </c>
      <c r="S7" s="40">
        <f>+P7-R7</f>
        <v>-487.83742600000005</v>
      </c>
      <c r="T7" s="36">
        <f>+IFERROR(HLOOKUP($B7,'[1]7월'!$D$6:$BN$259,16,),)/1000</f>
        <v>584.85548894326382</v>
      </c>
      <c r="U7" s="37">
        <f>+IFERROR(HLOOKUP($B7,'[2]7월'!$F$6:$CP$99,16,),)/1000</f>
        <v>258.59622999999982</v>
      </c>
      <c r="V7" s="41">
        <f>+U7-T7</f>
        <v>-326.259258943264</v>
      </c>
      <c r="W7" s="42">
        <f>+IFERROR(HLOOKUP($B7,'[3]7월'!$F$6:$CC$57,16,),)/1000</f>
        <v>515.23460499999976</v>
      </c>
      <c r="X7" s="40">
        <f>+U7-W7</f>
        <v>-256.63837499999994</v>
      </c>
      <c r="Y7" s="36">
        <f>+[5]안양!$Q$85</f>
        <v>101178.97307692308</v>
      </c>
      <c r="Z7" s="37">
        <f>+[5]안양!$R$85</f>
        <v>100611.30271274126</v>
      </c>
      <c r="AA7" s="43">
        <f>+[6]안양!$Q$85</f>
        <v>94593.287458139777</v>
      </c>
      <c r="AB7" s="44">
        <f>+[5]안양!$Q$89</f>
        <v>78552.065308432371</v>
      </c>
      <c r="AC7" s="37">
        <f>+[5]안양!$R$89</f>
        <v>82629.791404125484</v>
      </c>
      <c r="AD7" s="45">
        <f>+[6]안양!$Q$89</f>
        <v>73484.458686383514</v>
      </c>
      <c r="AE7" s="44">
        <f>+Y7-AB7</f>
        <v>22626.90776849071</v>
      </c>
      <c r="AF7" s="37">
        <f>+Z7-AC7</f>
        <v>17981.51130861578</v>
      </c>
      <c r="AG7" s="45">
        <f>+AA7-AD7</f>
        <v>21108.828771756263</v>
      </c>
      <c r="AH7" s="18"/>
      <c r="AI7" s="19"/>
    </row>
    <row r="8" spans="2:36" s="8" customFormat="1" ht="19.5" customHeight="1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+IFERROR(HLOOKUP($B8,'[1]7월'!$D$6:$BN$259,2,),)/1000</f>
        <v>35</v>
      </c>
      <c r="K8" s="47">
        <f>+IFERROR(HLOOKUP($B8,'[2]7월'!$F$6:$CP$99,2,),)/1000</f>
        <v>25.908000000000001</v>
      </c>
      <c r="L8" s="48">
        <f t="shared" si="0"/>
        <v>-9.0919999999999987</v>
      </c>
      <c r="M8" s="49">
        <f>+IFERROR(HLOOKUP($B8,'[3]7월'!$F$6:$CC$57,2,),)/1000</f>
        <v>36.185000000000002</v>
      </c>
      <c r="N8" s="50">
        <f t="shared" ref="N8:N26" si="2">+K8-M8</f>
        <v>-10.277000000000001</v>
      </c>
      <c r="O8" s="46">
        <f>+IFERROR(HLOOKUP($B8,'[1]7월'!$D$6:$BN$259,3,),)/1000</f>
        <v>3584.7869799999994</v>
      </c>
      <c r="P8" s="47">
        <f>+IFERROR(HLOOKUP($B8,'[2]7월'!$F$6:$CP$99,3,),)/1000</f>
        <v>2597.1842779999997</v>
      </c>
      <c r="Q8" s="48">
        <f t="shared" ref="Q8:Q26" si="3">+P8-O8</f>
        <v>-987.60270199999968</v>
      </c>
      <c r="R8" s="49">
        <f>+IFERROR(HLOOKUP($B8,'[3]7월'!$F$6:$CC$57,3,),)/1000</f>
        <v>3536.913892</v>
      </c>
      <c r="S8" s="50">
        <f t="shared" ref="S8:S26" si="4">+P8-R8</f>
        <v>-939.72961400000031</v>
      </c>
      <c r="T8" s="46">
        <f>+IFERROR(HLOOKUP($B8,'[1]7월'!$D$6:$BN$259,16,),)/1000</f>
        <v>480.5594318449206</v>
      </c>
      <c r="U8" s="47">
        <f>+IFERROR(HLOOKUP($B8,'[2]7월'!$F$6:$CP$99,16,),)/1000</f>
        <v>199.80018199999947</v>
      </c>
      <c r="V8" s="48">
        <f t="shared" ref="V8:V26" si="5">+U8-T8</f>
        <v>-280.7592498449211</v>
      </c>
      <c r="W8" s="49">
        <f>+IFERROR(HLOOKUP($B8,'[3]7월'!$F$6:$CC$57,16,),)/1000</f>
        <v>552.4801309999998</v>
      </c>
      <c r="X8" s="50">
        <f t="shared" ref="X8:X26" si="6">+U8-W8</f>
        <v>-352.67994900000031</v>
      </c>
      <c r="Y8" s="46">
        <f>+[5]인천!$Q$85</f>
        <v>102422.48514285713</v>
      </c>
      <c r="Z8" s="47">
        <f>+[5]인천!$R$85</f>
        <v>100279.70116099071</v>
      </c>
      <c r="AA8" s="51">
        <f>+[6]인천!$Q$85</f>
        <v>97701.903426010977</v>
      </c>
      <c r="AB8" s="52">
        <f>+[5]인천!$Q$89</f>
        <v>80539.472617878258</v>
      </c>
      <c r="AC8" s="47">
        <f>+[5]인천!$R$89</f>
        <v>81647.893498452002</v>
      </c>
      <c r="AD8" s="53">
        <f>+[6]인천!$Q$89</f>
        <v>74386.721076507747</v>
      </c>
      <c r="AE8" s="52">
        <f t="shared" ref="AE8:AE27" si="7">+Y8-AB8</f>
        <v>21883.012524978869</v>
      </c>
      <c r="AF8" s="47">
        <f t="shared" ref="AF8:AF27" si="8">+Z8-AC8</f>
        <v>18631.807662538704</v>
      </c>
      <c r="AG8" s="53">
        <f t="shared" ref="AG8:AG27" si="9">+AA8-AD8</f>
        <v>23315.182349503229</v>
      </c>
      <c r="AH8" s="18"/>
      <c r="AI8" s="19"/>
      <c r="AJ8" s="97"/>
    </row>
    <row r="9" spans="2:36" s="8" customFormat="1" ht="19.5" customHeight="1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+IFERROR(HLOOKUP($B9,'[1]7월'!$D$6:$BN$259,2,),)/1000</f>
        <v>23</v>
      </c>
      <c r="K9" s="47">
        <f>+IFERROR(HLOOKUP($B9,'[2]7월'!$F$6:$CP$99,2,),)/1000</f>
        <v>24.724</v>
      </c>
      <c r="L9" s="48">
        <f t="shared" si="0"/>
        <v>1.7240000000000002</v>
      </c>
      <c r="M9" s="49">
        <f>+IFERROR(HLOOKUP($B9,'[3]7월'!$F$6:$CC$57,2,),)/1000</f>
        <v>29.254000000000001</v>
      </c>
      <c r="N9" s="50">
        <f t="shared" si="2"/>
        <v>-4.5300000000000011</v>
      </c>
      <c r="O9" s="46">
        <f>+IFERROR(HLOOKUP($B9,'[1]7월'!$D$6:$BN$259,3,),)/1000</f>
        <v>2282.1386143749846</v>
      </c>
      <c r="P9" s="47">
        <f>+IFERROR(HLOOKUP($B9,'[2]7월'!$F$6:$CP$99,3,),)/1000</f>
        <v>2369.8818939999996</v>
      </c>
      <c r="Q9" s="48">
        <f t="shared" si="3"/>
        <v>87.74327962501502</v>
      </c>
      <c r="R9" s="49">
        <f>+IFERROR(HLOOKUP($B9,'[3]7월'!$F$6:$CC$57,3,),)/1000</f>
        <v>2764.5207350000001</v>
      </c>
      <c r="S9" s="50">
        <f t="shared" si="4"/>
        <v>-394.63884100000041</v>
      </c>
      <c r="T9" s="46">
        <f>+IFERROR(HLOOKUP($B9,'[1]7월'!$D$6:$BN$259,16,),)/1000</f>
        <v>327.18299301159095</v>
      </c>
      <c r="U9" s="47">
        <f>+IFERROR(HLOOKUP($B9,'[2]7월'!$F$6:$CP$99,16,),)/1000</f>
        <v>171.33400199999988</v>
      </c>
      <c r="V9" s="48">
        <f t="shared" si="5"/>
        <v>-155.84899101159107</v>
      </c>
      <c r="W9" s="49">
        <f>+IFERROR(HLOOKUP($B9,'[3]7월'!$F$6:$CC$57,16,),)/1000</f>
        <v>447.91543499999932</v>
      </c>
      <c r="X9" s="50">
        <f t="shared" si="6"/>
        <v>-276.58143299999944</v>
      </c>
      <c r="Y9" s="46">
        <f>+[5]파주!$Q$85</f>
        <v>99223.418016303665</v>
      </c>
      <c r="Z9" s="47">
        <f>+[5]파주!$R$85</f>
        <v>95898.500225956202</v>
      </c>
      <c r="AA9" s="51">
        <f>+[6]파주!$Q$85</f>
        <v>94486.183048135776</v>
      </c>
      <c r="AB9" s="52">
        <f>+[5]파주!$Q$89</f>
        <v>75352.008316316031</v>
      </c>
      <c r="AC9" s="47">
        <f>+[5]파주!$R$89</f>
        <v>79787.149016548268</v>
      </c>
      <c r="AD9" s="53">
        <f>+[6]파주!$Q$89</f>
        <v>72143.806274346134</v>
      </c>
      <c r="AE9" s="52">
        <f t="shared" si="7"/>
        <v>23871.409699987635</v>
      </c>
      <c r="AF9" s="47">
        <f t="shared" si="8"/>
        <v>16111.351209407934</v>
      </c>
      <c r="AG9" s="53">
        <f t="shared" si="9"/>
        <v>22342.376773789641</v>
      </c>
      <c r="AH9" s="18"/>
      <c r="AI9" s="19"/>
      <c r="AJ9" s="97"/>
    </row>
    <row r="10" spans="2:36" s="8" customFormat="1" ht="19.5" customHeight="1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+IFERROR(HLOOKUP($B10,'[1]7월'!$D$6:$BN$259,2,),)/1000</f>
        <v>18.5</v>
      </c>
      <c r="K10" s="47">
        <f>+IFERROR(HLOOKUP($B10,'[2]7월'!$F$6:$CP$99,2,),)/1000</f>
        <v>8.5619999999999994</v>
      </c>
      <c r="L10" s="48">
        <f t="shared" si="0"/>
        <v>-9.9380000000000006</v>
      </c>
      <c r="M10" s="49">
        <f>+IFERROR(HLOOKUP($B10,'[3]7월'!$F$6:$CC$57,2,),)/1000</f>
        <v>12.718</v>
      </c>
      <c r="N10" s="50">
        <f t="shared" si="2"/>
        <v>-4.1560000000000006</v>
      </c>
      <c r="O10" s="46">
        <f>+IFERROR(HLOOKUP($B10,'[1]7월'!$D$6:$BN$259,3,),)/1000</f>
        <v>1779.5785000000001</v>
      </c>
      <c r="P10" s="47">
        <f>+IFERROR(HLOOKUP($B10,'[2]7월'!$F$6:$CP$99,3,),)/1000</f>
        <v>821.125584</v>
      </c>
      <c r="Q10" s="48">
        <f t="shared" si="3"/>
        <v>-958.45291600000007</v>
      </c>
      <c r="R10" s="49">
        <f>+IFERROR(HLOOKUP($B10,'[3]7월'!$F$6:$CC$57,3,),)/1000</f>
        <v>1172.4611170000001</v>
      </c>
      <c r="S10" s="50">
        <f t="shared" si="4"/>
        <v>-351.33553300000005</v>
      </c>
      <c r="T10" s="46">
        <f>+IFERROR(HLOOKUP($B10,'[1]7월'!$D$6:$BN$259,16,),)/1000</f>
        <v>295.41138940641429</v>
      </c>
      <c r="U10" s="47">
        <f>+IFERROR(HLOOKUP($B10,'[2]7월'!$F$6:$CP$99,16,),)/1000</f>
        <v>32.553125000000037</v>
      </c>
      <c r="V10" s="48">
        <f t="shared" si="5"/>
        <v>-262.85826440641426</v>
      </c>
      <c r="W10" s="49">
        <f>+IFERROR(HLOOKUP($B10,'[3]7월'!$F$6:$CC$57,16,),)/1000</f>
        <v>156.33310700000007</v>
      </c>
      <c r="X10" s="50">
        <f t="shared" si="6"/>
        <v>-123.77998200000003</v>
      </c>
      <c r="Y10" s="46">
        <f>+[5]김포!$Q$85</f>
        <v>96193.432432432426</v>
      </c>
      <c r="Z10" s="47">
        <f>+[5]김포!$R$85</f>
        <v>95902.436005625888</v>
      </c>
      <c r="AA10" s="51">
        <f>+[6]김포!$Q$85</f>
        <v>92182.423526623475</v>
      </c>
      <c r="AB10" s="52">
        <f>+[5]김포!$Q$89</f>
        <v>71480.094963016643</v>
      </c>
      <c r="AC10" s="47">
        <f>+[5]김포!$R$89</f>
        <v>74436.950773558376</v>
      </c>
      <c r="AD10" s="53">
        <f>+[6]김포!$Q$89</f>
        <v>66553.840338126087</v>
      </c>
      <c r="AE10" s="52">
        <f t="shared" si="7"/>
        <v>24713.337469415783</v>
      </c>
      <c r="AF10" s="47">
        <f t="shared" si="8"/>
        <v>21465.485232067513</v>
      </c>
      <c r="AG10" s="53">
        <f t="shared" si="9"/>
        <v>25628.583188497389</v>
      </c>
      <c r="AH10" s="18"/>
      <c r="AI10" s="19"/>
      <c r="AJ10" s="97"/>
    </row>
    <row r="11" spans="2:36" s="8" customFormat="1" ht="19.5" customHeight="1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+IFERROR(HLOOKUP($B11,'[1]7월'!$D$6:$BN$259,2,),)/1000</f>
        <v>22</v>
      </c>
      <c r="K11" s="64">
        <f>+IFERROR(HLOOKUP($B11,'[2]7월'!$F$6:$CP$99,2,),)/1000</f>
        <v>17.425000000000001</v>
      </c>
      <c r="L11" s="65">
        <f t="shared" si="0"/>
        <v>-4.5749999999999993</v>
      </c>
      <c r="M11" s="66">
        <f>+IFERROR(HLOOKUP($B11,'[3]7월'!$F$6:$CC$57,2,),)/1000</f>
        <v>21.361999999999998</v>
      </c>
      <c r="N11" s="67">
        <f t="shared" si="2"/>
        <v>-3.9369999999999976</v>
      </c>
      <c r="O11" s="63">
        <f>+IFERROR(HLOOKUP($B11,'[1]7월'!$D$6:$BN$259,3,),)/1000</f>
        <v>2367.1890579999999</v>
      </c>
      <c r="P11" s="64">
        <f>+IFERROR(HLOOKUP($B11,'[2]7월'!$F$6:$CP$99,3,),)/1000</f>
        <v>1927.9159999999999</v>
      </c>
      <c r="Q11" s="65">
        <f t="shared" si="3"/>
        <v>-439.27305799999999</v>
      </c>
      <c r="R11" s="66">
        <f>+IFERROR(HLOOKUP($B11,'[3]7월'!$F$6:$CC$57,3,),)/1000</f>
        <v>2269.5353999999998</v>
      </c>
      <c r="S11" s="67">
        <f t="shared" si="4"/>
        <v>-341.61939999999981</v>
      </c>
      <c r="T11" s="63">
        <f>+IFERROR(HLOOKUP($B11,'[1]7월'!$D$6:$BN$259,16,),)/1000</f>
        <v>395.44491037967379</v>
      </c>
      <c r="U11" s="64">
        <f>+IFERROR(HLOOKUP($B11,'[2]7월'!$F$6:$CP$99,16,),)/1000</f>
        <v>190.61797699999991</v>
      </c>
      <c r="V11" s="65">
        <f t="shared" si="5"/>
        <v>-204.82693337967387</v>
      </c>
      <c r="W11" s="66">
        <f>+IFERROR(HLOOKUP($B11,'[3]7월'!$F$6:$CC$57,16,),)/1000</f>
        <v>422.11122900000009</v>
      </c>
      <c r="X11" s="67">
        <f t="shared" si="6"/>
        <v>-231.49325200000018</v>
      </c>
      <c r="Y11" s="63">
        <f>+[5]부산!$Q$85</f>
        <v>107599.50263636363</v>
      </c>
      <c r="Z11" s="64">
        <f>+[5]부산!$R$85</f>
        <v>110640.80344332855</v>
      </c>
      <c r="AA11" s="68">
        <f>+[6]부산!$Q$85</f>
        <v>106241.7095777549</v>
      </c>
      <c r="AB11" s="69">
        <f>+[5]부산!$Q$89</f>
        <v>77709.295580593884</v>
      </c>
      <c r="AC11" s="64">
        <f>+[5]부산!$R$89</f>
        <v>84480.700824836764</v>
      </c>
      <c r="AD11" s="70">
        <f>+[6]부산!$Q$89</f>
        <v>74764.118858212445</v>
      </c>
      <c r="AE11" s="69">
        <f t="shared" si="7"/>
        <v>29890.207055769744</v>
      </c>
      <c r="AF11" s="64">
        <f t="shared" si="8"/>
        <v>26160.102618491786</v>
      </c>
      <c r="AG11" s="70">
        <f t="shared" si="9"/>
        <v>31477.590719542452</v>
      </c>
      <c r="AH11" s="18"/>
      <c r="AI11" s="19"/>
      <c r="AJ11" s="97"/>
    </row>
    <row r="12" spans="2:36" s="8" customFormat="1" ht="19.5" customHeight="1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+IFERROR(HLOOKUP($B12,'[1]7월'!$D$6:$BN$259,2,),)/1000</f>
        <v>26</v>
      </c>
      <c r="K12" s="47">
        <f>+IFERROR(HLOOKUP($B12,'[2]7월'!$F$6:$CP$99,2,),)/1000</f>
        <v>20.05</v>
      </c>
      <c r="L12" s="48">
        <f t="shared" si="0"/>
        <v>-5.9499999999999993</v>
      </c>
      <c r="M12" s="49">
        <f>+IFERROR(HLOOKUP($B12,'[3]7월'!$F$6:$CC$57,2,),)/1000</f>
        <v>15.914999999999999</v>
      </c>
      <c r="N12" s="50">
        <f t="shared" si="2"/>
        <v>4.1350000000000016</v>
      </c>
      <c r="O12" s="46">
        <f>+IFERROR(HLOOKUP($B12,'[1]7월'!$D$6:$BN$259,3,),)/1000</f>
        <v>2701.4843999999998</v>
      </c>
      <c r="P12" s="47">
        <f>+IFERROR(HLOOKUP($B12,'[2]7월'!$F$6:$CP$99,3,),)/1000</f>
        <v>2059.0346</v>
      </c>
      <c r="Q12" s="48">
        <f t="shared" si="3"/>
        <v>-642.44979999999987</v>
      </c>
      <c r="R12" s="49">
        <f>+IFERROR(HLOOKUP($B12,'[3]7월'!$F$6:$CC$57,3,),)/1000</f>
        <v>1700.0393999999999</v>
      </c>
      <c r="S12" s="50">
        <f t="shared" si="4"/>
        <v>358.99520000000007</v>
      </c>
      <c r="T12" s="46">
        <f>+IFERROR(HLOOKUP($B12,'[1]7월'!$D$6:$BN$259,16,),)/1000</f>
        <v>483.47274062418444</v>
      </c>
      <c r="U12" s="47">
        <f>+IFERROR(HLOOKUP($B12,'[2]7월'!$F$6:$CP$99,16,),)/1000</f>
        <v>225.63006199999998</v>
      </c>
      <c r="V12" s="48">
        <f t="shared" si="5"/>
        <v>-257.84267862418449</v>
      </c>
      <c r="W12" s="49">
        <f>+IFERROR(HLOOKUP($B12,'[3]7월'!$F$6:$CC$57,16,),)/1000</f>
        <v>297.16163799999998</v>
      </c>
      <c r="X12" s="50">
        <f t="shared" si="6"/>
        <v>-71.531576000000001</v>
      </c>
      <c r="Y12" s="46">
        <f>+[5]서부산!$Q$85</f>
        <v>103903.24615384615</v>
      </c>
      <c r="Z12" s="47">
        <f>+[5]서부산!$R$85</f>
        <v>102695.87793896948</v>
      </c>
      <c r="AA12" s="51">
        <f>+[6]서부산!$Q$85</f>
        <v>106819.94344957586</v>
      </c>
      <c r="AB12" s="52">
        <f>+[5]서부산!$Q$89</f>
        <v>76198.703305052724</v>
      </c>
      <c r="AC12" s="47">
        <f>+[5]서부산!$R$89</f>
        <v>79119.203474743772</v>
      </c>
      <c r="AD12" s="53">
        <f>+[6]서부산!$Q$89</f>
        <v>75936.262268300343</v>
      </c>
      <c r="AE12" s="52">
        <f t="shared" si="7"/>
        <v>27704.542848793426</v>
      </c>
      <c r="AF12" s="47">
        <f t="shared" si="8"/>
        <v>23576.674464225711</v>
      </c>
      <c r="AG12" s="53">
        <f t="shared" si="9"/>
        <v>30883.681181275519</v>
      </c>
      <c r="AH12" s="18"/>
      <c r="AI12" s="19"/>
      <c r="AJ12" s="97"/>
    </row>
    <row r="13" spans="2:36" s="8" customFormat="1" ht="19.5" customHeight="1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+IFERROR(HLOOKUP($B13,'[1]7월'!$D$6:$BN$259,2,),)/1000</f>
        <v>11</v>
      </c>
      <c r="K13" s="47">
        <f>+IFERROR(HLOOKUP($B13,'[2]7월'!$F$6:$CP$99,2,),)/1000</f>
        <v>11.781000000000001</v>
      </c>
      <c r="L13" s="48">
        <f t="shared" si="0"/>
        <v>0.78100000000000058</v>
      </c>
      <c r="M13" s="49">
        <f>+IFERROR(HLOOKUP($B13,'[3]7월'!$F$6:$CC$57,2,),)/1000</f>
        <v>9.5619999999999994</v>
      </c>
      <c r="N13" s="50">
        <f t="shared" si="2"/>
        <v>2.2190000000000012</v>
      </c>
      <c r="O13" s="46">
        <f>+IFERROR(HLOOKUP($B13,'[1]7월'!$D$6:$BN$259,3,),)/1000</f>
        <v>1111.0021999999999</v>
      </c>
      <c r="P13" s="47">
        <f>+IFERROR(HLOOKUP($B13,'[2]7월'!$F$6:$CP$99,3,),)/1000</f>
        <v>1132.0666999999999</v>
      </c>
      <c r="Q13" s="48">
        <f t="shared" si="3"/>
        <v>21.064499999999953</v>
      </c>
      <c r="R13" s="49">
        <f>+IFERROR(HLOOKUP($B13,'[3]7월'!$F$6:$CC$57,3,),)/1000</f>
        <v>951.48450000000003</v>
      </c>
      <c r="S13" s="50">
        <f t="shared" si="4"/>
        <v>180.58219999999983</v>
      </c>
      <c r="T13" s="46">
        <f>+IFERROR(HLOOKUP($B13,'[1]7월'!$D$6:$BN$259,16,),)/1000</f>
        <v>134.25265064064405</v>
      </c>
      <c r="U13" s="47">
        <f>+IFERROR(HLOOKUP($B13,'[2]7월'!$F$6:$CP$99,16,),)/1000</f>
        <v>38.555588</v>
      </c>
      <c r="V13" s="48">
        <f t="shared" si="5"/>
        <v>-95.697062640644049</v>
      </c>
      <c r="W13" s="49">
        <f>+IFERROR(HLOOKUP($B13,'[3]7월'!$F$6:$CC$57,16,),)/1000</f>
        <v>99.327666000000065</v>
      </c>
      <c r="X13" s="50">
        <f t="shared" si="6"/>
        <v>-60.772078000000064</v>
      </c>
      <c r="Y13" s="46">
        <f>+[5]김해!$Q$85</f>
        <v>101000.2</v>
      </c>
      <c r="Z13" s="47">
        <f>+[5]김해!$R$85</f>
        <v>96092.581274934215</v>
      </c>
      <c r="AA13" s="51">
        <f>+[6]김해!$Q$85</f>
        <v>99506.850031374182</v>
      </c>
      <c r="AB13" s="52">
        <f>+[5]김해!$Q$89</f>
        <v>76177.609686265816</v>
      </c>
      <c r="AC13" s="47">
        <f>+[5]김해!$R$89</f>
        <v>80907.955521602591</v>
      </c>
      <c r="AD13" s="53">
        <f>+[6]김해!$Q$89</f>
        <v>75075.388935369163</v>
      </c>
      <c r="AE13" s="52">
        <f t="shared" si="7"/>
        <v>24822.590313734181</v>
      </c>
      <c r="AF13" s="47">
        <f t="shared" si="8"/>
        <v>15184.625753331624</v>
      </c>
      <c r="AG13" s="53">
        <f t="shared" si="9"/>
        <v>24431.461096005019</v>
      </c>
      <c r="AH13" s="18"/>
      <c r="AI13" s="19"/>
      <c r="AJ13" s="97"/>
    </row>
    <row r="14" spans="2:36" s="8" customFormat="1" ht="19.5" customHeight="1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+IFERROR(HLOOKUP($B14,'[1]7월'!$D$6:$BN$259,2,),)/1000</f>
        <v>17</v>
      </c>
      <c r="K14" s="47">
        <f>+IFERROR(HLOOKUP($B14,'[2]7월'!$F$6:$CP$99,2,),)/1000</f>
        <v>17.288</v>
      </c>
      <c r="L14" s="48">
        <f t="shared" si="0"/>
        <v>0.28800000000000026</v>
      </c>
      <c r="M14" s="49">
        <f>+IFERROR(HLOOKUP($B14,'[3]7월'!$F$6:$CC$57,2,),)/1000</f>
        <v>15.233000000000001</v>
      </c>
      <c r="N14" s="50">
        <f t="shared" si="2"/>
        <v>2.0549999999999997</v>
      </c>
      <c r="O14" s="46">
        <f>+IFERROR(HLOOKUP($B14,'[1]7월'!$D$6:$BN$259,3,),)/1000</f>
        <v>1768</v>
      </c>
      <c r="P14" s="47">
        <f>+IFERROR(HLOOKUP($B14,'[2]7월'!$F$6:$CP$99,3,),)/1000</f>
        <v>1737.7844</v>
      </c>
      <c r="Q14" s="48">
        <f t="shared" si="3"/>
        <v>-30.215599999999995</v>
      </c>
      <c r="R14" s="49">
        <f>+IFERROR(HLOOKUP($B14,'[3]7월'!$F$6:$CC$57,3,),)/1000</f>
        <v>1610.0879</v>
      </c>
      <c r="S14" s="50">
        <f t="shared" si="4"/>
        <v>127.69650000000001</v>
      </c>
      <c r="T14" s="46">
        <f>+IFERROR(HLOOKUP($B14,'[1]7월'!$D$6:$BN$259,16,),)/1000</f>
        <v>251.83450961339992</v>
      </c>
      <c r="U14" s="47">
        <f>+IFERROR(HLOOKUP($B14,'[2]7월'!$F$6:$CP$99,16,),)/1000</f>
        <v>137.8495159999998</v>
      </c>
      <c r="V14" s="48">
        <f t="shared" si="5"/>
        <v>-113.98499361340012</v>
      </c>
      <c r="W14" s="49">
        <f>+IFERROR(HLOOKUP($B14,'[3]7월'!$F$6:$CC$57,16,),)/1000</f>
        <v>253.60877299999987</v>
      </c>
      <c r="X14" s="50">
        <f t="shared" si="6"/>
        <v>-115.75925700000008</v>
      </c>
      <c r="Y14" s="46">
        <f>+[5]정관!$Q$85</f>
        <v>104000</v>
      </c>
      <c r="Z14" s="47">
        <f>+[5]정관!$R$85</f>
        <v>100519.68995835261</v>
      </c>
      <c r="AA14" s="51">
        <f>+[6]정관!$Q$85</f>
        <v>105697.36099258189</v>
      </c>
      <c r="AB14" s="52">
        <f>+[5]정관!$Q$89</f>
        <v>77887.509329930705</v>
      </c>
      <c r="AC14" s="47">
        <f>+[5]정관!$R$89</f>
        <v>81910.422747773817</v>
      </c>
      <c r="AD14" s="53">
        <f>+[6]정관!$Q$89</f>
        <v>77276.29721220072</v>
      </c>
      <c r="AE14" s="52">
        <f t="shared" si="7"/>
        <v>26112.490670069295</v>
      </c>
      <c r="AF14" s="47">
        <f t="shared" si="8"/>
        <v>18609.267210578793</v>
      </c>
      <c r="AG14" s="53">
        <f t="shared" si="9"/>
        <v>28421.06378038117</v>
      </c>
      <c r="AH14" s="18"/>
      <c r="AI14" s="19"/>
      <c r="AJ14" s="97"/>
    </row>
    <row r="15" spans="2:36" s="8" customFormat="1" ht="19.5" customHeight="1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+IFERROR(HLOOKUP($B15,'[1]7월'!$D$6:$BN$259,2,),)/1000</f>
        <v>9</v>
      </c>
      <c r="K15" s="47">
        <f>+IFERROR(HLOOKUP($B15,'[2]7월'!$F$6:$CP$99,2,),)/1000</f>
        <v>11.07</v>
      </c>
      <c r="L15" s="48">
        <f t="shared" si="0"/>
        <v>2.0700000000000003</v>
      </c>
      <c r="M15" s="49">
        <f>+IFERROR(HLOOKUP($B15,'[3]7월'!$F$6:$CC$57,2,),)/1000</f>
        <v>10.519</v>
      </c>
      <c r="N15" s="50">
        <f t="shared" si="2"/>
        <v>0.55100000000000016</v>
      </c>
      <c r="O15" s="46">
        <f>+IFERROR(HLOOKUP($B15,'[1]7월'!$D$6:$BN$259,3,),)/1000</f>
        <v>873.30597</v>
      </c>
      <c r="P15" s="47">
        <f>+IFERROR(HLOOKUP($B15,'[2]7월'!$F$6:$CP$99,3,),)/1000</f>
        <v>1022.5877730000001</v>
      </c>
      <c r="Q15" s="48">
        <f t="shared" si="3"/>
        <v>149.28180300000008</v>
      </c>
      <c r="R15" s="49">
        <f>+IFERROR(HLOOKUP($B15,'[3]7월'!$F$6:$CC$57,3,),)/1000</f>
        <v>1013.7190000000001</v>
      </c>
      <c r="S15" s="50">
        <f t="shared" si="4"/>
        <v>8.8687730000000329</v>
      </c>
      <c r="T15" s="46">
        <f>+IFERROR(HLOOKUP($B15,'[1]7월'!$D$6:$BN$259,16,),)/1000</f>
        <v>121.09020072094516</v>
      </c>
      <c r="U15" s="47">
        <f>+IFERROR(HLOOKUP($B15,'[2]7월'!$F$6:$CP$99,16,),)/1000</f>
        <v>49.59274800000005</v>
      </c>
      <c r="V15" s="48">
        <f t="shared" si="5"/>
        <v>-71.49745272094512</v>
      </c>
      <c r="W15" s="49">
        <f>+IFERROR(HLOOKUP($B15,'[3]7월'!$F$6:$CC$57,16,),)/1000</f>
        <v>127.00296099999996</v>
      </c>
      <c r="X15" s="50">
        <f t="shared" si="6"/>
        <v>-77.410212999999914</v>
      </c>
      <c r="Y15" s="46">
        <f>+[5]양산!$Q$85</f>
        <v>97033.996666666673</v>
      </c>
      <c r="Z15" s="47">
        <f>+[5]양산!$R$85</f>
        <v>92374.685907859093</v>
      </c>
      <c r="AA15" s="51">
        <f>+[6]양산!$Q$85</f>
        <v>96370.282346230626</v>
      </c>
      <c r="AB15" s="52">
        <f>+[5]양산!$Q$89</f>
        <v>68584.622240882629</v>
      </c>
      <c r="AC15" s="47">
        <f>+[5]양산!$R$89</f>
        <v>75762.253206865411</v>
      </c>
      <c r="AD15" s="53">
        <f>+[6]양산!$Q$89</f>
        <v>69998.175777165132</v>
      </c>
      <c r="AE15" s="52">
        <f t="shared" si="7"/>
        <v>28449.374425784044</v>
      </c>
      <c r="AF15" s="47">
        <f t="shared" si="8"/>
        <v>16612.432700993682</v>
      </c>
      <c r="AG15" s="53">
        <f t="shared" si="9"/>
        <v>26372.106569065494</v>
      </c>
      <c r="AH15" s="18"/>
      <c r="AI15" s="19"/>
      <c r="AJ15" s="97"/>
    </row>
    <row r="16" spans="2:36" s="8" customFormat="1" ht="19.5" customHeight="1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+IFERROR(HLOOKUP($B16,'[1]7월'!$D$6:$BN$259,2,),)/1000</f>
        <v>16</v>
      </c>
      <c r="K16" s="47">
        <f>+IFERROR(HLOOKUP($B16,'[2]7월'!$F$6:$CP$99,2,),)/1000</f>
        <v>13.4055</v>
      </c>
      <c r="L16" s="48">
        <f t="shared" si="0"/>
        <v>-2.5945</v>
      </c>
      <c r="M16" s="49">
        <f>+IFERROR(HLOOKUP($B16,'[3]7월'!$F$6:$CC$57,2,),)/1000</f>
        <v>16.908999999999999</v>
      </c>
      <c r="N16" s="50">
        <f t="shared" si="2"/>
        <v>-3.5034999999999989</v>
      </c>
      <c r="O16" s="46">
        <f>+IFERROR(HLOOKUP($B16,'[1]7월'!$D$6:$BN$259,3,),)/1000</f>
        <v>1627.229</v>
      </c>
      <c r="P16" s="47">
        <f>+IFERROR(HLOOKUP($B16,'[2]7월'!$F$6:$CP$99,3,),)/1000</f>
        <v>1358.99505</v>
      </c>
      <c r="Q16" s="48">
        <f t="shared" si="3"/>
        <v>-268.23395000000005</v>
      </c>
      <c r="R16" s="49">
        <f>+IFERROR(HLOOKUP($B16,'[3]7월'!$F$6:$CC$57,3,),)/1000</f>
        <v>1624.3681999999999</v>
      </c>
      <c r="S16" s="50">
        <f t="shared" si="4"/>
        <v>-265.3731499999999</v>
      </c>
      <c r="T16" s="46">
        <f>+IFERROR(HLOOKUP($B16,'[1]7월'!$D$6:$BN$259,16,),)/1000</f>
        <v>282.65073239043187</v>
      </c>
      <c r="U16" s="47">
        <f>+IFERROR(HLOOKUP($B16,'[2]7월'!$F$6:$CP$99,16,),)/1000</f>
        <v>173.49249899999984</v>
      </c>
      <c r="V16" s="48">
        <f t="shared" si="5"/>
        <v>-109.15823339043203</v>
      </c>
      <c r="W16" s="49">
        <f>+IFERROR(HLOOKUP($B16,'[3]7월'!$F$6:$CC$57,16,),)/1000</f>
        <v>301.92364199999992</v>
      </c>
      <c r="X16" s="50">
        <f t="shared" si="6"/>
        <v>-128.43114300000008</v>
      </c>
      <c r="Y16" s="46">
        <f>+[5]창원!$Q$85</f>
        <v>101701.8125</v>
      </c>
      <c r="Z16" s="47">
        <f>+[5]창원!$R$85</f>
        <v>101375.93152064452</v>
      </c>
      <c r="AA16" s="51">
        <f>+[6]창원!$Q$85</f>
        <v>96065.302501626342</v>
      </c>
      <c r="AB16" s="52">
        <f>+[5]창원!$Q$89</f>
        <v>72423.237284191855</v>
      </c>
      <c r="AC16" s="47">
        <f>+[5]창원!$R$89</f>
        <v>74138.455410092865</v>
      </c>
      <c r="AD16" s="53">
        <f>+[6]창원!$Q$89</f>
        <v>67976.161511621031</v>
      </c>
      <c r="AE16" s="52">
        <f t="shared" si="7"/>
        <v>29278.575215808145</v>
      </c>
      <c r="AF16" s="47">
        <f t="shared" si="8"/>
        <v>27237.476110551652</v>
      </c>
      <c r="AG16" s="53">
        <f t="shared" si="9"/>
        <v>28089.140990005311</v>
      </c>
      <c r="AH16" s="18"/>
      <c r="AI16" s="19"/>
      <c r="AJ16" s="97"/>
    </row>
    <row r="17" spans="2:38" s="8" customFormat="1" ht="19.5" customHeight="1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+IFERROR(HLOOKUP($B17,'[1]7월'!$D$6:$BN$259,2,),)/1000</f>
        <v>16</v>
      </c>
      <c r="K17" s="47">
        <f>+IFERROR(HLOOKUP($B17,'[2]7월'!$F$6:$CP$99,2,),)/1000</f>
        <v>12.691000000000001</v>
      </c>
      <c r="L17" s="48">
        <f t="shared" si="0"/>
        <v>-3.3089999999999993</v>
      </c>
      <c r="M17" s="49">
        <f>+IFERROR(HLOOKUP($B17,'[3]7월'!$F$6:$CC$57,2,),)/1000</f>
        <v>16.466999999999999</v>
      </c>
      <c r="N17" s="50">
        <f t="shared" si="2"/>
        <v>-3.775999999999998</v>
      </c>
      <c r="O17" s="46">
        <f>+IFERROR(HLOOKUP($B17,'[1]7월'!$D$6:$BN$259,3,),)/1000</f>
        <v>1564.1599999999999</v>
      </c>
      <c r="P17" s="47">
        <f>+IFERROR(HLOOKUP($B17,'[2]7월'!$F$6:$CP$99,3,),)/1000</f>
        <v>1308.70254</v>
      </c>
      <c r="Q17" s="48">
        <f t="shared" si="3"/>
        <v>-255.45745999999986</v>
      </c>
      <c r="R17" s="49">
        <f>+IFERROR(HLOOKUP($B17,'[3]7월'!$F$6:$CC$57,3,),)/1000</f>
        <v>1583.2716</v>
      </c>
      <c r="S17" s="50">
        <f t="shared" si="4"/>
        <v>-274.56906000000004</v>
      </c>
      <c r="T17" s="46">
        <f>+IFERROR(HLOOKUP($B17,'[1]7월'!$D$6:$BN$259,16,),)/1000</f>
        <v>299.58492152636268</v>
      </c>
      <c r="U17" s="47">
        <f>+IFERROR(HLOOKUP($B17,'[2]7월'!$F$6:$CP$99,16,),)/1000</f>
        <v>175.59369799999996</v>
      </c>
      <c r="V17" s="48">
        <f t="shared" si="5"/>
        <v>-123.99122352636272</v>
      </c>
      <c r="W17" s="49">
        <f>+IFERROR(HLOOKUP($B17,'[3]7월'!$F$6:$CC$57,16,),)/1000</f>
        <v>303.68790100000007</v>
      </c>
      <c r="X17" s="50">
        <f t="shared" si="6"/>
        <v>-128.09420300000011</v>
      </c>
      <c r="Y17" s="46">
        <f>+[5]대구!$Q$85</f>
        <v>97759.999999999985</v>
      </c>
      <c r="Z17" s="47">
        <f>+[5]대구!$R$85</f>
        <v>103120.52162950122</v>
      </c>
      <c r="AA17" s="51">
        <f>+[6]대구!$Q$85</f>
        <v>96148.150847148849</v>
      </c>
      <c r="AB17" s="52">
        <f>+[5]대구!$Q$89</f>
        <v>68963.293395768385</v>
      </c>
      <c r="AC17" s="47">
        <f>+[5]대구!$R$89</f>
        <v>75635.831455362058</v>
      </c>
      <c r="AD17" s="53">
        <f>+[6]대구!$Q$89</f>
        <v>68492.830934596466</v>
      </c>
      <c r="AE17" s="52">
        <f t="shared" si="7"/>
        <v>28796.7066042316</v>
      </c>
      <c r="AF17" s="47">
        <f t="shared" si="8"/>
        <v>27484.690174139163</v>
      </c>
      <c r="AG17" s="53">
        <f t="shared" si="9"/>
        <v>27655.319912552382</v>
      </c>
      <c r="AH17" s="18"/>
      <c r="AI17" s="19"/>
      <c r="AJ17" s="97"/>
    </row>
    <row r="18" spans="2:38" s="8" customFormat="1" ht="19.5" customHeight="1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+IFERROR(HLOOKUP($B18,'[1]7월'!$D$6:$BN$259,2,),)/1000</f>
        <v>10</v>
      </c>
      <c r="K18" s="11">
        <f>+IFERROR(HLOOKUP($B18,'[2]7월'!$F$6:$CP$99,2,),)/1000</f>
        <v>15.045500000000001</v>
      </c>
      <c r="L18" s="12">
        <f t="shared" si="0"/>
        <v>5.0455000000000005</v>
      </c>
      <c r="M18" s="13">
        <f>+IFERROR(HLOOKUP($B18,'[3]7월'!$F$6:$CC$57,2,),)/1000</f>
        <v>5.9634999999999998</v>
      </c>
      <c r="N18" s="14">
        <f t="shared" si="2"/>
        <v>9.0820000000000007</v>
      </c>
      <c r="O18" s="10">
        <f>+IFERROR(HLOOKUP($B18,'[1]7월'!$D$6:$BN$259,3,),)/1000</f>
        <v>1012.58514</v>
      </c>
      <c r="P18" s="11">
        <f>+IFERROR(HLOOKUP($B18,'[2]7월'!$F$6:$CP$99,3,),)/1000</f>
        <v>1592.9121</v>
      </c>
      <c r="Q18" s="12">
        <f t="shared" si="3"/>
        <v>580.32695999999999</v>
      </c>
      <c r="R18" s="13">
        <f>+IFERROR(HLOOKUP($B18,'[3]7월'!$F$6:$CC$57,3,),)/1000</f>
        <v>569.46040000000005</v>
      </c>
      <c r="S18" s="14">
        <f t="shared" si="4"/>
        <v>1023.4517</v>
      </c>
      <c r="T18" s="10">
        <f>+IFERROR(HLOOKUP($B18,'[1]7월'!$D$6:$BN$259,16,),)/1000</f>
        <v>99.238540607758225</v>
      </c>
      <c r="U18" s="11">
        <f>+IFERROR(HLOOKUP($B18,'[2]7월'!$F$6:$CP$99,16,),)/1000</f>
        <v>240.50593300000014</v>
      </c>
      <c r="V18" s="12">
        <f t="shared" si="5"/>
        <v>141.2673923922419</v>
      </c>
      <c r="W18" s="13">
        <f>+IFERROR(HLOOKUP($B18,'[3]7월'!$F$6:$CC$57,16,),)/1000</f>
        <v>-0.83724299999994944</v>
      </c>
      <c r="X18" s="14">
        <f t="shared" si="6"/>
        <v>241.34317600000008</v>
      </c>
      <c r="Y18" s="10">
        <f>+[5]울산!$Q$85</f>
        <v>101258.51400000001</v>
      </c>
      <c r="Z18" s="11">
        <f>+[5]울산!$R$85</f>
        <v>105872.99192449571</v>
      </c>
      <c r="AA18" s="15">
        <f>+[6]울산!$Q$85</f>
        <v>95552.436413462361</v>
      </c>
      <c r="AB18" s="16">
        <f>+[5]울산!$Q$89</f>
        <v>78071.4622351086</v>
      </c>
      <c r="AC18" s="11">
        <f>+[5]울산!$R$89</f>
        <v>81253.353826725594</v>
      </c>
      <c r="AD18" s="17">
        <f>+[6]울산!$Q$89</f>
        <v>75027.189517855615</v>
      </c>
      <c r="AE18" s="16">
        <f t="shared" si="7"/>
        <v>23187.05176489141</v>
      </c>
      <c r="AF18" s="11">
        <f t="shared" si="8"/>
        <v>24619.638097770119</v>
      </c>
      <c r="AG18" s="17">
        <f t="shared" si="9"/>
        <v>20525.246895606746</v>
      </c>
      <c r="AH18" s="18"/>
      <c r="AI18" s="19"/>
      <c r="AJ18" s="97"/>
    </row>
    <row r="19" spans="2:38" s="8" customFormat="1" ht="19.5" customHeight="1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+IFERROR(HLOOKUP($B19,'[1]7월'!$D$6:$BN$259,2,),)/1000</f>
        <v>24</v>
      </c>
      <c r="K19" s="47">
        <f>+IFERROR(HLOOKUP($B19,'[2]7월'!$F$6:$CP$99,2,),)/1000</f>
        <v>24.195</v>
      </c>
      <c r="L19" s="48">
        <f t="shared" si="0"/>
        <v>0.19500000000000028</v>
      </c>
      <c r="M19" s="49">
        <f>+IFERROR(HLOOKUP($B19,'[3]7월'!$F$6:$CC$57,2,),)/1000</f>
        <v>20.317</v>
      </c>
      <c r="N19" s="50">
        <f t="shared" si="2"/>
        <v>3.8780000000000001</v>
      </c>
      <c r="O19" s="46">
        <f>+IFERROR(HLOOKUP($B19,'[1]7월'!$D$6:$BN$259,3,),)/1000</f>
        <v>2424.0035999999996</v>
      </c>
      <c r="P19" s="47">
        <f>+IFERROR(HLOOKUP($B19,'[2]7월'!$F$6:$CP$99,3,),)/1000</f>
        <v>2473.7660189999997</v>
      </c>
      <c r="Q19" s="48">
        <f t="shared" si="3"/>
        <v>49.762419000000136</v>
      </c>
      <c r="R19" s="49">
        <f>+IFERROR(HLOOKUP($B19,'[3]7월'!$F$6:$CC$57,3,),)/1000</f>
        <v>2001.379991</v>
      </c>
      <c r="S19" s="50">
        <f t="shared" si="4"/>
        <v>472.38602799999967</v>
      </c>
      <c r="T19" s="46">
        <f>+IFERROR(HLOOKUP($B19,'[1]7월'!$D$6:$BN$259,16,),)/1000</f>
        <v>373.79144289918094</v>
      </c>
      <c r="U19" s="47">
        <f>+IFERROR(HLOOKUP($B19,'[2]7월'!$F$6:$CP$99,16,),)/1000</f>
        <v>395.11046199999976</v>
      </c>
      <c r="V19" s="48">
        <f t="shared" si="5"/>
        <v>21.319019100818821</v>
      </c>
      <c r="W19" s="49">
        <f>+IFERROR(HLOOKUP($B19,'[3]7월'!$F$6:$CC$57,16,),)/1000</f>
        <v>231.05759099999989</v>
      </c>
      <c r="X19" s="50">
        <f t="shared" si="6"/>
        <v>164.05287099999987</v>
      </c>
      <c r="Y19" s="46">
        <f>+[5]아산!$Q$85</f>
        <v>101000.15</v>
      </c>
      <c r="Z19" s="47">
        <f>+[5]아산!$R$85</f>
        <v>102242.86088034717</v>
      </c>
      <c r="AA19" s="51">
        <f>+[6]아산!$Q$85</f>
        <v>98479.176629741181</v>
      </c>
      <c r="AB19" s="52">
        <f>+[5]아산!$Q$89</f>
        <v>76608.278155999447</v>
      </c>
      <c r="AC19" s="47">
        <f>+[5]아산!$R$89</f>
        <v>75710.54316413487</v>
      </c>
      <c r="AD19" s="53">
        <f>+[6]아산!$Q$89</f>
        <v>76785.689512630779</v>
      </c>
      <c r="AE19" s="52">
        <f t="shared" si="7"/>
        <v>24391.871844000547</v>
      </c>
      <c r="AF19" s="47">
        <f t="shared" si="8"/>
        <v>26532.317716212303</v>
      </c>
      <c r="AG19" s="53">
        <f t="shared" si="9"/>
        <v>21693.487117110402</v>
      </c>
      <c r="AH19" s="18"/>
      <c r="AI19" s="19"/>
      <c r="AJ19" s="97"/>
    </row>
    <row r="20" spans="2:38" s="8" customFormat="1" ht="19.5" customHeight="1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+IFERROR(HLOOKUP($B20,'[1]7월'!$D$6:$BN$259,2,),)/1000</f>
        <v>10</v>
      </c>
      <c r="K20" s="47">
        <f>+IFERROR(HLOOKUP($B20,'[2]7월'!$F$6:$CP$99,2,),)/1000</f>
        <v>8.0734999999999992</v>
      </c>
      <c r="L20" s="48">
        <f t="shared" si="0"/>
        <v>-1.9265000000000008</v>
      </c>
      <c r="M20" s="49">
        <f>+IFERROR(HLOOKUP($B20,'[3]7월'!$F$6:$CC$57,2,),)/1000</f>
        <v>6.7460000000000004</v>
      </c>
      <c r="N20" s="50">
        <f t="shared" si="2"/>
        <v>1.3274999999999988</v>
      </c>
      <c r="O20" s="46">
        <f>+IFERROR(HLOOKUP($B20,'[1]7월'!$D$6:$BN$259,3,),)/1000</f>
        <v>1030.0691400000001</v>
      </c>
      <c r="P20" s="47">
        <f>+IFERROR(HLOOKUP($B20,'[2]7월'!$F$6:$CP$99,3,),)/1000</f>
        <v>767.06200000000001</v>
      </c>
      <c r="Q20" s="48">
        <f t="shared" si="3"/>
        <v>-263.00714000000005</v>
      </c>
      <c r="R20" s="49">
        <f>+IFERROR(HLOOKUP($B20,'[3]7월'!$F$6:$CC$57,3,),)/1000</f>
        <v>742.79139599999996</v>
      </c>
      <c r="S20" s="50">
        <f t="shared" si="4"/>
        <v>24.270604000000048</v>
      </c>
      <c r="T20" s="46">
        <f>+IFERROR(HLOOKUP($B20,'[1]7월'!$D$6:$BN$259,16,),)/1000</f>
        <v>166.47873348800405</v>
      </c>
      <c r="U20" s="47">
        <f>+IFERROR(HLOOKUP($B20,'[2]7월'!$F$6:$CP$99,16,),)/1000</f>
        <v>44.821658000000028</v>
      </c>
      <c r="V20" s="48">
        <f t="shared" si="5"/>
        <v>-121.65707548800403</v>
      </c>
      <c r="W20" s="49">
        <f>+IFERROR(HLOOKUP($B20,'[3]7월'!$F$6:$CC$57,16,),)/1000</f>
        <v>111.56789399999997</v>
      </c>
      <c r="X20" s="50">
        <f t="shared" si="6"/>
        <v>-66.746235999999939</v>
      </c>
      <c r="Y20" s="46">
        <f>+[5]전주!$Q$85</f>
        <v>103006.91399999999</v>
      </c>
      <c r="Z20" s="47">
        <f>+[5]전주!$R$85</f>
        <v>95009.847030408127</v>
      </c>
      <c r="AA20" s="51">
        <f>+[6]전주!$Q$85</f>
        <v>110108.41921138452</v>
      </c>
      <c r="AB20" s="52">
        <f>+[5]전주!$Q$89</f>
        <v>72610.173002780866</v>
      </c>
      <c r="AC20" s="47">
        <f>+[5]전주!$R$89</f>
        <v>71872.965876014132</v>
      </c>
      <c r="AD20" s="53">
        <f>+[6]전주!$Q$89</f>
        <v>73699.284508293844</v>
      </c>
      <c r="AE20" s="52">
        <f t="shared" si="7"/>
        <v>30396.740997219124</v>
      </c>
      <c r="AF20" s="47">
        <f t="shared" si="8"/>
        <v>23136.881154393996</v>
      </c>
      <c r="AG20" s="53">
        <f t="shared" si="9"/>
        <v>36409.134703090676</v>
      </c>
      <c r="AH20" s="18"/>
      <c r="AI20" s="19"/>
      <c r="AJ20" s="97"/>
    </row>
    <row r="21" spans="2:38" s="8" customFormat="1" ht="19.5" customHeight="1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+IFERROR(HLOOKUP($B21,'[1]7월'!$D$6:$BN$259,2,),)/1000</f>
        <v>7</v>
      </c>
      <c r="K21" s="47">
        <f>+IFERROR(HLOOKUP($B21,'[2]7월'!$F$6:$CP$99,2,),)/1000</f>
        <v>7.2110000000000003</v>
      </c>
      <c r="L21" s="48">
        <f t="shared" si="0"/>
        <v>0.2110000000000003</v>
      </c>
      <c r="M21" s="49">
        <f>+IFERROR(HLOOKUP($B21,'[3]7월'!$F$6:$CC$57,2,),)/1000</f>
        <v>5.1384999999999996</v>
      </c>
      <c r="N21" s="50">
        <f t="shared" si="2"/>
        <v>2.0725000000000007</v>
      </c>
      <c r="O21" s="46">
        <f>+IFERROR(HLOOKUP($B21,'[1]7월'!$D$6:$BN$259,3,),)/1000</f>
        <v>762.99902899999995</v>
      </c>
      <c r="P21" s="47">
        <f>+IFERROR(HLOOKUP($B21,'[2]7월'!$F$6:$CP$99,3,),)/1000</f>
        <v>865.03425000000004</v>
      </c>
      <c r="Q21" s="48">
        <f t="shared" si="3"/>
        <v>102.03522100000009</v>
      </c>
      <c r="R21" s="49">
        <f>+IFERROR(HLOOKUP($B21,'[3]7월'!$F$6:$CC$57,3,),)/1000</f>
        <v>532.01538100000005</v>
      </c>
      <c r="S21" s="50">
        <f t="shared" si="4"/>
        <v>333.018869</v>
      </c>
      <c r="T21" s="46">
        <f>+IFERROR(HLOOKUP($B21,'[1]7월'!$D$6:$BN$259,16,),)/1000</f>
        <v>198.85369093567542</v>
      </c>
      <c r="U21" s="47">
        <f>+IFERROR(HLOOKUP($B21,'[2]7월'!$F$6:$CP$99,16,),)/1000</f>
        <v>241.03226199999997</v>
      </c>
      <c r="V21" s="48">
        <f t="shared" si="5"/>
        <v>42.178571064324558</v>
      </c>
      <c r="W21" s="49">
        <f>+IFERROR(HLOOKUP($B21,'[3]7월'!$F$6:$CC$57,16,),)/1000</f>
        <v>114.06306100000002</v>
      </c>
      <c r="X21" s="50">
        <f t="shared" si="6"/>
        <v>126.96920099999996</v>
      </c>
      <c r="Y21" s="46">
        <f>+[5]군산!$Q$85</f>
        <v>108999.86128571429</v>
      </c>
      <c r="Z21" s="47">
        <f>+[5]군산!$R$85</f>
        <v>119960.37304118706</v>
      </c>
      <c r="AA21" s="51">
        <f>+[6]군산!$Q$85</f>
        <v>103400.05552810988</v>
      </c>
      <c r="AB21" s="52">
        <f>+[5]군산!$Q$89</f>
        <v>69711.656514957169</v>
      </c>
      <c r="AC21" s="47">
        <f>+[5]군산!$R$89</f>
        <v>75163.431562890037</v>
      </c>
      <c r="AD21" s="53">
        <f>+[6]군산!$Q$89</f>
        <v>66178.643217073419</v>
      </c>
      <c r="AE21" s="52">
        <f t="shared" si="7"/>
        <v>39288.204770757118</v>
      </c>
      <c r="AF21" s="47">
        <f t="shared" si="8"/>
        <v>44796.941478297027</v>
      </c>
      <c r="AG21" s="53">
        <f t="shared" si="9"/>
        <v>37221.41231103646</v>
      </c>
      <c r="AH21" s="18"/>
      <c r="AI21" s="19"/>
      <c r="AJ21" s="97"/>
    </row>
    <row r="22" spans="2:38" s="8" customFormat="1" ht="19.5" customHeight="1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+IFERROR(HLOOKUP($B22,'[1]7월'!$D$6:$BN$259,2,),)/1000</f>
        <v>5</v>
      </c>
      <c r="K22" s="47">
        <f>+IFERROR(HLOOKUP($B22,'[2]7월'!$F$6:$CP$99,2,),)/1000</f>
        <v>5.1725000000000003</v>
      </c>
      <c r="L22" s="48">
        <f t="shared" si="0"/>
        <v>0.17250000000000032</v>
      </c>
      <c r="M22" s="49">
        <f>+IFERROR(HLOOKUP($B22,'[3]7월'!$F$6:$CC$57,2,),)/1000</f>
        <v>4.1044999999999998</v>
      </c>
      <c r="N22" s="50">
        <f t="shared" si="2"/>
        <v>1.0680000000000005</v>
      </c>
      <c r="O22" s="46">
        <f>+IFERROR(HLOOKUP($B22,'[1]7월'!$D$6:$BN$259,3,),)/1000</f>
        <v>539.5</v>
      </c>
      <c r="P22" s="47">
        <f>+IFERROR(HLOOKUP($B22,'[2]7월'!$F$6:$CP$99,3,),)/1000</f>
        <v>592.47664499999996</v>
      </c>
      <c r="Q22" s="48">
        <f t="shared" si="3"/>
        <v>52.976644999999962</v>
      </c>
      <c r="R22" s="49">
        <f>+IFERROR(HLOOKUP($B22,'[3]7월'!$F$6:$CC$57,3,),)/1000</f>
        <v>421.23920000000004</v>
      </c>
      <c r="S22" s="50">
        <f t="shared" si="4"/>
        <v>171.23744499999992</v>
      </c>
      <c r="T22" s="46">
        <f>+IFERROR(HLOOKUP($B22,'[1]7월'!$D$6:$BN$259,16,),)/1000</f>
        <v>88.943823009758901</v>
      </c>
      <c r="U22" s="47">
        <f>+IFERROR(HLOOKUP($B22,'[2]7월'!$F$6:$CP$99,16,),)/1000</f>
        <v>120.923486</v>
      </c>
      <c r="V22" s="48">
        <f t="shared" si="5"/>
        <v>31.979662990241096</v>
      </c>
      <c r="W22" s="49">
        <f>+IFERROR(HLOOKUP($B22,'[3]7월'!$F$6:$CC$57,16,),)/1000</f>
        <v>76.169915000000017</v>
      </c>
      <c r="X22" s="50">
        <f t="shared" si="6"/>
        <v>44.75357099999998</v>
      </c>
      <c r="Y22" s="46">
        <f>+[5]원주!$Q$85</f>
        <v>107900</v>
      </c>
      <c r="Z22" s="47">
        <f>+[5]원주!$R$85</f>
        <v>114543.57564040599</v>
      </c>
      <c r="AA22" s="51">
        <f>+[6]원주!$Q$85</f>
        <v>102654.58541946513</v>
      </c>
      <c r="AB22" s="52">
        <f>+[5]원주!$Q$89</f>
        <v>72909.892513522107</v>
      </c>
      <c r="AC22" s="47">
        <f>+[5]원주!$R$89</f>
        <v>75019.455969067189</v>
      </c>
      <c r="AD22" s="53">
        <f>+[6]원주!$Q$89</f>
        <v>66452.560507998525</v>
      </c>
      <c r="AE22" s="52">
        <f t="shared" si="7"/>
        <v>34990.107486477893</v>
      </c>
      <c r="AF22" s="47">
        <f t="shared" si="8"/>
        <v>39524.119671338805</v>
      </c>
      <c r="AG22" s="53">
        <f t="shared" si="9"/>
        <v>36202.024911466608</v>
      </c>
      <c r="AH22" s="18"/>
      <c r="AI22" s="19"/>
      <c r="AJ22" s="97"/>
    </row>
    <row r="23" spans="2:38" s="8" customFormat="1" ht="19.5" customHeight="1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+IFERROR(HLOOKUP($B23,'[1]7월'!$D$6:$BN$259,2,),)/1000</f>
        <v>6</v>
      </c>
      <c r="K23" s="47">
        <f>+IFERROR(HLOOKUP($B23,'[2]7월'!$F$6:$CP$99,2,),)/1000</f>
        <v>3.9015</v>
      </c>
      <c r="L23" s="48">
        <f t="shared" si="0"/>
        <v>-2.0985</v>
      </c>
      <c r="M23" s="49">
        <f>+IFERROR(HLOOKUP($B23,'[3]7월'!$F$6:$CC$57,2,),)/1000</f>
        <v>5.1695000000000002</v>
      </c>
      <c r="N23" s="50">
        <f t="shared" si="2"/>
        <v>-1.2680000000000002</v>
      </c>
      <c r="O23" s="46">
        <f>+IFERROR(HLOOKUP($B23,'[1]7월'!$D$6:$BN$259,3,),)/1000</f>
        <v>760.8</v>
      </c>
      <c r="P23" s="47">
        <f>+IFERROR(HLOOKUP($B23,'[2]7월'!$F$6:$CP$99,3,),)/1000</f>
        <v>478.870409</v>
      </c>
      <c r="Q23" s="48">
        <f t="shared" si="3"/>
        <v>-281.92959099999996</v>
      </c>
      <c r="R23" s="49">
        <f>+IFERROR(HLOOKUP($B23,'[3]7월'!$F$6:$CC$57,3,),)/1000</f>
        <v>634.65588200000002</v>
      </c>
      <c r="S23" s="50">
        <f t="shared" si="4"/>
        <v>-155.78547300000002</v>
      </c>
      <c r="T23" s="46">
        <f>+IFERROR(HLOOKUP($B23,'[1]7월'!$D$6:$BN$259,16,),)/1000</f>
        <v>122.77372904199412</v>
      </c>
      <c r="U23" s="47">
        <f>+IFERROR(HLOOKUP($B23,'[2]7월'!$F$6:$CP$99,16,),)/1000</f>
        <v>28.988094999999984</v>
      </c>
      <c r="V23" s="48">
        <f t="shared" si="5"/>
        <v>-93.785634041994129</v>
      </c>
      <c r="W23" s="49">
        <f>+IFERROR(HLOOKUP($B23,'[3]7월'!$F$6:$CC$57,16,),)/1000</f>
        <v>98.000357999999977</v>
      </c>
      <c r="X23" s="50">
        <f t="shared" si="6"/>
        <v>-69.01226299999999</v>
      </c>
      <c r="Y23" s="46">
        <f>+[5]제주!$Q$85</f>
        <v>126800</v>
      </c>
      <c r="Z23" s="47">
        <f>+[5]제주!$R$85</f>
        <v>122740.07663719082</v>
      </c>
      <c r="AA23" s="51">
        <f>+[6]제주!$Q$85</f>
        <v>122769.29722410292</v>
      </c>
      <c r="AB23" s="52">
        <f>+[5]제주!$Q$89</f>
        <v>91078.010519294941</v>
      </c>
      <c r="AC23" s="47">
        <f>+[5]제주!$R$89</f>
        <v>92008.574138151991</v>
      </c>
      <c r="AD23" s="53">
        <f>+[6]제주!$Q$89</f>
        <v>87515.061811212276</v>
      </c>
      <c r="AE23" s="52">
        <f t="shared" si="7"/>
        <v>35721.989480705059</v>
      </c>
      <c r="AF23" s="47">
        <f t="shared" si="8"/>
        <v>30731.502499038834</v>
      </c>
      <c r="AG23" s="53">
        <f t="shared" si="9"/>
        <v>35254.235412890645</v>
      </c>
      <c r="AH23" s="18"/>
      <c r="AI23" s="19"/>
      <c r="AJ23" s="97"/>
    </row>
    <row r="24" spans="2:38" s="8" customFormat="1" ht="19.5" customHeight="1">
      <c r="G24" s="96" t="str">
        <f t="shared" si="1"/>
        <v>수도권</v>
      </c>
      <c r="H24" s="80"/>
      <c r="I24" s="84" t="s">
        <v>55</v>
      </c>
      <c r="J24" s="23">
        <f>SUM(J7:J10)</f>
        <v>115.5</v>
      </c>
      <c r="K24" s="20">
        <f>SUM(K7:K10)</f>
        <v>89.347999999999999</v>
      </c>
      <c r="L24" s="21">
        <f t="shared" si="0"/>
        <v>-26.152000000000001</v>
      </c>
      <c r="M24" s="25">
        <f>SUM(M7:M10)</f>
        <v>115.35300000000001</v>
      </c>
      <c r="N24" s="22">
        <f t="shared" si="2"/>
        <v>-26.00500000000001</v>
      </c>
      <c r="O24" s="23">
        <f>SUM(O7:O10)</f>
        <v>11592.484044374984</v>
      </c>
      <c r="P24" s="20">
        <f>SUM(P7:P10)</f>
        <v>8822.0249779999995</v>
      </c>
      <c r="Q24" s="21">
        <f t="shared" si="3"/>
        <v>-2770.4590663749841</v>
      </c>
      <c r="R24" s="25">
        <f>SUM(R7:R10)</f>
        <v>10995.566392000001</v>
      </c>
      <c r="S24" s="22">
        <f t="shared" si="4"/>
        <v>-2173.5414140000012</v>
      </c>
      <c r="T24" s="23">
        <f>SUM(T7:T10)</f>
        <v>1688.0093032061895</v>
      </c>
      <c r="U24" s="20">
        <f>SUM(U7:U10)</f>
        <v>662.28353899999922</v>
      </c>
      <c r="V24" s="21">
        <f t="shared" si="5"/>
        <v>-1025.7257642061904</v>
      </c>
      <c r="W24" s="25">
        <f>SUM(W7:W10)</f>
        <v>1671.963277999999</v>
      </c>
      <c r="X24" s="22">
        <f t="shared" si="6"/>
        <v>-1009.6797389999998</v>
      </c>
      <c r="Y24" s="23">
        <f>+[5]수도권!$Q$85</f>
        <v>100367.82722402584</v>
      </c>
      <c r="Z24" s="20">
        <f>+[5]수도권!$R$85</f>
        <v>98771.936466854982</v>
      </c>
      <c r="AA24" s="24">
        <f>+[6]수도권!$Q$85</f>
        <v>95276.160428088042</v>
      </c>
      <c r="AB24" s="29">
        <f>+[5]수도권!$Q$89</f>
        <v>77384.329322473408</v>
      </c>
      <c r="AC24" s="20">
        <f>+[5]수도권!$R$89</f>
        <v>80778.955681319552</v>
      </c>
      <c r="AD24" s="30">
        <f>+[6]수도권!$Q$89</f>
        <v>72664.040542312432</v>
      </c>
      <c r="AE24" s="29">
        <f t="shared" si="7"/>
        <v>22983.49790155243</v>
      </c>
      <c r="AF24" s="20">
        <f t="shared" si="8"/>
        <v>17992.98078553543</v>
      </c>
      <c r="AG24" s="30">
        <f t="shared" si="9"/>
        <v>22612.11988577561</v>
      </c>
      <c r="AH24" s="18"/>
      <c r="AI24" s="19"/>
      <c r="AJ24" s="97"/>
    </row>
    <row r="25" spans="2:38" s="8" customFormat="1" ht="19.5" customHeight="1">
      <c r="G25" s="8" t="str">
        <f t="shared" si="1"/>
        <v>영남권</v>
      </c>
      <c r="H25" s="80"/>
      <c r="I25" s="84" t="s">
        <v>56</v>
      </c>
      <c r="J25" s="23">
        <f>SUM(J11:J18)</f>
        <v>127</v>
      </c>
      <c r="K25" s="20">
        <f>SUM(K11:K18)</f>
        <v>118.75600000000001</v>
      </c>
      <c r="L25" s="21">
        <f t="shared" si="0"/>
        <v>-8.2439999999999856</v>
      </c>
      <c r="M25" s="25">
        <f>SUM(M11:M18)</f>
        <v>111.93049999999999</v>
      </c>
      <c r="N25" s="22">
        <f t="shared" si="2"/>
        <v>6.8255000000000194</v>
      </c>
      <c r="O25" s="23">
        <f>SUM(O11:O18)</f>
        <v>13024.955767999998</v>
      </c>
      <c r="P25" s="20">
        <f>SUM(P11:P18)</f>
        <v>12139.999163</v>
      </c>
      <c r="Q25" s="21">
        <f t="shared" si="3"/>
        <v>-884.95660499999758</v>
      </c>
      <c r="R25" s="25">
        <f>SUM(R11:R18)</f>
        <v>11321.966399999999</v>
      </c>
      <c r="S25" s="22">
        <f t="shared" si="4"/>
        <v>818.03276300000107</v>
      </c>
      <c r="T25" s="23">
        <f>SUM(T11:T18)</f>
        <v>2067.5692065034</v>
      </c>
      <c r="U25" s="20">
        <f>SUM(U11:U18)</f>
        <v>1231.8380209999996</v>
      </c>
      <c r="V25" s="21">
        <f t="shared" si="5"/>
        <v>-835.73118550340041</v>
      </c>
      <c r="W25" s="25">
        <f>SUM(W11:W18)</f>
        <v>1803.9865669999999</v>
      </c>
      <c r="X25" s="22">
        <f t="shared" si="6"/>
        <v>-572.14854600000035</v>
      </c>
      <c r="Y25" s="23">
        <f>+[5]영남권!$Q$85</f>
        <v>102558.70683464568</v>
      </c>
      <c r="Z25" s="20">
        <f>+[5]영남권!$R$85</f>
        <v>102226.31902507246</v>
      </c>
      <c r="AA25" s="24">
        <f>+[6]영남권!$Q$85</f>
        <v>101161.29260188452</v>
      </c>
      <c r="AB25" s="29">
        <f>+[5]영남권!$Q$89</f>
        <v>74905.298167406116</v>
      </c>
      <c r="AC25" s="20">
        <f>+[5]영남권!$R$89</f>
        <v>79508.547069758177</v>
      </c>
      <c r="AD25" s="30">
        <f>+[6]영남권!$Q$89</f>
        <v>72915.571788187837</v>
      </c>
      <c r="AE25" s="29">
        <f t="shared" si="7"/>
        <v>27653.408667239564</v>
      </c>
      <c r="AF25" s="20">
        <f t="shared" si="8"/>
        <v>22717.771955314282</v>
      </c>
      <c r="AG25" s="30">
        <f t="shared" si="9"/>
        <v>28245.72081369668</v>
      </c>
      <c r="AH25" s="18"/>
      <c r="AI25" s="19"/>
      <c r="AJ25" s="97"/>
    </row>
    <row r="26" spans="2:38" s="8" customFormat="1" ht="19.5" customHeight="1">
      <c r="G26" s="8" t="str">
        <f t="shared" si="1"/>
        <v>중부권</v>
      </c>
      <c r="H26" s="80"/>
      <c r="I26" s="84" t="s">
        <v>171</v>
      </c>
      <c r="J26" s="23">
        <f>SUM(J19:J23)</f>
        <v>52</v>
      </c>
      <c r="K26" s="20">
        <f>SUM(K19:K23)</f>
        <v>48.5535</v>
      </c>
      <c r="L26" s="21">
        <f t="shared" si="0"/>
        <v>-3.4465000000000003</v>
      </c>
      <c r="M26" s="25">
        <f>SUM(M19:M23)</f>
        <v>41.475500000000004</v>
      </c>
      <c r="N26" s="22">
        <f t="shared" si="2"/>
        <v>7.0779999999999959</v>
      </c>
      <c r="O26" s="23">
        <f>SUM(O19:O23)</f>
        <v>5517.3717689999994</v>
      </c>
      <c r="P26" s="20">
        <f>SUM(P19:P23)</f>
        <v>5177.2093229999991</v>
      </c>
      <c r="Q26" s="21">
        <f t="shared" si="3"/>
        <v>-340.16244600000027</v>
      </c>
      <c r="R26" s="25">
        <f>SUM(R19:R23)</f>
        <v>4332.0818500000005</v>
      </c>
      <c r="S26" s="22">
        <f t="shared" si="4"/>
        <v>845.12747299999864</v>
      </c>
      <c r="T26" s="23">
        <f>SUM(T19:T23)</f>
        <v>950.84141937461345</v>
      </c>
      <c r="U26" s="20">
        <f>SUM(U19:U23)</f>
        <v>830.87596299999973</v>
      </c>
      <c r="V26" s="21">
        <f t="shared" si="5"/>
        <v>-119.96545637461372</v>
      </c>
      <c r="W26" s="25">
        <f>SUM(W19:W23)</f>
        <v>630.85881899999993</v>
      </c>
      <c r="X26" s="22">
        <f t="shared" si="6"/>
        <v>200.0171439999998</v>
      </c>
      <c r="Y26" s="23">
        <f>+[5]중부권!$Q$85</f>
        <v>106103.30324999998</v>
      </c>
      <c r="Z26" s="20">
        <f>+[5]중부권!$R$85</f>
        <v>106628.96234051097</v>
      </c>
      <c r="AA26" s="24">
        <f>+[6]중부권!$Q$85</f>
        <v>104529.84050467912</v>
      </c>
      <c r="AB26" s="29">
        <f>+[5]중부권!$Q$89</f>
        <v>76224.990904997598</v>
      </c>
      <c r="AC26" s="20">
        <f>+[5]중부권!$R$89</f>
        <v>76226.154163968822</v>
      </c>
      <c r="AD26" s="30">
        <f>+[6]중부권!$Q$89</f>
        <v>75291.445695551258</v>
      </c>
      <c r="AE26" s="29">
        <f t="shared" si="7"/>
        <v>29878.312345002385</v>
      </c>
      <c r="AF26" s="20">
        <f t="shared" si="8"/>
        <v>30402.808176542152</v>
      </c>
      <c r="AG26" s="30">
        <f t="shared" si="9"/>
        <v>29238.394809127858</v>
      </c>
      <c r="AH26" s="18"/>
      <c r="AI26" s="19"/>
      <c r="AJ26" s="97"/>
    </row>
    <row r="27" spans="2:38" s="3" customFormat="1" ht="19.5" customHeight="1">
      <c r="B27" s="26"/>
      <c r="G27" s="9">
        <f>+K27/J27</f>
        <v>0.87150254668930405</v>
      </c>
      <c r="H27" s="630" t="s">
        <v>115</v>
      </c>
      <c r="I27" s="631"/>
      <c r="J27" s="632">
        <f>SUM(J24:J26)</f>
        <v>294.5</v>
      </c>
      <c r="K27" s="633">
        <f>SUM(K24:K26)</f>
        <v>256.65750000000003</v>
      </c>
      <c r="L27" s="634">
        <f t="shared" ref="L27:L32" si="10">+K27-J27</f>
        <v>-37.842499999999973</v>
      </c>
      <c r="M27" s="635">
        <f>SUM(M24:M26)</f>
        <v>268.75900000000001</v>
      </c>
      <c r="N27" s="636">
        <f t="shared" ref="N27:N32" si="11">+K27-M27</f>
        <v>-12.101499999999987</v>
      </c>
      <c r="O27" s="632">
        <f>SUM(O24:O26)</f>
        <v>30134.811581374983</v>
      </c>
      <c r="P27" s="633">
        <f>SUM(P24:P26)</f>
        <v>26139.233464000001</v>
      </c>
      <c r="Q27" s="634">
        <f t="shared" ref="Q27:Q43" si="12">+P27-O27</f>
        <v>-3995.578117374982</v>
      </c>
      <c r="R27" s="635">
        <f>SUM(R24:R26)</f>
        <v>26649.614642</v>
      </c>
      <c r="S27" s="636">
        <f t="shared" ref="S27:S34" si="13">+P27-R27</f>
        <v>-510.38117799999964</v>
      </c>
      <c r="T27" s="632">
        <f>SUM(T24:T26)</f>
        <v>4706.4199290842025</v>
      </c>
      <c r="U27" s="633">
        <f>SUM(U24:U26)</f>
        <v>2724.9975229999982</v>
      </c>
      <c r="V27" s="634">
        <f t="shared" ref="V27:V32" si="14">+U27-T27</f>
        <v>-1981.4224060842043</v>
      </c>
      <c r="W27" s="635">
        <f>SUM(W24:W26)</f>
        <v>4106.8086639999992</v>
      </c>
      <c r="X27" s="636">
        <f t="shared" ref="X27:X32" si="15">+U27-W27</f>
        <v>-1381.811141000001</v>
      </c>
      <c r="Y27" s="632">
        <f>+[5]합계!$Q$85</f>
        <v>102325.33643930384</v>
      </c>
      <c r="Z27" s="633">
        <f>+[5]합계!$R$85</f>
        <v>101862.35624803558</v>
      </c>
      <c r="AA27" s="637">
        <f>+[6]합계!$Q$85</f>
        <v>99152.128821664402</v>
      </c>
      <c r="AB27" s="638">
        <f>+[5]합계!$Q$89</f>
        <v>76110.568526540344</v>
      </c>
      <c r="AC27" s="633">
        <f>+[5]합계!$R$89</f>
        <v>79327.273434729621</v>
      </c>
      <c r="AD27" s="639">
        <f>+[6]합계!$Q$89</f>
        <v>73170.19251228722</v>
      </c>
      <c r="AE27" s="638">
        <f t="shared" si="7"/>
        <v>26214.767912763491</v>
      </c>
      <c r="AF27" s="633">
        <f t="shared" si="8"/>
        <v>22535.082813305955</v>
      </c>
      <c r="AG27" s="639">
        <f t="shared" si="9"/>
        <v>25981.936309377183</v>
      </c>
      <c r="AH27" s="27"/>
      <c r="AI27" s="28"/>
      <c r="AJ27" s="97"/>
      <c r="AL27" s="26"/>
    </row>
    <row r="28" spans="2:38" s="8" customFormat="1" ht="19.5" customHeight="1">
      <c r="B28" s="8" t="s">
        <v>193</v>
      </c>
      <c r="E28" s="8" t="s">
        <v>202</v>
      </c>
      <c r="G28" s="8" t="s">
        <v>3</v>
      </c>
      <c r="H28" s="825" t="s">
        <v>63</v>
      </c>
      <c r="I28" s="826"/>
      <c r="J28" s="168">
        <f>+IFERROR(HLOOKUP($B28,'[1]7월'!$D$6:$BN$259,2,),)</f>
        <v>7100</v>
      </c>
      <c r="K28" s="169">
        <f>+IFERROR(HLOOKUP($E28,'[2]7월'!$F$6:$CP$99,2,),)</f>
        <v>12986.909999999998</v>
      </c>
      <c r="L28" s="170">
        <f>+K28-J28</f>
        <v>5886.909999999998</v>
      </c>
      <c r="M28" s="171">
        <f>+IFERROR(HLOOKUP($E28,'[3]7월'!$F$6:$CC$57,2,),)</f>
        <v>6748.1729999999998</v>
      </c>
      <c r="N28" s="172">
        <f>+K28-M28</f>
        <v>6238.7369999999983</v>
      </c>
      <c r="O28" s="168">
        <f>+IFERROR(HLOOKUP($B28,'[1]7월'!$D$6:$BN$259,3,),)/1000</f>
        <v>8684.4905263157889</v>
      </c>
      <c r="P28" s="169">
        <f>+IFERROR(HLOOKUP($E28,'[2]7월'!$F$6:$CP$99,3,),)/1000</f>
        <v>11314.648652999998</v>
      </c>
      <c r="Q28" s="170">
        <f>+P28-O28</f>
        <v>2630.1581266842095</v>
      </c>
      <c r="R28" s="171">
        <f>+IFERROR(HLOOKUP($E28,'[3]7월'!$F$6:$CC$57,3,),)/1000</f>
        <v>8183.4776199999988</v>
      </c>
      <c r="S28" s="172">
        <f t="shared" si="13"/>
        <v>3131.1710329999996</v>
      </c>
      <c r="T28" s="168">
        <f>+IFERROR(HLOOKUP($B28,'[1]7월'!$D$6:$BN$259,16,),)/1000</f>
        <v>100.29102050526492</v>
      </c>
      <c r="U28" s="169">
        <f>+IFERROR(HLOOKUP($E28,'[2]7월'!$F$6:$CP$99,16,),)/1000</f>
        <v>-39.569616000001254</v>
      </c>
      <c r="V28" s="170">
        <f t="shared" si="14"/>
        <v>-139.86063650526617</v>
      </c>
      <c r="W28" s="171">
        <f>+IFERROR(HLOOKUP($E28,'[3]7월'!$F$6:$CC$57,16,),)/1000</f>
        <v>87.78972299999954</v>
      </c>
      <c r="X28" s="172">
        <f t="shared" si="15"/>
        <v>-127.3593390000008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194</v>
      </c>
      <c r="C29" s="79" t="s">
        <v>61</v>
      </c>
      <c r="G29" s="793" t="str">
        <f>+I29</f>
        <v>부산모래장</v>
      </c>
      <c r="H29" s="86" t="s">
        <v>60</v>
      </c>
      <c r="I29" s="81" t="s">
        <v>194</v>
      </c>
      <c r="J29" s="56">
        <f>+IFERROR(HLOOKUP($B29,'[1]7월'!$D$6:$BN$259,2,),)/1000</f>
        <v>27.749090710905506</v>
      </c>
      <c r="K29" s="57">
        <f>+IFERROR(HLOOKUP($C29,'[2]7월'!$F$6:$CP$99,2,),)/1000</f>
        <v>14.977</v>
      </c>
      <c r="L29" s="38">
        <f t="shared" si="10"/>
        <v>-12.772090710905506</v>
      </c>
      <c r="M29" s="38">
        <f>+IFERROR(HLOOKUP($C29,'[3]7월'!$F$6:$CC$57,2,),)/1000</f>
        <v>20.186</v>
      </c>
      <c r="N29" s="58">
        <f t="shared" si="11"/>
        <v>-5.2089999999999996</v>
      </c>
      <c r="O29" s="56">
        <f>+IFERROR(HLOOKUP($B29,'[1]7월'!$D$6:$BN$259,3,),)/1000</f>
        <v>789.50553940989062</v>
      </c>
      <c r="P29" s="57">
        <f>+IFERROR(HLOOKUP($C29,'[2]7월'!$F$6:$CP$99,3,),)/1000</f>
        <v>424.89049999999997</v>
      </c>
      <c r="Q29" s="38">
        <f t="shared" si="12"/>
        <v>-364.61503940989064</v>
      </c>
      <c r="R29" s="38">
        <f>+IFERROR(HLOOKUP($C29,'[3]7월'!$F$6:$CC$57,3,),)/1000</f>
        <v>581.9085</v>
      </c>
      <c r="S29" s="58">
        <f t="shared" si="13"/>
        <v>-157.01800000000003</v>
      </c>
      <c r="T29" s="56">
        <f>+IFERROR(HLOOKUP($B29,'[1]7월'!$D$6:$BN$259,21,),)/1000</f>
        <v>50.103138518791681</v>
      </c>
      <c r="U29" s="57">
        <f>+IFERROR(HLOOKUP($C29,'[2]7월'!$F$6:$CP$99,21,),)/1000</f>
        <v>64.377341931792373</v>
      </c>
      <c r="V29" s="38">
        <f t="shared" si="14"/>
        <v>14.274203413000691</v>
      </c>
      <c r="W29" s="38">
        <f>+IFERROR(HLOOKUP($C29,'[3]7월'!$F$6:$CC$57,16,),)/1000</f>
        <v>21.515510990000024</v>
      </c>
      <c r="X29" s="58">
        <f t="shared" si="15"/>
        <v>42.861830941792348</v>
      </c>
      <c r="Y29" s="587"/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>
      <c r="B30" s="8" t="s">
        <v>195</v>
      </c>
      <c r="C30" s="81" t="s">
        <v>62</v>
      </c>
      <c r="G30" s="793" t="str">
        <f t="shared" ref="G30:G31" si="16">+I30</f>
        <v>서부산CR</v>
      </c>
      <c r="H30" s="85"/>
      <c r="I30" s="81" t="s">
        <v>225</v>
      </c>
      <c r="J30" s="54">
        <f>+IFERROR(HLOOKUP($B30,'[1]7월'!$D$6:$BN$259,2,),)/1000</f>
        <v>50.611164160000001</v>
      </c>
      <c r="K30" s="59">
        <f>+IFERROR(HLOOKUP($C30,'[2]7월'!$F$6:$CP$99,2,),)/1000</f>
        <v>10.47</v>
      </c>
      <c r="L30" s="48">
        <f t="shared" si="10"/>
        <v>-40.141164160000002</v>
      </c>
      <c r="M30" s="48">
        <f>+IFERROR(HLOOKUP($C30,'[3]7월'!$F$6:$CC$57,2,),)/1000</f>
        <v>23.86</v>
      </c>
      <c r="N30" s="60">
        <f t="shared" si="11"/>
        <v>-13.389999999999999</v>
      </c>
      <c r="O30" s="54">
        <f>+IFERROR(HLOOKUP($B30,'[1]7월'!$D$6:$BN$259,3,),)/1000</f>
        <v>626.52372906666665</v>
      </c>
      <c r="P30" s="59">
        <f>+IFERROR(HLOOKUP($C30,'[2]7월'!$F$6:$CP$99,3,),)/1000</f>
        <v>168.03</v>
      </c>
      <c r="Q30" s="48">
        <f t="shared" si="12"/>
        <v>-458.49372906666667</v>
      </c>
      <c r="R30" s="48">
        <f>+IFERROR(HLOOKUP($C30,'[3]7월'!$F$6:$CC$57,3,),)/1000</f>
        <v>290.31200000000001</v>
      </c>
      <c r="S30" s="60">
        <f t="shared" si="13"/>
        <v>-122.28200000000001</v>
      </c>
      <c r="T30" s="54">
        <f>+IFERROR(HLOOKUP($B30,'[1]7월'!$D$6:$BN$259,21,),)/1000</f>
        <v>108.17455769517177</v>
      </c>
      <c r="U30" s="59">
        <f>+IFERROR(HLOOKUP($C30,'[2]7월'!$F$6:$CP$99,21,),)/1000</f>
        <v>-61.232673853877451</v>
      </c>
      <c r="V30" s="48">
        <f t="shared" si="14"/>
        <v>-169.40723154904921</v>
      </c>
      <c r="W30" s="48">
        <f>+IFERROR(HLOOKUP($C30,'[3]7월'!$F$6:$CC$57,16,),)/1000</f>
        <v>51.72476799999999</v>
      </c>
      <c r="X30" s="60">
        <f t="shared" si="15"/>
        <v>-112.95744185387744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786"/>
      <c r="AK30" s="99"/>
      <c r="AL30" s="99"/>
    </row>
    <row r="31" spans="2:38" s="8" customFormat="1" ht="19.5" customHeight="1">
      <c r="B31" s="8" t="s">
        <v>176</v>
      </c>
      <c r="C31" s="83" t="s">
        <v>176</v>
      </c>
      <c r="G31" s="793" t="str">
        <f t="shared" si="16"/>
        <v>부산CR</v>
      </c>
      <c r="H31" s="85"/>
      <c r="I31" s="83" t="s">
        <v>227</v>
      </c>
      <c r="J31" s="54">
        <f>+IFERROR(HLOOKUP($B31,'[1]7월'!$D$6:$BN$259,2,),)/1000</f>
        <v>42.799509732629438</v>
      </c>
      <c r="K31" s="59">
        <f>+IFERROR(HLOOKUP($C31,'[2]7월'!$F$6:$CP$99,2,),)/1000</f>
        <v>35.515000000000001</v>
      </c>
      <c r="L31" s="48">
        <f t="shared" si="10"/>
        <v>-7.2845097326294379</v>
      </c>
      <c r="M31" s="48">
        <f>+IFERROR(HLOOKUP($C31,'[3]7월'!$F$6:$CC$57,2,),)/1000</f>
        <v>3.532</v>
      </c>
      <c r="N31" s="60">
        <f t="shared" si="11"/>
        <v>31.983000000000001</v>
      </c>
      <c r="O31" s="54">
        <f>+IFERROR(HLOOKUP($B31,'[1]7월'!$D$6:$BN$259,3,),)/1000</f>
        <v>775.75657068754708</v>
      </c>
      <c r="P31" s="59">
        <f>+IFERROR(HLOOKUP($C31,'[2]7월'!$F$6:$CP$99,3,),)/1000</f>
        <v>648.40250000000003</v>
      </c>
      <c r="Q31" s="48">
        <f t="shared" si="12"/>
        <v>-127.35407068754705</v>
      </c>
      <c r="R31" s="48">
        <f>+IFERROR(HLOOKUP($C31,'[3]7월'!$F$6:$CC$57,3,),)/1000</f>
        <v>63.335000000000001</v>
      </c>
      <c r="S31" s="60">
        <f t="shared" si="13"/>
        <v>585.0675</v>
      </c>
      <c r="T31" s="54">
        <f>+IFERROR(HLOOKUP($B31,'[1]7월'!$D$6:$BN$259,21,),)/1000</f>
        <v>44.616837124467743</v>
      </c>
      <c r="U31" s="59">
        <f>+IFERROR(HLOOKUP($C31,'[2]7월'!$F$6:$CP$99,21,),)/1000</f>
        <v>-113.70133815000003</v>
      </c>
      <c r="V31" s="48">
        <f t="shared" si="14"/>
        <v>-158.31817527446776</v>
      </c>
      <c r="W31" s="48">
        <f>+IFERROR(HLOOKUP($C31,'[3]7월'!$F$6:$CC$57,16,),)/1000</f>
        <v>-93.569834</v>
      </c>
      <c r="X31" s="60">
        <f t="shared" si="15"/>
        <v>-20.131504150000026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786"/>
      <c r="AK31" s="99"/>
      <c r="AL31" s="99"/>
    </row>
    <row r="32" spans="2:38" s="3" customFormat="1" ht="19.5" customHeight="1">
      <c r="H32" s="147" t="s">
        <v>42</v>
      </c>
      <c r="I32" s="148"/>
      <c r="J32" s="149">
        <f>SUM(J29:J31)</f>
        <v>121.15976460353494</v>
      </c>
      <c r="K32" s="153">
        <f>SUM(K29:K31)</f>
        <v>60.962000000000003</v>
      </c>
      <c r="L32" s="151">
        <f t="shared" si="10"/>
        <v>-60.197764603534935</v>
      </c>
      <c r="M32" s="151">
        <f>SUM(M29:M31)</f>
        <v>47.578000000000003</v>
      </c>
      <c r="N32" s="152">
        <f t="shared" si="11"/>
        <v>13.384</v>
      </c>
      <c r="O32" s="149">
        <f>SUM(O29:O31)</f>
        <v>2191.7858391641043</v>
      </c>
      <c r="P32" s="153">
        <f>SUM(P29:P31)</f>
        <v>1241.3229999999999</v>
      </c>
      <c r="Q32" s="151">
        <f t="shared" si="12"/>
        <v>-950.46283916410448</v>
      </c>
      <c r="R32" s="151">
        <f>SUM(R29:R31)</f>
        <v>935.55550000000005</v>
      </c>
      <c r="S32" s="152">
        <f t="shared" si="13"/>
        <v>305.76749999999981</v>
      </c>
      <c r="T32" s="149">
        <f>SUM(T29:T31)</f>
        <v>202.89453333843119</v>
      </c>
      <c r="U32" s="153">
        <f>SUM(U29:U31)</f>
        <v>-110.5566700720851</v>
      </c>
      <c r="V32" s="151">
        <f t="shared" si="14"/>
        <v>-313.45120341051631</v>
      </c>
      <c r="W32" s="151">
        <f>SUM(W29:W31)</f>
        <v>-20.329555009999993</v>
      </c>
      <c r="X32" s="152">
        <f t="shared" si="15"/>
        <v>-90.227115062085105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>
      <c r="B33" s="8" t="s">
        <v>198</v>
      </c>
      <c r="C33" s="8" t="s">
        <v>197</v>
      </c>
      <c r="D33" t="s">
        <v>196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(IFERROR(HLOOKUP($B33,'[1]7월'!$D$6:$BN$259,3,),)++IFERROR(HLOOKUP($C33,'[1]7월'!$D$6:$BN$259,3,),)+IFERROR(HLOOKUP($D33,'[1]7월'!$D$6:$BN$259,3,),))/1000</f>
        <v>90.84</v>
      </c>
      <c r="P33" s="47">
        <f>+IFERROR(HLOOKUP($E33,'[2]7월'!$F$6:$CP$99,3,),)/1000</f>
        <v>90.84</v>
      </c>
      <c r="Q33" s="49">
        <f t="shared" si="12"/>
        <v>0</v>
      </c>
      <c r="R33" s="48">
        <f>+IFERROR(HLOOKUP($E33,'[3]7월'!$F$6:$CC$57,3,),)/1000</f>
        <v>90.84</v>
      </c>
      <c r="S33" s="60">
        <f t="shared" si="13"/>
        <v>0</v>
      </c>
      <c r="T33" s="46">
        <f>(IFERROR(HLOOKUP($B33,'[1]7월'!$D$6:$BN$259,21,),)++IFERROR(HLOOKUP($C33,'[1]7월'!$D$6:$BN$259,21,),)+IFERROR(HLOOKUP($D33,'[1]7월'!$D$6:$BN$259,21,),))/1000</f>
        <v>72.165959000000001</v>
      </c>
      <c r="U33" s="47">
        <f>+IFERROR(HLOOKUP($E33,'[2]7월'!$F$6:$CP$99,16,),)/1000</f>
        <v>72.535469999999989</v>
      </c>
      <c r="V33" s="49">
        <f t="shared" ref="V33:V40" si="17">+U33-T33</f>
        <v>0.3695109999999886</v>
      </c>
      <c r="W33" s="48">
        <f>+IFERROR(HLOOKUP($E33,'[3]7월'!$F$6:$CC$57,16,),)/1000</f>
        <v>69.372396000000009</v>
      </c>
      <c r="X33" s="60">
        <f t="shared" ref="X33:X39" si="18">+U33-W33</f>
        <v>3.1630739999999804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>
      <c r="B34" s="8" t="s">
        <v>199</v>
      </c>
      <c r="C34" s="8" t="s">
        <v>200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(+IFERROR(HLOOKUP($B34,'[1]7월'!$D$6:$BN$259,3,),)+IFERROR(HLOOKUP($C34,'[1]7월'!$D$6:$BN$259,3,),))/1000</f>
        <v>72.297500333333332</v>
      </c>
      <c r="P34" s="47">
        <f>+IFERROR(HLOOKUP($E34,'[2]7월'!$F$6:$CP$99,3,),)/1000</f>
        <v>72.79315299999999</v>
      </c>
      <c r="Q34" s="49">
        <f>+P34-O34</f>
        <v>0.49565266666665764</v>
      </c>
      <c r="R34" s="48">
        <f>+IFERROR(HLOOKUP($E34,'[3]7월'!$F$6:$CC$57,3,),)/1000</f>
        <v>94.921988999999996</v>
      </c>
      <c r="S34" s="60">
        <f t="shared" si="13"/>
        <v>-22.128836000000007</v>
      </c>
      <c r="T34" s="46">
        <f>(+IFERROR(HLOOKUP($B34,'[1]7월'!$D$6:$BN$259,21,),)+IFERROR(HLOOKUP($C34,'[1]7월'!$D$6:$BN$259,21,),))/1000</f>
        <v>62.030473333333333</v>
      </c>
      <c r="U34" s="47">
        <f>+IFERROR(HLOOKUP($E34,'[2]7월'!$F$6:$CP$99,16,),)/1000</f>
        <v>62.661396999999994</v>
      </c>
      <c r="V34" s="49">
        <f t="shared" si="17"/>
        <v>0.63092366666666067</v>
      </c>
      <c r="W34" s="48">
        <f>+IFERROR(HLOOKUP($E34,'[3]7월'!$F$6:$CC$57,16,),)/1000</f>
        <v>57.237392000000014</v>
      </c>
      <c r="X34" s="60">
        <f t="shared" si="18"/>
        <v>5.4240049999999798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>
      <c r="B35" s="8" t="s">
        <v>201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-'[1]7월'!$Z$22/1000</f>
        <v>-1234.4133993448704</v>
      </c>
      <c r="U35" s="47">
        <f>+-'[2]7월'!$Z$22/1000</f>
        <v>-1338.4278729277705</v>
      </c>
      <c r="V35" s="49">
        <f t="shared" si="17"/>
        <v>-104.01447358290011</v>
      </c>
      <c r="W35" s="48">
        <f>+-'[3]7월'!$Z$22/1000</f>
        <v>-1181.052113</v>
      </c>
      <c r="X35" s="60">
        <f t="shared" si="18"/>
        <v>-157.37575992777056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+'[1]7월'!$AS$26/1000</f>
        <v>0</v>
      </c>
      <c r="U36" s="47">
        <f>-'[2]7월'!$BD$26/1000</f>
        <v>0</v>
      </c>
      <c r="V36" s="49">
        <f t="shared" si="17"/>
        <v>0</v>
      </c>
      <c r="W36" s="48">
        <f>-'[3]7월'!$BD$26/1000</f>
        <v>0</v>
      </c>
      <c r="X36" s="60">
        <f t="shared" si="18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'[2]7월'!$BE$26/1000</f>
        <v>0</v>
      </c>
      <c r="V37" s="49">
        <f t="shared" si="17"/>
        <v>0</v>
      </c>
      <c r="W37" s="48">
        <f>'[3]7월'!$BE$26/1000</f>
        <v>0</v>
      </c>
      <c r="X37" s="60">
        <f t="shared" si="18"/>
        <v>0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J37" s="97"/>
      <c r="AK37" s="99"/>
      <c r="AL37" s="99"/>
    </row>
    <row r="38" spans="2:38" s="8" customFormat="1" ht="19.5" customHeight="1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>
        <f>+IFERROR(HLOOKUP($I$38,'[3]7월'!$F$6:$BJ$50,3,),)/1000</f>
        <v>0</v>
      </c>
      <c r="S38" s="60">
        <f t="shared" si="22"/>
        <v>0</v>
      </c>
      <c r="T38" s="46">
        <f>SUM('[1]7월'!$AM$26:$AQ$26)/1000</f>
        <v>-35.76748444445964</v>
      </c>
      <c r="U38" s="47">
        <f>+'[2]7월'!$BF$26/1000</f>
        <v>-34.386781999999997</v>
      </c>
      <c r="V38" s="49">
        <f t="shared" si="17"/>
        <v>1.3807024444596436</v>
      </c>
      <c r="W38" s="48">
        <f>+'[3]7월'!$BF$26/1000</f>
        <v>-10.510104999999999</v>
      </c>
      <c r="X38" s="60">
        <f>+U38-W38</f>
        <v>-23.876676999999997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IFERROR(HLOOKUP($B39,'[1]7월'!$D$6:$BN$259,3,),)/1000</f>
        <v>1.77</v>
      </c>
      <c r="P39" s="47">
        <f>+('[2]7월'!$F$8-SUM('[2]7월'!$Z$8,'[2]7월'!$AH$8,'[2]7월'!$AN$8,'[2]7월'!$AO$8,'[2]7월'!$BA$8,'[2]7월'!$BD$8,'[2]7월'!$BE$8,'[2]7월'!$BF$8))/1000</f>
        <v>1.8162000000029803</v>
      </c>
      <c r="Q39" s="55">
        <f t="shared" si="21"/>
        <v>4.6200000002980302E-2</v>
      </c>
      <c r="R39" s="61">
        <f>+('[3]7월'!$F$8-SUM('[3]7월'!$Z$8,'[3]7월'!$AH$8,'[3]7월'!$AN$8,'[3]7월'!$AO$8,'[3]7월'!$BA$8,'[3]7월'!$BD$8,'[3]7월'!$BE$8,'[3]7월'!$BF$8))/1000</f>
        <v>1.7621000000014901</v>
      </c>
      <c r="S39" s="62">
        <f t="shared" si="22"/>
        <v>5.4100000001490178E-2</v>
      </c>
      <c r="T39" s="46">
        <f>+('[1]7월'!$E$26-'[1]7월'!$Z$26-'[1]7월'!$AA$26-'[1]7월'!$AE$26-'[1]7월'!$AL$26-'[1]7월'!$AM$26-'[1]7월'!$AN$26-'[1]7월'!$AO$26-'[1]7월'!$AP$26-'[1]7월'!$AQ$26-'[1]7월'!$AS$26)/1000</f>
        <v>-79.281808000001277</v>
      </c>
      <c r="U39" s="47">
        <f>+('[2]7월'!$F$26-SUM('[2]7월'!$Z$26,'[2]7월'!$AH$26,'[2]7월'!$AN$26,'[2]7월'!$AO$26,'[2]7월'!$BA$26,'[2]7월'!$BD$26,'[2]7월'!$BE$26,'[2]7월'!$BF$26))/1000</f>
        <v>-16.756544999993174</v>
      </c>
      <c r="V39" s="49">
        <f t="shared" si="17"/>
        <v>62.525263000008103</v>
      </c>
      <c r="W39" s="61">
        <f>+('[3]7월'!$F$26-SUM('[3]7월'!$Z$26,'[3]7월'!$AH$26,'[3]7월'!$AN$26,'[3]7월'!$AO$26,'[3]7월'!$BA$26,'[3]7월'!$BD$26,'[3]7월'!$BE$26,'[3]7월'!$BF$26))/1000</f>
        <v>-16.281766999995337</v>
      </c>
      <c r="X39" s="60">
        <f t="shared" si="18"/>
        <v>-0.47477799999783699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20"/>
        <v>0</v>
      </c>
      <c r="O41" s="149">
        <f>SUM(O33:O40)</f>
        <v>164.90750033333333</v>
      </c>
      <c r="P41" s="150">
        <f>SUM(P33:P40)</f>
        <v>165.44935300000299</v>
      </c>
      <c r="Q41" s="154">
        <f t="shared" si="12"/>
        <v>0.54185266666965504</v>
      </c>
      <c r="R41" s="155">
        <f>SUM(R33:R40)</f>
        <v>187.52408900000148</v>
      </c>
      <c r="S41" s="156">
        <f>+P41-R41</f>
        <v>-22.074735999998495</v>
      </c>
      <c r="T41" s="149">
        <f>SUM(T33:T40)</f>
        <v>-1215.2662594559979</v>
      </c>
      <c r="U41" s="150">
        <f>SUM(U33:U40)</f>
        <v>-1254.3743329277638</v>
      </c>
      <c r="V41" s="154">
        <f>+U41-T41</f>
        <v>-39.10807347176592</v>
      </c>
      <c r="W41" s="155">
        <f>SUM(W33:W40)</f>
        <v>-1081.2341969999954</v>
      </c>
      <c r="X41" s="156">
        <f>+U41-W41</f>
        <v>-173.14013592776837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65">
        <f>+P43/O43</f>
        <v>0.94376964170403987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41175.995447188216</v>
      </c>
      <c r="P43" s="643">
        <f>+P27+P32+P28+P41</f>
        <v>38860.654470000001</v>
      </c>
      <c r="Q43" s="644">
        <f t="shared" si="12"/>
        <v>-2315.3409771882143</v>
      </c>
      <c r="R43" s="645">
        <f>+R27+R32+R28+R41</f>
        <v>35956.171850999999</v>
      </c>
      <c r="S43" s="646">
        <f>+P43-R43</f>
        <v>2904.4826190000022</v>
      </c>
      <c r="T43" s="642">
        <f>+T27+T32+T28+T41</f>
        <v>3794.3392234719004</v>
      </c>
      <c r="U43" s="643">
        <f>+U27+U32+U28+U41</f>
        <v>1320.4969040001481</v>
      </c>
      <c r="V43" s="644">
        <f>+U43-T43</f>
        <v>-2473.8423194717525</v>
      </c>
      <c r="W43" s="645">
        <f>+W27+W32+W28+W41</f>
        <v>3093.0346349900037</v>
      </c>
      <c r="X43" s="646">
        <f>+U43-W43</f>
        <v>-1772.5377309898556</v>
      </c>
      <c r="Y43" s="827"/>
      <c r="Z43" s="828"/>
      <c r="AA43" s="828"/>
      <c r="AB43" s="828"/>
      <c r="AC43" s="828"/>
      <c r="AD43" s="828"/>
      <c r="AE43" s="828"/>
      <c r="AF43" s="828"/>
      <c r="AG43" s="829"/>
      <c r="AH43" s="26"/>
    </row>
    <row r="44" spans="2:38" s="34" customFormat="1">
      <c r="G44" s="662">
        <f>+U43/T43</f>
        <v>0.34801761946625998</v>
      </c>
      <c r="P44" s="662">
        <f>+P43/O43</f>
        <v>0.94376964170403987</v>
      </c>
      <c r="T44" s="662">
        <f>+T43/O43</f>
        <v>9.2149301607983458E-2</v>
      </c>
      <c r="U44" s="662">
        <f>+U43/P43</f>
        <v>3.3980305324491054E-2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824" t="s">
        <v>101</v>
      </c>
      <c r="J46" s="139">
        <f>+'[1]7월'!$Z$7/1000</f>
        <v>294.5</v>
      </c>
      <c r="K46" s="140">
        <f>+'[2]7월'!$AI$7/1000</f>
        <v>256.65750000000003</v>
      </c>
      <c r="L46" s="140"/>
      <c r="M46" s="140">
        <f>+'[3]7월'!$Z$7/1000</f>
        <v>268.75900000000001</v>
      </c>
      <c r="N46" s="140"/>
      <c r="O46" s="140">
        <f>+'[1]7월'!$E$8/1000</f>
        <v>41175.995447188208</v>
      </c>
      <c r="P46" s="140">
        <f>+'[2]7월'!$F$8/1000</f>
        <v>38860.654470000001</v>
      </c>
      <c r="Q46" s="140"/>
      <c r="R46" s="140">
        <f>+'[3]7월'!$F$8/1000</f>
        <v>35956.171851000006</v>
      </c>
      <c r="S46" s="140"/>
      <c r="T46" s="145">
        <f>+'[1]7월'!$E$26/1000</f>
        <v>3794.3392234718967</v>
      </c>
      <c r="U46" s="140">
        <f>+'[2]7월'!$F$26/1000</f>
        <v>1320.4969040001481</v>
      </c>
      <c r="V46" s="140"/>
      <c r="W46" s="140">
        <f>+'[3]7월'!$F$26/1000</f>
        <v>3093.0346349900037</v>
      </c>
      <c r="X46" s="141"/>
      <c r="AC46" s="35"/>
      <c r="AF46" s="35"/>
    </row>
    <row r="47" spans="2:38" s="34" customFormat="1" ht="17.25" thickBot="1">
      <c r="I47" s="824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-3.637978807091713E-12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>
      <c r="T48" s="659"/>
      <c r="U48" s="659"/>
      <c r="V48" s="659"/>
    </row>
    <row r="49" spans="10:33">
      <c r="T49" s="659"/>
      <c r="U49" s="659"/>
      <c r="V49" s="659"/>
      <c r="AC49" s="35"/>
      <c r="AD49" s="34"/>
      <c r="AE49" s="34"/>
      <c r="AF49" s="35"/>
    </row>
    <row r="50" spans="10:33">
      <c r="T50" s="659"/>
      <c r="U50" s="659"/>
      <c r="V50" s="659"/>
      <c r="AC50" s="35"/>
      <c r="AD50" s="34"/>
      <c r="AE50" s="34"/>
      <c r="AF50" s="35"/>
    </row>
    <row r="51" spans="10:33">
      <c r="T51" s="660"/>
      <c r="U51" s="660"/>
      <c r="V51" s="659"/>
      <c r="AC51" s="35"/>
      <c r="AD51" s="34"/>
      <c r="AE51" s="34"/>
      <c r="AF51" s="35"/>
    </row>
    <row r="52" spans="10:33">
      <c r="T52" s="660"/>
      <c r="U52" s="660"/>
      <c r="V52" s="659"/>
      <c r="AC52" s="35"/>
      <c r="AD52" s="34"/>
      <c r="AE52" s="34"/>
      <c r="AF52" s="35"/>
    </row>
    <row r="53" spans="10:33">
      <c r="AC53" s="35"/>
      <c r="AD53" s="34"/>
      <c r="AE53" s="34"/>
      <c r="AF53" s="35"/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  <row r="58" spans="10:33">
      <c r="AC58" s="599"/>
      <c r="AD58" s="599"/>
      <c r="AE58" s="599"/>
      <c r="AF58" s="599"/>
    </row>
    <row r="59" spans="10:33">
      <c r="AC59" s="599"/>
      <c r="AD59" s="599"/>
      <c r="AE59" s="599"/>
    </row>
    <row r="60" spans="10:33">
      <c r="AC60" s="599"/>
      <c r="AD60" s="599"/>
      <c r="AE60" s="599"/>
    </row>
    <row r="61" spans="10:33">
      <c r="AC61" s="599"/>
      <c r="AE61" s="599"/>
    </row>
    <row r="62" spans="10:33">
      <c r="AC62" s="599"/>
      <c r="AE62" s="599"/>
    </row>
    <row r="63" spans="10:33">
      <c r="AC63" s="599"/>
      <c r="AE63" s="599"/>
    </row>
    <row r="64" spans="10:33">
      <c r="AC64" s="599"/>
      <c r="AE64" s="599"/>
    </row>
    <row r="65" spans="29:31">
      <c r="AC65" s="599"/>
      <c r="AE65" s="599"/>
    </row>
    <row r="66" spans="29:31">
      <c r="AC66" s="599"/>
      <c r="AE66" s="599"/>
    </row>
    <row r="67" spans="29:31">
      <c r="AC67" s="599"/>
      <c r="AE67" s="599"/>
    </row>
    <row r="68" spans="29:31">
      <c r="AC68" s="599"/>
      <c r="AE68" s="599"/>
    </row>
    <row r="69" spans="29:31">
      <c r="AC69" s="599"/>
      <c r="AE69" s="599"/>
    </row>
    <row r="70" spans="29:31">
      <c r="AC70" s="599"/>
      <c r="AE70" s="599"/>
    </row>
    <row r="71" spans="29:31">
      <c r="AC71" s="599"/>
      <c r="AE71" s="599"/>
    </row>
    <row r="72" spans="29:31">
      <c r="AC72" s="599"/>
      <c r="AE72" s="599"/>
    </row>
    <row r="73" spans="29:31">
      <c r="AC73" s="599"/>
      <c r="AE73" s="599"/>
    </row>
    <row r="74" spans="29:31">
      <c r="AC74" s="599"/>
      <c r="AE74" s="599"/>
    </row>
    <row r="75" spans="29:31">
      <c r="AC75" s="599"/>
      <c r="AE75" s="599"/>
    </row>
    <row r="76" spans="29:31">
      <c r="AC76" s="59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>
    <tabColor theme="1" tint="0.249977111117893"/>
    <pageSetUpPr fitToPage="1"/>
  </sheetPr>
  <dimension ref="A1:AM61"/>
  <sheetViews>
    <sheetView showGridLines="0" showZeros="0" view="pageBreakPreview" topLeftCell="F10" zoomScale="85" zoomScaleNormal="85" zoomScaleSheetLayoutView="85" workbookViewId="0">
      <selection activeCell="J22" sqref="J22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237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20" t="s">
        <v>11</v>
      </c>
      <c r="I5" s="821"/>
      <c r="J5" s="173" t="s">
        <v>0</v>
      </c>
      <c r="K5" s="174"/>
      <c r="L5" s="174"/>
      <c r="M5" s="174"/>
      <c r="N5" s="175"/>
      <c r="O5" s="173" t="s">
        <v>2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21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22"/>
      <c r="I6" s="823"/>
      <c r="J6" s="176" t="s">
        <v>12</v>
      </c>
      <c r="K6" s="177" t="s">
        <v>13</v>
      </c>
      <c r="L6" s="178" t="s">
        <v>37</v>
      </c>
      <c r="M6" s="177" t="s">
        <v>14</v>
      </c>
      <c r="N6" s="179" t="s">
        <v>37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F7" s="9">
        <f>+U7/T7</f>
        <v>0.75585819241900509</v>
      </c>
      <c r="G7" s="9">
        <f t="shared" ref="G7:G22" si="0">+K7/J7</f>
        <v>0.97476056338028183</v>
      </c>
      <c r="H7" s="78" t="s">
        <v>53</v>
      </c>
      <c r="I7" s="79" t="s">
        <v>22</v>
      </c>
      <c r="J7" s="36">
        <f>+'사업장별(당월)'!J7+'[4]사업장별(누계)'!J7</f>
        <v>284</v>
      </c>
      <c r="K7" s="37">
        <f>+'사업장별(당월)'!K7+'[4]사업장별(누계)'!K7</f>
        <v>276.83200000000005</v>
      </c>
      <c r="L7" s="38">
        <f t="shared" ref="L7:L32" si="1">+K7-J7</f>
        <v>-7.1679999999999495</v>
      </c>
      <c r="M7" s="39">
        <f>+'사업장별(당월)'!M7+'[4]사업장별(누계)'!M7</f>
        <v>310.78100000000006</v>
      </c>
      <c r="N7" s="40">
        <f>+K7-M7</f>
        <v>-33.949000000000012</v>
      </c>
      <c r="O7" s="36">
        <f>+'사업장별(당월)'!O7+'[4]사업장별(누계)'!O7</f>
        <v>28389.835300000002</v>
      </c>
      <c r="P7" s="37">
        <f>+'사업장별(당월)'!P7+'[4]사업장별(누계)'!P7</f>
        <v>27548.944516000003</v>
      </c>
      <c r="Q7" s="38">
        <f>+P7-O7</f>
        <v>-840.89078399999926</v>
      </c>
      <c r="R7" s="39">
        <f>+'사업장별(당월)'!R7+'[4]사업장별(누계)'!R7</f>
        <v>28717.154532</v>
      </c>
      <c r="S7" s="40">
        <f>+P7-R7</f>
        <v>-1168.2100159999973</v>
      </c>
      <c r="T7" s="36">
        <f>+'사업장별(당월)'!T7+'[4]사업장별(누계)'!T7</f>
        <v>3752.9224746796231</v>
      </c>
      <c r="U7" s="37">
        <f>+'사업장별(당월)'!U7+'[4]사업장별(누계)'!U7</f>
        <v>2836.6771979999994</v>
      </c>
      <c r="V7" s="41">
        <f>+U7-T7</f>
        <v>-916.24527667962366</v>
      </c>
      <c r="W7" s="42">
        <f>+'사업장별(당월)'!W7+'[4]사업장별(누계)'!W7</f>
        <v>4116.1654869800004</v>
      </c>
      <c r="X7" s="40">
        <f>+U7-W7</f>
        <v>-1279.488288980001</v>
      </c>
      <c r="Y7" s="36">
        <f>+[11]안양!$Q$85</f>
        <v>99964.208802816895</v>
      </c>
      <c r="Z7" s="37">
        <f>+[11]안양!$R$85</f>
        <v>99509.439789497264</v>
      </c>
      <c r="AA7" s="43">
        <f>+[12]안양!$Q$85</f>
        <v>92372.674321200218</v>
      </c>
      <c r="AB7" s="44">
        <f>+[11]안양!$Q$89</f>
        <v>79129.06571014371</v>
      </c>
      <c r="AC7" s="37">
        <f>+[11]안양!$R$89</f>
        <v>81474.350449743972</v>
      </c>
      <c r="AD7" s="45">
        <f>+[12]안양!$Q$89</f>
        <v>72551.074262163544</v>
      </c>
      <c r="AE7" s="44">
        <f>+Y7-AB7</f>
        <v>20835.143092673185</v>
      </c>
      <c r="AF7" s="37">
        <f>+Z7-AC7</f>
        <v>18035.089339753293</v>
      </c>
      <c r="AG7" s="45">
        <f>+AA7-AD7</f>
        <v>19821.600059036675</v>
      </c>
      <c r="AH7" s="18"/>
      <c r="AI7" s="19">
        <v>22.510941969999994</v>
      </c>
    </row>
    <row r="8" spans="2:36" s="8" customFormat="1" ht="19.5" customHeight="1">
      <c r="B8" s="8" t="s">
        <v>23</v>
      </c>
      <c r="F8" s="9">
        <f t="shared" ref="F8:F27" si="2">+U8/T8</f>
        <v>0.73434128265876952</v>
      </c>
      <c r="G8" s="9">
        <f t="shared" si="0"/>
        <v>0.92457674418604652</v>
      </c>
      <c r="H8" s="80" t="s">
        <v>54</v>
      </c>
      <c r="I8" s="81" t="s">
        <v>23</v>
      </c>
      <c r="J8" s="46">
        <f>+'사업장별(당월)'!J8+'[4]사업장별(누계)'!J8</f>
        <v>215</v>
      </c>
      <c r="K8" s="47">
        <f>+'사업장별(당월)'!K8+'[4]사업장별(누계)'!K8</f>
        <v>198.78399999999999</v>
      </c>
      <c r="L8" s="48">
        <f t="shared" si="1"/>
        <v>-16.216000000000008</v>
      </c>
      <c r="M8" s="49">
        <f>+'사업장별(당월)'!M8+'[4]사업장별(누계)'!M8</f>
        <v>272.59199999999998</v>
      </c>
      <c r="N8" s="50">
        <f t="shared" ref="N8:N32" si="3">+K8-M8</f>
        <v>-73.807999999999993</v>
      </c>
      <c r="O8" s="46">
        <f>+'사업장별(당월)'!O8+'[4]사업장별(누계)'!O8</f>
        <v>21764.348180000001</v>
      </c>
      <c r="P8" s="47">
        <f>+'사업장별(당월)'!P8+'[4]사업장별(누계)'!P8</f>
        <v>19919.821780999999</v>
      </c>
      <c r="Q8" s="48">
        <f t="shared" ref="Q8:Q43" si="4">+P8-O8</f>
        <v>-1844.5263990000021</v>
      </c>
      <c r="R8" s="49">
        <f>+'사업장별(당월)'!R8+'[4]사업장별(누계)'!R8</f>
        <v>25840.695451000003</v>
      </c>
      <c r="S8" s="50">
        <f t="shared" ref="S8:S40" si="5">+P8-R8</f>
        <v>-5920.8736700000045</v>
      </c>
      <c r="T8" s="46">
        <f>+'사업장별(당월)'!T8+'[4]사업장별(누계)'!T8</f>
        <v>2172.3489059803701</v>
      </c>
      <c r="U8" s="47">
        <f>+'사업장별(당월)'!U8+'[4]사업장별(누계)'!U8</f>
        <v>1595.2454819999996</v>
      </c>
      <c r="V8" s="48">
        <f t="shared" ref="V8:V40" si="6">+U8-T8</f>
        <v>-577.10342398037051</v>
      </c>
      <c r="W8" s="49">
        <f>+'사업장별(당월)'!W8+'[4]사업장별(누계)'!W8</f>
        <v>3274.5166429999995</v>
      </c>
      <c r="X8" s="50">
        <f t="shared" ref="X8:X39" si="7">+U8-W8</f>
        <v>-1679.2711609999999</v>
      </c>
      <c r="Y8" s="46">
        <f>+[11]인천!$Q$85</f>
        <v>101229.52641860466</v>
      </c>
      <c r="Z8" s="47">
        <f>+[11]인천!$R$85</f>
        <v>100212.69037722176</v>
      </c>
      <c r="AA8" s="51">
        <f>+[12]인천!$Q$85</f>
        <v>94780.813739116376</v>
      </c>
      <c r="AB8" s="52">
        <f>+[11]인천!$Q$89</f>
        <v>81283.385601461618</v>
      </c>
      <c r="AC8" s="47">
        <f>+[11]인천!$R$89</f>
        <v>82061.112299007873</v>
      </c>
      <c r="AD8" s="53">
        <f>+[12]인천!$Q$89</f>
        <v>75126.066490202575</v>
      </c>
      <c r="AE8" s="52">
        <f t="shared" ref="AE8:AG27" si="8">+Y8-AB8</f>
        <v>19946.140817143038</v>
      </c>
      <c r="AF8" s="47">
        <f t="shared" si="8"/>
        <v>18151.57807821389</v>
      </c>
      <c r="AG8" s="53">
        <f t="shared" si="8"/>
        <v>19654.747248913802</v>
      </c>
      <c r="AH8" s="18"/>
      <c r="AI8" s="19">
        <v>12.217192170000002</v>
      </c>
      <c r="AJ8" s="97"/>
    </row>
    <row r="9" spans="2:36" s="8" customFormat="1" ht="19.5" customHeight="1">
      <c r="B9" s="8" t="s">
        <v>24</v>
      </c>
      <c r="F9" s="9">
        <f t="shared" si="2"/>
        <v>0.62391945672339177</v>
      </c>
      <c r="G9" s="9">
        <f t="shared" si="0"/>
        <v>1.0300816091954024</v>
      </c>
      <c r="H9" s="80"/>
      <c r="I9" s="81" t="s">
        <v>24</v>
      </c>
      <c r="J9" s="46">
        <f>+'사업장별(당월)'!J9+'[4]사업장별(누계)'!J9</f>
        <v>174</v>
      </c>
      <c r="K9" s="47">
        <f>+'사업장별(당월)'!K9+'[4]사업장별(누계)'!K9</f>
        <v>179.23420000000002</v>
      </c>
      <c r="L9" s="48">
        <f t="shared" si="1"/>
        <v>5.2342000000000155</v>
      </c>
      <c r="M9" s="49">
        <f>+'사업장별(당월)'!M9+'[4]사업장별(누계)'!M9</f>
        <v>182.91399999999999</v>
      </c>
      <c r="N9" s="50">
        <f t="shared" si="3"/>
        <v>-3.6797999999999718</v>
      </c>
      <c r="O9" s="46">
        <f>+'사업장별(당월)'!O9+'[4]사업장별(누계)'!O9</f>
        <v>17099.40738121685</v>
      </c>
      <c r="P9" s="47">
        <f>+'사업장별(당월)'!P9+'[4]사업장별(누계)'!P9</f>
        <v>17607.835345</v>
      </c>
      <c r="Q9" s="48">
        <f t="shared" si="4"/>
        <v>508.42796378314961</v>
      </c>
      <c r="R9" s="49">
        <f>+'사업장별(당월)'!R9+'[4]사업장별(누계)'!R9</f>
        <v>16679.822656999997</v>
      </c>
      <c r="S9" s="50">
        <f t="shared" si="5"/>
        <v>928.01268800000253</v>
      </c>
      <c r="T9" s="46">
        <f>+'사업장별(당월)'!T9+'[4]사업장별(누계)'!T9</f>
        <v>2247.6372885766809</v>
      </c>
      <c r="U9" s="47">
        <f>+'사업장별(당월)'!U9+'[4]사업장별(누계)'!U9</f>
        <v>1402.344636</v>
      </c>
      <c r="V9" s="48">
        <f t="shared" si="6"/>
        <v>-845.29265257668089</v>
      </c>
      <c r="W9" s="49">
        <f>+'사업장별(당월)'!W9+'[4]사업장별(누계)'!W9</f>
        <v>1866.710857009999</v>
      </c>
      <c r="X9" s="50">
        <f t="shared" si="7"/>
        <v>-464.36622100999898</v>
      </c>
      <c r="Y9" s="46">
        <f>+[11]파주!$Q$85</f>
        <v>98272.456213889964</v>
      </c>
      <c r="Z9" s="47">
        <f>+[11]파주!$R$85</f>
        <v>98269.313494768227</v>
      </c>
      <c r="AA9" s="51">
        <f>+[12]파주!$Q$85</f>
        <v>91179.996462157011</v>
      </c>
      <c r="AB9" s="52">
        <f>+[11]파주!$Q$89</f>
        <v>76335.988282381659</v>
      </c>
      <c r="AC9" s="47">
        <f>+[11]파주!$R$89</f>
        <v>81410.231990832239</v>
      </c>
      <c r="AD9" s="53">
        <f>+[12]파주!$Q$89</f>
        <v>72614.642887152833</v>
      </c>
      <c r="AE9" s="52">
        <f t="shared" si="8"/>
        <v>21936.467931508305</v>
      </c>
      <c r="AF9" s="47">
        <f t="shared" si="8"/>
        <v>16859.081503935988</v>
      </c>
      <c r="AG9" s="53">
        <f t="shared" si="8"/>
        <v>18565.353575004177</v>
      </c>
      <c r="AH9" s="18"/>
      <c r="AI9" s="19">
        <v>9.748199740000004</v>
      </c>
      <c r="AJ9" s="97"/>
    </row>
    <row r="10" spans="2:36" s="8" customFormat="1" ht="19.5" customHeight="1">
      <c r="B10" s="8" t="s">
        <v>175</v>
      </c>
      <c r="F10" s="9">
        <f t="shared" si="2"/>
        <v>0.61162953882114912</v>
      </c>
      <c r="G10" s="9">
        <f t="shared" si="0"/>
        <v>0.80273658536585357</v>
      </c>
      <c r="H10" s="80"/>
      <c r="I10" s="81" t="s">
        <v>172</v>
      </c>
      <c r="J10" s="46">
        <f>+'사업장별(당월)'!J10+'[4]사업장별(누계)'!J10</f>
        <v>102.5</v>
      </c>
      <c r="K10" s="47">
        <f>+'사업장별(당월)'!K10+'[4]사업장별(누계)'!K10</f>
        <v>82.280499999999989</v>
      </c>
      <c r="L10" s="48">
        <f t="shared" si="1"/>
        <v>-20.219500000000011</v>
      </c>
      <c r="M10" s="49">
        <f>+'사업장별(당월)'!M10+'[4]사업장별(누계)'!M10</f>
        <v>118.0575</v>
      </c>
      <c r="N10" s="50">
        <f t="shared" si="3"/>
        <v>-35.777000000000015</v>
      </c>
      <c r="O10" s="46">
        <f>+'사업장별(당월)'!O10+'[4]사업장별(누계)'!O10</f>
        <v>9762.4154999999992</v>
      </c>
      <c r="P10" s="47">
        <f>+'사업장별(당월)'!P10+'[4]사업장별(누계)'!P10</f>
        <v>8108.7848060000015</v>
      </c>
      <c r="Q10" s="48">
        <f t="shared" si="4"/>
        <v>-1653.6306939999977</v>
      </c>
      <c r="R10" s="49">
        <f>+'사업장별(당월)'!R10+'[4]사업장별(누계)'!R10</f>
        <v>10505.867735000002</v>
      </c>
      <c r="S10" s="50">
        <f t="shared" si="5"/>
        <v>-2397.0829290000001</v>
      </c>
      <c r="T10" s="46">
        <f>+'사업장별(당월)'!T10+'[4]사업장별(누계)'!T10</f>
        <v>1248.5429651940062</v>
      </c>
      <c r="U10" s="47">
        <f>+'사업장별(당월)'!U10+'[4]사업장별(누계)'!U10</f>
        <v>763.64575800000011</v>
      </c>
      <c r="V10" s="48">
        <f t="shared" si="6"/>
        <v>-484.89720719400611</v>
      </c>
      <c r="W10" s="49">
        <f>+'사업장별(당월)'!W10+'[4]사업장별(누계)'!W10</f>
        <v>1411.9746070000003</v>
      </c>
      <c r="X10" s="50">
        <f t="shared" si="7"/>
        <v>-648.32884900000022</v>
      </c>
      <c r="Y10" s="46">
        <f>+[11]김포!$Q$85</f>
        <v>95243.078048780488</v>
      </c>
      <c r="Z10" s="47">
        <f>+[11]김포!$R$85</f>
        <v>98569.377893982732</v>
      </c>
      <c r="AA10" s="51">
        <f>+[12]김포!$Q$85</f>
        <v>88941.75655137279</v>
      </c>
      <c r="AB10" s="52">
        <f>+[11]김포!$Q$89</f>
        <v>71571.395962334893</v>
      </c>
      <c r="AC10" s="47">
        <f>+[11]김포!$R$89</f>
        <v>75733.316676969785</v>
      </c>
      <c r="AD10" s="53">
        <f>+[12]김포!$Q$89</f>
        <v>67151.104041714294</v>
      </c>
      <c r="AE10" s="52">
        <f t="shared" si="8"/>
        <v>23671.682086445595</v>
      </c>
      <c r="AF10" s="47">
        <f t="shared" si="8"/>
        <v>22836.061217012946</v>
      </c>
      <c r="AG10" s="53">
        <f t="shared" si="8"/>
        <v>21790.652509658496</v>
      </c>
      <c r="AH10" s="18"/>
      <c r="AI10" s="19">
        <v>6.2157450200000008</v>
      </c>
      <c r="AJ10" s="97"/>
    </row>
    <row r="11" spans="2:36" s="8" customFormat="1" ht="19.5" customHeight="1">
      <c r="B11" s="8" t="s">
        <v>25</v>
      </c>
      <c r="F11" s="9">
        <f t="shared" si="2"/>
        <v>0.84683075191532542</v>
      </c>
      <c r="G11" s="9">
        <f t="shared" si="0"/>
        <v>1.105974074074074</v>
      </c>
      <c r="H11" s="80"/>
      <c r="I11" s="82" t="s">
        <v>25</v>
      </c>
      <c r="J11" s="63">
        <f>+'사업장별(당월)'!J11+'[4]사업장별(누계)'!J11</f>
        <v>135</v>
      </c>
      <c r="K11" s="64">
        <f>+'사업장별(당월)'!K11+'[4]사업장별(누계)'!K11</f>
        <v>149.3065</v>
      </c>
      <c r="L11" s="65">
        <f t="shared" si="1"/>
        <v>14.3065</v>
      </c>
      <c r="M11" s="66">
        <f>+'사업장별(당월)'!M11+'[4]사업장별(누계)'!M11</f>
        <v>170.32149999999999</v>
      </c>
      <c r="N11" s="67">
        <f t="shared" si="3"/>
        <v>-21.014999999999986</v>
      </c>
      <c r="O11" s="63">
        <f>+'사업장별(당월)'!O11+'[4]사업장별(누계)'!O11</f>
        <v>14525.997776249998</v>
      </c>
      <c r="P11" s="64">
        <f>+'사업장별(당월)'!P11+'[4]사업장별(누계)'!P11</f>
        <v>15984.322790999999</v>
      </c>
      <c r="Q11" s="65">
        <f t="shared" si="4"/>
        <v>1458.3250147500003</v>
      </c>
      <c r="R11" s="66">
        <f>+'사업장별(당월)'!R11+'[4]사업장별(누계)'!R11</f>
        <v>17404.341249999998</v>
      </c>
      <c r="S11" s="67">
        <f t="shared" si="5"/>
        <v>-1420.018458999999</v>
      </c>
      <c r="T11" s="63">
        <f>+'사업장별(당월)'!T11+'[4]사업장별(누계)'!T11</f>
        <v>2020.5822735297775</v>
      </c>
      <c r="U11" s="64">
        <f>+'사업장별(당월)'!U11+'[4]사업장별(누계)'!U11</f>
        <v>1711.0912059999991</v>
      </c>
      <c r="V11" s="65">
        <f t="shared" si="6"/>
        <v>-309.49106752977832</v>
      </c>
      <c r="W11" s="66">
        <f>+'사업장별(당월)'!W11+'[4]사업장별(누계)'!W11</f>
        <v>3278.4851019999996</v>
      </c>
      <c r="X11" s="67">
        <f t="shared" si="7"/>
        <v>-1567.3938960000005</v>
      </c>
      <c r="Y11" s="63">
        <f>+[11]부산!$Q$85</f>
        <v>107599.98352777776</v>
      </c>
      <c r="Z11" s="64">
        <f>+[11]부산!$R$85</f>
        <v>107057.11265751993</v>
      </c>
      <c r="AA11" s="68">
        <f>+[12]부산!$Q$85</f>
        <v>102185.22764301627</v>
      </c>
      <c r="AB11" s="69">
        <f>+[11]부산!$Q$89</f>
        <v>78482.742769633405</v>
      </c>
      <c r="AC11" s="64">
        <f>+[11]부산!$R$89</f>
        <v>83555.49452781376</v>
      </c>
      <c r="AD11" s="70">
        <f>+[12]부산!$Q$89</f>
        <v>72926.760690517593</v>
      </c>
      <c r="AE11" s="69">
        <f t="shared" si="8"/>
        <v>29117.240758144355</v>
      </c>
      <c r="AF11" s="64">
        <f t="shared" si="8"/>
        <v>23501.61812970617</v>
      </c>
      <c r="AG11" s="70">
        <f t="shared" si="8"/>
        <v>29258.466952498682</v>
      </c>
      <c r="AH11" s="18"/>
      <c r="AI11" s="19">
        <v>14.018405929999995</v>
      </c>
      <c r="AJ11" s="97"/>
    </row>
    <row r="12" spans="2:36" s="8" customFormat="1" ht="19.5" customHeight="1">
      <c r="B12" s="8" t="s">
        <v>26</v>
      </c>
      <c r="F12" s="9">
        <f t="shared" si="2"/>
        <v>0.63952321703820525</v>
      </c>
      <c r="G12" s="9">
        <f t="shared" si="0"/>
        <v>0.93797604790419176</v>
      </c>
      <c r="H12" s="80"/>
      <c r="I12" s="81" t="s">
        <v>26</v>
      </c>
      <c r="J12" s="46">
        <f>+'사업장별(당월)'!J12+'[4]사업장별(누계)'!J12</f>
        <v>167</v>
      </c>
      <c r="K12" s="47">
        <f>+'사업장별(당월)'!K12+'[4]사업장별(누계)'!K12</f>
        <v>156.64200000000002</v>
      </c>
      <c r="L12" s="48">
        <f t="shared" si="1"/>
        <v>-10.357999999999976</v>
      </c>
      <c r="M12" s="49">
        <f>+'사업장별(당월)'!M12+'[4]사업장별(누계)'!M12</f>
        <v>148.44299999999998</v>
      </c>
      <c r="N12" s="50">
        <f t="shared" si="3"/>
        <v>8.1990000000000407</v>
      </c>
      <c r="O12" s="46">
        <f>+'사업장별(당월)'!O12+'[4]사업장별(누계)'!O12</f>
        <v>17318.454040000001</v>
      </c>
      <c r="P12" s="47">
        <f>+'사업장별(당월)'!P12+'[4]사업장별(누계)'!P12</f>
        <v>15865.300411</v>
      </c>
      <c r="Q12" s="48">
        <f t="shared" si="4"/>
        <v>-1453.1536290000004</v>
      </c>
      <c r="R12" s="49">
        <f>+'사업장별(당월)'!R12+'[4]사업장별(누계)'!R12</f>
        <v>14873.679700000001</v>
      </c>
      <c r="S12" s="50">
        <f t="shared" si="5"/>
        <v>991.62071099999957</v>
      </c>
      <c r="T12" s="46">
        <f>+'사업장별(당월)'!T12+'[4]사업장별(누계)'!T12</f>
        <v>2949.9989863343671</v>
      </c>
      <c r="U12" s="47">
        <f>+'사업장별(당월)'!U12+'[4]사업장별(누계)'!U12</f>
        <v>1886.5928419999989</v>
      </c>
      <c r="V12" s="48">
        <f t="shared" si="6"/>
        <v>-1063.4061443343683</v>
      </c>
      <c r="W12" s="49">
        <f>+'사업장별(당월)'!W12+'[4]사업장별(누계)'!W12</f>
        <v>2566.261109</v>
      </c>
      <c r="X12" s="50">
        <f t="shared" si="7"/>
        <v>-679.66826700000115</v>
      </c>
      <c r="Y12" s="46">
        <f>+[11]서부산!$Q$85</f>
        <v>103703.31760479041</v>
      </c>
      <c r="Z12" s="47">
        <f>+[11]서부산!$R$85</f>
        <v>101283.39407467014</v>
      </c>
      <c r="AA12" s="51">
        <f>+[12]서부산!$Q$85</f>
        <v>100197.91906657776</v>
      </c>
      <c r="AB12" s="52">
        <f>+[11]서부산!$Q$89</f>
        <v>77129.807872249294</v>
      </c>
      <c r="AC12" s="47">
        <f>+[11]서부산!$R$89</f>
        <v>79088.307145512867</v>
      </c>
      <c r="AD12" s="53">
        <f>+[12]서부산!$Q$89</f>
        <v>73392.192804844381</v>
      </c>
      <c r="AE12" s="52">
        <f t="shared" si="8"/>
        <v>26573.509732541119</v>
      </c>
      <c r="AF12" s="47">
        <f t="shared" si="8"/>
        <v>22195.086929157274</v>
      </c>
      <c r="AG12" s="53">
        <f t="shared" si="8"/>
        <v>26805.726261733376</v>
      </c>
      <c r="AH12" s="18"/>
      <c r="AI12" s="19">
        <v>13.822690399999992</v>
      </c>
      <c r="AJ12" s="97"/>
    </row>
    <row r="13" spans="2:36" s="8" customFormat="1" ht="19.5" customHeight="1">
      <c r="B13" s="8" t="s">
        <v>27</v>
      </c>
      <c r="F13" s="9">
        <f t="shared" si="2"/>
        <v>0.62128348517225263</v>
      </c>
      <c r="G13" s="9">
        <f t="shared" si="0"/>
        <v>1.138625</v>
      </c>
      <c r="H13" s="80"/>
      <c r="I13" s="81" t="s">
        <v>27</v>
      </c>
      <c r="J13" s="46">
        <f>+'사업장별(당월)'!J13+'[4]사업장별(누계)'!J13</f>
        <v>80</v>
      </c>
      <c r="K13" s="47">
        <f>+'사업장별(당월)'!K13+'[4]사업장별(누계)'!K13</f>
        <v>91.09</v>
      </c>
      <c r="L13" s="48">
        <f t="shared" si="1"/>
        <v>11.090000000000003</v>
      </c>
      <c r="M13" s="49">
        <f>+'사업장별(당월)'!M13+'[4]사업장별(누계)'!M13</f>
        <v>93.19</v>
      </c>
      <c r="N13" s="50">
        <f t="shared" si="3"/>
        <v>-2.0999999999999943</v>
      </c>
      <c r="O13" s="46">
        <f>+'사업장별(당월)'!O13+'[4]사업장별(누계)'!O13</f>
        <v>8080.0033999999987</v>
      </c>
      <c r="P13" s="47">
        <f>+'사업장별(당월)'!P13+'[4]사업장별(누계)'!P13</f>
        <v>8849.637999999999</v>
      </c>
      <c r="Q13" s="48">
        <f t="shared" si="4"/>
        <v>769.63460000000032</v>
      </c>
      <c r="R13" s="49">
        <f>+'사업장별(당월)'!R13+'[4]사업장별(누계)'!R13</f>
        <v>9055.4700999999986</v>
      </c>
      <c r="S13" s="50">
        <f t="shared" si="5"/>
        <v>-205.83209999999963</v>
      </c>
      <c r="T13" s="46">
        <f>+'사업장별(당월)'!T13+'[4]사업장별(누계)'!T13</f>
        <v>937.40536309045706</v>
      </c>
      <c r="U13" s="47">
        <f>+'사업장별(당월)'!U13+'[4]사업장별(누계)'!U13</f>
        <v>582.39447100000007</v>
      </c>
      <c r="V13" s="48">
        <f t="shared" si="6"/>
        <v>-355.01089209045699</v>
      </c>
      <c r="W13" s="49">
        <f>+'사업장별(당월)'!W13+'[4]사업장별(누계)'!W13</f>
        <v>1260.5356409999999</v>
      </c>
      <c r="X13" s="50">
        <f t="shared" si="7"/>
        <v>-678.14116999999987</v>
      </c>
      <c r="Y13" s="46">
        <f>+[11]김해!$Q$85</f>
        <v>101000.04250000003</v>
      </c>
      <c r="Z13" s="47">
        <f>+[11]김해!$R$85</f>
        <v>97228.123368762404</v>
      </c>
      <c r="AA13" s="51">
        <f>+[12]김해!$Q$85</f>
        <v>97181.754578282184</v>
      </c>
      <c r="AB13" s="52">
        <f>+[11]김해!$Q$89</f>
        <v>76391.226840456497</v>
      </c>
      <c r="AC13" s="47">
        <f>+[11]김해!$R$89</f>
        <v>79599.415297815402</v>
      </c>
      <c r="AD13" s="53">
        <f>+[12]김해!$Q$89</f>
        <v>73243.428284326379</v>
      </c>
      <c r="AE13" s="52">
        <f t="shared" si="8"/>
        <v>24608.815659543528</v>
      </c>
      <c r="AF13" s="47">
        <f t="shared" si="8"/>
        <v>17628.708070947003</v>
      </c>
      <c r="AG13" s="53">
        <f t="shared" si="8"/>
        <v>23938.326293955804</v>
      </c>
      <c r="AH13" s="18"/>
      <c r="AI13" s="19">
        <v>4.8529444599999998</v>
      </c>
      <c r="AJ13" s="97"/>
    </row>
    <row r="14" spans="2:36" s="8" customFormat="1" ht="19.5" customHeight="1">
      <c r="B14" s="8" t="s">
        <v>28</v>
      </c>
      <c r="F14" s="9">
        <f t="shared" si="2"/>
        <v>0.8024914177645629</v>
      </c>
      <c r="G14" s="9">
        <f t="shared" si="0"/>
        <v>1.1445204918032787</v>
      </c>
      <c r="H14" s="80"/>
      <c r="I14" s="81" t="s">
        <v>28</v>
      </c>
      <c r="J14" s="46">
        <f>+'사업장별(당월)'!J14+'[4]사업장별(누계)'!J14</f>
        <v>122</v>
      </c>
      <c r="K14" s="47">
        <f>+'사업장별(당월)'!K14+'[4]사업장별(누계)'!K14</f>
        <v>139.63150000000002</v>
      </c>
      <c r="L14" s="48">
        <f t="shared" si="1"/>
        <v>17.631500000000017</v>
      </c>
      <c r="M14" s="49">
        <f>+'사업장별(당월)'!M14+'[4]사업장별(누계)'!M14</f>
        <v>134.43699999999998</v>
      </c>
      <c r="N14" s="50">
        <f t="shared" si="3"/>
        <v>5.1945000000000334</v>
      </c>
      <c r="O14" s="46">
        <f>+'사업장별(당월)'!O14+'[4]사업장별(누계)'!O14</f>
        <v>12688</v>
      </c>
      <c r="P14" s="47">
        <f>+'사업장별(당월)'!P14+'[4]사업장별(누계)'!P14</f>
        <v>14219.547649999999</v>
      </c>
      <c r="Q14" s="48">
        <f t="shared" si="4"/>
        <v>1531.5476499999986</v>
      </c>
      <c r="R14" s="49">
        <f>+'사업장별(당월)'!R14+'[4]사업장별(누계)'!R14</f>
        <v>13514.22004</v>
      </c>
      <c r="S14" s="50">
        <f t="shared" si="5"/>
        <v>705.32760999999846</v>
      </c>
      <c r="T14" s="46">
        <f>+'사업장별(당월)'!T14+'[4]사업장별(누계)'!T14</f>
        <v>1718.3118292294976</v>
      </c>
      <c r="U14" s="47">
        <f>+'사업장별(당월)'!U14+'[4]사업장별(누계)'!U14</f>
        <v>1378.930495999999</v>
      </c>
      <c r="V14" s="48">
        <f t="shared" si="6"/>
        <v>-339.38133322949852</v>
      </c>
      <c r="W14" s="49">
        <f>+'사업장별(당월)'!W14+'[4]사업장별(누계)'!W14</f>
        <v>2175.4548760000002</v>
      </c>
      <c r="X14" s="50">
        <f t="shared" si="7"/>
        <v>-796.5243800000012</v>
      </c>
      <c r="Y14" s="46">
        <f>+[11]정관!$Q$85</f>
        <v>104000</v>
      </c>
      <c r="Z14" s="47">
        <f>+[11]정관!$R$85</f>
        <v>101836.24504499343</v>
      </c>
      <c r="AA14" s="51">
        <f>+[12]정관!$Q$85</f>
        <v>100524.55826892894</v>
      </c>
      <c r="AB14" s="52">
        <f>+[11]정관!$Q$89</f>
        <v>78312.550180268227</v>
      </c>
      <c r="AC14" s="47">
        <f>+[11]정관!$R$89</f>
        <v>81998.952934648376</v>
      </c>
      <c r="AD14" s="53">
        <f>+[12]정관!$Q$89</f>
        <v>74556.083524163565</v>
      </c>
      <c r="AE14" s="52">
        <f t="shared" si="8"/>
        <v>25687.449819731773</v>
      </c>
      <c r="AF14" s="47">
        <f t="shared" si="8"/>
        <v>19837.29211034505</v>
      </c>
      <c r="AG14" s="53">
        <f t="shared" si="8"/>
        <v>25968.474744765379</v>
      </c>
      <c r="AH14" s="18"/>
      <c r="AI14" s="19">
        <v>10.986996909999993</v>
      </c>
      <c r="AJ14" s="97"/>
    </row>
    <row r="15" spans="2:36" s="8" customFormat="1" ht="19.5" customHeight="1">
      <c r="B15" s="8" t="s">
        <v>29</v>
      </c>
      <c r="F15" s="9">
        <f t="shared" si="2"/>
        <v>0.88440320742768253</v>
      </c>
      <c r="G15" s="9">
        <f t="shared" si="0"/>
        <v>1.2057241379310348</v>
      </c>
      <c r="H15" s="80"/>
      <c r="I15" s="81" t="s">
        <v>215</v>
      </c>
      <c r="J15" s="46">
        <f>+'사업장별(당월)'!J15+'[4]사업장별(누계)'!J15</f>
        <v>72.5</v>
      </c>
      <c r="K15" s="47">
        <f>+'사업장별(당월)'!K15+'[4]사업장별(누계)'!K15</f>
        <v>87.41500000000002</v>
      </c>
      <c r="L15" s="48">
        <f t="shared" si="1"/>
        <v>14.91500000000002</v>
      </c>
      <c r="M15" s="49">
        <f>+'사업장별(당월)'!M15+'[4]사업장별(누계)'!M15</f>
        <v>100.10700000000001</v>
      </c>
      <c r="N15" s="50">
        <f t="shared" si="3"/>
        <v>-12.691999999999993</v>
      </c>
      <c r="O15" s="46">
        <f>+'사업장별(당월)'!O15+'[4]사업장별(누계)'!O15</f>
        <v>7001.3806240000004</v>
      </c>
      <c r="P15" s="47">
        <f>+'사업장별(당월)'!P15+'[4]사업장별(누계)'!P15</f>
        <v>8177.3909080000003</v>
      </c>
      <c r="Q15" s="48">
        <f t="shared" si="4"/>
        <v>1176.010284</v>
      </c>
      <c r="R15" s="49">
        <f>+'사업장별(당월)'!R15+'[4]사업장별(누계)'!R15</f>
        <v>9402.5232719999985</v>
      </c>
      <c r="S15" s="50">
        <f t="shared" si="5"/>
        <v>-1225.1323639999982</v>
      </c>
      <c r="T15" s="46">
        <f>+'사업장별(당월)'!T15+'[4]사업장별(누계)'!T15</f>
        <v>881.36728073064853</v>
      </c>
      <c r="U15" s="47">
        <f>+'사업장별(당월)'!U15+'[4]사업장별(누계)'!U15</f>
        <v>779.48405000000025</v>
      </c>
      <c r="V15" s="48">
        <f t="shared" si="6"/>
        <v>-101.88323073064828</v>
      </c>
      <c r="W15" s="49">
        <f>+'사업장별(당월)'!W15+'[4]사업장별(누계)'!W15</f>
        <v>1592.8766479999997</v>
      </c>
      <c r="X15" s="50">
        <f t="shared" si="7"/>
        <v>-813.39259799999945</v>
      </c>
      <c r="Y15" s="46">
        <f>+[11]양산!$Q$85</f>
        <v>96570.767227586199</v>
      </c>
      <c r="Z15" s="47">
        <f>+[11]양산!$R$85</f>
        <v>93546.770096665336</v>
      </c>
      <c r="AA15" s="51">
        <f>+[12]양산!$Q$85</f>
        <v>93926.945319370046</v>
      </c>
      <c r="AB15" s="52">
        <f>+[11]양산!$Q$89</f>
        <v>70639.122501799488</v>
      </c>
      <c r="AC15" s="47">
        <f>+[11]양산!$R$89</f>
        <v>73438.275425813015</v>
      </c>
      <c r="AD15" s="53">
        <f>+[12]양산!$Q$89</f>
        <v>67953.754990508533</v>
      </c>
      <c r="AE15" s="52">
        <f t="shared" si="8"/>
        <v>25931.644725786711</v>
      </c>
      <c r="AF15" s="47">
        <f t="shared" si="8"/>
        <v>20108.49467085232</v>
      </c>
      <c r="AG15" s="53">
        <f t="shared" si="8"/>
        <v>25973.190328861514</v>
      </c>
      <c r="AH15" s="18"/>
      <c r="AI15" s="19">
        <v>6.5081402700000011</v>
      </c>
      <c r="AJ15" s="97"/>
    </row>
    <row r="16" spans="2:36" s="8" customFormat="1" ht="19.5" customHeight="1">
      <c r="B16" s="8" t="s">
        <v>30</v>
      </c>
      <c r="F16" s="9">
        <f t="shared" si="2"/>
        <v>1.0451243786678244</v>
      </c>
      <c r="G16" s="9">
        <f t="shared" si="0"/>
        <v>1.0849782608695651</v>
      </c>
      <c r="H16" s="80"/>
      <c r="I16" s="81" t="s">
        <v>30</v>
      </c>
      <c r="J16" s="46">
        <f>+'사업장별(당월)'!J16+'[4]사업장별(누계)'!J16</f>
        <v>115</v>
      </c>
      <c r="K16" s="47">
        <f>+'사업장별(당월)'!K16+'[4]사업장별(누계)'!K16</f>
        <v>124.77249999999999</v>
      </c>
      <c r="L16" s="48">
        <f t="shared" si="1"/>
        <v>9.7724999999999937</v>
      </c>
      <c r="M16" s="49">
        <f>+'사업장별(당월)'!M16+'[4]사업장별(누계)'!M16</f>
        <v>139.51000000000002</v>
      </c>
      <c r="N16" s="50">
        <f t="shared" si="3"/>
        <v>-14.737500000000026</v>
      </c>
      <c r="O16" s="46">
        <f>+'사업장별(당월)'!O16+'[4]사업장별(누계)'!O16</f>
        <v>11559.434000000001</v>
      </c>
      <c r="P16" s="47">
        <f>+'사업장별(당월)'!P16+'[4]사업장별(누계)'!P16</f>
        <v>12662.826799999999</v>
      </c>
      <c r="Q16" s="48">
        <f t="shared" si="4"/>
        <v>1103.3927999999978</v>
      </c>
      <c r="R16" s="49">
        <f>+'사업장별(당월)'!R16+'[4]사업장별(누계)'!R16</f>
        <v>13203.170099999999</v>
      </c>
      <c r="S16" s="50">
        <f t="shared" si="5"/>
        <v>-540.34330000000045</v>
      </c>
      <c r="T16" s="46">
        <f>+'사업장별(당월)'!T16+'[4]사업장별(누계)'!T16</f>
        <v>1872.8860018508162</v>
      </c>
      <c r="U16" s="47">
        <f>+'사업장별(당월)'!U16+'[4]사업장별(누계)'!U16</f>
        <v>1957.398819</v>
      </c>
      <c r="V16" s="48">
        <f t="shared" si="6"/>
        <v>84.512817149183775</v>
      </c>
      <c r="W16" s="49">
        <f>+'사업장별(당월)'!W16+'[4]사업장별(누계)'!W16</f>
        <v>2610.6365999999989</v>
      </c>
      <c r="X16" s="50">
        <f t="shared" si="7"/>
        <v>-653.2377809999989</v>
      </c>
      <c r="Y16" s="46">
        <f>+[11]창원!$Q$85</f>
        <v>100516.81739130434</v>
      </c>
      <c r="Z16" s="47">
        <f>+[11]창원!$R$85</f>
        <v>101487.32132481116</v>
      </c>
      <c r="AA16" s="51">
        <f>+[12]창원!$Q$85</f>
        <v>94639.596444699302</v>
      </c>
      <c r="AB16" s="52">
        <f>+[11]창원!$Q$89</f>
        <v>72209.567033241794</v>
      </c>
      <c r="AC16" s="47">
        <f>+[11]창원!$R$89</f>
        <v>74881.71654906297</v>
      </c>
      <c r="AD16" s="53">
        <f>+[12]창원!$Q$89</f>
        <v>66741.988589122397</v>
      </c>
      <c r="AE16" s="52">
        <f t="shared" si="8"/>
        <v>28307.250358062549</v>
      </c>
      <c r="AF16" s="47">
        <f t="shared" si="8"/>
        <v>26605.604775748187</v>
      </c>
      <c r="AG16" s="53">
        <f t="shared" si="8"/>
        <v>27897.607855576905</v>
      </c>
      <c r="AH16" s="18"/>
      <c r="AI16" s="19">
        <v>15.024126189999999</v>
      </c>
      <c r="AJ16" s="97"/>
    </row>
    <row r="17" spans="2:38" s="8" customFormat="1" ht="19.5" customHeight="1">
      <c r="B17" s="8" t="s">
        <v>87</v>
      </c>
      <c r="F17" s="9">
        <f t="shared" si="2"/>
        <v>0.98504007362123636</v>
      </c>
      <c r="G17" s="9">
        <f t="shared" si="0"/>
        <v>1.0269631336405529</v>
      </c>
      <c r="H17" s="80"/>
      <c r="I17" s="81" t="s">
        <v>87</v>
      </c>
      <c r="J17" s="46">
        <f>+'사업장별(당월)'!J17+'[4]사업장별(누계)'!J17</f>
        <v>108.5</v>
      </c>
      <c r="K17" s="47">
        <f>+'사업장별(당월)'!K17+'[4]사업장별(누계)'!K17</f>
        <v>111.4255</v>
      </c>
      <c r="L17" s="48">
        <f t="shared" si="1"/>
        <v>2.9254999999999995</v>
      </c>
      <c r="M17" s="49">
        <f>+'사업장별(당월)'!M17+'[4]사업장별(누계)'!M17</f>
        <v>139.85399999999998</v>
      </c>
      <c r="N17" s="50">
        <f t="shared" si="3"/>
        <v>-28.428499999999985</v>
      </c>
      <c r="O17" s="46">
        <f>+'사업장별(당월)'!O17+'[4]사업장별(누계)'!O17</f>
        <v>10609.34</v>
      </c>
      <c r="P17" s="47">
        <f>+'사업장별(당월)'!P17+'[4]사업장별(누계)'!P17</f>
        <v>11332.807451999999</v>
      </c>
      <c r="Q17" s="48">
        <f t="shared" si="4"/>
        <v>723.46745199999896</v>
      </c>
      <c r="R17" s="49">
        <f>+'사업장별(당월)'!R17+'[4]사업장별(누계)'!R17</f>
        <v>12987.083350000001</v>
      </c>
      <c r="S17" s="50">
        <f t="shared" si="5"/>
        <v>-1654.2758980000017</v>
      </c>
      <c r="T17" s="46">
        <f>+'사업장별(당월)'!T17+'[4]사업장별(누계)'!T17</f>
        <v>1799.8248664974701</v>
      </c>
      <c r="U17" s="47">
        <f>+'사업장별(당월)'!U17+'[4]사업장별(누계)'!U17</f>
        <v>1772.8996189999998</v>
      </c>
      <c r="V17" s="48">
        <f t="shared" si="6"/>
        <v>-26.925247497470309</v>
      </c>
      <c r="W17" s="49">
        <f>+'사업장별(당월)'!W17+'[4]사업장별(누계)'!W17</f>
        <v>2517.6751690000006</v>
      </c>
      <c r="X17" s="50">
        <f t="shared" si="7"/>
        <v>-744.77555000000075</v>
      </c>
      <c r="Y17" s="46">
        <f>+[11]대구!$Q$85</f>
        <v>97781.93548387097</v>
      </c>
      <c r="Z17" s="47">
        <f>+[11]대구!$R$85</f>
        <v>101707.48573710685</v>
      </c>
      <c r="AA17" s="51">
        <f>+[12]대구!$Q$85</f>
        <v>92855.856226942225</v>
      </c>
      <c r="AB17" s="52">
        <f>+[11]대구!$Q$89</f>
        <v>69848.169969911076</v>
      </c>
      <c r="AC17" s="47">
        <f>+[11]대구!$R$89</f>
        <v>74973.944493538293</v>
      </c>
      <c r="AD17" s="53">
        <f>+[12]대구!$Q$89</f>
        <v>66396.553854749392</v>
      </c>
      <c r="AE17" s="52">
        <f t="shared" si="8"/>
        <v>27933.765513959894</v>
      </c>
      <c r="AF17" s="47">
        <f t="shared" si="8"/>
        <v>26733.541243568558</v>
      </c>
      <c r="AG17" s="53">
        <f t="shared" si="8"/>
        <v>26459.302372192833</v>
      </c>
      <c r="AH17" s="18"/>
      <c r="AI17" s="19">
        <v>13.115241379999997</v>
      </c>
      <c r="AJ17" s="97"/>
    </row>
    <row r="18" spans="2:38" s="8" customFormat="1" ht="19.5" customHeight="1">
      <c r="B18" s="8" t="s">
        <v>88</v>
      </c>
      <c r="F18" s="9">
        <f t="shared" si="2"/>
        <v>3.3241302862289741</v>
      </c>
      <c r="G18" s="9">
        <f t="shared" si="0"/>
        <v>1.2713272727272729</v>
      </c>
      <c r="H18" s="80"/>
      <c r="I18" s="83" t="s">
        <v>88</v>
      </c>
      <c r="J18" s="10">
        <f>+'사업장별(당월)'!J18+'[4]사업장별(누계)'!J18</f>
        <v>55</v>
      </c>
      <c r="K18" s="11">
        <f>+'사업장별(당월)'!K18+'[4]사업장별(누계)'!K18</f>
        <v>69.923000000000002</v>
      </c>
      <c r="L18" s="12">
        <f t="shared" si="1"/>
        <v>14.923000000000002</v>
      </c>
      <c r="M18" s="13">
        <f>+'사업장별(당월)'!M18+'[4]사업장별(누계)'!M18</f>
        <v>62.5505</v>
      </c>
      <c r="N18" s="14">
        <f t="shared" si="3"/>
        <v>7.3725000000000023</v>
      </c>
      <c r="O18" s="10">
        <f>+'사업장별(당월)'!O18+'[4]사업장별(누계)'!O18</f>
        <v>5488.8682400000007</v>
      </c>
      <c r="P18" s="11">
        <f>+'사업장별(당월)'!P18+'[4]사업장별(누계)'!P18</f>
        <v>7317.6604920000009</v>
      </c>
      <c r="Q18" s="12">
        <f t="shared" si="4"/>
        <v>1828.7922520000002</v>
      </c>
      <c r="R18" s="13">
        <f>+'사업장별(당월)'!R18+'[4]사업장별(누계)'!R18</f>
        <v>5906.1869999999999</v>
      </c>
      <c r="S18" s="14">
        <f t="shared" si="5"/>
        <v>1411.473492000001</v>
      </c>
      <c r="T18" s="10">
        <f>+'사업장별(당월)'!T18+'[4]사업장별(누계)'!T18</f>
        <v>239.70325721015212</v>
      </c>
      <c r="U18" s="11">
        <f>+'사업장별(당월)'!U18+'[4]사업장별(누계)'!U18</f>
        <v>796.80485700000031</v>
      </c>
      <c r="V18" s="12">
        <f t="shared" si="6"/>
        <v>557.10159978984825</v>
      </c>
      <c r="W18" s="13">
        <f>+'사업장별(당월)'!W18+'[4]사업장별(누계)'!W18</f>
        <v>462.48935000000029</v>
      </c>
      <c r="X18" s="14">
        <f t="shared" si="7"/>
        <v>334.31550700000003</v>
      </c>
      <c r="Y18" s="10">
        <f>+[11]울산!$Q$85</f>
        <v>99797.604363636347</v>
      </c>
      <c r="Z18" s="11">
        <f>+[11]울산!$R$85</f>
        <v>104653.12546658468</v>
      </c>
      <c r="AA18" s="15">
        <f>+[12]울산!$Q$85</f>
        <v>94442.568792554695</v>
      </c>
      <c r="AB18" s="16">
        <f>+[11]울산!$Q$89</f>
        <v>78156.870524274389</v>
      </c>
      <c r="AC18" s="11">
        <f>+[11]울산!$R$89</f>
        <v>80632.855619407041</v>
      </c>
      <c r="AD18" s="17">
        <f>+[12]울산!$Q$89</f>
        <v>72919.314177262015</v>
      </c>
      <c r="AE18" s="16">
        <f t="shared" si="8"/>
        <v>21640.733839361958</v>
      </c>
      <c r="AF18" s="11">
        <f t="shared" si="8"/>
        <v>24020.269847177638</v>
      </c>
      <c r="AG18" s="17">
        <f t="shared" si="8"/>
        <v>21523.254615292681</v>
      </c>
      <c r="AH18" s="18"/>
      <c r="AI18" s="19">
        <v>2.8283414800000033</v>
      </c>
      <c r="AJ18" s="97"/>
    </row>
    <row r="19" spans="2:38" s="8" customFormat="1" ht="19.5" customHeight="1">
      <c r="B19" s="8" t="s">
        <v>93</v>
      </c>
      <c r="F19" s="9">
        <f t="shared" si="2"/>
        <v>1.2380812305414659</v>
      </c>
      <c r="G19" s="9">
        <f t="shared" si="0"/>
        <v>1.2305695364238409</v>
      </c>
      <c r="H19" s="80"/>
      <c r="I19" s="81" t="s">
        <v>31</v>
      </c>
      <c r="J19" s="46">
        <f>+'사업장별(당월)'!J19+'[4]사업장별(누계)'!J19</f>
        <v>151</v>
      </c>
      <c r="K19" s="47">
        <f>+'사업장별(당월)'!K19+'[4]사업장별(누계)'!K19</f>
        <v>185.81599999999997</v>
      </c>
      <c r="L19" s="48">
        <f t="shared" si="1"/>
        <v>34.815999999999974</v>
      </c>
      <c r="M19" s="49">
        <f>+'사업장별(당월)'!M19+'[4]사업장별(누계)'!M19</f>
        <v>178.80900000000003</v>
      </c>
      <c r="N19" s="50">
        <f t="shared" si="3"/>
        <v>7.0069999999999482</v>
      </c>
      <c r="O19" s="46">
        <f>+'사업장별(당월)'!O19+'[4]사업장별(누계)'!O19</f>
        <v>15250.998900000001</v>
      </c>
      <c r="P19" s="47">
        <f>+'사업장별(당월)'!P19+'[4]사업장별(누계)'!P19</f>
        <v>18926.448910999999</v>
      </c>
      <c r="Q19" s="48">
        <f t="shared" si="4"/>
        <v>3675.450010999999</v>
      </c>
      <c r="R19" s="49">
        <f>+'사업장별(당월)'!R19+'[4]사업장별(누계)'!R19</f>
        <v>17081.087482999999</v>
      </c>
      <c r="S19" s="50">
        <f t="shared" si="5"/>
        <v>1845.3614280000002</v>
      </c>
      <c r="T19" s="46">
        <f>+'사업장별(당월)'!T19+'[4]사업장별(누계)'!T19</f>
        <v>2191.0490031527424</v>
      </c>
      <c r="U19" s="47">
        <f>+'사업장별(당월)'!U19+'[4]사업장별(누계)'!U19</f>
        <v>2712.6966459999994</v>
      </c>
      <c r="V19" s="48">
        <f t="shared" si="6"/>
        <v>521.64764284725698</v>
      </c>
      <c r="W19" s="49">
        <f>+'사업장별(당월)'!W19+'[4]사업장별(누계)'!W19</f>
        <v>3000.1953349999999</v>
      </c>
      <c r="X19" s="50">
        <f t="shared" si="7"/>
        <v>-287.49868900000047</v>
      </c>
      <c r="Y19" s="46">
        <f>+[11]아산!$Q$85</f>
        <v>100999.99271523178</v>
      </c>
      <c r="Z19" s="47">
        <f>+[11]아산!$R$85</f>
        <v>101804.27057995724</v>
      </c>
      <c r="AA19" s="51">
        <f>+[12]아산!$Q$85</f>
        <v>95630.256428141336</v>
      </c>
      <c r="AB19" s="52">
        <f>+[11]아산!$Q$89</f>
        <v>76455.416605698978</v>
      </c>
      <c r="AC19" s="47">
        <f>+[11]아산!$R$89</f>
        <v>77661.374835053095</v>
      </c>
      <c r="AD19" s="53">
        <f>+[12]아산!$Q$89</f>
        <v>69556.548450732749</v>
      </c>
      <c r="AE19" s="52">
        <f t="shared" si="8"/>
        <v>24544.576109532805</v>
      </c>
      <c r="AF19" s="47">
        <f t="shared" si="8"/>
        <v>24142.895744904148</v>
      </c>
      <c r="AG19" s="53">
        <f t="shared" si="8"/>
        <v>26073.707977408587</v>
      </c>
      <c r="AH19" s="18"/>
      <c r="AI19" s="19">
        <v>18.004353030000001</v>
      </c>
      <c r="AJ19" s="97"/>
    </row>
    <row r="20" spans="2:38" s="8" customFormat="1" ht="19.5" customHeight="1">
      <c r="B20" s="8" t="s">
        <v>89</v>
      </c>
      <c r="F20" s="9">
        <f t="shared" si="2"/>
        <v>0.2617766357775726</v>
      </c>
      <c r="G20" s="9">
        <f t="shared" si="0"/>
        <v>0.70882911392405046</v>
      </c>
      <c r="H20" s="80"/>
      <c r="I20" s="81" t="s">
        <v>89</v>
      </c>
      <c r="J20" s="46">
        <f>+'사업장별(당월)'!J20+'[4]사업장별(누계)'!J20</f>
        <v>79</v>
      </c>
      <c r="K20" s="47">
        <f>+'사업장별(당월)'!K20+'[4]사업장별(누계)'!K20</f>
        <v>55.997499999999988</v>
      </c>
      <c r="L20" s="48">
        <f t="shared" si="1"/>
        <v>-23.002500000000012</v>
      </c>
      <c r="M20" s="49">
        <f>+'사업장별(당월)'!M20+'[4]사업장별(누계)'!M20</f>
        <v>72.004000000000005</v>
      </c>
      <c r="N20" s="50">
        <f t="shared" si="3"/>
        <v>-16.006500000000017</v>
      </c>
      <c r="O20" s="46">
        <f>+'사업장별(당월)'!O20+'[4]사업장별(누계)'!O20</f>
        <v>8129.4054570000008</v>
      </c>
      <c r="P20" s="47">
        <f>+'사업장별(당월)'!P20+'[4]사업장별(누계)'!P20</f>
        <v>5359.4032979999993</v>
      </c>
      <c r="Q20" s="48">
        <f t="shared" si="4"/>
        <v>-2770.0021590000015</v>
      </c>
      <c r="R20" s="49">
        <f>+'사업장별(당월)'!R20+'[4]사업장별(누계)'!R20</f>
        <v>6930.7323840000008</v>
      </c>
      <c r="S20" s="50">
        <f t="shared" si="5"/>
        <v>-1571.3290860000016</v>
      </c>
      <c r="T20" s="46">
        <f>+'사업장별(당월)'!T20+'[4]사업장별(누계)'!T20</f>
        <v>1274.4079776602496</v>
      </c>
      <c r="U20" s="47">
        <f>+'사업장별(당월)'!U20+'[4]사업장별(누계)'!U20</f>
        <v>333.61023300000005</v>
      </c>
      <c r="V20" s="48">
        <f t="shared" si="6"/>
        <v>-940.79774466024946</v>
      </c>
      <c r="W20" s="49">
        <f>+'사업장별(당월)'!W20+'[4]사업장별(누계)'!W20</f>
        <v>1025.5584510000003</v>
      </c>
      <c r="X20" s="50">
        <f t="shared" si="7"/>
        <v>-691.94821800000022</v>
      </c>
      <c r="Y20" s="46">
        <f>+[11]전주!$Q$85</f>
        <v>102903.86654430379</v>
      </c>
      <c r="Z20" s="47">
        <f>+[11]전주!$R$85</f>
        <v>95709.773647954396</v>
      </c>
      <c r="AA20" s="51">
        <f>+[12]전주!$Q$85</f>
        <v>96365.044906222771</v>
      </c>
      <c r="AB20" s="52">
        <f>+[11]전주!$Q$89</f>
        <v>73713.733093606119</v>
      </c>
      <c r="AC20" s="47">
        <f>+[11]전주!$R$89</f>
        <v>71276.829356749178</v>
      </c>
      <c r="AD20" s="53">
        <f>+[12]전주!$Q$89</f>
        <v>68168.716358319725</v>
      </c>
      <c r="AE20" s="52">
        <f t="shared" si="8"/>
        <v>29190.133450697671</v>
      </c>
      <c r="AF20" s="47">
        <f t="shared" si="8"/>
        <v>24432.944291205218</v>
      </c>
      <c r="AG20" s="53">
        <f t="shared" si="8"/>
        <v>28196.328547903046</v>
      </c>
      <c r="AH20" s="18"/>
      <c r="AI20" s="19">
        <v>2.6236192800000002</v>
      </c>
      <c r="AJ20" s="97"/>
    </row>
    <row r="21" spans="2:38" s="8" customFormat="1" ht="19.5" customHeight="1">
      <c r="B21" s="8" t="s">
        <v>90</v>
      </c>
      <c r="F21" s="9">
        <f t="shared" si="2"/>
        <v>1.5834124826677789</v>
      </c>
      <c r="G21" s="9">
        <f t="shared" si="0"/>
        <v>1.3614888888888887</v>
      </c>
      <c r="H21" s="80"/>
      <c r="I21" s="81" t="s">
        <v>90</v>
      </c>
      <c r="J21" s="46">
        <f>+'사업장별(당월)'!J21+'[4]사업장별(누계)'!J21</f>
        <v>45</v>
      </c>
      <c r="K21" s="47">
        <f>+'사업장별(당월)'!K21+'[4]사업장별(누계)'!K21</f>
        <v>61.266999999999996</v>
      </c>
      <c r="L21" s="48">
        <f t="shared" si="1"/>
        <v>16.266999999999996</v>
      </c>
      <c r="M21" s="49">
        <f>+'사업장별(당월)'!M21+'[4]사업장별(누계)'!M21</f>
        <v>56.7485</v>
      </c>
      <c r="N21" s="50">
        <f t="shared" si="3"/>
        <v>4.518499999999996</v>
      </c>
      <c r="O21" s="46">
        <f>+'사업장별(당월)'!O21+'[4]사업장별(누계)'!O21</f>
        <v>4908.0681619999996</v>
      </c>
      <c r="P21" s="47">
        <f>+'사업장별(당월)'!P21+'[4]사업장별(누계)'!P21</f>
        <v>6898.5823399999999</v>
      </c>
      <c r="Q21" s="48">
        <f t="shared" si="4"/>
        <v>1990.5141780000004</v>
      </c>
      <c r="R21" s="49">
        <f>+'사업장별(당월)'!R21+'[4]사업장별(누계)'!R21</f>
        <v>5520.4355660000001</v>
      </c>
      <c r="S21" s="50">
        <f t="shared" si="5"/>
        <v>1378.1467739999998</v>
      </c>
      <c r="T21" s="46">
        <f>+'사업장별(당월)'!T21+'[4]사업장별(누계)'!T21</f>
        <v>1212.0080490755199</v>
      </c>
      <c r="U21" s="47">
        <f>+'사업장별(당월)'!U21+'[4]사업장별(누계)'!U21</f>
        <v>1919.1086740000003</v>
      </c>
      <c r="V21" s="48">
        <f t="shared" si="6"/>
        <v>707.10062492448037</v>
      </c>
      <c r="W21" s="49">
        <f>+'사업장별(당월)'!W21+'[4]사업장별(누계)'!W21</f>
        <v>1295.0211569999999</v>
      </c>
      <c r="X21" s="50">
        <f t="shared" si="7"/>
        <v>624.08751700000039</v>
      </c>
      <c r="Y21" s="46">
        <f>+[11]군산!$Q$85</f>
        <v>109068.18137777776</v>
      </c>
      <c r="Z21" s="47">
        <f>+[11]군산!$R$85</f>
        <v>112608.63117311684</v>
      </c>
      <c r="AA21" s="51">
        <f>+[12]군산!$Q$85</f>
        <v>97136.932266666656</v>
      </c>
      <c r="AB21" s="52">
        <f>+[11]군산!$Q$89</f>
        <v>69652.403665096266</v>
      </c>
      <c r="AC21" s="47">
        <f>+[11]군산!$R$89</f>
        <v>72129.022231660099</v>
      </c>
      <c r="AD21" s="53">
        <f>+[12]군산!$Q$89</f>
        <v>63815.356268242656</v>
      </c>
      <c r="AE21" s="52">
        <f t="shared" si="8"/>
        <v>39415.777712681491</v>
      </c>
      <c r="AF21" s="47">
        <f t="shared" si="8"/>
        <v>40479.60894145674</v>
      </c>
      <c r="AG21" s="53">
        <f t="shared" si="8"/>
        <v>33321.575998423999</v>
      </c>
      <c r="AH21" s="18"/>
      <c r="AI21" s="19">
        <v>13.184206500000002</v>
      </c>
      <c r="AJ21" s="97"/>
    </row>
    <row r="22" spans="2:38" s="8" customFormat="1" ht="19.5" customHeight="1">
      <c r="B22" s="8" t="s">
        <v>91</v>
      </c>
      <c r="F22" s="9">
        <f t="shared" si="2"/>
        <v>1.5075183870376097</v>
      </c>
      <c r="G22" s="9">
        <f t="shared" si="0"/>
        <v>1.1198857142857142</v>
      </c>
      <c r="H22" s="80"/>
      <c r="I22" s="81" t="s">
        <v>91</v>
      </c>
      <c r="J22" s="46">
        <f>+'사업장별(당월)'!J22+'[4]사업장별(누계)'!J22</f>
        <v>35</v>
      </c>
      <c r="K22" s="47">
        <f>+'사업장별(당월)'!K22+'[4]사업장별(누계)'!K22</f>
        <v>39.195999999999998</v>
      </c>
      <c r="L22" s="48">
        <f t="shared" si="1"/>
        <v>4.195999999999998</v>
      </c>
      <c r="M22" s="49">
        <f>+'사업장별(당월)'!M22+'[4]사업장별(누계)'!M22</f>
        <v>30.594999999999999</v>
      </c>
      <c r="N22" s="50">
        <f t="shared" si="3"/>
        <v>8.6009999999999991</v>
      </c>
      <c r="O22" s="46">
        <f>+'사업장별(당월)'!O22+'[4]사업장별(누계)'!O22</f>
        <v>3776.5</v>
      </c>
      <c r="P22" s="47">
        <f>+'사업장별(당월)'!P22+'[4]사업장별(누계)'!P22</f>
        <v>4406.4360900000001</v>
      </c>
      <c r="Q22" s="48">
        <f t="shared" si="4"/>
        <v>629.93609000000015</v>
      </c>
      <c r="R22" s="49">
        <f>+'사업장별(당월)'!R22+'[4]사업장별(누계)'!R22</f>
        <v>3095.5743179999999</v>
      </c>
      <c r="S22" s="50">
        <f t="shared" si="5"/>
        <v>1310.8617720000002</v>
      </c>
      <c r="T22" s="46">
        <f>+'사업장별(당월)'!T22+'[4]사업장별(누계)'!T22</f>
        <v>594.1149021472304</v>
      </c>
      <c r="U22" s="47">
        <f>+'사업장별(당월)'!U22+'[4]사업장별(누계)'!U22</f>
        <v>895.639139</v>
      </c>
      <c r="V22" s="48">
        <f t="shared" si="6"/>
        <v>301.5242368527696</v>
      </c>
      <c r="W22" s="49">
        <f>+'사업장별(당월)'!W22+'[4]사업장별(누계)'!W22</f>
        <v>500.07044900000005</v>
      </c>
      <c r="X22" s="50">
        <f t="shared" si="7"/>
        <v>395.56868999999995</v>
      </c>
      <c r="Y22" s="46">
        <f>+[11]원주!$Q$85</f>
        <v>107900</v>
      </c>
      <c r="Z22" s="47">
        <f>+[11]원주!$R$85</f>
        <v>112428.34793044455</v>
      </c>
      <c r="AA22" s="51">
        <f>+[12]원주!$Q$85</f>
        <v>101184.08230533899</v>
      </c>
      <c r="AB22" s="52">
        <f>+[11]원주!$Q$89</f>
        <v>73498.624781108563</v>
      </c>
      <c r="AC22" s="47">
        <f>+[11]원주!$R$89</f>
        <v>73710.191915838921</v>
      </c>
      <c r="AD22" s="53">
        <f>+[12]원주!$Q$89</f>
        <v>66587.082157539873</v>
      </c>
      <c r="AE22" s="52">
        <f t="shared" si="8"/>
        <v>34401.375218891437</v>
      </c>
      <c r="AF22" s="47">
        <f t="shared" si="8"/>
        <v>38718.156014605629</v>
      </c>
      <c r="AG22" s="53">
        <f t="shared" si="8"/>
        <v>34597.000147799117</v>
      </c>
      <c r="AH22" s="18"/>
      <c r="AI22" s="19">
        <v>6.1718805099999994</v>
      </c>
      <c r="AJ22" s="97"/>
    </row>
    <row r="23" spans="2:38" s="8" customFormat="1" ht="19.5" customHeight="1">
      <c r="B23" s="8" t="s">
        <v>92</v>
      </c>
      <c r="F23" s="9">
        <f t="shared" si="2"/>
        <v>0.50297817843925186</v>
      </c>
      <c r="G23" s="9">
        <f>+K23/J23</f>
        <v>0.70258333333333334</v>
      </c>
      <c r="H23" s="80"/>
      <c r="I23" s="81" t="s">
        <v>92</v>
      </c>
      <c r="J23" s="46">
        <f>+'사업장별(당월)'!J23+'[4]사업장별(누계)'!J23</f>
        <v>36</v>
      </c>
      <c r="K23" s="47">
        <f>+'사업장별(당월)'!K23+'[4]사업장별(누계)'!K23</f>
        <v>25.292999999999999</v>
      </c>
      <c r="L23" s="48">
        <f t="shared" si="1"/>
        <v>-10.707000000000001</v>
      </c>
      <c r="M23" s="49">
        <f>+'사업장별(당월)'!M23+'[4]사업장별(누계)'!M23</f>
        <v>51.975999999999999</v>
      </c>
      <c r="N23" s="50">
        <f t="shared" si="3"/>
        <v>-26.683</v>
      </c>
      <c r="O23" s="46">
        <f>+'사업장별(당월)'!O23+'[4]사업장별(누계)'!O23</f>
        <v>4563.0000000000009</v>
      </c>
      <c r="P23" s="47">
        <f>+'사업장별(당월)'!P23+'[4]사업장별(누계)'!P23</f>
        <v>3192.3434459999999</v>
      </c>
      <c r="Q23" s="48">
        <f t="shared" si="4"/>
        <v>-1370.6565540000011</v>
      </c>
      <c r="R23" s="49">
        <f>+'사업장별(당월)'!R23+'[4]사업장별(누계)'!R23</f>
        <v>6196.5555279999999</v>
      </c>
      <c r="S23" s="50">
        <f t="shared" si="5"/>
        <v>-3004.212082</v>
      </c>
      <c r="T23" s="46">
        <f>+'사업장별(당월)'!T23+'[4]사업장별(누계)'!T23</f>
        <v>640.77430754568172</v>
      </c>
      <c r="U23" s="47">
        <f>+'사업장별(당월)'!U23+'[4]사업장별(누계)'!U23</f>
        <v>322.29549399999996</v>
      </c>
      <c r="V23" s="48">
        <f t="shared" si="6"/>
        <v>-318.47881354568176</v>
      </c>
      <c r="W23" s="49">
        <f>+'사업장별(당월)'!W23+'[4]사업장별(누계)'!W23</f>
        <v>1321.3184960000001</v>
      </c>
      <c r="X23" s="50">
        <f t="shared" si="7"/>
        <v>-999.02300200000013</v>
      </c>
      <c r="Y23" s="46">
        <f>+[11]제주!$Q$85</f>
        <v>126750</v>
      </c>
      <c r="Z23" s="47">
        <f>+[11]제주!$R$85</f>
        <v>126214.50385482149</v>
      </c>
      <c r="AA23" s="51">
        <f>+[12]제주!$Q$85</f>
        <v>119262.47707545612</v>
      </c>
      <c r="AB23" s="52">
        <f>+[11]제주!$Q$89</f>
        <v>90440.913453790054</v>
      </c>
      <c r="AC23" s="47">
        <f>+[11]제주!$R$89</f>
        <v>89489.173744260741</v>
      </c>
      <c r="AD23" s="53">
        <f>+[12]제주!$Q$89</f>
        <v>82696.591138171119</v>
      </c>
      <c r="AE23" s="52">
        <f t="shared" si="8"/>
        <v>36309.086546209946</v>
      </c>
      <c r="AF23" s="47">
        <f t="shared" si="8"/>
        <v>36725.330110560753</v>
      </c>
      <c r="AG23" s="53">
        <f t="shared" si="8"/>
        <v>36565.885937284998</v>
      </c>
      <c r="AH23" s="18"/>
      <c r="AI23" s="19">
        <v>2.2811332500000003</v>
      </c>
      <c r="AJ23" s="97"/>
    </row>
    <row r="24" spans="2:38" s="8" customFormat="1" ht="19.5" customHeight="1">
      <c r="F24" s="9">
        <f t="shared" si="2"/>
        <v>0.70030748232978601</v>
      </c>
      <c r="G24" s="9">
        <f t="shared" ref="G24:G26" si="9">+K24/J24</f>
        <v>0.95052314635718893</v>
      </c>
      <c r="H24" s="80"/>
      <c r="I24" s="84" t="s">
        <v>55</v>
      </c>
      <c r="J24" s="23">
        <f>SUM(J7:J10)</f>
        <v>775.5</v>
      </c>
      <c r="K24" s="20">
        <f>SUM(K7:K10)</f>
        <v>737.13070000000005</v>
      </c>
      <c r="L24" s="21">
        <f t="shared" si="1"/>
        <v>-38.369299999999953</v>
      </c>
      <c r="M24" s="25">
        <f>SUM(M7:M10)</f>
        <v>884.34450000000004</v>
      </c>
      <c r="N24" s="22">
        <f t="shared" si="3"/>
        <v>-147.21379999999999</v>
      </c>
      <c r="O24" s="23">
        <f>SUM(O7:O10)</f>
        <v>77016.00636121686</v>
      </c>
      <c r="P24" s="20">
        <f>SUM(P7:P10)</f>
        <v>73185.386448000005</v>
      </c>
      <c r="Q24" s="21">
        <f t="shared" si="4"/>
        <v>-3830.6199132168549</v>
      </c>
      <c r="R24" s="25">
        <f>SUM(R7:R10)</f>
        <v>81743.540375000011</v>
      </c>
      <c r="S24" s="22">
        <f t="shared" si="5"/>
        <v>-8558.1539270000067</v>
      </c>
      <c r="T24" s="23">
        <f>SUM(T7:T10)</f>
        <v>9421.4516344306812</v>
      </c>
      <c r="U24" s="20">
        <f>SUM(U7:U10)</f>
        <v>6597.9130739999982</v>
      </c>
      <c r="V24" s="21">
        <f t="shared" si="6"/>
        <v>-2823.538560430683</v>
      </c>
      <c r="W24" s="25">
        <f>SUM(W7:W10)</f>
        <v>10669.367593989999</v>
      </c>
      <c r="X24" s="22">
        <f t="shared" si="7"/>
        <v>-4071.4545199900003</v>
      </c>
      <c r="Y24" s="23">
        <f>+[11]수도권!$Q$85</f>
        <v>99311.420194992723</v>
      </c>
      <c r="Z24" s="20">
        <f>+[11]수도권!$R$85</f>
        <v>99296.299959522148</v>
      </c>
      <c r="AA24" s="24">
        <f>+[12]수도권!$Q$85</f>
        <v>92423.210947942018</v>
      </c>
      <c r="AB24" s="29">
        <f>+[11]수도권!$Q$89</f>
        <v>78100.725484550348</v>
      </c>
      <c r="AC24" s="20">
        <f>+[11]수도권!$R$89</f>
        <v>80978.927443523047</v>
      </c>
      <c r="AD24" s="30">
        <f>+[12]수도권!$Q$89</f>
        <v>72643.54096309765</v>
      </c>
      <c r="AE24" s="29">
        <f t="shared" si="8"/>
        <v>21210.694710442374</v>
      </c>
      <c r="AF24" s="20">
        <f t="shared" si="8"/>
        <v>18317.372515999101</v>
      </c>
      <c r="AG24" s="30">
        <f t="shared" si="8"/>
        <v>19779.669984844368</v>
      </c>
      <c r="AH24" s="18"/>
      <c r="AI24" s="19">
        <v>50.692078900000006</v>
      </c>
      <c r="AJ24" s="97"/>
    </row>
    <row r="25" spans="2:38" s="8" customFormat="1" ht="19.5" customHeight="1">
      <c r="F25" s="9">
        <f t="shared" si="2"/>
        <v>0.87484110277981064</v>
      </c>
      <c r="G25" s="9">
        <f t="shared" si="9"/>
        <v>1.0879602339181289</v>
      </c>
      <c r="H25" s="80"/>
      <c r="I25" s="84" t="s">
        <v>56</v>
      </c>
      <c r="J25" s="23">
        <f>SUM(J11:J18)</f>
        <v>855</v>
      </c>
      <c r="K25" s="20">
        <f>SUM(K11:K18)</f>
        <v>930.20600000000013</v>
      </c>
      <c r="L25" s="21">
        <f t="shared" si="1"/>
        <v>75.206000000000131</v>
      </c>
      <c r="M25" s="25">
        <f>SUM(M11:M18)</f>
        <v>988.41300000000001</v>
      </c>
      <c r="N25" s="22">
        <f t="shared" si="3"/>
        <v>-58.20699999999988</v>
      </c>
      <c r="O25" s="23">
        <f>SUM(O11:O18)</f>
        <v>87271.478080249988</v>
      </c>
      <c r="P25" s="20">
        <f>SUM(P11:P18)</f>
        <v>94409.494503999988</v>
      </c>
      <c r="Q25" s="21">
        <f t="shared" si="4"/>
        <v>7138.0164237499994</v>
      </c>
      <c r="R25" s="25">
        <f>SUM(R11:R18)</f>
        <v>96346.674811999997</v>
      </c>
      <c r="S25" s="22">
        <f t="shared" si="5"/>
        <v>-1937.18030800001</v>
      </c>
      <c r="T25" s="23">
        <f>SUM(T11:T18)</f>
        <v>12420.079858473187</v>
      </c>
      <c r="U25" s="20">
        <f>SUM(U11:U18)</f>
        <v>10865.596359999998</v>
      </c>
      <c r="V25" s="21">
        <f t="shared" si="6"/>
        <v>-1554.4834984731897</v>
      </c>
      <c r="W25" s="25">
        <f>SUM(W11:W18)</f>
        <v>16464.414495000001</v>
      </c>
      <c r="X25" s="22">
        <f t="shared" si="7"/>
        <v>-5598.8181350000032</v>
      </c>
      <c r="Y25" s="23">
        <f>+[11]영남권!$Q$85</f>
        <v>102071.90418742689</v>
      </c>
      <c r="Z25" s="20">
        <f>+[11]영남권!$R$85</f>
        <v>101505.26641947271</v>
      </c>
      <c r="AA25" s="24">
        <f>+[12]영남권!$Q$85</f>
        <v>97480.60162494595</v>
      </c>
      <c r="AB25" s="29">
        <f>+[11]영남권!$Q$89</f>
        <v>75372.945460314746</v>
      </c>
      <c r="AC25" s="20">
        <f>+[11]영남권!$R$89</f>
        <v>78824.379452576482</v>
      </c>
      <c r="AD25" s="30">
        <f>+[12]영남권!$Q$89</f>
        <v>70954.607676811705</v>
      </c>
      <c r="AE25" s="29">
        <f t="shared" si="8"/>
        <v>26698.958727112142</v>
      </c>
      <c r="AF25" s="20">
        <f t="shared" si="8"/>
        <v>22680.886966896229</v>
      </c>
      <c r="AG25" s="30">
        <f t="shared" si="8"/>
        <v>26525.993948134244</v>
      </c>
      <c r="AH25" s="18"/>
      <c r="AI25" s="19">
        <v>81.156887019999971</v>
      </c>
      <c r="AJ25" s="97"/>
    </row>
    <row r="26" spans="2:38" s="8" customFormat="1" ht="19.5" customHeight="1">
      <c r="F26" s="9">
        <f t="shared" si="2"/>
        <v>1.0458355395223682</v>
      </c>
      <c r="G26" s="9">
        <f t="shared" si="9"/>
        <v>1.0623395953757224</v>
      </c>
      <c r="H26" s="80"/>
      <c r="I26" s="84" t="s">
        <v>170</v>
      </c>
      <c r="J26" s="23">
        <f>SUM(J19:J23)</f>
        <v>346</v>
      </c>
      <c r="K26" s="20">
        <f>SUM(K19:K23)</f>
        <v>367.56949999999995</v>
      </c>
      <c r="L26" s="21">
        <f t="shared" si="1"/>
        <v>21.569499999999948</v>
      </c>
      <c r="M26" s="25">
        <f>SUM(M19:M23)</f>
        <v>390.13250000000005</v>
      </c>
      <c r="N26" s="22">
        <f t="shared" si="3"/>
        <v>-22.563000000000102</v>
      </c>
      <c r="O26" s="23">
        <f>SUM(O19:O23)</f>
        <v>36627.972519000003</v>
      </c>
      <c r="P26" s="20">
        <f>SUM(P19:P23)</f>
        <v>38783.214085</v>
      </c>
      <c r="Q26" s="21">
        <f t="shared" si="4"/>
        <v>2155.241565999997</v>
      </c>
      <c r="R26" s="25">
        <f>SUM(R19:R23)</f>
        <v>38824.385278999995</v>
      </c>
      <c r="S26" s="22">
        <f t="shared" si="5"/>
        <v>-41.171193999995012</v>
      </c>
      <c r="T26" s="23">
        <f>SUM(T19:T23)</f>
        <v>5912.3542395814238</v>
      </c>
      <c r="U26" s="20">
        <f>SUM(U19:U23)</f>
        <v>6183.3501859999997</v>
      </c>
      <c r="V26" s="21">
        <f t="shared" si="6"/>
        <v>270.99594641857584</v>
      </c>
      <c r="W26" s="25">
        <f>SUM(W19:W23)</f>
        <v>7142.163888</v>
      </c>
      <c r="X26" s="22">
        <f t="shared" si="7"/>
        <v>-958.81370200000038</v>
      </c>
      <c r="Y26" s="23">
        <f>+[11]중부권!$Q$85</f>
        <v>105861.19225144507</v>
      </c>
      <c r="Z26" s="20">
        <f>+[11]중부권!$R$85</f>
        <v>105499.25552457728</v>
      </c>
      <c r="AA26" s="24">
        <f>+[12]중부권!$Q$85</f>
        <v>99672.851767340311</v>
      </c>
      <c r="AB26" s="29">
        <f>+[11]중부권!$Q$89</f>
        <v>76100.681325028912</v>
      </c>
      <c r="AC26" s="20">
        <f>+[11]중부권!$R$89</f>
        <v>76159.404299075104</v>
      </c>
      <c r="AD26" s="30">
        <f>+[12]중부권!$Q$89</f>
        <v>70008.282583670749</v>
      </c>
      <c r="AE26" s="29">
        <f t="shared" si="8"/>
        <v>29760.510926416158</v>
      </c>
      <c r="AF26" s="20">
        <f t="shared" si="8"/>
        <v>29339.851225502178</v>
      </c>
      <c r="AG26" s="30">
        <f t="shared" si="8"/>
        <v>29664.569183669562</v>
      </c>
      <c r="AH26" s="18"/>
      <c r="AI26" s="19">
        <v>42.265192570000011</v>
      </c>
      <c r="AJ26" s="97"/>
    </row>
    <row r="27" spans="2:38" s="3" customFormat="1" ht="19.5" customHeight="1">
      <c r="B27" s="26"/>
      <c r="F27" s="9">
        <f t="shared" si="2"/>
        <v>0.85201978014638446</v>
      </c>
      <c r="G27" s="9">
        <f>+K27/J27</f>
        <v>1.0295503162155326</v>
      </c>
      <c r="H27" s="630" t="s">
        <v>115</v>
      </c>
      <c r="I27" s="631"/>
      <c r="J27" s="632">
        <f>SUM(J24:J26)</f>
        <v>1976.5</v>
      </c>
      <c r="K27" s="633">
        <f>SUM(K24:K26)</f>
        <v>2034.9062000000004</v>
      </c>
      <c r="L27" s="634">
        <f t="shared" si="1"/>
        <v>58.406200000000354</v>
      </c>
      <c r="M27" s="635">
        <f>SUM(M24:M26)</f>
        <v>2262.8900000000003</v>
      </c>
      <c r="N27" s="636">
        <f t="shared" si="3"/>
        <v>-227.98379999999997</v>
      </c>
      <c r="O27" s="632">
        <f>SUM(O24:O26)</f>
        <v>200915.45696046686</v>
      </c>
      <c r="P27" s="633">
        <f>SUM(P24:P26)</f>
        <v>206378.09503699996</v>
      </c>
      <c r="Q27" s="634">
        <f t="shared" si="4"/>
        <v>5462.6380765330978</v>
      </c>
      <c r="R27" s="635">
        <f>SUM(R24:R26)</f>
        <v>216914.60046599997</v>
      </c>
      <c r="S27" s="636">
        <f t="shared" si="5"/>
        <v>-10536.505429000012</v>
      </c>
      <c r="T27" s="632">
        <f>SUM(T24:T26)</f>
        <v>27753.885732485294</v>
      </c>
      <c r="U27" s="633">
        <f>SUM(U24:U26)</f>
        <v>23646.859619999996</v>
      </c>
      <c r="V27" s="634">
        <f t="shared" si="6"/>
        <v>-4107.0261124852987</v>
      </c>
      <c r="W27" s="635">
        <f>SUM(W24:W26)</f>
        <v>34275.945976989999</v>
      </c>
      <c r="X27" s="636">
        <f t="shared" si="7"/>
        <v>-10629.086356990003</v>
      </c>
      <c r="Y27" s="632">
        <f>+[11]합계!$Q$85</f>
        <v>101652.14113861213</v>
      </c>
      <c r="Z27" s="633">
        <f>+[11]합계!$R$85</f>
        <v>101427.41265986627</v>
      </c>
      <c r="AA27" s="637">
        <f>+[12]합계!$Q$85</f>
        <v>95871.986733029829</v>
      </c>
      <c r="AB27" s="638">
        <f>+[11]합계!$Q$89</f>
        <v>76570.613063646801</v>
      </c>
      <c r="AC27" s="633">
        <f>+[11]합계!$R$89</f>
        <v>79121.804284466911</v>
      </c>
      <c r="AD27" s="639">
        <f>+[12]합계!$Q$89</f>
        <v>71455.028901929982</v>
      </c>
      <c r="AE27" s="638">
        <f t="shared" si="8"/>
        <v>25081.528074965332</v>
      </c>
      <c r="AF27" s="633">
        <f t="shared" si="8"/>
        <v>22305.608375399359</v>
      </c>
      <c r="AG27" s="639">
        <f t="shared" si="8"/>
        <v>24416.957831099848</v>
      </c>
      <c r="AH27" s="27"/>
      <c r="AI27" s="19">
        <v>174.11415848999997</v>
      </c>
      <c r="AJ27" s="97"/>
      <c r="AL27" s="26"/>
    </row>
    <row r="28" spans="2:38" s="8" customFormat="1" ht="19.5" customHeight="1">
      <c r="B28" s="8" t="s">
        <v>3</v>
      </c>
      <c r="E28" s="8" t="s">
        <v>202</v>
      </c>
      <c r="G28" s="9">
        <f>+K28/J28</f>
        <v>1.2539416427104721</v>
      </c>
      <c r="H28" s="825" t="s">
        <v>3</v>
      </c>
      <c r="I28" s="826"/>
      <c r="J28" s="168">
        <f>+'사업장별(당월)'!J28+'[4]사업장별(누계)'!J28</f>
        <v>48700</v>
      </c>
      <c r="K28" s="169">
        <f>+'사업장별(당월)'!K28+'[4]사업장별(누계)'!K28</f>
        <v>61066.957999999999</v>
      </c>
      <c r="L28" s="170">
        <f>+K28-J28</f>
        <v>12366.957999999999</v>
      </c>
      <c r="M28" s="171">
        <f>+'사업장별(당월)'!M28+'[4]사업장별(누계)'!M28</f>
        <v>55688.971000000005</v>
      </c>
      <c r="N28" s="172">
        <f>+K28-M28</f>
        <v>5377.9869999999937</v>
      </c>
      <c r="O28" s="168">
        <f>+'사업장별(당월)'!O28+'[4]사업장별(누계)'!O28</f>
        <v>59550.776842105275</v>
      </c>
      <c r="P28" s="169">
        <f>+'사업장별(당월)'!P28+'[4]사업장별(누계)'!P28</f>
        <v>60718.386735999993</v>
      </c>
      <c r="Q28" s="170">
        <f>+P28-O28</f>
        <v>1167.609893894718</v>
      </c>
      <c r="R28" s="171">
        <f>+'사업장별(당월)'!R28+'[4]사업장별(누계)'!R28</f>
        <v>67531.380195999998</v>
      </c>
      <c r="S28" s="172">
        <f t="shared" si="5"/>
        <v>-6812.9934600000051</v>
      </c>
      <c r="T28" s="168">
        <f>+'사업장별(당월)'!T28+'[4]사업장별(누계)'!T28</f>
        <v>647.0109485684311</v>
      </c>
      <c r="U28" s="169">
        <f>+'사업장별(당월)'!U28+'[4]사업장별(누계)'!U28</f>
        <v>375.55281900000011</v>
      </c>
      <c r="V28" s="170">
        <f t="shared" si="6"/>
        <v>-271.45812956843099</v>
      </c>
      <c r="W28" s="171">
        <f>+'사업장별(당월)'!W28+'[4]사업장별(누계)'!W28</f>
        <v>581.68383000000176</v>
      </c>
      <c r="X28" s="172">
        <f t="shared" si="7"/>
        <v>-206.13101100000165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194</v>
      </c>
      <c r="C29" s="79" t="s">
        <v>61</v>
      </c>
      <c r="G29" s="9">
        <f>+P28/O28</f>
        <v>1.0196069632641493</v>
      </c>
      <c r="H29" s="86" t="s">
        <v>1</v>
      </c>
      <c r="I29" s="79" t="s">
        <v>228</v>
      </c>
      <c r="J29" s="56">
        <f>+'사업장별(당월)'!J29+'[4]사업장별(누계)'!J29</f>
        <v>158.06153852774548</v>
      </c>
      <c r="K29" s="57">
        <f>+'사업장별(당월)'!K29+'[4]사업장별(누계)'!K29</f>
        <v>146.065</v>
      </c>
      <c r="L29" s="38">
        <f t="shared" si="1"/>
        <v>-11.996538527745486</v>
      </c>
      <c r="M29" s="38">
        <f>+'사업장별(당월)'!M29+'[4]사업장별(누계)'!M29</f>
        <v>175.00899999999999</v>
      </c>
      <c r="N29" s="58">
        <f t="shared" si="3"/>
        <v>-28.943999999999988</v>
      </c>
      <c r="O29" s="56">
        <f>+'사업장별(당월)'!O29+'[4]사업장별(누계)'!O29</f>
        <v>4685.1779900709344</v>
      </c>
      <c r="P29" s="57">
        <f>+'사업장별(당월)'!P29+'[4]사업장별(누계)'!P29</f>
        <v>4346.17058</v>
      </c>
      <c r="Q29" s="38">
        <f t="shared" si="4"/>
        <v>-339.00741007093438</v>
      </c>
      <c r="R29" s="38">
        <f>+'사업장별(당월)'!R29+'[4]사업장별(누계)'!R29</f>
        <v>5167.0483999999997</v>
      </c>
      <c r="S29" s="58">
        <f t="shared" si="5"/>
        <v>-820.8778199999997</v>
      </c>
      <c r="T29" s="56">
        <f>+'사업장별(당월)'!T29+'[4]사업장별(누계)'!T29</f>
        <v>204.76613946614782</v>
      </c>
      <c r="U29" s="57">
        <f>+'사업장별(당월)'!U29+'[4]사업장별(누계)'!U29</f>
        <v>247.71088314481858</v>
      </c>
      <c r="V29" s="38">
        <f t="shared" si="6"/>
        <v>42.944743678670761</v>
      </c>
      <c r="W29" s="38">
        <f>+'사업장별(당월)'!W29+'[4]사업장별(누계)'!W29</f>
        <v>245.8127780099999</v>
      </c>
      <c r="X29" s="58">
        <f t="shared" si="7"/>
        <v>1.8981051348186782</v>
      </c>
      <c r="Y29" s="629" t="s">
        <v>223</v>
      </c>
      <c r="Z29" s="588"/>
      <c r="AA29" s="588"/>
      <c r="AB29" s="588"/>
      <c r="AC29" s="588"/>
      <c r="AD29" s="588"/>
      <c r="AE29" s="588"/>
      <c r="AF29" s="588"/>
      <c r="AG29" s="51"/>
      <c r="AH29" s="18"/>
      <c r="AI29" s="784">
        <f>+T29/100</f>
        <v>2.0476613946614783</v>
      </c>
      <c r="AJ29" s="784">
        <f t="shared" ref="AJ29:AJ31" si="10">+U29/100</f>
        <v>2.4771088314481857</v>
      </c>
      <c r="AK29" s="784">
        <f t="shared" ref="AK29:AK31" si="11">+V29/100</f>
        <v>0.4294474367867076</v>
      </c>
    </row>
    <row r="30" spans="2:38" s="8" customFormat="1" ht="19.5" customHeight="1">
      <c r="B30" s="8" t="s">
        <v>195</v>
      </c>
      <c r="C30" s="81" t="s">
        <v>62</v>
      </c>
      <c r="H30" s="85"/>
      <c r="I30" s="81" t="s">
        <v>224</v>
      </c>
      <c r="J30" s="54">
        <f>+'사업장별(당월)'!J30+'[4]사업장별(누계)'!J30</f>
        <v>175.58446688000001</v>
      </c>
      <c r="K30" s="59">
        <f>+'사업장별(당월)'!K30+'[4]사업장별(누계)'!K30</f>
        <v>161.702</v>
      </c>
      <c r="L30" s="48">
        <f t="shared" si="1"/>
        <v>-13.88246688000001</v>
      </c>
      <c r="M30" s="48">
        <f>+'사업장별(당월)'!M30+'[4]사업장별(누계)'!M30</f>
        <v>242.7</v>
      </c>
      <c r="N30" s="60">
        <f t="shared" si="3"/>
        <v>-80.99799999999999</v>
      </c>
      <c r="O30" s="54">
        <f>+'사업장별(당월)'!O30+'[4]사업장별(누계)'!O30</f>
        <v>2248.2182032000001</v>
      </c>
      <c r="P30" s="59">
        <f>+'사업장별(당월)'!P30+'[4]사업장별(누계)'!P30</f>
        <v>2266.7740000000003</v>
      </c>
      <c r="Q30" s="48">
        <f t="shared" si="4"/>
        <v>18.55579680000028</v>
      </c>
      <c r="R30" s="48">
        <f>+'사업장별(당월)'!R30+'[4]사업장별(누계)'!R30</f>
        <v>2860.7559999999999</v>
      </c>
      <c r="S30" s="60">
        <f t="shared" si="5"/>
        <v>-593.98199999999952</v>
      </c>
      <c r="T30" s="54">
        <f>+'사업장별(당월)'!T30+'[4]사업장별(누계)'!T30</f>
        <v>398.00429576046304</v>
      </c>
      <c r="U30" s="59">
        <f>+'사업장별(당월)'!U30+'[4]사업장별(누계)'!U30</f>
        <v>208.62514577477006</v>
      </c>
      <c r="V30" s="48">
        <f t="shared" si="6"/>
        <v>-189.37914998569298</v>
      </c>
      <c r="W30" s="48">
        <f>+'사업장별(당월)'!W30+'[4]사업장별(누계)'!W30</f>
        <v>560.84012800000016</v>
      </c>
      <c r="X30" s="60">
        <f t="shared" si="7"/>
        <v>-352.21498222523007</v>
      </c>
      <c r="Y30" s="629" t="s">
        <v>220</v>
      </c>
      <c r="Z30" s="588"/>
      <c r="AA30" s="588"/>
      <c r="AB30" s="588"/>
      <c r="AC30" s="588"/>
      <c r="AD30" s="588"/>
      <c r="AE30" s="588"/>
      <c r="AF30" s="588"/>
      <c r="AG30" s="51"/>
      <c r="AH30" s="18"/>
      <c r="AI30" s="784">
        <f t="shared" ref="AI30:AI31" si="12">+T30/100</f>
        <v>3.9800429576046303</v>
      </c>
      <c r="AJ30" s="784">
        <f t="shared" si="10"/>
        <v>2.0862514577477005</v>
      </c>
      <c r="AK30" s="784">
        <f t="shared" si="11"/>
        <v>-1.8937914998569298</v>
      </c>
      <c r="AL30" s="99"/>
    </row>
    <row r="31" spans="2:38" s="8" customFormat="1" ht="19.5" customHeight="1">
      <c r="B31" s="8" t="s">
        <v>176</v>
      </c>
      <c r="C31" s="83" t="s">
        <v>176</v>
      </c>
      <c r="H31" s="85"/>
      <c r="I31" s="83" t="s">
        <v>226</v>
      </c>
      <c r="J31" s="54">
        <f>+'사업장별(당월)'!J31+'[4]사업장별(누계)'!J31</f>
        <v>287.18573308616612</v>
      </c>
      <c r="K31" s="59">
        <f>+'사업장별(당월)'!K31+'[4]사업장별(누계)'!K31</f>
        <v>249.89400000000001</v>
      </c>
      <c r="L31" s="48">
        <f t="shared" si="1"/>
        <v>-37.291733086166118</v>
      </c>
      <c r="M31" s="48">
        <f>+'사업장별(당월)'!M31+'[4]사업장별(누계)'!M31</f>
        <v>7.3319999999999999</v>
      </c>
      <c r="N31" s="60">
        <f t="shared" si="3"/>
        <v>242.56200000000001</v>
      </c>
      <c r="O31" s="54">
        <f>+'사업장별(당월)'!O31+'[4]사업장별(누계)'!O31</f>
        <v>5155.352803333868</v>
      </c>
      <c r="P31" s="59">
        <f>+'사업장별(당월)'!P31+'[4]사업장별(누계)'!P31</f>
        <v>4609.585</v>
      </c>
      <c r="Q31" s="48">
        <f t="shared" si="4"/>
        <v>-545.76780333386796</v>
      </c>
      <c r="R31" s="48">
        <f>+'사업장별(당월)'!R31+'[4]사업장별(누계)'!R31</f>
        <v>130.815</v>
      </c>
      <c r="S31" s="60">
        <f t="shared" si="5"/>
        <v>4478.7700000000004</v>
      </c>
      <c r="T31" s="54">
        <f>+'사업장별(당월)'!T31+'[4]사업장별(누계)'!T31</f>
        <v>142.54086102064073</v>
      </c>
      <c r="U31" s="59">
        <f>+'사업장별(당월)'!U31+'[4]사업장별(누계)'!U31</f>
        <v>153.62555405000012</v>
      </c>
      <c r="V31" s="48">
        <f t="shared" si="6"/>
        <v>11.084693029359386</v>
      </c>
      <c r="W31" s="48">
        <f>+'사업장별(당월)'!W31+'[4]사업장별(누계)'!W31</f>
        <v>-291.15117600000002</v>
      </c>
      <c r="X31" s="60">
        <f t="shared" si="7"/>
        <v>444.77673005000014</v>
      </c>
      <c r="Y31" s="587" t="s">
        <v>222</v>
      </c>
      <c r="Z31" s="588"/>
      <c r="AA31" s="588"/>
      <c r="AB31" s="588"/>
      <c r="AC31" s="588"/>
      <c r="AD31" s="588"/>
      <c r="AE31" s="588"/>
      <c r="AF31" s="588"/>
      <c r="AG31" s="51"/>
      <c r="AH31" s="18"/>
      <c r="AI31" s="784">
        <f t="shared" si="12"/>
        <v>1.4254086102064074</v>
      </c>
      <c r="AJ31" s="784">
        <f t="shared" si="10"/>
        <v>1.5362555405000011</v>
      </c>
      <c r="AK31" s="784">
        <f t="shared" si="11"/>
        <v>0.11084693029359385</v>
      </c>
      <c r="AL31" s="99"/>
    </row>
    <row r="32" spans="2:38" s="3" customFormat="1" ht="19.5" customHeight="1">
      <c r="G32" s="9">
        <f>+K32/J32</f>
        <v>0.89824821352213924</v>
      </c>
      <c r="H32" s="147" t="s">
        <v>42</v>
      </c>
      <c r="I32" s="148"/>
      <c r="J32" s="149">
        <f>SUM(J29:J31)</f>
        <v>620.83173849391164</v>
      </c>
      <c r="K32" s="153">
        <f>SUM(K29:K31)</f>
        <v>557.66100000000006</v>
      </c>
      <c r="L32" s="151">
        <f t="shared" si="1"/>
        <v>-63.170738493911585</v>
      </c>
      <c r="M32" s="151">
        <f>SUM(M29:M31)</f>
        <v>425.04099999999994</v>
      </c>
      <c r="N32" s="152">
        <f t="shared" si="3"/>
        <v>132.62000000000012</v>
      </c>
      <c r="O32" s="149">
        <f>SUM(O29:O31)</f>
        <v>12088.748996604802</v>
      </c>
      <c r="P32" s="153">
        <f>SUM(P29:P31)</f>
        <v>11222.52958</v>
      </c>
      <c r="Q32" s="151">
        <f t="shared" si="4"/>
        <v>-866.21941660480115</v>
      </c>
      <c r="R32" s="151">
        <f>SUM(R29:R31)</f>
        <v>8158.6193999999987</v>
      </c>
      <c r="S32" s="152">
        <f t="shared" si="5"/>
        <v>3063.9101800000017</v>
      </c>
      <c r="T32" s="149">
        <f>SUM(T29:T31)</f>
        <v>745.31129624725156</v>
      </c>
      <c r="U32" s="153">
        <f>SUM(U29:U31)</f>
        <v>609.96158296958879</v>
      </c>
      <c r="V32" s="151">
        <f t="shared" si="6"/>
        <v>-135.34971327766277</v>
      </c>
      <c r="W32" s="151">
        <f>SUM(W29:W31)</f>
        <v>515.50173001000007</v>
      </c>
      <c r="X32" s="152">
        <f t="shared" si="7"/>
        <v>94.459852959588716</v>
      </c>
      <c r="Y32" s="587" t="s">
        <v>221</v>
      </c>
      <c r="Z32" s="588"/>
      <c r="AA32" s="588"/>
      <c r="AB32" s="588"/>
      <c r="AC32" s="588"/>
      <c r="AD32" s="588"/>
      <c r="AE32" s="588"/>
      <c r="AF32" s="588"/>
      <c r="AG32" s="51"/>
      <c r="AH32" s="27"/>
      <c r="AI32" s="785">
        <f>SUM(AI29:AI31)</f>
        <v>7.4531129624725159</v>
      </c>
      <c r="AJ32" s="785">
        <f t="shared" ref="AJ32:AK32" si="13">SUM(AJ29:AJ31)</f>
        <v>6.0996158296958871</v>
      </c>
      <c r="AK32" s="785">
        <f t="shared" si="13"/>
        <v>-1.3534971327766283</v>
      </c>
    </row>
    <row r="33" spans="2:39" s="8" customFormat="1" ht="19.5" customHeight="1">
      <c r="B33" s="8" t="s">
        <v>198</v>
      </c>
      <c r="C33" s="8" t="s">
        <v>197</v>
      </c>
      <c r="D33" t="s">
        <v>196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635.88000000000011</v>
      </c>
      <c r="P33" s="47">
        <f>+'사업장별(당월)'!P33+'[4]사업장별(누계)'!P33</f>
        <v>635.88000000000011</v>
      </c>
      <c r="Q33" s="49">
        <f t="shared" si="4"/>
        <v>0</v>
      </c>
      <c r="R33" s="48">
        <f>+'사업장별(당월)'!R33+'[4]사업장별(누계)'!R33</f>
        <v>567.13000000000011</v>
      </c>
      <c r="S33" s="60">
        <f t="shared" si="5"/>
        <v>68.75</v>
      </c>
      <c r="T33" s="46">
        <f>+'사업장별(당월)'!T33+'[4]사업장별(누계)'!T33</f>
        <v>450.26761099999999</v>
      </c>
      <c r="U33" s="47">
        <f>+'사업장별(당월)'!U33+'[4]사업장별(누계)'!U33</f>
        <v>408.82548199999997</v>
      </c>
      <c r="V33" s="49">
        <f t="shared" si="6"/>
        <v>-41.442129000000023</v>
      </c>
      <c r="W33" s="48">
        <f>+'사업장별(당월)'!W33+'[4]사업장별(누계)'!W33</f>
        <v>372.61373800000001</v>
      </c>
      <c r="X33" s="60">
        <f t="shared" si="7"/>
        <v>36.211743999999953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9" s="8" customFormat="1" ht="19.5" customHeight="1">
      <c r="B34" s="8" t="s">
        <v>199</v>
      </c>
      <c r="C34" s="8" t="s">
        <v>200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14">+K34-M34</f>
        <v>0</v>
      </c>
      <c r="O34" s="46">
        <f>+'사업장별(당월)'!O34+'[4]사업장별(누계)'!O34</f>
        <v>506.08250233333337</v>
      </c>
      <c r="P34" s="47">
        <f>+'사업장별(당월)'!P34+'[4]사업장별(누계)'!P34</f>
        <v>509.29553299999998</v>
      </c>
      <c r="Q34" s="49">
        <f>+P34-O34</f>
        <v>3.2130306666666115</v>
      </c>
      <c r="R34" s="48">
        <f>+'사업장별(당월)'!R34+'[4]사업장별(누계)'!R34</f>
        <v>662.85308000000009</v>
      </c>
      <c r="S34" s="60">
        <f t="shared" si="5"/>
        <v>-153.55754700000011</v>
      </c>
      <c r="T34" s="46">
        <f>+'사업장별(당월)'!T34+'[4]사업장별(누계)'!T34</f>
        <v>459.45913833333327</v>
      </c>
      <c r="U34" s="47">
        <f>+'사업장별(당월)'!U34+'[4]사업장별(누계)'!U34</f>
        <v>463.70790499999998</v>
      </c>
      <c r="V34" s="49">
        <f t="shared" si="6"/>
        <v>4.248766666666711</v>
      </c>
      <c r="W34" s="48">
        <f>+'사업장별(당월)'!W34+'[4]사업장별(누계)'!W34</f>
        <v>430.29821800000002</v>
      </c>
      <c r="X34" s="60">
        <f t="shared" si="7"/>
        <v>33.409686999999963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  <c r="AM34" s="8">
        <v>16</v>
      </c>
    </row>
    <row r="35" spans="2:39" s="8" customFormat="1" ht="19.5" customHeight="1">
      <c r="B35" s="8" t="s">
        <v>201</v>
      </c>
      <c r="D35"/>
      <c r="E35"/>
      <c r="F35"/>
      <c r="G35" t="s">
        <v>229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4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15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-10226.758739892994</v>
      </c>
      <c r="U35" s="47">
        <f>+'사업장별(당월)'!U35+'[4]사업장별(누계)'!U35</f>
        <v>-10390.771730975446</v>
      </c>
      <c r="V35" s="49">
        <f t="shared" si="6"/>
        <v>-164.01299108245257</v>
      </c>
      <c r="W35" s="48">
        <f>+'사업장별(당월)'!W35+'[4]사업장별(누계)'!W35</f>
        <v>-8166.0362049999994</v>
      </c>
      <c r="X35" s="60">
        <f t="shared" si="7"/>
        <v>-2224.7355259754468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K35" s="597"/>
      <c r="AL35" s="99"/>
      <c r="AM35" s="8">
        <v>1</v>
      </c>
    </row>
    <row r="36" spans="2:39" s="8" customFormat="1" ht="19.5" customHeight="1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14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15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0</v>
      </c>
      <c r="V36" s="49">
        <f t="shared" si="6"/>
        <v>-1329.7</v>
      </c>
      <c r="W36" s="48">
        <f>+'사업장별(당월)'!W36+'[4]사업장별(누계)'!W36</f>
        <v>0</v>
      </c>
      <c r="X36" s="60">
        <f t="shared" si="7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  <c r="AM36" s="8">
        <f>SUM(AM34:AM35)</f>
        <v>17</v>
      </c>
    </row>
    <row r="37" spans="2:39" s="8" customFormat="1" ht="19.5" customHeight="1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14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15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-975.50771499999996</v>
      </c>
      <c r="V37" s="49">
        <f t="shared" si="6"/>
        <v>-975.50771499999996</v>
      </c>
      <c r="W37" s="48">
        <f>+'사업장별(당월)'!W37+'[4]사업장별(누계)'!W37</f>
        <v>-1247.069137</v>
      </c>
      <c r="X37" s="60">
        <f t="shared" si="7"/>
        <v>271.56142199999999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9" s="8" customFormat="1" ht="19.5" customHeight="1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14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15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-232.51098211121746</v>
      </c>
      <c r="U38" s="47">
        <f>+'사업장별(당월)'!U38+'[4]사업장별(누계)'!U38</f>
        <v>-295.37435299999999</v>
      </c>
      <c r="V38" s="49">
        <f t="shared" si="6"/>
        <v>-62.863370888782526</v>
      </c>
      <c r="W38" s="48">
        <f>+'사업장별(당월)'!W38+'[4]사업장별(누계)'!W38</f>
        <v>-65.787813</v>
      </c>
      <c r="X38" s="60">
        <f>+U38-W38</f>
        <v>-229.58653999999999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9" s="8" customFormat="1" ht="19.5" customHeight="1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4"/>
        <v>0</v>
      </c>
      <c r="O39" s="46">
        <f>+'사업장별(당월)'!O39+'[4]사업장별(누계)'!O39</f>
        <v>12.389999999999999</v>
      </c>
      <c r="P39" s="47">
        <f>+'사업장별(당월)'!P39+'[4]사업장별(누계)'!P39</f>
        <v>12.033799999997022</v>
      </c>
      <c r="Q39" s="55">
        <f t="shared" si="15"/>
        <v>-0.35620000000297658</v>
      </c>
      <c r="R39" s="61">
        <f>+'사업장별(당월)'!R39+'[4]사업장별(누계)'!R39</f>
        <v>-21.818099999994043</v>
      </c>
      <c r="S39" s="62">
        <f t="shared" si="5"/>
        <v>33.851899999991062</v>
      </c>
      <c r="T39" s="46">
        <f>+'사업장별(당월)'!T39+'[4]사업장별(누계)'!T39</f>
        <v>-405.99409800000501</v>
      </c>
      <c r="U39" s="47">
        <f>+'사업장별(당월)'!U39+'[4]사업장별(누계)'!U39</f>
        <v>-176.42086200001091</v>
      </c>
      <c r="V39" s="49">
        <f t="shared" si="6"/>
        <v>229.5732359999941</v>
      </c>
      <c r="W39" s="61">
        <f>+'사업장별(당월)'!W39+'[4]사업장별(누계)'!W39</f>
        <v>-177.01908899999319</v>
      </c>
      <c r="X39" s="60">
        <f t="shared" si="7"/>
        <v>0.59822699998227336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>
        <v>118774940</v>
      </c>
      <c r="AJ39" s="8">
        <v>-63907430</v>
      </c>
    </row>
    <row r="40" spans="2:39" s="8" customFormat="1" ht="19.5" customHeight="1">
      <c r="H40" s="87"/>
      <c r="I40" s="88"/>
      <c r="J40" s="46"/>
      <c r="K40" s="47"/>
      <c r="L40" s="55"/>
      <c r="M40" s="61"/>
      <c r="N40" s="62">
        <f t="shared" si="14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15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788"/>
      <c r="Z40" s="588"/>
      <c r="AA40" s="588"/>
      <c r="AB40" s="588"/>
      <c r="AC40" s="588"/>
      <c r="AD40" s="588"/>
      <c r="AE40" s="588"/>
      <c r="AF40" s="588"/>
      <c r="AG40" s="51"/>
      <c r="AH40" s="31"/>
      <c r="AI40" s="8">
        <v>173503008</v>
      </c>
      <c r="AJ40" s="8">
        <v>-310726527</v>
      </c>
    </row>
    <row r="41" spans="2:39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14"/>
        <v>0</v>
      </c>
      <c r="O41" s="149">
        <f>SUM(O33:O40)</f>
        <v>1154.3525023333336</v>
      </c>
      <c r="P41" s="150">
        <f>SUM(P33:P40)</f>
        <v>1157.2093329999971</v>
      </c>
      <c r="Q41" s="154">
        <f t="shared" si="4"/>
        <v>2.8568306666634271</v>
      </c>
      <c r="R41" s="155">
        <f>SUM(R33:R40)</f>
        <v>1396.7909800000061</v>
      </c>
      <c r="S41" s="156">
        <f>+P41-R41</f>
        <v>-239.58164700000907</v>
      </c>
      <c r="T41" s="149">
        <f>SUM(T33:T40)</f>
        <v>-8625.8370706708829</v>
      </c>
      <c r="U41" s="150">
        <f>SUM(U33:U40)</f>
        <v>-10965.541273975457</v>
      </c>
      <c r="V41" s="154">
        <f>+U41-T41</f>
        <v>-2339.7042033045745</v>
      </c>
      <c r="W41" s="155">
        <f>SUM(W33:W40)</f>
        <v>-8853.0002879999938</v>
      </c>
      <c r="X41" s="156">
        <f>+U41-W41</f>
        <v>-2112.5409859754636</v>
      </c>
      <c r="Y41" s="789"/>
      <c r="Z41" s="590"/>
      <c r="AA41" s="590"/>
      <c r="AB41" s="590"/>
      <c r="AC41" s="590"/>
      <c r="AD41" s="590"/>
      <c r="AE41" s="590"/>
      <c r="AF41" s="590"/>
      <c r="AG41" s="591"/>
      <c r="AH41" s="26"/>
      <c r="AI41" s="3">
        <v>786272300</v>
      </c>
    </row>
    <row r="42" spans="2:39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>
      <c r="G43" s="665">
        <f>+P43/O43</f>
        <v>1.0210693777694393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273709.33530151029</v>
      </c>
      <c r="P43" s="643">
        <f>+P27+P32+P28+P41</f>
        <v>279476.22068599996</v>
      </c>
      <c r="Q43" s="644">
        <f t="shared" si="4"/>
        <v>5766.8853844896657</v>
      </c>
      <c r="R43" s="645">
        <f>+R27+R32+R28+R41</f>
        <v>294001.39104199997</v>
      </c>
      <c r="S43" s="646">
        <f>+P43-R43</f>
        <v>-14525.170356000017</v>
      </c>
      <c r="T43" s="642">
        <f>+T27+T32+T28+T41</f>
        <v>20520.370906630094</v>
      </c>
      <c r="U43" s="643">
        <f>+U27+U32+U28+U41</f>
        <v>13666.832747994129</v>
      </c>
      <c r="V43" s="644">
        <f>+U43-T43</f>
        <v>-6853.5381586359654</v>
      </c>
      <c r="W43" s="645">
        <f>+W27+W32+W28+W41</f>
        <v>26520.131249000005</v>
      </c>
      <c r="X43" s="646">
        <f>+U43-W43</f>
        <v>-12853.298501005876</v>
      </c>
      <c r="Y43" s="827"/>
      <c r="Z43" s="828"/>
      <c r="AA43" s="828"/>
      <c r="AB43" s="828"/>
      <c r="AC43" s="828"/>
      <c r="AD43" s="828"/>
      <c r="AE43" s="828"/>
      <c r="AF43" s="828"/>
      <c r="AG43" s="829"/>
      <c r="AH43" s="26"/>
      <c r="AI43" s="787">
        <f>SUM(AI39:AI42)</f>
        <v>1173607738</v>
      </c>
      <c r="AJ43" s="3">
        <f>SUM(AJ39:AJ42)</f>
        <v>-374633957</v>
      </c>
      <c r="AK43" s="787">
        <f>SUM(AI43:AJ43)</f>
        <v>798973781</v>
      </c>
    </row>
    <row r="44" spans="2:39" s="34" customFormat="1">
      <c r="G44" s="662">
        <f>+U43/T43</f>
        <v>0.66601294928730559</v>
      </c>
      <c r="P44" s="662">
        <f>+P43/O43</f>
        <v>1.0210693777694393</v>
      </c>
      <c r="T44" s="790">
        <f>+T43/O43</f>
        <v>7.4971395783872144E-2</v>
      </c>
      <c r="U44" s="790">
        <f>+U43/P43</f>
        <v>4.8901594255309586E-2</v>
      </c>
      <c r="AC44" s="35"/>
      <c r="AF44" s="35"/>
    </row>
    <row r="45" spans="2:39" s="34" customFormat="1" ht="17.25" thickBot="1">
      <c r="AC45" s="35"/>
      <c r="AF45" s="35"/>
    </row>
    <row r="46" spans="2:39" s="34" customFormat="1">
      <c r="I46" s="824" t="s">
        <v>101</v>
      </c>
      <c r="J46" s="139">
        <f>+'사업장별(당월)'!J46+'[4]사업장별(누계)'!J46</f>
        <v>1976.5</v>
      </c>
      <c r="K46" s="140">
        <f>+'사업장별(당월)'!K46+'[4]사업장별(누계)'!K46</f>
        <v>2034.9061999999999</v>
      </c>
      <c r="L46" s="140"/>
      <c r="M46" s="140">
        <f>+'사업장별(당월)'!M46+'[4]사업장별(누계)'!M46</f>
        <v>2262.89</v>
      </c>
      <c r="N46" s="140"/>
      <c r="O46" s="140">
        <f>+'사업장별(당월)'!O46+'[4]사업장별(누계)'!O46</f>
        <v>273709.33530151023</v>
      </c>
      <c r="P46" s="140">
        <f>+'사업장별(당월)'!P46+'[4]사업장별(누계)'!P46</f>
        <v>279476.22068599996</v>
      </c>
      <c r="Q46" s="140"/>
      <c r="R46" s="140">
        <f>+'사업장별(당월)'!R46+'[4]사업장별(누계)'!R46</f>
        <v>294001.39104200003</v>
      </c>
      <c r="S46" s="140"/>
      <c r="T46" s="145">
        <f>+'사업장별(당월)'!T46+'[4]사업장별(누계)'!T46</f>
        <v>20520.370906630073</v>
      </c>
      <c r="U46" s="140">
        <f>+'사업장별(당월)'!U46+'[4]사업장별(누계)'!U46</f>
        <v>13666.832747994125</v>
      </c>
      <c r="V46" s="140"/>
      <c r="W46" s="140">
        <f>+'사업장별(당월)'!W46+'[4]사업장별(누계)'!W46</f>
        <v>26520.131249000009</v>
      </c>
      <c r="X46" s="141"/>
      <c r="AC46" s="35"/>
      <c r="AF46" s="35"/>
    </row>
    <row r="47" spans="2:39" s="34" customFormat="1" ht="17.25" thickBot="1">
      <c r="I47" s="824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Z47" s="34" t="s">
        <v>217</v>
      </c>
      <c r="AC47" s="35"/>
      <c r="AF47" s="35"/>
      <c r="AG47" s="34" t="s">
        <v>102</v>
      </c>
    </row>
    <row r="48" spans="2:39">
      <c r="T48" s="659"/>
      <c r="U48" s="659"/>
      <c r="V48" s="659"/>
      <c r="Z48" t="s">
        <v>218</v>
      </c>
    </row>
    <row r="49" spans="10:33">
      <c r="T49" s="659"/>
      <c r="U49" s="659"/>
      <c r="V49" s="659"/>
      <c r="Z49" t="s">
        <v>219</v>
      </c>
    </row>
    <row r="50" spans="10:33">
      <c r="T50" s="599">
        <f>(+T27+T35)/100</f>
        <v>175.27126992592301</v>
      </c>
      <c r="U50" s="599">
        <f>(+U27+U35)/100</f>
        <v>132.5608788902455</v>
      </c>
      <c r="V50" s="599">
        <f>+U50-T50</f>
        <v>-42.710391035677503</v>
      </c>
    </row>
    <row r="51" spans="10:33">
      <c r="T51" s="6">
        <f>+T28/100</f>
        <v>6.4701094856843113</v>
      </c>
      <c r="U51" s="6">
        <f>+U28/100</f>
        <v>3.755528190000001</v>
      </c>
      <c r="V51" s="599">
        <f t="shared" ref="V51:V54" si="16">+U51-T51</f>
        <v>-2.7145812956843103</v>
      </c>
    </row>
    <row r="52" spans="10:33">
      <c r="T52" s="6">
        <f>+T32/100</f>
        <v>7.4531129624725159</v>
      </c>
      <c r="U52" s="6">
        <f>+U32/100</f>
        <v>6.099615829695888</v>
      </c>
      <c r="V52" s="599">
        <f t="shared" si="16"/>
        <v>-1.3534971327766279</v>
      </c>
    </row>
    <row r="53" spans="10:33">
      <c r="T53" s="6">
        <f>(T33+T34)/100</f>
        <v>9.097267493333332</v>
      </c>
      <c r="U53" s="6">
        <f>(U33+U34)/100</f>
        <v>8.72533387</v>
      </c>
      <c r="V53" s="599">
        <f t="shared" si="16"/>
        <v>-0.37193362333333191</v>
      </c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>
        <f>(T46/100)-T50-T51-T52-T53</f>
        <v>6.9119491988875499</v>
      </c>
      <c r="U54" s="599">
        <f>(U46/100)-U50-U51-U52-U53</f>
        <v>-14.473029300000153</v>
      </c>
      <c r="V54" s="599">
        <f t="shared" si="16"/>
        <v>-21.384978498887705</v>
      </c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 t="s">
        <v>216</v>
      </c>
      <c r="T56" s="659">
        <f>+(T33+T34)/100</f>
        <v>9.097267493333332</v>
      </c>
      <c r="U56" s="659">
        <f>+(U33+U34)/100</f>
        <v>8.72533387</v>
      </c>
      <c r="V56" s="599">
        <f>+U56-T56</f>
        <v>-0.37193362333333191</v>
      </c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 t="str">
        <f>+I36</f>
        <v>OPC 소급분</v>
      </c>
      <c r="T57" s="599">
        <f>+T36/100</f>
        <v>13.297000000000001</v>
      </c>
      <c r="U57" s="599">
        <f>+U36/100</f>
        <v>0</v>
      </c>
      <c r="V57" s="599">
        <f>+U57-T57</f>
        <v>-13.297000000000001</v>
      </c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  <row r="58" spans="10:33">
      <c r="S58" s="599" t="str">
        <f t="shared" ref="S58:S60" si="17">+I37</f>
        <v>대손</v>
      </c>
      <c r="T58" s="599">
        <f t="shared" ref="T58:U58" si="18">+T37/100</f>
        <v>0</v>
      </c>
      <c r="U58" s="599">
        <f t="shared" si="18"/>
        <v>-9.75507715</v>
      </c>
      <c r="V58" s="599">
        <f t="shared" ref="V58:V60" si="19">+U58-T58</f>
        <v>-9.75507715</v>
      </c>
    </row>
    <row r="59" spans="10:33">
      <c r="S59" s="599" t="str">
        <f t="shared" si="17"/>
        <v>미운영 공장</v>
      </c>
      <c r="T59" s="599">
        <f t="shared" ref="T59:U59" si="20">+T38/100</f>
        <v>-2.3251098211121746</v>
      </c>
      <c r="U59" s="599">
        <f t="shared" si="20"/>
        <v>-2.9537435299999997</v>
      </c>
      <c r="V59" s="599">
        <f t="shared" si="19"/>
        <v>-0.6286337088878251</v>
      </c>
    </row>
    <row r="60" spans="10:33">
      <c r="S60" s="599" t="str">
        <f t="shared" si="17"/>
        <v>기타</v>
      </c>
      <c r="T60" s="599">
        <f t="shared" ref="T60:U60" si="21">+T39/100</f>
        <v>-4.0599409800000501</v>
      </c>
      <c r="U60" s="599">
        <f t="shared" si="21"/>
        <v>-1.764208620000109</v>
      </c>
      <c r="V60" s="599">
        <f t="shared" si="19"/>
        <v>2.2957323599999411</v>
      </c>
    </row>
    <row r="61" spans="10:33">
      <c r="T61" s="6">
        <f>SUM(T56:T60)</f>
        <v>16.009216692221106</v>
      </c>
      <c r="U61" s="6">
        <f t="shared" ref="U61:V61" si="22">SUM(U56:U60)</f>
        <v>-5.7476954300001086</v>
      </c>
      <c r="V61" s="6">
        <f t="shared" si="22"/>
        <v>-21.756912122221216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/>
    <row r="2" spans="4:26" ht="9.9499999999999993" hidden="1" customHeight="1"/>
    <row r="3" spans="4:26" ht="9.9499999999999993" customHeight="1"/>
    <row r="4" spans="4:26" ht="31.5">
      <c r="D4" s="184" t="s">
        <v>238</v>
      </c>
      <c r="F4" s="184"/>
      <c r="I4" s="184"/>
      <c r="J4" s="184"/>
    </row>
    <row r="5" spans="4:26" ht="21.95" customHeight="1">
      <c r="W5" s="186" t="s">
        <v>149</v>
      </c>
    </row>
    <row r="6" spans="4:26" ht="24" customHeight="1" thickBot="1">
      <c r="D6" s="830" t="s">
        <v>11</v>
      </c>
      <c r="E6" s="439" t="s">
        <v>143</v>
      </c>
      <c r="F6" s="440"/>
      <c r="G6" s="441"/>
      <c r="H6" s="439" t="s">
        <v>144</v>
      </c>
      <c r="I6" s="440"/>
      <c r="J6" s="440"/>
      <c r="K6" s="441"/>
      <c r="L6" s="439" t="s">
        <v>145</v>
      </c>
      <c r="M6" s="440"/>
      <c r="N6" s="440"/>
      <c r="O6" s="441"/>
      <c r="P6" s="439" t="s">
        <v>146</v>
      </c>
      <c r="Q6" s="440"/>
      <c r="R6" s="440"/>
      <c r="S6" s="441"/>
      <c r="T6" s="439" t="s">
        <v>147</v>
      </c>
      <c r="U6" s="440"/>
      <c r="V6" s="440"/>
      <c r="W6" s="441"/>
    </row>
    <row r="7" spans="4:26" ht="24" customHeight="1">
      <c r="D7" s="831"/>
      <c r="E7" s="442" t="s">
        <v>12</v>
      </c>
      <c r="F7" s="443" t="s">
        <v>13</v>
      </c>
      <c r="G7" s="444" t="s">
        <v>37</v>
      </c>
      <c r="H7" s="442" t="s">
        <v>15</v>
      </c>
      <c r="I7" s="443" t="s">
        <v>16</v>
      </c>
      <c r="J7" s="445" t="s">
        <v>37</v>
      </c>
      <c r="K7" s="446" t="s">
        <v>148</v>
      </c>
      <c r="L7" s="442" t="s">
        <v>15</v>
      </c>
      <c r="M7" s="443" t="s">
        <v>16</v>
      </c>
      <c r="N7" s="445" t="s">
        <v>37</v>
      </c>
      <c r="O7" s="446" t="s">
        <v>148</v>
      </c>
      <c r="P7" s="442" t="s">
        <v>15</v>
      </c>
      <c r="Q7" s="443" t="s">
        <v>16</v>
      </c>
      <c r="R7" s="445" t="s">
        <v>37</v>
      </c>
      <c r="S7" s="446" t="s">
        <v>148</v>
      </c>
      <c r="T7" s="442" t="s">
        <v>15</v>
      </c>
      <c r="U7" s="443" t="s">
        <v>16</v>
      </c>
      <c r="V7" s="445" t="s">
        <v>37</v>
      </c>
      <c r="W7" s="446" t="s">
        <v>148</v>
      </c>
    </row>
    <row r="8" spans="4:26" ht="24" customHeight="1">
      <c r="D8" s="470" t="s">
        <v>41</v>
      </c>
      <c r="E8" s="460">
        <f>+[5]합계!$H$86/1000</f>
        <v>4706.4199290841989</v>
      </c>
      <c r="F8" s="462">
        <f>+[5]합계!$I$86/1000</f>
        <v>2724.9975230000064</v>
      </c>
      <c r="G8" s="461">
        <f>+F8-E8</f>
        <v>-1981.4224060841925</v>
      </c>
      <c r="H8" s="460">
        <f>+[5]합계!$T$5/1000</f>
        <v>294.5</v>
      </c>
      <c r="I8" s="462">
        <f>+[5]합계!$U$5/1000</f>
        <v>256.65750000000003</v>
      </c>
      <c r="J8" s="461">
        <f>+I8-H8</f>
        <v>-37.842499999999973</v>
      </c>
      <c r="K8" s="464">
        <f>+[5]합계!$M$86/1000</f>
        <v>-742.66461014988784</v>
      </c>
      <c r="L8" s="460">
        <f>+[5]합계!$Q$85</f>
        <v>102325.33643930384</v>
      </c>
      <c r="M8" s="462">
        <f>+[5]합계!$R$85</f>
        <v>101862.35624803558</v>
      </c>
      <c r="N8" s="461">
        <f>+M8-L8</f>
        <v>-462.98019126825966</v>
      </c>
      <c r="O8" s="464">
        <f>+[5]합계!$K$86/1000</f>
        <v>-118.57686615695722</v>
      </c>
      <c r="P8" s="460">
        <f>+[5]합계!$Q$50</f>
        <v>82963.560906851373</v>
      </c>
      <c r="Q8" s="462">
        <f>+[5]합계!$R$50</f>
        <v>87148.134619744567</v>
      </c>
      <c r="R8" s="461">
        <f>+Q8-P8</f>
        <v>4184.5737128931942</v>
      </c>
      <c r="S8" s="464">
        <f>+[5]합계!$L$56/1000</f>
        <v>-1042.372430230392</v>
      </c>
      <c r="T8" s="460">
        <f>+([5]합계!$H$80+[5]합계!$H$85)/1000</f>
        <v>995.62296522304598</v>
      </c>
      <c r="U8" s="462">
        <f>+([5]합계!$I$80+[5]합계!$I$85)/1000</f>
        <v>1073.43146477</v>
      </c>
      <c r="V8" s="461">
        <f>+U8-T8</f>
        <v>77.808499546954067</v>
      </c>
      <c r="W8" s="469">
        <f>+([5]합계!$L$80+[5]합계!$L$85)/1000</f>
        <v>-77.808499546953911</v>
      </c>
      <c r="Y8" s="6">
        <f>+G8-K8-O8-S8-W8</f>
        <v>-1.6342482922482304E-12</v>
      </c>
      <c r="Z8" s="6">
        <f>+Y8*1000000</f>
        <v>-1.6342482922482304E-6</v>
      </c>
    </row>
    <row r="9" spans="4:26" ht="24" customHeight="1">
      <c r="D9" s="471" t="s">
        <v>19</v>
      </c>
      <c r="E9" s="465">
        <f>+[5]수도권!$H$86/1000</f>
        <v>1688.00930320619</v>
      </c>
      <c r="F9" s="479">
        <f>+[5]수도권!$I$86/1000</f>
        <v>662.28353900000081</v>
      </c>
      <c r="G9" s="466">
        <f t="shared" ref="G9:G28" si="0">+F9-E9</f>
        <v>-1025.7257642061891</v>
      </c>
      <c r="H9" s="465">
        <f>+[5]수도권!$T$5/1000</f>
        <v>115.5</v>
      </c>
      <c r="I9" s="479">
        <f>+[5]수도권!$U$5/1000</f>
        <v>89.347999999999999</v>
      </c>
      <c r="J9" s="466">
        <f t="shared" ref="J9:J28" si="1">+I9-H9</f>
        <v>-26.152000000000001</v>
      </c>
      <c r="K9" s="482">
        <f>+[5]수도권!$M$86/1000</f>
        <v>-460.1488186630346</v>
      </c>
      <c r="L9" s="465">
        <f>+[5]수도권!$Q$85</f>
        <v>100367.82722402584</v>
      </c>
      <c r="M9" s="479">
        <f>+[5]수도권!$R$85</f>
        <v>98771.936466854982</v>
      </c>
      <c r="N9" s="466">
        <f t="shared" ref="N9:N28" si="2">+M9-L9</f>
        <v>-1595.8907571708551</v>
      </c>
      <c r="O9" s="482">
        <f>+[5]수도권!$K$86/1000</f>
        <v>-141.82202391750238</v>
      </c>
      <c r="P9" s="465">
        <f>+[5]수도권!$Q$50</f>
        <v>83071.355941668065</v>
      </c>
      <c r="Q9" s="479">
        <f>+[5]수도권!$R$50</f>
        <v>87817.289247178749</v>
      </c>
      <c r="R9" s="466">
        <f t="shared" ref="R9:R28" si="3">+Q9-P9</f>
        <v>4745.9333055106836</v>
      </c>
      <c r="S9" s="482">
        <f>+[5]수도권!$L$56/1000</f>
        <v>-421.73977614178472</v>
      </c>
      <c r="T9" s="465">
        <f>+([5]수도권!$H$80+[5]수도권!$H$85)/1000</f>
        <v>309.73312990613334</v>
      </c>
      <c r="U9" s="479">
        <f>+([5]수도권!$I$80+[5]수도권!$I$85)/1000</f>
        <v>311.74827539</v>
      </c>
      <c r="V9" s="466">
        <f t="shared" ref="V9:V28" si="4">+U9-T9</f>
        <v>2.0151454838666609</v>
      </c>
      <c r="W9" s="482">
        <f>+([5]수도권!$L$80+[5]수도권!$L$85)/1000</f>
        <v>-2.0151454838666578</v>
      </c>
      <c r="Y9" s="6">
        <f t="shared" ref="Y9:Y28" si="5">+G9-K9-O9-S9-W9</f>
        <v>-6.8522965079864662E-13</v>
      </c>
      <c r="Z9" s="6">
        <f t="shared" ref="Z9:Z28" si="6">+Y9*1000000</f>
        <v>-6.8522965079864662E-7</v>
      </c>
    </row>
    <row r="10" spans="4:26" ht="24" customHeight="1">
      <c r="D10" s="472" t="s">
        <v>20</v>
      </c>
      <c r="E10" s="467">
        <f>+[5]영남권!$H$86/1000</f>
        <v>2067.5692065034023</v>
      </c>
      <c r="F10" s="480">
        <f>+[5]영남권!$I$86/1000</f>
        <v>1231.8380210000012</v>
      </c>
      <c r="G10" s="477">
        <f t="shared" si="0"/>
        <v>-835.73118550340109</v>
      </c>
      <c r="H10" s="467">
        <f>+[5]영남권!$T$5/1000</f>
        <v>127</v>
      </c>
      <c r="I10" s="480">
        <f>+[5]영남권!$U$5/1000</f>
        <v>118.756</v>
      </c>
      <c r="J10" s="477">
        <f t="shared" si="1"/>
        <v>-8.2439999999999998</v>
      </c>
      <c r="K10" s="483">
        <f>+[5]영남권!$M$86/1000</f>
        <v>-168.09393995648796</v>
      </c>
      <c r="L10" s="467">
        <f>+[5]영남권!$Q$85</f>
        <v>102558.70683464568</v>
      </c>
      <c r="M10" s="480">
        <f>+[5]영남권!$R$85</f>
        <v>102226.31902507246</v>
      </c>
      <c r="N10" s="477">
        <f t="shared" si="2"/>
        <v>-332.3878095732216</v>
      </c>
      <c r="O10" s="483">
        <f>+[5]영남권!$K$86/1000</f>
        <v>-39.45310344510311</v>
      </c>
      <c r="P10" s="467">
        <f>+[5]영남권!$Q$50</f>
        <v>82316.18034662932</v>
      </c>
      <c r="Q10" s="480">
        <f>+[5]영남권!$R$50</f>
        <v>87334.564662827179</v>
      </c>
      <c r="R10" s="477">
        <f t="shared" si="3"/>
        <v>5018.3843161978584</v>
      </c>
      <c r="S10" s="483">
        <f>+[5]영남권!$L$56/1000</f>
        <v>-566.54242121648667</v>
      </c>
      <c r="T10" s="467">
        <f>+([5]영남권!$H$80+[5]영남권!$H$85)/1000</f>
        <v>503.23165747467624</v>
      </c>
      <c r="U10" s="480">
        <f>+([5]영남권!$I$80+[5]영남권!$I$85)/1000</f>
        <v>564.87337835999995</v>
      </c>
      <c r="V10" s="477">
        <f t="shared" si="4"/>
        <v>61.641720885323707</v>
      </c>
      <c r="W10" s="483">
        <f>+([5]영남권!$L$80+[5]영남권!$L$85)/1000</f>
        <v>-61.641720885323714</v>
      </c>
      <c r="Y10" s="6">
        <f t="shared" si="5"/>
        <v>3.4816594052244909E-13</v>
      </c>
      <c r="Z10" s="6">
        <f t="shared" si="6"/>
        <v>3.4816594052244909E-7</v>
      </c>
    </row>
    <row r="11" spans="4:26" ht="24" customHeight="1">
      <c r="D11" s="473" t="s">
        <v>57</v>
      </c>
      <c r="E11" s="468">
        <f>+[5]중부권!$H$86/1000</f>
        <v>950.84141937461288</v>
      </c>
      <c r="F11" s="481">
        <f>+[5]중부권!$I$86/1000</f>
        <v>830.87596299999939</v>
      </c>
      <c r="G11" s="478">
        <f t="shared" si="0"/>
        <v>-119.9654563746135</v>
      </c>
      <c r="H11" s="468">
        <f>+[5]중부권!$T$5/1000</f>
        <v>52</v>
      </c>
      <c r="I11" s="481">
        <f>+[5]중부권!$U$5/1000</f>
        <v>48.5535</v>
      </c>
      <c r="J11" s="478">
        <f t="shared" si="1"/>
        <v>-3.4465000000000003</v>
      </c>
      <c r="K11" s="484">
        <f>+[5]중부권!$M$86/1000</f>
        <v>-75.127045419382171</v>
      </c>
      <c r="L11" s="468">
        <f>+[5]중부권!$Q$85</f>
        <v>106103.30324999998</v>
      </c>
      <c r="M11" s="481">
        <f>+[5]중부권!$R$85</f>
        <v>106628.96234051097</v>
      </c>
      <c r="N11" s="478">
        <f t="shared" si="2"/>
        <v>525.65909051099152</v>
      </c>
      <c r="O11" s="484">
        <f>+[5]중부권!$K$86/1000</f>
        <v>25.522588651125428</v>
      </c>
      <c r="P11" s="468">
        <f>+[5]중부권!$Q$50</f>
        <v>84305.234072752879</v>
      </c>
      <c r="Q11" s="481">
        <f>+[5]중부권!$R$50</f>
        <v>85463.862691291797</v>
      </c>
      <c r="R11" s="478">
        <f t="shared" si="3"/>
        <v>1158.6286185389181</v>
      </c>
      <c r="S11" s="484">
        <f>+[5]중부권!$L$56/1000</f>
        <v>-56.209366428593441</v>
      </c>
      <c r="T11" s="468">
        <f>+([5]중부권!$H$80+[5]중부권!$H$85)/1000</f>
        <v>182.65817784223634</v>
      </c>
      <c r="U11" s="481">
        <f>+([5]중부권!$I$80+[5]중부권!$I$85)/1000</f>
        <v>196.80981102000001</v>
      </c>
      <c r="V11" s="478">
        <f t="shared" si="4"/>
        <v>14.151633177763671</v>
      </c>
      <c r="W11" s="484">
        <f>+([5]중부권!$L$80+[5]중부권!$L$85)/1000</f>
        <v>-14.151633177763699</v>
      </c>
      <c r="Y11" s="6">
        <f t="shared" si="5"/>
        <v>3.836930773104541E-13</v>
      </c>
      <c r="Z11" s="6">
        <f t="shared" si="6"/>
        <v>3.836930773104541E-7</v>
      </c>
    </row>
    <row r="12" spans="4:26" ht="24" customHeight="1">
      <c r="D12" s="474" t="s">
        <v>22</v>
      </c>
      <c r="E12" s="447">
        <f>+[5]안양!$H$86/1000</f>
        <v>584.85548894326382</v>
      </c>
      <c r="F12" s="448">
        <f>+[5]안양!$I$86/1000</f>
        <v>258.59622999999982</v>
      </c>
      <c r="G12" s="449">
        <f t="shared" si="0"/>
        <v>-326.259258943264</v>
      </c>
      <c r="H12" s="447">
        <f>+[5]안양!$T$5/1000</f>
        <v>39</v>
      </c>
      <c r="I12" s="448">
        <f>+[5]안양!$U$5/1000</f>
        <v>30.154</v>
      </c>
      <c r="J12" s="450">
        <f t="shared" si="1"/>
        <v>-8.8460000000000001</v>
      </c>
      <c r="K12" s="74">
        <f>+[5]안양!$M$86/1000</f>
        <v>-154.27940007819083</v>
      </c>
      <c r="L12" s="447">
        <f>+[5]안양!$Q$85</f>
        <v>101178.97307692308</v>
      </c>
      <c r="M12" s="448">
        <f>+[5]안양!$R$85</f>
        <v>100611.30271274126</v>
      </c>
      <c r="N12" s="450">
        <f t="shared" si="2"/>
        <v>-567.67036418181669</v>
      </c>
      <c r="O12" s="74">
        <f>+[5]안양!$K$86/1000</f>
        <v>-17.117532161538499</v>
      </c>
      <c r="P12" s="447">
        <f>+[5]안양!$Q$50</f>
        <v>83738.389753591531</v>
      </c>
      <c r="Q12" s="448">
        <f>+[5]안양!$R$50</f>
        <v>88838.661736419701</v>
      </c>
      <c r="R12" s="450">
        <f t="shared" si="3"/>
        <v>5100.2719828281697</v>
      </c>
      <c r="S12" s="74">
        <f>+[5]안양!$L$56/1000</f>
        <v>-153.79360506020117</v>
      </c>
      <c r="T12" s="447">
        <f>+([5]안양!$H$80+[5]안양!$H$85)/1000</f>
        <v>95.32726066666666</v>
      </c>
      <c r="U12" s="448">
        <f>+([5]안양!$I$80+[5]안양!$I$85)/1000</f>
        <v>96.395982310000008</v>
      </c>
      <c r="V12" s="450">
        <f t="shared" si="4"/>
        <v>1.0687216433333475</v>
      </c>
      <c r="W12" s="74">
        <f>+([5]안양!$L$80+[5]안양!$L$85)/1000</f>
        <v>-1.068721643333348</v>
      </c>
      <c r="Y12" s="6">
        <f t="shared" si="5"/>
        <v>-1.5587531265737198E-13</v>
      </c>
      <c r="Z12" s="6">
        <f t="shared" si="6"/>
        <v>-1.5587531265737198E-7</v>
      </c>
    </row>
    <row r="13" spans="4:26" ht="24" customHeight="1">
      <c r="D13" s="475" t="s">
        <v>23</v>
      </c>
      <c r="E13" s="452">
        <f>+[5]인천!$H$86/1000</f>
        <v>480.5594318449206</v>
      </c>
      <c r="F13" s="453">
        <f>+[5]인천!$I$86/1000</f>
        <v>199.80018199999947</v>
      </c>
      <c r="G13" s="189">
        <f t="shared" si="0"/>
        <v>-280.7592498449211</v>
      </c>
      <c r="H13" s="452">
        <f>+[5]인천!$T$5/1000</f>
        <v>35</v>
      </c>
      <c r="I13" s="453">
        <f>+[5]인천!$U$5/1000</f>
        <v>25.908000000000001</v>
      </c>
      <c r="J13" s="165">
        <f t="shared" si="1"/>
        <v>-9.0919999999999987</v>
      </c>
      <c r="K13" s="454">
        <f>+[5]인천!$M$86/1000</f>
        <v>-150.51528235465673</v>
      </c>
      <c r="L13" s="452">
        <f>+[5]인천!$Q$85</f>
        <v>102422.48514285713</v>
      </c>
      <c r="M13" s="453">
        <f>+[5]인천!$R$85</f>
        <v>100279.70116099071</v>
      </c>
      <c r="N13" s="165">
        <f t="shared" si="2"/>
        <v>-2142.7839818664215</v>
      </c>
      <c r="O13" s="454">
        <f>+[5]인천!$K$86/1000</f>
        <v>-55.369538091428332</v>
      </c>
      <c r="P13" s="452">
        <f>+[5]인천!$Q$50</f>
        <v>85975.838597588925</v>
      </c>
      <c r="Q13" s="453">
        <f>+[5]인천!$R$50</f>
        <v>88914.304450464391</v>
      </c>
      <c r="R13" s="165">
        <f t="shared" si="3"/>
        <v>2938.4658528754662</v>
      </c>
      <c r="S13" s="454">
        <f>+[5]인천!$L$56/1000</f>
        <v>-75.929980918302718</v>
      </c>
      <c r="T13" s="452">
        <f>+([5]인천!$H$80+[5]인천!$H$85)/1000</f>
        <v>95.07319723946668</v>
      </c>
      <c r="U13" s="453">
        <f>+([5]인천!$I$80+[5]인천!$I$85)/1000</f>
        <v>94.017645720000004</v>
      </c>
      <c r="V13" s="165">
        <f t="shared" si="4"/>
        <v>-1.0555515194666754</v>
      </c>
      <c r="W13" s="454">
        <f>+([5]인천!$L$80+[5]인천!$L$85)/1000</f>
        <v>1.0555515194666811</v>
      </c>
      <c r="Y13" s="6">
        <f t="shared" si="5"/>
        <v>-5.773159728050814E-15</v>
      </c>
      <c r="Z13" s="6">
        <f t="shared" si="6"/>
        <v>-5.773159728050814E-9</v>
      </c>
    </row>
    <row r="14" spans="4:26" ht="24" customHeight="1">
      <c r="D14" s="475" t="s">
        <v>24</v>
      </c>
      <c r="E14" s="452">
        <f>+[5]파주!$H$86/1000</f>
        <v>327.18299301159095</v>
      </c>
      <c r="F14" s="453">
        <f>+[5]파주!$I$86/1000</f>
        <v>171.33400199999988</v>
      </c>
      <c r="G14" s="189">
        <f t="shared" si="0"/>
        <v>-155.84899101159107</v>
      </c>
      <c r="H14" s="452">
        <f>+[5]파주!$T$5/1000</f>
        <v>23</v>
      </c>
      <c r="I14" s="453">
        <f>+[5]파주!$U$5/1000</f>
        <v>24.724</v>
      </c>
      <c r="J14" s="165">
        <f t="shared" si="1"/>
        <v>1.7240000000000002</v>
      </c>
      <c r="K14" s="454">
        <f>+[5]파주!$M$86/1000</f>
        <v>23.078381998284456</v>
      </c>
      <c r="L14" s="452">
        <f>+[5]파주!$Q$85</f>
        <v>99223.418016303665</v>
      </c>
      <c r="M14" s="453">
        <f>+[5]파주!$R$85</f>
        <v>95898.500225956202</v>
      </c>
      <c r="N14" s="165">
        <f t="shared" si="2"/>
        <v>-3324.9177903474629</v>
      </c>
      <c r="O14" s="454">
        <f>+[5]파주!$K$86/1000</f>
        <v>-80.931823934847586</v>
      </c>
      <c r="P14" s="452">
        <f>+[5]파주!$Q$50</f>
        <v>82152.365817732076</v>
      </c>
      <c r="Q14" s="453">
        <f>+[5]파주!$R$50</f>
        <v>86075.743070668905</v>
      </c>
      <c r="R14" s="165">
        <f t="shared" si="3"/>
        <v>3923.3772529368289</v>
      </c>
      <c r="S14" s="454">
        <f>+[5]파주!$L$56/1000</f>
        <v>-95.460919910583357</v>
      </c>
      <c r="T14" s="452">
        <f>+([5]파주!$H$80+[5]파주!$H$85)/1000</f>
        <v>65.45120755555557</v>
      </c>
      <c r="U14" s="453">
        <f>+([5]파주!$I$80+[5]파주!$I$85)/1000</f>
        <v>67.985836720000009</v>
      </c>
      <c r="V14" s="165">
        <f t="shared" si="4"/>
        <v>2.5346291644444392</v>
      </c>
      <c r="W14" s="454">
        <f>+([5]파주!$L$80+[5]파주!$L$85)/1000</f>
        <v>-2.5346291644444419</v>
      </c>
      <c r="Y14" s="6">
        <f t="shared" si="5"/>
        <v>-1.2523315717771766E-13</v>
      </c>
      <c r="Z14" s="6">
        <f t="shared" si="6"/>
        <v>-1.2523315717771766E-7</v>
      </c>
    </row>
    <row r="15" spans="4:26" ht="24" customHeight="1">
      <c r="D15" s="475" t="s">
        <v>178</v>
      </c>
      <c r="E15" s="452">
        <f>+[5]김포!$H$86/1000</f>
        <v>295.41138940641429</v>
      </c>
      <c r="F15" s="453">
        <f>+[5]김포!$I$86/1000</f>
        <v>32.553125000000037</v>
      </c>
      <c r="G15" s="189">
        <f t="shared" si="0"/>
        <v>-262.85826440641426</v>
      </c>
      <c r="H15" s="452">
        <f>+[5]김포!$T$5/1000</f>
        <v>18.5</v>
      </c>
      <c r="I15" s="453">
        <f>+[5]김포!$U$5/1000</f>
        <v>8.5619999999999994</v>
      </c>
      <c r="J15" s="165">
        <f t="shared" si="1"/>
        <v>-9.9380000000000006</v>
      </c>
      <c r="K15" s="454">
        <f>+[5]김포!$M$86/1000</f>
        <v>-188.01676579380327</v>
      </c>
      <c r="L15" s="452">
        <f>+[5]김포!$Q$85</f>
        <v>96193.432432432426</v>
      </c>
      <c r="M15" s="453">
        <f>+[5]김포!$R$85</f>
        <v>95902.436005625888</v>
      </c>
      <c r="N15" s="165">
        <f t="shared" si="2"/>
        <v>-290.99642680653778</v>
      </c>
      <c r="O15" s="454">
        <f>+[5]김포!$K$86/1000</f>
        <v>-2.4827815135133799</v>
      </c>
      <c r="P15" s="452">
        <f>+[5]김포!$Q$50</f>
        <v>77312.73762968331</v>
      </c>
      <c r="Q15" s="463">
        <f>+[5]김포!$R$50</f>
        <v>85856.029887482422</v>
      </c>
      <c r="R15" s="165">
        <f t="shared" si="3"/>
        <v>8543.2922577991121</v>
      </c>
      <c r="S15" s="454">
        <f>+[5]김포!$L$56/1000</f>
        <v>-72.891370903542011</v>
      </c>
      <c r="T15" s="452">
        <f>+([5]김포!$H$80+[5]김포!$H$85)/1000</f>
        <v>53.88146444444444</v>
      </c>
      <c r="U15" s="453">
        <f>+([5]김포!$I$80+[5]김포!$I$85)/1000</f>
        <v>53.348810640000004</v>
      </c>
      <c r="V15" s="165">
        <f t="shared" si="4"/>
        <v>-0.53265380444443622</v>
      </c>
      <c r="W15" s="454">
        <f>+([5]김포!$L$80+[5]김포!$L$85)/1000</f>
        <v>0.53265380444444077</v>
      </c>
      <c r="Y15" s="6">
        <f t="shared" si="5"/>
        <v>-4.7184478546569153E-14</v>
      </c>
      <c r="Z15" s="6">
        <f t="shared" si="6"/>
        <v>-4.7184478546569153E-8</v>
      </c>
    </row>
    <row r="16" spans="4:26" ht="24" customHeight="1">
      <c r="D16" s="476" t="s">
        <v>25</v>
      </c>
      <c r="E16" s="455">
        <f>+[5]부산!$H$86/1000</f>
        <v>395.44491037967379</v>
      </c>
      <c r="F16" s="456">
        <f>+[5]부산!$I$86/1000</f>
        <v>190.61797699999991</v>
      </c>
      <c r="G16" s="457">
        <f t="shared" si="0"/>
        <v>-204.82693337967387</v>
      </c>
      <c r="H16" s="455">
        <f>+[5]부산!$T$5/1000</f>
        <v>22</v>
      </c>
      <c r="I16" s="456">
        <f>+[5]부산!$U$5/1000</f>
        <v>17.425000000000001</v>
      </c>
      <c r="J16" s="458">
        <f t="shared" si="1"/>
        <v>-4.5749999999999993</v>
      </c>
      <c r="K16" s="459">
        <f>+[5]부산!$M$86/1000</f>
        <v>-103.14342276986397</v>
      </c>
      <c r="L16" s="455">
        <f>+[5]부산!$Q$85</f>
        <v>107599.50263636363</v>
      </c>
      <c r="M16" s="456">
        <f>+[5]부산!$R$85</f>
        <v>110640.80344332855</v>
      </c>
      <c r="N16" s="458">
        <f t="shared" si="2"/>
        <v>3041.3008069649222</v>
      </c>
      <c r="O16" s="459">
        <f>+[5]부산!$K$86/1000</f>
        <v>52.994666561363772</v>
      </c>
      <c r="P16" s="455">
        <f>+[5]부산!$Q$50</f>
        <v>85054.492194863298</v>
      </c>
      <c r="Q16" s="456">
        <f>+[5]부산!$R$50</f>
        <v>94481.724882575334</v>
      </c>
      <c r="R16" s="458">
        <f t="shared" si="3"/>
        <v>9427.2326877120358</v>
      </c>
      <c r="S16" s="459">
        <f>+[5]부산!$L$56/1000</f>
        <v>-132.39090566450707</v>
      </c>
      <c r="T16" s="455">
        <f>+([5]부산!$H$80+[5]부산!$H$85)/1000</f>
        <v>100.54531933333335</v>
      </c>
      <c r="U16" s="456">
        <f>+([5]부산!$I$80+[5]부산!$I$85)/1000</f>
        <v>122.83259084000001</v>
      </c>
      <c r="V16" s="458">
        <f t="shared" si="4"/>
        <v>22.287271506666656</v>
      </c>
      <c r="W16" s="459">
        <f>+([5]부산!$L$80+[5]부산!$L$85)/1000</f>
        <v>-22.287271506666663</v>
      </c>
      <c r="Y16" s="6">
        <f t="shared" si="5"/>
        <v>6.3948846218409017E-14</v>
      </c>
      <c r="Z16" s="6">
        <f t="shared" si="6"/>
        <v>6.3948846218409017E-8</v>
      </c>
    </row>
    <row r="17" spans="4:26" ht="24" customHeight="1">
      <c r="D17" s="475" t="s">
        <v>26</v>
      </c>
      <c r="E17" s="452">
        <f>+[5]서부산!$H$86/1000</f>
        <v>483.47274062418444</v>
      </c>
      <c r="F17" s="453">
        <f>+[5]서부산!$I$86/1000</f>
        <v>225.63006199999998</v>
      </c>
      <c r="G17" s="189">
        <f t="shared" si="0"/>
        <v>-257.84267862418449</v>
      </c>
      <c r="H17" s="452">
        <f>+[5]서부산!$T$5/1000</f>
        <v>26</v>
      </c>
      <c r="I17" s="453">
        <f>+[5]서부산!$U$5/1000</f>
        <v>20.05</v>
      </c>
      <c r="J17" s="165">
        <f t="shared" si="1"/>
        <v>-5.9499999999999993</v>
      </c>
      <c r="K17" s="454">
        <f>+[5]서부산!$M$86/1000</f>
        <v>-129.83285282637672</v>
      </c>
      <c r="L17" s="452">
        <f>+[5]서부산!$Q$85</f>
        <v>103903.24615384615</v>
      </c>
      <c r="M17" s="453">
        <f>+[5]서부산!$R$85</f>
        <v>102695.87793896948</v>
      </c>
      <c r="N17" s="165">
        <f t="shared" si="2"/>
        <v>-1207.3682148766675</v>
      </c>
      <c r="O17" s="454">
        <f>+[5]서부산!$K$86/1000</f>
        <v>-24.135290615384584</v>
      </c>
      <c r="P17" s="452">
        <f>+[5]서부산!$Q$50</f>
        <v>82300.442023001437</v>
      </c>
      <c r="Q17" s="453">
        <f>+[5]서부산!$R$50</f>
        <v>85793.60817208256</v>
      </c>
      <c r="R17" s="165">
        <f t="shared" si="3"/>
        <v>3493.1661490811239</v>
      </c>
      <c r="S17" s="454">
        <f>+[5]서부산!$L$56/1000</f>
        <v>-82.340610100201019</v>
      </c>
      <c r="T17" s="452">
        <f>+([5]서부산!$H$80+[5]서부산!$H$85)/1000</f>
        <v>78.200166777777781</v>
      </c>
      <c r="U17" s="453">
        <f>+([5]서부산!$I$80+[5]서부산!$I$85)/1000</f>
        <v>99.734091860000007</v>
      </c>
      <c r="V17" s="165">
        <f t="shared" si="4"/>
        <v>21.533925082222225</v>
      </c>
      <c r="W17" s="454">
        <f>+([5]서부산!$L$80+[5]서부산!$L$85)/1000</f>
        <v>-21.533925082222222</v>
      </c>
      <c r="Y17" s="6">
        <f t="shared" si="5"/>
        <v>5.3290705182007514E-14</v>
      </c>
      <c r="Z17" s="6">
        <f t="shared" si="6"/>
        <v>5.3290705182007514E-8</v>
      </c>
    </row>
    <row r="18" spans="4:26" ht="24" customHeight="1">
      <c r="D18" s="475" t="s">
        <v>27</v>
      </c>
      <c r="E18" s="452">
        <f>+[5]김해!$H$86/1000</f>
        <v>134.25265064064405</v>
      </c>
      <c r="F18" s="453">
        <f>+[5]김해!$I$86/1000</f>
        <v>38.555588</v>
      </c>
      <c r="G18" s="189">
        <f t="shared" si="0"/>
        <v>-95.697062640644049</v>
      </c>
      <c r="H18" s="452">
        <f>+[5]김해!$T$5/1000</f>
        <v>11</v>
      </c>
      <c r="I18" s="453">
        <f>+[5]김해!$U$5/1000</f>
        <v>11.781000000000001</v>
      </c>
      <c r="J18" s="165">
        <f t="shared" si="1"/>
        <v>0.78100000000000058</v>
      </c>
      <c r="K18" s="454">
        <f>+[5]김해!$M$86/1000</f>
        <v>12.93390425259684</v>
      </c>
      <c r="L18" s="452">
        <f>+[5]김해!$Q$85</f>
        <v>101000.2</v>
      </c>
      <c r="M18" s="453">
        <f>+[5]김해!$R$85</f>
        <v>96092.581274934215</v>
      </c>
      <c r="N18" s="165">
        <f t="shared" si="2"/>
        <v>-4907.6187250657822</v>
      </c>
      <c r="O18" s="454">
        <f>+[5]김해!$K$86/1000</f>
        <v>-57.816656199999983</v>
      </c>
      <c r="P18" s="452">
        <f>+[5]김해!$Q$50</f>
        <v>84439.503133678809</v>
      </c>
      <c r="Q18" s="453">
        <f>+[5]김해!$R$50</f>
        <v>88369.761140819974</v>
      </c>
      <c r="R18" s="165">
        <f t="shared" si="3"/>
        <v>3930.2580071411649</v>
      </c>
      <c r="S18" s="454">
        <f>+[5]김해!$L$56/1000</f>
        <v>-42.518597932129772</v>
      </c>
      <c r="T18" s="452">
        <f>+([5]김해!$H$80+[5]김해!$H$85)/1000</f>
        <v>47.915014888888884</v>
      </c>
      <c r="U18" s="453">
        <f>+([5]김해!$I$80+[5]김해!$I$85)/1000</f>
        <v>56.210727650000003</v>
      </c>
      <c r="V18" s="165">
        <f t="shared" si="4"/>
        <v>8.295712761111119</v>
      </c>
      <c r="W18" s="454">
        <f>+([5]김해!$L$80+[5]김해!$L$85)/1000</f>
        <v>-8.2957127611111083</v>
      </c>
      <c r="Y18" s="6">
        <f t="shared" si="5"/>
        <v>-3.1974423109204508E-14</v>
      </c>
      <c r="Z18" s="6">
        <f t="shared" si="6"/>
        <v>-3.1974423109204508E-8</v>
      </c>
    </row>
    <row r="19" spans="4:26" ht="24" customHeight="1">
      <c r="D19" s="475" t="s">
        <v>28</v>
      </c>
      <c r="E19" s="452">
        <f>+[5]정관!$H$86/1000</f>
        <v>251.83450961339992</v>
      </c>
      <c r="F19" s="453">
        <f>+[5]정관!$I$86/1000</f>
        <v>137.8495159999998</v>
      </c>
      <c r="G19" s="189">
        <f t="shared" si="0"/>
        <v>-113.98499361340012</v>
      </c>
      <c r="H19" s="452">
        <f>+[5]정관!$T$5/1000</f>
        <v>17</v>
      </c>
      <c r="I19" s="453">
        <f>+[5]정관!$U$5/1000</f>
        <v>17.288</v>
      </c>
      <c r="J19" s="165">
        <f t="shared" si="1"/>
        <v>0.28800000000000026</v>
      </c>
      <c r="K19" s="454">
        <f>+[5]정관!$M$86/1000</f>
        <v>5.4608170852152433</v>
      </c>
      <c r="L19" s="452">
        <f>+[5]정관!$Q$85</f>
        <v>104000</v>
      </c>
      <c r="M19" s="453">
        <f>+[5]정관!$R$85</f>
        <v>100519.68995835261</v>
      </c>
      <c r="N19" s="165">
        <f t="shared" si="2"/>
        <v>-3480.3100416473899</v>
      </c>
      <c r="O19" s="454">
        <f>+[5]정관!$K$86/1000</f>
        <v>-60.167600000000071</v>
      </c>
      <c r="P19" s="452">
        <f>+[5]정관!$Q$50</f>
        <v>85038.82956522482</v>
      </c>
      <c r="Q19" s="453">
        <f>+[5]정관!$R$50</f>
        <v>88566.904417717131</v>
      </c>
      <c r="R19" s="165">
        <f t="shared" si="3"/>
        <v>3528.074852492311</v>
      </c>
      <c r="S19" s="454">
        <f>+[5]정관!$L$56/1000</f>
        <v>-52.808879396392747</v>
      </c>
      <c r="T19" s="452">
        <f>+([5]정관!$H$80+[5]정관!$H$85)/1000</f>
        <v>70.505387777777784</v>
      </c>
      <c r="U19" s="453">
        <f>+([5]정관!$I$80+[5]정관!$I$85)/1000</f>
        <v>76.974719080000014</v>
      </c>
      <c r="V19" s="165">
        <f t="shared" si="4"/>
        <v>6.4693313022222299</v>
      </c>
      <c r="W19" s="454">
        <f>+([5]정관!$L$80+[5]정관!$L$85)/1000</f>
        <v>-6.4693313022222219</v>
      </c>
      <c r="Y19" s="6">
        <f t="shared" si="5"/>
        <v>-3.2063240951174521E-13</v>
      </c>
      <c r="Z19" s="6">
        <f t="shared" si="6"/>
        <v>-3.2063240951174521E-7</v>
      </c>
    </row>
    <row r="20" spans="4:26" ht="24" customHeight="1">
      <c r="D20" s="475" t="s">
        <v>29</v>
      </c>
      <c r="E20" s="452">
        <f>+[5]양산!$H$86/1000</f>
        <v>121.09020072094516</v>
      </c>
      <c r="F20" s="453">
        <f>+[5]양산!$I$86/1000</f>
        <v>49.59274800000005</v>
      </c>
      <c r="G20" s="189">
        <f t="shared" si="0"/>
        <v>-71.49745272094512</v>
      </c>
      <c r="H20" s="452">
        <f>+[5]양산!$T$5/1000</f>
        <v>9</v>
      </c>
      <c r="I20" s="453">
        <f>+[5]양산!$U$5/1000</f>
        <v>11.07</v>
      </c>
      <c r="J20" s="165">
        <f t="shared" si="1"/>
        <v>2.0700000000000003</v>
      </c>
      <c r="K20" s="454">
        <f>+[5]양산!$M$86/1000</f>
        <v>38.481982831372967</v>
      </c>
      <c r="L20" s="452">
        <f>+[5]양산!$Q$85</f>
        <v>97033.996666666673</v>
      </c>
      <c r="M20" s="453">
        <f>+[5]양산!$R$85</f>
        <v>92374.685907859093</v>
      </c>
      <c r="N20" s="165">
        <f t="shared" si="2"/>
        <v>-4659.31075880758</v>
      </c>
      <c r="O20" s="454">
        <f>+[5]양산!$K$86/1000</f>
        <v>-51.578570099999908</v>
      </c>
      <c r="P20" s="452">
        <f>+[5]양산!$Q$50</f>
        <v>78443.666796438192</v>
      </c>
      <c r="Q20" s="453">
        <f>+[5]양산!$R$50</f>
        <v>84374.150948509487</v>
      </c>
      <c r="R20" s="165">
        <f t="shared" si="3"/>
        <v>5930.4841520712944</v>
      </c>
      <c r="S20" s="454">
        <f>+[5]양산!$L$56/1000</f>
        <v>-65.650448673429196</v>
      </c>
      <c r="T20" s="452">
        <f>+([5]양산!$H$80+[5]양산!$H$85)/1000</f>
        <v>46.222768111111115</v>
      </c>
      <c r="U20" s="453">
        <f>+([5]양산!$I$80+[5]양산!$I$85)/1000</f>
        <v>38.973184890000006</v>
      </c>
      <c r="V20" s="165">
        <f t="shared" si="4"/>
        <v>-7.2495832211111093</v>
      </c>
      <c r="W20" s="454">
        <f>+([5]양산!$L$80+[5]양산!$L$85)/1000</f>
        <v>7.2495832211111093</v>
      </c>
      <c r="Y20" s="6">
        <f t="shared" si="5"/>
        <v>-8.5265128291212022E-14</v>
      </c>
      <c r="Z20" s="6">
        <f t="shared" si="6"/>
        <v>-8.5265128291212022E-8</v>
      </c>
    </row>
    <row r="21" spans="4:26" ht="24" customHeight="1">
      <c r="D21" s="475" t="s">
        <v>30</v>
      </c>
      <c r="E21" s="452">
        <f>+[5]창원!$H$86/1000</f>
        <v>282.65073239043187</v>
      </c>
      <c r="F21" s="453">
        <f>+[5]창원!$I$86/1000</f>
        <v>173.49249899999984</v>
      </c>
      <c r="G21" s="189">
        <f t="shared" si="0"/>
        <v>-109.15823339043203</v>
      </c>
      <c r="H21" s="452">
        <f>+[5]창원!$T$5/1000</f>
        <v>16</v>
      </c>
      <c r="I21" s="453">
        <f>+[5]창원!$U$5/1000</f>
        <v>13.4055</v>
      </c>
      <c r="J21" s="165">
        <f t="shared" si="1"/>
        <v>-2.5945</v>
      </c>
      <c r="K21" s="454">
        <f>+[5]창원!$M$86/1000</f>
        <v>-57.503592240481083</v>
      </c>
      <c r="L21" s="452">
        <f>+[5]창원!$Q$85</f>
        <v>101701.8125</v>
      </c>
      <c r="M21" s="453">
        <f>+[5]창원!$R$85</f>
        <v>101375.93152064452</v>
      </c>
      <c r="N21" s="165">
        <f t="shared" si="2"/>
        <v>-325.88097935548285</v>
      </c>
      <c r="O21" s="454">
        <f>+[5]창원!$K$86/1000</f>
        <v>-4.3685974687499254</v>
      </c>
      <c r="P21" s="452">
        <f>+[5]창원!$Q$50</f>
        <v>79538.161607542454</v>
      </c>
      <c r="Q21" s="453">
        <f>+[5]창원!$R$50</f>
        <v>82531.466636828161</v>
      </c>
      <c r="R21" s="165">
        <f t="shared" si="3"/>
        <v>2993.3050292857079</v>
      </c>
      <c r="S21" s="454">
        <f>+[5]창원!$L$56/1000</f>
        <v>-39.862061460089798</v>
      </c>
      <c r="T21" s="452">
        <f>+([5]창원!$H$80+[5]창원!$H$85)/1000</f>
        <v>71.967681888888876</v>
      </c>
      <c r="U21" s="453">
        <f>+([5]창원!$I$80+[5]창원!$I$85)/1000</f>
        <v>79.391664109999994</v>
      </c>
      <c r="V21" s="165">
        <f t="shared" si="4"/>
        <v>7.4239822211111175</v>
      </c>
      <c r="W21" s="454">
        <f>+([5]창원!$L$80+[5]창원!$L$85)/1000</f>
        <v>-7.4239822211111131</v>
      </c>
      <c r="Y21" s="6">
        <f t="shared" si="5"/>
        <v>-1.1102230246251565E-13</v>
      </c>
      <c r="Z21" s="6">
        <f t="shared" si="6"/>
        <v>-1.1102230246251565E-7</v>
      </c>
    </row>
    <row r="22" spans="4:26" ht="24" customHeight="1">
      <c r="D22" s="475" t="s">
        <v>95</v>
      </c>
      <c r="E22" s="452">
        <f>+[5]대구!$H$86/1000</f>
        <v>299.58492152636268</v>
      </c>
      <c r="F22" s="453">
        <f>+[5]대구!$I$86/1000</f>
        <v>175.59369799999996</v>
      </c>
      <c r="G22" s="189">
        <f t="shared" si="0"/>
        <v>-123.99122352636272</v>
      </c>
      <c r="H22" s="452">
        <f>+[5]대구!$T$5/1000</f>
        <v>16</v>
      </c>
      <c r="I22" s="453">
        <f>+[5]대구!$U$5/1000</f>
        <v>12.691000000000001</v>
      </c>
      <c r="J22" s="165">
        <f t="shared" si="1"/>
        <v>-3.3089999999999993</v>
      </c>
      <c r="K22" s="454">
        <f>+[5]대구!$M$86/1000</f>
        <v>-72.108143196027399</v>
      </c>
      <c r="L22" s="452">
        <f>+[5]대구!$Q$85</f>
        <v>97759.999999999985</v>
      </c>
      <c r="M22" s="453">
        <f>+[5]대구!$R$85</f>
        <v>103120.52162950122</v>
      </c>
      <c r="N22" s="165">
        <f t="shared" si="2"/>
        <v>5360.521629501236</v>
      </c>
      <c r="O22" s="454">
        <f>+[5]대구!$K$86/1000</f>
        <v>68.030380000000193</v>
      </c>
      <c r="P22" s="452">
        <f>+[5]대구!$Q$50</f>
        <v>75968.478937435051</v>
      </c>
      <c r="Q22" s="453">
        <f>+[5]대구!$R$50</f>
        <v>85296.793239303428</v>
      </c>
      <c r="R22" s="165">
        <f t="shared" si="3"/>
        <v>9328.3143018683768</v>
      </c>
      <c r="S22" s="454">
        <f>+[5]대구!$L$56/1000</f>
        <v>-118.38563575501169</v>
      </c>
      <c r="T22" s="452">
        <f>+([5]대구!$H$80+[5]대구!$H$85)/1000</f>
        <v>49.07941547467631</v>
      </c>
      <c r="U22" s="453">
        <f>+([5]대구!$I$80+[5]대구!$I$85)/1000</f>
        <v>50.607240050000001</v>
      </c>
      <c r="V22" s="165">
        <f t="shared" si="4"/>
        <v>1.5278245753236916</v>
      </c>
      <c r="W22" s="454">
        <f>+([5]대구!$L$80+[5]대구!$L$85)/1000</f>
        <v>-1.5278245753236959</v>
      </c>
      <c r="Y22" s="6">
        <f t="shared" si="5"/>
        <v>-1.2367884494324244E-13</v>
      </c>
      <c r="Z22" s="6">
        <f t="shared" si="6"/>
        <v>-1.2367884494324244E-7</v>
      </c>
    </row>
    <row r="23" spans="4:26" ht="24" customHeight="1">
      <c r="D23" s="475" t="s">
        <v>97</v>
      </c>
      <c r="E23" s="452">
        <f>+[5]울산!$H$86/1000</f>
        <v>99.238540607758225</v>
      </c>
      <c r="F23" s="453">
        <f>+[5]울산!$I$86/1000</f>
        <v>240.50593300000014</v>
      </c>
      <c r="G23" s="189">
        <f t="shared" si="0"/>
        <v>141.2673923922419</v>
      </c>
      <c r="H23" s="452">
        <f>+[5]울산!$T$5/1000</f>
        <v>10</v>
      </c>
      <c r="I23" s="453">
        <f>+[5]울산!$U$5/1000</f>
        <v>15.045500000000001</v>
      </c>
      <c r="J23" s="165">
        <f t="shared" si="1"/>
        <v>5.0455000000000005</v>
      </c>
      <c r="K23" s="454">
        <f>+[5]울산!$M$86/1000</f>
        <v>69.645278634416698</v>
      </c>
      <c r="L23" s="452">
        <f>+[5]울산!$Q$85</f>
        <v>101258.51400000001</v>
      </c>
      <c r="M23" s="453">
        <f>+[5]울산!$R$85</f>
        <v>105872.99192449571</v>
      </c>
      <c r="N23" s="165">
        <f t="shared" si="2"/>
        <v>4614.4779244957026</v>
      </c>
      <c r="O23" s="454">
        <f>+[5]울산!$K$86/1000</f>
        <v>69.427127613000096</v>
      </c>
      <c r="P23" s="452">
        <f>+[5]울산!$Q$50</f>
        <v>87455.069617001951</v>
      </c>
      <c r="Q23" s="453">
        <f>+[5]울산!$R$50</f>
        <v>87219.234588415129</v>
      </c>
      <c r="R23" s="165">
        <f t="shared" si="3"/>
        <v>-235.83502858682186</v>
      </c>
      <c r="S23" s="454">
        <f>+[5]울산!$L$56/1000</f>
        <v>3.5482428026027146</v>
      </c>
      <c r="T23" s="452">
        <f>+([5]울산!$H$80+[5]울산!$H$85)/1000</f>
        <v>38.795903222222222</v>
      </c>
      <c r="U23" s="453">
        <f>+([5]울산!$I$80+[5]울산!$I$85)/1000</f>
        <v>40.149159879999999</v>
      </c>
      <c r="V23" s="165">
        <f t="shared" si="4"/>
        <v>1.3532566577777771</v>
      </c>
      <c r="W23" s="454">
        <f>+([5]울산!$L$80+[5]울산!$L$85)/1000</f>
        <v>-1.353256657777774</v>
      </c>
      <c r="Y23" s="6">
        <f t="shared" si="5"/>
        <v>1.6786572132332367E-13</v>
      </c>
      <c r="Z23" s="6">
        <f t="shared" si="6"/>
        <v>1.6786572132332367E-7</v>
      </c>
    </row>
    <row r="24" spans="4:26" ht="24" customHeight="1">
      <c r="D24" s="476" t="s">
        <v>31</v>
      </c>
      <c r="E24" s="455">
        <f>+[5]아산!$H$86/1000</f>
        <v>373.79144289918094</v>
      </c>
      <c r="F24" s="456">
        <f>+[5]아산!$I$86/1000</f>
        <v>395.11046199999976</v>
      </c>
      <c r="G24" s="457">
        <f t="shared" si="0"/>
        <v>21.319019100818821</v>
      </c>
      <c r="H24" s="455">
        <f>+[5]아산!$T$5/1000</f>
        <v>24</v>
      </c>
      <c r="I24" s="456">
        <f>+[5]아산!$U$5/1000</f>
        <v>24.195</v>
      </c>
      <c r="J24" s="458">
        <f t="shared" si="1"/>
        <v>0.19500000000000028</v>
      </c>
      <c r="K24" s="459">
        <f>+[5]아산!$M$86/1000</f>
        <v>3.6401297716808476</v>
      </c>
      <c r="L24" s="455">
        <f>+[5]아산!$Q$85</f>
        <v>101000.15</v>
      </c>
      <c r="M24" s="456">
        <f>+[5]아산!$R$85</f>
        <v>102242.86088034717</v>
      </c>
      <c r="N24" s="458">
        <f t="shared" si="2"/>
        <v>1242.7108803471783</v>
      </c>
      <c r="O24" s="459">
        <f>+[5]아산!$K$86/1000</f>
        <v>30.067389749999975</v>
      </c>
      <c r="P24" s="455">
        <f>+[5]아산!$Q$50</f>
        <v>82332.817837534109</v>
      </c>
      <c r="Q24" s="456">
        <f>+[5]아산!$R$50</f>
        <v>82551.019225227457</v>
      </c>
      <c r="R24" s="458">
        <f t="shared" si="3"/>
        <v>218.20138769334881</v>
      </c>
      <c r="S24" s="459">
        <f>+[5]아산!$L$56/1000</f>
        <v>-4.9536203608623373</v>
      </c>
      <c r="T24" s="455">
        <f>+([5]아산!$H$80+[5]아산!$H$85)/1000</f>
        <v>74.22452899999999</v>
      </c>
      <c r="U24" s="456">
        <f>+([5]아산!$I$80+[5]아산!$I$85)/1000</f>
        <v>81.659409060000002</v>
      </c>
      <c r="V24" s="458">
        <f t="shared" si="4"/>
        <v>7.4348800600000118</v>
      </c>
      <c r="W24" s="459">
        <f>+([5]아산!$L$80+[5]아산!$L$85)/1000</f>
        <v>-7.43488006000001</v>
      </c>
      <c r="Y24" s="6">
        <f t="shared" si="5"/>
        <v>3.4550140526334872E-13</v>
      </c>
      <c r="Z24" s="6">
        <f t="shared" si="6"/>
        <v>3.4550140526334872E-7</v>
      </c>
    </row>
    <row r="25" spans="4:26" ht="24" customHeight="1">
      <c r="D25" s="475" t="s">
        <v>34</v>
      </c>
      <c r="E25" s="452">
        <f>+[5]전주!$H$86/1000</f>
        <v>166.47873348800405</v>
      </c>
      <c r="F25" s="453">
        <f>+[5]전주!$I$86/1000</f>
        <v>44.821658000000028</v>
      </c>
      <c r="G25" s="189">
        <f t="shared" si="0"/>
        <v>-121.65707548800403</v>
      </c>
      <c r="H25" s="452">
        <f>+[5]전주!$T$5/1000</f>
        <v>10</v>
      </c>
      <c r="I25" s="453">
        <f>+[5]전주!$U$5/1000</f>
        <v>8.0734999999999992</v>
      </c>
      <c r="J25" s="165">
        <f t="shared" si="1"/>
        <v>-1.9265000000000008</v>
      </c>
      <c r="K25" s="454">
        <f>+[5]전주!$M$86/1000</f>
        <v>-41.329756664697285</v>
      </c>
      <c r="L25" s="452">
        <f>+[5]전주!$Q$85</f>
        <v>103006.91399999999</v>
      </c>
      <c r="M25" s="453">
        <f>+[5]전주!$R$85</f>
        <v>95009.847030408127</v>
      </c>
      <c r="N25" s="165">
        <f t="shared" si="2"/>
        <v>-7997.0669695918623</v>
      </c>
      <c r="O25" s="454">
        <f>+[5]전주!$K$86/1000</f>
        <v>-64.564320178999907</v>
      </c>
      <c r="P25" s="452">
        <f>+[5]전주!$Q$50</f>
        <v>81553.627384532942</v>
      </c>
      <c r="Q25" s="453">
        <f>+[5]전주!$R$50</f>
        <v>83307.770235957141</v>
      </c>
      <c r="R25" s="165">
        <f t="shared" si="3"/>
        <v>1754.1428514241998</v>
      </c>
      <c r="S25" s="454">
        <f>+[5]전주!$L$56/1000</f>
        <v>-14.162075220973376</v>
      </c>
      <c r="T25" s="452">
        <f>+([5]전주!$H$80+[5]전주!$H$85)/1000</f>
        <v>48.054132666666675</v>
      </c>
      <c r="U25" s="453">
        <f>+([5]전주!$I$80+[5]전주!$I$85)/1000</f>
        <v>49.655056089999995</v>
      </c>
      <c r="V25" s="165">
        <f t="shared" si="4"/>
        <v>1.6009234233333203</v>
      </c>
      <c r="W25" s="454">
        <f>+([5]전주!$L$80+[5]전주!$L$85)/1000</f>
        <v>-1.6009234233333309</v>
      </c>
      <c r="Y25" s="6">
        <f t="shared" si="5"/>
        <v>-1.2612133559741778E-13</v>
      </c>
      <c r="Z25" s="6">
        <f t="shared" si="6"/>
        <v>-1.2612133559741778E-7</v>
      </c>
    </row>
    <row r="26" spans="4:26" ht="24" customHeight="1">
      <c r="D26" s="451" t="s">
        <v>33</v>
      </c>
      <c r="E26" s="452">
        <f>+[5]군산!$H$86/1000</f>
        <v>198.85369093567542</v>
      </c>
      <c r="F26" s="453">
        <f>+[5]군산!$I$86/1000</f>
        <v>241.03226199999997</v>
      </c>
      <c r="G26" s="189">
        <f t="shared" si="0"/>
        <v>42.178571064324558</v>
      </c>
      <c r="H26" s="452">
        <f>+[5]군산!$T$5/1000</f>
        <v>7</v>
      </c>
      <c r="I26" s="453">
        <f>+[5]군산!$U$5/1000</f>
        <v>7.2110000000000003</v>
      </c>
      <c r="J26" s="165">
        <f t="shared" si="1"/>
        <v>0.2110000000000003</v>
      </c>
      <c r="K26" s="454">
        <f>+[5]군산!$M$86/1000</f>
        <v>6.6043967733785323</v>
      </c>
      <c r="L26" s="452">
        <f>+[5]군산!$Q$85</f>
        <v>108999.86128571429</v>
      </c>
      <c r="M26" s="453">
        <f>+[5]군산!$R$85</f>
        <v>119960.37304118706</v>
      </c>
      <c r="N26" s="165">
        <f t="shared" si="2"/>
        <v>10960.511755472777</v>
      </c>
      <c r="O26" s="454">
        <f>+[5]군산!$K$86/1000</f>
        <v>79.036250268714184</v>
      </c>
      <c r="P26" s="452">
        <f>+[5]군산!$Q$50</f>
        <v>77699.402644109869</v>
      </c>
      <c r="Q26" s="453">
        <f>+[5]군산!$R$50</f>
        <v>83561.154624878662</v>
      </c>
      <c r="R26" s="165">
        <f t="shared" si="3"/>
        <v>5861.7519807687931</v>
      </c>
      <c r="S26" s="454">
        <f>+[5]군산!$L$56/1000</f>
        <v>-42.269095183323735</v>
      </c>
      <c r="T26" s="452">
        <f>+([5]군산!$H$80+[5]군산!$H$85)/1000</f>
        <v>20.249519555555555</v>
      </c>
      <c r="U26" s="453">
        <f>+([5]군산!$I$80+[5]군산!$I$85)/1000</f>
        <v>21.442500350000003</v>
      </c>
      <c r="V26" s="165">
        <f t="shared" si="4"/>
        <v>1.1929807944444484</v>
      </c>
      <c r="W26" s="454">
        <f>+([5]군산!$L$80+[5]군산!$L$85)/1000</f>
        <v>-1.1929807944444457</v>
      </c>
      <c r="Y26" s="6">
        <f t="shared" si="5"/>
        <v>2.2204460492503131E-14</v>
      </c>
      <c r="Z26" s="6">
        <f t="shared" si="6"/>
        <v>2.2204460492503131E-8</v>
      </c>
    </row>
    <row r="27" spans="4:26" ht="24" customHeight="1">
      <c r="D27" s="451" t="s">
        <v>32</v>
      </c>
      <c r="E27" s="452">
        <f>+[5]원주!$H$86/1000</f>
        <v>88.943823009758901</v>
      </c>
      <c r="F27" s="453">
        <f>+[5]원주!$I$86/1000</f>
        <v>120.923486</v>
      </c>
      <c r="G27" s="189">
        <f t="shared" si="0"/>
        <v>31.979662990241096</v>
      </c>
      <c r="H27" s="452">
        <f>+[5]원주!$T$5/1000</f>
        <v>5</v>
      </c>
      <c r="I27" s="453">
        <f>+[5]원주!$U$5/1000</f>
        <v>5.1725000000000003</v>
      </c>
      <c r="J27" s="165">
        <f t="shared" si="1"/>
        <v>0.17250000000000032</v>
      </c>
      <c r="K27" s="454">
        <f>+[5]원주!$M$86/1000</f>
        <v>3.594880879670014</v>
      </c>
      <c r="L27" s="452">
        <f>+[5]원주!$Q$85</f>
        <v>107900</v>
      </c>
      <c r="M27" s="453">
        <f>+[5]원주!$R$85</f>
        <v>114543.57564040599</v>
      </c>
      <c r="N27" s="165">
        <f t="shared" si="2"/>
        <v>6643.5756404059939</v>
      </c>
      <c r="O27" s="454">
        <f>+[5]원주!$K$86/1000</f>
        <v>34.363894999999999</v>
      </c>
      <c r="P27" s="452">
        <f>+[5]원주!$Q$50</f>
        <v>87060.11084249265</v>
      </c>
      <c r="Q27" s="453">
        <f>+[5]원주!$R$50</f>
        <v>87681.470855485735</v>
      </c>
      <c r="R27" s="165">
        <f t="shared" si="3"/>
        <v>621.36001299308555</v>
      </c>
      <c r="S27" s="454">
        <f>+[5]원주!$L$56/1000</f>
        <v>-3.2139892272067359</v>
      </c>
      <c r="T27" s="452">
        <f>+([5]원주!$H$80+[5]원주!$H$85)/1000</f>
        <v>15.255622777777779</v>
      </c>
      <c r="U27" s="453">
        <f>+([5]원주!$I$80+[5]원주!$I$85)/1000</f>
        <v>18.02074644</v>
      </c>
      <c r="V27" s="165">
        <f t="shared" si="4"/>
        <v>2.7651236622222211</v>
      </c>
      <c r="W27" s="454">
        <f>+([5]원주!$L$80+[5]원주!$L$85)/1000</f>
        <v>-2.7651236622222219</v>
      </c>
      <c r="Y27" s="6">
        <f t="shared" si="5"/>
        <v>3.907985046680551E-14</v>
      </c>
      <c r="Z27" s="6">
        <f t="shared" si="6"/>
        <v>3.907985046680551E-8</v>
      </c>
    </row>
    <row r="28" spans="4:26" ht="24" customHeight="1" thickBot="1">
      <c r="D28" s="500" t="s">
        <v>35</v>
      </c>
      <c r="E28" s="523">
        <f>+[5]제주!$H$86/1000</f>
        <v>122.77372904199412</v>
      </c>
      <c r="F28" s="656">
        <f>+[5]제주!$I$86/1000</f>
        <v>28.988094999999984</v>
      </c>
      <c r="G28" s="198">
        <f t="shared" si="0"/>
        <v>-93.785634041994129</v>
      </c>
      <c r="H28" s="523">
        <f>+[5]제주!$T$5/1000</f>
        <v>6</v>
      </c>
      <c r="I28" s="656">
        <f>+[5]제주!$U$5/1000</f>
        <v>3.9015</v>
      </c>
      <c r="J28" s="199">
        <f t="shared" si="1"/>
        <v>-2.0985</v>
      </c>
      <c r="K28" s="657">
        <f>+[5]제주!$M$86/1000</f>
        <v>-51.639923983759594</v>
      </c>
      <c r="L28" s="523">
        <f>+[5]제주!$Q$85</f>
        <v>126800</v>
      </c>
      <c r="M28" s="656">
        <f>+[5]제주!$R$85</f>
        <v>122740.07663719082</v>
      </c>
      <c r="N28" s="199">
        <f t="shared" si="2"/>
        <v>-4059.9233628091752</v>
      </c>
      <c r="O28" s="657">
        <f>+[5]제주!$K$86/1000</f>
        <v>-15.839790999999996</v>
      </c>
      <c r="P28" s="523">
        <f>+[5]제주!$Q$50</f>
        <v>102191.98285262828</v>
      </c>
      <c r="Q28" s="656">
        <f>+[5]제주!$R$50</f>
        <v>108637.75547866206</v>
      </c>
      <c r="R28" s="199">
        <f t="shared" si="3"/>
        <v>6445.7726260337804</v>
      </c>
      <c r="S28" s="657">
        <f>+[5]제주!$L$56/1000</f>
        <v>-25.148193820470855</v>
      </c>
      <c r="T28" s="523">
        <f>+([5]제주!$H$80+[5]제주!$H$85)/1000</f>
        <v>24.874373842236317</v>
      </c>
      <c r="U28" s="656">
        <f>+([5]제주!$I$80+[5]제주!$I$85)/1000</f>
        <v>26.032099079999998</v>
      </c>
      <c r="V28" s="199">
        <f t="shared" si="4"/>
        <v>1.1577252377636817</v>
      </c>
      <c r="W28" s="657">
        <f>+([5]제주!$L$80+[5]제주!$L$85)/1000</f>
        <v>-1.1577252377636842</v>
      </c>
      <c r="Y28" s="6">
        <f t="shared" si="5"/>
        <v>2.4424906541753444E-15</v>
      </c>
      <c r="Z28" s="6">
        <f t="shared" si="6"/>
        <v>2.4424906541753444E-9</v>
      </c>
    </row>
    <row r="29" spans="4:26" ht="24" customHeight="1"/>
    <row r="30" spans="4:26" ht="24" customHeight="1"/>
    <row r="31" spans="4:26" ht="24" customHeight="1"/>
    <row r="32" spans="4:26" ht="21.95" customHeight="1">
      <c r="F32" s="592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239</v>
      </c>
      <c r="F4" s="184"/>
      <c r="I4" s="184"/>
    </row>
    <row r="5" spans="4:22" ht="21.95" customHeight="1">
      <c r="V5" s="186" t="s">
        <v>150</v>
      </c>
    </row>
    <row r="6" spans="4:22" ht="24" customHeight="1" thickBot="1">
      <c r="D6" s="830" t="s">
        <v>11</v>
      </c>
      <c r="E6" s="439" t="s">
        <v>21</v>
      </c>
      <c r="F6" s="440"/>
      <c r="G6" s="441"/>
      <c r="H6" s="439" t="s">
        <v>45</v>
      </c>
      <c r="I6" s="440"/>
      <c r="J6" s="441"/>
      <c r="K6" s="439" t="s">
        <v>46</v>
      </c>
      <c r="L6" s="440"/>
      <c r="M6" s="441"/>
      <c r="N6" s="439" t="s">
        <v>103</v>
      </c>
      <c r="O6" s="440"/>
      <c r="P6" s="441"/>
      <c r="Q6" s="439" t="s">
        <v>104</v>
      </c>
      <c r="R6" s="440"/>
      <c r="S6" s="441"/>
      <c r="T6" s="439" t="s">
        <v>69</v>
      </c>
      <c r="U6" s="440"/>
      <c r="V6" s="441"/>
    </row>
    <row r="7" spans="4:22" ht="24" customHeight="1">
      <c r="D7" s="831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+[5]합계!$Q$85</f>
        <v>102325.33643930384</v>
      </c>
      <c r="F8" s="462">
        <f>+[5]합계!$R$85</f>
        <v>101862.35624803558</v>
      </c>
      <c r="G8" s="487">
        <f>+F8-E8</f>
        <v>-462.98019126825966</v>
      </c>
      <c r="H8" s="460">
        <f>+[5]합계!$Q$20</f>
        <v>58025.914805739863</v>
      </c>
      <c r="I8" s="462">
        <f>+[5]합계!$R$20</f>
        <v>60828.503882292986</v>
      </c>
      <c r="J8" s="487">
        <f>+I8-H8</f>
        <v>2802.5890765531221</v>
      </c>
      <c r="K8" s="460">
        <f>+[5]합계!$Q$21</f>
        <v>17893.482243720679</v>
      </c>
      <c r="L8" s="462">
        <f>+[5]합계!$R$21</f>
        <v>18260.577497621409</v>
      </c>
      <c r="M8" s="487">
        <f>+L8-K8</f>
        <v>367.09525390073031</v>
      </c>
      <c r="N8" s="460">
        <f>+[5]합계!$Q$22</f>
        <v>191.17147707979626</v>
      </c>
      <c r="O8" s="462">
        <f>+[5]합계!$R$22</f>
        <v>238.19205481522533</v>
      </c>
      <c r="P8" s="487">
        <f>+O8-N8</f>
        <v>47.020577735429072</v>
      </c>
      <c r="Q8" s="460">
        <f>H8+K8+N8</f>
        <v>76110.568526540344</v>
      </c>
      <c r="R8" s="462">
        <f>I8+L8+O8</f>
        <v>79327.273434729621</v>
      </c>
      <c r="S8" s="487">
        <f>+R8-Q8</f>
        <v>3216.7049081892765</v>
      </c>
      <c r="T8" s="460">
        <f>+E8-Q8</f>
        <v>26214.767912763491</v>
      </c>
      <c r="U8" s="462">
        <f>+F8-R8</f>
        <v>22535.082813305955</v>
      </c>
      <c r="V8" s="487">
        <f>+U8-T8</f>
        <v>-3679.6850994575361</v>
      </c>
    </row>
    <row r="9" spans="4:22" ht="24" customHeight="1">
      <c r="D9" s="471" t="s">
        <v>19</v>
      </c>
      <c r="E9" s="465">
        <f>+[5]수도권!$Q$85</f>
        <v>100367.82722402584</v>
      </c>
      <c r="F9" s="479">
        <f>+[5]수도권!$R$85</f>
        <v>98771.936466854982</v>
      </c>
      <c r="G9" s="488">
        <f t="shared" ref="G9:G28" si="0">+F9-E9</f>
        <v>-1595.8907571708551</v>
      </c>
      <c r="H9" s="465">
        <f>+[5]수도권!$Q$20</f>
        <v>59477.05064430544</v>
      </c>
      <c r="I9" s="479">
        <f>+[5]수도권!$R$20</f>
        <v>62287.216170298947</v>
      </c>
      <c r="J9" s="488">
        <f t="shared" ref="J9:J28" si="1">+I9-H9</f>
        <v>2810.1655259935069</v>
      </c>
      <c r="K9" s="465">
        <f>+[5]수도권!$Q$21</f>
        <v>17689.96266085195</v>
      </c>
      <c r="L9" s="479">
        <f>+[5]수도권!$R$21</f>
        <v>18275.143464710451</v>
      </c>
      <c r="M9" s="488">
        <f t="shared" ref="M9:M28" si="2">+L9-K9</f>
        <v>585.18080385850044</v>
      </c>
      <c r="N9" s="465">
        <f>+[5]수도권!$Q$22</f>
        <v>217.31601731601734</v>
      </c>
      <c r="O9" s="479">
        <f>+[5]수도권!$R$22</f>
        <v>216.59604631015199</v>
      </c>
      <c r="P9" s="488">
        <f t="shared" ref="P9:P28" si="3">+O9-N9</f>
        <v>-0.71997100586534657</v>
      </c>
      <c r="Q9" s="465">
        <f t="shared" ref="Q9:Q28" si="4">H9+K9+N9</f>
        <v>77384.329322473408</v>
      </c>
      <c r="R9" s="479">
        <f t="shared" ref="R9:R28" si="5">I9+L9+O9</f>
        <v>80778.955681319552</v>
      </c>
      <c r="S9" s="488">
        <f t="shared" ref="S9:S28" si="6">+R9-Q9</f>
        <v>3394.6263588461443</v>
      </c>
      <c r="T9" s="465">
        <f t="shared" ref="T9:T28" si="7">+E9-Q9</f>
        <v>22983.49790155243</v>
      </c>
      <c r="U9" s="479">
        <f t="shared" ref="U9:U28" si="8">+F9-R9</f>
        <v>17992.98078553543</v>
      </c>
      <c r="V9" s="488">
        <f t="shared" ref="V9:V28" si="9">+U9-T9</f>
        <v>-4990.5171160169994</v>
      </c>
    </row>
    <row r="10" spans="4:22" ht="24" customHeight="1">
      <c r="D10" s="472" t="s">
        <v>20</v>
      </c>
      <c r="E10" s="467">
        <f>+[5]영남권!$Q$85</f>
        <v>102558.70683464568</v>
      </c>
      <c r="F10" s="480">
        <f>+[5]영남권!$R$85</f>
        <v>102226.31902507246</v>
      </c>
      <c r="G10" s="489">
        <f t="shared" si="0"/>
        <v>-332.3878095732216</v>
      </c>
      <c r="H10" s="467">
        <f>+[5]영남권!$Q$20</f>
        <v>56721.659908106667</v>
      </c>
      <c r="I10" s="480">
        <f>+[5]영남권!$R$20</f>
        <v>60137.608678694131</v>
      </c>
      <c r="J10" s="489">
        <f t="shared" si="1"/>
        <v>3415.9487705874635</v>
      </c>
      <c r="K10" s="467">
        <f>+[5]영남권!$Q$21</f>
        <v>18008.441408905746</v>
      </c>
      <c r="L10" s="480">
        <f>+[5]영남권!$R$21</f>
        <v>19103.288725498336</v>
      </c>
      <c r="M10" s="489">
        <f t="shared" si="2"/>
        <v>1094.8473165925898</v>
      </c>
      <c r="N10" s="467">
        <f>+[5]영남권!$Q$22</f>
        <v>175.19685039370077</v>
      </c>
      <c r="O10" s="480">
        <f>+[5]영남권!$R$22</f>
        <v>267.64966556571676</v>
      </c>
      <c r="P10" s="489">
        <f t="shared" si="3"/>
        <v>92.452815172015988</v>
      </c>
      <c r="Q10" s="467">
        <f t="shared" si="4"/>
        <v>74905.298167406116</v>
      </c>
      <c r="R10" s="480">
        <f t="shared" si="5"/>
        <v>79508.547069758177</v>
      </c>
      <c r="S10" s="489">
        <f t="shared" si="6"/>
        <v>4603.2489023520611</v>
      </c>
      <c r="T10" s="467">
        <f t="shared" si="7"/>
        <v>27653.408667239564</v>
      </c>
      <c r="U10" s="480">
        <f t="shared" si="8"/>
        <v>22717.771955314282</v>
      </c>
      <c r="V10" s="489">
        <f t="shared" si="9"/>
        <v>-4935.6367119252827</v>
      </c>
    </row>
    <row r="11" spans="4:22" ht="24" customHeight="1">
      <c r="D11" s="473" t="s">
        <v>57</v>
      </c>
      <c r="E11" s="468">
        <f>+[5]중부권!$Q$85</f>
        <v>106103.30324999998</v>
      </c>
      <c r="F11" s="481">
        <f>+[5]중부권!$R$85</f>
        <v>106628.96234051097</v>
      </c>
      <c r="G11" s="490">
        <f t="shared" si="0"/>
        <v>525.65909051099152</v>
      </c>
      <c r="H11" s="468">
        <f>+[5]중부권!$Q$20</f>
        <v>57988.110625837813</v>
      </c>
      <c r="I11" s="481">
        <f>+[5]중부권!$R$20</f>
        <v>59874.853061182555</v>
      </c>
      <c r="J11" s="490">
        <f t="shared" si="1"/>
        <v>1886.7424353447423</v>
      </c>
      <c r="K11" s="468">
        <f>+[5]중부권!$Q$21</f>
        <v>18064.764894544394</v>
      </c>
      <c r="L11" s="481">
        <f>+[5]중부권!$R$21</f>
        <v>16146.619554157805</v>
      </c>
      <c r="M11" s="490">
        <f t="shared" si="2"/>
        <v>-1918.1453403865889</v>
      </c>
      <c r="N11" s="468">
        <f>+[5]중부권!$Q$22</f>
        <v>172.11538461538461</v>
      </c>
      <c r="O11" s="481">
        <f>+[5]중부권!$R$22</f>
        <v>204.68154862845458</v>
      </c>
      <c r="P11" s="490">
        <f t="shared" si="3"/>
        <v>32.566164013069965</v>
      </c>
      <c r="Q11" s="468">
        <f t="shared" si="4"/>
        <v>76224.990904997598</v>
      </c>
      <c r="R11" s="481">
        <f t="shared" si="5"/>
        <v>76226.154163968822</v>
      </c>
      <c r="S11" s="490">
        <f t="shared" si="6"/>
        <v>1.1632589712244226</v>
      </c>
      <c r="T11" s="468">
        <f t="shared" si="7"/>
        <v>29878.312345002385</v>
      </c>
      <c r="U11" s="481">
        <f t="shared" si="8"/>
        <v>30402.808176542152</v>
      </c>
      <c r="V11" s="490">
        <f t="shared" si="9"/>
        <v>524.4958315397671</v>
      </c>
    </row>
    <row r="12" spans="4:22" ht="24" customHeight="1">
      <c r="D12" s="485" t="s">
        <v>22</v>
      </c>
      <c r="E12" s="491">
        <f>+[5]안양!$Q$85</f>
        <v>101178.97307692308</v>
      </c>
      <c r="F12" s="492">
        <f>+[5]안양!$R$85</f>
        <v>100611.30271274126</v>
      </c>
      <c r="G12" s="493">
        <f t="shared" si="0"/>
        <v>-567.67036418181669</v>
      </c>
      <c r="H12" s="491">
        <f>+[5]안양!$Q$20</f>
        <v>61254.997150537638</v>
      </c>
      <c r="I12" s="492">
        <f>+[5]안양!$R$20</f>
        <v>65025.608376998076</v>
      </c>
      <c r="J12" s="493">
        <f t="shared" si="1"/>
        <v>3770.611226460438</v>
      </c>
      <c r="K12" s="491">
        <f>+[5]안양!$Q$21</f>
        <v>17104.760465587045</v>
      </c>
      <c r="L12" s="492">
        <f>+[5]안양!$R$21</f>
        <v>17366.728460569077</v>
      </c>
      <c r="M12" s="493">
        <f t="shared" si="2"/>
        <v>261.96799498203109</v>
      </c>
      <c r="N12" s="491">
        <f>+[5]안양!$Q$22</f>
        <v>192.30769230769232</v>
      </c>
      <c r="O12" s="492">
        <f>+[5]안양!$R$22</f>
        <v>237.45456655833388</v>
      </c>
      <c r="P12" s="493">
        <f t="shared" si="3"/>
        <v>45.146874250641559</v>
      </c>
      <c r="Q12" s="491">
        <f t="shared" si="4"/>
        <v>78552.065308432371</v>
      </c>
      <c r="R12" s="492">
        <f t="shared" si="5"/>
        <v>82629.791404125484</v>
      </c>
      <c r="S12" s="493">
        <f t="shared" si="6"/>
        <v>4077.7260956931132</v>
      </c>
      <c r="T12" s="491">
        <f t="shared" si="7"/>
        <v>22626.90776849071</v>
      </c>
      <c r="U12" s="492">
        <f t="shared" si="8"/>
        <v>17981.51130861578</v>
      </c>
      <c r="V12" s="493">
        <f t="shared" si="9"/>
        <v>-4645.3964598749299</v>
      </c>
    </row>
    <row r="13" spans="4:22" ht="24" customHeight="1">
      <c r="D13" s="451" t="s">
        <v>23</v>
      </c>
      <c r="E13" s="494">
        <f>+[5]인천!$Q$85</f>
        <v>102422.48514285713</v>
      </c>
      <c r="F13" s="495">
        <f>+[5]인천!$R$85</f>
        <v>100279.70116099071</v>
      </c>
      <c r="G13" s="496">
        <f t="shared" si="0"/>
        <v>-2142.7839818664215</v>
      </c>
      <c r="H13" s="494">
        <f>+[5]인천!$Q$20</f>
        <v>62617.980478457546</v>
      </c>
      <c r="I13" s="495">
        <f>+[5]인천!$R$20</f>
        <v>63943.182004643961</v>
      </c>
      <c r="J13" s="496">
        <f t="shared" si="1"/>
        <v>1325.2015261864144</v>
      </c>
      <c r="K13" s="494">
        <f>+[5]인천!$Q$21</f>
        <v>17607.206425135006</v>
      </c>
      <c r="L13" s="495">
        <f>+[5]인천!$R$21</f>
        <v>17414.040286377709</v>
      </c>
      <c r="M13" s="496">
        <f t="shared" si="2"/>
        <v>-193.16613875729672</v>
      </c>
      <c r="N13" s="494">
        <f>+[5]인천!$Q$22</f>
        <v>314.28571428571428</v>
      </c>
      <c r="O13" s="495">
        <f>+[5]인천!$R$22</f>
        <v>290.67120743034059</v>
      </c>
      <c r="P13" s="496">
        <f t="shared" si="3"/>
        <v>-23.614506855373691</v>
      </c>
      <c r="Q13" s="494">
        <f t="shared" si="4"/>
        <v>80539.472617878258</v>
      </c>
      <c r="R13" s="495">
        <f t="shared" si="5"/>
        <v>81647.893498452002</v>
      </c>
      <c r="S13" s="496">
        <f t="shared" si="6"/>
        <v>1108.4208805737435</v>
      </c>
      <c r="T13" s="494">
        <f t="shared" si="7"/>
        <v>21883.012524978869</v>
      </c>
      <c r="U13" s="495">
        <f t="shared" si="8"/>
        <v>18631.807662538704</v>
      </c>
      <c r="V13" s="496">
        <f t="shared" si="9"/>
        <v>-3251.204862440165</v>
      </c>
    </row>
    <row r="14" spans="4:22" ht="24" customHeight="1">
      <c r="D14" s="451" t="s">
        <v>24</v>
      </c>
      <c r="E14" s="494">
        <f>+[5]파주!$Q$85</f>
        <v>99223.418016303665</v>
      </c>
      <c r="F14" s="495">
        <f>+[5]파주!$R$85</f>
        <v>95898.500225956202</v>
      </c>
      <c r="G14" s="496">
        <f t="shared" si="0"/>
        <v>-3324.9177903474629</v>
      </c>
      <c r="H14" s="494">
        <f>+[5]파주!$Q$20</f>
        <v>56530.483533707338</v>
      </c>
      <c r="I14" s="495">
        <f>+[5]파주!$R$20</f>
        <v>59351.042540960043</v>
      </c>
      <c r="J14" s="496">
        <f t="shared" si="1"/>
        <v>2820.5590072527048</v>
      </c>
      <c r="K14" s="494">
        <f>+[5]파주!$Q$21</f>
        <v>18619.024782608696</v>
      </c>
      <c r="L14" s="495">
        <f>+[5]파주!$R$21</f>
        <v>20278.359134398226</v>
      </c>
      <c r="M14" s="496">
        <f t="shared" si="2"/>
        <v>1659.33435178953</v>
      </c>
      <c r="N14" s="494">
        <f>+[5]파주!$Q$22</f>
        <v>202.5</v>
      </c>
      <c r="O14" s="495">
        <f>+[5]파주!$R$22</f>
        <v>157.74734118999714</v>
      </c>
      <c r="P14" s="496">
        <f t="shared" si="3"/>
        <v>-44.752658810002856</v>
      </c>
      <c r="Q14" s="494">
        <f t="shared" si="4"/>
        <v>75352.008316316031</v>
      </c>
      <c r="R14" s="495">
        <f t="shared" si="5"/>
        <v>79787.149016548268</v>
      </c>
      <c r="S14" s="496">
        <f t="shared" si="6"/>
        <v>4435.1407002322376</v>
      </c>
      <c r="T14" s="494">
        <f t="shared" si="7"/>
        <v>23871.409699987635</v>
      </c>
      <c r="U14" s="495">
        <f t="shared" si="8"/>
        <v>16111.351209407934</v>
      </c>
      <c r="V14" s="496">
        <f t="shared" si="9"/>
        <v>-7760.0584905797004</v>
      </c>
    </row>
    <row r="15" spans="4:22" ht="24" customHeight="1">
      <c r="D15" s="451" t="s">
        <v>178</v>
      </c>
      <c r="E15" s="494">
        <f>+[5]김포!$Q$85</f>
        <v>96193.432432432426</v>
      </c>
      <c r="F15" s="495">
        <f>+[5]김포!$R$85</f>
        <v>95902.436005625888</v>
      </c>
      <c r="G15" s="496">
        <f t="shared" si="0"/>
        <v>-290.99642680653778</v>
      </c>
      <c r="H15" s="494">
        <f>+[5]김포!$Q$20</f>
        <v>53449.947163515018</v>
      </c>
      <c r="I15" s="495">
        <f>+[5]김포!$R$20</f>
        <v>55974.628340365685</v>
      </c>
      <c r="J15" s="496">
        <f t="shared" si="1"/>
        <v>2524.6811768506668</v>
      </c>
      <c r="K15" s="494">
        <f>+[5]김포!$Q$21</f>
        <v>17925.147799501628</v>
      </c>
      <c r="L15" s="495">
        <f>+[5]김포!$R$21</f>
        <v>18375.816338490389</v>
      </c>
      <c r="M15" s="496">
        <f t="shared" si="2"/>
        <v>450.6685389887607</v>
      </c>
      <c r="N15" s="494">
        <f>+[5]김포!$Q$22</f>
        <v>105</v>
      </c>
      <c r="O15" s="495">
        <f>+[5]김포!$R$22</f>
        <v>86.506094702297233</v>
      </c>
      <c r="P15" s="496">
        <f t="shared" si="3"/>
        <v>-18.493905297702767</v>
      </c>
      <c r="Q15" s="494">
        <f t="shared" si="4"/>
        <v>71480.094963016643</v>
      </c>
      <c r="R15" s="495">
        <f t="shared" si="5"/>
        <v>74436.950773558376</v>
      </c>
      <c r="S15" s="496">
        <f t="shared" si="6"/>
        <v>2956.8558105417324</v>
      </c>
      <c r="T15" s="494">
        <f t="shared" si="7"/>
        <v>24713.337469415783</v>
      </c>
      <c r="U15" s="495">
        <f t="shared" si="8"/>
        <v>21465.485232067513</v>
      </c>
      <c r="V15" s="496">
        <f t="shared" si="9"/>
        <v>-3247.8522373482701</v>
      </c>
    </row>
    <row r="16" spans="4:22" ht="24" customHeight="1">
      <c r="D16" s="486" t="s">
        <v>25</v>
      </c>
      <c r="E16" s="497">
        <f>+[5]부산!$Q$85</f>
        <v>107599.50263636363</v>
      </c>
      <c r="F16" s="498">
        <f>+[5]부산!$R$85</f>
        <v>110640.80344332855</v>
      </c>
      <c r="G16" s="499">
        <f t="shared" si="0"/>
        <v>3041.3008069649222</v>
      </c>
      <c r="H16" s="497">
        <f>+[5]부산!$Q$20</f>
        <v>58025.45025231105</v>
      </c>
      <c r="I16" s="498">
        <f>+[5]부산!$R$20</f>
        <v>64404.242181234971</v>
      </c>
      <c r="J16" s="499">
        <f t="shared" si="1"/>
        <v>6378.7919289239217</v>
      </c>
      <c r="K16" s="497">
        <f>+[5]부산!$Q$21</f>
        <v>19638.390782828286</v>
      </c>
      <c r="L16" s="498">
        <f>+[5]부산!$R$21</f>
        <v>20076.458643601785</v>
      </c>
      <c r="M16" s="499">
        <f t="shared" si="2"/>
        <v>438.06786077349898</v>
      </c>
      <c r="N16" s="497">
        <f>+[5]부산!$Q$22</f>
        <v>45.454545454545453</v>
      </c>
      <c r="O16" s="498">
        <f>+[5]부산!$R$22</f>
        <v>0</v>
      </c>
      <c r="P16" s="499">
        <f t="shared" si="3"/>
        <v>-45.454545454545453</v>
      </c>
      <c r="Q16" s="497">
        <f t="shared" si="4"/>
        <v>77709.295580593884</v>
      </c>
      <c r="R16" s="498">
        <f t="shared" si="5"/>
        <v>84480.700824836764</v>
      </c>
      <c r="S16" s="499">
        <f t="shared" si="6"/>
        <v>6771.4052442428801</v>
      </c>
      <c r="T16" s="497">
        <f t="shared" si="7"/>
        <v>29890.207055769744</v>
      </c>
      <c r="U16" s="498">
        <f t="shared" si="8"/>
        <v>26160.102618491786</v>
      </c>
      <c r="V16" s="499">
        <f t="shared" si="9"/>
        <v>-3730.1044372779579</v>
      </c>
    </row>
    <row r="17" spans="4:22" ht="24" customHeight="1">
      <c r="D17" s="451" t="s">
        <v>26</v>
      </c>
      <c r="E17" s="494">
        <f>+[5]서부산!$Q$85</f>
        <v>103903.24615384615</v>
      </c>
      <c r="F17" s="495">
        <f>+[5]서부산!$R$85</f>
        <v>102695.87793896948</v>
      </c>
      <c r="G17" s="496">
        <f t="shared" si="0"/>
        <v>-1207.3682148766675</v>
      </c>
      <c r="H17" s="494">
        <f>+[5]서부산!$Q$20</f>
        <v>59855.190140897292</v>
      </c>
      <c r="I17" s="495">
        <f>+[5]서부산!$R$20</f>
        <v>61255.875580273023</v>
      </c>
      <c r="J17" s="496">
        <f t="shared" si="1"/>
        <v>1400.6854393757312</v>
      </c>
      <c r="K17" s="494">
        <f>+[5]서부산!$Q$21</f>
        <v>16266.590087232355</v>
      </c>
      <c r="L17" s="495">
        <f>+[5]서부산!$R$21</f>
        <v>17233.711587075428</v>
      </c>
      <c r="M17" s="496">
        <f t="shared" si="2"/>
        <v>967.12149984307325</v>
      </c>
      <c r="N17" s="494">
        <f>+[5]서부산!$Q$22</f>
        <v>76.923076923076934</v>
      </c>
      <c r="O17" s="495">
        <f>+[5]서부산!$R$22</f>
        <v>629.61630739532109</v>
      </c>
      <c r="P17" s="496">
        <f t="shared" si="3"/>
        <v>552.69323047224418</v>
      </c>
      <c r="Q17" s="494">
        <f t="shared" si="4"/>
        <v>76198.703305052724</v>
      </c>
      <c r="R17" s="495">
        <f t="shared" si="5"/>
        <v>79119.203474743772</v>
      </c>
      <c r="S17" s="496">
        <f t="shared" si="6"/>
        <v>2920.5001696910476</v>
      </c>
      <c r="T17" s="494">
        <f t="shared" si="7"/>
        <v>27704.542848793426</v>
      </c>
      <c r="U17" s="495">
        <f t="shared" si="8"/>
        <v>23576.674464225711</v>
      </c>
      <c r="V17" s="496">
        <f t="shared" si="9"/>
        <v>-4127.8683845677151</v>
      </c>
    </row>
    <row r="18" spans="4:22" ht="24" customHeight="1">
      <c r="D18" s="451" t="s">
        <v>27</v>
      </c>
      <c r="E18" s="494">
        <f>+[5]김해!$Q$85</f>
        <v>101000.2</v>
      </c>
      <c r="F18" s="495">
        <f>+[5]김해!$R$85</f>
        <v>96092.581274934215</v>
      </c>
      <c r="G18" s="496">
        <f t="shared" si="0"/>
        <v>-4907.6187250657822</v>
      </c>
      <c r="H18" s="494">
        <f>+[5]김해!$Q$20</f>
        <v>57614.511658620948</v>
      </c>
      <c r="I18" s="495">
        <f>+[5]김해!$R$20</f>
        <v>59926.634071810549</v>
      </c>
      <c r="J18" s="496">
        <f t="shared" si="1"/>
        <v>2312.1224131896015</v>
      </c>
      <c r="K18" s="494">
        <f>+[5]김해!$Q$21</f>
        <v>18117.643482190328</v>
      </c>
      <c r="L18" s="495">
        <f>+[5]김해!$R$21</f>
        <v>20499.883541295305</v>
      </c>
      <c r="M18" s="496">
        <f t="shared" si="2"/>
        <v>2382.2400591049773</v>
      </c>
      <c r="N18" s="494">
        <f>+[5]김해!$Q$22</f>
        <v>445.45454545454544</v>
      </c>
      <c r="O18" s="495">
        <f>+[5]김해!$R$22</f>
        <v>481.43790849673201</v>
      </c>
      <c r="P18" s="496">
        <f t="shared" si="3"/>
        <v>35.983363042186568</v>
      </c>
      <c r="Q18" s="494">
        <f t="shared" si="4"/>
        <v>76177.609686265816</v>
      </c>
      <c r="R18" s="495">
        <f t="shared" si="5"/>
        <v>80907.955521602591</v>
      </c>
      <c r="S18" s="496">
        <f t="shared" si="6"/>
        <v>4730.3458353367751</v>
      </c>
      <c r="T18" s="494">
        <f t="shared" si="7"/>
        <v>24822.590313734181</v>
      </c>
      <c r="U18" s="495">
        <f t="shared" si="8"/>
        <v>15184.625753331624</v>
      </c>
      <c r="V18" s="496">
        <f t="shared" si="9"/>
        <v>-9637.9645604025573</v>
      </c>
    </row>
    <row r="19" spans="4:22" ht="24" customHeight="1">
      <c r="D19" s="451" t="s">
        <v>28</v>
      </c>
      <c r="E19" s="494">
        <f>+[5]정관!$Q$85</f>
        <v>104000</v>
      </c>
      <c r="F19" s="495">
        <f>+[5]정관!$R$85</f>
        <v>100519.68995835261</v>
      </c>
      <c r="G19" s="496">
        <f t="shared" si="0"/>
        <v>-3480.3100416473899</v>
      </c>
      <c r="H19" s="494">
        <f>+[5]정관!$Q$20</f>
        <v>58570.53253254509</v>
      </c>
      <c r="I19" s="495">
        <f>+[5]정관!$R$20</f>
        <v>62001.70695038743</v>
      </c>
      <c r="J19" s="496">
        <f t="shared" si="1"/>
        <v>3431.1744178423396</v>
      </c>
      <c r="K19" s="494">
        <f>+[5]정관!$Q$21</f>
        <v>19052.270915032677</v>
      </c>
      <c r="L19" s="495">
        <f>+[5]정관!$R$21</f>
        <v>19711.588874754249</v>
      </c>
      <c r="M19" s="496">
        <f t="shared" si="2"/>
        <v>659.31795972157124</v>
      </c>
      <c r="N19" s="494">
        <f>+[5]정관!$Q$22</f>
        <v>264.70588235294116</v>
      </c>
      <c r="O19" s="495">
        <f>+[5]정관!$R$22</f>
        <v>197.12692263212676</v>
      </c>
      <c r="P19" s="496">
        <f t="shared" si="3"/>
        <v>-67.578959720814396</v>
      </c>
      <c r="Q19" s="494">
        <f t="shared" si="4"/>
        <v>77887.509329930705</v>
      </c>
      <c r="R19" s="495">
        <f t="shared" si="5"/>
        <v>81910.422747773817</v>
      </c>
      <c r="S19" s="496">
        <f t="shared" si="6"/>
        <v>4022.9134178431123</v>
      </c>
      <c r="T19" s="494">
        <f t="shared" si="7"/>
        <v>26112.490670069295</v>
      </c>
      <c r="U19" s="495">
        <f t="shared" si="8"/>
        <v>18609.267210578793</v>
      </c>
      <c r="V19" s="496">
        <f t="shared" si="9"/>
        <v>-7503.2234594905021</v>
      </c>
    </row>
    <row r="20" spans="4:22" ht="24" customHeight="1">
      <c r="D20" s="451" t="s">
        <v>29</v>
      </c>
      <c r="E20" s="494">
        <f>+[5]양산!$Q$85</f>
        <v>97033.996666666673</v>
      </c>
      <c r="F20" s="495">
        <f>+[5]양산!$R$85</f>
        <v>92374.685907859093</v>
      </c>
      <c r="G20" s="496">
        <f t="shared" si="0"/>
        <v>-4659.31075880758</v>
      </c>
      <c r="H20" s="494">
        <f>+[5]양산!$Q$20</f>
        <v>51122.000457256894</v>
      </c>
      <c r="I20" s="495">
        <f>+[5]양산!$R$20</f>
        <v>57550.041192411925</v>
      </c>
      <c r="J20" s="496">
        <f t="shared" si="1"/>
        <v>6428.0407351550311</v>
      </c>
      <c r="K20" s="494">
        <f>+[5]양산!$Q$21</f>
        <v>17357.066228070176</v>
      </c>
      <c r="L20" s="495">
        <f>+[5]양산!$R$21</f>
        <v>18190.842095754291</v>
      </c>
      <c r="M20" s="496">
        <f t="shared" si="2"/>
        <v>833.77586768411493</v>
      </c>
      <c r="N20" s="494">
        <f>+[5]양산!$Q$22</f>
        <v>105.55555555555556</v>
      </c>
      <c r="O20" s="495">
        <f>+[5]양산!$R$22</f>
        <v>21.369918699186993</v>
      </c>
      <c r="P20" s="496">
        <f t="shared" si="3"/>
        <v>-84.185636856368561</v>
      </c>
      <c r="Q20" s="494">
        <f t="shared" si="4"/>
        <v>68584.622240882629</v>
      </c>
      <c r="R20" s="495">
        <f t="shared" si="5"/>
        <v>75762.253206865411</v>
      </c>
      <c r="S20" s="496">
        <f t="shared" si="6"/>
        <v>7177.6309659827821</v>
      </c>
      <c r="T20" s="494">
        <f t="shared" si="7"/>
        <v>28449.374425784044</v>
      </c>
      <c r="U20" s="495">
        <f t="shared" si="8"/>
        <v>16612.432700993682</v>
      </c>
      <c r="V20" s="496">
        <f t="shared" si="9"/>
        <v>-11836.941724790362</v>
      </c>
    </row>
    <row r="21" spans="4:22" ht="24" customHeight="1">
      <c r="D21" s="451" t="s">
        <v>30</v>
      </c>
      <c r="E21" s="494">
        <f>+[5]창원!$Q$85</f>
        <v>101701.8125</v>
      </c>
      <c r="F21" s="495">
        <f>+[5]창원!$R$85</f>
        <v>101375.93152064452</v>
      </c>
      <c r="G21" s="496">
        <f t="shared" si="0"/>
        <v>-325.88097935548285</v>
      </c>
      <c r="H21" s="494">
        <f>+[5]창원!$Q$20</f>
        <v>55782.28625139044</v>
      </c>
      <c r="I21" s="495">
        <f>+[5]창원!$R$20</f>
        <v>57166.228935884523</v>
      </c>
      <c r="J21" s="496">
        <f t="shared" si="1"/>
        <v>1383.9426844940826</v>
      </c>
      <c r="K21" s="494">
        <f>+[5]창원!$Q$21</f>
        <v>16565.951032801418</v>
      </c>
      <c r="L21" s="495">
        <f>+[5]창원!$R$21</f>
        <v>16863.281265152364</v>
      </c>
      <c r="M21" s="496">
        <f t="shared" si="2"/>
        <v>297.33023235094515</v>
      </c>
      <c r="N21" s="494">
        <f>+[5]창원!$Q$22</f>
        <v>75</v>
      </c>
      <c r="O21" s="495">
        <f>+[5]창원!$R$22</f>
        <v>108.94520905598448</v>
      </c>
      <c r="P21" s="496">
        <f t="shared" si="3"/>
        <v>33.945209055984478</v>
      </c>
      <c r="Q21" s="494">
        <f t="shared" si="4"/>
        <v>72423.237284191855</v>
      </c>
      <c r="R21" s="495">
        <f t="shared" si="5"/>
        <v>74138.455410092865</v>
      </c>
      <c r="S21" s="496">
        <f t="shared" si="6"/>
        <v>1715.2181259010104</v>
      </c>
      <c r="T21" s="494">
        <f t="shared" si="7"/>
        <v>29278.575215808145</v>
      </c>
      <c r="U21" s="495">
        <f t="shared" si="8"/>
        <v>27237.476110551652</v>
      </c>
      <c r="V21" s="496">
        <f t="shared" si="9"/>
        <v>-2041.0991052564932</v>
      </c>
    </row>
    <row r="22" spans="4:22" ht="24" customHeight="1">
      <c r="D22" s="451" t="s">
        <v>95</v>
      </c>
      <c r="E22" s="494">
        <f>+[5]대구!$Q$85</f>
        <v>97759.999999999985</v>
      </c>
      <c r="F22" s="495">
        <f>+[5]대구!$R$85</f>
        <v>103120.52162950122</v>
      </c>
      <c r="G22" s="496">
        <f t="shared" si="0"/>
        <v>5360.521629501236</v>
      </c>
      <c r="H22" s="494">
        <f>+[5]대구!$Q$20</f>
        <v>51286.244645768384</v>
      </c>
      <c r="I22" s="495">
        <f>+[5]대구!$R$20</f>
        <v>55059.433693168387</v>
      </c>
      <c r="J22" s="496">
        <f t="shared" si="1"/>
        <v>3773.1890474000029</v>
      </c>
      <c r="K22" s="494">
        <f>+[5]대구!$Q$21</f>
        <v>17358.298750000002</v>
      </c>
      <c r="L22" s="495">
        <f>+[5]대구!$R$21</f>
        <v>20245.766291072414</v>
      </c>
      <c r="M22" s="496">
        <f t="shared" si="2"/>
        <v>2887.4675410724121</v>
      </c>
      <c r="N22" s="494">
        <f>+[5]대구!$Q$22</f>
        <v>318.75</v>
      </c>
      <c r="O22" s="495">
        <f>+[5]대구!$R$22</f>
        <v>330.631471121267</v>
      </c>
      <c r="P22" s="496">
        <f t="shared" si="3"/>
        <v>11.881471121266998</v>
      </c>
      <c r="Q22" s="494">
        <f t="shared" si="4"/>
        <v>68963.293395768385</v>
      </c>
      <c r="R22" s="495">
        <f t="shared" si="5"/>
        <v>75635.831455362058</v>
      </c>
      <c r="S22" s="496">
        <f t="shared" si="6"/>
        <v>6672.5380595936731</v>
      </c>
      <c r="T22" s="494">
        <f t="shared" si="7"/>
        <v>28796.7066042316</v>
      </c>
      <c r="U22" s="495">
        <f t="shared" si="8"/>
        <v>27484.690174139163</v>
      </c>
      <c r="V22" s="496">
        <f t="shared" si="9"/>
        <v>-1312.0164300924371</v>
      </c>
    </row>
    <row r="23" spans="4:22" ht="24" customHeight="1">
      <c r="D23" s="451" t="s">
        <v>97</v>
      </c>
      <c r="E23" s="494">
        <f>+[5]울산!$Q$85</f>
        <v>101258.51400000001</v>
      </c>
      <c r="F23" s="495">
        <f>+[5]울산!$R$85</f>
        <v>105872.99192449571</v>
      </c>
      <c r="G23" s="496">
        <f t="shared" si="0"/>
        <v>4614.4779244957026</v>
      </c>
      <c r="H23" s="494">
        <f>+[5]울산!$Q$20</f>
        <v>56820.277934742306</v>
      </c>
      <c r="I23" s="495">
        <f>+[5]울산!$R$20</f>
        <v>60427.069156890764</v>
      </c>
      <c r="J23" s="496">
        <f t="shared" si="1"/>
        <v>3606.7912221484585</v>
      </c>
      <c r="K23" s="494">
        <f>+[5]울산!$Q$21</f>
        <v>20991.184300366298</v>
      </c>
      <c r="L23" s="495">
        <f>+[5]울산!$R$21</f>
        <v>20588.356319165196</v>
      </c>
      <c r="M23" s="496">
        <f t="shared" si="2"/>
        <v>-402.82798120110238</v>
      </c>
      <c r="N23" s="494">
        <f>+[5]울산!$Q$22</f>
        <v>260</v>
      </c>
      <c r="O23" s="495">
        <f>+[5]울산!$R$22</f>
        <v>237.92835066963545</v>
      </c>
      <c r="P23" s="496">
        <f t="shared" si="3"/>
        <v>-22.071649330364551</v>
      </c>
      <c r="Q23" s="494">
        <f t="shared" si="4"/>
        <v>78071.4622351086</v>
      </c>
      <c r="R23" s="495">
        <f t="shared" si="5"/>
        <v>81253.353826725594</v>
      </c>
      <c r="S23" s="496">
        <f t="shared" si="6"/>
        <v>3181.8915916169935</v>
      </c>
      <c r="T23" s="494">
        <f t="shared" si="7"/>
        <v>23187.05176489141</v>
      </c>
      <c r="U23" s="495">
        <f t="shared" si="8"/>
        <v>24619.638097770119</v>
      </c>
      <c r="V23" s="496">
        <f t="shared" si="9"/>
        <v>1432.5863328787091</v>
      </c>
    </row>
    <row r="24" spans="4:22" ht="24" customHeight="1">
      <c r="D24" s="486" t="s">
        <v>31</v>
      </c>
      <c r="E24" s="497">
        <f>+[5]아산!$Q$85</f>
        <v>101000.15</v>
      </c>
      <c r="F24" s="498">
        <f>+[5]아산!$R$85</f>
        <v>102242.86088034717</v>
      </c>
      <c r="G24" s="499">
        <f t="shared" si="0"/>
        <v>1242.7108803471783</v>
      </c>
      <c r="H24" s="497">
        <f>+[5]아산!$Q$20</f>
        <v>55812.421152453346</v>
      </c>
      <c r="I24" s="498">
        <f>+[5]아산!$R$20</f>
        <v>58705.202791157222</v>
      </c>
      <c r="J24" s="499">
        <f t="shared" si="1"/>
        <v>2892.7816387038765</v>
      </c>
      <c r="K24" s="497">
        <f>+[5]아산!$Q$21</f>
        <v>20629.190336879434</v>
      </c>
      <c r="L24" s="498">
        <f>+[5]아산!$R$21</f>
        <v>16788.771890823762</v>
      </c>
      <c r="M24" s="499">
        <f t="shared" si="2"/>
        <v>-3840.4184460556717</v>
      </c>
      <c r="N24" s="497">
        <f>+[5]아산!$Q$22</f>
        <v>166.66666666666666</v>
      </c>
      <c r="O24" s="498">
        <f>+[5]아산!$R$22</f>
        <v>216.56848215388416</v>
      </c>
      <c r="P24" s="499">
        <f t="shared" si="3"/>
        <v>49.901815487217505</v>
      </c>
      <c r="Q24" s="497">
        <f t="shared" si="4"/>
        <v>76608.278155999447</v>
      </c>
      <c r="R24" s="498">
        <f t="shared" si="5"/>
        <v>75710.54316413487</v>
      </c>
      <c r="S24" s="499">
        <f t="shared" si="6"/>
        <v>-897.73499186457775</v>
      </c>
      <c r="T24" s="497">
        <f t="shared" si="7"/>
        <v>24391.871844000547</v>
      </c>
      <c r="U24" s="498">
        <f t="shared" si="8"/>
        <v>26532.317716212303</v>
      </c>
      <c r="V24" s="499">
        <f t="shared" si="9"/>
        <v>2140.4458722117561</v>
      </c>
    </row>
    <row r="25" spans="4:22" ht="24" customHeight="1">
      <c r="D25" s="451" t="s">
        <v>34</v>
      </c>
      <c r="E25" s="494">
        <f>+[5]전주!$Q$85</f>
        <v>103006.91399999999</v>
      </c>
      <c r="F25" s="495">
        <f>+[5]전주!$R$85</f>
        <v>95009.847030408127</v>
      </c>
      <c r="G25" s="496">
        <f t="shared" si="0"/>
        <v>-7997.0669695918623</v>
      </c>
      <c r="H25" s="494">
        <f>+[5]전주!$Q$20</f>
        <v>55175.166588802371</v>
      </c>
      <c r="I25" s="495">
        <f>+[5]전주!$R$20</f>
        <v>54488.900724592808</v>
      </c>
      <c r="J25" s="496">
        <f t="shared" si="1"/>
        <v>-686.26586420956301</v>
      </c>
      <c r="K25" s="494">
        <f>+[5]전주!$Q$21</f>
        <v>17135.006413978495</v>
      </c>
      <c r="L25" s="495">
        <f>+[5]전주!$R$21</f>
        <v>17338.381990462625</v>
      </c>
      <c r="M25" s="496">
        <f t="shared" si="2"/>
        <v>203.37557648412985</v>
      </c>
      <c r="N25" s="494">
        <f>+[5]전주!$Q$22</f>
        <v>300</v>
      </c>
      <c r="O25" s="495">
        <f>+[5]전주!$R$22</f>
        <v>45.683160958692014</v>
      </c>
      <c r="P25" s="496">
        <f t="shared" si="3"/>
        <v>-254.31683904130799</v>
      </c>
      <c r="Q25" s="494">
        <f t="shared" si="4"/>
        <v>72610.173002780866</v>
      </c>
      <c r="R25" s="495">
        <f t="shared" si="5"/>
        <v>71872.965876014132</v>
      </c>
      <c r="S25" s="496">
        <f t="shared" si="6"/>
        <v>-737.20712676673429</v>
      </c>
      <c r="T25" s="494">
        <f t="shared" si="7"/>
        <v>30396.740997219124</v>
      </c>
      <c r="U25" s="495">
        <f t="shared" si="8"/>
        <v>23136.881154393996</v>
      </c>
      <c r="V25" s="496">
        <f t="shared" si="9"/>
        <v>-7259.859842825128</v>
      </c>
    </row>
    <row r="26" spans="4:22" ht="24" customHeight="1">
      <c r="D26" s="451" t="s">
        <v>33</v>
      </c>
      <c r="E26" s="494">
        <f>+[5]군산!$Q$85</f>
        <v>108999.86128571429</v>
      </c>
      <c r="F26" s="495">
        <f>+[5]군산!$R$85</f>
        <v>119960.37304118706</v>
      </c>
      <c r="G26" s="496">
        <f t="shared" si="0"/>
        <v>10960.511755472777</v>
      </c>
      <c r="H26" s="494">
        <f>+[5]군산!$Q$20</f>
        <v>56475.836559139789</v>
      </c>
      <c r="I26" s="495">
        <f>+[5]군산!$R$20</f>
        <v>61010.560393842752</v>
      </c>
      <c r="J26" s="496">
        <f t="shared" si="1"/>
        <v>4534.7238347029634</v>
      </c>
      <c r="K26" s="494">
        <f>+[5]군산!$Q$21</f>
        <v>13171.534241531663</v>
      </c>
      <c r="L26" s="495">
        <f>+[5]군산!$R$21</f>
        <v>14093.748439883513</v>
      </c>
      <c r="M26" s="496">
        <f t="shared" si="2"/>
        <v>922.21419835185043</v>
      </c>
      <c r="N26" s="494">
        <f>+[5]군산!$Q$22</f>
        <v>64.285714285714278</v>
      </c>
      <c r="O26" s="495">
        <f>+[5]군산!$R$22</f>
        <v>59.122729163777556</v>
      </c>
      <c r="P26" s="496">
        <f t="shared" si="3"/>
        <v>-5.1629851219367211</v>
      </c>
      <c r="Q26" s="494">
        <f t="shared" si="4"/>
        <v>69711.656514957169</v>
      </c>
      <c r="R26" s="495">
        <f t="shared" si="5"/>
        <v>75163.431562890037</v>
      </c>
      <c r="S26" s="496">
        <f t="shared" si="6"/>
        <v>5451.7750479328679</v>
      </c>
      <c r="T26" s="494">
        <f t="shared" si="7"/>
        <v>39288.204770757118</v>
      </c>
      <c r="U26" s="495">
        <f t="shared" si="8"/>
        <v>44796.941478297027</v>
      </c>
      <c r="V26" s="496">
        <f t="shared" si="9"/>
        <v>5508.7367075399088</v>
      </c>
    </row>
    <row r="27" spans="4:22" ht="24" customHeight="1">
      <c r="D27" s="451" t="s">
        <v>32</v>
      </c>
      <c r="E27" s="494">
        <f>+[5]원주!$Q$85</f>
        <v>107900</v>
      </c>
      <c r="F27" s="495">
        <f>+[5]원주!$R$85</f>
        <v>114543.57564040599</v>
      </c>
      <c r="G27" s="496">
        <f t="shared" si="0"/>
        <v>6643.5756404059939</v>
      </c>
      <c r="H27" s="494">
        <f>+[5]원주!$Q$20</f>
        <v>56418.304301075266</v>
      </c>
      <c r="I27" s="495">
        <f>+[5]원주!$R$20</f>
        <v>60493.710778153698</v>
      </c>
      <c r="J27" s="496">
        <f t="shared" si="1"/>
        <v>4075.4064770784316</v>
      </c>
      <c r="K27" s="494">
        <f>+[5]원주!$Q$21</f>
        <v>16191.588212446835</v>
      </c>
      <c r="L27" s="495">
        <f>+[5]원주!$R$21</f>
        <v>14140.192170130496</v>
      </c>
      <c r="M27" s="496">
        <f t="shared" si="2"/>
        <v>-2051.3960423163389</v>
      </c>
      <c r="N27" s="494">
        <f>+[5]원주!$Q$22</f>
        <v>300</v>
      </c>
      <c r="O27" s="495">
        <f>+[5]원주!$R$22</f>
        <v>385.55302078298695</v>
      </c>
      <c r="P27" s="496">
        <f t="shared" si="3"/>
        <v>85.553020782986948</v>
      </c>
      <c r="Q27" s="494">
        <f t="shared" si="4"/>
        <v>72909.892513522107</v>
      </c>
      <c r="R27" s="495">
        <f t="shared" si="5"/>
        <v>75019.455969067189</v>
      </c>
      <c r="S27" s="496">
        <f t="shared" si="6"/>
        <v>2109.5634555450815</v>
      </c>
      <c r="T27" s="494">
        <f t="shared" si="7"/>
        <v>34990.107486477893</v>
      </c>
      <c r="U27" s="495">
        <f t="shared" si="8"/>
        <v>39524.119671338805</v>
      </c>
      <c r="V27" s="496">
        <f t="shared" si="9"/>
        <v>4534.0121848609124</v>
      </c>
    </row>
    <row r="28" spans="4:22" ht="24" customHeight="1">
      <c r="D28" s="500" t="s">
        <v>35</v>
      </c>
      <c r="E28" s="501">
        <f>+[5]제주!$Q$85</f>
        <v>126800</v>
      </c>
      <c r="F28" s="502">
        <f>+[5]제주!$R$85</f>
        <v>122740.07663719082</v>
      </c>
      <c r="G28" s="503">
        <f t="shared" si="0"/>
        <v>-4059.9233628091752</v>
      </c>
      <c r="H28" s="501">
        <f>+[5]제주!$Q$20</f>
        <v>74451.600262884676</v>
      </c>
      <c r="I28" s="502">
        <f>+[5]제주!$R$20</f>
        <v>75382.948353197484</v>
      </c>
      <c r="J28" s="503">
        <f t="shared" si="1"/>
        <v>931.34809031280747</v>
      </c>
      <c r="K28" s="501">
        <f>+[5]제주!$Q$21</f>
        <v>16626.410256410258</v>
      </c>
      <c r="L28" s="502">
        <f>+[5]제주!$R$21</f>
        <v>16136.695886197618</v>
      </c>
      <c r="M28" s="503">
        <f t="shared" si="2"/>
        <v>-489.71437021263955</v>
      </c>
      <c r="N28" s="501">
        <f>+[5]제주!$Q$22</f>
        <v>0</v>
      </c>
      <c r="O28" s="502">
        <f>+[5]제주!$R$22</f>
        <v>488.92989875688835</v>
      </c>
      <c r="P28" s="503">
        <f t="shared" si="3"/>
        <v>488.92989875688835</v>
      </c>
      <c r="Q28" s="501">
        <f t="shared" si="4"/>
        <v>91078.010519294941</v>
      </c>
      <c r="R28" s="502">
        <f t="shared" si="5"/>
        <v>92008.574138151991</v>
      </c>
      <c r="S28" s="503">
        <f t="shared" si="6"/>
        <v>930.56361885704973</v>
      </c>
      <c r="T28" s="501">
        <f t="shared" si="7"/>
        <v>35721.989480705059</v>
      </c>
      <c r="U28" s="502">
        <f t="shared" si="8"/>
        <v>30731.502499038834</v>
      </c>
      <c r="V28" s="503">
        <f t="shared" si="9"/>
        <v>-4990.4869816662249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240</v>
      </c>
      <c r="F4" s="184"/>
      <c r="I4" s="184"/>
    </row>
    <row r="5" spans="4:22" ht="21.95" customHeight="1"/>
    <row r="6" spans="4:22" ht="24" customHeight="1" thickBot="1">
      <c r="D6" s="830" t="s">
        <v>11</v>
      </c>
      <c r="E6" s="439" t="s">
        <v>156</v>
      </c>
      <c r="F6" s="440"/>
      <c r="G6" s="441"/>
      <c r="H6" s="439" t="s">
        <v>155</v>
      </c>
      <c r="I6" s="440"/>
      <c r="J6" s="441"/>
      <c r="K6" s="439" t="s">
        <v>154</v>
      </c>
      <c r="L6" s="440"/>
      <c r="M6" s="441"/>
      <c r="N6" s="439" t="s">
        <v>153</v>
      </c>
      <c r="O6" s="440"/>
      <c r="P6" s="441"/>
      <c r="Q6" s="439" t="s">
        <v>152</v>
      </c>
      <c r="R6" s="440"/>
      <c r="S6" s="441"/>
      <c r="T6" s="439" t="s">
        <v>151</v>
      </c>
      <c r="U6" s="440"/>
      <c r="V6" s="441"/>
    </row>
    <row r="7" spans="4:22" ht="24" customHeight="1">
      <c r="D7" s="831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544">
        <f>+[5]합계!$G$9</f>
        <v>100518.4125651543</v>
      </c>
      <c r="F8" s="545">
        <f>+[5]합계!$H$9</f>
        <v>100368.31384562985</v>
      </c>
      <c r="G8" s="546">
        <f>+F8-E8</f>
        <v>-150.09871952445246</v>
      </c>
      <c r="H8" s="544">
        <f>+[5]합계!$G$10</f>
        <v>91713.129198411785</v>
      </c>
      <c r="I8" s="545">
        <f>+[5]합계!$H$10</f>
        <v>92772.27307588367</v>
      </c>
      <c r="J8" s="546">
        <f>+I8-H8</f>
        <v>1059.1438774718845</v>
      </c>
      <c r="K8" s="544">
        <f>+[5]합계!$G$12</f>
        <v>64092.956001343635</v>
      </c>
      <c r="L8" s="545">
        <f>+[5]합계!$H$12</f>
        <v>63761.348289281901</v>
      </c>
      <c r="M8" s="546">
        <f>+L8-K8</f>
        <v>-331.60771206173376</v>
      </c>
      <c r="N8" s="544">
        <f>+[5]합계!$G$13</f>
        <v>40378.765934764175</v>
      </c>
      <c r="O8" s="545">
        <f>+[5]합계!$H$13</f>
        <v>41202.216231314131</v>
      </c>
      <c r="P8" s="546">
        <f>+O8-N8</f>
        <v>823.45029654995597</v>
      </c>
      <c r="Q8" s="544">
        <f>+[5]합계!$G$16</f>
        <v>12772.122787609409</v>
      </c>
      <c r="R8" s="545">
        <f>+[5]합계!$H$16</f>
        <v>13241.910604358518</v>
      </c>
      <c r="S8" s="546">
        <f>+R8-Q8</f>
        <v>469.78781674910897</v>
      </c>
      <c r="T8" s="544">
        <f>+[5]합계!$G$17</f>
        <v>15858.674150455141</v>
      </c>
      <c r="U8" s="545">
        <f>+[5]합계!$H$17</f>
        <v>16229.220720648151</v>
      </c>
      <c r="V8" s="546">
        <f>+U8-T8</f>
        <v>370.54657019300976</v>
      </c>
    </row>
    <row r="9" spans="4:22" ht="24" customHeight="1">
      <c r="D9" s="471" t="s">
        <v>19</v>
      </c>
      <c r="E9" s="547">
        <f>+[5]수도권!$G$9</f>
        <v>99999.999999999985</v>
      </c>
      <c r="F9" s="548">
        <f>+[5]수도권!$H$9</f>
        <v>99894.896148001993</v>
      </c>
      <c r="G9" s="549">
        <f t="shared" ref="G9:G28" si="0">+F9-E9</f>
        <v>-105.10385199799202</v>
      </c>
      <c r="H9" s="547">
        <f>+[5]수도권!$G$10</f>
        <v>92684.412655908673</v>
      </c>
      <c r="I9" s="548">
        <f>+[5]수도권!$H$10</f>
        <v>95606.609638319685</v>
      </c>
      <c r="J9" s="549">
        <f t="shared" ref="J9:J28" si="1">+I9-H9</f>
        <v>2922.1969824110129</v>
      </c>
      <c r="K9" s="547">
        <f>+[5]수도권!$G$12</f>
        <v>64319.473016221607</v>
      </c>
      <c r="L9" s="548">
        <f>+[5]수도권!$H$12</f>
        <v>64275.654983356064</v>
      </c>
      <c r="M9" s="549">
        <f t="shared" ref="M9:M28" si="2">+L9-K9</f>
        <v>-43.818032865543501</v>
      </c>
      <c r="N9" s="547">
        <f>+[5]수도권!$G$13</f>
        <v>45165.003495045748</v>
      </c>
      <c r="O9" s="548">
        <f>+[5]수도권!$H$13</f>
        <v>47722.711596455352</v>
      </c>
      <c r="P9" s="549">
        <f t="shared" ref="P9:P28" si="3">+O9-N9</f>
        <v>2557.7081014096038</v>
      </c>
      <c r="Q9" s="547">
        <f>+[5]수도권!$G$16</f>
        <v>15355.351303574174</v>
      </c>
      <c r="R9" s="548">
        <f>+[5]수도권!$H$16</f>
        <v>16254.630579354263</v>
      </c>
      <c r="S9" s="549">
        <f t="shared" ref="S9:S28" si="4">+R9-Q9</f>
        <v>899.27927578008894</v>
      </c>
      <c r="T9" s="547">
        <f>+[5]수도권!$G$17</f>
        <v>14777.100520052993</v>
      </c>
      <c r="U9" s="548">
        <f>+[5]수도권!$H$17</f>
        <v>14769.043775642587</v>
      </c>
      <c r="V9" s="549">
        <f t="shared" ref="V9:V28" si="5">+U9-T9</f>
        <v>-8.056744410405372</v>
      </c>
    </row>
    <row r="10" spans="4:22" ht="24" customHeight="1">
      <c r="D10" s="472" t="s">
        <v>20</v>
      </c>
      <c r="E10" s="550">
        <f>+[5]영남권!$G$9</f>
        <v>100000.00000000001</v>
      </c>
      <c r="F10" s="551">
        <f>+[5]영남권!$H$9</f>
        <v>99991.642624407032</v>
      </c>
      <c r="G10" s="552">
        <f t="shared" si="0"/>
        <v>-8.3573755929828621</v>
      </c>
      <c r="H10" s="550">
        <f>+[5]영남권!$G$10</f>
        <v>92100.000000000029</v>
      </c>
      <c r="I10" s="551">
        <f>+[5]영남권!$H$10</f>
        <v>92336.421061530462</v>
      </c>
      <c r="J10" s="552">
        <f t="shared" si="1"/>
        <v>236.42106153043278</v>
      </c>
      <c r="K10" s="550">
        <f>+[5]영남권!$G$12</f>
        <v>63729.991054779079</v>
      </c>
      <c r="L10" s="551">
        <f>+[5]영남권!$H$12</f>
        <v>63050.054040436204</v>
      </c>
      <c r="M10" s="552">
        <f t="shared" si="2"/>
        <v>-679.93701434287505</v>
      </c>
      <c r="N10" s="550">
        <f>+[5]영남권!$G$13</f>
        <v>35468.34101649074</v>
      </c>
      <c r="O10" s="551">
        <f>+[5]영남권!$H$13</f>
        <v>35535.440193400565</v>
      </c>
      <c r="P10" s="552">
        <f t="shared" si="3"/>
        <v>67.099176909825474</v>
      </c>
      <c r="Q10" s="550">
        <f>+[5]영남권!$G$16</f>
        <v>10400.722097146547</v>
      </c>
      <c r="R10" s="551">
        <f>+[5]영남권!$H$16</f>
        <v>11039.378014405345</v>
      </c>
      <c r="S10" s="552">
        <f t="shared" si="4"/>
        <v>638.65591725879858</v>
      </c>
      <c r="T10" s="550">
        <f>+[5]영남권!$G$17</f>
        <v>17348.167206000602</v>
      </c>
      <c r="U10" s="551">
        <f>+[5]영남권!$H$17</f>
        <v>17934.141899001203</v>
      </c>
      <c r="V10" s="552">
        <f t="shared" si="5"/>
        <v>585.97469300060038</v>
      </c>
    </row>
    <row r="11" spans="4:22" ht="24" customHeight="1">
      <c r="D11" s="473" t="s">
        <v>57</v>
      </c>
      <c r="E11" s="553">
        <f>+[5]중부권!$G$9</f>
        <v>102669.92048761486</v>
      </c>
      <c r="F11" s="554">
        <f>+[5]중부권!$H$9</f>
        <v>101980.94415956095</v>
      </c>
      <c r="G11" s="555">
        <f t="shared" si="0"/>
        <v>-688.97632805390458</v>
      </c>
      <c r="H11" s="553">
        <f>+[5]중부권!$G$10</f>
        <v>88660.377507502766</v>
      </c>
      <c r="I11" s="554">
        <f>+[5]중부권!$H$10</f>
        <v>95765.54836026259</v>
      </c>
      <c r="J11" s="555">
        <f t="shared" si="1"/>
        <v>7105.1708527598239</v>
      </c>
      <c r="K11" s="553">
        <f>+[5]중부권!$G$12</f>
        <v>64662.487215424815</v>
      </c>
      <c r="L11" s="554">
        <f>+[5]중부권!$H$12</f>
        <v>64611.987833186264</v>
      </c>
      <c r="M11" s="555">
        <f t="shared" si="2"/>
        <v>-50.499382238551334</v>
      </c>
      <c r="N11" s="553">
        <f>+[5]중부권!$G$13</f>
        <v>41238.010457992794</v>
      </c>
      <c r="O11" s="554">
        <f>+[5]중부권!$H$13</f>
        <v>40927.358020665975</v>
      </c>
      <c r="P11" s="555">
        <f t="shared" si="3"/>
        <v>-310.65243732681847</v>
      </c>
      <c r="Q11" s="553">
        <f>+[5]중부권!$G$16</f>
        <v>12578.836628692683</v>
      </c>
      <c r="R11" s="554">
        <f>+[5]중부권!$H$16</f>
        <v>12850.893231586952</v>
      </c>
      <c r="S11" s="555">
        <f t="shared" si="4"/>
        <v>272.05660289426851</v>
      </c>
      <c r="T11" s="553">
        <f>+[5]중부권!$G$17</f>
        <v>14600.945827203255</v>
      </c>
      <c r="U11" s="554">
        <f>+[5]중부권!$H$17</f>
        <v>14599.28455455499</v>
      </c>
      <c r="V11" s="555">
        <f t="shared" si="5"/>
        <v>-1.661272648265367</v>
      </c>
    </row>
    <row r="12" spans="4:22" ht="24" customHeight="1">
      <c r="D12" s="485" t="s">
        <v>22</v>
      </c>
      <c r="E12" s="556">
        <f>+[5]안양!$G$9</f>
        <v>100000</v>
      </c>
      <c r="F12" s="557">
        <f>+[5]안양!$H$9</f>
        <v>99853.948495079705</v>
      </c>
      <c r="G12" s="558">
        <f t="shared" si="0"/>
        <v>-146.05150492029497</v>
      </c>
      <c r="H12" s="556">
        <f>+[5]안양!$G$10</f>
        <v>87100.000000000015</v>
      </c>
      <c r="I12" s="557">
        <f>+[5]안양!$H$10</f>
        <v>0</v>
      </c>
      <c r="J12" s="558">
        <f t="shared" si="1"/>
        <v>-87100.000000000015</v>
      </c>
      <c r="K12" s="556">
        <f>+[5]안양!$G$12</f>
        <v>64000</v>
      </c>
      <c r="L12" s="557">
        <f>+[5]안양!$H$12</f>
        <v>64172.92917197926</v>
      </c>
      <c r="M12" s="558">
        <f t="shared" si="2"/>
        <v>172.92917197925999</v>
      </c>
      <c r="N12" s="556">
        <f>+[5]안양!$G$13</f>
        <v>45000</v>
      </c>
      <c r="O12" s="557">
        <f>+[5]안양!$H$13</f>
        <v>46811.472611308425</v>
      </c>
      <c r="P12" s="558">
        <f t="shared" si="3"/>
        <v>1811.4726113084253</v>
      </c>
      <c r="Q12" s="556">
        <f>+[5]안양!$G$16</f>
        <v>15333.333333333334</v>
      </c>
      <c r="R12" s="557">
        <f>+[5]안양!$H$16</f>
        <v>16766.819393077178</v>
      </c>
      <c r="S12" s="558">
        <f t="shared" si="4"/>
        <v>1433.4860597438437</v>
      </c>
      <c r="T12" s="556">
        <f>+[5]안양!$G$17</f>
        <v>15161.290322580646</v>
      </c>
      <c r="U12" s="557">
        <f>+[5]안양!$H$17</f>
        <v>15916.545232392291</v>
      </c>
      <c r="V12" s="558">
        <f t="shared" si="5"/>
        <v>755.25490981164512</v>
      </c>
    </row>
    <row r="13" spans="4:22" ht="24" customHeight="1">
      <c r="D13" s="451" t="s">
        <v>23</v>
      </c>
      <c r="E13" s="559">
        <f>+[5]인천!$G$9</f>
        <v>100000</v>
      </c>
      <c r="F13" s="560">
        <f>+[5]인천!$H$9</f>
        <v>99825.249398670378</v>
      </c>
      <c r="G13" s="561">
        <f t="shared" si="0"/>
        <v>-174.75060132962244</v>
      </c>
      <c r="H13" s="559">
        <f>+[5]인천!$G$10</f>
        <v>99500</v>
      </c>
      <c r="I13" s="560">
        <f>+[5]인천!$H$10</f>
        <v>92593.462128305167</v>
      </c>
      <c r="J13" s="561">
        <f t="shared" si="1"/>
        <v>-6906.5378716948326</v>
      </c>
      <c r="K13" s="559">
        <f>+[5]인천!$G$12</f>
        <v>64500</v>
      </c>
      <c r="L13" s="560">
        <f>+[5]인천!$H$12</f>
        <v>64499.009516378348</v>
      </c>
      <c r="M13" s="561">
        <f t="shared" si="2"/>
        <v>-0.99048362165194703</v>
      </c>
      <c r="N13" s="559">
        <f>+[5]인천!$G$13</f>
        <v>45000</v>
      </c>
      <c r="O13" s="560">
        <f>+[5]인천!$H$13</f>
        <v>50475.769078882236</v>
      </c>
      <c r="P13" s="561">
        <f t="shared" si="3"/>
        <v>5475.7690788822365</v>
      </c>
      <c r="Q13" s="559">
        <f>+[5]인천!$G$16</f>
        <v>15733.333333333332</v>
      </c>
      <c r="R13" s="560">
        <f>+[5]인천!$H$16</f>
        <v>15928.953424659945</v>
      </c>
      <c r="S13" s="561">
        <f t="shared" si="4"/>
        <v>195.62009132661296</v>
      </c>
      <c r="T13" s="559">
        <f>+[5]인천!$G$17</f>
        <v>15504.278556367113</v>
      </c>
      <c r="U13" s="560">
        <f>+[5]인천!$H$17</f>
        <v>15255.068529465119</v>
      </c>
      <c r="V13" s="561">
        <f t="shared" si="5"/>
        <v>-249.21002690199384</v>
      </c>
    </row>
    <row r="14" spans="4:22" ht="24" customHeight="1">
      <c r="D14" s="451" t="s">
        <v>24</v>
      </c>
      <c r="E14" s="559">
        <f>+[5]파주!$G$9</f>
        <v>100000</v>
      </c>
      <c r="F14" s="560">
        <f>+[5]파주!$H$9</f>
        <v>99999.999687929027</v>
      </c>
      <c r="G14" s="561">
        <f t="shared" si="0"/>
        <v>-3.1207097345031798E-4</v>
      </c>
      <c r="H14" s="559">
        <f>+[5]파주!$G$10</f>
        <v>0</v>
      </c>
      <c r="I14" s="560">
        <f>+[5]파주!$H$10</f>
        <v>97410.815648171818</v>
      </c>
      <c r="J14" s="561">
        <f t="shared" si="1"/>
        <v>97410.815648171818</v>
      </c>
      <c r="K14" s="559">
        <f>+[5]파주!$G$12</f>
        <v>64499.999999999985</v>
      </c>
      <c r="L14" s="560">
        <f>+[5]파주!$H$12</f>
        <v>64375.717939941409</v>
      </c>
      <c r="M14" s="561">
        <f t="shared" si="2"/>
        <v>-124.28206005857646</v>
      </c>
      <c r="N14" s="559">
        <f>+[5]파주!$G$13</f>
        <v>45000</v>
      </c>
      <c r="O14" s="560">
        <f>+[5]파주!$H$13</f>
        <v>44464.285006344886</v>
      </c>
      <c r="P14" s="561">
        <f t="shared" si="3"/>
        <v>-535.71499365511409</v>
      </c>
      <c r="Q14" s="559">
        <f>+[5]파주!$G$16</f>
        <v>15266.666666666672</v>
      </c>
      <c r="R14" s="560">
        <f>+[5]파주!$H$16</f>
        <v>16503.537488351911</v>
      </c>
      <c r="S14" s="561">
        <f t="shared" si="4"/>
        <v>1236.8708216852392</v>
      </c>
      <c r="T14" s="559">
        <f>+[5]파주!$G$17</f>
        <v>13419.354838709676</v>
      </c>
      <c r="U14" s="560">
        <f>+[5]파주!$H$17</f>
        <v>12988.598185871557</v>
      </c>
      <c r="V14" s="561">
        <f t="shared" si="5"/>
        <v>-430.75665283811941</v>
      </c>
    </row>
    <row r="15" spans="4:22" ht="24" customHeight="1">
      <c r="D15" s="451" t="s">
        <v>178</v>
      </c>
      <c r="E15" s="559">
        <f>+[5]김포!$G$9</f>
        <v>100000</v>
      </c>
      <c r="F15" s="560">
        <f>+[5]김포!$H$9</f>
        <v>99999.997226107342</v>
      </c>
      <c r="G15" s="561">
        <f t="shared" si="0"/>
        <v>-2.7738926582969725E-3</v>
      </c>
      <c r="H15" s="559">
        <f>+[5]김포!$G$10</f>
        <v>0</v>
      </c>
      <c r="I15" s="560">
        <f>+[5]김포!$H$10</f>
        <v>0</v>
      </c>
      <c r="J15" s="561">
        <f t="shared" si="1"/>
        <v>0</v>
      </c>
      <c r="K15" s="559">
        <f>+[5]김포!$G$12</f>
        <v>64300</v>
      </c>
      <c r="L15" s="560">
        <f>+[5]김포!$H$12</f>
        <v>63831.380470973309</v>
      </c>
      <c r="M15" s="561">
        <f t="shared" si="2"/>
        <v>-468.61952902669145</v>
      </c>
      <c r="N15" s="559">
        <f>+[5]김포!$G$13</f>
        <v>46000</v>
      </c>
      <c r="O15" s="560">
        <f>+[5]김포!$H$13</f>
        <v>51925.064022343504</v>
      </c>
      <c r="P15" s="561">
        <f t="shared" si="3"/>
        <v>5925.0640223435039</v>
      </c>
      <c r="Q15" s="559">
        <f>+[5]김포!$G$16</f>
        <v>14666.666666666666</v>
      </c>
      <c r="R15" s="560">
        <f>+[5]김포!$H$16</f>
        <v>14657.523554804522</v>
      </c>
      <c r="S15" s="561">
        <f t="shared" si="4"/>
        <v>-9.1431118621439964</v>
      </c>
      <c r="T15" s="559">
        <f>+[5]김포!$G$17</f>
        <v>14394.556042661781</v>
      </c>
      <c r="U15" s="560">
        <f>+[5]김포!$H$17</f>
        <v>14540.532564592788</v>
      </c>
      <c r="V15" s="561">
        <f t="shared" si="5"/>
        <v>145.97652193100657</v>
      </c>
    </row>
    <row r="16" spans="4:22" ht="24" customHeight="1">
      <c r="D16" s="486" t="s">
        <v>25</v>
      </c>
      <c r="E16" s="562">
        <f>+[5]부산!$G$9</f>
        <v>100000</v>
      </c>
      <c r="F16" s="563">
        <f>+[5]부산!$H$9</f>
        <v>100000.18949444892</v>
      </c>
      <c r="G16" s="564">
        <f t="shared" si="0"/>
        <v>0.18949444891768508</v>
      </c>
      <c r="H16" s="562">
        <f>+[5]부산!$G$10</f>
        <v>92100</v>
      </c>
      <c r="I16" s="563">
        <f>+[5]부산!$H$10</f>
        <v>92582.840981378671</v>
      </c>
      <c r="J16" s="564">
        <f t="shared" si="1"/>
        <v>482.84098137867113</v>
      </c>
      <c r="K16" s="562">
        <f>+[5]부산!$G$12</f>
        <v>65000</v>
      </c>
      <c r="L16" s="563">
        <f>+[5]부산!$H$12</f>
        <v>0</v>
      </c>
      <c r="M16" s="564">
        <f t="shared" si="2"/>
        <v>-65000</v>
      </c>
      <c r="N16" s="562">
        <f>+[5]부산!$G$13</f>
        <v>36500</v>
      </c>
      <c r="O16" s="563">
        <f>+[5]부산!$H$13</f>
        <v>36500.007474497841</v>
      </c>
      <c r="P16" s="564">
        <f t="shared" si="3"/>
        <v>7.4744978410308249E-3</v>
      </c>
      <c r="Q16" s="562">
        <f>+[5]부산!$G$16</f>
        <v>10737.308563108463</v>
      </c>
      <c r="R16" s="563">
        <f>+[5]부산!$H$16</f>
        <v>11702.026830745535</v>
      </c>
      <c r="S16" s="564">
        <f t="shared" si="4"/>
        <v>964.71826763707213</v>
      </c>
      <c r="T16" s="562">
        <f>+[5]부산!$G$17</f>
        <v>17407.644303304787</v>
      </c>
      <c r="U16" s="563">
        <f>+[5]부산!$H$17</f>
        <v>18054.467159753232</v>
      </c>
      <c r="V16" s="564">
        <f t="shared" si="5"/>
        <v>646.82285644844524</v>
      </c>
    </row>
    <row r="17" spans="4:25" ht="24" customHeight="1">
      <c r="D17" s="451" t="s">
        <v>26</v>
      </c>
      <c r="E17" s="559">
        <f>+[5]서부산!$G$9</f>
        <v>100000</v>
      </c>
      <c r="F17" s="560">
        <f>+[5]서부산!$H$9</f>
        <v>100003.27671164437</v>
      </c>
      <c r="G17" s="561">
        <f t="shared" si="0"/>
        <v>3.2767116443719715</v>
      </c>
      <c r="H17" s="559">
        <f>+[5]서부산!$G$10</f>
        <v>92100.000000000015</v>
      </c>
      <c r="I17" s="560">
        <f>+[5]서부산!$H$10</f>
        <v>92100.032023732987</v>
      </c>
      <c r="J17" s="561">
        <f t="shared" si="1"/>
        <v>3.202373297244776E-2</v>
      </c>
      <c r="K17" s="559">
        <f>+[5]서부산!$G$12</f>
        <v>65000</v>
      </c>
      <c r="L17" s="560">
        <f>+[5]서부산!$H$12</f>
        <v>65357.609521724524</v>
      </c>
      <c r="M17" s="561">
        <f t="shared" si="2"/>
        <v>357.6095217245238</v>
      </c>
      <c r="N17" s="559">
        <f>+[5]서부산!$G$13</f>
        <v>35199.999999999993</v>
      </c>
      <c r="O17" s="560">
        <f>+[5]서부산!$H$13</f>
        <v>35354.737374174132</v>
      </c>
      <c r="P17" s="561">
        <f t="shared" si="3"/>
        <v>154.7373741741394</v>
      </c>
      <c r="Q17" s="559">
        <f>+[5]서부산!$G$16</f>
        <v>10666.666666666666</v>
      </c>
      <c r="R17" s="560">
        <f>+[5]서부산!$H$16</f>
        <v>11100.582083808953</v>
      </c>
      <c r="S17" s="561">
        <f t="shared" si="4"/>
        <v>433.91541714228697</v>
      </c>
      <c r="T17" s="559">
        <f>+[5]서부산!$G$17</f>
        <v>17810.722151239384</v>
      </c>
      <c r="U17" s="560">
        <f>+[5]서부산!$H$17</f>
        <v>19089.012335424897</v>
      </c>
      <c r="V17" s="561">
        <f t="shared" si="5"/>
        <v>1278.2901841855128</v>
      </c>
    </row>
    <row r="18" spans="4:25" ht="24" customHeight="1">
      <c r="D18" s="451" t="s">
        <v>27</v>
      </c>
      <c r="E18" s="559">
        <f>+[5]김해!$G$9</f>
        <v>100000</v>
      </c>
      <c r="F18" s="560">
        <f>+[5]김해!$H$9</f>
        <v>100000.01348154797</v>
      </c>
      <c r="G18" s="561">
        <f t="shared" si="0"/>
        <v>1.348154796869494E-2</v>
      </c>
      <c r="H18" s="559">
        <f>+[5]김해!$G$10</f>
        <v>92100</v>
      </c>
      <c r="I18" s="560">
        <f>+[5]김해!$H$10</f>
        <v>92100.001423680049</v>
      </c>
      <c r="J18" s="561">
        <f t="shared" si="1"/>
        <v>1.4236800489015877E-3</v>
      </c>
      <c r="K18" s="559">
        <f>+[5]김해!$G$12</f>
        <v>64000</v>
      </c>
      <c r="L18" s="560">
        <f>+[5]김해!$H$12</f>
        <v>63452.413404750398</v>
      </c>
      <c r="M18" s="561">
        <f t="shared" si="2"/>
        <v>-547.5865952496024</v>
      </c>
      <c r="N18" s="559">
        <f>+[5]김해!$G$13</f>
        <v>35000</v>
      </c>
      <c r="O18" s="560">
        <f>+[5]김해!$H$13</f>
        <v>34999.988772457182</v>
      </c>
      <c r="P18" s="561">
        <f t="shared" si="3"/>
        <v>-1.1227542818232905E-2</v>
      </c>
      <c r="Q18" s="559">
        <f>+[5]김해!$G$16</f>
        <v>9426.6666666666679</v>
      </c>
      <c r="R18" s="560">
        <f>+[5]김해!$H$16</f>
        <v>9533.33403632103</v>
      </c>
      <c r="S18" s="561">
        <f t="shared" si="4"/>
        <v>106.66736965436212</v>
      </c>
      <c r="T18" s="559">
        <f>+[5]김해!$G$17</f>
        <v>17730.479017177098</v>
      </c>
      <c r="U18" s="560">
        <f>+[5]김해!$H$17</f>
        <v>16437.184288050139</v>
      </c>
      <c r="V18" s="561">
        <f t="shared" si="5"/>
        <v>-1293.2947291269593</v>
      </c>
    </row>
    <row r="19" spans="4:25" ht="24" customHeight="1">
      <c r="D19" s="451" t="s">
        <v>28</v>
      </c>
      <c r="E19" s="559">
        <f>+[5]정관!$G$9</f>
        <v>100000</v>
      </c>
      <c r="F19" s="560">
        <f>+[5]정관!$H$9</f>
        <v>100002.9579891824</v>
      </c>
      <c r="G19" s="561">
        <f t="shared" si="0"/>
        <v>2.957989182395977</v>
      </c>
      <c r="H19" s="559">
        <f>+[5]정관!$G$10</f>
        <v>92100</v>
      </c>
      <c r="I19" s="560">
        <f>+[5]정관!$H$10</f>
        <v>92099.986306875013</v>
      </c>
      <c r="J19" s="561">
        <f t="shared" si="1"/>
        <v>-1.3693124987185001E-2</v>
      </c>
      <c r="K19" s="559">
        <f>+[5]정관!$G$12</f>
        <v>63500</v>
      </c>
      <c r="L19" s="560">
        <f>+[5]정관!$H$12</f>
        <v>63390.303665775777</v>
      </c>
      <c r="M19" s="561">
        <f t="shared" si="2"/>
        <v>-109.69633422422339</v>
      </c>
      <c r="N19" s="559">
        <f>+[5]정관!$G$13</f>
        <v>35500</v>
      </c>
      <c r="O19" s="560">
        <f>+[5]정관!$H$13</f>
        <v>35500.011240582084</v>
      </c>
      <c r="P19" s="561">
        <f t="shared" si="3"/>
        <v>1.1240582083701156E-2</v>
      </c>
      <c r="Q19" s="559">
        <f>+[5]정관!$G$16</f>
        <v>10733.333333333332</v>
      </c>
      <c r="R19" s="560">
        <f>+[5]정관!$H$16</f>
        <v>11326.831026785709</v>
      </c>
      <c r="S19" s="561">
        <f t="shared" si="4"/>
        <v>593.49769345237655</v>
      </c>
      <c r="T19" s="559">
        <f>+[5]정관!$G$17</f>
        <v>18315.171013635976</v>
      </c>
      <c r="U19" s="560">
        <f>+[5]정관!$H$17</f>
        <v>19282.973235952344</v>
      </c>
      <c r="V19" s="561">
        <f t="shared" si="5"/>
        <v>967.80222231636799</v>
      </c>
    </row>
    <row r="20" spans="4:25" ht="24" customHeight="1">
      <c r="D20" s="451" t="s">
        <v>29</v>
      </c>
      <c r="E20" s="559">
        <f>+[5]양산!$G$9</f>
        <v>100000</v>
      </c>
      <c r="F20" s="560">
        <f>+[5]양산!$H$9</f>
        <v>99912.335870763796</v>
      </c>
      <c r="G20" s="561">
        <f t="shared" si="0"/>
        <v>-87.664129236203735</v>
      </c>
      <c r="H20" s="559">
        <f>+[5]양산!$G$10</f>
        <v>92100</v>
      </c>
      <c r="I20" s="560">
        <f>+[5]양산!$H$10</f>
        <v>101458.03443328552</v>
      </c>
      <c r="J20" s="561">
        <f t="shared" si="1"/>
        <v>9358.0344332855166</v>
      </c>
      <c r="K20" s="559">
        <f>+[5]양산!$G$12</f>
        <v>62999.999999999993</v>
      </c>
      <c r="L20" s="560">
        <f>+[5]양산!$H$12</f>
        <v>63458.195671761285</v>
      </c>
      <c r="M20" s="561">
        <f t="shared" si="2"/>
        <v>458.19567176129203</v>
      </c>
      <c r="N20" s="559">
        <f>+[5]양산!$G$13</f>
        <v>36000</v>
      </c>
      <c r="O20" s="560">
        <f>+[5]양산!$H$13</f>
        <v>35999.99930617911</v>
      </c>
      <c r="P20" s="561">
        <f t="shared" si="3"/>
        <v>-6.9382088986458257E-4</v>
      </c>
      <c r="Q20" s="559">
        <f>+[5]양산!$G$16</f>
        <v>9066.6666666666661</v>
      </c>
      <c r="R20" s="560">
        <f>+[5]양산!$H$16</f>
        <v>9569.5294723323841</v>
      </c>
      <c r="S20" s="561">
        <f t="shared" si="4"/>
        <v>502.86280566571804</v>
      </c>
      <c r="T20" s="559">
        <f>+[5]양산!$G$17</f>
        <v>17398.369447328696</v>
      </c>
      <c r="U20" s="560">
        <f>+[5]양산!$H$17</f>
        <v>16619.82341120996</v>
      </c>
      <c r="V20" s="561">
        <f t="shared" si="5"/>
        <v>-778.54603611873608</v>
      </c>
    </row>
    <row r="21" spans="4:25" ht="24" customHeight="1">
      <c r="D21" s="451" t="s">
        <v>30</v>
      </c>
      <c r="E21" s="559">
        <f>+[5]창원!$G$9</f>
        <v>100000</v>
      </c>
      <c r="F21" s="560">
        <f>+[5]창원!$H$9</f>
        <v>100000.22581122686</v>
      </c>
      <c r="G21" s="561">
        <f t="shared" si="0"/>
        <v>0.22581122686096933</v>
      </c>
      <c r="H21" s="559">
        <f>+[5]창원!$G$10</f>
        <v>0</v>
      </c>
      <c r="I21" s="560">
        <f>+[5]창원!$H$10</f>
        <v>0</v>
      </c>
      <c r="J21" s="561">
        <f t="shared" si="1"/>
        <v>0</v>
      </c>
      <c r="K21" s="559">
        <f>+[5]창원!$G$12</f>
        <v>65000</v>
      </c>
      <c r="L21" s="560">
        <f>+[5]창원!$H$12</f>
        <v>65056.794746461659</v>
      </c>
      <c r="M21" s="561">
        <f t="shared" si="2"/>
        <v>56.794746461659088</v>
      </c>
      <c r="N21" s="559">
        <f>+[5]창원!$G$13</f>
        <v>33000</v>
      </c>
      <c r="O21" s="560">
        <f>+[5]창원!$H$13</f>
        <v>32999.992132783598</v>
      </c>
      <c r="P21" s="561">
        <f t="shared" si="3"/>
        <v>-7.8672164017916657E-3</v>
      </c>
      <c r="Q21" s="559">
        <f>+[5]창원!$G$16</f>
        <v>10400</v>
      </c>
      <c r="R21" s="560">
        <f>+[5]창원!$H$16</f>
        <v>11310.722822503707</v>
      </c>
      <c r="S21" s="561">
        <f t="shared" si="4"/>
        <v>910.72282250370699</v>
      </c>
      <c r="T21" s="559">
        <f>+[5]창원!$G$17</f>
        <v>17019.566391856468</v>
      </c>
      <c r="U21" s="560">
        <f>+[5]창원!$H$17</f>
        <v>17586.469953461023</v>
      </c>
      <c r="V21" s="561">
        <f t="shared" si="5"/>
        <v>566.90356160455485</v>
      </c>
      <c r="Y21" s="543"/>
    </row>
    <row r="22" spans="4:25" ht="24" customHeight="1">
      <c r="D22" s="451" t="s">
        <v>95</v>
      </c>
      <c r="E22" s="559">
        <f>+[5]대구!$G$9</f>
        <v>100000</v>
      </c>
      <c r="F22" s="560">
        <f>+[5]대구!$H$9</f>
        <v>99999.999999999898</v>
      </c>
      <c r="G22" s="561">
        <f t="shared" si="0"/>
        <v>0</v>
      </c>
      <c r="H22" s="559">
        <f>+[5]대구!$G$10</f>
        <v>0</v>
      </c>
      <c r="I22" s="560">
        <f>+[5]대구!$H$10</f>
        <v>0</v>
      </c>
      <c r="J22" s="561">
        <f t="shared" si="1"/>
        <v>0</v>
      </c>
      <c r="K22" s="559">
        <f>+[5]대구!$G$12</f>
        <v>62500</v>
      </c>
      <c r="L22" s="560">
        <f>+[5]대구!$H$12</f>
        <v>61370.117196185594</v>
      </c>
      <c r="M22" s="561">
        <f t="shared" si="2"/>
        <v>-1129.8828038144056</v>
      </c>
      <c r="N22" s="559">
        <f>+[5]대구!$G$13</f>
        <v>35499.999999999993</v>
      </c>
      <c r="O22" s="560">
        <f>+[5]대구!$H$13</f>
        <v>35434.328893443424</v>
      </c>
      <c r="P22" s="561">
        <f t="shared" si="3"/>
        <v>-65.671106556568702</v>
      </c>
      <c r="Q22" s="559">
        <f>+[5]대구!$G$16</f>
        <v>10466.666666666666</v>
      </c>
      <c r="R22" s="560">
        <f>+[5]대구!$H$16</f>
        <v>10922.395076231236</v>
      </c>
      <c r="S22" s="561">
        <f t="shared" si="4"/>
        <v>455.72840956457003</v>
      </c>
      <c r="T22" s="559">
        <f>+[5]대구!$G$17</f>
        <v>14718.131256952169</v>
      </c>
      <c r="U22" s="560">
        <f>+[5]대구!$H$17</f>
        <v>15030.261922180334</v>
      </c>
      <c r="V22" s="561">
        <f t="shared" si="5"/>
        <v>312.13066522816553</v>
      </c>
    </row>
    <row r="23" spans="4:25" ht="24" customHeight="1">
      <c r="D23" s="451" t="s">
        <v>97</v>
      </c>
      <c r="E23" s="559">
        <f>+[5]울산!$G$9</f>
        <v>100000</v>
      </c>
      <c r="F23" s="560">
        <f>+[5]울산!$H$9</f>
        <v>100001.19258967273</v>
      </c>
      <c r="G23" s="561">
        <f t="shared" si="0"/>
        <v>1.1925896727334475</v>
      </c>
      <c r="H23" s="559">
        <f>+[5]울산!$G$10</f>
        <v>0</v>
      </c>
      <c r="I23" s="560">
        <f>+[5]울산!$H$10</f>
        <v>0</v>
      </c>
      <c r="J23" s="561">
        <f t="shared" si="1"/>
        <v>0</v>
      </c>
      <c r="K23" s="559">
        <f>+[5]울산!$G$12</f>
        <v>61300</v>
      </c>
      <c r="L23" s="560">
        <f>+[5]울산!$H$12</f>
        <v>61299.85777526164</v>
      </c>
      <c r="M23" s="561">
        <f t="shared" si="2"/>
        <v>-0.14222473835980054</v>
      </c>
      <c r="N23" s="559">
        <f>+[5]울산!$G$13</f>
        <v>37000</v>
      </c>
      <c r="O23" s="560">
        <f>+[5]울산!$H$13</f>
        <v>36999.995049891513</v>
      </c>
      <c r="P23" s="561">
        <f t="shared" si="3"/>
        <v>-4.9501084868097678E-3</v>
      </c>
      <c r="Q23" s="559">
        <f>+[5]울산!$G$16</f>
        <v>10546.666666666666</v>
      </c>
      <c r="R23" s="560">
        <f>+[5]울산!$H$16</f>
        <v>11780.793268983927</v>
      </c>
      <c r="S23" s="561">
        <f t="shared" si="4"/>
        <v>1234.1266023172611</v>
      </c>
      <c r="T23" s="559">
        <f>+[5]울산!$G$17</f>
        <v>18681.860814127729</v>
      </c>
      <c r="U23" s="560">
        <f>+[5]울산!$H$17</f>
        <v>19621.082866772562</v>
      </c>
      <c r="V23" s="561">
        <f t="shared" si="5"/>
        <v>939.22205264483273</v>
      </c>
    </row>
    <row r="24" spans="4:25" ht="24" customHeight="1">
      <c r="D24" s="486" t="s">
        <v>31</v>
      </c>
      <c r="E24" s="562">
        <f>+[5]아산!$G$9</f>
        <v>100000</v>
      </c>
      <c r="F24" s="563">
        <f>+[5]아산!$H$9</f>
        <v>100702.81209096704</v>
      </c>
      <c r="G24" s="564">
        <f t="shared" si="0"/>
        <v>702.81209096703969</v>
      </c>
      <c r="H24" s="562">
        <f>+[5]아산!$G$10</f>
        <v>87100.000000000015</v>
      </c>
      <c r="I24" s="563">
        <f>+[5]아산!$H$10</f>
        <v>0</v>
      </c>
      <c r="J24" s="564">
        <f t="shared" si="1"/>
        <v>-87100.000000000015</v>
      </c>
      <c r="K24" s="562">
        <f>+[5]아산!$G$12</f>
        <v>64500</v>
      </c>
      <c r="L24" s="563">
        <f>+[5]아산!$H$12</f>
        <v>64427.93883187804</v>
      </c>
      <c r="M24" s="564">
        <f t="shared" si="2"/>
        <v>-72.061168121959781</v>
      </c>
      <c r="N24" s="562">
        <f>+[5]아산!$G$13</f>
        <v>42000</v>
      </c>
      <c r="O24" s="563">
        <f>+[5]아산!$H$13</f>
        <v>40351.704859616337</v>
      </c>
      <c r="P24" s="564">
        <f t="shared" si="3"/>
        <v>-1648.2951403836632</v>
      </c>
      <c r="Q24" s="562">
        <f>+[5]아산!$G$16</f>
        <v>10933.333333333334</v>
      </c>
      <c r="R24" s="563">
        <f>+[5]아산!$H$16</f>
        <v>11406.33054767773</v>
      </c>
      <c r="S24" s="564">
        <f t="shared" si="4"/>
        <v>472.99721434439562</v>
      </c>
      <c r="T24" s="562">
        <f>+[5]아산!$G$17</f>
        <v>13742.253874325719</v>
      </c>
      <c r="U24" s="563">
        <f>+[5]아산!$H$17</f>
        <v>13329.441091227538</v>
      </c>
      <c r="V24" s="564">
        <f t="shared" si="5"/>
        <v>-412.81278309818117</v>
      </c>
    </row>
    <row r="25" spans="4:25" ht="24" customHeight="1">
      <c r="D25" s="451" t="s">
        <v>34</v>
      </c>
      <c r="E25" s="559">
        <f>+[5]전주!$G$9</f>
        <v>100000</v>
      </c>
      <c r="F25" s="560">
        <f>+[5]전주!$H$9</f>
        <v>99910.41211120307</v>
      </c>
      <c r="G25" s="561">
        <f t="shared" si="0"/>
        <v>-89.587888796930201</v>
      </c>
      <c r="H25" s="559">
        <f>+[5]전주!$G$10</f>
        <v>93100</v>
      </c>
      <c r="I25" s="560">
        <f>+[5]전주!$H$10</f>
        <v>95921.935462004956</v>
      </c>
      <c r="J25" s="561">
        <f t="shared" si="1"/>
        <v>2821.9354620049562</v>
      </c>
      <c r="K25" s="559">
        <f>+[5]전주!$G$12</f>
        <v>65000</v>
      </c>
      <c r="L25" s="560">
        <f>+[5]전주!$H$12</f>
        <v>64999.831768914832</v>
      </c>
      <c r="M25" s="561">
        <f t="shared" si="2"/>
        <v>-0.16823108516837237</v>
      </c>
      <c r="N25" s="559">
        <f>+[5]전주!$G$13</f>
        <v>36000</v>
      </c>
      <c r="O25" s="560">
        <f>+[5]전주!$H$13</f>
        <v>35999.994612661067</v>
      </c>
      <c r="P25" s="561">
        <f t="shared" si="3"/>
        <v>-5.3873389333602972E-3</v>
      </c>
      <c r="Q25" s="559">
        <f>+[5]전주!$G$16</f>
        <v>12533.333333333336</v>
      </c>
      <c r="R25" s="560">
        <f>+[5]전주!$H$16</f>
        <v>12943.825765037922</v>
      </c>
      <c r="S25" s="561">
        <f t="shared" si="4"/>
        <v>410.49243170458612</v>
      </c>
      <c r="T25" s="559">
        <f>+[5]전주!$G$17</f>
        <v>14400.083562466927</v>
      </c>
      <c r="U25" s="560">
        <f>+[5]전주!$H$17</f>
        <v>14920.791892687443</v>
      </c>
      <c r="V25" s="561">
        <f t="shared" si="5"/>
        <v>520.70833022051556</v>
      </c>
    </row>
    <row r="26" spans="4:25" ht="24" customHeight="1">
      <c r="D26" s="451" t="s">
        <v>33</v>
      </c>
      <c r="E26" s="559">
        <f>+[5]군산!$G$9</f>
        <v>100000</v>
      </c>
      <c r="F26" s="560">
        <f>+[5]군산!$H$9</f>
        <v>100000</v>
      </c>
      <c r="G26" s="561">
        <f t="shared" si="0"/>
        <v>0</v>
      </c>
      <c r="H26" s="559">
        <f>+[5]군산!$G$10</f>
        <v>95000</v>
      </c>
      <c r="I26" s="560">
        <f>+[5]군산!$H$10</f>
        <v>93524.33045687378</v>
      </c>
      <c r="J26" s="561">
        <f t="shared" si="1"/>
        <v>-1475.6695431262197</v>
      </c>
      <c r="K26" s="559">
        <f>+[5]군산!$G$12</f>
        <v>64899.999999999993</v>
      </c>
      <c r="L26" s="560">
        <f>+[5]군산!$H$12</f>
        <v>64903.26544379758</v>
      </c>
      <c r="M26" s="561">
        <f t="shared" si="2"/>
        <v>3.2654437975870678</v>
      </c>
      <c r="N26" s="559">
        <f>+[5]군산!$G$13</f>
        <v>37500</v>
      </c>
      <c r="O26" s="560">
        <f>+[5]군산!$H$13</f>
        <v>39529.571541887934</v>
      </c>
      <c r="P26" s="561">
        <f t="shared" si="3"/>
        <v>2029.5715418879336</v>
      </c>
      <c r="Q26" s="559">
        <f>+[5]군산!$G$16</f>
        <v>13666.666666666666</v>
      </c>
      <c r="R26" s="560">
        <f>+[5]군산!$H$16</f>
        <v>14091.143780742965</v>
      </c>
      <c r="S26" s="561">
        <f t="shared" si="4"/>
        <v>424.47711407629868</v>
      </c>
      <c r="T26" s="559">
        <f>+[5]군산!$G$17</f>
        <v>14837.329653268933</v>
      </c>
      <c r="U26" s="560">
        <f>+[5]군산!$H$17</f>
        <v>15388.670937567402</v>
      </c>
      <c r="V26" s="561">
        <f t="shared" si="5"/>
        <v>551.34128429846896</v>
      </c>
    </row>
    <row r="27" spans="4:25" ht="24" customHeight="1">
      <c r="D27" s="451" t="s">
        <v>32</v>
      </c>
      <c r="E27" s="559">
        <f>+[5]원주!$G$9</f>
        <v>100000</v>
      </c>
      <c r="F27" s="560">
        <f>+[5]원주!$H$9</f>
        <v>100000.03463796308</v>
      </c>
      <c r="G27" s="561">
        <f t="shared" si="0"/>
        <v>3.4637963079148903E-2</v>
      </c>
      <c r="H27" s="559">
        <f>+[5]원주!$G$10</f>
        <v>0</v>
      </c>
      <c r="I27" s="560">
        <f>+[5]원주!$H$10</f>
        <v>0</v>
      </c>
      <c r="J27" s="561">
        <f t="shared" si="1"/>
        <v>0</v>
      </c>
      <c r="K27" s="559">
        <f>+[5]원주!$G$12</f>
        <v>64000</v>
      </c>
      <c r="L27" s="560">
        <f>+[5]원주!$H$12</f>
        <v>63989.707645137103</v>
      </c>
      <c r="M27" s="561">
        <f t="shared" si="2"/>
        <v>-10.2923548628969</v>
      </c>
      <c r="N27" s="559">
        <f>+[5]원주!$G$13</f>
        <v>49000</v>
      </c>
      <c r="O27" s="560">
        <f>+[5]원주!$H$13</f>
        <v>49000.007821052284</v>
      </c>
      <c r="P27" s="561">
        <f t="shared" si="3"/>
        <v>7.8210522842709906E-3</v>
      </c>
      <c r="Q27" s="559">
        <f>+[5]원주!$G$16</f>
        <v>13666.666666666666</v>
      </c>
      <c r="R27" s="560">
        <f>+[5]원주!$H$16</f>
        <v>14193.213695505865</v>
      </c>
      <c r="S27" s="561">
        <f t="shared" si="4"/>
        <v>526.5470288391989</v>
      </c>
      <c r="T27" s="559">
        <f>+[5]원주!$G$17</f>
        <v>13419.354838709678</v>
      </c>
      <c r="U27" s="560">
        <f>+[5]원주!$H$17</f>
        <v>14184.373828012145</v>
      </c>
      <c r="V27" s="561">
        <f t="shared" si="5"/>
        <v>765.01898930246716</v>
      </c>
    </row>
    <row r="28" spans="4:25" ht="24" customHeight="1">
      <c r="D28" s="500" t="s">
        <v>35</v>
      </c>
      <c r="E28" s="565">
        <f>+[5]제주!$G$9</f>
        <v>117000</v>
      </c>
      <c r="F28" s="566">
        <f>+[5]제주!$H$9</f>
        <v>116999.98658172462</v>
      </c>
      <c r="G28" s="567">
        <f t="shared" si="0"/>
        <v>-1.3418275382719003E-2</v>
      </c>
      <c r="H28" s="565">
        <f>+[5]제주!$G$10</f>
        <v>0</v>
      </c>
      <c r="I28" s="566">
        <f>+[5]제주!$H$10</f>
        <v>116999.99383477411</v>
      </c>
      <c r="J28" s="567">
        <f t="shared" si="1"/>
        <v>116999.99383477411</v>
      </c>
      <c r="K28" s="565">
        <f>+[5]제주!$G$12</f>
        <v>0</v>
      </c>
      <c r="L28" s="566">
        <f>+[5]제주!$H$12</f>
        <v>0</v>
      </c>
      <c r="M28" s="567">
        <f t="shared" si="2"/>
        <v>0</v>
      </c>
      <c r="N28" s="565">
        <f>+[5]제주!$G$13</f>
        <v>0</v>
      </c>
      <c r="O28" s="566">
        <f>+[5]제주!$H$13</f>
        <v>0</v>
      </c>
      <c r="P28" s="567">
        <f t="shared" si="3"/>
        <v>0</v>
      </c>
      <c r="Q28" s="565">
        <f>+[5]제주!$G$16</f>
        <v>18143.333333333336</v>
      </c>
      <c r="R28" s="566">
        <f>+[5]제주!$H$16</f>
        <v>18104.995945443337</v>
      </c>
      <c r="S28" s="567">
        <f t="shared" si="4"/>
        <v>-38.337387889998354</v>
      </c>
      <c r="T28" s="565">
        <f>+[5]제주!$G$17</f>
        <v>18433.378210746429</v>
      </c>
      <c r="U28" s="566">
        <f>+[5]제주!$H$17</f>
        <v>20296.546633510221</v>
      </c>
      <c r="V28" s="567">
        <f t="shared" si="5"/>
        <v>1863.1684227637925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241</v>
      </c>
      <c r="F4" s="184"/>
      <c r="I4" s="184"/>
    </row>
    <row r="5" spans="4:22" ht="21.95" customHeight="1">
      <c r="V5" s="186" t="s">
        <v>157</v>
      </c>
    </row>
    <row r="6" spans="4:22" ht="24" customHeight="1" thickBot="1">
      <c r="D6" s="830" t="s">
        <v>11</v>
      </c>
      <c r="E6" s="439" t="s">
        <v>158</v>
      </c>
      <c r="F6" s="440"/>
      <c r="G6" s="441"/>
      <c r="H6" s="439" t="s">
        <v>159</v>
      </c>
      <c r="I6" s="440"/>
      <c r="J6" s="441"/>
      <c r="K6" s="439" t="s">
        <v>160</v>
      </c>
      <c r="L6" s="440"/>
      <c r="M6" s="441"/>
      <c r="N6" s="439" t="s">
        <v>161</v>
      </c>
      <c r="O6" s="440"/>
      <c r="P6" s="441"/>
      <c r="Q6" s="439" t="s">
        <v>162</v>
      </c>
      <c r="R6" s="440"/>
      <c r="S6" s="441"/>
      <c r="T6" s="439" t="s">
        <v>163</v>
      </c>
      <c r="U6" s="440"/>
      <c r="V6" s="441"/>
    </row>
    <row r="7" spans="4:22" ht="24" customHeight="1">
      <c r="D7" s="831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+[5]합계!$E$9</f>
        <v>228.95675317905335</v>
      </c>
      <c r="F8" s="462">
        <f>+[5]합계!$F$9</f>
        <v>248.29189901968954</v>
      </c>
      <c r="G8" s="487">
        <f>+F8-E8</f>
        <v>19.335145840636187</v>
      </c>
      <c r="H8" s="460">
        <f>+[5]합계!$E$15</f>
        <v>350.37108234840088</v>
      </c>
      <c r="I8" s="462">
        <f>+[5]합계!$F$15</f>
        <v>368.69294618271869</v>
      </c>
      <c r="J8" s="487">
        <f>+I8-H8</f>
        <v>18.32186383431781</v>
      </c>
      <c r="K8" s="531">
        <f>+([5]합계!$E$10*0.4+[5]합계!$E$11+[5]합계!$E$12+[5]합계!$E$13+[5]합계!$E$14)/[5]합계!$E$15</f>
        <v>0.30164082225237793</v>
      </c>
      <c r="L8" s="532">
        <f>+([5]합계!$F$10*0.4+[5]합계!$F$11+[5]합계!$F$12+[5]합계!$F$13+[5]합계!$F$14)/[5]합계!$F$15</f>
        <v>0.27427159216097607</v>
      </c>
      <c r="M8" s="533">
        <f>+L8-K8</f>
        <v>-2.7369230091401853E-2</v>
      </c>
      <c r="N8" s="460">
        <f>+[5]합계!$E$16</f>
        <v>821.15210669890553</v>
      </c>
      <c r="O8" s="462">
        <f>+[5]합계!$F$16</f>
        <v>819.52089013508089</v>
      </c>
      <c r="P8" s="487">
        <f>+O8-N8</f>
        <v>-1.631216563824637</v>
      </c>
      <c r="Q8" s="460">
        <f>+[5]합계!$E$17</f>
        <v>906.05976466956395</v>
      </c>
      <c r="R8" s="462">
        <f>+[5]합계!$F$17</f>
        <v>899.11306348668063</v>
      </c>
      <c r="S8" s="487">
        <f>+R8-Q8</f>
        <v>-6.9467011828833165</v>
      </c>
      <c r="T8" s="460">
        <f>+[5]합계!$E$19</f>
        <v>3.2035810218030418</v>
      </c>
      <c r="U8" s="462">
        <f>+[5]합계!$F$19</f>
        <v>3.1213270175425012</v>
      </c>
      <c r="V8" s="487">
        <f>+U8-T8</f>
        <v>-8.2254004260540636E-2</v>
      </c>
    </row>
    <row r="9" spans="4:22" ht="24" customHeight="1">
      <c r="D9" s="471" t="s">
        <v>19</v>
      </c>
      <c r="E9" s="465">
        <f>+[5]수도권!$E$9</f>
        <v>249.08770562770565</v>
      </c>
      <c r="F9" s="479">
        <f>+[5]수도권!$F$9</f>
        <v>271.64022243724611</v>
      </c>
      <c r="G9" s="488">
        <f t="shared" ref="G9:G28" si="0">+F9-E9</f>
        <v>22.552516809540464</v>
      </c>
      <c r="H9" s="465">
        <f>+[5]수도권!$E$15</f>
        <v>351.81974025974029</v>
      </c>
      <c r="I9" s="479">
        <f>+[5]수도권!$F$15</f>
        <v>373.25310680813237</v>
      </c>
      <c r="J9" s="488">
        <f t="shared" ref="J9:J28" si="1">+I9-H9</f>
        <v>21.433366548392087</v>
      </c>
      <c r="K9" s="537">
        <f>+([5]수도권!$E$10*0.4+[5]수도권!$E$11+[5]수도권!$E$12+[5]수도권!$E$13+[5]수도권!$E$14)/[5]수도권!$E$15</f>
        <v>0.27942964692170674</v>
      </c>
      <c r="L9" s="538">
        <f>+([5]수도권!$F$10*0.4+[5]수도권!$F$11+[5]수도권!$F$12+[5]수도권!$F$13+[5]수도권!$F$14)/[5]수도권!$F$15</f>
        <v>0.26658136513396702</v>
      </c>
      <c r="M9" s="534">
        <f t="shared" ref="M9:M28" si="2">+L9-K9</f>
        <v>-1.2848281787739724E-2</v>
      </c>
      <c r="N9" s="465">
        <f>+[5]수도권!$E$16</f>
        <v>842.2807792207791</v>
      </c>
      <c r="O9" s="479">
        <f>+[5]수도권!$F$16</f>
        <v>849.39714792020573</v>
      </c>
      <c r="P9" s="488">
        <f t="shared" ref="P9:P28" si="3">+O9-N9</f>
        <v>7.11636869942663</v>
      </c>
      <c r="Q9" s="465">
        <f>+[5]수도권!$E$17</f>
        <v>893.42562770562768</v>
      </c>
      <c r="R9" s="479">
        <f>+[5]수도권!$F$17</f>
        <v>872.92516036409029</v>
      </c>
      <c r="S9" s="488">
        <f t="shared" ref="S9:S28" si="4">+R9-Q9</f>
        <v>-20.500467341537387</v>
      </c>
      <c r="T9" s="465">
        <f>+[5]수도권!$E$19</f>
        <v>3.0493087445887448</v>
      </c>
      <c r="U9" s="479">
        <f>+[5]수도권!$F$19</f>
        <v>3.0852808987499869</v>
      </c>
      <c r="V9" s="488">
        <f t="shared" ref="V9:V28" si="5">+U9-T9</f>
        <v>3.5972154161242109E-2</v>
      </c>
    </row>
    <row r="10" spans="4:22" ht="24" customHeight="1">
      <c r="D10" s="472" t="s">
        <v>20</v>
      </c>
      <c r="E10" s="467">
        <f>+[5]영남권!$E$9</f>
        <v>201.30577804119059</v>
      </c>
      <c r="F10" s="480">
        <f>+[5]영남권!$F$9</f>
        <v>220.89793795953599</v>
      </c>
      <c r="G10" s="489">
        <f t="shared" si="0"/>
        <v>19.592159918345402</v>
      </c>
      <c r="H10" s="467">
        <f>+[5]영남권!$E$15</f>
        <v>349.42743111499249</v>
      </c>
      <c r="I10" s="480">
        <f>+[5]영남권!$F$15</f>
        <v>367.73468764003923</v>
      </c>
      <c r="J10" s="489">
        <f t="shared" si="1"/>
        <v>18.307256525046739</v>
      </c>
      <c r="K10" s="539">
        <f>+([5]영남권!$E$10*0.4+[5]영남권!$E$11+[5]영남권!$E$12+[5]영남권!$E$13+[5]영남권!$E$14)/[5]영남권!$E$15</f>
        <v>0.34472984601730078</v>
      </c>
      <c r="L10" s="540">
        <f>+([5]영남권!$F$10*0.4+[5]영남권!$F$11+[5]영남권!$F$12+[5]영남권!$F$13+[5]영남권!$F$14)/[5]영남권!$F$15</f>
        <v>0.30150495733009125</v>
      </c>
      <c r="M10" s="535">
        <f t="shared" si="2"/>
        <v>-4.3224888687209528E-2</v>
      </c>
      <c r="N10" s="467">
        <f>+[5]영남권!$E$16</f>
        <v>807.48382222698945</v>
      </c>
      <c r="O10" s="480">
        <f>+[5]영남권!$F$16</f>
        <v>798.36108887819307</v>
      </c>
      <c r="P10" s="489">
        <f t="shared" si="3"/>
        <v>-9.1227333487963733</v>
      </c>
      <c r="Q10" s="467">
        <f>+[5]영남권!$E$17</f>
        <v>909.80378500146912</v>
      </c>
      <c r="R10" s="480">
        <f>+[5]영남권!$F$17</f>
        <v>908.21410433021856</v>
      </c>
      <c r="S10" s="489">
        <f t="shared" si="4"/>
        <v>-1.5896806712505622</v>
      </c>
      <c r="T10" s="467">
        <f>+[5]영남권!$E$19</f>
        <v>3.4585673300865807</v>
      </c>
      <c r="U10" s="480">
        <f>+[5]영남권!$F$19</f>
        <v>3.2098142769414624</v>
      </c>
      <c r="V10" s="489">
        <f t="shared" si="5"/>
        <v>-0.24875305314511831</v>
      </c>
    </row>
    <row r="11" spans="4:22" ht="24" customHeight="1">
      <c r="D11" s="473" t="s">
        <v>57</v>
      </c>
      <c r="E11" s="468">
        <f>+[5]중부권!$E$9</f>
        <v>251.77499999999998</v>
      </c>
      <c r="F11" s="481">
        <f>+[5]중부권!$F$9</f>
        <v>273.48951582236208</v>
      </c>
      <c r="G11" s="490">
        <f t="shared" si="0"/>
        <v>21.714515822362102</v>
      </c>
      <c r="H11" s="468">
        <f>+[5]중부권!$E$15</f>
        <v>349.45807692307687</v>
      </c>
      <c r="I11" s="481">
        <f>+[5]중부권!$F$15</f>
        <v>362.73542461895818</v>
      </c>
      <c r="J11" s="490">
        <f t="shared" si="1"/>
        <v>13.277347695881303</v>
      </c>
      <c r="K11" s="541">
        <f>+([5]중부권!$E$10*0.4+[5]중부권!$E$11+[5]중부권!$E$12+[5]중부권!$E$13+[5]중부권!$E$14)/[5]중부권!$E$15</f>
        <v>0.24608124007391668</v>
      </c>
      <c r="L11" s="542">
        <f>+([5]중부권!$F$10*0.4+[5]중부권!$F$11+[5]중부권!$F$12+[5]중부권!$F$13+[5]중부권!$F$14)/[5]중부권!$F$15</f>
        <v>0.22034328194845063</v>
      </c>
      <c r="M11" s="536">
        <f t="shared" si="2"/>
        <v>-2.5737958125466059E-2</v>
      </c>
      <c r="N11" s="468">
        <f>+[5]중부권!$E$16</f>
        <v>807.60423076923075</v>
      </c>
      <c r="O11" s="481">
        <f>+[5]중부권!$F$16</f>
        <v>817.35080524979708</v>
      </c>
      <c r="P11" s="490">
        <f t="shared" si="3"/>
        <v>9.7465744805663235</v>
      </c>
      <c r="Q11" s="468">
        <f>+[5]중부권!$E$17</f>
        <v>924.97807692307697</v>
      </c>
      <c r="R11" s="481">
        <f>+[5]중부권!$F$17</f>
        <v>924.41365276107649</v>
      </c>
      <c r="S11" s="490">
        <f t="shared" si="4"/>
        <v>-0.56442416200047774</v>
      </c>
      <c r="T11" s="468">
        <f>+[5]중부권!$E$19</f>
        <v>2.9234884615384615</v>
      </c>
      <c r="U11" s="481">
        <f>+[5]중부권!$F$19</f>
        <v>2.9680027543962426</v>
      </c>
      <c r="V11" s="490">
        <f t="shared" si="5"/>
        <v>4.4514292857781079E-2</v>
      </c>
    </row>
    <row r="12" spans="4:22" ht="24" customHeight="1">
      <c r="D12" s="485" t="s">
        <v>22</v>
      </c>
      <c r="E12" s="447">
        <f>+[5]안양!$E$9</f>
        <v>261.3</v>
      </c>
      <c r="F12" s="448">
        <f>+[5]안양!$F$9</f>
        <v>284.91517609604074</v>
      </c>
      <c r="G12" s="449">
        <f t="shared" si="0"/>
        <v>23.615176096040727</v>
      </c>
      <c r="H12" s="447">
        <f>+[5]안양!$E$15</f>
        <v>365.40000000000003</v>
      </c>
      <c r="I12" s="448">
        <f>+[5]안양!$F$15</f>
        <v>383.93896630629479</v>
      </c>
      <c r="J12" s="449">
        <f t="shared" si="1"/>
        <v>18.538966306294753</v>
      </c>
      <c r="K12" s="505">
        <f>+([5]안양!$E$10*0.4+[5]안양!$E$11+[5]안양!$E$12+[5]안양!$E$13+[5]안양!$E$14)/[5]안양!$E$15</f>
        <v>0.2651888341543514</v>
      </c>
      <c r="L12" s="506">
        <f>+([5]안양!$F$10*0.4+[5]안양!$F$11+[5]안양!$F$12+[5]안양!$F$13+[5]안양!$F$14)/[5]안양!$F$15</f>
        <v>0.25791544724651866</v>
      </c>
      <c r="M12" s="507">
        <f t="shared" si="2"/>
        <v>-7.2733869078327462E-3</v>
      </c>
      <c r="N12" s="447">
        <f>+[5]안양!$E$16</f>
        <v>845</v>
      </c>
      <c r="O12" s="448">
        <f>+[5]안양!$F$16</f>
        <v>855.9680307753531</v>
      </c>
      <c r="P12" s="449">
        <f t="shared" si="3"/>
        <v>10.9680307753531</v>
      </c>
      <c r="Q12" s="447">
        <f>+[5]안양!$E$17</f>
        <v>880</v>
      </c>
      <c r="R12" s="448">
        <f>+[5]안양!$F$17</f>
        <v>865.96156397161201</v>
      </c>
      <c r="S12" s="449">
        <f t="shared" si="4"/>
        <v>-14.038436028387991</v>
      </c>
      <c r="T12" s="508">
        <f>+[5]안양!$E$19</f>
        <v>3.29</v>
      </c>
      <c r="U12" s="509">
        <f>+[5]안양!$F$19</f>
        <v>3.223151157392055</v>
      </c>
      <c r="V12" s="510">
        <f t="shared" si="5"/>
        <v>-6.6848842607944992E-2</v>
      </c>
    </row>
    <row r="13" spans="4:22" ht="24" customHeight="1">
      <c r="D13" s="451" t="s">
        <v>23</v>
      </c>
      <c r="E13" s="452">
        <f>+[5]인천!$E$9</f>
        <v>264.70999999999998</v>
      </c>
      <c r="F13" s="453">
        <f>+[5]인천!$F$9</f>
        <v>284.07357391640835</v>
      </c>
      <c r="G13" s="189">
        <f t="shared" si="0"/>
        <v>19.36357391640837</v>
      </c>
      <c r="H13" s="452">
        <f>+[5]인천!$E$15</f>
        <v>367.86599999999999</v>
      </c>
      <c r="I13" s="453">
        <f>+[5]인천!$F$15</f>
        <v>389.92485719814204</v>
      </c>
      <c r="J13" s="189">
        <f t="shared" si="1"/>
        <v>22.05885719814205</v>
      </c>
      <c r="K13" s="511">
        <f>+([5]인천!$E$10*0.4+[5]인천!$E$11+[5]인천!$E$12+[5]인천!$E$13+[5]인천!$E$14)/[5]인천!$E$15</f>
        <v>0.26254777554870523</v>
      </c>
      <c r="L13" s="512">
        <f>+([5]인천!$F$10*0.4+[5]인천!$F$11+[5]인천!$F$12+[5]인천!$F$13+[5]인천!$F$14)/[5]인천!$F$15</f>
        <v>0.26449314496453996</v>
      </c>
      <c r="M13" s="513">
        <f t="shared" si="2"/>
        <v>1.9453694158347301E-3</v>
      </c>
      <c r="N13" s="452">
        <f>+[5]인천!$E$16</f>
        <v>883.01300000000003</v>
      </c>
      <c r="O13" s="453">
        <f>+[5]인천!$F$16</f>
        <v>887.46071981424041</v>
      </c>
      <c r="P13" s="189">
        <f t="shared" si="3"/>
        <v>4.4477198142403722</v>
      </c>
      <c r="Q13" s="452">
        <f>+[5]인천!$E$17</f>
        <v>848.56</v>
      </c>
      <c r="R13" s="453">
        <f>+[5]인천!$F$17</f>
        <v>832.10913312693458</v>
      </c>
      <c r="S13" s="189">
        <f t="shared" si="4"/>
        <v>-16.450866873065365</v>
      </c>
      <c r="T13" s="514">
        <f>+[5]인천!$E$19</f>
        <v>3.3109999999999999</v>
      </c>
      <c r="U13" s="515">
        <f>+[5]인천!$F$19</f>
        <v>3.1901799535603717</v>
      </c>
      <c r="V13" s="516">
        <f t="shared" si="5"/>
        <v>-0.12082004643962829</v>
      </c>
    </row>
    <row r="14" spans="4:22" ht="24" customHeight="1">
      <c r="D14" s="451" t="s">
        <v>24</v>
      </c>
      <c r="E14" s="452">
        <f>+[5]파주!$E$9</f>
        <v>240.06869565217389</v>
      </c>
      <c r="F14" s="453">
        <f>+[5]파주!$F$9</f>
        <v>263.16252248182957</v>
      </c>
      <c r="G14" s="189">
        <f t="shared" si="0"/>
        <v>23.093826829655683</v>
      </c>
      <c r="H14" s="452">
        <f>+[5]파주!$E$15</f>
        <v>335.59869565217389</v>
      </c>
      <c r="I14" s="453">
        <f>+[5]파주!$F$15</f>
        <v>361.24879398842012</v>
      </c>
      <c r="J14" s="189">
        <f t="shared" si="1"/>
        <v>25.650098336246231</v>
      </c>
      <c r="K14" s="511">
        <f>+([5]파주!$E$10*0.4+[5]파주!$E$11+[5]파주!$E$12+[5]파주!$E$13+[5]파주!$E$14)/[5]파주!$E$15</f>
        <v>0.28465545676318899</v>
      </c>
      <c r="L14" s="512">
        <f>+([5]파주!$F$10*0.4+[5]파주!$F$11+[5]파주!$F$12+[5]파주!$F$13+[5]파주!$F$14)/[5]파주!$F$15</f>
        <v>0.25818324142630539</v>
      </c>
      <c r="M14" s="513">
        <f t="shared" si="2"/>
        <v>-2.6472215336883598E-2</v>
      </c>
      <c r="N14" s="452">
        <f>+[5]파주!$E$16</f>
        <v>874.0423913043478</v>
      </c>
      <c r="O14" s="453">
        <f>+[5]파주!$F$16</f>
        <v>822.40808565679788</v>
      </c>
      <c r="P14" s="189">
        <f t="shared" si="3"/>
        <v>-51.634305647549922</v>
      </c>
      <c r="Q14" s="452">
        <f>+[5]파주!$E$17</f>
        <v>882.65478260869565</v>
      </c>
      <c r="R14" s="453">
        <f>+[5]파주!$F$17</f>
        <v>888.11071851517272</v>
      </c>
      <c r="S14" s="189">
        <f t="shared" si="4"/>
        <v>5.4559359064770661</v>
      </c>
      <c r="T14" s="514">
        <f>+[5]파주!$E$19</f>
        <v>2.6847895652173919</v>
      </c>
      <c r="U14" s="515">
        <f>+[5]파주!$F$19</f>
        <v>2.967796205806267</v>
      </c>
      <c r="V14" s="516">
        <f t="shared" si="5"/>
        <v>0.28300664058887515</v>
      </c>
    </row>
    <row r="15" spans="4:22" ht="24" customHeight="1">
      <c r="D15" s="451" t="s">
        <v>178</v>
      </c>
      <c r="E15" s="452">
        <f>+[5]김포!$E$9</f>
        <v>205</v>
      </c>
      <c r="F15" s="453">
        <f>+[5]김포!$F$9</f>
        <v>211.26594585091411</v>
      </c>
      <c r="G15" s="189">
        <f t="shared" si="0"/>
        <v>6.2659458509141075</v>
      </c>
      <c r="H15" s="452">
        <f>+[5]김포!$E$15</f>
        <v>313</v>
      </c>
      <c r="I15" s="453">
        <f>+[5]김포!$F$15</f>
        <v>319.25891936240032</v>
      </c>
      <c r="J15" s="189">
        <f t="shared" si="1"/>
        <v>6.2589193624003201</v>
      </c>
      <c r="K15" s="511">
        <f>+([5]김포!$E$10*0.4+[5]김포!$E$11+[5]김포!$E$12+[5]김포!$E$13+[5]김포!$E$14)/[5]김포!$E$15</f>
        <v>0.34504792332268369</v>
      </c>
      <c r="L15" s="512">
        <f>+([5]김포!$F$10*0.4+[5]김포!$F$11+[5]김포!$F$12+[5]김포!$F$13+[5]김포!$F$14)/[5]김포!$F$15</f>
        <v>0.33826141404964211</v>
      </c>
      <c r="M15" s="513">
        <f t="shared" si="2"/>
        <v>-6.7865092730415855E-3</v>
      </c>
      <c r="N15" s="452">
        <f>+[5]김포!$E$16</f>
        <v>720</v>
      </c>
      <c r="O15" s="453">
        <f>+[5]김포!$F$16</f>
        <v>787.93014533520875</v>
      </c>
      <c r="P15" s="189">
        <f t="shared" si="3"/>
        <v>67.930145335208749</v>
      </c>
      <c r="Q15" s="452">
        <f>+[5]김포!$E$17</f>
        <v>1020</v>
      </c>
      <c r="R15" s="453">
        <f>+[5]김포!$F$17</f>
        <v>977.80707923112959</v>
      </c>
      <c r="S15" s="189">
        <f t="shared" si="4"/>
        <v>-42.192920768870408</v>
      </c>
      <c r="T15" s="514">
        <f>+[5]김포!$E$19</f>
        <v>2.5</v>
      </c>
      <c r="U15" s="515">
        <f>+[5]김포!$F$19</f>
        <v>2.6156575246132219</v>
      </c>
      <c r="V15" s="516">
        <f t="shared" si="5"/>
        <v>0.11565752461322187</v>
      </c>
    </row>
    <row r="16" spans="4:22" ht="24" customHeight="1">
      <c r="D16" s="486" t="s">
        <v>25</v>
      </c>
      <c r="E16" s="455">
        <f>+[5]부산!$E$9</f>
        <v>202.58990051050932</v>
      </c>
      <c r="F16" s="456">
        <f>+[5]부산!$F$9</f>
        <v>184.3906323748424</v>
      </c>
      <c r="G16" s="457">
        <f t="shared" si="0"/>
        <v>-18.199268135666927</v>
      </c>
      <c r="H16" s="455">
        <f>+[5]부산!$E$15</f>
        <v>353.06259452745684</v>
      </c>
      <c r="I16" s="456">
        <f>+[5]부산!$F$15</f>
        <v>390.72670924504519</v>
      </c>
      <c r="J16" s="457">
        <f t="shared" si="1"/>
        <v>37.664114717588348</v>
      </c>
      <c r="K16" s="517">
        <f>+([5]부산!$E$10*0.4+[5]부산!$E$11+[5]부산!$E$12+[5]부산!$E$13+[5]부산!$E$14)/[5]부산!$E$15</f>
        <v>0.34048633643666776</v>
      </c>
      <c r="L16" s="518">
        <f>+([5]부산!$F$10*0.4+[5]부산!$F$11+[5]부산!$F$12+[5]부산!$F$13+[5]부산!$F$14)/[5]부산!$F$15</f>
        <v>0.26454205757043725</v>
      </c>
      <c r="M16" s="519">
        <f t="shared" si="2"/>
        <v>-7.5944278866230508E-2</v>
      </c>
      <c r="N16" s="455">
        <f>+[5]부산!$E$16</f>
        <v>843.68586848062978</v>
      </c>
      <c r="O16" s="456">
        <f>+[5]부산!$F$16</f>
        <v>879.68386596402718</v>
      </c>
      <c r="P16" s="457">
        <f t="shared" si="3"/>
        <v>35.997997483397398</v>
      </c>
      <c r="Q16" s="455">
        <f>+[5]부산!$E$17</f>
        <v>889.67450029235943</v>
      </c>
      <c r="R16" s="456">
        <f>+[5]부산!$F$17</f>
        <v>840.27379997708761</v>
      </c>
      <c r="S16" s="457">
        <f t="shared" si="4"/>
        <v>-49.40070031527182</v>
      </c>
      <c r="T16" s="520">
        <f>+[5]부산!$E$19</f>
        <v>3.5348626964088972</v>
      </c>
      <c r="U16" s="521">
        <f>+[5]부산!$F$19</f>
        <v>3.5150108832626898</v>
      </c>
      <c r="V16" s="522">
        <f t="shared" si="5"/>
        <v>-1.985181314620732E-2</v>
      </c>
    </row>
    <row r="17" spans="4:22" ht="24" customHeight="1">
      <c r="D17" s="451" t="s">
        <v>26</v>
      </c>
      <c r="E17" s="452">
        <f>+[5]서부산!$E$9</f>
        <v>210.5</v>
      </c>
      <c r="F17" s="453">
        <f>+[5]서부산!$F$9</f>
        <v>230.29420784115453</v>
      </c>
      <c r="G17" s="189">
        <f t="shared" si="0"/>
        <v>19.794207841154531</v>
      </c>
      <c r="H17" s="452">
        <f>+[5]서부산!$E$15</f>
        <v>356.7</v>
      </c>
      <c r="I17" s="453">
        <f>+[5]서부산!$F$15</f>
        <v>356.05767109436039</v>
      </c>
      <c r="J17" s="189">
        <f t="shared" si="1"/>
        <v>-0.64232890563960154</v>
      </c>
      <c r="K17" s="511">
        <f>+([5]서부산!$E$10*0.4+[5]서부산!$E$11+[5]서부산!$E$12+[5]서부산!$E$13+[5]서부산!$E$14)/[5]서부산!$E$15</f>
        <v>0.32761424165965797</v>
      </c>
      <c r="L17" s="512">
        <f>+([5]서부산!$F$10*0.4+[5]서부산!$F$11+[5]서부산!$F$12+[5]서부산!$F$13+[5]서부산!$F$14)/[5]서부산!$F$15</f>
        <v>0.25434192282069884</v>
      </c>
      <c r="M17" s="513">
        <f t="shared" si="2"/>
        <v>-7.3272318838959127E-2</v>
      </c>
      <c r="N17" s="452">
        <f>+[5]서부산!$E$16</f>
        <v>820.69999999999993</v>
      </c>
      <c r="O17" s="453">
        <f>+[5]서부산!$F$16</f>
        <v>818.7914234499242</v>
      </c>
      <c r="P17" s="189">
        <f t="shared" si="3"/>
        <v>-1.9085765500757361</v>
      </c>
      <c r="Q17" s="452">
        <f>+[5]서부산!$E$17</f>
        <v>910.90000000000009</v>
      </c>
      <c r="R17" s="453">
        <f>+[5]서부산!$F$17</f>
        <v>913.06476076664978</v>
      </c>
      <c r="S17" s="189">
        <f t="shared" si="4"/>
        <v>2.1647607666496924</v>
      </c>
      <c r="T17" s="514">
        <f>+[5]서부산!$E$19</f>
        <v>4.8380000000000001</v>
      </c>
      <c r="U17" s="515">
        <f>+[5]서부산!$F$19</f>
        <v>3.3864613687548846</v>
      </c>
      <c r="V17" s="516">
        <f t="shared" si="5"/>
        <v>-1.4515386312451155</v>
      </c>
    </row>
    <row r="18" spans="4:22" ht="24" customHeight="1">
      <c r="D18" s="451" t="s">
        <v>27</v>
      </c>
      <c r="E18" s="452">
        <f>+[5]김해!$E$9</f>
        <v>158.38</v>
      </c>
      <c r="F18" s="453">
        <f>+[5]김해!$F$9</f>
        <v>207.77439266615747</v>
      </c>
      <c r="G18" s="189">
        <f t="shared" si="0"/>
        <v>49.394392666157472</v>
      </c>
      <c r="H18" s="452">
        <f>+[5]김해!$E$15</f>
        <v>343.00000000000006</v>
      </c>
      <c r="I18" s="453">
        <f>+[5]김해!$F$15</f>
        <v>357.61566929802234</v>
      </c>
      <c r="J18" s="189">
        <f t="shared" si="1"/>
        <v>14.615669298022283</v>
      </c>
      <c r="K18" s="511">
        <f>+([5]김해!$E$10*0.4+[5]김해!$E$11+[5]김해!$E$12+[5]김해!$E$13+[5]김해!$E$14)/[5]김해!$E$15</f>
        <v>0.27180174927113698</v>
      </c>
      <c r="L18" s="512">
        <f>+([5]김해!$F$10*0.4+[5]김해!$F$11+[5]김해!$F$12+[5]김해!$F$13+[5]김해!$F$14)/[5]김해!$F$15</f>
        <v>0.20313121485609231</v>
      </c>
      <c r="M18" s="513">
        <f t="shared" si="2"/>
        <v>-6.8670534415044671E-2</v>
      </c>
      <c r="N18" s="452">
        <f>+[5]김해!$E$16</f>
        <v>830</v>
      </c>
      <c r="O18" s="453">
        <f>+[5]김해!$F$16</f>
        <v>724.47160682454808</v>
      </c>
      <c r="P18" s="189">
        <f t="shared" si="3"/>
        <v>-105.52839317545192</v>
      </c>
      <c r="Q18" s="452">
        <f>+[5]김해!$E$17</f>
        <v>890</v>
      </c>
      <c r="R18" s="453">
        <f>+[5]김해!$F$17</f>
        <v>994.64901111959921</v>
      </c>
      <c r="S18" s="189">
        <f t="shared" si="4"/>
        <v>104.64901111959921</v>
      </c>
      <c r="T18" s="514">
        <f>+[5]김해!$E$19</f>
        <v>3.3</v>
      </c>
      <c r="U18" s="515">
        <f>+[5]김해!$F$19</f>
        <v>2.9346362787539269</v>
      </c>
      <c r="V18" s="516">
        <f t="shared" si="5"/>
        <v>-0.36536372124607297</v>
      </c>
    </row>
    <row r="19" spans="4:22" ht="24" customHeight="1">
      <c r="D19" s="451" t="s">
        <v>28</v>
      </c>
      <c r="E19" s="452">
        <f>+[5]정관!$E$9</f>
        <v>172.4</v>
      </c>
      <c r="F19" s="453">
        <f>+[5]정관!$F$9</f>
        <v>200.74101595929227</v>
      </c>
      <c r="G19" s="189">
        <f t="shared" si="0"/>
        <v>28.341015959292264</v>
      </c>
      <c r="H19" s="452">
        <f>+[5]정관!$E$15</f>
        <v>358.4</v>
      </c>
      <c r="I19" s="453">
        <f>+[5]정관!$F$15</f>
        <v>367.56916213715749</v>
      </c>
      <c r="J19" s="189">
        <f t="shared" si="1"/>
        <v>9.1691621371575138</v>
      </c>
      <c r="K19" s="511">
        <f>+([5]정관!$E$10*0.4+[5]정관!$E$11+[5]정관!$E$12+[5]정관!$E$13+[5]정관!$E$14)/[5]정관!$E$15</f>
        <v>0.34737723214285715</v>
      </c>
      <c r="L19" s="512">
        <f>+([5]정관!$F$10*0.4+[5]정관!$F$11+[5]정관!$F$12+[5]정관!$F$13+[5]정관!$F$14)/[5]정관!$F$15</f>
        <v>0.32112842557191518</v>
      </c>
      <c r="M19" s="513">
        <f t="shared" si="2"/>
        <v>-2.6248806570941974E-2</v>
      </c>
      <c r="N19" s="452">
        <f>+[5]정관!$E$16</f>
        <v>795</v>
      </c>
      <c r="O19" s="453">
        <f>+[5]정관!$F$16</f>
        <v>777.14814386492469</v>
      </c>
      <c r="P19" s="189">
        <f t="shared" si="3"/>
        <v>-17.851856135075309</v>
      </c>
      <c r="Q19" s="452">
        <f>+[5]정관!$E$17</f>
        <v>920</v>
      </c>
      <c r="R19" s="453">
        <f>+[5]정관!$F$17</f>
        <v>955.87747195559086</v>
      </c>
      <c r="S19" s="189">
        <f t="shared" si="4"/>
        <v>35.877471955590863</v>
      </c>
      <c r="T19" s="514">
        <f>+[5]정관!$E$19</f>
        <v>3.05592</v>
      </c>
      <c r="U19" s="515">
        <f>+[5]정관!$F$19</f>
        <v>3.2003209205504803</v>
      </c>
      <c r="V19" s="516">
        <f t="shared" si="5"/>
        <v>0.14440092055048037</v>
      </c>
    </row>
    <row r="20" spans="4:22" ht="24" customHeight="1">
      <c r="D20" s="451" t="s">
        <v>29</v>
      </c>
      <c r="E20" s="452">
        <f>+[5]양산!$E$9</f>
        <v>186.45288888888888</v>
      </c>
      <c r="F20" s="453">
        <f>+[5]양산!$F$9</f>
        <v>262.51545528455296</v>
      </c>
      <c r="G20" s="189">
        <f t="shared" si="0"/>
        <v>76.062566395664078</v>
      </c>
      <c r="H20" s="452">
        <f>+[5]양산!$E$15</f>
        <v>334.05629688888894</v>
      </c>
      <c r="I20" s="453">
        <f>+[5]양산!$F$15</f>
        <v>360.60362872628747</v>
      </c>
      <c r="J20" s="189">
        <f t="shared" si="1"/>
        <v>26.547331837398531</v>
      </c>
      <c r="K20" s="511">
        <f>+([5]양산!$E$10*0.4+[5]양산!$E$11+[5]양산!$E$12+[5]양산!$E$13+[5]양산!$E$14)/[5]양산!$E$15</f>
        <v>0.43057294396052487</v>
      </c>
      <c r="L20" s="512">
        <f>+([5]양산!$F$10*0.4+[5]양산!$F$11+[5]양산!$F$12+[5]양산!$F$13+[5]양산!$F$14)/[5]양산!$F$15</f>
        <v>0.26782055042471359</v>
      </c>
      <c r="M20" s="513">
        <f t="shared" si="2"/>
        <v>-0.16275239353581128</v>
      </c>
      <c r="N20" s="452">
        <f>+[5]양산!$E$16</f>
        <v>781.66666666666663</v>
      </c>
      <c r="O20" s="453">
        <f>+[5]양산!$F$16</f>
        <v>798.36946702800367</v>
      </c>
      <c r="P20" s="189">
        <f t="shared" si="3"/>
        <v>16.70280036133704</v>
      </c>
      <c r="Q20" s="452">
        <f>+[5]양산!$E$17</f>
        <v>889.92167555555568</v>
      </c>
      <c r="R20" s="453">
        <f>+[5]양산!$F$17</f>
        <v>891.68518518518511</v>
      </c>
      <c r="S20" s="189">
        <f t="shared" si="4"/>
        <v>1.763509629629425</v>
      </c>
      <c r="T20" s="514">
        <f>+[5]양산!$E$19</f>
        <v>2.4969368444444444</v>
      </c>
      <c r="U20" s="515">
        <f>+[5]양산!$F$19</f>
        <v>3.4075682023486888</v>
      </c>
      <c r="V20" s="516">
        <f t="shared" si="5"/>
        <v>0.91063135790424443</v>
      </c>
    </row>
    <row r="21" spans="4:22" ht="24" customHeight="1">
      <c r="D21" s="451" t="s">
        <v>30</v>
      </c>
      <c r="E21" s="452">
        <f>+[5]창원!$E$9</f>
        <v>239.8</v>
      </c>
      <c r="F21" s="453">
        <f>+[5]창원!$F$9</f>
        <v>228.93104322852557</v>
      </c>
      <c r="G21" s="189">
        <f t="shared" si="0"/>
        <v>-10.868956771474444</v>
      </c>
      <c r="H21" s="452">
        <f>+[5]창원!$E$15</f>
        <v>343.9</v>
      </c>
      <c r="I21" s="453">
        <f>+[5]창원!$F$15</f>
        <v>354.1492857409271</v>
      </c>
      <c r="J21" s="189">
        <f t="shared" si="1"/>
        <v>10.249285740927121</v>
      </c>
      <c r="K21" s="511">
        <f>+([5]창원!$E$10*0.4+[5]창원!$E$11+[5]창원!$E$12+[5]창원!$E$13+[5]창원!$E$14)/[5]창원!$E$15</f>
        <v>0.3027042744984007</v>
      </c>
      <c r="L21" s="512">
        <f>+([5]창원!$F$10*0.4+[5]창원!$F$11+[5]창원!$F$12+[5]창원!$F$13+[5]창원!$F$14)/[5]창원!$F$15</f>
        <v>0.353574742499984</v>
      </c>
      <c r="M21" s="513">
        <f t="shared" si="2"/>
        <v>5.0870468001583291E-2</v>
      </c>
      <c r="N21" s="452">
        <f>+[5]창원!$E$16</f>
        <v>836.9</v>
      </c>
      <c r="O21" s="453">
        <f>+[5]창원!$F$16</f>
        <v>823.10805266495197</v>
      </c>
      <c r="P21" s="189">
        <f t="shared" si="3"/>
        <v>-13.791947335048008</v>
      </c>
      <c r="Q21" s="452">
        <f>+[5]창원!$E$17</f>
        <v>880.4</v>
      </c>
      <c r="R21" s="453">
        <f>+[5]창원!$F$17</f>
        <v>893.12297191451273</v>
      </c>
      <c r="S21" s="189">
        <f t="shared" si="4"/>
        <v>12.722971914512755</v>
      </c>
      <c r="T21" s="514">
        <f>+[5]창원!$E$19</f>
        <v>3.09</v>
      </c>
      <c r="U21" s="515">
        <f>+[5]창원!$F$19</f>
        <v>2.7932378501361375</v>
      </c>
      <c r="V21" s="516">
        <f t="shared" si="5"/>
        <v>-0.2967621498638624</v>
      </c>
    </row>
    <row r="22" spans="4:22" ht="24" customHeight="1">
      <c r="D22" s="451" t="s">
        <v>95</v>
      </c>
      <c r="E22" s="452">
        <f>+[5]대구!$E$9</f>
        <v>204</v>
      </c>
      <c r="F22" s="453">
        <f>+[5]대구!$F$9</f>
        <v>229.56205815144611</v>
      </c>
      <c r="G22" s="189">
        <f t="shared" si="0"/>
        <v>25.562058151446109</v>
      </c>
      <c r="H22" s="452">
        <f>+[5]대구!$E$15</f>
        <v>340</v>
      </c>
      <c r="I22" s="453">
        <f>+[5]대구!$F$15</f>
        <v>369.28983452840623</v>
      </c>
      <c r="J22" s="189">
        <f t="shared" si="1"/>
        <v>29.289834528406232</v>
      </c>
      <c r="K22" s="511">
        <f>+([5]대구!$E$10*0.4+[5]대구!$E$11+[5]대구!$E$12+[5]대구!$E$13+[5]대구!$E$14)/[5]대구!$E$15</f>
        <v>0.4</v>
      </c>
      <c r="L22" s="512">
        <f>+([5]대구!$F$10*0.4+[5]대구!$F$11+[5]대구!$F$12+[5]대구!$F$13+[5]대구!$F$14)/[5]대구!$F$15</f>
        <v>0.37836886724866525</v>
      </c>
      <c r="M22" s="513">
        <f t="shared" si="2"/>
        <v>-2.163113275133477E-2</v>
      </c>
      <c r="N22" s="452">
        <f>+[5]대구!$E$16</f>
        <v>771.29726976586358</v>
      </c>
      <c r="O22" s="453">
        <f>+[5]대구!$F$16</f>
        <v>733.1380505870311</v>
      </c>
      <c r="P22" s="189">
        <f t="shared" si="3"/>
        <v>-38.159219178832473</v>
      </c>
      <c r="Q22" s="452">
        <f>+[5]대구!$E$17</f>
        <v>942.69666304716668</v>
      </c>
      <c r="R22" s="453">
        <f>+[5]대구!$F$17</f>
        <v>930.05397525805688</v>
      </c>
      <c r="S22" s="189">
        <f t="shared" si="4"/>
        <v>-12.6426877891098</v>
      </c>
      <c r="T22" s="514">
        <f>+[5]대구!$E$19</f>
        <v>2.72</v>
      </c>
      <c r="U22" s="515">
        <f>+[5]대구!$F$19</f>
        <v>3.074576471515249</v>
      </c>
      <c r="V22" s="516">
        <f t="shared" si="5"/>
        <v>0.35457647151524885</v>
      </c>
    </row>
    <row r="23" spans="4:22" ht="24" customHeight="1">
      <c r="D23" s="451" t="s">
        <v>97</v>
      </c>
      <c r="E23" s="452">
        <f>+[5]울산!$E$9</f>
        <v>218.4</v>
      </c>
      <c r="F23" s="453">
        <f>+[5]울산!$F$9</f>
        <v>238.03011265826999</v>
      </c>
      <c r="G23" s="189">
        <f t="shared" si="0"/>
        <v>19.630112658269979</v>
      </c>
      <c r="H23" s="452">
        <f>+[5]울산!$E$15</f>
        <v>352.09999999999997</v>
      </c>
      <c r="I23" s="453">
        <f>+[5]울산!$F$15</f>
        <v>382.09515735602014</v>
      </c>
      <c r="J23" s="189">
        <f t="shared" si="1"/>
        <v>29.995157356020172</v>
      </c>
      <c r="K23" s="511">
        <f>+([5]울산!$E$10*0.4+[5]울산!$E$11+[5]울산!$E$12+[5]울산!$E$13+[5]울산!$E$14)/[5]울산!$E$15</f>
        <v>0.3797216699801193</v>
      </c>
      <c r="L23" s="512">
        <f>+([5]울산!$F$10*0.4+[5]울산!$F$11+[5]울산!$F$12+[5]울산!$F$13+[5]울산!$F$14)/[5]울산!$F$15</f>
        <v>0.37703970313216095</v>
      </c>
      <c r="M23" s="513">
        <f t="shared" si="2"/>
        <v>-2.6819668479583503E-3</v>
      </c>
      <c r="N23" s="452">
        <f>+[5]울산!$E$16</f>
        <v>724</v>
      </c>
      <c r="O23" s="453">
        <f>+[5]울산!$F$16</f>
        <v>789.65551161476844</v>
      </c>
      <c r="P23" s="189">
        <f t="shared" si="3"/>
        <v>65.655511614768443</v>
      </c>
      <c r="Q23" s="452">
        <f>+[5]울산!$E$17</f>
        <v>968</v>
      </c>
      <c r="R23" s="453">
        <f>+[5]울산!$F$17</f>
        <v>864.75231796882815</v>
      </c>
      <c r="S23" s="189">
        <f t="shared" si="4"/>
        <v>-103.24768203117185</v>
      </c>
      <c r="T23" s="514">
        <f>+[5]울산!$E$19</f>
        <v>3.2</v>
      </c>
      <c r="U23" s="515">
        <f>+[5]울산!$F$19</f>
        <v>3.1663593765577751</v>
      </c>
      <c r="V23" s="516">
        <f t="shared" si="5"/>
        <v>-3.3640623442225071E-2</v>
      </c>
    </row>
    <row r="24" spans="4:22" ht="24" customHeight="1">
      <c r="D24" s="486" t="s">
        <v>31</v>
      </c>
      <c r="E24" s="455">
        <f>+[5]아산!$E$9</f>
        <v>245.70416666666665</v>
      </c>
      <c r="F24" s="456">
        <f>+[5]아산!$F$9</f>
        <v>300.91350994195398</v>
      </c>
      <c r="G24" s="457">
        <f t="shared" si="0"/>
        <v>55.209343275287324</v>
      </c>
      <c r="H24" s="455">
        <f>+[5]아산!$E$15</f>
        <v>361.30916666666661</v>
      </c>
      <c r="I24" s="456">
        <f>+[5]아산!$F$15</f>
        <v>381.22540035404074</v>
      </c>
      <c r="J24" s="457">
        <f t="shared" si="1"/>
        <v>19.916233687374131</v>
      </c>
      <c r="K24" s="517">
        <f>+([5]아산!$E$10*0.4+[5]아산!$E$11+[5]아산!$E$12+[5]아산!$E$13+[5]아산!$E$14)/[5]아산!$E$15</f>
        <v>0.26595228924443748</v>
      </c>
      <c r="L24" s="518">
        <f>+([5]아산!$F$10*0.4+[5]아산!$F$11+[5]아산!$F$12+[5]아산!$F$13+[5]아산!$F$14)/[5]아산!$F$15</f>
        <v>0.2106677318392263</v>
      </c>
      <c r="M24" s="519">
        <f t="shared" si="2"/>
        <v>-5.5284557405211182E-2</v>
      </c>
      <c r="N24" s="455">
        <f>+[5]아산!$E$16</f>
        <v>854.9133333333333</v>
      </c>
      <c r="O24" s="456">
        <f>+[5]아산!$F$16</f>
        <v>874.65913301222679</v>
      </c>
      <c r="P24" s="457">
        <f t="shared" si="3"/>
        <v>19.745799678893491</v>
      </c>
      <c r="Q24" s="455">
        <f>+[5]아산!$E$17</f>
        <v>864.74416666666662</v>
      </c>
      <c r="R24" s="456">
        <f>+[5]아산!$F$17</f>
        <v>865.46169363138574</v>
      </c>
      <c r="S24" s="457">
        <f t="shared" si="4"/>
        <v>0.71752696471912714</v>
      </c>
      <c r="T24" s="520">
        <f>+[5]아산!$E$19</f>
        <v>3.0019333333333331</v>
      </c>
      <c r="U24" s="521">
        <f>+[5]아산!$F$19</f>
        <v>3.106636202708823</v>
      </c>
      <c r="V24" s="522">
        <f t="shared" si="5"/>
        <v>0.10470286937548989</v>
      </c>
    </row>
    <row r="25" spans="4:22" ht="24" customHeight="1">
      <c r="D25" s="451" t="s">
        <v>34</v>
      </c>
      <c r="E25" s="452">
        <f>+[5]전주!$E$9</f>
        <v>234.51999999999998</v>
      </c>
      <c r="F25" s="453">
        <f>+[5]전주!$F$9</f>
        <v>177.34019074750722</v>
      </c>
      <c r="G25" s="189">
        <f t="shared" si="0"/>
        <v>-57.17980925249276</v>
      </c>
      <c r="H25" s="452">
        <f>+[5]전주!$E$15</f>
        <v>335.02</v>
      </c>
      <c r="I25" s="453">
        <f>+[5]전주!$F$15</f>
        <v>313.13495881587909</v>
      </c>
      <c r="J25" s="189">
        <f t="shared" si="1"/>
        <v>-21.885041184120894</v>
      </c>
      <c r="K25" s="511">
        <f>+([5]전주!$E$10*0.4+[5]전주!$E$11+[5]전주!$E$12+[5]전주!$E$13+[5]전주!$E$14)/[5]전주!$E$15</f>
        <v>0.27591188585756071</v>
      </c>
      <c r="L25" s="512">
        <f>+([5]전주!$F$10*0.4+[5]전주!$F$11+[5]전주!$F$12+[5]전주!$F$13+[5]전주!$F$14)/[5]전주!$F$15</f>
        <v>0.3300943296401086</v>
      </c>
      <c r="M25" s="513">
        <f t="shared" si="2"/>
        <v>5.4182443782547884E-2</v>
      </c>
      <c r="N25" s="452">
        <f>+[5]전주!$E$16</f>
        <v>764.48</v>
      </c>
      <c r="O25" s="453">
        <f>+[5]전주!$F$16</f>
        <v>635.02446274849854</v>
      </c>
      <c r="P25" s="189">
        <f t="shared" si="3"/>
        <v>-129.45553725150148</v>
      </c>
      <c r="Q25" s="452">
        <f>+[5]전주!$E$17</f>
        <v>980.37000000000012</v>
      </c>
      <c r="R25" s="453">
        <f>+[5]전주!$F$17</f>
        <v>1104.5859912057965</v>
      </c>
      <c r="S25" s="189">
        <f t="shared" si="4"/>
        <v>124.2159912057964</v>
      </c>
      <c r="T25" s="514">
        <f>+[5]전주!$E$19</f>
        <v>2.75</v>
      </c>
      <c r="U25" s="515">
        <f>+[5]전주!$F$19</f>
        <v>2.3714807704217504</v>
      </c>
      <c r="V25" s="516">
        <f t="shared" si="5"/>
        <v>-0.37851922957824957</v>
      </c>
    </row>
    <row r="26" spans="4:22" ht="24" customHeight="1">
      <c r="D26" s="451" t="s">
        <v>33</v>
      </c>
      <c r="E26" s="452">
        <f>+[5]군산!$E$9</f>
        <v>213.5</v>
      </c>
      <c r="F26" s="453">
        <f>+[5]군산!$F$9</f>
        <v>250.57398973790046</v>
      </c>
      <c r="G26" s="189">
        <f t="shared" si="0"/>
        <v>37.073989737900462</v>
      </c>
      <c r="H26" s="452">
        <f>+[5]군산!$E$15</f>
        <v>339.5</v>
      </c>
      <c r="I26" s="453">
        <f>+[5]군산!$F$15</f>
        <v>368.9913465538761</v>
      </c>
      <c r="J26" s="189">
        <f t="shared" si="1"/>
        <v>29.491346553876099</v>
      </c>
      <c r="K26" s="511">
        <f>+([5]군산!$E$10*0.4+[5]군산!$E$11+[5]군산!$E$12+[5]군산!$E$13+[5]군산!$E$14)/[5]군산!$E$15</f>
        <v>0.34639175257731958</v>
      </c>
      <c r="L26" s="512">
        <f>+([5]군산!$F$10*0.4+[5]군산!$F$11+[5]군산!$F$12+[5]군산!$F$13+[5]군산!$F$14)/[5]군산!$F$15</f>
        <v>0.25514447139627283</v>
      </c>
      <c r="M26" s="513">
        <f t="shared" si="2"/>
        <v>-9.1247281181046747E-2</v>
      </c>
      <c r="N26" s="452">
        <f>+[5]군산!$E$16</f>
        <v>785</v>
      </c>
      <c r="O26" s="453">
        <f>+[5]군산!$F$16</f>
        <v>802.65011787546791</v>
      </c>
      <c r="P26" s="189">
        <f t="shared" si="3"/>
        <v>17.650117875467913</v>
      </c>
      <c r="Q26" s="452">
        <f>+[5]군산!$E$17</f>
        <v>935</v>
      </c>
      <c r="R26" s="453">
        <f>+[5]군산!$F$17</f>
        <v>916.20094300374433</v>
      </c>
      <c r="S26" s="189">
        <f t="shared" si="4"/>
        <v>-18.799056996255672</v>
      </c>
      <c r="T26" s="514">
        <f>+[5]군산!$E$19</f>
        <v>2.84</v>
      </c>
      <c r="U26" s="515">
        <f>+[5]군산!$F$19</f>
        <v>2.8920676743863543</v>
      </c>
      <c r="V26" s="516">
        <f t="shared" si="5"/>
        <v>5.2067674386354401E-2</v>
      </c>
    </row>
    <row r="27" spans="4:22" ht="24" customHeight="1">
      <c r="D27" s="451" t="s">
        <v>32</v>
      </c>
      <c r="E27" s="452">
        <f>+[5]원주!$E$9</f>
        <v>259.90000000000003</v>
      </c>
      <c r="F27" s="453">
        <f>+[5]원주!$F$9</f>
        <v>290.23547800869994</v>
      </c>
      <c r="G27" s="189">
        <f t="shared" si="0"/>
        <v>30.335478008699909</v>
      </c>
      <c r="H27" s="452">
        <f>+[5]원주!$E$15</f>
        <v>343.5</v>
      </c>
      <c r="I27" s="453">
        <f>+[5]원주!$F$15</f>
        <v>370.09861575640417</v>
      </c>
      <c r="J27" s="189">
        <f t="shared" si="1"/>
        <v>26.598615756404172</v>
      </c>
      <c r="K27" s="511">
        <f>+([5]원주!$E$10*0.4+[5]원주!$E$11+[5]원주!$E$12+[5]원주!$E$13+[5]원주!$E$14)/[5]원주!$E$15</f>
        <v>0.24337700145560406</v>
      </c>
      <c r="L27" s="512">
        <f>+([5]원주!$F$10*0.4+[5]원주!$F$11+[5]원주!$F$12+[5]원주!$F$13+[5]원주!$F$14)/[5]원주!$F$15</f>
        <v>0.21578880424743194</v>
      </c>
      <c r="M27" s="513">
        <f t="shared" si="2"/>
        <v>-2.7588197208172127E-2</v>
      </c>
      <c r="N27" s="452">
        <f>+[5]원주!$E$16</f>
        <v>815.9</v>
      </c>
      <c r="O27" s="453">
        <f>+[5]원주!$F$16</f>
        <v>835.63518608023196</v>
      </c>
      <c r="P27" s="189">
        <f t="shared" si="3"/>
        <v>19.735186080231983</v>
      </c>
      <c r="Q27" s="452">
        <f>+[5]원주!$E$17</f>
        <v>953.30000000000007</v>
      </c>
      <c r="R27" s="453">
        <f>+[5]원주!$F$17</f>
        <v>929.44166263895568</v>
      </c>
      <c r="S27" s="189">
        <f t="shared" si="4"/>
        <v>-23.858337361044391</v>
      </c>
      <c r="T27" s="514">
        <f>+[5]원주!$E$19</f>
        <v>2.871</v>
      </c>
      <c r="U27" s="515">
        <f>+[5]원주!$F$19</f>
        <v>2.8504881585306903</v>
      </c>
      <c r="V27" s="516">
        <f t="shared" si="5"/>
        <v>-2.0511841469309733E-2</v>
      </c>
    </row>
    <row r="28" spans="4:22" ht="24" customHeight="1">
      <c r="D28" s="500" t="s">
        <v>35</v>
      </c>
      <c r="E28" s="523">
        <f>+[5]제주!$E$9</f>
        <v>342.69999999999993</v>
      </c>
      <c r="F28" s="524">
        <f>+[5]제주!$F$9</f>
        <v>321.86339869281045</v>
      </c>
      <c r="G28" s="198">
        <f t="shared" si="0"/>
        <v>-20.836601307189483</v>
      </c>
      <c r="H28" s="523">
        <f>+[5]제주!$E$15</f>
        <v>342.69999999999993</v>
      </c>
      <c r="I28" s="524">
        <f>+[5]제주!$F$15</f>
        <v>328.93093938228884</v>
      </c>
      <c r="J28" s="198">
        <f t="shared" si="1"/>
        <v>-13.769060617711091</v>
      </c>
      <c r="K28" s="525">
        <f>+([5]제주!$E$10*0.4+[5]제주!$E$11+[5]제주!$E$12+[5]제주!$E$13+[5]제주!$E$14)/[5]제주!$E$15</f>
        <v>0</v>
      </c>
      <c r="L28" s="526">
        <f>+([5]제주!$F$10*0.4+[5]제주!$F$11+[5]제주!$F$12+[5]제주!$F$13+[5]제주!$F$14)/[5]제주!$F$15</f>
        <v>8.5945587274347535E-3</v>
      </c>
      <c r="M28" s="527">
        <f t="shared" si="2"/>
        <v>8.5945587274347535E-3</v>
      </c>
      <c r="N28" s="523">
        <f>+[5]제주!$E$16</f>
        <v>709.7</v>
      </c>
      <c r="O28" s="524">
        <f>+[5]제주!$F$16</f>
        <v>840.76893502499092</v>
      </c>
      <c r="P28" s="198">
        <f t="shared" si="3"/>
        <v>131.06893502499088</v>
      </c>
      <c r="Q28" s="523">
        <f>+[5]제주!$E$17</f>
        <v>1038.3</v>
      </c>
      <c r="R28" s="524">
        <f>+[5]제주!$F$17</f>
        <v>927.1293092400357</v>
      </c>
      <c r="S28" s="198">
        <f t="shared" si="4"/>
        <v>-111.17069075996426</v>
      </c>
      <c r="T28" s="528">
        <f>+[5]제주!$E$19</f>
        <v>3.04</v>
      </c>
      <c r="U28" s="529">
        <f>+[5]제주!$F$19</f>
        <v>3.6354094579008063</v>
      </c>
      <c r="V28" s="530">
        <f t="shared" si="5"/>
        <v>0.59540945790080624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K55"/>
  <sheetViews>
    <sheetView showGridLines="0" view="pageBreakPreview" topLeftCell="A4" zoomScale="60" zoomScaleNormal="70" workbookViewId="0">
      <pane ySplit="6" topLeftCell="A10" activePane="bottomLeft" state="frozenSplit"/>
      <selection activeCell="C32" sqref="C32"/>
      <selection pane="bottomLeft" activeCell="C32" sqref="C32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21" width="10.25" style="6" hidden="1" customWidth="1"/>
    <col min="22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184" t="s">
        <v>242</v>
      </c>
      <c r="F6" s="184"/>
      <c r="G6" s="184"/>
      <c r="H6" s="184"/>
      <c r="I6" s="184"/>
      <c r="J6" s="184"/>
      <c r="K6" s="184"/>
      <c r="L6" s="184"/>
      <c r="M6" s="184"/>
    </row>
    <row r="7" spans="4:17" ht="21.95" customHeight="1" thickBot="1">
      <c r="D7" s="185"/>
      <c r="O7" s="186" t="s">
        <v>76</v>
      </c>
    </row>
    <row r="8" spans="4:17" ht="25.5" customHeight="1" thickTop="1">
      <c r="D8" s="832" t="s">
        <v>11</v>
      </c>
      <c r="E8" s="833"/>
      <c r="F8" s="842" t="s">
        <v>232</v>
      </c>
      <c r="G8" s="843"/>
      <c r="H8" s="843"/>
      <c r="I8" s="843"/>
      <c r="J8" s="844"/>
      <c r="K8" s="809" t="s">
        <v>243</v>
      </c>
      <c r="L8" s="809"/>
      <c r="M8" s="809"/>
      <c r="N8" s="809"/>
      <c r="O8" s="812"/>
      <c r="P8" s="187"/>
      <c r="Q8" s="187"/>
    </row>
    <row r="9" spans="4:17" ht="25.5" customHeight="1">
      <c r="D9" s="834"/>
      <c r="E9" s="835"/>
      <c r="F9" s="569" t="s">
        <v>12</v>
      </c>
      <c r="G9" s="358" t="s">
        <v>13</v>
      </c>
      <c r="H9" s="367" t="s">
        <v>71</v>
      </c>
      <c r="I9" s="358" t="s">
        <v>14</v>
      </c>
      <c r="J9" s="570" t="s">
        <v>72</v>
      </c>
      <c r="K9" s="367" t="s">
        <v>12</v>
      </c>
      <c r="L9" s="358" t="s">
        <v>13</v>
      </c>
      <c r="M9" s="367" t="s">
        <v>71</v>
      </c>
      <c r="N9" s="358" t="s">
        <v>14</v>
      </c>
      <c r="O9" s="368" t="s">
        <v>72</v>
      </c>
      <c r="P9" s="187"/>
      <c r="Q9" s="187"/>
    </row>
    <row r="10" spans="4:17" ht="25.5" customHeight="1">
      <c r="D10" s="71" t="s">
        <v>110</v>
      </c>
      <c r="E10" s="90" t="s">
        <v>86</v>
      </c>
      <c r="F10" s="571">
        <f>+IFERROR(HLOOKUP($F$8,[13]손익!$G$5:$AI$63,2,),)</f>
        <v>7100</v>
      </c>
      <c r="G10" s="359">
        <f>+'[7]7월'!$G$8</f>
        <v>12986.909999999998</v>
      </c>
      <c r="H10" s="204">
        <f>+G10-F10</f>
        <v>5886.909999999998</v>
      </c>
      <c r="I10" s="359">
        <f>+IFERROR(HLOOKUP($F$8,[8]월별!$E$2:$T$53,2,),)</f>
        <v>6748.1729999999998</v>
      </c>
      <c r="J10" s="572">
        <f>+G10-I10</f>
        <v>6238.7369999999983</v>
      </c>
      <c r="K10" s="204">
        <f>+F10+[4]건자재!K10</f>
        <v>48700</v>
      </c>
      <c r="L10" s="359">
        <f>+G10+[4]건자재!L10</f>
        <v>61066.957999999999</v>
      </c>
      <c r="M10" s="204">
        <f>+L10-K10</f>
        <v>12366.957999999999</v>
      </c>
      <c r="N10" s="359">
        <f>+I10+[4]건자재!N10</f>
        <v>55688.971000000005</v>
      </c>
      <c r="O10" s="352">
        <f>+L10-N10</f>
        <v>5377.9869999999937</v>
      </c>
      <c r="P10" s="77"/>
      <c r="Q10" s="77"/>
    </row>
    <row r="11" spans="4:17" ht="25.5" customHeight="1">
      <c r="D11" s="72" t="s">
        <v>21</v>
      </c>
      <c r="E11" s="357" t="s">
        <v>122</v>
      </c>
      <c r="F11" s="573">
        <f>+F12/F10*1000</f>
        <v>975352.11267605633</v>
      </c>
      <c r="G11" s="360">
        <f t="shared" ref="G11" si="0">+G12/G10*1000</f>
        <v>751049.2097042331</v>
      </c>
      <c r="H11" s="214">
        <f t="shared" ref="H11:H28" si="1">+G11-F11</f>
        <v>-224302.90297182323</v>
      </c>
      <c r="I11" s="360">
        <f>+I12/I10*1000</f>
        <v>1025254.3120930659</v>
      </c>
      <c r="J11" s="574">
        <f t="shared" ref="J11:J28" si="2">+G11-I11</f>
        <v>-274205.10238883283</v>
      </c>
      <c r="K11" s="214">
        <f>+K12/K10*1000</f>
        <v>977104.72279260785</v>
      </c>
      <c r="L11" s="360">
        <f>+L12/L10*1000</f>
        <v>829421.34785885364</v>
      </c>
      <c r="M11" s="214">
        <f t="shared" ref="M11:M28" si="3">+L11-K11</f>
        <v>-147683.37493375421</v>
      </c>
      <c r="N11" s="360">
        <f>+N12/N10*1000</f>
        <v>1047235.3560097204</v>
      </c>
      <c r="O11" s="212">
        <f t="shared" ref="O11:O28" si="4">+L11-N11</f>
        <v>-217814.00815086672</v>
      </c>
      <c r="P11" s="77"/>
      <c r="Q11" s="77"/>
    </row>
    <row r="12" spans="4:17" ht="25.5" customHeight="1">
      <c r="D12" s="188" t="s">
        <v>77</v>
      </c>
      <c r="E12" s="91" t="s">
        <v>122</v>
      </c>
      <c r="F12" s="418">
        <f>+IFERROR(HLOOKUP($F$8,[13]손익!$G$5:$AI$63,22,),)</f>
        <v>6925000</v>
      </c>
      <c r="G12" s="361">
        <f>+'[7]7월'!$G$9</f>
        <v>9753808.4920000006</v>
      </c>
      <c r="H12" s="196">
        <f t="shared" si="1"/>
        <v>2828808.4920000006</v>
      </c>
      <c r="I12" s="361">
        <f>+IFERROR(HLOOKUP($F$8,[8]월별!$E$2:$T$53,5,),)</f>
        <v>6918593.4670000002</v>
      </c>
      <c r="J12" s="419">
        <f t="shared" si="2"/>
        <v>2835215.0250000004</v>
      </c>
      <c r="K12" s="196">
        <f>+F12+[4]건자재!K12</f>
        <v>47585000</v>
      </c>
      <c r="L12" s="361">
        <f>+G12+[4]건자재!L12</f>
        <v>50650238.614000008</v>
      </c>
      <c r="M12" s="196">
        <f t="shared" si="3"/>
        <v>3065238.6140000075</v>
      </c>
      <c r="N12" s="361">
        <f>+I12+[4]건자재!N12</f>
        <v>58319459.370999999</v>
      </c>
      <c r="O12" s="219">
        <f t="shared" si="4"/>
        <v>-7669220.7569999918</v>
      </c>
      <c r="P12" s="77"/>
      <c r="Q12" s="77"/>
    </row>
    <row r="13" spans="4:17" ht="25.5" customHeight="1">
      <c r="D13" s="188"/>
      <c r="E13" s="92" t="s">
        <v>123</v>
      </c>
      <c r="F13" s="575">
        <f>+IFERROR(HLOOKUP($F$8,[13]손익!$G$5:$AI$63,23,),)</f>
        <v>1759490.5263157897</v>
      </c>
      <c r="G13" s="362">
        <f>+'[7]7월'!$J$9</f>
        <v>1560840.1609999985</v>
      </c>
      <c r="H13" s="206">
        <f t="shared" si="1"/>
        <v>-198650.36531579122</v>
      </c>
      <c r="I13" s="362">
        <f>+IFERROR(HLOOKUP($F$8,[8]월별!$E$2:$T$53,6,),)</f>
        <v>1264884.152999999</v>
      </c>
      <c r="J13" s="576">
        <f t="shared" si="2"/>
        <v>295956.00799999945</v>
      </c>
      <c r="K13" s="206">
        <f>+F13+[4]건자재!K13</f>
        <v>11965776.842105269</v>
      </c>
      <c r="L13" s="362">
        <f>+G13+[4]건자재!L13</f>
        <v>10068148.121999998</v>
      </c>
      <c r="M13" s="206">
        <f t="shared" si="3"/>
        <v>-1897628.7201052718</v>
      </c>
      <c r="N13" s="362">
        <f>+I13+[4]건자재!N13</f>
        <v>9211920.8249999993</v>
      </c>
      <c r="O13" s="353">
        <f t="shared" si="4"/>
        <v>856227.29699999839</v>
      </c>
      <c r="P13" s="77"/>
      <c r="Q13" s="77"/>
    </row>
    <row r="14" spans="4:17" ht="25.5" customHeight="1">
      <c r="D14" s="188"/>
      <c r="E14" s="94" t="s">
        <v>58</v>
      </c>
      <c r="F14" s="416">
        <f>SUM(F12:F13)</f>
        <v>8684490.5263157897</v>
      </c>
      <c r="G14" s="363">
        <f>SUM(G12:G13)</f>
        <v>11314648.652999999</v>
      </c>
      <c r="H14" s="205">
        <f t="shared" si="1"/>
        <v>2630158.1266842093</v>
      </c>
      <c r="I14" s="363">
        <f>SUM(I12:I13)</f>
        <v>8183477.6199999992</v>
      </c>
      <c r="J14" s="417">
        <f t="shared" si="2"/>
        <v>3131171.0329999998</v>
      </c>
      <c r="K14" s="205">
        <f>SUM(K12:K13)</f>
        <v>59550776.842105269</v>
      </c>
      <c r="L14" s="363">
        <f>SUM(L12:L13)</f>
        <v>60718386.736000001</v>
      </c>
      <c r="M14" s="205">
        <f t="shared" si="3"/>
        <v>1167609.893894732</v>
      </c>
      <c r="N14" s="363">
        <f>SUM(N12:N13)</f>
        <v>67531380.195999995</v>
      </c>
      <c r="O14" s="222">
        <f t="shared" si="4"/>
        <v>-6812993.4599999934</v>
      </c>
      <c r="P14" s="77"/>
      <c r="Q14" s="77"/>
    </row>
    <row r="15" spans="4:17" ht="25.5" customHeight="1">
      <c r="D15" s="71" t="s">
        <v>5</v>
      </c>
      <c r="E15" s="90" t="s">
        <v>122</v>
      </c>
      <c r="F15" s="571">
        <f>+IFERROR(HLOOKUP($F$8,[13]손익!$G$5:$AI$63,25,),)</f>
        <v>6764400</v>
      </c>
      <c r="G15" s="359">
        <f>+'[7]7월'!$G$11</f>
        <v>9672935.4979999997</v>
      </c>
      <c r="H15" s="204">
        <f t="shared" si="1"/>
        <v>2908535.4979999997</v>
      </c>
      <c r="I15" s="359">
        <f>+IFERROR(HLOOKUP($F$8,[8]월별!$E$2:$T$53,8,),)</f>
        <v>6747251.2889999999</v>
      </c>
      <c r="J15" s="572">
        <f t="shared" si="2"/>
        <v>2925684.2089999998</v>
      </c>
      <c r="K15" s="204">
        <f>+F15+[4]건자재!K15</f>
        <v>46477630</v>
      </c>
      <c r="L15" s="359">
        <f>+G15+[4]건자재!L15</f>
        <v>49533821.870000005</v>
      </c>
      <c r="M15" s="204">
        <f t="shared" si="3"/>
        <v>3056191.8700000048</v>
      </c>
      <c r="N15" s="359">
        <f>+I15+[4]건자재!N15</f>
        <v>57122963.516999997</v>
      </c>
      <c r="O15" s="352">
        <f t="shared" si="4"/>
        <v>-7589141.6469999924</v>
      </c>
      <c r="P15" s="77"/>
      <c r="Q15" s="77"/>
    </row>
    <row r="16" spans="4:17" ht="25.5" customHeight="1">
      <c r="D16" s="188"/>
      <c r="E16" s="92" t="s">
        <v>123</v>
      </c>
      <c r="F16" s="575">
        <f>+IFERROR(HLOOKUP($F$8,[13]손익!$G$5:$AI$63,26,),)</f>
        <v>1698295.4458105247</v>
      </c>
      <c r="G16" s="362">
        <f>+'[7]7월'!$J$11</f>
        <v>1520077.4580000006</v>
      </c>
      <c r="H16" s="206">
        <f t="shared" si="1"/>
        <v>-178217.98781052418</v>
      </c>
      <c r="I16" s="362">
        <f>+IFERROR(HLOOKUP($F$8,[8]월별!$E$2:$T$53,9,),)</f>
        <v>1239279.3109999998</v>
      </c>
      <c r="J16" s="576">
        <f t="shared" si="2"/>
        <v>280798.14700000081</v>
      </c>
      <c r="K16" s="206">
        <f>+F16+[4]건자재!K16</f>
        <v>11549607.123536838</v>
      </c>
      <c r="L16" s="362">
        <f>+G16+[4]건자재!L16</f>
        <v>9830247.2690000013</v>
      </c>
      <c r="M16" s="206">
        <f t="shared" si="3"/>
        <v>-1719359.854536837</v>
      </c>
      <c r="N16" s="362">
        <f>+I16+[4]건자재!N16</f>
        <v>9022783.1569999978</v>
      </c>
      <c r="O16" s="353">
        <f t="shared" si="4"/>
        <v>807464.11200000346</v>
      </c>
      <c r="P16" s="77"/>
      <c r="Q16" s="77"/>
    </row>
    <row r="17" spans="4:17" ht="25.5" customHeight="1">
      <c r="D17" s="72"/>
      <c r="E17" s="369" t="s">
        <v>43</v>
      </c>
      <c r="F17" s="577">
        <f>SUM(F15:F16)</f>
        <v>8462695.4458105247</v>
      </c>
      <c r="G17" s="370">
        <f>SUM(G15:G16)</f>
        <v>11193012.956</v>
      </c>
      <c r="H17" s="371">
        <f t="shared" si="1"/>
        <v>2730317.5101894755</v>
      </c>
      <c r="I17" s="370">
        <f>SUM(I15:I16)</f>
        <v>7986530.5999999996</v>
      </c>
      <c r="J17" s="578">
        <f t="shared" si="2"/>
        <v>3206482.3560000006</v>
      </c>
      <c r="K17" s="371">
        <f>SUM(K15:K16)</f>
        <v>58027237.12353684</v>
      </c>
      <c r="L17" s="370">
        <f>SUM(L15:L16)</f>
        <v>59364069.139000006</v>
      </c>
      <c r="M17" s="371">
        <f t="shared" si="3"/>
        <v>1336832.0154631659</v>
      </c>
      <c r="N17" s="370">
        <f>SUM(N15:N16)</f>
        <v>66145746.673999995</v>
      </c>
      <c r="O17" s="372">
        <f t="shared" si="4"/>
        <v>-6781677.534999989</v>
      </c>
      <c r="P17" s="77"/>
      <c r="Q17" s="77"/>
    </row>
    <row r="18" spans="4:17" ht="25.5" customHeight="1">
      <c r="D18" s="188" t="s">
        <v>18</v>
      </c>
      <c r="E18" s="91" t="s">
        <v>122</v>
      </c>
      <c r="F18" s="418">
        <f>+F12-F15</f>
        <v>160600</v>
      </c>
      <c r="G18" s="361">
        <f>+G12-G15</f>
        <v>80872.994000000879</v>
      </c>
      <c r="H18" s="196">
        <f t="shared" si="1"/>
        <v>-79727.005999999121</v>
      </c>
      <c r="I18" s="361">
        <f>+I12-I15</f>
        <v>171342.17800000031</v>
      </c>
      <c r="J18" s="419">
        <f t="shared" si="2"/>
        <v>-90469.183999999426</v>
      </c>
      <c r="K18" s="196">
        <f>+K12-K15</f>
        <v>1107370</v>
      </c>
      <c r="L18" s="361">
        <f>+L12-L15</f>
        <v>1116416.7440000027</v>
      </c>
      <c r="M18" s="196">
        <f t="shared" si="3"/>
        <v>9046.7440000027418</v>
      </c>
      <c r="N18" s="361">
        <f>+N12-N15</f>
        <v>1196495.8540000021</v>
      </c>
      <c r="O18" s="219">
        <f t="shared" si="4"/>
        <v>-80079.109999999404</v>
      </c>
      <c r="P18" s="77"/>
      <c r="Q18" s="77"/>
    </row>
    <row r="19" spans="4:17" ht="25.5" customHeight="1">
      <c r="D19" s="188"/>
      <c r="E19" s="194" t="s">
        <v>9</v>
      </c>
      <c r="F19" s="579">
        <f>+F18/F12</f>
        <v>2.3191335740072202E-2</v>
      </c>
      <c r="G19" s="364">
        <f>+G18/G12</f>
        <v>8.2914272990219449E-3</v>
      </c>
      <c r="H19" s="197">
        <f t="shared" si="1"/>
        <v>-1.4899908441050257E-2</v>
      </c>
      <c r="I19" s="364">
        <f>+I18/I12</f>
        <v>2.4765464081284817E-2</v>
      </c>
      <c r="J19" s="580">
        <f t="shared" si="2"/>
        <v>-1.647403678226287E-2</v>
      </c>
      <c r="K19" s="197">
        <f>+K18/K12</f>
        <v>2.3271409057476097E-2</v>
      </c>
      <c r="L19" s="364">
        <f>+L18/L12</f>
        <v>2.2041687750142581E-2</v>
      </c>
      <c r="M19" s="197">
        <f t="shared" si="3"/>
        <v>-1.2297213073335159E-3</v>
      </c>
      <c r="N19" s="364">
        <f>+N18/N12</f>
        <v>2.0516237065718979E-2</v>
      </c>
      <c r="O19" s="354">
        <f t="shared" si="4"/>
        <v>1.5254506844236022E-3</v>
      </c>
      <c r="P19" s="77"/>
      <c r="Q19" s="77"/>
    </row>
    <row r="20" spans="4:17" ht="25.5" customHeight="1">
      <c r="D20" s="188"/>
      <c r="E20" s="93" t="s">
        <v>123</v>
      </c>
      <c r="F20" s="416">
        <f>+F13-F16</f>
        <v>61195.080505264923</v>
      </c>
      <c r="G20" s="363">
        <f>+G13-G16</f>
        <v>40762.702999997884</v>
      </c>
      <c r="H20" s="205">
        <f t="shared" si="1"/>
        <v>-20432.377505267039</v>
      </c>
      <c r="I20" s="363">
        <f>+I13-I16</f>
        <v>25604.841999999247</v>
      </c>
      <c r="J20" s="417">
        <f t="shared" si="2"/>
        <v>15157.860999998637</v>
      </c>
      <c r="K20" s="205">
        <f>+K13-K16</f>
        <v>416169.71856843121</v>
      </c>
      <c r="L20" s="363">
        <f>+L13-L16</f>
        <v>237900.85299999639</v>
      </c>
      <c r="M20" s="205">
        <f t="shared" si="3"/>
        <v>-178268.86556843482</v>
      </c>
      <c r="N20" s="363">
        <f>+N13-N16</f>
        <v>189137.66800000146</v>
      </c>
      <c r="O20" s="222">
        <f t="shared" si="4"/>
        <v>48763.184999994934</v>
      </c>
      <c r="P20" s="77"/>
      <c r="Q20" s="77"/>
    </row>
    <row r="21" spans="4:17" ht="25.5" customHeight="1">
      <c r="D21" s="188"/>
      <c r="E21" s="195" t="s">
        <v>9</v>
      </c>
      <c r="F21" s="581">
        <f>+F20/F13</f>
        <v>3.4780000000000998E-2</v>
      </c>
      <c r="G21" s="365">
        <f>+G20/G13</f>
        <v>2.6115872732209847E-2</v>
      </c>
      <c r="H21" s="207">
        <f t="shared" si="1"/>
        <v>-8.664127267791151E-3</v>
      </c>
      <c r="I21" s="365">
        <f>+I20/I13</f>
        <v>2.0242835629864411E-2</v>
      </c>
      <c r="J21" s="582">
        <f t="shared" si="2"/>
        <v>5.8730371023454353E-3</v>
      </c>
      <c r="K21" s="207">
        <f>+K20/K13</f>
        <v>3.4780000000000831E-2</v>
      </c>
      <c r="L21" s="365">
        <f>+L20/L13</f>
        <v>2.3629057709248155E-2</v>
      </c>
      <c r="M21" s="207">
        <f t="shared" si="3"/>
        <v>-1.1150942290752676E-2</v>
      </c>
      <c r="N21" s="365">
        <f>+N20/N13</f>
        <v>2.0531838211929214E-2</v>
      </c>
      <c r="O21" s="355">
        <f t="shared" si="4"/>
        <v>3.0972194973189413E-3</v>
      </c>
      <c r="P21" s="77"/>
      <c r="Q21" s="77"/>
    </row>
    <row r="22" spans="4:17" ht="25.5" customHeight="1">
      <c r="D22" s="188"/>
      <c r="E22" s="94" t="s">
        <v>58</v>
      </c>
      <c r="F22" s="416">
        <f>SUM(F18,F20)</f>
        <v>221795.08050526492</v>
      </c>
      <c r="G22" s="363">
        <f>SUM(G18,G20)</f>
        <v>121635.69699999876</v>
      </c>
      <c r="H22" s="205">
        <f t="shared" si="1"/>
        <v>-100159.38350526616</v>
      </c>
      <c r="I22" s="363">
        <f>SUM(I18,I20)</f>
        <v>196947.01999999955</v>
      </c>
      <c r="J22" s="417">
        <f t="shared" si="2"/>
        <v>-75311.32300000079</v>
      </c>
      <c r="K22" s="205">
        <f>+K14-K17</f>
        <v>1523539.7185684294</v>
      </c>
      <c r="L22" s="363">
        <f>+L14-L17</f>
        <v>1354317.5969999954</v>
      </c>
      <c r="M22" s="205">
        <f t="shared" si="3"/>
        <v>-169222.12156843394</v>
      </c>
      <c r="N22" s="363">
        <f>+N14-N17</f>
        <v>1385633.5219999999</v>
      </c>
      <c r="O22" s="222">
        <f t="shared" si="4"/>
        <v>-31315.92500000447</v>
      </c>
      <c r="P22" s="77"/>
      <c r="Q22" s="77"/>
    </row>
    <row r="23" spans="4:17" ht="25.5" customHeight="1">
      <c r="D23" s="188"/>
      <c r="E23" s="373" t="s">
        <v>9</v>
      </c>
      <c r="F23" s="579">
        <f>+F22/F14</f>
        <v>2.5539216127092347E-2</v>
      </c>
      <c r="G23" s="364">
        <f>+G22/G14</f>
        <v>1.0750284938609023E-2</v>
      </c>
      <c r="H23" s="197">
        <f t="shared" si="1"/>
        <v>-1.4788931188483324E-2</v>
      </c>
      <c r="I23" s="364">
        <f>+I22/I14</f>
        <v>2.4066421287530761E-2</v>
      </c>
      <c r="J23" s="580">
        <f t="shared" si="2"/>
        <v>-1.3316136348921738E-2</v>
      </c>
      <c r="K23" s="197">
        <f>+K22/K14</f>
        <v>2.5583876472476397E-2</v>
      </c>
      <c r="L23" s="364">
        <f>+L22/L14</f>
        <v>2.230490086781273E-2</v>
      </c>
      <c r="M23" s="197">
        <f t="shared" si="3"/>
        <v>-3.2789756046636663E-3</v>
      </c>
      <c r="N23" s="364">
        <f>+N22/N14</f>
        <v>2.0518365210046061E-2</v>
      </c>
      <c r="O23" s="354">
        <f t="shared" si="4"/>
        <v>1.7865356577666698E-3</v>
      </c>
      <c r="P23" s="77"/>
      <c r="Q23" s="77"/>
    </row>
    <row r="24" spans="4:17" ht="25.5" customHeight="1">
      <c r="D24" s="71" t="s">
        <v>124</v>
      </c>
      <c r="E24" s="90" t="s">
        <v>125</v>
      </c>
      <c r="F24" s="571">
        <f>+IFERROR(HLOOKUP($F$8,[13]판매4!$G$4:$U$50,7,),)</f>
        <v>83504.47</v>
      </c>
      <c r="G24" s="359">
        <f>+'[7]7월'!$M$19</f>
        <v>89008.37</v>
      </c>
      <c r="H24" s="204">
        <f t="shared" si="1"/>
        <v>5503.8999999999942</v>
      </c>
      <c r="I24" s="359">
        <f>+IFERROR(HLOOKUP($F$8,[8]월별!$E$2:$T$53,17,),)</f>
        <v>78682.584000000003</v>
      </c>
      <c r="J24" s="572">
        <f t="shared" si="2"/>
        <v>10325.785999999993</v>
      </c>
      <c r="K24" s="204">
        <f>+F24+[4]건자재!K24</f>
        <v>581956.47</v>
      </c>
      <c r="L24" s="359">
        <f>+G24+[4]건자재!L24</f>
        <v>625406.76599999995</v>
      </c>
      <c r="M24" s="204">
        <f t="shared" si="3"/>
        <v>43450.295999999973</v>
      </c>
      <c r="N24" s="359">
        <f>+I24+[4]건자재!N24</f>
        <v>556240.83700000006</v>
      </c>
      <c r="O24" s="352">
        <f t="shared" si="4"/>
        <v>69165.928999999887</v>
      </c>
      <c r="P24" s="77"/>
      <c r="Q24" s="77"/>
    </row>
    <row r="25" spans="4:17" ht="25.5" customHeight="1">
      <c r="D25" s="188"/>
      <c r="E25" s="92" t="s">
        <v>126</v>
      </c>
      <c r="F25" s="575">
        <f>+IFERROR(HLOOKUP($F$8,[13]판매4!$G$4:$U$50,31,),)+IFERROR(HLOOKUP($F$8,[13]판매4!$G$4:$U$50,34,),)</f>
        <v>37999.589999999997</v>
      </c>
      <c r="G25" s="362">
        <f>+'[7]7월'!$M$37+'[7]7월'!$M$40</f>
        <v>72196.942999999999</v>
      </c>
      <c r="H25" s="206">
        <f t="shared" si="1"/>
        <v>34197.353000000003</v>
      </c>
      <c r="I25" s="362">
        <f>+IFERROR(HLOOKUP($F$8,[8]월별!$E$2:$T$53,35,),)+IFERROR(HLOOKUP($F$8,[8]월별!$E$2:$T$53,38,),)</f>
        <v>30474.713000000003</v>
      </c>
      <c r="J25" s="576">
        <f t="shared" si="2"/>
        <v>41722.229999999996</v>
      </c>
      <c r="K25" s="206">
        <f>+F25+[4]건자재!K25</f>
        <v>294572.30000000005</v>
      </c>
      <c r="L25" s="362">
        <f>+G25+[4]건자재!L25</f>
        <v>353358.01199999999</v>
      </c>
      <c r="M25" s="206">
        <f t="shared" si="3"/>
        <v>58785.711999999941</v>
      </c>
      <c r="N25" s="362">
        <f>+I25+[4]건자재!N25</f>
        <v>247708.85499999998</v>
      </c>
      <c r="O25" s="353">
        <f t="shared" si="4"/>
        <v>105649.15700000001</v>
      </c>
      <c r="P25" s="77"/>
      <c r="Q25" s="77"/>
    </row>
    <row r="26" spans="4:17" ht="25.5" customHeight="1">
      <c r="D26" s="72"/>
      <c r="E26" s="369" t="s">
        <v>58</v>
      </c>
      <c r="F26" s="577">
        <f>SUM(F24:F25)</f>
        <v>121504.06</v>
      </c>
      <c r="G26" s="370">
        <f>SUM(G24:G25)</f>
        <v>161205.31299999999</v>
      </c>
      <c r="H26" s="371">
        <f t="shared" si="1"/>
        <v>39701.252999999997</v>
      </c>
      <c r="I26" s="370">
        <f>SUM(I24:I25)</f>
        <v>109157.29700000001</v>
      </c>
      <c r="J26" s="578">
        <f t="shared" si="2"/>
        <v>52048.015999999989</v>
      </c>
      <c r="K26" s="371">
        <f>SUM(K24:K25)</f>
        <v>876528.77</v>
      </c>
      <c r="L26" s="370">
        <f>SUM(L24:L25)</f>
        <v>978764.77799999993</v>
      </c>
      <c r="M26" s="371">
        <f t="shared" si="3"/>
        <v>102236.00799999991</v>
      </c>
      <c r="N26" s="370">
        <f>SUM(N24:N25)</f>
        <v>803949.69200000004</v>
      </c>
      <c r="O26" s="372">
        <f t="shared" si="4"/>
        <v>174815.08599999989</v>
      </c>
      <c r="P26" s="77"/>
      <c r="Q26" s="77"/>
    </row>
    <row r="27" spans="4:17" ht="25.5" customHeight="1">
      <c r="D27" s="188" t="s">
        <v>7</v>
      </c>
      <c r="E27" s="373"/>
      <c r="F27" s="418">
        <f>+F22-F26</f>
        <v>100291.02050526493</v>
      </c>
      <c r="G27" s="361">
        <f>+G22-G26</f>
        <v>-39569.616000001231</v>
      </c>
      <c r="H27" s="196">
        <f t="shared" si="1"/>
        <v>-139860.63650526616</v>
      </c>
      <c r="I27" s="361">
        <f>+I22-I26</f>
        <v>87789.722999999547</v>
      </c>
      <c r="J27" s="419">
        <f t="shared" si="2"/>
        <v>-127359.33900000078</v>
      </c>
      <c r="K27" s="196">
        <f>+K22-K26</f>
        <v>647010.94856842933</v>
      </c>
      <c r="L27" s="361">
        <f>+L22-L26</f>
        <v>375552.81899999548</v>
      </c>
      <c r="M27" s="196">
        <f t="shared" si="3"/>
        <v>-271458.12956843385</v>
      </c>
      <c r="N27" s="361">
        <f>+N22-N26</f>
        <v>581683.82999999984</v>
      </c>
      <c r="O27" s="219">
        <f t="shared" si="4"/>
        <v>-206131.01100000436</v>
      </c>
      <c r="P27" s="77"/>
      <c r="Q27" s="77"/>
    </row>
    <row r="28" spans="4:17" ht="25.5" customHeight="1" thickBot="1">
      <c r="D28" s="188"/>
      <c r="E28" s="568" t="s">
        <v>10</v>
      </c>
      <c r="F28" s="583">
        <f>+F27/F14</f>
        <v>1.1548290622387408E-2</v>
      </c>
      <c r="G28" s="584">
        <f>+G27/G14</f>
        <v>-3.497202362488704E-3</v>
      </c>
      <c r="H28" s="585">
        <f t="shared" si="1"/>
        <v>-1.5045492984876112E-2</v>
      </c>
      <c r="I28" s="584">
        <f>+I27/I14</f>
        <v>1.0727679243045275E-2</v>
      </c>
      <c r="J28" s="586">
        <f t="shared" si="2"/>
        <v>-1.4224881605533979E-2</v>
      </c>
      <c r="K28" s="208">
        <f>+K27/K14</f>
        <v>1.0864861600108655E-2</v>
      </c>
      <c r="L28" s="366">
        <f>+L27/L14</f>
        <v>6.1851580581822304E-3</v>
      </c>
      <c r="M28" s="208">
        <f t="shared" si="3"/>
        <v>-4.6797035419264251E-3</v>
      </c>
      <c r="N28" s="366">
        <f>+N27/N14</f>
        <v>8.6135338610250113E-3</v>
      </c>
      <c r="O28" s="356">
        <f t="shared" si="4"/>
        <v>-2.4283758028427809E-3</v>
      </c>
      <c r="P28" s="77"/>
      <c r="Q28" s="77"/>
    </row>
    <row r="29" spans="4:17" ht="25.5" customHeight="1" thickTop="1">
      <c r="D29" s="836" t="s">
        <v>129</v>
      </c>
      <c r="E29" s="837"/>
      <c r="F29" s="165"/>
      <c r="G29" s="165"/>
      <c r="H29" s="165"/>
      <c r="I29" s="165"/>
      <c r="J29" s="165"/>
      <c r="K29" s="165"/>
      <c r="L29" s="165"/>
      <c r="M29" s="165"/>
      <c r="N29" s="75"/>
      <c r="O29" s="189"/>
      <c r="P29" s="77"/>
      <c r="Q29" s="77"/>
    </row>
    <row r="30" spans="4:17" ht="25.5" customHeight="1">
      <c r="D30" s="838"/>
      <c r="E30" s="839"/>
      <c r="F30" s="165"/>
      <c r="G30" s="165"/>
      <c r="H30" s="165"/>
      <c r="I30" s="165"/>
      <c r="J30" s="165"/>
      <c r="K30" s="165"/>
      <c r="L30" s="165"/>
      <c r="M30" s="165"/>
      <c r="N30" s="75"/>
      <c r="O30" s="189"/>
      <c r="P30" s="77"/>
      <c r="Q30" s="77"/>
    </row>
    <row r="31" spans="4:17" ht="25.5" customHeight="1">
      <c r="D31" s="838"/>
      <c r="E31" s="839"/>
      <c r="F31" s="165"/>
      <c r="G31" s="165"/>
      <c r="H31" s="165"/>
      <c r="I31" s="165"/>
      <c r="J31" s="165"/>
      <c r="K31" s="165"/>
      <c r="L31" s="165"/>
      <c r="M31" s="165"/>
      <c r="N31" s="75"/>
      <c r="O31" s="189"/>
      <c r="P31" s="77"/>
      <c r="Q31" s="77"/>
    </row>
    <row r="32" spans="4:17" ht="25.5" customHeight="1">
      <c r="D32" s="838"/>
      <c r="E32" s="839"/>
      <c r="F32" s="165"/>
      <c r="G32" s="165"/>
      <c r="H32" s="165"/>
      <c r="I32" s="165"/>
      <c r="J32" s="165"/>
      <c r="K32" s="165"/>
      <c r="L32" s="165"/>
      <c r="M32" s="165"/>
      <c r="N32" s="75"/>
      <c r="O32" s="189"/>
      <c r="P32" s="77"/>
      <c r="Q32" s="77"/>
    </row>
    <row r="33" spans="4:37" ht="25.5" customHeight="1">
      <c r="D33" s="838"/>
      <c r="E33" s="839"/>
      <c r="F33" s="165"/>
      <c r="G33" s="165"/>
      <c r="H33" s="165"/>
      <c r="I33" s="165"/>
      <c r="J33" s="165"/>
      <c r="K33" s="165"/>
      <c r="L33" s="165"/>
      <c r="M33" s="165"/>
      <c r="N33" s="75"/>
      <c r="O33" s="189"/>
      <c r="P33" s="77"/>
      <c r="Q33" s="77"/>
    </row>
    <row r="34" spans="4:37" ht="25.5" customHeight="1">
      <c r="D34" s="840"/>
      <c r="E34" s="841"/>
      <c r="F34" s="199"/>
      <c r="G34" s="199"/>
      <c r="H34" s="199"/>
      <c r="I34" s="199"/>
      <c r="J34" s="199"/>
      <c r="K34" s="199"/>
      <c r="L34" s="199"/>
      <c r="M34" s="199"/>
      <c r="N34" s="167"/>
      <c r="O34" s="198"/>
      <c r="R34" s="6" t="s">
        <v>164</v>
      </c>
    </row>
    <row r="35" spans="4:37" ht="21.95" customHeight="1"/>
    <row r="36" spans="4:37" ht="21.95" customHeight="1">
      <c r="F36" s="6">
        <f>+IFERROR(HLOOKUP($F$8,[13]손익!$G$5:$AJ$65,17,),)</f>
        <v>100291.02050526493</v>
      </c>
      <c r="G36" s="6">
        <f>+'[7]7월'!$M$41</f>
        <v>-39569.616000001253</v>
      </c>
      <c r="I36" s="6">
        <f>+IFERROR(HLOOKUP($F$8,[8]월별!$E$2:$T$53,39,),)</f>
        <v>87789.722999999547</v>
      </c>
      <c r="K36" s="6">
        <f>+F36+[4]건자재!K36</f>
        <v>647010.94856843119</v>
      </c>
      <c r="L36" s="6">
        <f>+G36+[4]건자재!L36</f>
        <v>375552.81900000008</v>
      </c>
      <c r="N36" s="6">
        <f>+I36+[4]건자재!N36</f>
        <v>581683.83000000182</v>
      </c>
      <c r="R36" s="504"/>
      <c r="S36" s="593" t="s">
        <v>180</v>
      </c>
      <c r="T36" s="593" t="s">
        <v>179</v>
      </c>
      <c r="U36" s="593" t="s">
        <v>181</v>
      </c>
      <c r="V36" s="593" t="s">
        <v>173</v>
      </c>
      <c r="W36" s="593" t="s">
        <v>212</v>
      </c>
      <c r="X36" s="593" t="s">
        <v>182</v>
      </c>
      <c r="Y36" s="593" t="s">
        <v>184</v>
      </c>
      <c r="Z36" s="593" t="s">
        <v>188</v>
      </c>
      <c r="AA36" s="593" t="s">
        <v>189</v>
      </c>
      <c r="AB36" s="593" t="s">
        <v>190</v>
      </c>
      <c r="AC36" s="593" t="s">
        <v>191</v>
      </c>
      <c r="AD36" s="593" t="s">
        <v>192</v>
      </c>
      <c r="AE36" s="593" t="s">
        <v>180</v>
      </c>
      <c r="AF36" s="593" t="s">
        <v>203</v>
      </c>
      <c r="AG36" s="593" t="s">
        <v>210</v>
      </c>
      <c r="AH36" s="593" t="s">
        <v>211</v>
      </c>
      <c r="AI36" s="593" t="s">
        <v>212</v>
      </c>
      <c r="AJ36" s="593" t="s">
        <v>182</v>
      </c>
      <c r="AK36" s="593" t="s">
        <v>233</v>
      </c>
    </row>
    <row r="37" spans="4:37" ht="21.95" customHeight="1">
      <c r="F37" s="6" t="b">
        <f>+F27=F36</f>
        <v>1</v>
      </c>
      <c r="G37" s="6" t="b">
        <f>+G27=G36</f>
        <v>0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0</v>
      </c>
      <c r="R37" s="200" t="s">
        <v>121</v>
      </c>
      <c r="S37" s="210" t="s">
        <v>180</v>
      </c>
      <c r="T37" s="210" t="s">
        <v>179</v>
      </c>
      <c r="U37" s="210">
        <v>3</v>
      </c>
      <c r="V37" s="210" t="s">
        <v>173</v>
      </c>
      <c r="W37" s="210" t="s">
        <v>212</v>
      </c>
      <c r="X37" s="210" t="s">
        <v>182</v>
      </c>
      <c r="Y37" s="210" t="s">
        <v>184</v>
      </c>
      <c r="Z37" s="210" t="str">
        <f t="shared" ref="Z37:AE37" si="5">+Z36</f>
        <v>8월</v>
      </c>
      <c r="AA37" s="210" t="str">
        <f t="shared" si="5"/>
        <v>9월</v>
      </c>
      <c r="AB37" s="210" t="str">
        <f t="shared" si="5"/>
        <v>10월</v>
      </c>
      <c r="AC37" s="210" t="str">
        <f t="shared" si="5"/>
        <v>11월</v>
      </c>
      <c r="AD37" s="210" t="str">
        <f t="shared" si="5"/>
        <v>12월</v>
      </c>
      <c r="AE37" s="210" t="str">
        <f t="shared" si="5"/>
        <v>1월</v>
      </c>
      <c r="AF37" s="210" t="str">
        <f t="shared" ref="AF37:AG37" si="6">+AF36</f>
        <v>2월</v>
      </c>
      <c r="AG37" s="210" t="str">
        <f t="shared" si="6"/>
        <v>3월</v>
      </c>
      <c r="AH37" s="210" t="str">
        <f t="shared" ref="AH37:AI37" si="7">+AH36</f>
        <v>4월</v>
      </c>
      <c r="AI37" s="210" t="str">
        <f t="shared" si="7"/>
        <v>5월</v>
      </c>
      <c r="AJ37" s="210" t="str">
        <f t="shared" ref="AJ37:AK37" si="8">+AJ36</f>
        <v>6월</v>
      </c>
      <c r="AK37" s="210" t="str">
        <f t="shared" si="8"/>
        <v>7월</v>
      </c>
    </row>
    <row r="38" spans="4:37" ht="21.95" customHeight="1">
      <c r="K38" s="594">
        <f>+K27-K36</f>
        <v>-1.862645149230957E-9</v>
      </c>
      <c r="L38" s="594">
        <f>+L27-L36</f>
        <v>-4.5984052121639252E-9</v>
      </c>
      <c r="N38" s="99">
        <f>+N27-N36</f>
        <v>-1.9790604710578918E-9</v>
      </c>
      <c r="R38" s="201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  <c r="AK38" s="74">
        <f>+IFERROR(HLOOKUP(AK$36,[7]월별!$E$2:$S$67,42,),)</f>
        <v>751049.2097042331</v>
      </c>
    </row>
    <row r="39" spans="4:37" ht="21.95" customHeight="1">
      <c r="R39" s="202" t="s">
        <v>128</v>
      </c>
      <c r="S39" s="203">
        <f>+IFERROR(HLOOKUP(S$36,[8]월별!$E$2:$S$67,43,),)</f>
        <v>1.9263299607757241E-2</v>
      </c>
      <c r="T39" s="203">
        <f>+IFERROR(HLOOKUP(T$36,[8]월별!$E$2:$S$67,43,),)</f>
        <v>2.0328430506478493E-2</v>
      </c>
      <c r="U39" s="203">
        <f>+IFERROR(HLOOKUP(U$36,[8]월별!$E$2:$S$67,43,),)</f>
        <v>1.815970186077798E-2</v>
      </c>
      <c r="V39" s="203">
        <f>+IFERROR(HLOOKUP(V$36,[8]월별!$E$2:$S$67,43,),)</f>
        <v>2.0783119934692784E-2</v>
      </c>
      <c r="W39" s="203">
        <f>+IFERROR(HLOOKUP(W$36,[8]월별!$E$2:$S$67,43,),)</f>
        <v>1.8530156032889104E-2</v>
      </c>
      <c r="X39" s="203">
        <f>+IFERROR(HLOOKUP(X$36,[8]월별!$E$2:$S$67,43,),)</f>
        <v>2.338088905753952E-2</v>
      </c>
      <c r="Y39" s="203">
        <f>+IFERROR(HLOOKUP(Y$36,[8]월별!$E$2:$S$67,43,),)</f>
        <v>2.4066421287530761E-2</v>
      </c>
      <c r="Z39" s="203">
        <f>+IFERROR(HLOOKUP(Z$36,[8]월별!$E$2:$S$67,43,),)</f>
        <v>2.751551238666371E-2</v>
      </c>
      <c r="AA39" s="203">
        <f>+IFERROR(HLOOKUP(AA$36,[8]월별!$E$2:$S$67,43,),)</f>
        <v>1.6738202604907604E-2</v>
      </c>
      <c r="AB39" s="203">
        <f>+IFERROR(HLOOKUP(AB$36,[8]월별!$E$2:$S$67,43,),)</f>
        <v>1.8118540365804674E-2</v>
      </c>
      <c r="AC39" s="203">
        <f>+IFERROR(HLOOKUP(AC$36,[8]월별!$E$2:$S$67,43,),)</f>
        <v>1.7419708473984639E-2</v>
      </c>
      <c r="AD39" s="203">
        <f>+IFERROR(HLOOKUP(AD$36,[8]월별!$E$2:$S$67,43,),)</f>
        <v>2.0746012557623313E-2</v>
      </c>
      <c r="AE39" s="203">
        <f>+IFERROR(HLOOKUP(AE$36,[7]월별!$E$2:$S$67,43,),)</f>
        <v>2.6651369945751794E-2</v>
      </c>
      <c r="AF39" s="203">
        <f>+IFERROR(HLOOKUP(AF$36,[7]월별!$E$2:$S$67,43,),)</f>
        <v>2.5582238806566245E-2</v>
      </c>
      <c r="AG39" s="203">
        <f>+IFERROR(HLOOKUP(AG$36,[7]월별!$E$2:$S$67,43,),)</f>
        <v>1.8641220384622476E-2</v>
      </c>
      <c r="AH39" s="203">
        <f>+IFERROR(HLOOKUP(AH$36,[7]월별!$E$2:$S$67,43,),)</f>
        <v>1.847120545626342E-2</v>
      </c>
      <c r="AI39" s="203">
        <f>+IFERROR(HLOOKUP(AI$36,[7]월별!$E$2:$S$67,43,),)</f>
        <v>2.607951153265552E-2</v>
      </c>
      <c r="AJ39" s="203">
        <f>+IFERROR(HLOOKUP(AJ$36,[7]월별!$E$2:$S$67,43,),)</f>
        <v>3.568968550509475E-2</v>
      </c>
      <c r="AK39" s="203">
        <f>+IFERROR(HLOOKUP(AK$36,[7]월별!$E$2:$S$67,43,),)</f>
        <v>1.0750284938609023E-2</v>
      </c>
    </row>
    <row r="40" spans="4:37" ht="21.95" customHeight="1"/>
    <row r="41" spans="4:37" ht="21.95" customHeight="1"/>
    <row r="42" spans="4:37" ht="21.95" customHeight="1"/>
    <row r="43" spans="4:37" ht="21.95" customHeight="1"/>
    <row r="44" spans="4:37" ht="21.95" customHeight="1"/>
    <row r="45" spans="4:37" ht="21.95" customHeight="1"/>
    <row r="46" spans="4:37" ht="21.95" customHeight="1"/>
    <row r="47" spans="4:37" ht="21.95" customHeight="1"/>
    <row r="48" spans="4:37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G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>
      <c r="A1" s="423" t="s">
        <v>232</v>
      </c>
    </row>
    <row r="2" spans="1:39" ht="9.75" customHeight="1"/>
    <row r="3" spans="1:39" ht="9.9499999999999993" customHeight="1"/>
    <row r="4" spans="1:39" ht="31.5">
      <c r="D4" s="184" t="s">
        <v>244</v>
      </c>
      <c r="F4" s="184"/>
      <c r="I4" s="184"/>
    </row>
    <row r="5" spans="1:39" ht="21.95" customHeight="1" thickBot="1">
      <c r="J5" s="76"/>
      <c r="AE5" s="76"/>
      <c r="AH5" s="76"/>
      <c r="AJ5" s="186" t="s">
        <v>167</v>
      </c>
    </row>
    <row r="6" spans="1:39" ht="24" customHeight="1" thickTop="1">
      <c r="D6" s="296" t="s">
        <v>15</v>
      </c>
      <c r="E6" s="845" t="s">
        <v>11</v>
      </c>
      <c r="F6" s="846"/>
      <c r="G6" s="294" t="s">
        <v>140</v>
      </c>
      <c r="H6" s="293"/>
      <c r="I6" s="293"/>
      <c r="J6" s="293" t="s">
        <v>139</v>
      </c>
      <c r="K6" s="293"/>
      <c r="L6" s="295"/>
      <c r="M6" s="293" t="s">
        <v>214</v>
      </c>
      <c r="N6" s="293"/>
      <c r="O6" s="295"/>
      <c r="P6" s="389" t="s">
        <v>138</v>
      </c>
      <c r="Q6" s="390"/>
      <c r="R6" s="391"/>
      <c r="S6" s="294" t="s">
        <v>185</v>
      </c>
      <c r="T6" s="293"/>
      <c r="U6" s="293"/>
      <c r="V6" s="293" t="s">
        <v>186</v>
      </c>
      <c r="W6" s="293"/>
      <c r="X6" s="295"/>
      <c r="Y6" s="293" t="s">
        <v>246</v>
      </c>
      <c r="Z6" s="293"/>
      <c r="AA6" s="295"/>
      <c r="AB6" s="389" t="s">
        <v>187</v>
      </c>
      <c r="AC6" s="390"/>
      <c r="AD6" s="391"/>
      <c r="AE6" s="388" t="s">
        <v>137</v>
      </c>
      <c r="AF6" s="293"/>
      <c r="AG6" s="295"/>
      <c r="AH6" s="389" t="s">
        <v>136</v>
      </c>
      <c r="AI6" s="390"/>
      <c r="AJ6" s="391"/>
    </row>
    <row r="7" spans="1:39" ht="24" customHeight="1">
      <c r="D7" s="292"/>
      <c r="E7" s="847"/>
      <c r="F7" s="848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290" t="s">
        <v>15</v>
      </c>
      <c r="N7" s="374" t="s">
        <v>16</v>
      </c>
      <c r="O7" s="289" t="s">
        <v>36</v>
      </c>
      <c r="P7" s="392" t="s">
        <v>15</v>
      </c>
      <c r="Q7" s="374" t="s">
        <v>16</v>
      </c>
      <c r="R7" s="393" t="s">
        <v>36</v>
      </c>
      <c r="S7" s="288" t="s">
        <v>12</v>
      </c>
      <c r="T7" s="374" t="s">
        <v>13</v>
      </c>
      <c r="U7" s="291" t="s">
        <v>36</v>
      </c>
      <c r="V7" s="290" t="s">
        <v>15</v>
      </c>
      <c r="W7" s="374" t="s">
        <v>16</v>
      </c>
      <c r="X7" s="289" t="s">
        <v>36</v>
      </c>
      <c r="Y7" s="290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  <c r="AE7" s="289" t="s">
        <v>15</v>
      </c>
      <c r="AF7" s="374" t="s">
        <v>16</v>
      </c>
      <c r="AG7" s="289" t="s">
        <v>36</v>
      </c>
      <c r="AH7" s="392" t="s">
        <v>15</v>
      </c>
      <c r="AI7" s="374" t="s">
        <v>16</v>
      </c>
      <c r="AJ7" s="393" t="s">
        <v>36</v>
      </c>
    </row>
    <row r="8" spans="1:39" ht="24" customHeight="1">
      <c r="D8" s="77"/>
      <c r="E8" s="265" t="s">
        <v>110</v>
      </c>
      <c r="F8" s="264" t="s">
        <v>132</v>
      </c>
      <c r="G8" s="260">
        <f>+IFERROR(HLOOKUP($A$1,[14]손익요약!$G$5:$AL$106,3,),)</f>
        <v>16335.6</v>
      </c>
      <c r="H8" s="375">
        <f>+'[9]서부산크라샤(당월)'!$F$66</f>
        <v>8550</v>
      </c>
      <c r="I8" s="263">
        <f>H8-G8</f>
        <v>-7785.6</v>
      </c>
      <c r="J8" s="262">
        <f>+IFERROR(HLOOKUP($A$1,[14]손익요약!$G$5:$AL$106,6,),)</f>
        <v>1975.5641599999999</v>
      </c>
      <c r="K8" s="375">
        <f>+'[9]서부산크라샤(당월)'!$I$66</f>
        <v>0</v>
      </c>
      <c r="L8" s="261">
        <f>K8-J8</f>
        <v>-1975.5641599999999</v>
      </c>
      <c r="M8" s="262">
        <f>+IFERROR(HLOOKUP($A$1,[14]손익요약!$G$5:$AL$106,9,),)</f>
        <v>0</v>
      </c>
      <c r="N8" s="375"/>
      <c r="O8" s="261">
        <f>N8-M8</f>
        <v>0</v>
      </c>
      <c r="P8" s="394">
        <f>+G8+J8+M8</f>
        <v>18311.16416</v>
      </c>
      <c r="Q8" s="375">
        <f>+H8+K8+N8</f>
        <v>8550</v>
      </c>
      <c r="R8" s="395">
        <f>Q8-P8</f>
        <v>-9761.1641600000003</v>
      </c>
      <c r="S8" s="260">
        <f>+IFERROR(HLOOKUP($A$1,[15]손익요약!$G$5:$AL$106,3,),)</f>
        <v>12004.659668437012</v>
      </c>
      <c r="T8" s="375">
        <f>+'[9]부산크라샤(당월)'!$F$66</f>
        <v>11750</v>
      </c>
      <c r="U8" s="263">
        <f>T8-S8</f>
        <v>-254.65966843701244</v>
      </c>
      <c r="V8" s="262">
        <f>+IFERROR(HLOOKUP($A$1,[15]손익요약!$G$5:$AL$106,6,),)</f>
        <v>10794.850064192431</v>
      </c>
      <c r="W8" s="375">
        <f>+'[9]부산크라샤(당월)'!$I$66</f>
        <v>12156</v>
      </c>
      <c r="X8" s="261">
        <f>W8-V8</f>
        <v>1361.1499358075689</v>
      </c>
      <c r="Y8" s="262"/>
      <c r="Z8" s="375">
        <f>+'[9]부산크라샤(당월)'!$L$66</f>
        <v>0</v>
      </c>
      <c r="AA8" s="261">
        <f>Z8-Y8</f>
        <v>0</v>
      </c>
      <c r="AB8" s="394">
        <f>+S8+V8+Y8</f>
        <v>22799.509732629442</v>
      </c>
      <c r="AC8" s="375">
        <f t="shared" ref="AC8" si="0">+T8+W8+Z8</f>
        <v>23906</v>
      </c>
      <c r="AD8" s="395">
        <f>AC8-AB8</f>
        <v>1106.4902673705583</v>
      </c>
      <c r="AE8" s="261">
        <f>+IFERROR(HLOOKUP($A$1,[16]손익계획!$G$5:$AX$449,3,),)</f>
        <v>18249.090710905504</v>
      </c>
      <c r="AF8" s="375">
        <f>+'[9]부산모래장(당월)'!$R$48</f>
        <v>10914</v>
      </c>
      <c r="AG8" s="261">
        <f>AF8-AE8</f>
        <v>-7335.0907109055042</v>
      </c>
      <c r="AH8" s="394">
        <f>+P8+AB8+AE8</f>
        <v>59359.764603534946</v>
      </c>
      <c r="AI8" s="375">
        <f>+Q8+AC8+AF8</f>
        <v>43370</v>
      </c>
      <c r="AJ8" s="395">
        <f>AI8-AH8</f>
        <v>-15989.764603534946</v>
      </c>
    </row>
    <row r="9" spans="1:39" ht="24" customHeight="1">
      <c r="D9" s="77"/>
      <c r="E9" s="282"/>
      <c r="F9" s="287" t="s">
        <v>10</v>
      </c>
      <c r="G9" s="283">
        <f>+G8/G$12</f>
        <v>0.83193790869644935</v>
      </c>
      <c r="H9" s="376">
        <f>+H8/H$12</f>
        <v>0.87692307692307692</v>
      </c>
      <c r="I9" s="286">
        <f>+H9-G9</f>
        <v>4.498516822662757E-2</v>
      </c>
      <c r="J9" s="285">
        <f>+J8/J$12</f>
        <v>0.22010473378422152</v>
      </c>
      <c r="K9" s="376">
        <f>+K8/K$12</f>
        <v>0</v>
      </c>
      <c r="L9" s="284">
        <f>+K9-J9</f>
        <v>-0.22010473378422152</v>
      </c>
      <c r="M9" s="285">
        <f>+M8/M$12</f>
        <v>0</v>
      </c>
      <c r="N9" s="376"/>
      <c r="O9" s="284">
        <f>+N9-M9</f>
        <v>0</v>
      </c>
      <c r="P9" s="396">
        <f>+P8/P$12</f>
        <v>0.36180088847812031</v>
      </c>
      <c r="Q9" s="376">
        <f>+Q8/Q$12</f>
        <v>0.81661891117478513</v>
      </c>
      <c r="R9" s="397">
        <f>+Q9-P9</f>
        <v>0.45481802269666483</v>
      </c>
      <c r="S9" s="283">
        <f>+S8/S$12</f>
        <v>0.70596294795122028</v>
      </c>
      <c r="T9" s="376">
        <f>+T8/T$12</f>
        <v>0.67974083073007052</v>
      </c>
      <c r="U9" s="286">
        <f>+T9-S9</f>
        <v>-2.6222117221149754E-2</v>
      </c>
      <c r="V9" s="285">
        <f>+V8/V$12</f>
        <v>0.41848857571680514</v>
      </c>
      <c r="W9" s="376">
        <f>+W8/W$12</f>
        <v>0.71556392747821995</v>
      </c>
      <c r="X9" s="284">
        <f>+W9-V9</f>
        <v>0.29707535176141481</v>
      </c>
      <c r="Y9" s="285"/>
      <c r="Z9" s="376">
        <f>+Z8/Z$12</f>
        <v>0</v>
      </c>
      <c r="AA9" s="284">
        <f>+Z9-Y9</f>
        <v>0</v>
      </c>
      <c r="AB9" s="396">
        <f>+AB8/AB$12</f>
        <v>0.53270492758115817</v>
      </c>
      <c r="AC9" s="376">
        <f>+AC8/AC$12</f>
        <v>0.67312403209911309</v>
      </c>
      <c r="AD9" s="397">
        <f>+AC9-AB9</f>
        <v>0.14041910451795492</v>
      </c>
      <c r="AE9" s="284">
        <f>+AE8/AE$12</f>
        <v>0.65764643969878045</v>
      </c>
      <c r="AF9" s="376">
        <f>+AF8/AF$12</f>
        <v>0.72871736662883091</v>
      </c>
      <c r="AG9" s="284">
        <f>+AF9-AE9</f>
        <v>7.107092693005046E-2</v>
      </c>
      <c r="AH9" s="396">
        <f>+AH8/AH$12</f>
        <v>0.48992967919486263</v>
      </c>
      <c r="AI9" s="376">
        <f>+AI8/AI$12</f>
        <v>0.71142679045963064</v>
      </c>
      <c r="AJ9" s="397">
        <f>+AI9-AH9</f>
        <v>0.22149711126476801</v>
      </c>
    </row>
    <row r="10" spans="1:39" ht="24" customHeight="1">
      <c r="D10" s="258"/>
      <c r="E10" s="282"/>
      <c r="F10" s="281" t="s">
        <v>135</v>
      </c>
      <c r="G10" s="277">
        <f>+IFERROR(HLOOKUP($A$1,[14]손익요약!$G$5:$AL$106,2,),)</f>
        <v>3300</v>
      </c>
      <c r="H10" s="377">
        <f>+'[9]서부산크라샤(당월)'!$F$59</f>
        <v>1200</v>
      </c>
      <c r="I10" s="280">
        <f>H10-G10</f>
        <v>-2100</v>
      </c>
      <c r="J10" s="279">
        <f>+IFERROR(HLOOKUP($A$1,[14]손익요약!$G$5:$AL$106,5,),)</f>
        <v>7000</v>
      </c>
      <c r="K10" s="377">
        <f>+'[9]서부산크라샤(당월)'!$I$59</f>
        <v>720</v>
      </c>
      <c r="L10" s="278">
        <f>K10-J10</f>
        <v>-6280</v>
      </c>
      <c r="M10" s="279">
        <f>+IFERROR(HLOOKUP($A$1,[14]손익요약!$G$5:$AL$106,8,),)</f>
        <v>22000</v>
      </c>
      <c r="N10" s="377"/>
      <c r="O10" s="278">
        <f>N10-M10</f>
        <v>-22000</v>
      </c>
      <c r="P10" s="398">
        <f>+G10+J10+M10</f>
        <v>32300</v>
      </c>
      <c r="Q10" s="377">
        <f>+H10+K10+N10</f>
        <v>1920</v>
      </c>
      <c r="R10" s="399">
        <f>Q10-P10</f>
        <v>-30380</v>
      </c>
      <c r="S10" s="277">
        <f>+IFERROR(HLOOKUP($A$1,[15]손익요약!$G$5:$AL$106,2,),)</f>
        <v>5000</v>
      </c>
      <c r="T10" s="377">
        <f>+'[9]부산크라샤(당월)'!$F$59</f>
        <v>5536</v>
      </c>
      <c r="U10" s="280">
        <f>T10-S10</f>
        <v>536</v>
      </c>
      <c r="V10" s="279">
        <f>+IFERROR(HLOOKUP($A$1,[15]손익요약!$G$5:$AL$106,5,),)</f>
        <v>15000</v>
      </c>
      <c r="W10" s="377">
        <f>+'[9]부산크라샤(당월)'!$I$59</f>
        <v>4832</v>
      </c>
      <c r="X10" s="278">
        <f>W10-V10</f>
        <v>-10168</v>
      </c>
      <c r="Y10" s="279"/>
      <c r="Z10" s="377">
        <f>+'[9]부산크라샤(당월)'!$L$59</f>
        <v>1241</v>
      </c>
      <c r="AA10" s="278">
        <f>Z10-Y10</f>
        <v>1241</v>
      </c>
      <c r="AB10" s="398">
        <f>+S10+V10+Y10</f>
        <v>20000</v>
      </c>
      <c r="AC10" s="377">
        <f>+T10+W10+Z10</f>
        <v>11609</v>
      </c>
      <c r="AD10" s="399">
        <f>AC10-AB10</f>
        <v>-8391</v>
      </c>
      <c r="AE10" s="278">
        <f>+IFERROR(HLOOKUP($A$1,[16]손익계획!$G$5:$AX$449,2,),)</f>
        <v>9500</v>
      </c>
      <c r="AF10" s="377">
        <f>+'[9]부산모래장(당월)'!$R$47</f>
        <v>4063</v>
      </c>
      <c r="AG10" s="278">
        <f>AF10-AE10</f>
        <v>-5437</v>
      </c>
      <c r="AH10" s="398">
        <f>+P10+AB10+AE10</f>
        <v>61800</v>
      </c>
      <c r="AI10" s="377">
        <f>+Q10+AC10+AF10</f>
        <v>17592</v>
      </c>
      <c r="AJ10" s="399">
        <f>AI10-AH10</f>
        <v>-44208</v>
      </c>
    </row>
    <row r="11" spans="1:39" ht="24" customHeight="1">
      <c r="D11" s="258"/>
      <c r="E11" s="259"/>
      <c r="F11" s="276" t="s">
        <v>10</v>
      </c>
      <c r="G11" s="272">
        <f>+G10/G$12</f>
        <v>0.16806209130355071</v>
      </c>
      <c r="H11" s="378">
        <f>+H10/H$12</f>
        <v>0.12307692307692308</v>
      </c>
      <c r="I11" s="275">
        <f>+H11-G11</f>
        <v>-4.4985168226627625E-2</v>
      </c>
      <c r="J11" s="274">
        <f>+J10/J$12</f>
        <v>0.77989526621577843</v>
      </c>
      <c r="K11" s="378">
        <f>+K10/K$12</f>
        <v>1</v>
      </c>
      <c r="L11" s="273">
        <f>+K11-J11</f>
        <v>0.22010473378422157</v>
      </c>
      <c r="M11" s="274">
        <f>+M10/M$12</f>
        <v>1</v>
      </c>
      <c r="N11" s="378"/>
      <c r="O11" s="273">
        <f>+N11-M11</f>
        <v>-1</v>
      </c>
      <c r="P11" s="400">
        <f>+P10/P$12</f>
        <v>0.63819911152187969</v>
      </c>
      <c r="Q11" s="378">
        <f>+Q10/Q$12</f>
        <v>0.18338108882521489</v>
      </c>
      <c r="R11" s="401">
        <f>+Q11-P11</f>
        <v>-0.45481802269666483</v>
      </c>
      <c r="S11" s="272">
        <f>+S10/S$12</f>
        <v>0.29403705204877978</v>
      </c>
      <c r="T11" s="378">
        <f>+T10/T$12</f>
        <v>0.32025916926992942</v>
      </c>
      <c r="U11" s="275">
        <f>+T11-S11</f>
        <v>2.6222117221149643E-2</v>
      </c>
      <c r="V11" s="274">
        <f>+V10/V$12</f>
        <v>0.5815114242831948</v>
      </c>
      <c r="W11" s="378">
        <f>+W10/W$12</f>
        <v>0.2844360725217801</v>
      </c>
      <c r="X11" s="273">
        <f>+W11-V11</f>
        <v>-0.2970753517614147</v>
      </c>
      <c r="Y11" s="274"/>
      <c r="Z11" s="378">
        <f>+Z10/Z$12</f>
        <v>1</v>
      </c>
      <c r="AA11" s="273">
        <f>+Z11-Y11</f>
        <v>1</v>
      </c>
      <c r="AB11" s="400">
        <f>+AB10/AB$12</f>
        <v>0.46729507241884183</v>
      </c>
      <c r="AC11" s="378">
        <f>+AC10/AC$12</f>
        <v>0.32687596790088697</v>
      </c>
      <c r="AD11" s="401">
        <f>+AC11-AB11</f>
        <v>-0.14041910451795486</v>
      </c>
      <c r="AE11" s="273">
        <f>+AE10/AE$12</f>
        <v>0.34235356030121961</v>
      </c>
      <c r="AF11" s="378">
        <f>+AF10/AF$12</f>
        <v>0.27128263337116915</v>
      </c>
      <c r="AG11" s="273">
        <f>+AF11-AE11</f>
        <v>-7.107092693005046E-2</v>
      </c>
      <c r="AH11" s="400">
        <f>+AH10/AH$12</f>
        <v>0.51007032080513737</v>
      </c>
      <c r="AI11" s="378">
        <f>+AI10/AI$12</f>
        <v>0.28857320954036941</v>
      </c>
      <c r="AJ11" s="401">
        <f>+AI11-AH11</f>
        <v>-0.22149711126476795</v>
      </c>
    </row>
    <row r="12" spans="1:39" ht="24" customHeight="1">
      <c r="D12" s="258"/>
      <c r="E12" s="271"/>
      <c r="F12" s="270" t="s">
        <v>43</v>
      </c>
      <c r="G12" s="266">
        <f>G8+G10</f>
        <v>19635.599999999999</v>
      </c>
      <c r="H12" s="379">
        <f>H8+H10</f>
        <v>9750</v>
      </c>
      <c r="I12" s="269">
        <f t="shared" ref="I12:I32" si="1">H12-G12</f>
        <v>-9885.5999999999985</v>
      </c>
      <c r="J12" s="268">
        <f>J8+J10</f>
        <v>8975.5641599999999</v>
      </c>
      <c r="K12" s="379">
        <f>K8+K10</f>
        <v>720</v>
      </c>
      <c r="L12" s="267">
        <f t="shared" ref="L12:L32" si="2">K12-J12</f>
        <v>-8255.5641599999999</v>
      </c>
      <c r="M12" s="268">
        <f>M8+M10</f>
        <v>22000</v>
      </c>
      <c r="N12" s="379"/>
      <c r="O12" s="267">
        <f t="shared" ref="O12:O32" si="3">N12-M12</f>
        <v>-22000</v>
      </c>
      <c r="P12" s="402">
        <f>P8+P10</f>
        <v>50611.16416</v>
      </c>
      <c r="Q12" s="379">
        <f>Q8+Q10</f>
        <v>10470</v>
      </c>
      <c r="R12" s="403">
        <f t="shared" ref="R12:R32" si="4">Q12-P12</f>
        <v>-40141.16416</v>
      </c>
      <c r="S12" s="266">
        <f>S8+S10</f>
        <v>17004.659668437012</v>
      </c>
      <c r="T12" s="379">
        <f>T8+T10</f>
        <v>17286</v>
      </c>
      <c r="U12" s="269">
        <f t="shared" ref="U12:U32" si="5">T12-S12</f>
        <v>281.34033156298756</v>
      </c>
      <c r="V12" s="268">
        <f>V8+V10</f>
        <v>25794.850064192433</v>
      </c>
      <c r="W12" s="379">
        <f>W8+W10</f>
        <v>16988</v>
      </c>
      <c r="X12" s="267">
        <f t="shared" ref="X12:X32" si="6">W12-V12</f>
        <v>-8806.8500641924329</v>
      </c>
      <c r="Y12" s="268"/>
      <c r="Z12" s="379">
        <f>Z8+Z10</f>
        <v>1241</v>
      </c>
      <c r="AA12" s="267">
        <f t="shared" ref="AA12:AA32" si="7">Z12-Y12</f>
        <v>1241</v>
      </c>
      <c r="AB12" s="402">
        <f>AB8+AB10</f>
        <v>42799.509732629442</v>
      </c>
      <c r="AC12" s="379">
        <f>AC8+AC10</f>
        <v>35515</v>
      </c>
      <c r="AD12" s="403">
        <f t="shared" ref="AD12:AD32" si="8">AC12-AB12</f>
        <v>-7284.5097326294417</v>
      </c>
      <c r="AE12" s="267">
        <f>AE8+AE10</f>
        <v>27749.090710905504</v>
      </c>
      <c r="AF12" s="379">
        <f>AF8+AF10</f>
        <v>14977</v>
      </c>
      <c r="AG12" s="267">
        <f t="shared" ref="AG12:AG32" si="9">AF12-AE12</f>
        <v>-12772.090710905504</v>
      </c>
      <c r="AH12" s="402">
        <f>AH8+AH10</f>
        <v>121159.76460353495</v>
      </c>
      <c r="AI12" s="379">
        <f>AI8+AI10</f>
        <v>60962</v>
      </c>
      <c r="AJ12" s="403">
        <f t="shared" ref="AJ12:AJ32" si="10">AI12-AH12</f>
        <v>-60197.764603534946</v>
      </c>
      <c r="AL12" s="6">
        <f>+'사업장별(당월)'!J32*1000</f>
        <v>121159.76460353493</v>
      </c>
      <c r="AM12" s="6">
        <f>+'사업장별(당월)'!K32*1000</f>
        <v>60962</v>
      </c>
    </row>
    <row r="13" spans="1:39" ht="24" customHeight="1">
      <c r="D13" s="258"/>
      <c r="E13" s="265" t="s">
        <v>77</v>
      </c>
      <c r="F13" s="264" t="s">
        <v>132</v>
      </c>
      <c r="G13" s="260">
        <f>+IFERROR(HLOOKUP($A$1,[14]손익요약!$G$5:$AL$106,15,),)</f>
        <v>248708.80000000002</v>
      </c>
      <c r="H13" s="375">
        <f>+'[9]서부산크라샤(당월)'!$F$72</f>
        <v>145350</v>
      </c>
      <c r="I13" s="263">
        <f t="shared" si="1"/>
        <v>-103358.80000000002</v>
      </c>
      <c r="J13" s="262">
        <f>+IFERROR(HLOOKUP($A$1,[14]손익요약!$G$5:$AL$106,18,),)</f>
        <v>36864.929066666664</v>
      </c>
      <c r="K13" s="375">
        <f>+'[9]서부산크라샤(당월)'!$I$72</f>
        <v>0</v>
      </c>
      <c r="L13" s="261">
        <f t="shared" si="2"/>
        <v>-36864.929066666664</v>
      </c>
      <c r="M13" s="262">
        <f>+IFERROR(HLOOKUP($A$1,[14]손익요약!$G$5:$AL$106,21,),)</f>
        <v>0</v>
      </c>
      <c r="N13" s="375"/>
      <c r="O13" s="261">
        <f t="shared" si="3"/>
        <v>0</v>
      </c>
      <c r="P13" s="394">
        <f>+G13+J13+M13</f>
        <v>285573.72906666668</v>
      </c>
      <c r="Q13" s="375">
        <f>+H13+K13+N13</f>
        <v>145350</v>
      </c>
      <c r="R13" s="395">
        <f t="shared" si="4"/>
        <v>-140223.72906666668</v>
      </c>
      <c r="S13" s="260">
        <f>+IFERROR(HLOOKUP($A$1,[15]손익요약!$G$5:$AL$106,12,),)</f>
        <v>192074.5546949922</v>
      </c>
      <c r="T13" s="375">
        <f>+'[9]부산크라샤(당월)'!$F$72</f>
        <v>185825</v>
      </c>
      <c r="U13" s="263">
        <f t="shared" si="5"/>
        <v>-6249.5546949921991</v>
      </c>
      <c r="V13" s="262">
        <f>+IFERROR(HLOOKUP($A$1,[15]손익요약!$G$5:$AL$106,15,),)</f>
        <v>238682.01599255495</v>
      </c>
      <c r="W13" s="375">
        <f>+'[9]부산크라샤(당월)'!$I$72</f>
        <v>264674</v>
      </c>
      <c r="X13" s="261">
        <f t="shared" si="6"/>
        <v>25991.984007445048</v>
      </c>
      <c r="Y13" s="262"/>
      <c r="Z13" s="375">
        <f>+'[9]부산크라샤(당월)'!$L$72</f>
        <v>0</v>
      </c>
      <c r="AA13" s="261">
        <f t="shared" si="7"/>
        <v>0</v>
      </c>
      <c r="AB13" s="394">
        <f>+S13+V13+Y13</f>
        <v>430756.57068754715</v>
      </c>
      <c r="AC13" s="375">
        <f>+T13+W13+Z13</f>
        <v>450499</v>
      </c>
      <c r="AD13" s="395">
        <f t="shared" si="8"/>
        <v>19742.429312452849</v>
      </c>
      <c r="AE13" s="261">
        <f>+IFERROR(HLOOKUP($A$1,[16]손익계획!$G$5:$AX$449,6,),)</f>
        <v>518755.53940989065</v>
      </c>
      <c r="AF13" s="375">
        <f>+'[9]부산모래장(당월)'!$R$54</f>
        <v>317680</v>
      </c>
      <c r="AG13" s="261">
        <f t="shared" si="9"/>
        <v>-201075.53940989065</v>
      </c>
      <c r="AH13" s="394">
        <f>+P13+AB13+AE13</f>
        <v>1235085.8391641043</v>
      </c>
      <c r="AI13" s="375">
        <f>+Q13+AC13+AF13</f>
        <v>913529</v>
      </c>
      <c r="AJ13" s="395">
        <f t="shared" si="10"/>
        <v>-321556.83916410431</v>
      </c>
      <c r="AL13" s="6" t="b">
        <f>+AL12=AH12</f>
        <v>1</v>
      </c>
      <c r="AM13" s="6" t="b">
        <f>+AM12=AI12</f>
        <v>1</v>
      </c>
    </row>
    <row r="14" spans="1:39" ht="24" customHeight="1">
      <c r="D14" s="258"/>
      <c r="E14" s="259"/>
      <c r="F14" s="257" t="s">
        <v>131</v>
      </c>
      <c r="G14" s="253">
        <f>+G13/G8*1000</f>
        <v>15224.956536643895</v>
      </c>
      <c r="H14" s="380">
        <f>+H13/H8*1000</f>
        <v>17000</v>
      </c>
      <c r="I14" s="256">
        <f t="shared" si="1"/>
        <v>1775.0434633561053</v>
      </c>
      <c r="J14" s="255">
        <f>+J13/J8*1000</f>
        <v>18660.456497989246</v>
      </c>
      <c r="K14" s="380" t="e">
        <f>+K13/K8*1000</f>
        <v>#DIV/0!</v>
      </c>
      <c r="L14" s="254" t="e">
        <f t="shared" si="2"/>
        <v>#DIV/0!</v>
      </c>
      <c r="M14" s="255" t="e">
        <f>+M13/M8*1000</f>
        <v>#DIV/0!</v>
      </c>
      <c r="N14" s="380"/>
      <c r="O14" s="254" t="e">
        <f t="shared" si="3"/>
        <v>#DIV/0!</v>
      </c>
      <c r="P14" s="404">
        <f>+P13/P8*1000</f>
        <v>15595.607497774006</v>
      </c>
      <c r="Q14" s="380">
        <f>+Q13/Q8*1000</f>
        <v>17000</v>
      </c>
      <c r="R14" s="405">
        <f t="shared" si="4"/>
        <v>1404.3925022259937</v>
      </c>
      <c r="S14" s="253">
        <f>+S13/S8*1000</f>
        <v>16000</v>
      </c>
      <c r="T14" s="380">
        <f>+T13/T8*1000</f>
        <v>15814.893617021276</v>
      </c>
      <c r="U14" s="256">
        <f t="shared" si="5"/>
        <v>-185.10638297872356</v>
      </c>
      <c r="V14" s="255">
        <f>+V13/V8*1000</f>
        <v>22110.73007713988</v>
      </c>
      <c r="W14" s="380">
        <f>+W13/W8*1000</f>
        <v>21773.116156630473</v>
      </c>
      <c r="X14" s="254">
        <f t="shared" si="6"/>
        <v>-337.61392050940776</v>
      </c>
      <c r="Y14" s="255"/>
      <c r="Z14" s="380" t="e">
        <f>+Z13/Z8*1000</f>
        <v>#DIV/0!</v>
      </c>
      <c r="AA14" s="254" t="e">
        <f t="shared" si="7"/>
        <v>#DIV/0!</v>
      </c>
      <c r="AB14" s="404">
        <f>+AB13/AB8*1000</f>
        <v>18893.238308149728</v>
      </c>
      <c r="AC14" s="380">
        <f>+AC13/AC8*1000</f>
        <v>18844.599682088181</v>
      </c>
      <c r="AD14" s="405">
        <f t="shared" si="8"/>
        <v>-48.638626061547257</v>
      </c>
      <c r="AE14" s="254">
        <f>+AE13/AE8*1000</f>
        <v>28426.377381087084</v>
      </c>
      <c r="AF14" s="380">
        <f>+AF13/AF8*1000</f>
        <v>29107.56826094924</v>
      </c>
      <c r="AG14" s="254">
        <f t="shared" si="9"/>
        <v>681.19087986215527</v>
      </c>
      <c r="AH14" s="404">
        <f>+AH13/AH8*1000</f>
        <v>20806.784653094015</v>
      </c>
      <c r="AI14" s="380">
        <f>+AI13/AI8*1000</f>
        <v>21063.615402351857</v>
      </c>
      <c r="AJ14" s="405">
        <f t="shared" si="10"/>
        <v>256.8307492578424</v>
      </c>
    </row>
    <row r="15" spans="1:39" ht="24" customHeight="1">
      <c r="D15" s="258"/>
      <c r="E15" s="663"/>
      <c r="F15" s="224" t="s">
        <v>135</v>
      </c>
      <c r="G15" s="248">
        <f>+IFERROR(HLOOKUP($A$1,[14]손익요약!$G$5:$AL$106,14,),)</f>
        <v>37950</v>
      </c>
      <c r="H15" s="381">
        <f>+'[9]서부산크라샤(당월)'!$F$71</f>
        <v>16200</v>
      </c>
      <c r="I15" s="251">
        <f t="shared" si="1"/>
        <v>-21750</v>
      </c>
      <c r="J15" s="250">
        <f>+IFERROR(HLOOKUP($A$1,[14]손익요약!$G$5:$AL$106,17,),)</f>
        <v>105000</v>
      </c>
      <c r="K15" s="381">
        <f>+'[9]서부산크라샤(당월)'!$I$71</f>
        <v>6480</v>
      </c>
      <c r="L15" s="249">
        <f t="shared" si="2"/>
        <v>-98520</v>
      </c>
      <c r="M15" s="250">
        <f>+IFERROR(HLOOKUP($A$1,[14]손익요약!$G$5:$AL$106,20,),)</f>
        <v>198000</v>
      </c>
      <c r="N15" s="381"/>
      <c r="O15" s="249">
        <f t="shared" si="3"/>
        <v>-198000</v>
      </c>
      <c r="P15" s="406">
        <f>+G15+J15+M15</f>
        <v>340950</v>
      </c>
      <c r="Q15" s="381">
        <f>+H15+K15+N15</f>
        <v>22680</v>
      </c>
      <c r="R15" s="407">
        <f t="shared" si="4"/>
        <v>-318270</v>
      </c>
      <c r="S15" s="248">
        <f>+IFERROR(HLOOKUP($A$1,[15]손익요약!$G$5:$AL$106,11,),)</f>
        <v>60000</v>
      </c>
      <c r="T15" s="381">
        <f>+'[9]부산크라샤(당월)'!$F$71</f>
        <v>71968</v>
      </c>
      <c r="U15" s="251">
        <f t="shared" si="5"/>
        <v>11968</v>
      </c>
      <c r="V15" s="250">
        <f>+IFERROR(HLOOKUP($A$1,[15]손익요약!$G$5:$AL$106,14,),)</f>
        <v>285000</v>
      </c>
      <c r="W15" s="381">
        <f>+'[9]부산크라샤(당월)'!$I$71</f>
        <v>91808</v>
      </c>
      <c r="X15" s="249">
        <f t="shared" si="6"/>
        <v>-193192</v>
      </c>
      <c r="Y15" s="250"/>
      <c r="Z15" s="381">
        <f>+'[9]부산크라샤(당월)'!$L$71</f>
        <v>34127.5</v>
      </c>
      <c r="AA15" s="249">
        <f t="shared" si="7"/>
        <v>34127.5</v>
      </c>
      <c r="AB15" s="406">
        <f>+S15+V15+Y15</f>
        <v>345000</v>
      </c>
      <c r="AC15" s="381">
        <f>+T15+W15+Z15</f>
        <v>197903.5</v>
      </c>
      <c r="AD15" s="407">
        <f t="shared" si="8"/>
        <v>-147096.5</v>
      </c>
      <c r="AE15" s="249">
        <f>+IFERROR(HLOOKUP($A$1,[16]손익계획!$G$5:$AX$449,5,),)</f>
        <v>270750</v>
      </c>
      <c r="AF15" s="381">
        <f>+'[9]부산모래장(당월)'!$R$53</f>
        <v>107210.5</v>
      </c>
      <c r="AG15" s="249">
        <f t="shared" si="9"/>
        <v>-163539.5</v>
      </c>
      <c r="AH15" s="406">
        <f>+P15+AB15+AE15</f>
        <v>956700</v>
      </c>
      <c r="AI15" s="381">
        <f>+Q15+AC15+AF15</f>
        <v>327794</v>
      </c>
      <c r="AJ15" s="407">
        <f t="shared" si="10"/>
        <v>-628906</v>
      </c>
    </row>
    <row r="16" spans="1:39" ht="24" customHeight="1">
      <c r="D16" s="76"/>
      <c r="E16" s="663"/>
      <c r="F16" s="257" t="s">
        <v>131</v>
      </c>
      <c r="G16" s="253">
        <f>IFERROR(G15/G10,)*1000</f>
        <v>11500</v>
      </c>
      <c r="H16" s="380">
        <f>IFERROR(H15/H10,)*1000</f>
        <v>13500</v>
      </c>
      <c r="I16" s="256">
        <f t="shared" si="1"/>
        <v>2000</v>
      </c>
      <c r="J16" s="255">
        <f>IFERROR(J15/J10,)*1000</f>
        <v>15000</v>
      </c>
      <c r="K16" s="380">
        <f>IFERROR(K15/K10,)*1000</f>
        <v>9000</v>
      </c>
      <c r="L16" s="254">
        <f t="shared" si="2"/>
        <v>-6000</v>
      </c>
      <c r="M16" s="255">
        <f>IFERROR(M15/M10,)*1000</f>
        <v>9000</v>
      </c>
      <c r="N16" s="380"/>
      <c r="O16" s="254">
        <f t="shared" si="3"/>
        <v>-9000</v>
      </c>
      <c r="P16" s="404">
        <f>IFERROR(P15/P10,)*1000</f>
        <v>10555.727554179568</v>
      </c>
      <c r="Q16" s="380">
        <f>IFERROR(Q15/Q10,)*1000</f>
        <v>11812.5</v>
      </c>
      <c r="R16" s="405">
        <f t="shared" si="4"/>
        <v>1256.772445820432</v>
      </c>
      <c r="S16" s="253">
        <f>IFERROR(S15/S10,)*1000</f>
        <v>12000</v>
      </c>
      <c r="T16" s="380">
        <f>IFERROR(T15/T10,)*1000</f>
        <v>13000</v>
      </c>
      <c r="U16" s="256">
        <f t="shared" si="5"/>
        <v>1000</v>
      </c>
      <c r="V16" s="255">
        <f>IFERROR(V15/V10,)*1000</f>
        <v>19000</v>
      </c>
      <c r="W16" s="380">
        <f>IFERROR(W15/W10,)*1000</f>
        <v>19000</v>
      </c>
      <c r="X16" s="254">
        <f t="shared" si="6"/>
        <v>0</v>
      </c>
      <c r="Y16" s="255"/>
      <c r="Z16" s="380">
        <f>IFERROR(Z15/Z10,)*1000</f>
        <v>27500</v>
      </c>
      <c r="AA16" s="254">
        <f t="shared" si="7"/>
        <v>27500</v>
      </c>
      <c r="AB16" s="404">
        <f>IFERROR(AB15/AB10,)*1000</f>
        <v>17250</v>
      </c>
      <c r="AC16" s="380">
        <f>IFERROR(AC15/AC10,)*1000</f>
        <v>17047.420105090878</v>
      </c>
      <c r="AD16" s="405">
        <f t="shared" si="8"/>
        <v>-202.57989490912223</v>
      </c>
      <c r="AE16" s="254">
        <f>IFERROR(AE15/AE10,)*1000</f>
        <v>28500</v>
      </c>
      <c r="AF16" s="380">
        <f>IFERROR(AF15/AF10,)*1000</f>
        <v>26387.029288702932</v>
      </c>
      <c r="AG16" s="254">
        <f t="shared" si="9"/>
        <v>-2112.9707112970682</v>
      </c>
      <c r="AH16" s="404">
        <f>IFERROR(AH15/AH10,)*1000</f>
        <v>15480.582524271844</v>
      </c>
      <c r="AI16" s="380">
        <f>IFERROR(AI15/AI10,)*1000</f>
        <v>18633.128694861301</v>
      </c>
      <c r="AJ16" s="405">
        <f t="shared" si="10"/>
        <v>3152.5461705894577</v>
      </c>
    </row>
    <row r="17" spans="4:39" ht="24" customHeight="1">
      <c r="D17" s="76"/>
      <c r="E17" s="663"/>
      <c r="F17" s="252" t="s">
        <v>43</v>
      </c>
      <c r="G17" s="248">
        <f>G13+G15</f>
        <v>286658.80000000005</v>
      </c>
      <c r="H17" s="381">
        <f>H13+H15</f>
        <v>161550</v>
      </c>
      <c r="I17" s="251">
        <f t="shared" si="1"/>
        <v>-125108.80000000005</v>
      </c>
      <c r="J17" s="250">
        <f>J13+J15</f>
        <v>141864.92906666666</v>
      </c>
      <c r="K17" s="381">
        <f>K13+K15</f>
        <v>6480</v>
      </c>
      <c r="L17" s="249">
        <f t="shared" si="2"/>
        <v>-135384.92906666666</v>
      </c>
      <c r="M17" s="250">
        <f>M13+M15</f>
        <v>198000</v>
      </c>
      <c r="N17" s="381"/>
      <c r="O17" s="249">
        <f t="shared" si="3"/>
        <v>-198000</v>
      </c>
      <c r="P17" s="406">
        <f>P13+P15</f>
        <v>626523.72906666668</v>
      </c>
      <c r="Q17" s="381">
        <f>Q13+Q15</f>
        <v>168030</v>
      </c>
      <c r="R17" s="407">
        <f t="shared" si="4"/>
        <v>-458493.72906666668</v>
      </c>
      <c r="S17" s="248">
        <f>S13+S15</f>
        <v>252074.5546949922</v>
      </c>
      <c r="T17" s="381">
        <f>T13+T15</f>
        <v>257793</v>
      </c>
      <c r="U17" s="251">
        <f t="shared" si="5"/>
        <v>5718.4453050078009</v>
      </c>
      <c r="V17" s="250">
        <f>V13+V15</f>
        <v>523682.01599255495</v>
      </c>
      <c r="W17" s="381">
        <f>W13+W15</f>
        <v>356482</v>
      </c>
      <c r="X17" s="249">
        <f t="shared" si="6"/>
        <v>-167200.01599255495</v>
      </c>
      <c r="Y17" s="250"/>
      <c r="Z17" s="381">
        <f>Z13+Z15</f>
        <v>34127.5</v>
      </c>
      <c r="AA17" s="249">
        <f t="shared" si="7"/>
        <v>34127.5</v>
      </c>
      <c r="AB17" s="406">
        <f>AB13+AB15</f>
        <v>775756.57068754709</v>
      </c>
      <c r="AC17" s="381">
        <f>AC13+AC15</f>
        <v>648402.5</v>
      </c>
      <c r="AD17" s="407">
        <f t="shared" si="8"/>
        <v>-127354.07068754709</v>
      </c>
      <c r="AE17" s="249">
        <f>AE13+AE15</f>
        <v>789505.53940989065</v>
      </c>
      <c r="AF17" s="381">
        <f>AF13+AF15</f>
        <v>424890.5</v>
      </c>
      <c r="AG17" s="249">
        <f t="shared" si="9"/>
        <v>-364615.03940989065</v>
      </c>
      <c r="AH17" s="406">
        <f>AH13+AH15</f>
        <v>2191785.8391641043</v>
      </c>
      <c r="AI17" s="381">
        <f>AI13+AI15</f>
        <v>1241323</v>
      </c>
      <c r="AJ17" s="407">
        <f t="shared" si="10"/>
        <v>-950462.83916410431</v>
      </c>
      <c r="AL17" s="6">
        <f>+'사업장별(당월)'!O32*1000</f>
        <v>2191785.8391641043</v>
      </c>
      <c r="AM17" s="6">
        <f>+'사업장별(당월)'!P32*1000</f>
        <v>1241322.9999999998</v>
      </c>
    </row>
    <row r="18" spans="4:39" ht="24" customHeight="1">
      <c r="D18" s="76"/>
      <c r="E18" s="247" t="s">
        <v>7</v>
      </c>
      <c r="F18" s="246" t="s">
        <v>134</v>
      </c>
      <c r="G18" s="661">
        <f>+IFERROR(HLOOKUP($A$1,[14]손익요약!$G$5:$AL$106,80,),)</f>
        <v>58651.829011539914</v>
      </c>
      <c r="H18" s="382">
        <f>+'[9]서부산크라샤(당월)'!$F$87</f>
        <v>-49342.381438612239</v>
      </c>
      <c r="I18" s="233">
        <f t="shared" si="1"/>
        <v>-107994.21045015215</v>
      </c>
      <c r="J18" s="232">
        <f>+IFERROR(HLOOKUP($A$1,[14]손익요약!$G$5:$AL$106,83,),)</f>
        <v>13772.369922247286</v>
      </c>
      <c r="K18" s="382">
        <f>+'[9]서부산크라샤(당월)'!$I$87</f>
        <v>0</v>
      </c>
      <c r="L18" s="231">
        <f t="shared" si="2"/>
        <v>-13772.369922247286</v>
      </c>
      <c r="M18" s="232">
        <f>+IFERROR(HLOOKUP($A$1,[14]손익요약!$G$5:$AL$106,86,),)</f>
        <v>0</v>
      </c>
      <c r="N18" s="382"/>
      <c r="O18" s="231">
        <f t="shared" si="3"/>
        <v>0</v>
      </c>
      <c r="P18" s="408">
        <f>+G18+J18+M18</f>
        <v>72424.198933787207</v>
      </c>
      <c r="Q18" s="382">
        <f>+H18+K18+N18</f>
        <v>-49342.381438612239</v>
      </c>
      <c r="R18" s="409">
        <f t="shared" si="4"/>
        <v>-121766.58037239945</v>
      </c>
      <c r="S18" s="661">
        <f>+IFERROR(HLOOKUP($A$1,[15]손익요약!$G$5:$U$95,57,),)</f>
        <v>-12594.574379898571</v>
      </c>
      <c r="T18" s="382">
        <f>+'[9]부산크라샤(당월)'!$F$87</f>
        <v>-61932.020867972213</v>
      </c>
      <c r="U18" s="233">
        <f t="shared" si="5"/>
        <v>-49337.446488073641</v>
      </c>
      <c r="V18" s="232">
        <f>+IFERROR(HLOOKUP($A$1,[15]손익요약!$G$5:$AL$106,60,),)</f>
        <v>53591.321330258193</v>
      </c>
      <c r="W18" s="382">
        <f>+'[9]부산크라샤(당월)'!$I$87</f>
        <v>425.47936640781518</v>
      </c>
      <c r="X18" s="231">
        <f t="shared" si="6"/>
        <v>-53165.841963850376</v>
      </c>
      <c r="Y18" s="232"/>
      <c r="Z18" s="382">
        <f>+'[9]부산크라샤(당월)'!$L$87</f>
        <v>0</v>
      </c>
      <c r="AA18" s="231">
        <f t="shared" si="7"/>
        <v>0</v>
      </c>
      <c r="AB18" s="408">
        <f>+S18+V18+Y18</f>
        <v>40996.746950359622</v>
      </c>
      <c r="AC18" s="382">
        <f>+T18+W18+Z18</f>
        <v>-61506.541501564396</v>
      </c>
      <c r="AD18" s="409">
        <f t="shared" si="8"/>
        <v>-102503.28845192402</v>
      </c>
      <c r="AE18" s="231">
        <f>+IFERROR(HLOOKUP($A$1,[16]손익계획!$G$5:$AX$449,25,),)</f>
        <v>32741.081332407666</v>
      </c>
      <c r="AF18" s="382">
        <f>+'[9]부산모래장(당월)'!$R$82</f>
        <v>65242.550999999999</v>
      </c>
      <c r="AG18" s="231">
        <f t="shared" si="9"/>
        <v>32501.469667592333</v>
      </c>
      <c r="AH18" s="408">
        <f>+P18+AB18+AE18</f>
        <v>146162.0272165545</v>
      </c>
      <c r="AI18" s="382">
        <f>+Q18+AC18+AF18</f>
        <v>-45606.371940176636</v>
      </c>
      <c r="AJ18" s="409">
        <f t="shared" si="10"/>
        <v>-191768.39915673115</v>
      </c>
      <c r="AL18" s="6" t="b">
        <f>+AL17=AH17</f>
        <v>1</v>
      </c>
      <c r="AM18" s="6" t="b">
        <f>+AM17=AI17</f>
        <v>1</v>
      </c>
    </row>
    <row r="19" spans="4:39" ht="24" customHeight="1">
      <c r="D19" s="76"/>
      <c r="E19" s="166"/>
      <c r="F19" s="245" t="s">
        <v>133</v>
      </c>
      <c r="G19" s="241">
        <f>+IFERROR(HLOOKUP($A$1,[14]손익요약!$G$5:$AL$106,79,),)</f>
        <v>-248.68550393747023</v>
      </c>
      <c r="H19" s="383">
        <f>+'[9]서부산크라샤(당월)'!$F$86</f>
        <v>-9580.4447867279177</v>
      </c>
      <c r="I19" s="244">
        <f t="shared" si="1"/>
        <v>-9331.7592827904482</v>
      </c>
      <c r="J19" s="243">
        <f>+IFERROR(HLOOKUP($A$1,[14]손익요약!$G$5:$AL$106,82,),)</f>
        <v>23583.32702941378</v>
      </c>
      <c r="K19" s="383">
        <f>+'[9]서부산크라샤(당월)'!$I$86</f>
        <v>-2309.8476285373208</v>
      </c>
      <c r="L19" s="242">
        <f t="shared" si="2"/>
        <v>-25893.174657951102</v>
      </c>
      <c r="M19" s="243">
        <f>+IFERROR(HLOOKUP($A$1,[14]손익요약!$G$5:$AL$106,85,),)</f>
        <v>12415.717235908209</v>
      </c>
      <c r="N19" s="383"/>
      <c r="O19" s="242">
        <f t="shared" si="3"/>
        <v>-12415.717235908209</v>
      </c>
      <c r="P19" s="410">
        <f>+G19+J19+M19</f>
        <v>35750.358761384516</v>
      </c>
      <c r="Q19" s="383">
        <f>+H19+K19+N19</f>
        <v>-11890.292415265238</v>
      </c>
      <c r="R19" s="411">
        <f t="shared" si="4"/>
        <v>-47640.651176649757</v>
      </c>
      <c r="S19" s="241">
        <f>+IFERROR(HLOOKUP($A$1,[15]손익요약!$G$5:$AL$106,56,),)</f>
        <v>-24928.022172261179</v>
      </c>
      <c r="T19" s="383">
        <f>+'[9]부산크라샤(당월)'!$F$86</f>
        <v>-44232.923551315878</v>
      </c>
      <c r="U19" s="244">
        <f t="shared" si="5"/>
        <v>-19304.9013790547</v>
      </c>
      <c r="V19" s="243">
        <f>+IFERROR(HLOOKUP($A$1,[15]손익요약!$G$5:$AL$106,59,),)</f>
        <v>28548.11234636934</v>
      </c>
      <c r="W19" s="383">
        <f>+'[9]부산크라샤(당월)'!$I$86</f>
        <v>-12775.249159686362</v>
      </c>
      <c r="X19" s="242">
        <f t="shared" si="6"/>
        <v>-41323.361506055706</v>
      </c>
      <c r="Y19" s="243"/>
      <c r="Z19" s="383">
        <f>+'[9]부산크라샤(당월)'!$L$86</f>
        <v>4813.3760625666546</v>
      </c>
      <c r="AA19" s="242">
        <f t="shared" si="7"/>
        <v>4813.3760625666546</v>
      </c>
      <c r="AB19" s="410">
        <f>+S19+V19+Y19</f>
        <v>3620.0901741081616</v>
      </c>
      <c r="AC19" s="383">
        <f>+T19+W19+Z19</f>
        <v>-52194.796648435586</v>
      </c>
      <c r="AD19" s="411">
        <f t="shared" si="8"/>
        <v>-55814.886822543747</v>
      </c>
      <c r="AE19" s="242">
        <f>+IFERROR(HLOOKUP($A$1,[16]손익계획!$G$5:$AX$449,24,),)</f>
        <v>17362.057186384074</v>
      </c>
      <c r="AF19" s="383">
        <f>+'[9]부산모래장(당월)'!$I$81-'[9]부산모래장(당월)'!$R$82</f>
        <v>-865.20906820763048</v>
      </c>
      <c r="AG19" s="242">
        <f t="shared" si="9"/>
        <v>-18227.266254591705</v>
      </c>
      <c r="AH19" s="410">
        <f>+P19+AB19+AE19</f>
        <v>56732.506121876751</v>
      </c>
      <c r="AI19" s="383">
        <f>+Q19+AC19+AF19</f>
        <v>-64950.298131908457</v>
      </c>
      <c r="AJ19" s="411">
        <f t="shared" si="10"/>
        <v>-121682.8042537852</v>
      </c>
    </row>
    <row r="20" spans="4:39" ht="24" customHeight="1">
      <c r="D20" s="76"/>
      <c r="E20" s="664"/>
      <c r="F20" s="240" t="s">
        <v>58</v>
      </c>
      <c r="G20" s="236">
        <f>G18+G19</f>
        <v>58403.143507602443</v>
      </c>
      <c r="H20" s="384">
        <f>H18+H19</f>
        <v>-58922.826225340155</v>
      </c>
      <c r="I20" s="239">
        <f t="shared" si="1"/>
        <v>-117325.9697329426</v>
      </c>
      <c r="J20" s="238">
        <f>J18+J19</f>
        <v>37355.69695166107</v>
      </c>
      <c r="K20" s="384">
        <f>K18+K19</f>
        <v>-2309.8476285373208</v>
      </c>
      <c r="L20" s="237">
        <f t="shared" si="2"/>
        <v>-39665.544580198388</v>
      </c>
      <c r="M20" s="238">
        <f>M18+M19</f>
        <v>12415.717235908209</v>
      </c>
      <c r="N20" s="384"/>
      <c r="O20" s="237">
        <f t="shared" si="3"/>
        <v>-12415.717235908209</v>
      </c>
      <c r="P20" s="412">
        <f>P18+P19</f>
        <v>108174.55769517172</v>
      </c>
      <c r="Q20" s="384">
        <f>Q18+Q19</f>
        <v>-61232.673853877481</v>
      </c>
      <c r="R20" s="413">
        <f t="shared" si="4"/>
        <v>-169407.2315490492</v>
      </c>
      <c r="S20" s="236">
        <f>S18+S19</f>
        <v>-37522.596552159754</v>
      </c>
      <c r="T20" s="384">
        <f>T18+T19</f>
        <v>-106164.94441928809</v>
      </c>
      <c r="U20" s="239">
        <f t="shared" si="5"/>
        <v>-68642.347867128337</v>
      </c>
      <c r="V20" s="238">
        <f>V18+V19</f>
        <v>82139.433676627537</v>
      </c>
      <c r="W20" s="384">
        <f>W18+W19</f>
        <v>-12349.769793278547</v>
      </c>
      <c r="X20" s="237">
        <f t="shared" si="6"/>
        <v>-94489.20346990609</v>
      </c>
      <c r="Y20" s="238"/>
      <c r="Z20" s="384">
        <f>Z18+Z19</f>
        <v>4813.3760625666546</v>
      </c>
      <c r="AA20" s="237">
        <f t="shared" si="7"/>
        <v>4813.3760625666546</v>
      </c>
      <c r="AB20" s="412">
        <f>AB18+AB19</f>
        <v>44616.837124467784</v>
      </c>
      <c r="AC20" s="384">
        <f>AC18+AC19</f>
        <v>-113701.33814999998</v>
      </c>
      <c r="AD20" s="413">
        <f t="shared" si="8"/>
        <v>-158318.17527446777</v>
      </c>
      <c r="AE20" s="237">
        <f>AE18+AE19</f>
        <v>50103.13851879174</v>
      </c>
      <c r="AF20" s="384">
        <f>AF18+AF19</f>
        <v>64377.341931792369</v>
      </c>
      <c r="AG20" s="237">
        <f t="shared" si="9"/>
        <v>14274.203413000629</v>
      </c>
      <c r="AH20" s="412">
        <f>AH18+AH19</f>
        <v>202894.53333843127</v>
      </c>
      <c r="AI20" s="384">
        <f>AI18+AI19</f>
        <v>-110556.67007208509</v>
      </c>
      <c r="AJ20" s="413">
        <f t="shared" si="10"/>
        <v>-313451.20341051638</v>
      </c>
      <c r="AL20" s="6">
        <f>+'사업장별(당월)'!T32*1000</f>
        <v>202894.53333843118</v>
      </c>
      <c r="AM20" s="6">
        <f>'사업장별(당월)'!U32*1000</f>
        <v>-110556.67007208509</v>
      </c>
    </row>
    <row r="21" spans="4:39" ht="24" customHeight="1">
      <c r="D21" s="76"/>
      <c r="E21" s="235" t="s">
        <v>132</v>
      </c>
      <c r="F21" s="234" t="s">
        <v>25</v>
      </c>
      <c r="G21" s="230">
        <f>+IFERROR(HLOOKUP($A$1,[14]손익!$G$5:$AB$252,3,),)</f>
        <v>0</v>
      </c>
      <c r="H21" s="382">
        <f>+'[9]서부산크라샤(당월)'!$F$60</f>
        <v>0</v>
      </c>
      <c r="I21" s="233">
        <f t="shared" si="1"/>
        <v>0</v>
      </c>
      <c r="J21" s="232">
        <f>+IFERROR(HLOOKUP($A$1,[14]손익!$G$5:$AB$252,12,),)</f>
        <v>0</v>
      </c>
      <c r="K21" s="382">
        <f>+'[9]서부산크라샤(당월)'!$I$60</f>
        <v>0</v>
      </c>
      <c r="L21" s="231">
        <f t="shared" si="2"/>
        <v>0</v>
      </c>
      <c r="M21" s="232"/>
      <c r="N21" s="382"/>
      <c r="O21" s="231">
        <f t="shared" si="3"/>
        <v>0</v>
      </c>
      <c r="P21" s="408">
        <f t="shared" ref="P21:P26" si="11">+G21+J21+M21</f>
        <v>0</v>
      </c>
      <c r="Q21" s="382">
        <f t="shared" ref="Q21:Q26" si="12">+H21+K21+N21</f>
        <v>0</v>
      </c>
      <c r="R21" s="409">
        <f t="shared" si="4"/>
        <v>0</v>
      </c>
      <c r="S21" s="230">
        <f>+IFERROR(HLOOKUP($A$1,[15]손익!$G$5:$AB$252,3,),)</f>
        <v>12004.659668437012</v>
      </c>
      <c r="T21" s="382">
        <f>+'[9]부산크라샤(당월)'!$F$60</f>
        <v>8150</v>
      </c>
      <c r="U21" s="233">
        <f t="shared" si="5"/>
        <v>-3854.6596684370124</v>
      </c>
      <c r="V21" s="232">
        <f>+IFERROR(HLOOKUP($A$1,[15]손익!$G$5:$AB$252,12,),)</f>
        <v>8394.9661932246891</v>
      </c>
      <c r="W21" s="382">
        <f>+'[9]부산크라샤(당월)'!$I$60</f>
        <v>6300</v>
      </c>
      <c r="X21" s="231">
        <f t="shared" si="6"/>
        <v>-2094.9661932246891</v>
      </c>
      <c r="Y21" s="232"/>
      <c r="Z21" s="382">
        <f>+'[9]부산크라샤(당월)'!$L$60</f>
        <v>0</v>
      </c>
      <c r="AA21" s="231">
        <f t="shared" si="7"/>
        <v>0</v>
      </c>
      <c r="AB21" s="408">
        <f t="shared" ref="AB21:AB32" si="13">+S21+V21+Y21</f>
        <v>20399.625861661701</v>
      </c>
      <c r="AC21" s="382">
        <f t="shared" ref="AC21:AC32" si="14">+T21+W21+Z21</f>
        <v>14450</v>
      </c>
      <c r="AD21" s="409">
        <f t="shared" si="8"/>
        <v>-5949.6258616617015</v>
      </c>
      <c r="AE21" s="231">
        <f>+IFERROR(HLOOKUP($A$1,[16]이송계획!$G$193:$U$216,16,),)</f>
        <v>4727.545256360052</v>
      </c>
      <c r="AF21" s="382">
        <f>+'[9]부산모래장(당월)'!$R$64</f>
        <v>3650</v>
      </c>
      <c r="AG21" s="231">
        <f t="shared" si="9"/>
        <v>-1077.545256360052</v>
      </c>
      <c r="AH21" s="408">
        <f t="shared" ref="AH21:AI26" si="15">+P21+AB21+AE21</f>
        <v>25127.171118021754</v>
      </c>
      <c r="AI21" s="382">
        <f t="shared" si="15"/>
        <v>18100</v>
      </c>
      <c r="AJ21" s="409">
        <f t="shared" si="10"/>
        <v>-7027.1711180217535</v>
      </c>
      <c r="AL21" s="595" t="b">
        <f>+AL20=AH20</f>
        <v>1</v>
      </c>
      <c r="AM21" s="595" t="b">
        <f>+AM20=AI20</f>
        <v>1</v>
      </c>
    </row>
    <row r="22" spans="4:39" ht="24" customHeight="1">
      <c r="D22" s="76"/>
      <c r="E22" s="166" t="s">
        <v>0</v>
      </c>
      <c r="F22" s="221" t="s">
        <v>26</v>
      </c>
      <c r="G22" s="226">
        <f>+IFERROR(HLOOKUP($A$1,[14]손익!$G$5:$AB$252,4,),)</f>
        <v>14225.466666666667</v>
      </c>
      <c r="H22" s="385">
        <f>+'[9]서부산크라샤(당월)'!$F$61</f>
        <v>8550</v>
      </c>
      <c r="I22" s="229">
        <f t="shared" si="1"/>
        <v>-5675.4666666666672</v>
      </c>
      <c r="J22" s="228">
        <f>+IFERROR(HLOOKUP($A$1,[14]손익!$G$5:$AB$252,13,),)</f>
        <v>1033.0666666666666</v>
      </c>
      <c r="K22" s="385">
        <f>+'[9]서부산크라샤(당월)'!$I$61</f>
        <v>0</v>
      </c>
      <c r="L22" s="227">
        <f t="shared" si="2"/>
        <v>-1033.0666666666666</v>
      </c>
      <c r="M22" s="228"/>
      <c r="N22" s="385"/>
      <c r="O22" s="227">
        <f t="shared" si="3"/>
        <v>0</v>
      </c>
      <c r="P22" s="414">
        <f t="shared" si="11"/>
        <v>15258.533333333333</v>
      </c>
      <c r="Q22" s="385">
        <f t="shared" si="12"/>
        <v>8550</v>
      </c>
      <c r="R22" s="415">
        <f t="shared" si="4"/>
        <v>-6708.5333333333328</v>
      </c>
      <c r="S22" s="226">
        <f>+IFERROR(HLOOKUP($A$1,[15]손익!$G$5:$AB$252,4,),)</f>
        <v>0</v>
      </c>
      <c r="T22" s="385">
        <f>+'[9]부산크라샤(당월)'!$F$61</f>
        <v>3600</v>
      </c>
      <c r="U22" s="229">
        <f t="shared" si="5"/>
        <v>3600</v>
      </c>
      <c r="V22" s="228">
        <f>+IFERROR(HLOOKUP($A$1,[15]손익!$G$5:$AB$252,13,),)</f>
        <v>2399.883870967742</v>
      </c>
      <c r="W22" s="385">
        <f>+'[9]부산크라샤(당월)'!$I$61</f>
        <v>5360</v>
      </c>
      <c r="X22" s="227">
        <f t="shared" si="6"/>
        <v>2960.116129032258</v>
      </c>
      <c r="Y22" s="228"/>
      <c r="Z22" s="385">
        <f>+'[9]부산크라샤(당월)'!$L$61</f>
        <v>0</v>
      </c>
      <c r="AA22" s="227">
        <f t="shared" si="7"/>
        <v>0</v>
      </c>
      <c r="AB22" s="414">
        <f t="shared" si="13"/>
        <v>2399.883870967742</v>
      </c>
      <c r="AC22" s="385">
        <f t="shared" si="14"/>
        <v>8960</v>
      </c>
      <c r="AD22" s="415">
        <f t="shared" si="8"/>
        <v>6560.116129032258</v>
      </c>
      <c r="AE22" s="227">
        <f>+IFERROR(HLOOKUP($A$1,[16]이송계획!$G$193:$U$216,17,),)</f>
        <v>5445.8181818181811</v>
      </c>
      <c r="AF22" s="385">
        <f>+'[9]부산모래장(당월)'!$R$65</f>
        <v>2240</v>
      </c>
      <c r="AG22" s="227">
        <f t="shared" si="9"/>
        <v>-3205.8181818181811</v>
      </c>
      <c r="AH22" s="414">
        <f t="shared" si="15"/>
        <v>23104.235386119257</v>
      </c>
      <c r="AI22" s="385">
        <f t="shared" si="15"/>
        <v>19750</v>
      </c>
      <c r="AJ22" s="415">
        <f t="shared" si="10"/>
        <v>-3354.2353861192569</v>
      </c>
      <c r="AL22" s="99">
        <f>+AH20-AL20</f>
        <v>0</v>
      </c>
      <c r="AM22" s="99">
        <f>+AI20-AM20</f>
        <v>0</v>
      </c>
    </row>
    <row r="23" spans="4:39" ht="24" customHeight="1">
      <c r="D23" s="76"/>
      <c r="E23" s="166"/>
      <c r="F23" s="221" t="s">
        <v>27</v>
      </c>
      <c r="G23" s="226">
        <f>+IFERROR(HLOOKUP($A$1,[14]손익!$G$5:$AB$252,5,),)</f>
        <v>1217.3333333333333</v>
      </c>
      <c r="H23" s="385">
        <f>+'[9]서부산크라샤(당월)'!$F$62</f>
        <v>0</v>
      </c>
      <c r="I23" s="229">
        <f t="shared" si="1"/>
        <v>-1217.3333333333333</v>
      </c>
      <c r="J23" s="228">
        <f>+IFERROR(HLOOKUP($A$1,[14]손익!$G$5:$AB$252,14,),)</f>
        <v>0</v>
      </c>
      <c r="K23" s="385">
        <f>+'[9]서부산크라샤(당월)'!$I$62</f>
        <v>0</v>
      </c>
      <c r="L23" s="227">
        <f t="shared" si="2"/>
        <v>0</v>
      </c>
      <c r="M23" s="228"/>
      <c r="N23" s="385"/>
      <c r="O23" s="227">
        <f t="shared" si="3"/>
        <v>0</v>
      </c>
      <c r="P23" s="414">
        <f t="shared" si="11"/>
        <v>1217.3333333333333</v>
      </c>
      <c r="Q23" s="385">
        <f t="shared" si="12"/>
        <v>0</v>
      </c>
      <c r="R23" s="415">
        <f t="shared" si="4"/>
        <v>-1217.3333333333333</v>
      </c>
      <c r="S23" s="226">
        <f>+IFERROR(HLOOKUP($A$1,[15]손익!$G$5:$AB$252,5,),)</f>
        <v>0</v>
      </c>
      <c r="T23" s="385">
        <f>+'[9]부산크라샤(당월)'!$F$62</f>
        <v>0</v>
      </c>
      <c r="U23" s="229">
        <f t="shared" si="5"/>
        <v>0</v>
      </c>
      <c r="V23" s="228">
        <f>+IFERROR(HLOOKUP($A$1,[15]손익!$G$5:$AB$252,14,),)</f>
        <v>0</v>
      </c>
      <c r="W23" s="385">
        <f>+'[9]부산크라샤(당월)'!$I$62</f>
        <v>0</v>
      </c>
      <c r="X23" s="227">
        <f t="shared" si="6"/>
        <v>0</v>
      </c>
      <c r="Y23" s="228"/>
      <c r="Z23" s="385">
        <f>+'[9]부산크라샤(당월)'!$L$62</f>
        <v>0</v>
      </c>
      <c r="AA23" s="227">
        <f t="shared" si="7"/>
        <v>0</v>
      </c>
      <c r="AB23" s="414">
        <f t="shared" si="13"/>
        <v>0</v>
      </c>
      <c r="AC23" s="385">
        <f t="shared" si="14"/>
        <v>0</v>
      </c>
      <c r="AD23" s="415">
        <f t="shared" si="8"/>
        <v>0</v>
      </c>
      <c r="AE23" s="227">
        <f>+IFERROR(HLOOKUP($A$1,[16]이송계획!$G$193:$U$216,18,),)</f>
        <v>2923.0769230769229</v>
      </c>
      <c r="AF23" s="385">
        <f>+'[9]부산모래장(당월)'!$V$64</f>
        <v>0</v>
      </c>
      <c r="AG23" s="227">
        <f t="shared" si="9"/>
        <v>-2923.0769230769229</v>
      </c>
      <c r="AH23" s="414">
        <f t="shared" si="15"/>
        <v>4140.4102564102559</v>
      </c>
      <c r="AI23" s="385">
        <f t="shared" si="15"/>
        <v>0</v>
      </c>
      <c r="AJ23" s="415">
        <f t="shared" si="10"/>
        <v>-4140.4102564102559</v>
      </c>
    </row>
    <row r="24" spans="4:39" ht="24" customHeight="1">
      <c r="D24" s="76"/>
      <c r="E24" s="166"/>
      <c r="F24" s="221" t="s">
        <v>28</v>
      </c>
      <c r="G24" s="226">
        <f>+IFERROR(HLOOKUP($A$1,[14]손익!$G$5:$AB$252,6,),)</f>
        <v>0</v>
      </c>
      <c r="H24" s="385">
        <f>+'[9]서부산크라샤(당월)'!$F$63</f>
        <v>0</v>
      </c>
      <c r="I24" s="229">
        <f t="shared" si="1"/>
        <v>0</v>
      </c>
      <c r="J24" s="228">
        <f>+IFERROR(HLOOKUP($A$1,[14]손익!$G$5:$AB$252,15,),)</f>
        <v>0</v>
      </c>
      <c r="K24" s="385">
        <f>+'[9]서부산크라샤(당월)'!$I$63</f>
        <v>0</v>
      </c>
      <c r="L24" s="227">
        <f t="shared" si="2"/>
        <v>0</v>
      </c>
      <c r="M24" s="228"/>
      <c r="N24" s="385"/>
      <c r="O24" s="227">
        <f t="shared" si="3"/>
        <v>0</v>
      </c>
      <c r="P24" s="414">
        <f t="shared" si="11"/>
        <v>0</v>
      </c>
      <c r="Q24" s="385">
        <f t="shared" si="12"/>
        <v>0</v>
      </c>
      <c r="R24" s="415">
        <f t="shared" si="4"/>
        <v>0</v>
      </c>
      <c r="S24" s="226">
        <f>+IFERROR(HLOOKUP($A$1,[15]손익!$G$5:$AB$252,6,),)</f>
        <v>0</v>
      </c>
      <c r="T24" s="385">
        <f>+'[9]부산크라샤(당월)'!$F$63</f>
        <v>0</v>
      </c>
      <c r="U24" s="229">
        <f t="shared" si="5"/>
        <v>0</v>
      </c>
      <c r="V24" s="228">
        <f>+IFERROR(HLOOKUP($A$1,[15]손익!$G$5:$AB$252,15,),)</f>
        <v>0</v>
      </c>
      <c r="W24" s="385">
        <f>+'[9]부산크라샤(당월)'!$I$63</f>
        <v>496</v>
      </c>
      <c r="X24" s="227">
        <f t="shared" si="6"/>
        <v>496</v>
      </c>
      <c r="Y24" s="228"/>
      <c r="Z24" s="385">
        <f>+'[9]부산크라샤(당월)'!$L$63</f>
        <v>0</v>
      </c>
      <c r="AA24" s="227">
        <f t="shared" si="7"/>
        <v>0</v>
      </c>
      <c r="AB24" s="414">
        <f t="shared" si="13"/>
        <v>0</v>
      </c>
      <c r="AC24" s="385">
        <f t="shared" si="14"/>
        <v>496</v>
      </c>
      <c r="AD24" s="415">
        <f t="shared" si="8"/>
        <v>496</v>
      </c>
      <c r="AE24" s="227">
        <f>+IFERROR(HLOOKUP($A$1,[16]이송계획!$G$193:$U$216,19,),)</f>
        <v>3937.3426573426573</v>
      </c>
      <c r="AF24" s="385">
        <f>+'[9]부산모래장(당월)'!$V$65</f>
        <v>0</v>
      </c>
      <c r="AG24" s="227">
        <f t="shared" si="9"/>
        <v>-3937.3426573426573</v>
      </c>
      <c r="AH24" s="414">
        <f t="shared" si="15"/>
        <v>3937.3426573426573</v>
      </c>
      <c r="AI24" s="385">
        <f t="shared" si="15"/>
        <v>496</v>
      </c>
      <c r="AJ24" s="415">
        <f t="shared" si="10"/>
        <v>-3441.3426573426573</v>
      </c>
    </row>
    <row r="25" spans="4:39" ht="24" customHeight="1">
      <c r="D25" s="76"/>
      <c r="E25" s="166"/>
      <c r="F25" s="221" t="s">
        <v>29</v>
      </c>
      <c r="G25" s="226">
        <f>+IFERROR(HLOOKUP($A$1,[14]손익!$G$5:$AB$252,7,),)</f>
        <v>0</v>
      </c>
      <c r="H25" s="385">
        <f>+'[9]서부산크라샤(당월)'!$F$64</f>
        <v>0</v>
      </c>
      <c r="I25" s="229">
        <f t="shared" si="1"/>
        <v>0</v>
      </c>
      <c r="J25" s="228">
        <f>+IFERROR(HLOOKUP($A$1,[14]손익!$G$5:$AB$252,16,),)</f>
        <v>426.23082666666664</v>
      </c>
      <c r="K25" s="385">
        <f>+'[9]서부산크라샤(당월)'!$I$64</f>
        <v>0</v>
      </c>
      <c r="L25" s="227">
        <f t="shared" si="2"/>
        <v>-426.23082666666664</v>
      </c>
      <c r="M25" s="228"/>
      <c r="N25" s="385"/>
      <c r="O25" s="227">
        <f t="shared" si="3"/>
        <v>0</v>
      </c>
      <c r="P25" s="414">
        <f t="shared" si="11"/>
        <v>426.23082666666664</v>
      </c>
      <c r="Q25" s="385">
        <f t="shared" si="12"/>
        <v>0</v>
      </c>
      <c r="R25" s="415">
        <f t="shared" si="4"/>
        <v>-426.23082666666664</v>
      </c>
      <c r="S25" s="226">
        <f>+IFERROR(HLOOKUP($A$1,[15]손익!$G$5:$AB$252,7,),)</f>
        <v>0</v>
      </c>
      <c r="T25" s="385">
        <f>+'[9]부산크라샤(당월)'!$F$64</f>
        <v>0</v>
      </c>
      <c r="U25" s="229">
        <f t="shared" si="5"/>
        <v>0</v>
      </c>
      <c r="V25" s="228">
        <f>+IFERROR(HLOOKUP($A$1,[15]손익!$G$5:$AB$252,16,),)</f>
        <v>0</v>
      </c>
      <c r="W25" s="385">
        <f>+'[9]부산크라샤(당월)'!$I$64</f>
        <v>0</v>
      </c>
      <c r="X25" s="227">
        <f t="shared" si="6"/>
        <v>0</v>
      </c>
      <c r="Y25" s="228"/>
      <c r="Z25" s="385">
        <f>+'[9]부산크라샤(당월)'!$L$64</f>
        <v>0</v>
      </c>
      <c r="AA25" s="227">
        <f t="shared" si="7"/>
        <v>0</v>
      </c>
      <c r="AB25" s="414">
        <f t="shared" si="13"/>
        <v>0</v>
      </c>
      <c r="AC25" s="385">
        <f t="shared" si="14"/>
        <v>0</v>
      </c>
      <c r="AD25" s="415">
        <f t="shared" si="8"/>
        <v>0</v>
      </c>
      <c r="AE25" s="227">
        <f>+IFERROR(HLOOKUP($A$1,[16]이송계획!$G$193:$U$216,20,),)</f>
        <v>1215.3076923076924</v>
      </c>
      <c r="AF25" s="385">
        <f>+'[9]부산모래장(당월)'!$R$66</f>
        <v>1232</v>
      </c>
      <c r="AG25" s="227">
        <f t="shared" si="9"/>
        <v>16.692307692307622</v>
      </c>
      <c r="AH25" s="414">
        <f t="shared" si="15"/>
        <v>1641.538518974359</v>
      </c>
      <c r="AI25" s="385">
        <f t="shared" si="15"/>
        <v>1232</v>
      </c>
      <c r="AJ25" s="415">
        <f t="shared" si="10"/>
        <v>-409.53851897435902</v>
      </c>
    </row>
    <row r="26" spans="4:39" ht="24" customHeight="1">
      <c r="D26" s="76"/>
      <c r="E26" s="166"/>
      <c r="F26" s="221" t="s">
        <v>30</v>
      </c>
      <c r="G26" s="226">
        <f>+IFERROR(HLOOKUP($A$1,[14]손익!$G$5:$AB$252,8,),)</f>
        <v>892.8</v>
      </c>
      <c r="H26" s="385">
        <f>+'[9]서부산크라샤(당월)'!$F$65</f>
        <v>0</v>
      </c>
      <c r="I26" s="229">
        <f t="shared" si="1"/>
        <v>-892.8</v>
      </c>
      <c r="J26" s="228">
        <f>+IFERROR(HLOOKUP($A$1,[14]손익!$G$5:$AB$252,17,),)</f>
        <v>516.26666666666665</v>
      </c>
      <c r="K26" s="385">
        <f>+'[9]서부산크라샤(당월)'!$I$65</f>
        <v>0</v>
      </c>
      <c r="L26" s="227">
        <f t="shared" si="2"/>
        <v>-516.26666666666665</v>
      </c>
      <c r="M26" s="228"/>
      <c r="N26" s="385"/>
      <c r="O26" s="227">
        <f t="shared" si="3"/>
        <v>0</v>
      </c>
      <c r="P26" s="414">
        <f t="shared" si="11"/>
        <v>1409.0666666666666</v>
      </c>
      <c r="Q26" s="383">
        <f t="shared" si="12"/>
        <v>0</v>
      </c>
      <c r="R26" s="433">
        <f t="shared" si="4"/>
        <v>-1409.0666666666666</v>
      </c>
      <c r="S26" s="226">
        <f>+IFERROR(HLOOKUP($A$1,[15]손익!$G$5:$AB$252,8,),)</f>
        <v>0</v>
      </c>
      <c r="T26" s="385">
        <f>+'[9]부산크라샤(당월)'!$F$65</f>
        <v>0</v>
      </c>
      <c r="U26" s="229">
        <f t="shared" si="5"/>
        <v>0</v>
      </c>
      <c r="V26" s="228">
        <f>+IFERROR(HLOOKUP($A$1,[15]손익!$G$5:$AB$252,17,),)</f>
        <v>0</v>
      </c>
      <c r="W26" s="385">
        <f>+'[9]부산크라샤(당월)'!$I$65</f>
        <v>0</v>
      </c>
      <c r="X26" s="227">
        <f t="shared" si="6"/>
        <v>0</v>
      </c>
      <c r="Y26" s="228"/>
      <c r="Z26" s="385">
        <f>+'[9]부산크라샤(당월)'!$L$65</f>
        <v>0</v>
      </c>
      <c r="AA26" s="227">
        <f t="shared" si="7"/>
        <v>0</v>
      </c>
      <c r="AB26" s="414">
        <f t="shared" si="13"/>
        <v>0</v>
      </c>
      <c r="AC26" s="383">
        <f t="shared" si="14"/>
        <v>0</v>
      </c>
      <c r="AD26" s="433">
        <f t="shared" si="8"/>
        <v>0</v>
      </c>
      <c r="AE26" s="227">
        <f>+IFERROR(HLOOKUP($A$1,[16]이송계획!$G$193:$U$216,21,),)</f>
        <v>0</v>
      </c>
      <c r="AF26" s="385"/>
      <c r="AG26" s="227">
        <f t="shared" si="9"/>
        <v>0</v>
      </c>
      <c r="AH26" s="414">
        <f t="shared" si="15"/>
        <v>1409.0666666666666</v>
      </c>
      <c r="AI26" s="383">
        <f t="shared" si="15"/>
        <v>0</v>
      </c>
      <c r="AJ26" s="415">
        <f t="shared" si="10"/>
        <v>-1409.0666666666666</v>
      </c>
    </row>
    <row r="27" spans="4:39" ht="24" customHeight="1">
      <c r="D27" s="76"/>
      <c r="E27" s="225" t="s">
        <v>132</v>
      </c>
      <c r="F27" s="224" t="s">
        <v>25</v>
      </c>
      <c r="G27" s="192">
        <f>+IFERROR(HLOOKUP($A$1,[14]손익!$G$5:$AB$252,31,),)</f>
        <v>0</v>
      </c>
      <c r="H27" s="386">
        <f t="shared" ref="H27:H32" si="16">IFERROR(H35/H21,)*1000</f>
        <v>0</v>
      </c>
      <c r="I27" s="193">
        <f t="shared" si="1"/>
        <v>0</v>
      </c>
      <c r="J27" s="223">
        <f>+IFERROR(HLOOKUP($A$1,[14]손익!$G$5:$AB$252,40,),)</f>
        <v>0</v>
      </c>
      <c r="K27" s="386">
        <f t="shared" ref="K27:K32" si="17">IFERROR(K35/K21,)*1000</f>
        <v>0</v>
      </c>
      <c r="L27" s="205">
        <f t="shared" si="2"/>
        <v>0</v>
      </c>
      <c r="M27" s="223"/>
      <c r="N27" s="386"/>
      <c r="O27" s="205">
        <f t="shared" si="3"/>
        <v>0</v>
      </c>
      <c r="P27" s="428">
        <f>+IFERROR(HLOOKUP($A$1,[14]손익!$G$5:$AB$252,48,),)</f>
        <v>9000</v>
      </c>
      <c r="Q27" s="424">
        <f t="shared" ref="Q27:Q32" si="18">IFERROR(Q35/Q21,)*1000</f>
        <v>0</v>
      </c>
      <c r="R27" s="434">
        <f t="shared" si="4"/>
        <v>-9000</v>
      </c>
      <c r="S27" s="192">
        <f>+IFERROR(HLOOKUP($A$1,[15]손익!$G$5:$AB$252,30,),)</f>
        <v>16000</v>
      </c>
      <c r="T27" s="386">
        <f t="shared" ref="T27:T32" si="19">IFERROR(T35/T21,)*1000</f>
        <v>17500</v>
      </c>
      <c r="U27" s="193">
        <f t="shared" si="5"/>
        <v>1500</v>
      </c>
      <c r="V27" s="223">
        <f>+IFERROR(HLOOKUP($A$1,[15]손익!$G$5:$AB$252,39,),)</f>
        <v>23000</v>
      </c>
      <c r="W27" s="386">
        <f t="shared" ref="W27:W32" si="20">IFERROR(W35/W21,)*1000</f>
        <v>23500</v>
      </c>
      <c r="X27" s="205">
        <f t="shared" si="6"/>
        <v>500</v>
      </c>
      <c r="Y27" s="223"/>
      <c r="Z27" s="386">
        <f t="shared" ref="Z27" si="21">IFERROR(Z35/Z21,)*1000</f>
        <v>0</v>
      </c>
      <c r="AA27" s="205">
        <f t="shared" si="7"/>
        <v>0</v>
      </c>
      <c r="AB27" s="428">
        <f t="shared" si="13"/>
        <v>39000</v>
      </c>
      <c r="AC27" s="424">
        <f t="shared" si="14"/>
        <v>41000</v>
      </c>
      <c r="AD27" s="434">
        <f t="shared" si="8"/>
        <v>2000</v>
      </c>
      <c r="AE27" s="205">
        <f t="shared" ref="AE27:AF32" si="22">IFERROR(AE35/AE21,)*1000</f>
        <v>30500.000000000004</v>
      </c>
      <c r="AF27" s="386">
        <f t="shared" si="22"/>
        <v>32000</v>
      </c>
      <c r="AG27" s="205">
        <f t="shared" si="9"/>
        <v>1499.9999999999964</v>
      </c>
      <c r="AH27" s="416">
        <f t="shared" ref="AH27:AH32" si="23">+AH35/AH21*1000</f>
        <v>21066.792794612727</v>
      </c>
      <c r="AI27" s="386">
        <f t="shared" ref="AI27:AI32" si="24">IFERROR(AI35/AI21,)*1000</f>
        <v>22512.43093922652</v>
      </c>
      <c r="AJ27" s="417">
        <f t="shared" si="10"/>
        <v>1445.638144613793</v>
      </c>
    </row>
    <row r="28" spans="4:39" ht="24" customHeight="1">
      <c r="D28" s="76"/>
      <c r="E28" s="166" t="s">
        <v>131</v>
      </c>
      <c r="F28" s="221" t="s">
        <v>26</v>
      </c>
      <c r="G28" s="190">
        <f>+IFERROR(HLOOKUP($A$1,[14]손익!$G$5:$AB$252,32,),)</f>
        <v>16000</v>
      </c>
      <c r="H28" s="95">
        <f t="shared" si="16"/>
        <v>17000</v>
      </c>
      <c r="I28" s="191">
        <f t="shared" si="1"/>
        <v>1000</v>
      </c>
      <c r="J28" s="220">
        <f>+IFERROR(HLOOKUP($A$1,[14]손익!$G$5:$AB$252,41,),)</f>
        <v>22000</v>
      </c>
      <c r="K28" s="95">
        <f t="shared" si="17"/>
        <v>0</v>
      </c>
      <c r="L28" s="196">
        <f t="shared" si="2"/>
        <v>-22000</v>
      </c>
      <c r="M28" s="220"/>
      <c r="N28" s="95"/>
      <c r="O28" s="196">
        <f t="shared" si="3"/>
        <v>0</v>
      </c>
      <c r="P28" s="429">
        <f>+IFERROR(HLOOKUP($A$1,[14]손익!$G$5:$AB$252,49,),)</f>
        <v>10555.727554179568</v>
      </c>
      <c r="Q28" s="425">
        <f t="shared" si="18"/>
        <v>17000</v>
      </c>
      <c r="R28" s="435">
        <f t="shared" si="4"/>
        <v>6444.272445820432</v>
      </c>
      <c r="S28" s="190">
        <f>+IFERROR(HLOOKUP($A$1,[15]손익!$G$5:$AB$252,31,),)</f>
        <v>0</v>
      </c>
      <c r="T28" s="95">
        <f t="shared" si="19"/>
        <v>12000</v>
      </c>
      <c r="U28" s="191">
        <f t="shared" si="5"/>
        <v>12000</v>
      </c>
      <c r="V28" s="220">
        <f>+IFERROR(HLOOKUP($A$1,[15]손익!$G$5:$AB$252,40,),)</f>
        <v>19000</v>
      </c>
      <c r="W28" s="95">
        <f t="shared" si="20"/>
        <v>20000</v>
      </c>
      <c r="X28" s="196">
        <f t="shared" si="6"/>
        <v>1000</v>
      </c>
      <c r="Y28" s="220"/>
      <c r="Z28" s="95">
        <f t="shared" ref="Z28" si="25">IFERROR(Z36/Z22,)*1000</f>
        <v>0</v>
      </c>
      <c r="AA28" s="196">
        <f t="shared" si="7"/>
        <v>0</v>
      </c>
      <c r="AB28" s="429">
        <f t="shared" si="13"/>
        <v>19000</v>
      </c>
      <c r="AC28" s="425">
        <f t="shared" si="14"/>
        <v>32000</v>
      </c>
      <c r="AD28" s="435">
        <f t="shared" si="8"/>
        <v>13000</v>
      </c>
      <c r="AE28" s="196">
        <f t="shared" si="22"/>
        <v>27999.999999999996</v>
      </c>
      <c r="AF28" s="95">
        <f t="shared" si="22"/>
        <v>28000</v>
      </c>
      <c r="AG28" s="196">
        <f t="shared" si="9"/>
        <v>0</v>
      </c>
      <c r="AH28" s="418">
        <f t="shared" si="23"/>
        <v>19408.373766916873</v>
      </c>
      <c r="AI28" s="95">
        <f t="shared" si="24"/>
        <v>18150.379746835446</v>
      </c>
      <c r="AJ28" s="419">
        <f t="shared" si="10"/>
        <v>-1257.9940200814272</v>
      </c>
    </row>
    <row r="29" spans="4:39" ht="24" customHeight="1">
      <c r="D29" s="76"/>
      <c r="E29" s="166"/>
      <c r="F29" s="221" t="s">
        <v>27</v>
      </c>
      <c r="G29" s="190">
        <f>+IFERROR(HLOOKUP($A$1,[14]손익!$G$5:$AB$252,33,),)</f>
        <v>10000</v>
      </c>
      <c r="H29" s="95">
        <f t="shared" si="16"/>
        <v>0</v>
      </c>
      <c r="I29" s="191">
        <f t="shared" si="1"/>
        <v>-10000</v>
      </c>
      <c r="J29" s="220">
        <f>+IFERROR(HLOOKUP($A$1,[14]손익!$G$5:$AB$252,42,),)</f>
        <v>0</v>
      </c>
      <c r="K29" s="95">
        <f t="shared" si="17"/>
        <v>0</v>
      </c>
      <c r="L29" s="196">
        <f t="shared" si="2"/>
        <v>0</v>
      </c>
      <c r="M29" s="220"/>
      <c r="N29" s="95"/>
      <c r="O29" s="196">
        <f t="shared" si="3"/>
        <v>0</v>
      </c>
      <c r="P29" s="430">
        <f>+IFERROR(HLOOKUP($A$1,[14]손익!$G$5:$AB$252,50,),)</f>
        <v>0</v>
      </c>
      <c r="Q29" s="426">
        <f t="shared" si="18"/>
        <v>0</v>
      </c>
      <c r="R29" s="435">
        <f t="shared" si="4"/>
        <v>0</v>
      </c>
      <c r="S29" s="190">
        <f>+IFERROR(HLOOKUP($A$1,[15]손익!$G$5:$AB$252,32,),)</f>
        <v>0</v>
      </c>
      <c r="T29" s="95">
        <f t="shared" si="19"/>
        <v>0</v>
      </c>
      <c r="U29" s="191">
        <f t="shared" si="5"/>
        <v>0</v>
      </c>
      <c r="V29" s="220">
        <f>+IFERROR(HLOOKUP($A$1,[15]손익!$G$5:$AB$252,41,),)</f>
        <v>0</v>
      </c>
      <c r="W29" s="95">
        <f t="shared" si="20"/>
        <v>0</v>
      </c>
      <c r="X29" s="196">
        <f t="shared" si="6"/>
        <v>0</v>
      </c>
      <c r="Y29" s="220"/>
      <c r="Z29" s="95">
        <f t="shared" ref="Z29" si="26">IFERROR(Z37/Z23,)*1000</f>
        <v>0</v>
      </c>
      <c r="AA29" s="196">
        <f t="shared" si="7"/>
        <v>0</v>
      </c>
      <c r="AB29" s="430">
        <f t="shared" si="13"/>
        <v>0</v>
      </c>
      <c r="AC29" s="426">
        <f t="shared" si="14"/>
        <v>0</v>
      </c>
      <c r="AD29" s="435">
        <f t="shared" si="8"/>
        <v>0</v>
      </c>
      <c r="AE29" s="196">
        <f t="shared" si="22"/>
        <v>27500</v>
      </c>
      <c r="AF29" s="95">
        <f t="shared" si="22"/>
        <v>0</v>
      </c>
      <c r="AG29" s="196">
        <f t="shared" si="9"/>
        <v>-27500</v>
      </c>
      <c r="AH29" s="418">
        <f t="shared" si="23"/>
        <v>22354.777180509795</v>
      </c>
      <c r="AI29" s="95">
        <f t="shared" si="24"/>
        <v>0</v>
      </c>
      <c r="AJ29" s="419">
        <f t="shared" si="10"/>
        <v>-22354.777180509795</v>
      </c>
    </row>
    <row r="30" spans="4:39" ht="24" customHeight="1">
      <c r="D30" s="76"/>
      <c r="E30" s="166"/>
      <c r="F30" s="221" t="s">
        <v>28</v>
      </c>
      <c r="G30" s="190">
        <f>+IFERROR(HLOOKUP($A$1,[14]손익!$G$5:$AB$252,34,),)</f>
        <v>0</v>
      </c>
      <c r="H30" s="95">
        <f t="shared" si="16"/>
        <v>0</v>
      </c>
      <c r="I30" s="191">
        <f t="shared" si="1"/>
        <v>0</v>
      </c>
      <c r="J30" s="220">
        <f>+IFERROR(HLOOKUP($A$1,[14]손익!$G$5:$AB$252,43,),)</f>
        <v>0</v>
      </c>
      <c r="K30" s="95">
        <f t="shared" si="17"/>
        <v>0</v>
      </c>
      <c r="L30" s="196">
        <f t="shared" si="2"/>
        <v>0</v>
      </c>
      <c r="M30" s="220"/>
      <c r="N30" s="95"/>
      <c r="O30" s="196">
        <f t="shared" si="3"/>
        <v>0</v>
      </c>
      <c r="P30" s="430">
        <f>+IFERROR(HLOOKUP($A$1,[14]손익!$G$5:$AB$252,51,),)</f>
        <v>16406.225150516872</v>
      </c>
      <c r="Q30" s="55">
        <f t="shared" si="18"/>
        <v>0</v>
      </c>
      <c r="R30" s="436">
        <f t="shared" si="4"/>
        <v>-16406.225150516872</v>
      </c>
      <c r="S30" s="190">
        <f>+IFERROR(HLOOKUP($A$1,[15]손익!$G$5:$AB$252,33,),)</f>
        <v>0</v>
      </c>
      <c r="T30" s="95">
        <f t="shared" si="19"/>
        <v>0</v>
      </c>
      <c r="U30" s="191">
        <f t="shared" si="5"/>
        <v>0</v>
      </c>
      <c r="V30" s="220">
        <f>+IFERROR(HLOOKUP($A$1,[15]손익!$G$5:$AB$252,42,),)</f>
        <v>0</v>
      </c>
      <c r="W30" s="95">
        <f t="shared" si="20"/>
        <v>19000</v>
      </c>
      <c r="X30" s="196">
        <f t="shared" si="6"/>
        <v>19000</v>
      </c>
      <c r="Y30" s="220"/>
      <c r="Z30" s="95">
        <f t="shared" ref="Z30" si="27">IFERROR(Z38/Z24,)*1000</f>
        <v>0</v>
      </c>
      <c r="AA30" s="196">
        <f t="shared" si="7"/>
        <v>0</v>
      </c>
      <c r="AB30" s="430">
        <f t="shared" si="13"/>
        <v>0</v>
      </c>
      <c r="AC30" s="55">
        <f t="shared" si="14"/>
        <v>19000</v>
      </c>
      <c r="AD30" s="436">
        <f t="shared" si="8"/>
        <v>19000</v>
      </c>
      <c r="AE30" s="196">
        <f t="shared" si="22"/>
        <v>27500</v>
      </c>
      <c r="AF30" s="95">
        <f t="shared" si="22"/>
        <v>0</v>
      </c>
      <c r="AG30" s="196">
        <f t="shared" si="9"/>
        <v>-27500</v>
      </c>
      <c r="AH30" s="418">
        <f t="shared" si="23"/>
        <v>27500</v>
      </c>
      <c r="AI30" s="95">
        <f t="shared" si="24"/>
        <v>229241.93548387097</v>
      </c>
      <c r="AJ30" s="419">
        <f t="shared" si="10"/>
        <v>201741.93548387097</v>
      </c>
    </row>
    <row r="31" spans="4:39" ht="24" customHeight="1">
      <c r="D31" s="76"/>
      <c r="E31" s="166"/>
      <c r="F31" s="221" t="s">
        <v>29</v>
      </c>
      <c r="G31" s="190">
        <f>+IFERROR(HLOOKUP($A$1,[14]손익!$G$5:$AB$252,35,),)</f>
        <v>0</v>
      </c>
      <c r="H31" s="95">
        <f t="shared" si="16"/>
        <v>0</v>
      </c>
      <c r="I31" s="191">
        <f t="shared" si="1"/>
        <v>0</v>
      </c>
      <c r="J31" s="220">
        <f>+IFERROR(HLOOKUP($A$1,[14]손익!$G$5:$AB$252,44,),)</f>
        <v>15000</v>
      </c>
      <c r="K31" s="95">
        <f t="shared" si="17"/>
        <v>0</v>
      </c>
      <c r="L31" s="196">
        <f t="shared" si="2"/>
        <v>-15000</v>
      </c>
      <c r="M31" s="220"/>
      <c r="N31" s="95"/>
      <c r="O31" s="196">
        <f t="shared" si="3"/>
        <v>0</v>
      </c>
      <c r="P31" s="430">
        <f>+IFERROR(HLOOKUP($A$1,[14]손익!$G$5:$AB$252,52,),)</f>
        <v>10000</v>
      </c>
      <c r="Q31" s="55">
        <f t="shared" si="18"/>
        <v>0</v>
      </c>
      <c r="R31" s="436">
        <f t="shared" si="4"/>
        <v>-10000</v>
      </c>
      <c r="S31" s="190">
        <f>+IFERROR(HLOOKUP($A$1,[15]손익!$G$5:$AB$252,34,),)</f>
        <v>0</v>
      </c>
      <c r="T31" s="95">
        <f t="shared" si="19"/>
        <v>0</v>
      </c>
      <c r="U31" s="191">
        <f t="shared" si="5"/>
        <v>0</v>
      </c>
      <c r="V31" s="220">
        <f>+IFERROR(HLOOKUP($A$1,[15]손익!$G$5:$AB$252,43,),)</f>
        <v>0</v>
      </c>
      <c r="W31" s="95">
        <f t="shared" si="20"/>
        <v>0</v>
      </c>
      <c r="X31" s="196">
        <f t="shared" si="6"/>
        <v>0</v>
      </c>
      <c r="Y31" s="220"/>
      <c r="Z31" s="95">
        <f t="shared" ref="Z31" si="28">IFERROR(Z39/Z25,)*1000</f>
        <v>0</v>
      </c>
      <c r="AA31" s="196">
        <f t="shared" si="7"/>
        <v>0</v>
      </c>
      <c r="AB31" s="430">
        <f t="shared" si="13"/>
        <v>0</v>
      </c>
      <c r="AC31" s="55">
        <f t="shared" si="14"/>
        <v>0</v>
      </c>
      <c r="AD31" s="436">
        <f t="shared" si="8"/>
        <v>0</v>
      </c>
      <c r="AE31" s="196">
        <f t="shared" si="22"/>
        <v>27500</v>
      </c>
      <c r="AF31" s="95">
        <f t="shared" si="22"/>
        <v>0</v>
      </c>
      <c r="AG31" s="196">
        <f t="shared" si="9"/>
        <v>-27500</v>
      </c>
      <c r="AH31" s="418">
        <f t="shared" si="23"/>
        <v>24254.334259142317</v>
      </c>
      <c r="AI31" s="95">
        <f t="shared" si="24"/>
        <v>0</v>
      </c>
      <c r="AJ31" s="419">
        <f t="shared" si="10"/>
        <v>-24254.334259142317</v>
      </c>
    </row>
    <row r="32" spans="4:39" ht="24" customHeight="1" thickBot="1">
      <c r="D32" s="76"/>
      <c r="E32" s="218"/>
      <c r="F32" s="217" t="s">
        <v>30</v>
      </c>
      <c r="G32" s="213">
        <f>+IFERROR(HLOOKUP($A$1,[14]손익!$G$5:$AB$252,36,),)</f>
        <v>10000</v>
      </c>
      <c r="H32" s="387">
        <f t="shared" si="16"/>
        <v>0</v>
      </c>
      <c r="I32" s="216">
        <f t="shared" si="1"/>
        <v>-10000</v>
      </c>
      <c r="J32" s="215">
        <f>+IFERROR(HLOOKUP($A$1,[14]손익!$G$5:$AB$252,45,),)</f>
        <v>15000</v>
      </c>
      <c r="K32" s="387">
        <f t="shared" si="17"/>
        <v>0</v>
      </c>
      <c r="L32" s="214">
        <f t="shared" si="2"/>
        <v>-15000</v>
      </c>
      <c r="M32" s="215"/>
      <c r="N32" s="387"/>
      <c r="O32" s="214">
        <f t="shared" si="3"/>
        <v>0</v>
      </c>
      <c r="P32" s="431">
        <f>+IFERROR(HLOOKUP($A$1,[14]손익!$G$5:$AB$252,53,),)</f>
        <v>0</v>
      </c>
      <c r="Q32" s="427">
        <f t="shared" si="18"/>
        <v>0</v>
      </c>
      <c r="R32" s="437">
        <f t="shared" si="4"/>
        <v>0</v>
      </c>
      <c r="S32" s="213">
        <f>+IFERROR(HLOOKUP($A$1,[15]손익!$G$5:$AB$252,35,),)</f>
        <v>0</v>
      </c>
      <c r="T32" s="387">
        <f t="shared" si="19"/>
        <v>0</v>
      </c>
      <c r="U32" s="216">
        <f t="shared" si="5"/>
        <v>0</v>
      </c>
      <c r="V32" s="215">
        <f>+IFERROR(HLOOKUP($A$1,[15]손익!$G$5:$AB$252,44,),)</f>
        <v>0</v>
      </c>
      <c r="W32" s="387">
        <f t="shared" si="20"/>
        <v>0</v>
      </c>
      <c r="X32" s="214">
        <f t="shared" si="6"/>
        <v>0</v>
      </c>
      <c r="Y32" s="215"/>
      <c r="Z32" s="387">
        <f t="shared" ref="Z32" si="29">IFERROR(Z40/Z26,)*1000</f>
        <v>0</v>
      </c>
      <c r="AA32" s="214">
        <f t="shared" si="7"/>
        <v>0</v>
      </c>
      <c r="AB32" s="431">
        <f t="shared" si="13"/>
        <v>0</v>
      </c>
      <c r="AC32" s="427">
        <f t="shared" si="14"/>
        <v>0</v>
      </c>
      <c r="AD32" s="437">
        <f t="shared" si="8"/>
        <v>0</v>
      </c>
      <c r="AE32" s="214">
        <f t="shared" si="22"/>
        <v>0</v>
      </c>
      <c r="AF32" s="387">
        <f t="shared" si="22"/>
        <v>0</v>
      </c>
      <c r="AG32" s="214">
        <f t="shared" si="9"/>
        <v>0</v>
      </c>
      <c r="AH32" s="420">
        <f t="shared" si="23"/>
        <v>11831.945495836488</v>
      </c>
      <c r="AI32" s="421">
        <f t="shared" si="24"/>
        <v>0</v>
      </c>
      <c r="AJ32" s="422">
        <f t="shared" si="10"/>
        <v>-11831.945495836488</v>
      </c>
    </row>
    <row r="33" spans="5:36" ht="21.95" customHeight="1" thickTop="1">
      <c r="E33" s="6" t="s">
        <v>130</v>
      </c>
      <c r="G33" s="211"/>
      <c r="H33" s="211"/>
      <c r="I33" s="211"/>
      <c r="J33" s="76"/>
      <c r="M33" s="76"/>
      <c r="S33" s="211"/>
      <c r="T33" s="211"/>
      <c r="U33" s="211"/>
      <c r="V33" s="76"/>
      <c r="AE33" s="76"/>
      <c r="AH33" s="76"/>
    </row>
    <row r="34" spans="5:36" ht="21.95" customHeight="1">
      <c r="J34" s="76"/>
      <c r="M34" s="76"/>
      <c r="V34" s="76"/>
      <c r="AE34" s="76"/>
      <c r="AF34" s="6" t="s">
        <v>164</v>
      </c>
      <c r="AH34" s="76"/>
    </row>
    <row r="35" spans="5:36" ht="21.95" customHeight="1">
      <c r="E35" s="26" t="s">
        <v>132</v>
      </c>
      <c r="F35" s="432" t="s">
        <v>25</v>
      </c>
      <c r="G35" s="6">
        <f>+IFERROR(HLOOKUP($A$1,[14]손익!$G$5:$AB$252,59,),)</f>
        <v>0</v>
      </c>
      <c r="H35" s="6">
        <f>+IFERROR(VLOOKUP($F35,'[17]서부산(손익)'!$L$16:$R$29,4,),)/1000</f>
        <v>0</v>
      </c>
      <c r="I35" s="6">
        <f t="shared" ref="I35:I41" si="30">+H35-G35</f>
        <v>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0</v>
      </c>
      <c r="R35" s="6">
        <f t="shared" ref="R35:R41" si="31">+Q35-P35</f>
        <v>0</v>
      </c>
      <c r="S35" s="6">
        <f>+IFERROR(HLOOKUP($A$1,[15]손익!$G$5:$AB$252,57,),)</f>
        <v>192074.5546949922</v>
      </c>
      <c r="T35" s="6">
        <f>+IFERROR(VLOOKUP($F35,'[17]부산크라샤(손익)'!$L$16:$R$29,3,),)/1000</f>
        <v>142625</v>
      </c>
      <c r="U35" s="6">
        <f t="shared" ref="U35:U41" si="32">+T35-S35</f>
        <v>-49449.554694992199</v>
      </c>
      <c r="V35" s="76">
        <f>+IFERROR(HLOOKUP($A$1,[15]손익!$G$5:$AB$252,66,),)</f>
        <v>193084.22244416786</v>
      </c>
      <c r="W35" s="6">
        <f>+IFERROR(VLOOKUP($F35,'[17]부산크라샤(손익)'!$L$16:$R$29,4,),)/1000</f>
        <v>148050</v>
      </c>
      <c r="X35" s="6">
        <f>+W35-V35</f>
        <v>-45034.222444167855</v>
      </c>
      <c r="AA35" s="6">
        <f>+Z35-Y35</f>
        <v>0</v>
      </c>
      <c r="AB35" s="6">
        <f>SUM(S35,V35)</f>
        <v>385158.77713916008</v>
      </c>
      <c r="AC35" s="6">
        <f t="shared" ref="AC35:AC41" si="33">SUM(T35,W35)</f>
        <v>290675</v>
      </c>
      <c r="AD35" s="6">
        <f t="shared" ref="AD35:AD41" si="34">+AC35-AB35</f>
        <v>-94483.777139160084</v>
      </c>
      <c r="AE35" s="438">
        <f>+IFERROR(HLOOKUP($A$1,[16]이송계획!$G$70:$W$100,16,),)+IFERROR(HLOOKUP($A$1,[16]이송계획!$G$70:$W$100,23,),)</f>
        <v>144190.1303189816</v>
      </c>
      <c r="AF35" s="6">
        <f>+'[9]부산모래장(당월)'!R76</f>
        <v>116800</v>
      </c>
      <c r="AH35" s="76">
        <f t="shared" ref="AH35:AI41" si="35">+P35+AB35+AE35</f>
        <v>529348.90745814168</v>
      </c>
      <c r="AI35" s="76">
        <f t="shared" si="35"/>
        <v>407475</v>
      </c>
      <c r="AJ35" s="6">
        <f t="shared" ref="AJ35:AJ41" si="36">+AI35-AH35</f>
        <v>-121873.90745814168</v>
      </c>
    </row>
    <row r="36" spans="5:36" ht="21.95" customHeight="1">
      <c r="E36" s="26" t="s">
        <v>77</v>
      </c>
      <c r="F36" s="432" t="s">
        <v>26</v>
      </c>
      <c r="G36" s="6">
        <f>+IFERROR(HLOOKUP($A$1,[14]손익!$G$5:$AB$252,60,),)</f>
        <v>227607.46666666667</v>
      </c>
      <c r="H36" s="6">
        <f>+IFERROR(VLOOKUP($F36,'[17]서부산(손익)'!$L$16:$R$29,4,),)/1000</f>
        <v>145350</v>
      </c>
      <c r="I36" s="6">
        <f t="shared" si="30"/>
        <v>-82257.466666666674</v>
      </c>
      <c r="J36" s="76">
        <f>+IFERROR(HLOOKUP($A$1,[14]손익!$G$5:$AB$252,69,),)</f>
        <v>22727.466666666664</v>
      </c>
      <c r="K36" s="6">
        <f>+IFERROR(VLOOKUP($F36,'[17]서부산(손익)'!$L$16:$R$29,3,),)/1000</f>
        <v>0</v>
      </c>
      <c r="L36" s="6">
        <f t="shared" ref="L36:L41" si="37">+K36-J36</f>
        <v>-22727.466666666664</v>
      </c>
      <c r="M36" s="76"/>
      <c r="O36" s="6">
        <f t="shared" ref="O36:O41" si="38">+N36-M36</f>
        <v>0</v>
      </c>
      <c r="P36" s="6">
        <f t="shared" ref="P36:P41" si="39">SUM(G36,J36,M36)</f>
        <v>250334.93333333335</v>
      </c>
      <c r="Q36" s="6">
        <f t="shared" ref="Q36:Q41" si="40">SUM(H36,K36,N36)</f>
        <v>145350</v>
      </c>
      <c r="R36" s="6">
        <f t="shared" si="31"/>
        <v>-104984.93333333335</v>
      </c>
      <c r="S36" s="6">
        <f>+IFERROR(HLOOKUP($A$1,[15]손익!$G$5:$AB$252,58,),)</f>
        <v>0</v>
      </c>
      <c r="T36" s="6">
        <f>+IFERROR(VLOOKUP($F36,'[17]부산크라샤(손익)'!$L$16:$R$29,3,),)/1000</f>
        <v>43200</v>
      </c>
      <c r="U36" s="6">
        <f t="shared" si="32"/>
        <v>43200</v>
      </c>
      <c r="V36" s="76">
        <f>+IFERROR(HLOOKUP($A$1,[15]손익!$G$5:$AB$252,67,),)</f>
        <v>45597.793548387097</v>
      </c>
      <c r="W36" s="6">
        <f>+IFERROR(VLOOKUP($F36,'[17]부산크라샤(손익)'!$L$16:$R$29,4,),)/1000</f>
        <v>107200</v>
      </c>
      <c r="X36" s="6">
        <f t="shared" ref="X36:X41" si="41">+W36-V36</f>
        <v>61602.206451612903</v>
      </c>
      <c r="AA36" s="6">
        <f t="shared" ref="AA36:AA41" si="42">+Z36-Y36</f>
        <v>0</v>
      </c>
      <c r="AB36" s="6">
        <f t="shared" ref="AB36:AB41" si="43">SUM(S36,V36)</f>
        <v>45597.793548387097</v>
      </c>
      <c r="AC36" s="6">
        <f t="shared" si="33"/>
        <v>150400</v>
      </c>
      <c r="AD36" s="6">
        <f>+AC36-AB36</f>
        <v>104802.2064516129</v>
      </c>
      <c r="AE36" s="438">
        <f>+IFERROR(HLOOKUP($A$1,[16]이송계획!$G$70:$W$100,17,),)+IFERROR(HLOOKUP($A$1,[16]이송계획!$G$70:$W$100,24,),)</f>
        <v>152482.90909090906</v>
      </c>
      <c r="AF36" s="6">
        <f>+'[9]부산모래장(당월)'!R77</f>
        <v>62720</v>
      </c>
      <c r="AH36" s="6">
        <f t="shared" si="35"/>
        <v>448415.63597262953</v>
      </c>
      <c r="AI36" s="6">
        <f t="shared" si="35"/>
        <v>358470</v>
      </c>
      <c r="AJ36" s="6">
        <f t="shared" si="36"/>
        <v>-89945.635972629534</v>
      </c>
    </row>
    <row r="37" spans="5:36" ht="21.95" customHeight="1">
      <c r="F37" s="432" t="s">
        <v>27</v>
      </c>
      <c r="G37" s="6">
        <f>+IFERROR(HLOOKUP($A$1,[14]손익!$G$5:$AB$252,61,),)</f>
        <v>12173.333333333332</v>
      </c>
      <c r="H37" s="6">
        <f>+IFERROR(VLOOKUP($F37,'[17]서부산(손익)'!$L$16:$R$29,4,),)/1000</f>
        <v>0</v>
      </c>
      <c r="I37" s="6">
        <f t="shared" si="30"/>
        <v>-12173.333333333332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7"/>
        <v>0</v>
      </c>
      <c r="M37" s="76"/>
      <c r="O37" s="6">
        <f t="shared" si="38"/>
        <v>0</v>
      </c>
      <c r="P37" s="6">
        <f t="shared" si="39"/>
        <v>12173.333333333332</v>
      </c>
      <c r="Q37" s="6">
        <f t="shared" si="40"/>
        <v>0</v>
      </c>
      <c r="R37" s="6">
        <f t="shared" si="31"/>
        <v>-12173.333333333332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32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41"/>
        <v>0</v>
      </c>
      <c r="AA37" s="6">
        <f t="shared" si="42"/>
        <v>0</v>
      </c>
      <c r="AB37" s="6">
        <f t="shared" si="43"/>
        <v>0</v>
      </c>
      <c r="AC37" s="6">
        <f t="shared" si="33"/>
        <v>0</v>
      </c>
      <c r="AD37" s="6">
        <f t="shared" si="34"/>
        <v>0</v>
      </c>
      <c r="AE37" s="438">
        <f>+IFERROR(HLOOKUP($A$1,[16]이송계획!$G$70:$W$100,18,),)+IFERROR(HLOOKUP($A$1,[16]이송계획!$G$70:$W$100,25,),)</f>
        <v>80384.615384615376</v>
      </c>
      <c r="AF37" s="6">
        <f>+'[9]부산모래장(당월)'!R78</f>
        <v>33880</v>
      </c>
      <c r="AH37" s="6">
        <f t="shared" si="35"/>
        <v>92557.948717948704</v>
      </c>
      <c r="AI37" s="6">
        <f t="shared" si="35"/>
        <v>33880</v>
      </c>
      <c r="AJ37" s="6">
        <f t="shared" si="36"/>
        <v>-58677.948717948704</v>
      </c>
    </row>
    <row r="38" spans="5:36" ht="21.95" customHeight="1">
      <c r="F38" s="432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30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7"/>
        <v>0</v>
      </c>
      <c r="M38" s="76"/>
      <c r="O38" s="6">
        <f t="shared" si="38"/>
        <v>0</v>
      </c>
      <c r="P38" s="6">
        <f t="shared" si="39"/>
        <v>0</v>
      </c>
      <c r="Q38" s="6">
        <f t="shared" si="40"/>
        <v>0</v>
      </c>
      <c r="R38" s="6">
        <f t="shared" si="31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32"/>
        <v>0</v>
      </c>
      <c r="V38" s="76">
        <f>+IFERROR(HLOOKUP($A$1,[15]손익!$G$5:$AB$252,69,),)</f>
        <v>0</v>
      </c>
      <c r="W38" s="6">
        <f>+IFERROR(VLOOKUP($F38,'[17]부산크라샤(손익)'!$L$16:$R$29,4,),)/1000</f>
        <v>9424</v>
      </c>
      <c r="X38" s="6">
        <f t="shared" si="41"/>
        <v>9424</v>
      </c>
      <c r="AA38" s="6">
        <f t="shared" si="42"/>
        <v>0</v>
      </c>
      <c r="AB38" s="6">
        <f t="shared" si="43"/>
        <v>0</v>
      </c>
      <c r="AC38" s="6">
        <f t="shared" si="33"/>
        <v>9424</v>
      </c>
      <c r="AD38" s="6">
        <f t="shared" si="34"/>
        <v>9424</v>
      </c>
      <c r="AE38" s="438">
        <f>+IFERROR(HLOOKUP($A$1,[16]이송계획!$G$70:$W$100,19,),)+IFERROR(HLOOKUP($A$1,[16]이송계획!$G$70:$W$100,26,),)</f>
        <v>108276.92307692308</v>
      </c>
      <c r="AF38" s="6">
        <f>+'[9]부산모래장(당월)'!R79</f>
        <v>104280</v>
      </c>
      <c r="AH38" s="6">
        <f t="shared" si="35"/>
        <v>108276.92307692308</v>
      </c>
      <c r="AI38" s="6">
        <f t="shared" si="35"/>
        <v>113704</v>
      </c>
      <c r="AJ38" s="6">
        <f t="shared" si="36"/>
        <v>5427.076923076922</v>
      </c>
    </row>
    <row r="39" spans="5:36" ht="21.95" customHeight="1">
      <c r="F39" s="432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30"/>
        <v>0</v>
      </c>
      <c r="J39" s="76">
        <f>+IFERROR(HLOOKUP($A$1,[14]손익!$G$5:$AB$252,72,),)</f>
        <v>6393.4623999999994</v>
      </c>
      <c r="K39" s="6">
        <f>+IFERROR(VLOOKUP($F39,'[17]서부산(손익)'!$L$16:$R$29,3,),)/1000</f>
        <v>0</v>
      </c>
      <c r="L39" s="6">
        <f t="shared" si="37"/>
        <v>-6393.4623999999994</v>
      </c>
      <c r="M39" s="76"/>
      <c r="O39" s="6">
        <f t="shared" si="38"/>
        <v>0</v>
      </c>
      <c r="P39" s="6">
        <f t="shared" si="39"/>
        <v>6393.4623999999994</v>
      </c>
      <c r="Q39" s="6">
        <f t="shared" si="40"/>
        <v>0</v>
      </c>
      <c r="R39" s="6">
        <f t="shared" si="31"/>
        <v>-6393.4623999999994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32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41"/>
        <v>0</v>
      </c>
      <c r="AA39" s="6">
        <f t="shared" si="42"/>
        <v>0</v>
      </c>
      <c r="AB39" s="6">
        <f t="shared" si="43"/>
        <v>0</v>
      </c>
      <c r="AC39" s="6">
        <f t="shared" si="33"/>
        <v>0</v>
      </c>
      <c r="AD39" s="6">
        <f t="shared" si="34"/>
        <v>0</v>
      </c>
      <c r="AE39" s="438">
        <f>+IFERROR(HLOOKUP($A$1,[16]이송계획!$G$70:$W$100,20,),)+IFERROR(HLOOKUP($A$1,[16]이송계획!$G$70:$W$100,27,),)</f>
        <v>33420.961538461539</v>
      </c>
      <c r="AF39" s="6">
        <f>+'[9]부산모래장(당월)'!R80</f>
        <v>0</v>
      </c>
      <c r="AH39" s="6">
        <f t="shared" si="35"/>
        <v>39814.423938461536</v>
      </c>
      <c r="AI39" s="6">
        <f t="shared" si="35"/>
        <v>0</v>
      </c>
      <c r="AJ39" s="6">
        <f t="shared" si="36"/>
        <v>-39814.423938461536</v>
      </c>
    </row>
    <row r="40" spans="5:36" ht="21.95" customHeight="1">
      <c r="F40" s="432" t="s">
        <v>30</v>
      </c>
      <c r="G40" s="6">
        <f>+IFERROR(HLOOKUP($A$1,[14]손익!$G$5:$AB$252,64,),)</f>
        <v>8928</v>
      </c>
      <c r="H40" s="6">
        <f>+IFERROR(VLOOKUP($F40,'[17]서부산(손익)'!$L$16:$R$29,4,),)/1000</f>
        <v>0</v>
      </c>
      <c r="I40" s="6">
        <f t="shared" si="30"/>
        <v>-8928</v>
      </c>
      <c r="J40" s="76">
        <f>+IFERROR(HLOOKUP($A$1,[14]손익!$G$5:$AB$252,73,),)</f>
        <v>7744</v>
      </c>
      <c r="K40" s="6">
        <f>+IFERROR(VLOOKUP($F40,'[17]서부산(손익)'!$L$16:$R$29,3,),)/1000</f>
        <v>0</v>
      </c>
      <c r="L40" s="6">
        <f t="shared" si="37"/>
        <v>-7744</v>
      </c>
      <c r="M40" s="76"/>
      <c r="O40" s="6">
        <f t="shared" si="38"/>
        <v>0</v>
      </c>
      <c r="P40" s="6">
        <f t="shared" si="39"/>
        <v>16672</v>
      </c>
      <c r="Q40" s="6">
        <f t="shared" si="40"/>
        <v>0</v>
      </c>
      <c r="R40" s="6">
        <f t="shared" si="31"/>
        <v>-16672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32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41"/>
        <v>0</v>
      </c>
      <c r="AA40" s="6">
        <f t="shared" si="42"/>
        <v>0</v>
      </c>
      <c r="AB40" s="6">
        <f t="shared" si="43"/>
        <v>0</v>
      </c>
      <c r="AC40" s="6">
        <f t="shared" si="33"/>
        <v>0</v>
      </c>
      <c r="AD40" s="6">
        <f t="shared" si="34"/>
        <v>0</v>
      </c>
      <c r="AE40" s="438">
        <f>+IFERROR(HLOOKUP($A$1,[16]이송계획!$G$70:$W$100,21,),)+IFERROR(HLOOKUP($A$1,[16]이송계획!$G$70:$W$100,28,),)</f>
        <v>0</v>
      </c>
      <c r="AH40" s="6">
        <f t="shared" si="35"/>
        <v>16672</v>
      </c>
      <c r="AI40" s="6">
        <f t="shared" si="35"/>
        <v>0</v>
      </c>
      <c r="AJ40" s="6">
        <f t="shared" si="36"/>
        <v>-16672</v>
      </c>
    </row>
    <row r="41" spans="5:36" ht="21.95" customHeight="1">
      <c r="F41" s="432" t="s">
        <v>8</v>
      </c>
      <c r="G41" s="6">
        <f>SUM(G35:G40)</f>
        <v>248708.80000000002</v>
      </c>
      <c r="H41" s="6">
        <f>SUM(H35:H40)</f>
        <v>145350</v>
      </c>
      <c r="I41" s="6">
        <f t="shared" si="30"/>
        <v>-103358.80000000002</v>
      </c>
      <c r="J41" s="76">
        <f>SUM(J35:J40)</f>
        <v>36864.929066666664</v>
      </c>
      <c r="K41" s="76">
        <f>SUM(K35:K40)</f>
        <v>0</v>
      </c>
      <c r="L41" s="6">
        <f t="shared" si="37"/>
        <v>-36864.929066666664</v>
      </c>
      <c r="M41" s="76"/>
      <c r="N41" s="76"/>
      <c r="O41" s="6">
        <f t="shared" si="38"/>
        <v>0</v>
      </c>
      <c r="P41" s="6">
        <f t="shared" si="39"/>
        <v>285573.72906666668</v>
      </c>
      <c r="Q41" s="6">
        <f t="shared" si="40"/>
        <v>145350</v>
      </c>
      <c r="R41" s="6">
        <f t="shared" si="31"/>
        <v>-140223.72906666668</v>
      </c>
      <c r="S41" s="6">
        <f>SUM(S35:S40)</f>
        <v>192074.5546949922</v>
      </c>
      <c r="T41" s="6">
        <f>SUM(T35:T40)</f>
        <v>185825</v>
      </c>
      <c r="U41" s="6">
        <f t="shared" si="32"/>
        <v>-6249.5546949921991</v>
      </c>
      <c r="V41" s="76">
        <f>SUM(V35:V40)</f>
        <v>238682.01599255495</v>
      </c>
      <c r="W41" s="76">
        <f>SUM(W35:W40)</f>
        <v>264674</v>
      </c>
      <c r="X41" s="6">
        <f t="shared" si="41"/>
        <v>25991.984007445048</v>
      </c>
      <c r="Z41" s="76"/>
      <c r="AA41" s="6">
        <f t="shared" si="42"/>
        <v>0</v>
      </c>
      <c r="AB41" s="6">
        <f t="shared" si="43"/>
        <v>430756.57068754715</v>
      </c>
      <c r="AC41" s="6">
        <f t="shared" si="33"/>
        <v>450499</v>
      </c>
      <c r="AD41" s="6">
        <f t="shared" si="34"/>
        <v>19742.429312452849</v>
      </c>
      <c r="AE41" s="6">
        <f>SUM(AE35:AE40)</f>
        <v>518755.53940989065</v>
      </c>
      <c r="AF41" s="6">
        <f>SUM(AF35:AF40)</f>
        <v>317680</v>
      </c>
      <c r="AH41" s="6">
        <f t="shared" si="35"/>
        <v>1235085.8391641043</v>
      </c>
      <c r="AI41" s="6">
        <f t="shared" si="35"/>
        <v>913529</v>
      </c>
      <c r="AJ41" s="6">
        <f t="shared" si="36"/>
        <v>-321556.83916410431</v>
      </c>
    </row>
    <row r="42" spans="5:36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/>
    <row r="44" spans="5:36" ht="21.95" customHeight="1"/>
    <row r="45" spans="5:36" ht="21.95" customHeight="1"/>
    <row r="46" spans="5:36" ht="21.95" customHeight="1"/>
    <row r="47" spans="5:36" ht="21.95" customHeight="1"/>
    <row r="48" spans="5:36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I8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>
      <c r="A1" s="423" t="s">
        <v>232</v>
      </c>
    </row>
    <row r="2" spans="1:39" ht="9.75" customHeight="1"/>
    <row r="3" spans="1:39" ht="9.9499999999999993" customHeight="1"/>
    <row r="4" spans="1:39" ht="31.5">
      <c r="D4" s="184" t="s">
        <v>245</v>
      </c>
      <c r="F4" s="184"/>
      <c r="I4" s="184"/>
      <c r="P4" s="6">
        <f>+'골재사업소(당월)'!P12+'[4]골재사업소(누계)'!P12</f>
        <v>175584.46688000002</v>
      </c>
      <c r="Q4" s="6">
        <f>+'골재사업소(당월)'!Q12+'[4]골재사업소(누계)'!Q12</f>
        <v>161702</v>
      </c>
      <c r="S4" s="6">
        <f>+'골재사업소(당월)'!S12+'[4]골재사업소(누계)'!S12</f>
        <v>114305.66261330205</v>
      </c>
      <c r="T4" s="6">
        <f>+'골재사업소(당월)'!T12+'[4]골재사업소(누계)'!T12</f>
        <v>120700</v>
      </c>
      <c r="V4" s="6">
        <f>+'골재사업소(당월)'!V12+'[4]골재사업소(누계)'!V12</f>
        <v>172880.07047286414</v>
      </c>
      <c r="W4" s="6">
        <f>+'골재사업소(당월)'!W12+'[4]골재사업소(누계)'!W12</f>
        <v>127953</v>
      </c>
      <c r="AB4" s="6">
        <f>+'골재사업소(당월)'!AB12+'[4]골재사업소(누계)'!Y12</f>
        <v>287185.73308616615</v>
      </c>
      <c r="AC4" s="6">
        <f>+'골재사업소(당월)'!AC12+'[4]골재사업소(누계)'!Z12</f>
        <v>249894</v>
      </c>
      <c r="AE4" s="6">
        <f>+'골재사업소(당월)'!AE12+'[4]골재사업소(누계)'!AB12</f>
        <v>158061.53852774549</v>
      </c>
      <c r="AF4" s="6">
        <f>+'골재사업소(당월)'!AF12+'[4]골재사업소(누계)'!AC12</f>
        <v>146065</v>
      </c>
      <c r="AH4" s="6">
        <f>+'골재사업소(당월)'!AH12+'[4]골재사업소(누계)'!AE12</f>
        <v>620831.73849391169</v>
      </c>
      <c r="AI4" s="6">
        <f>+'골재사업소(당월)'!AI12+'[4]골재사업소(누계)'!AF12</f>
        <v>557661</v>
      </c>
    </row>
    <row r="5" spans="1:39" ht="21.95" customHeight="1" thickBot="1">
      <c r="J5" s="76"/>
      <c r="AE5" s="76"/>
      <c r="AH5" s="76"/>
      <c r="AJ5" s="186" t="s">
        <v>167</v>
      </c>
    </row>
    <row r="6" spans="1:39" ht="24" customHeight="1" thickTop="1">
      <c r="D6" s="296" t="s">
        <v>15</v>
      </c>
      <c r="E6" s="845" t="s">
        <v>11</v>
      </c>
      <c r="F6" s="846"/>
      <c r="G6" s="294" t="s">
        <v>140</v>
      </c>
      <c r="H6" s="293"/>
      <c r="I6" s="293"/>
      <c r="J6" s="293" t="s">
        <v>139</v>
      </c>
      <c r="K6" s="293"/>
      <c r="L6" s="295"/>
      <c r="M6" s="293" t="s">
        <v>213</v>
      </c>
      <c r="N6" s="293"/>
      <c r="O6" s="295"/>
      <c r="P6" s="389" t="s">
        <v>138</v>
      </c>
      <c r="Q6" s="390"/>
      <c r="R6" s="391"/>
      <c r="S6" s="294" t="s">
        <v>185</v>
      </c>
      <c r="T6" s="293"/>
      <c r="U6" s="293"/>
      <c r="V6" s="293" t="s">
        <v>186</v>
      </c>
      <c r="W6" s="293"/>
      <c r="X6" s="295"/>
      <c r="Y6" s="293" t="s">
        <v>246</v>
      </c>
      <c r="Z6" s="293"/>
      <c r="AA6" s="295"/>
      <c r="AB6" s="389" t="s">
        <v>187</v>
      </c>
      <c r="AC6" s="390"/>
      <c r="AD6" s="391"/>
      <c r="AE6" s="388" t="s">
        <v>137</v>
      </c>
      <c r="AF6" s="293"/>
      <c r="AG6" s="295"/>
      <c r="AH6" s="389" t="s">
        <v>136</v>
      </c>
      <c r="AI6" s="390"/>
      <c r="AJ6" s="391"/>
    </row>
    <row r="7" spans="1:39" ht="24" customHeight="1">
      <c r="D7" s="292"/>
      <c r="E7" s="847"/>
      <c r="F7" s="848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290" t="s">
        <v>15</v>
      </c>
      <c r="N7" s="374" t="s">
        <v>16</v>
      </c>
      <c r="O7" s="289" t="s">
        <v>36</v>
      </c>
      <c r="P7" s="392" t="s">
        <v>15</v>
      </c>
      <c r="Q7" s="374" t="s">
        <v>16</v>
      </c>
      <c r="R7" s="393" t="s">
        <v>36</v>
      </c>
      <c r="S7" s="288" t="s">
        <v>12</v>
      </c>
      <c r="T7" s="374" t="s">
        <v>13</v>
      </c>
      <c r="U7" s="291" t="s">
        <v>36</v>
      </c>
      <c r="V7" s="290" t="s">
        <v>15</v>
      </c>
      <c r="W7" s="374" t="s">
        <v>16</v>
      </c>
      <c r="X7" s="289" t="s">
        <v>36</v>
      </c>
      <c r="Y7" s="290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  <c r="AE7" s="289" t="s">
        <v>15</v>
      </c>
      <c r="AF7" s="374" t="s">
        <v>16</v>
      </c>
      <c r="AG7" s="289" t="s">
        <v>36</v>
      </c>
      <c r="AH7" s="392" t="s">
        <v>15</v>
      </c>
      <c r="AI7" s="374" t="s">
        <v>16</v>
      </c>
      <c r="AJ7" s="393" t="s">
        <v>36</v>
      </c>
    </row>
    <row r="8" spans="1:39" ht="24" customHeight="1">
      <c r="D8" s="77"/>
      <c r="E8" s="265" t="s">
        <v>110</v>
      </c>
      <c r="F8" s="264" t="s">
        <v>132</v>
      </c>
      <c r="G8" s="260">
        <f>+'골재사업소(당월)'!G8+'[4]골재사업소(누계)'!G8</f>
        <v>70591.8</v>
      </c>
      <c r="H8" s="375">
        <f>+'골재사업소(당월)'!H8+'[4]골재사업소(누계)'!H8</f>
        <v>94166</v>
      </c>
      <c r="I8" s="263">
        <f>H8-G8</f>
        <v>23574.199999999997</v>
      </c>
      <c r="J8" s="262">
        <f>+'골재사업소(당월)'!J8+'[4]골재사업소(누계)'!J8</f>
        <v>8092.6668799999998</v>
      </c>
      <c r="K8" s="375">
        <f>+'골재사업소(당월)'!K8+'[4]골재사업소(누계)'!K8</f>
        <v>2064</v>
      </c>
      <c r="L8" s="261">
        <f>K8-J8</f>
        <v>-6028.6668799999998</v>
      </c>
      <c r="M8" s="262">
        <f>+'골재사업소(당월)'!M8+'[4]골재사업소(누계)'!M8</f>
        <v>0</v>
      </c>
      <c r="N8" s="375">
        <f>+'골재사업소(당월)'!N8+'[4]골재사업소(누계)'!N8</f>
        <v>0</v>
      </c>
      <c r="O8" s="261">
        <f>N8-M8</f>
        <v>0</v>
      </c>
      <c r="P8" s="394">
        <f>+G8+J8+M8</f>
        <v>78684.466880000007</v>
      </c>
      <c r="Q8" s="375">
        <f>+H8+K8+N8</f>
        <v>96230</v>
      </c>
      <c r="R8" s="395">
        <f>Q8-P8</f>
        <v>17545.533119999993</v>
      </c>
      <c r="S8" s="260">
        <f>+'골재사업소(당월)'!S8+'[4]골재사업소(누계)'!S8</f>
        <v>73305.662613302033</v>
      </c>
      <c r="T8" s="375">
        <f>+'골재사업소(당월)'!T8+'[4]골재사업소(누계)'!T8</f>
        <v>79516</v>
      </c>
      <c r="U8" s="263">
        <f>T8-S8</f>
        <v>6210.3373866979673</v>
      </c>
      <c r="V8" s="262">
        <f>+'골재사업소(당월)'!V8+'[4]골재사업소(누계)'!V8</f>
        <v>66880.070472864129</v>
      </c>
      <c r="W8" s="375">
        <f>+'골재사업소(당월)'!W8+'[4]골재사업소(누계)'!W8</f>
        <v>85889</v>
      </c>
      <c r="X8" s="261">
        <f>W8-V8</f>
        <v>19008.929527135871</v>
      </c>
      <c r="Y8" s="262"/>
      <c r="Z8" s="375">
        <f>+'[9]부산크라샤(당월)'!$L$66</f>
        <v>0</v>
      </c>
      <c r="AA8" s="261">
        <f>Z8-Y8</f>
        <v>0</v>
      </c>
      <c r="AB8" s="394">
        <f>+S8+V8+Y8</f>
        <v>140185.73308616615</v>
      </c>
      <c r="AC8" s="375">
        <f t="shared" ref="AC8" si="0">+T8+W8+Z8</f>
        <v>165405</v>
      </c>
      <c r="AD8" s="395">
        <f>AC8-AB8</f>
        <v>25219.266913833853</v>
      </c>
      <c r="AE8" s="261">
        <f>+'골재사업소(당월)'!AE8+'[4]골재사업소(누계)'!AB8</f>
        <v>102561.53852774549</v>
      </c>
      <c r="AF8" s="375">
        <f>+'골재사업소(당월)'!AF8+'[4]골재사업소(누계)'!AC8</f>
        <v>88549</v>
      </c>
      <c r="AG8" s="261">
        <f>AF8-AE8</f>
        <v>-14012.538527745492</v>
      </c>
      <c r="AH8" s="394">
        <f>+P8+AB8+AE8</f>
        <v>321431.73849391169</v>
      </c>
      <c r="AI8" s="375">
        <f>+Q8+AC8+AF8</f>
        <v>350184</v>
      </c>
      <c r="AJ8" s="395">
        <f>AI8-AH8</f>
        <v>28752.261506088311</v>
      </c>
    </row>
    <row r="9" spans="1:39" ht="24" customHeight="1">
      <c r="D9" s="77"/>
      <c r="E9" s="282"/>
      <c r="F9" s="287" t="s">
        <v>10</v>
      </c>
      <c r="G9" s="283">
        <f>+G8/G$12</f>
        <v>0.87700610496969877</v>
      </c>
      <c r="H9" s="376">
        <f>+H8/H$12</f>
        <v>0.64572447370225605</v>
      </c>
      <c r="I9" s="286">
        <f>+H9-G9</f>
        <v>-0.23128163126744272</v>
      </c>
      <c r="J9" s="285">
        <f>+J8/J$12</f>
        <v>0.27816861593955045</v>
      </c>
      <c r="K9" s="376">
        <f>+K8/K$12</f>
        <v>0.13004032258064516</v>
      </c>
      <c r="L9" s="284">
        <f>+K9-J9</f>
        <v>-0.14812829335890529</v>
      </c>
      <c r="M9" s="285">
        <f>+M8/M$12</f>
        <v>0</v>
      </c>
      <c r="N9" s="376" t="e">
        <f>+N8/N$12</f>
        <v>#DIV/0!</v>
      </c>
      <c r="O9" s="284" t="e">
        <f>+N9-M9</f>
        <v>#DIV/0!</v>
      </c>
      <c r="P9" s="396">
        <f>+P8/P$12</f>
        <v>0.44812885944959735</v>
      </c>
      <c r="Q9" s="376">
        <f>+Q8/Q$12</f>
        <v>0.59510704876872267</v>
      </c>
      <c r="R9" s="397">
        <f>+Q9-P9</f>
        <v>0.14697818931912532</v>
      </c>
      <c r="S9" s="283">
        <f>+S8/S$12</f>
        <v>0.64131260811895485</v>
      </c>
      <c r="T9" s="376">
        <f>+T8/T$12</f>
        <v>0.65879038939519474</v>
      </c>
      <c r="U9" s="286">
        <f>+T9-S9</f>
        <v>1.747778127623989E-2</v>
      </c>
      <c r="V9" s="285">
        <f>+V8/V$12</f>
        <v>0.38685818608202072</v>
      </c>
      <c r="W9" s="376">
        <f>+W8/W$12</f>
        <v>0.67125428868412618</v>
      </c>
      <c r="X9" s="284">
        <f>+W9-V9</f>
        <v>0.28439610260210546</v>
      </c>
      <c r="Y9" s="285"/>
      <c r="Z9" s="376">
        <f>+Z8/Z$12</f>
        <v>0</v>
      </c>
      <c r="AA9" s="284">
        <f>+Z9-Y9</f>
        <v>0</v>
      </c>
      <c r="AB9" s="396">
        <f>+AB8/AB$12</f>
        <v>0.48813613259856936</v>
      </c>
      <c r="AC9" s="376">
        <f>+AC8/AC$12</f>
        <v>0.66190064587385056</v>
      </c>
      <c r="AD9" s="397">
        <f>+AC9-AB9</f>
        <v>0.1737645132752812</v>
      </c>
      <c r="AE9" s="284">
        <f>+AE8/AE$12</f>
        <v>0.64887093649124672</v>
      </c>
      <c r="AF9" s="376">
        <f>+AF8/AF$12</f>
        <v>0.60623010303631941</v>
      </c>
      <c r="AG9" s="284">
        <f>+AF9-AE9</f>
        <v>-4.2640833454927307E-2</v>
      </c>
      <c r="AH9" s="396">
        <f>+AH8/AH$12</f>
        <v>0.51774372758982889</v>
      </c>
      <c r="AI9" s="376">
        <f>+AI8/AI$12</f>
        <v>0.62795138982284937</v>
      </c>
      <c r="AJ9" s="397">
        <f>+AI9-AH9</f>
        <v>0.11020766223302048</v>
      </c>
    </row>
    <row r="10" spans="1:39" ht="24" customHeight="1">
      <c r="D10" s="258"/>
      <c r="E10" s="282"/>
      <c r="F10" s="281" t="s">
        <v>135</v>
      </c>
      <c r="G10" s="277">
        <f>+'골재사업소(당월)'!G10+'[4]골재사업소(누계)'!G10</f>
        <v>9900</v>
      </c>
      <c r="H10" s="377">
        <f>+'골재사업소(당월)'!H10+'[4]골재사업소(누계)'!H10</f>
        <v>51664</v>
      </c>
      <c r="I10" s="280">
        <f>H10-G10</f>
        <v>41764</v>
      </c>
      <c r="J10" s="279">
        <f>+'골재사업소(당월)'!J10+'[4]골재사업소(누계)'!J10</f>
        <v>21000</v>
      </c>
      <c r="K10" s="377">
        <f>+'골재사업소(당월)'!K10+'[4]골재사업소(누계)'!K10</f>
        <v>13808</v>
      </c>
      <c r="L10" s="278">
        <f>K10-J10</f>
        <v>-7192</v>
      </c>
      <c r="M10" s="279">
        <f>+'골재사업소(당월)'!M10+'[4]골재사업소(누계)'!M10</f>
        <v>66000</v>
      </c>
      <c r="N10" s="377">
        <f>+'골재사업소(당월)'!N10+'[4]골재사업소(누계)'!N10</f>
        <v>0</v>
      </c>
      <c r="O10" s="278">
        <f>N10-M10</f>
        <v>-66000</v>
      </c>
      <c r="P10" s="398">
        <f>+G10+J10+M10</f>
        <v>96900</v>
      </c>
      <c r="Q10" s="377">
        <f>+H10+K10+N10</f>
        <v>65472</v>
      </c>
      <c r="R10" s="399">
        <f>Q10-P10</f>
        <v>-31428</v>
      </c>
      <c r="S10" s="277">
        <f>+'골재사업소(당월)'!S10+'[4]골재사업소(누계)'!S10</f>
        <v>41000</v>
      </c>
      <c r="T10" s="377">
        <f>+'골재사업소(당월)'!T10+'[4]골재사업소(누계)'!T10</f>
        <v>41184</v>
      </c>
      <c r="U10" s="280">
        <f>T10-S10</f>
        <v>184</v>
      </c>
      <c r="V10" s="279">
        <f>+'골재사업소(당월)'!V10+'[4]골재사업소(누계)'!V10</f>
        <v>106000</v>
      </c>
      <c r="W10" s="377">
        <f>+'골재사업소(당월)'!W10+'[4]골재사업소(누계)'!W10</f>
        <v>42064</v>
      </c>
      <c r="X10" s="278">
        <f>W10-V10</f>
        <v>-63936</v>
      </c>
      <c r="Y10" s="279"/>
      <c r="Z10" s="377">
        <f>+'[9]부산크라샤(당월)'!$L$59</f>
        <v>1241</v>
      </c>
      <c r="AA10" s="278">
        <f>Z10-Y10</f>
        <v>1241</v>
      </c>
      <c r="AB10" s="398">
        <f t="shared" ref="AB10:AC10" si="1">+S10+V10+Y10</f>
        <v>147000</v>
      </c>
      <c r="AC10" s="377">
        <f t="shared" si="1"/>
        <v>84489</v>
      </c>
      <c r="AD10" s="399">
        <f>AC10-AB10</f>
        <v>-62511</v>
      </c>
      <c r="AE10" s="278">
        <f>+'골재사업소(당월)'!AE10+'[4]골재사업소(누계)'!AB10</f>
        <v>55500</v>
      </c>
      <c r="AF10" s="377">
        <f>+'골재사업소(당월)'!AF10+'[4]골재사업소(누계)'!AC10</f>
        <v>57516</v>
      </c>
      <c r="AG10" s="278">
        <f>AF10-AE10</f>
        <v>2016</v>
      </c>
      <c r="AH10" s="398">
        <f>+P10+AB10+AE10</f>
        <v>299400</v>
      </c>
      <c r="AI10" s="377">
        <f>+Q10+AC10+AF10</f>
        <v>207477</v>
      </c>
      <c r="AJ10" s="399">
        <f>AI10-AH10</f>
        <v>-91923</v>
      </c>
    </row>
    <row r="11" spans="1:39" ht="24" customHeight="1">
      <c r="D11" s="258"/>
      <c r="E11" s="259"/>
      <c r="F11" s="276" t="s">
        <v>10</v>
      </c>
      <c r="G11" s="272">
        <f>+G10/G$12</f>
        <v>0.12299389503030123</v>
      </c>
      <c r="H11" s="378">
        <f>+H10/H$12</f>
        <v>0.35427552629774395</v>
      </c>
      <c r="I11" s="275">
        <f>+H11-G11</f>
        <v>0.23128163126744272</v>
      </c>
      <c r="J11" s="274">
        <f>+J10/J$12</f>
        <v>0.72183138406044955</v>
      </c>
      <c r="K11" s="378">
        <f>+K10/K$12</f>
        <v>0.86995967741935487</v>
      </c>
      <c r="L11" s="273">
        <f>+K11-J11</f>
        <v>0.14812829335890532</v>
      </c>
      <c r="M11" s="274">
        <f>+M10/M$12</f>
        <v>1</v>
      </c>
      <c r="N11" s="378" t="e">
        <f>+N10/N$12</f>
        <v>#DIV/0!</v>
      </c>
      <c r="O11" s="273" t="e">
        <f>+N11-M11</f>
        <v>#DIV/0!</v>
      </c>
      <c r="P11" s="400">
        <f>+P10/P$12</f>
        <v>0.55187114055040254</v>
      </c>
      <c r="Q11" s="378">
        <f>+Q10/Q$12</f>
        <v>0.40489295123127728</v>
      </c>
      <c r="R11" s="401">
        <f>+Q11-P11</f>
        <v>-0.14697818931912526</v>
      </c>
      <c r="S11" s="272">
        <f>+S10/S$12</f>
        <v>0.35868739188104515</v>
      </c>
      <c r="T11" s="378">
        <f>+T10/T$12</f>
        <v>0.34120961060480531</v>
      </c>
      <c r="U11" s="275">
        <f>+T11-S11</f>
        <v>-1.7477781276239834E-2</v>
      </c>
      <c r="V11" s="274">
        <f>+V10/V$12</f>
        <v>0.61314181391797917</v>
      </c>
      <c r="W11" s="378">
        <f>+W10/W$12</f>
        <v>0.32874571131587382</v>
      </c>
      <c r="X11" s="273">
        <f>+W11-V11</f>
        <v>-0.28439610260210535</v>
      </c>
      <c r="Y11" s="274"/>
      <c r="Z11" s="378">
        <f>+Z10/Z$12</f>
        <v>1</v>
      </c>
      <c r="AA11" s="273">
        <f>+Z11-Y11</f>
        <v>1</v>
      </c>
      <c r="AB11" s="400">
        <f>+AB10/AB$12</f>
        <v>0.51186386740143064</v>
      </c>
      <c r="AC11" s="378">
        <f>+AC10/AC$12</f>
        <v>0.3380993541261495</v>
      </c>
      <c r="AD11" s="401">
        <f>+AC11-AB11</f>
        <v>-0.17376451327528114</v>
      </c>
      <c r="AE11" s="273">
        <f>+AE10/AE$12</f>
        <v>0.35112906350875328</v>
      </c>
      <c r="AF11" s="378">
        <f>+AF10/AF$12</f>
        <v>0.39376989696368053</v>
      </c>
      <c r="AG11" s="273">
        <f>+AF11-AE11</f>
        <v>4.2640833454927252E-2</v>
      </c>
      <c r="AH11" s="400">
        <f>+AH10/AH$12</f>
        <v>0.48225627241017111</v>
      </c>
      <c r="AI11" s="378">
        <f>+AI10/AI$12</f>
        <v>0.37204861017715063</v>
      </c>
      <c r="AJ11" s="401">
        <f>+AI11-AH11</f>
        <v>-0.11020766223302048</v>
      </c>
    </row>
    <row r="12" spans="1:39" ht="24" customHeight="1">
      <c r="D12" s="258"/>
      <c r="E12" s="271"/>
      <c r="F12" s="270" t="s">
        <v>43</v>
      </c>
      <c r="G12" s="266">
        <f>G8+G10</f>
        <v>80491.8</v>
      </c>
      <c r="H12" s="379">
        <f>H8+H10</f>
        <v>145830</v>
      </c>
      <c r="I12" s="269">
        <f t="shared" ref="I12:I32" si="2">H12-G12</f>
        <v>65338.2</v>
      </c>
      <c r="J12" s="268">
        <f>J8+J10</f>
        <v>29092.666880000001</v>
      </c>
      <c r="K12" s="379">
        <f>K8+K10</f>
        <v>15872</v>
      </c>
      <c r="L12" s="267">
        <f t="shared" ref="L12:L32" si="3">K12-J12</f>
        <v>-13220.666880000001</v>
      </c>
      <c r="M12" s="268">
        <f>M8+M10</f>
        <v>66000</v>
      </c>
      <c r="N12" s="379">
        <f>N8+N10</f>
        <v>0</v>
      </c>
      <c r="O12" s="267">
        <f t="shared" ref="O12:O32" si="4">N12-M12</f>
        <v>-66000</v>
      </c>
      <c r="P12" s="402">
        <f>P8+P10</f>
        <v>175584.46688000002</v>
      </c>
      <c r="Q12" s="379">
        <f>Q8+Q10</f>
        <v>161702</v>
      </c>
      <c r="R12" s="403">
        <f t="shared" ref="R12:R32" si="5">Q12-P12</f>
        <v>-13882.466880000022</v>
      </c>
      <c r="S12" s="266">
        <f>S8+S10</f>
        <v>114305.66261330203</v>
      </c>
      <c r="T12" s="379">
        <f>T8+T10</f>
        <v>120700</v>
      </c>
      <c r="U12" s="269">
        <f t="shared" ref="U12:U32" si="6">T12-S12</f>
        <v>6394.3373866979673</v>
      </c>
      <c r="V12" s="268">
        <f>V8+V10</f>
        <v>172880.07047286414</v>
      </c>
      <c r="W12" s="379">
        <f>W8+W10</f>
        <v>127953</v>
      </c>
      <c r="X12" s="267">
        <f t="shared" ref="X12:X32" si="7">W12-V12</f>
        <v>-44927.070472864143</v>
      </c>
      <c r="Y12" s="268"/>
      <c r="Z12" s="379">
        <f>Z8+Z10</f>
        <v>1241</v>
      </c>
      <c r="AA12" s="267">
        <f t="shared" ref="AA12:AA32" si="8">Z12-Y12</f>
        <v>1241</v>
      </c>
      <c r="AB12" s="402">
        <f>AB8+AB10</f>
        <v>287185.73308616615</v>
      </c>
      <c r="AC12" s="379">
        <f>AC8+AC10</f>
        <v>249894</v>
      </c>
      <c r="AD12" s="403">
        <f t="shared" ref="AD12:AD32" si="9">AC12-AB12</f>
        <v>-37291.733086166147</v>
      </c>
      <c r="AE12" s="267">
        <f>AE8+AE10</f>
        <v>158061.53852774549</v>
      </c>
      <c r="AF12" s="379">
        <f>AF8+AF10</f>
        <v>146065</v>
      </c>
      <c r="AG12" s="267">
        <f t="shared" ref="AG12:AG32" si="10">AF12-AE12</f>
        <v>-11996.538527745492</v>
      </c>
      <c r="AH12" s="402">
        <f>AH8+AH10</f>
        <v>620831.73849391169</v>
      </c>
      <c r="AI12" s="379">
        <f>AI8+AI10</f>
        <v>557661</v>
      </c>
      <c r="AJ12" s="403">
        <f t="shared" ref="AJ12:AJ32" si="11">AI12-AH12</f>
        <v>-63170.738493911689</v>
      </c>
      <c r="AL12" s="6">
        <f>+'골재사업소(당월)'!AL12+'[4]골재사업소(누계)'!AI12</f>
        <v>620831.73849391157</v>
      </c>
      <c r="AM12" s="6">
        <f>+'골재사업소(당월)'!AM12+'[4]골재사업소(누계)'!AJ12</f>
        <v>557661</v>
      </c>
    </row>
    <row r="13" spans="1:39" ht="24" customHeight="1">
      <c r="D13" s="258"/>
      <c r="E13" s="265" t="s">
        <v>77</v>
      </c>
      <c r="F13" s="264" t="s">
        <v>132</v>
      </c>
      <c r="G13" s="260">
        <f>+'골재사업소(당월)'!G13+'[4]골재사업소(누계)'!G13</f>
        <v>1089146.8</v>
      </c>
      <c r="H13" s="375">
        <f>+'골재사업소(당월)'!H13+'[4]골재사업소(누계)'!H13</f>
        <v>1525742</v>
      </c>
      <c r="I13" s="263">
        <f t="shared" si="2"/>
        <v>436595.19999999995</v>
      </c>
      <c r="J13" s="262">
        <f>+'골재사업소(당월)'!J13+'[4]골재사업소(누계)'!J13</f>
        <v>136221.4032</v>
      </c>
      <c r="K13" s="375">
        <f>+'골재사업소(당월)'!K13+'[4]골재사업소(누계)'!K13</f>
        <v>19536</v>
      </c>
      <c r="L13" s="261">
        <f t="shared" si="3"/>
        <v>-116685.4032</v>
      </c>
      <c r="M13" s="262">
        <f>+'골재사업소(당월)'!M13+'[4]골재사업소(누계)'!M13</f>
        <v>0</v>
      </c>
      <c r="N13" s="375">
        <f>+'골재사업소(당월)'!N13+'[4]골재사업소(누계)'!N13</f>
        <v>0</v>
      </c>
      <c r="O13" s="261">
        <f t="shared" si="4"/>
        <v>0</v>
      </c>
      <c r="P13" s="394">
        <f>+G13+J13+M13</f>
        <v>1225368.2032000001</v>
      </c>
      <c r="Q13" s="375">
        <f>+H13+K13+N13</f>
        <v>1545278</v>
      </c>
      <c r="R13" s="395">
        <f t="shared" si="5"/>
        <v>319909.79679999989</v>
      </c>
      <c r="S13" s="260">
        <f>+'골재사업소(당월)'!S13+'[4]골재사업소(누계)'!S13</f>
        <v>1172890.6018128325</v>
      </c>
      <c r="T13" s="375">
        <f>+'골재사업소(당월)'!T13+'[4]골재사업소(누계)'!T13</f>
        <v>1365834</v>
      </c>
      <c r="U13" s="263">
        <f t="shared" si="6"/>
        <v>192943.39818716748</v>
      </c>
      <c r="V13" s="262">
        <f>+'골재사업소(당월)'!V13+'[4]골재사업소(누계)'!V13</f>
        <v>1476462.2015210362</v>
      </c>
      <c r="W13" s="375">
        <f>+'골재사업소(당월)'!W13+'[4]골재사업소(누계)'!W13</f>
        <v>1901015.5</v>
      </c>
      <c r="X13" s="261">
        <f t="shared" si="7"/>
        <v>424553.29847896378</v>
      </c>
      <c r="Y13" s="262"/>
      <c r="Z13" s="375">
        <f>+'[9]부산크라샤(당월)'!$L$72</f>
        <v>0</v>
      </c>
      <c r="AA13" s="261">
        <f t="shared" si="8"/>
        <v>0</v>
      </c>
      <c r="AB13" s="394">
        <f t="shared" ref="AB13:AC13" si="12">+S13+V13+Y13</f>
        <v>2649352.8033338687</v>
      </c>
      <c r="AC13" s="375">
        <f t="shared" si="12"/>
        <v>3266849.5</v>
      </c>
      <c r="AD13" s="395">
        <f t="shared" si="9"/>
        <v>617496.69666613126</v>
      </c>
      <c r="AE13" s="261">
        <f>+'골재사업소(당월)'!AE13+'[4]골재사업소(누계)'!AB13</f>
        <v>3025427.9900709339</v>
      </c>
      <c r="AF13" s="375">
        <f>+'골재사업소(당월)'!AF13+'[4]골재사업소(누계)'!AC13</f>
        <v>2632794.08</v>
      </c>
      <c r="AG13" s="261">
        <f t="shared" si="10"/>
        <v>-392633.91007093387</v>
      </c>
      <c r="AH13" s="394">
        <f>+P13+AB13+AE13</f>
        <v>6900148.9966048021</v>
      </c>
      <c r="AI13" s="375">
        <f>+Q13+AC13+AF13</f>
        <v>7444921.5800000001</v>
      </c>
      <c r="AJ13" s="395">
        <f t="shared" si="11"/>
        <v>544772.58339519799</v>
      </c>
      <c r="AL13" s="6" t="b">
        <f>+AL12=AH12</f>
        <v>1</v>
      </c>
      <c r="AM13" s="6" t="b">
        <f>+AM12=AI12</f>
        <v>1</v>
      </c>
    </row>
    <row r="14" spans="1:39" ht="24" customHeight="1">
      <c r="D14" s="258"/>
      <c r="E14" s="259"/>
      <c r="F14" s="257" t="s">
        <v>131</v>
      </c>
      <c r="G14" s="253">
        <f>+G13/G8*1000</f>
        <v>15428.800512240798</v>
      </c>
      <c r="H14" s="380">
        <f>+H13/H8*1000</f>
        <v>16202.684620776075</v>
      </c>
      <c r="I14" s="256">
        <f t="shared" si="2"/>
        <v>773.88410853527785</v>
      </c>
      <c r="J14" s="255">
        <f>+J13/J8*1000</f>
        <v>16832.696219914098</v>
      </c>
      <c r="K14" s="380">
        <f>+K13/K8*1000</f>
        <v>9465.116279069769</v>
      </c>
      <c r="L14" s="254">
        <f t="shared" si="3"/>
        <v>-7367.579940844329</v>
      </c>
      <c r="M14" s="255" t="e">
        <f>+M13/M8*1000</f>
        <v>#DIV/0!</v>
      </c>
      <c r="N14" s="380" t="e">
        <f>+N13/N8*1000</f>
        <v>#DIV/0!</v>
      </c>
      <c r="O14" s="254" t="e">
        <f t="shared" si="4"/>
        <v>#DIV/0!</v>
      </c>
      <c r="P14" s="404">
        <f>+P13/P8*1000</f>
        <v>15573.190640902261</v>
      </c>
      <c r="Q14" s="380">
        <f>+Q13/Q8*1000</f>
        <v>16058.17312688351</v>
      </c>
      <c r="R14" s="405">
        <f t="shared" si="5"/>
        <v>484.98248598124883</v>
      </c>
      <c r="S14" s="253">
        <f>+S13/S8*1000</f>
        <v>16000</v>
      </c>
      <c r="T14" s="380">
        <f>+T13/T8*1000</f>
        <v>17176.844911715882</v>
      </c>
      <c r="U14" s="256">
        <f t="shared" si="6"/>
        <v>1176.8449117158816</v>
      </c>
      <c r="V14" s="255">
        <f>+V13/V8*1000</f>
        <v>22076.265636114946</v>
      </c>
      <c r="W14" s="380">
        <f>+W13/W8*1000</f>
        <v>22133.398921864267</v>
      </c>
      <c r="X14" s="254">
        <f t="shared" si="7"/>
        <v>57.133285749321658</v>
      </c>
      <c r="Y14" s="255"/>
      <c r="Z14" s="380" t="e">
        <f>+Z13/Z8*1000</f>
        <v>#DIV/0!</v>
      </c>
      <c r="AA14" s="254" t="e">
        <f t="shared" si="8"/>
        <v>#DIV/0!</v>
      </c>
      <c r="AB14" s="404">
        <f>+AB13/AB8*1000</f>
        <v>18898.876119622142</v>
      </c>
      <c r="AC14" s="380">
        <f>+AC13/AC8*1000</f>
        <v>19750.609110970043</v>
      </c>
      <c r="AD14" s="405">
        <f t="shared" si="9"/>
        <v>851.73299134790068</v>
      </c>
      <c r="AE14" s="254">
        <f>+AE13/AE8*1000</f>
        <v>29498.66035065844</v>
      </c>
      <c r="AF14" s="380">
        <f>+AF13/AF8*1000</f>
        <v>29732.62351918147</v>
      </c>
      <c r="AG14" s="254">
        <f t="shared" si="10"/>
        <v>233.96316852303062</v>
      </c>
      <c r="AH14" s="404">
        <f>+AH13/AH8*1000</f>
        <v>21466.918696130873</v>
      </c>
      <c r="AI14" s="380">
        <f>+AI13/AI8*1000</f>
        <v>21260.02781394924</v>
      </c>
      <c r="AJ14" s="405">
        <f t="shared" si="11"/>
        <v>-206.89088218163306</v>
      </c>
    </row>
    <row r="15" spans="1:39" ht="24" customHeight="1">
      <c r="D15" s="258"/>
      <c r="E15" s="666"/>
      <c r="F15" s="224" t="s">
        <v>135</v>
      </c>
      <c r="G15" s="248">
        <f>+'골재사업소(당월)'!G15+'[4]골재사업소(누계)'!G15</f>
        <v>113850</v>
      </c>
      <c r="H15" s="381">
        <f>+'골재사업소(당월)'!H15+'[4]골재사업소(누계)'!H15</f>
        <v>604392</v>
      </c>
      <c r="I15" s="251">
        <f t="shared" si="2"/>
        <v>490542</v>
      </c>
      <c r="J15" s="250">
        <f>+'골재사업소(당월)'!J15+'[4]골재사업소(누계)'!J15</f>
        <v>315000</v>
      </c>
      <c r="K15" s="381">
        <f>+'골재사업소(당월)'!K15+'[4]골재사업소(누계)'!K15</f>
        <v>117104</v>
      </c>
      <c r="L15" s="249">
        <f t="shared" si="3"/>
        <v>-197896</v>
      </c>
      <c r="M15" s="250">
        <f>+'골재사업소(당월)'!M15+'[4]골재사업소(누계)'!M15</f>
        <v>594000</v>
      </c>
      <c r="N15" s="381">
        <f>+'골재사업소(당월)'!N15+'[4]골재사업소(누계)'!N15</f>
        <v>0</v>
      </c>
      <c r="O15" s="249">
        <f t="shared" si="4"/>
        <v>-594000</v>
      </c>
      <c r="P15" s="406">
        <f>+G15+J15+M15</f>
        <v>1022850</v>
      </c>
      <c r="Q15" s="381">
        <f>+H15+K15+N15</f>
        <v>721496</v>
      </c>
      <c r="R15" s="407">
        <f t="shared" si="5"/>
        <v>-301354</v>
      </c>
      <c r="S15" s="248">
        <f>+'골재사업소(당월)'!S15+'[4]골재사업소(누계)'!S15</f>
        <v>492000</v>
      </c>
      <c r="T15" s="381">
        <f>+'골재사업소(당월)'!T15+'[4]골재사업소(누계)'!T15</f>
        <v>535392</v>
      </c>
      <c r="U15" s="251">
        <f t="shared" si="6"/>
        <v>43392</v>
      </c>
      <c r="V15" s="250">
        <f>+'골재사업소(당월)'!V15+'[4]골재사업소(누계)'!V15</f>
        <v>2014000</v>
      </c>
      <c r="W15" s="381">
        <f>+'골재사업소(당월)'!W15+'[4]골재사업소(누계)'!W15</f>
        <v>773216</v>
      </c>
      <c r="X15" s="249">
        <f t="shared" si="7"/>
        <v>-1240784</v>
      </c>
      <c r="Y15" s="250"/>
      <c r="Z15" s="381">
        <f>+'[9]부산크라샤(당월)'!$L$71</f>
        <v>34127.5</v>
      </c>
      <c r="AA15" s="249">
        <f t="shared" si="8"/>
        <v>34127.5</v>
      </c>
      <c r="AB15" s="406">
        <f t="shared" ref="AB15:AC15" si="13">+S15+V15+Y15</f>
        <v>2506000</v>
      </c>
      <c r="AC15" s="381">
        <f t="shared" si="13"/>
        <v>1342735.5</v>
      </c>
      <c r="AD15" s="407">
        <f t="shared" si="9"/>
        <v>-1163264.5</v>
      </c>
      <c r="AE15" s="249">
        <f>+'골재사업소(당월)'!AE15+'[4]골재사업소(누계)'!AB15</f>
        <v>1659750</v>
      </c>
      <c r="AF15" s="381">
        <f>+'골재사업소(당월)'!AF15+'[4]골재사업소(누계)'!AC15</f>
        <v>1713376.5</v>
      </c>
      <c r="AG15" s="249">
        <f t="shared" si="10"/>
        <v>53626.5</v>
      </c>
      <c r="AH15" s="406">
        <f>+P15+AB15+AE15</f>
        <v>5188600</v>
      </c>
      <c r="AI15" s="381">
        <f>+Q15+AC15+AF15</f>
        <v>3777608</v>
      </c>
      <c r="AJ15" s="407">
        <f t="shared" si="11"/>
        <v>-1410992</v>
      </c>
    </row>
    <row r="16" spans="1:39" ht="24" customHeight="1">
      <c r="D16" s="76"/>
      <c r="E16" s="666"/>
      <c r="F16" s="257" t="s">
        <v>131</v>
      </c>
      <c r="G16" s="253">
        <f>IFERROR(G15/G10,)*1000</f>
        <v>11500</v>
      </c>
      <c r="H16" s="380">
        <f>IFERROR(H15/H10,)*1000</f>
        <v>11698.513471663053</v>
      </c>
      <c r="I16" s="256">
        <f t="shared" si="2"/>
        <v>198.51347166305277</v>
      </c>
      <c r="J16" s="255">
        <f>IFERROR(J15/J10,)*1000</f>
        <v>15000</v>
      </c>
      <c r="K16" s="380">
        <f>IFERROR(K15/K10,)*1000</f>
        <v>8480.8806488991886</v>
      </c>
      <c r="L16" s="254">
        <f t="shared" si="3"/>
        <v>-6519.1193511008114</v>
      </c>
      <c r="M16" s="255">
        <f>IFERROR(M15/M10,)*1000</f>
        <v>9000</v>
      </c>
      <c r="N16" s="380">
        <f>IFERROR(N15/N10,)*1000</f>
        <v>0</v>
      </c>
      <c r="O16" s="254">
        <f t="shared" si="4"/>
        <v>-9000</v>
      </c>
      <c r="P16" s="404">
        <f>IFERROR(P15/P10,)*1000</f>
        <v>10555.727554179568</v>
      </c>
      <c r="Q16" s="380">
        <f>IFERROR(Q15/Q10,)*1000</f>
        <v>11019.916911045942</v>
      </c>
      <c r="R16" s="405">
        <f t="shared" si="5"/>
        <v>464.18935686637451</v>
      </c>
      <c r="S16" s="253">
        <f>IFERROR(S15/S10,)*1000</f>
        <v>12000</v>
      </c>
      <c r="T16" s="380">
        <f>IFERROR(T15/T10,)*1000</f>
        <v>13000</v>
      </c>
      <c r="U16" s="256">
        <f t="shared" si="6"/>
        <v>1000</v>
      </c>
      <c r="V16" s="255">
        <f>IFERROR(V15/V10,)*1000</f>
        <v>19000</v>
      </c>
      <c r="W16" s="380">
        <f>IFERROR(W15/W10,)*1000</f>
        <v>18381.894256371244</v>
      </c>
      <c r="X16" s="254">
        <f t="shared" si="7"/>
        <v>-618.10574362875559</v>
      </c>
      <c r="Y16" s="255"/>
      <c r="Z16" s="380">
        <f>IFERROR(Z15/Z10,)*1000</f>
        <v>27500</v>
      </c>
      <c r="AA16" s="254">
        <f t="shared" si="8"/>
        <v>27500</v>
      </c>
      <c r="AB16" s="404">
        <f>IFERROR(AB15/AB10,)*1000</f>
        <v>17047.619047619046</v>
      </c>
      <c r="AC16" s="380">
        <f>IFERROR(AC15/AC10,)*1000</f>
        <v>15892.429783758833</v>
      </c>
      <c r="AD16" s="405">
        <f t="shared" si="9"/>
        <v>-1155.189263860213</v>
      </c>
      <c r="AE16" s="254">
        <f>IFERROR(AE15/AE10,)*1000</f>
        <v>29905.405405405407</v>
      </c>
      <c r="AF16" s="380">
        <f>IFERROR(AF15/AF10,)*1000</f>
        <v>29789.562904235343</v>
      </c>
      <c r="AG16" s="254">
        <f t="shared" si="10"/>
        <v>-115.84250117006377</v>
      </c>
      <c r="AH16" s="404">
        <f>IFERROR(AH15/AH10,)*1000</f>
        <v>17329.99331997328</v>
      </c>
      <c r="AI16" s="380">
        <f>IFERROR(AI15/AI10,)*1000</f>
        <v>18207.357924010852</v>
      </c>
      <c r="AJ16" s="405">
        <f t="shared" si="11"/>
        <v>877.36460403757155</v>
      </c>
    </row>
    <row r="17" spans="4:39" ht="24" customHeight="1">
      <c r="D17" s="76"/>
      <c r="E17" s="666"/>
      <c r="F17" s="252" t="s">
        <v>43</v>
      </c>
      <c r="G17" s="248">
        <f>G13+G15</f>
        <v>1202996.8</v>
      </c>
      <c r="H17" s="381">
        <f>H13+H15</f>
        <v>2130134</v>
      </c>
      <c r="I17" s="251">
        <f t="shared" si="2"/>
        <v>927137.2</v>
      </c>
      <c r="J17" s="250">
        <f>J13+J15</f>
        <v>451221.4032</v>
      </c>
      <c r="K17" s="381">
        <f>K13+K15</f>
        <v>136640</v>
      </c>
      <c r="L17" s="249">
        <f t="shared" si="3"/>
        <v>-314581.4032</v>
      </c>
      <c r="M17" s="250">
        <f>M13+M15</f>
        <v>594000</v>
      </c>
      <c r="N17" s="381">
        <f>N13+N15</f>
        <v>0</v>
      </c>
      <c r="O17" s="249">
        <f t="shared" si="4"/>
        <v>-594000</v>
      </c>
      <c r="P17" s="406">
        <f>P13+P15</f>
        <v>2248218.2032000003</v>
      </c>
      <c r="Q17" s="381">
        <f>Q13+Q15</f>
        <v>2266774</v>
      </c>
      <c r="R17" s="407">
        <f t="shared" si="5"/>
        <v>18555.796799999662</v>
      </c>
      <c r="S17" s="248">
        <f>S13+S15</f>
        <v>1664890.6018128325</v>
      </c>
      <c r="T17" s="381">
        <f>T13+T15</f>
        <v>1901226</v>
      </c>
      <c r="U17" s="251">
        <f t="shared" si="6"/>
        <v>236335.39818716748</v>
      </c>
      <c r="V17" s="250">
        <f>V13+V15</f>
        <v>3490462.2015210362</v>
      </c>
      <c r="W17" s="381">
        <f>W13+W15</f>
        <v>2674231.5</v>
      </c>
      <c r="X17" s="249">
        <f t="shared" si="7"/>
        <v>-816230.70152103622</v>
      </c>
      <c r="Y17" s="250"/>
      <c r="Z17" s="381">
        <f>Z13+Z15</f>
        <v>34127.5</v>
      </c>
      <c r="AA17" s="249">
        <f t="shared" si="8"/>
        <v>34127.5</v>
      </c>
      <c r="AB17" s="406">
        <f>AB13+AB15</f>
        <v>5155352.8033338692</v>
      </c>
      <c r="AC17" s="381">
        <f>AC13+AC15</f>
        <v>4609585</v>
      </c>
      <c r="AD17" s="407">
        <f t="shared" si="9"/>
        <v>-545767.8033338692</v>
      </c>
      <c r="AE17" s="249">
        <f>AE13+AE15</f>
        <v>4685177.9900709335</v>
      </c>
      <c r="AF17" s="381">
        <f>AF13+AF15</f>
        <v>4346170.58</v>
      </c>
      <c r="AG17" s="249">
        <f t="shared" si="10"/>
        <v>-339007.4100709334</v>
      </c>
      <c r="AH17" s="406">
        <f>AH13+AH15</f>
        <v>12088748.996604802</v>
      </c>
      <c r="AI17" s="381">
        <f>AI13+AI15</f>
        <v>11222529.58</v>
      </c>
      <c r="AJ17" s="407">
        <f t="shared" si="11"/>
        <v>-866219.41660480201</v>
      </c>
      <c r="AL17" s="6">
        <f>+'골재사업소(당월)'!AL17+'[4]골재사업소(누계)'!AI17</f>
        <v>12088748.996604802</v>
      </c>
      <c r="AM17" s="6">
        <f>+'골재사업소(당월)'!AM17+'[4]골재사업소(누계)'!AJ17</f>
        <v>11222529.58</v>
      </c>
    </row>
    <row r="18" spans="4:39" ht="24" customHeight="1">
      <c r="D18" s="76"/>
      <c r="E18" s="247" t="s">
        <v>7</v>
      </c>
      <c r="F18" s="246" t="s">
        <v>134</v>
      </c>
      <c r="G18" s="230">
        <f>+'골재사업소(당월)'!G18+'[4]골재사업소(누계)'!G18</f>
        <v>164896.90973646747</v>
      </c>
      <c r="H18" s="382">
        <f>+'골재사업소(당월)'!H18+'[4]골재사업소(누계)'!H18</f>
        <v>223813.76688247576</v>
      </c>
      <c r="I18" s="233">
        <f t="shared" si="2"/>
        <v>58916.857146008289</v>
      </c>
      <c r="J18" s="232">
        <f>+'골재사업소(당월)'!J18+'[4]골재사업소(누계)'!J18</f>
        <v>50742.915813768479</v>
      </c>
      <c r="K18" s="382">
        <f>+'골재사업소(당월)'!K18+'[4]골재사업소(누계)'!K18</f>
        <v>9311.371154193801</v>
      </c>
      <c r="L18" s="231">
        <f t="shared" si="3"/>
        <v>-41431.544659574676</v>
      </c>
      <c r="M18" s="232">
        <f>+'골재사업소(당월)'!M18+'[4]골재사업소(누계)'!M18</f>
        <v>0</v>
      </c>
      <c r="N18" s="382">
        <f>+'골재사업소(당월)'!N18+'[4]골재사업소(누계)'!N18</f>
        <v>0</v>
      </c>
      <c r="O18" s="231">
        <f t="shared" si="4"/>
        <v>0</v>
      </c>
      <c r="P18" s="408">
        <f>+G18+J18+M18</f>
        <v>215639.82555023595</v>
      </c>
      <c r="Q18" s="382">
        <f>+H18+K18+N18</f>
        <v>233125.13803666955</v>
      </c>
      <c r="R18" s="409">
        <f t="shared" si="5"/>
        <v>17485.312486433599</v>
      </c>
      <c r="S18" s="661">
        <f>+'골재사업소(당월)'!S18+'[4]골재사업소(누계)'!S18</f>
        <v>-102307.88755460083</v>
      </c>
      <c r="T18" s="382">
        <f>+'골재사업소(당월)'!T18+'[4]골재사업소(누계)'!T18</f>
        <v>-52030.951351609307</v>
      </c>
      <c r="U18" s="233">
        <f t="shared" si="6"/>
        <v>50276.936202991528</v>
      </c>
      <c r="V18" s="232">
        <f>+'골재사업소(당월)'!V18+'[4]골재사업소(누계)'!V18</f>
        <v>304867.23493988119</v>
      </c>
      <c r="W18" s="382">
        <f>+'골재사업소(당월)'!W18+'[4]골재사업소(누계)'!W18</f>
        <v>362840.80271077633</v>
      </c>
      <c r="X18" s="231">
        <f t="shared" si="7"/>
        <v>57973.567770895141</v>
      </c>
      <c r="Y18" s="232"/>
      <c r="Z18" s="382">
        <f>+'[9]부산크라샤(당월)'!$L$87</f>
        <v>0</v>
      </c>
      <c r="AA18" s="231">
        <f t="shared" si="8"/>
        <v>0</v>
      </c>
      <c r="AB18" s="408">
        <f t="shared" ref="AB18:AB19" si="14">+S18+V18+Y18</f>
        <v>202559.34738528036</v>
      </c>
      <c r="AC18" s="382">
        <f t="shared" ref="AC18:AC19" si="15">+T18+W18+Z18</f>
        <v>310809.85135916702</v>
      </c>
      <c r="AD18" s="409">
        <f t="shared" si="9"/>
        <v>108250.50397388666</v>
      </c>
      <c r="AE18" s="231">
        <f>+'골재사업소(당월)'!AE18+'[4]골재사업소(누계)'!AB18</f>
        <v>129660.7002654091</v>
      </c>
      <c r="AF18" s="382">
        <f>+'골재사업소(당월)'!AF18+'[4]골재사업소(누계)'!AC18</f>
        <v>241061.519</v>
      </c>
      <c r="AG18" s="231">
        <f t="shared" si="10"/>
        <v>111400.8187345909</v>
      </c>
      <c r="AH18" s="408">
        <f>+P18+AB18+AE18</f>
        <v>547859.87320092542</v>
      </c>
      <c r="AI18" s="382">
        <f>+Q18+AC18+AF18</f>
        <v>784996.50839583657</v>
      </c>
      <c r="AJ18" s="409">
        <f t="shared" si="11"/>
        <v>237136.63519491116</v>
      </c>
      <c r="AL18" s="6" t="b">
        <f>+AL17=AH17</f>
        <v>1</v>
      </c>
      <c r="AM18" s="6" t="b">
        <f>+AM17=AI17</f>
        <v>1</v>
      </c>
    </row>
    <row r="19" spans="4:39" ht="24" customHeight="1">
      <c r="D19" s="76"/>
      <c r="E19" s="166"/>
      <c r="F19" s="245" t="s">
        <v>133</v>
      </c>
      <c r="G19" s="241">
        <f>+'골재사업소(당월)'!G19+'[4]골재사업소(누계)'!G19</f>
        <v>6926.052429369719</v>
      </c>
      <c r="H19" s="383">
        <f>+'골재사업소(당월)'!H19+'[4]골재사업소(누계)'!H19</f>
        <v>-62549.03032706958</v>
      </c>
      <c r="I19" s="244">
        <f t="shared" si="2"/>
        <v>-69475.082756439297</v>
      </c>
      <c r="J19" s="243">
        <f>+'골재사업소(당월)'!J19+'[4]골재사업소(누계)'!J19</f>
        <v>87008.309658771206</v>
      </c>
      <c r="K19" s="383">
        <f>+'골재사업소(당월)'!K19+'[4]골재사업소(누계)'!K19</f>
        <v>38049.038075170065</v>
      </c>
      <c r="L19" s="242">
        <f t="shared" si="3"/>
        <v>-48959.271583601141</v>
      </c>
      <c r="M19" s="243">
        <f>+'골재사업소(당월)'!M19+'[4]골재사업소(누계)'!M19</f>
        <v>88430.108122086094</v>
      </c>
      <c r="N19" s="383">
        <f>+'골재사업소(당월)'!N19+'[4]골재사업소(누계)'!N19</f>
        <v>0</v>
      </c>
      <c r="O19" s="242">
        <f t="shared" si="4"/>
        <v>-88430.108122086094</v>
      </c>
      <c r="P19" s="410">
        <f>+G19+J19+M19</f>
        <v>182364.47021022701</v>
      </c>
      <c r="Q19" s="383">
        <f>+H19+K19+N19</f>
        <v>-24499.992251899515</v>
      </c>
      <c r="R19" s="411">
        <f t="shared" si="5"/>
        <v>-206864.46246212651</v>
      </c>
      <c r="S19" s="241">
        <f>+'골재사업소(당월)'!S19+'[4]골재사업소(누계)'!S19</f>
        <v>-219557.63237129457</v>
      </c>
      <c r="T19" s="383">
        <f>+'골재사업소(당월)'!T19+'[4]골재사업소(누계)'!T19</f>
        <v>-192188.90514240129</v>
      </c>
      <c r="U19" s="244">
        <f t="shared" si="6"/>
        <v>27368.727228893287</v>
      </c>
      <c r="V19" s="243">
        <f>+'골재사업소(당월)'!V19+'[4]골재사업소(누계)'!V19</f>
        <v>159539.14600665518</v>
      </c>
      <c r="W19" s="383">
        <f>+'골재사업소(당월)'!W19+'[4]골재사업소(누계)'!W19</f>
        <v>30191.231770667575</v>
      </c>
      <c r="X19" s="242">
        <f t="shared" si="7"/>
        <v>-129347.91423598761</v>
      </c>
      <c r="Y19" s="243"/>
      <c r="Z19" s="383">
        <f>+'[9]부산크라샤(당월)'!$L$86</f>
        <v>4813.3760625666546</v>
      </c>
      <c r="AA19" s="242">
        <f t="shared" si="8"/>
        <v>4813.3760625666546</v>
      </c>
      <c r="AB19" s="410">
        <f t="shared" si="14"/>
        <v>-60018.486364639393</v>
      </c>
      <c r="AC19" s="383">
        <f t="shared" si="15"/>
        <v>-157184.29730916707</v>
      </c>
      <c r="AD19" s="411">
        <f t="shared" si="9"/>
        <v>-97165.810944527679</v>
      </c>
      <c r="AE19" s="242">
        <f>+'골재사업소(당월)'!AE19+'[4]골재사업소(누계)'!AB19</f>
        <v>75105.439200738881</v>
      </c>
      <c r="AF19" s="383">
        <f>+'골재사업소(당월)'!AF19+'[4]골재사업소(누계)'!AC19</f>
        <v>6649.3641448185954</v>
      </c>
      <c r="AG19" s="242">
        <f t="shared" si="10"/>
        <v>-68456.075055920286</v>
      </c>
      <c r="AH19" s="410">
        <f>+P19+AB19+AE19</f>
        <v>197451.4230463265</v>
      </c>
      <c r="AI19" s="383">
        <f>+Q19+AC19+AF19</f>
        <v>-175034.92541624801</v>
      </c>
      <c r="AJ19" s="411">
        <f t="shared" si="11"/>
        <v>-372486.34846257453</v>
      </c>
    </row>
    <row r="20" spans="4:39" ht="24" customHeight="1">
      <c r="D20" s="76"/>
      <c r="E20" s="667"/>
      <c r="F20" s="240" t="s">
        <v>58</v>
      </c>
      <c r="G20" s="236">
        <f>G18+G19</f>
        <v>171822.96216583718</v>
      </c>
      <c r="H20" s="384">
        <f>H18+H19</f>
        <v>161264.73655540618</v>
      </c>
      <c r="I20" s="239">
        <f t="shared" si="2"/>
        <v>-10558.225610430993</v>
      </c>
      <c r="J20" s="238">
        <f>J18+J19</f>
        <v>137751.22547253969</v>
      </c>
      <c r="K20" s="384">
        <f>K18+K19</f>
        <v>47360.409229363868</v>
      </c>
      <c r="L20" s="237">
        <f t="shared" si="3"/>
        <v>-90390.816243175825</v>
      </c>
      <c r="M20" s="238">
        <f>M18+M19</f>
        <v>88430.108122086094</v>
      </c>
      <c r="N20" s="384">
        <f>N18+N19</f>
        <v>0</v>
      </c>
      <c r="O20" s="237">
        <f t="shared" si="4"/>
        <v>-88430.108122086094</v>
      </c>
      <c r="P20" s="412">
        <f>P18+P19</f>
        <v>398004.29576046299</v>
      </c>
      <c r="Q20" s="384">
        <f>Q18+Q19</f>
        <v>208625.14578477002</v>
      </c>
      <c r="R20" s="413">
        <f t="shared" si="5"/>
        <v>-189379.14997569297</v>
      </c>
      <c r="S20" s="236">
        <f>S18+S19</f>
        <v>-321865.51992589538</v>
      </c>
      <c r="T20" s="384">
        <f>T18+T19</f>
        <v>-244219.8564940106</v>
      </c>
      <c r="U20" s="239">
        <f t="shared" si="6"/>
        <v>77645.663431884779</v>
      </c>
      <c r="V20" s="238">
        <f>V18+V19</f>
        <v>464406.38094653637</v>
      </c>
      <c r="W20" s="384">
        <f>W18+W19</f>
        <v>393032.03448144393</v>
      </c>
      <c r="X20" s="237">
        <f t="shared" si="7"/>
        <v>-71374.346465092443</v>
      </c>
      <c r="Y20" s="238"/>
      <c r="Z20" s="384">
        <f>Z18+Z19</f>
        <v>4813.3760625666546</v>
      </c>
      <c r="AA20" s="237">
        <f t="shared" si="8"/>
        <v>4813.3760625666546</v>
      </c>
      <c r="AB20" s="412">
        <f>AB18+AB19</f>
        <v>142540.86102064096</v>
      </c>
      <c r="AC20" s="384">
        <f>AC18+AC19</f>
        <v>153625.55404999995</v>
      </c>
      <c r="AD20" s="413">
        <f t="shared" si="9"/>
        <v>11084.693029358983</v>
      </c>
      <c r="AE20" s="237">
        <f>AE18+AE19</f>
        <v>204766.13946614799</v>
      </c>
      <c r="AF20" s="384">
        <f>AF18+AF19</f>
        <v>247710.8831448186</v>
      </c>
      <c r="AG20" s="237">
        <f t="shared" si="10"/>
        <v>42944.743678670609</v>
      </c>
      <c r="AH20" s="412">
        <f>AH18+AH19</f>
        <v>745311.29624725191</v>
      </c>
      <c r="AI20" s="384">
        <f>AI18+AI19</f>
        <v>609961.58297958854</v>
      </c>
      <c r="AJ20" s="413">
        <f t="shared" si="11"/>
        <v>-135349.71326766338</v>
      </c>
      <c r="AL20" s="6">
        <f>+'골재사업소(당월)'!AL20+'[4]골재사업소(누계)'!AI20</f>
        <v>745311.29624725145</v>
      </c>
      <c r="AM20" s="6">
        <f>+'골재사업소(당월)'!AM20+'[4]골재사업소(누계)'!AJ20</f>
        <v>609961.58296958881</v>
      </c>
    </row>
    <row r="21" spans="4:39" ht="24" customHeight="1">
      <c r="D21" s="76"/>
      <c r="E21" s="235" t="s">
        <v>132</v>
      </c>
      <c r="F21" s="234" t="s">
        <v>25</v>
      </c>
      <c r="G21" s="230">
        <f>+'골재사업소(당월)'!G21+'[4]골재사업소(누계)'!G21</f>
        <v>0</v>
      </c>
      <c r="H21" s="382">
        <f>+'골재사업소(당월)'!H21+'[4]골재사업소(누계)'!H21</f>
        <v>4208</v>
      </c>
      <c r="I21" s="233">
        <f t="shared" si="2"/>
        <v>4208</v>
      </c>
      <c r="J21" s="232">
        <f>+'골재사업소(당월)'!J21+'[4]골재사업소(누계)'!J21</f>
        <v>0</v>
      </c>
      <c r="K21" s="382">
        <f>+'골재사업소(당월)'!K21+'[4]골재사업소(누계)'!K21</f>
        <v>0</v>
      </c>
      <c r="L21" s="231">
        <f t="shared" si="3"/>
        <v>0</v>
      </c>
      <c r="M21" s="232">
        <f>+'골재사업소(당월)'!M21+'[4]골재사업소(누계)'!M21</f>
        <v>0</v>
      </c>
      <c r="N21" s="382">
        <f>+'골재사업소(당월)'!N21+'[4]골재사업소(누계)'!N21</f>
        <v>0</v>
      </c>
      <c r="O21" s="231">
        <f t="shared" si="4"/>
        <v>0</v>
      </c>
      <c r="P21" s="408">
        <f t="shared" ref="P21:Q26" si="16">+G21+J21+M21</f>
        <v>0</v>
      </c>
      <c r="Q21" s="382">
        <f t="shared" si="16"/>
        <v>4208</v>
      </c>
      <c r="R21" s="409">
        <f t="shared" si="5"/>
        <v>4208</v>
      </c>
      <c r="S21" s="230">
        <f>+'골재사업소(당월)'!S21+'[4]골재사업소(누계)'!S21</f>
        <v>73305.662613302033</v>
      </c>
      <c r="T21" s="382">
        <f>+'골재사업소(당월)'!T21+'[4]골재사업소(누계)'!T21</f>
        <v>74844</v>
      </c>
      <c r="U21" s="233">
        <f t="shared" si="6"/>
        <v>1538.3373866979673</v>
      </c>
      <c r="V21" s="232">
        <f>+'골재사업소(당월)'!V21+'[4]골재사업소(누계)'!V21</f>
        <v>51435.21563415444</v>
      </c>
      <c r="W21" s="382">
        <f>+'골재사업소(당월)'!W21+'[4]골재사업소(누계)'!W21</f>
        <v>53153</v>
      </c>
      <c r="X21" s="231">
        <f t="shared" si="7"/>
        <v>1717.7843658455604</v>
      </c>
      <c r="Y21" s="232"/>
      <c r="Z21" s="382">
        <f>+'[9]부산크라샤(당월)'!$L$60</f>
        <v>0</v>
      </c>
      <c r="AA21" s="231">
        <f t="shared" si="8"/>
        <v>0</v>
      </c>
      <c r="AB21" s="408">
        <f t="shared" ref="AB21:AB32" si="17">+S21+V21+Y21</f>
        <v>124740.87824745648</v>
      </c>
      <c r="AC21" s="382">
        <f t="shared" ref="AC21:AC32" si="18">+T21+W21+Z21</f>
        <v>127997</v>
      </c>
      <c r="AD21" s="409">
        <f t="shared" si="9"/>
        <v>3256.1217525435204</v>
      </c>
      <c r="AE21" s="231">
        <f>+'골재사업소(당월)'!AE21+'[4]골재사업소(누계)'!AB21</f>
        <v>29038.545520752468</v>
      </c>
      <c r="AF21" s="382">
        <f>+'골재사업소(당월)'!AF21+'[4]골재사업소(누계)'!AC21</f>
        <v>32293</v>
      </c>
      <c r="AG21" s="231">
        <f t="shared" si="10"/>
        <v>3254.4544792475317</v>
      </c>
      <c r="AH21" s="408">
        <f t="shared" ref="AH21:AI26" si="19">+P21+AB21+AE21</f>
        <v>153779.42376820894</v>
      </c>
      <c r="AI21" s="382">
        <f t="shared" si="19"/>
        <v>164498</v>
      </c>
      <c r="AJ21" s="409">
        <f t="shared" si="11"/>
        <v>10718.576231791056</v>
      </c>
      <c r="AL21" s="595" t="b">
        <f>+AL20=AH20</f>
        <v>0</v>
      </c>
      <c r="AM21" s="595" t="b">
        <f>+AM20=AI20</f>
        <v>0</v>
      </c>
    </row>
    <row r="22" spans="4:39" ht="24" customHeight="1">
      <c r="D22" s="76"/>
      <c r="E22" s="166" t="s">
        <v>0</v>
      </c>
      <c r="F22" s="221" t="s">
        <v>26</v>
      </c>
      <c r="G22" s="226">
        <f>+'골재사업소(당월)'!G22+'[4]골재사업소(누계)'!G22</f>
        <v>63871.466666666667</v>
      </c>
      <c r="H22" s="385">
        <f>+'골재사업소(당월)'!H22+'[4]골재사업소(누계)'!H22</f>
        <v>79750</v>
      </c>
      <c r="I22" s="229">
        <f t="shared" si="2"/>
        <v>15878.533333333333</v>
      </c>
      <c r="J22" s="228">
        <f>+'골재사업소(당월)'!J22+'[4]골재사업소(누계)'!J22</f>
        <v>4996.3999999999996</v>
      </c>
      <c r="K22" s="385">
        <f>+'골재사업소(당월)'!K22+'[4]골재사업소(누계)'!K22</f>
        <v>640</v>
      </c>
      <c r="L22" s="227">
        <f t="shared" si="3"/>
        <v>-4356.3999999999996</v>
      </c>
      <c r="M22" s="228">
        <f>+'골재사업소(당월)'!M22+'[4]골재사업소(누계)'!M22</f>
        <v>0</v>
      </c>
      <c r="N22" s="385">
        <f>+'골재사업소(당월)'!N22+'[4]골재사업소(누계)'!N22</f>
        <v>0</v>
      </c>
      <c r="O22" s="227">
        <f t="shared" si="4"/>
        <v>0</v>
      </c>
      <c r="P22" s="414">
        <f t="shared" si="16"/>
        <v>68867.866666666669</v>
      </c>
      <c r="Q22" s="385">
        <f t="shared" si="16"/>
        <v>80390</v>
      </c>
      <c r="R22" s="415">
        <f t="shared" si="5"/>
        <v>11522.133333333331</v>
      </c>
      <c r="S22" s="226">
        <f>+'골재사업소(당월)'!S22+'[4]골재사업소(누계)'!S22</f>
        <v>0</v>
      </c>
      <c r="T22" s="385">
        <f>+'골재사업소(당월)'!T22+'[4]골재사업소(누계)'!T22</f>
        <v>4672</v>
      </c>
      <c r="U22" s="229">
        <f t="shared" si="6"/>
        <v>4672</v>
      </c>
      <c r="V22" s="228">
        <f>+'골재사업소(당월)'!V22+'[4]골재사업소(누계)'!V22</f>
        <v>15444.85483870968</v>
      </c>
      <c r="W22" s="385">
        <f>+'골재사업소(당월)'!W22+'[4]골재사업소(누계)'!W22</f>
        <v>29936</v>
      </c>
      <c r="X22" s="227">
        <f t="shared" si="7"/>
        <v>14491.14516129032</v>
      </c>
      <c r="Y22" s="228"/>
      <c r="Z22" s="385">
        <f>+'[9]부산크라샤(당월)'!$L$61</f>
        <v>0</v>
      </c>
      <c r="AA22" s="227">
        <f t="shared" si="8"/>
        <v>0</v>
      </c>
      <c r="AB22" s="414">
        <f t="shared" si="17"/>
        <v>15444.85483870968</v>
      </c>
      <c r="AC22" s="385">
        <f t="shared" si="18"/>
        <v>34608</v>
      </c>
      <c r="AD22" s="415">
        <f t="shared" si="9"/>
        <v>19163.145161290318</v>
      </c>
      <c r="AE22" s="227">
        <f>+'골재사업소(당월)'!AE22+'[4]골재사업소(누계)'!AB22</f>
        <v>22975.328671328669</v>
      </c>
      <c r="AF22" s="385">
        <f>+'골재사업소(당월)'!AF22+'[4]골재사업소(누계)'!AC22</f>
        <v>17792</v>
      </c>
      <c r="AG22" s="227">
        <f t="shared" si="10"/>
        <v>-5183.3286713286689</v>
      </c>
      <c r="AH22" s="414">
        <f t="shared" si="19"/>
        <v>107288.05017670502</v>
      </c>
      <c r="AI22" s="385">
        <f t="shared" si="19"/>
        <v>132790</v>
      </c>
      <c r="AJ22" s="415">
        <f t="shared" si="11"/>
        <v>25501.949823294985</v>
      </c>
      <c r="AL22" s="99">
        <f>+AH20-AL20</f>
        <v>0</v>
      </c>
      <c r="AM22" s="99">
        <f>+AI20-AM20</f>
        <v>9.9997268989682198E-6</v>
      </c>
    </row>
    <row r="23" spans="4:39" ht="24" customHeight="1">
      <c r="D23" s="76"/>
      <c r="E23" s="166"/>
      <c r="F23" s="221" t="s">
        <v>27</v>
      </c>
      <c r="G23" s="226">
        <f>+'골재사업소(당월)'!G23+'[4]골재사업소(누계)'!G23</f>
        <v>3873.333333333333</v>
      </c>
      <c r="H23" s="385">
        <f>+'골재사업소(당월)'!H23+'[4]골재사업소(누계)'!H23</f>
        <v>6704</v>
      </c>
      <c r="I23" s="229">
        <f t="shared" si="2"/>
        <v>2830.666666666667</v>
      </c>
      <c r="J23" s="228">
        <f>+'골재사업소(당월)'!J23+'[4]골재사업소(누계)'!J23</f>
        <v>0</v>
      </c>
      <c r="K23" s="385">
        <f>+'골재사업소(당월)'!K23+'[4]골재사업소(누계)'!K23</f>
        <v>0</v>
      </c>
      <c r="L23" s="227">
        <f t="shared" si="3"/>
        <v>0</v>
      </c>
      <c r="M23" s="228">
        <f>+'골재사업소(당월)'!M23+'[4]골재사업소(누계)'!M23</f>
        <v>0</v>
      </c>
      <c r="N23" s="385">
        <f>+'골재사업소(당월)'!N23+'[4]골재사업소(누계)'!N23</f>
        <v>0</v>
      </c>
      <c r="O23" s="227">
        <f t="shared" si="4"/>
        <v>0</v>
      </c>
      <c r="P23" s="414">
        <f t="shared" si="16"/>
        <v>3873.333333333333</v>
      </c>
      <c r="Q23" s="385">
        <f t="shared" si="16"/>
        <v>6704</v>
      </c>
      <c r="R23" s="415">
        <f t="shared" si="5"/>
        <v>2830.666666666667</v>
      </c>
      <c r="S23" s="226">
        <f>+'골재사업소(당월)'!S23+'[4]골재사업소(누계)'!S23</f>
        <v>0</v>
      </c>
      <c r="T23" s="385">
        <f>+'골재사업소(당월)'!T23+'[4]골재사업소(누계)'!T23</f>
        <v>0</v>
      </c>
      <c r="U23" s="229">
        <f t="shared" si="6"/>
        <v>0</v>
      </c>
      <c r="V23" s="228">
        <f>+'골재사업소(당월)'!V23+'[4]골재사업소(누계)'!V23</f>
        <v>0</v>
      </c>
      <c r="W23" s="385">
        <f>+'골재사업소(당월)'!W23+'[4]골재사업소(누계)'!W23</f>
        <v>0</v>
      </c>
      <c r="X23" s="227">
        <f t="shared" si="7"/>
        <v>0</v>
      </c>
      <c r="Y23" s="228"/>
      <c r="Z23" s="385">
        <f>+'[9]부산크라샤(당월)'!$L$62</f>
        <v>0</v>
      </c>
      <c r="AA23" s="227">
        <f t="shared" si="8"/>
        <v>0</v>
      </c>
      <c r="AB23" s="414">
        <f t="shared" si="17"/>
        <v>0</v>
      </c>
      <c r="AC23" s="385">
        <f t="shared" si="18"/>
        <v>0</v>
      </c>
      <c r="AD23" s="415">
        <f t="shared" si="9"/>
        <v>0</v>
      </c>
      <c r="AE23" s="227">
        <f>+'골재사업소(당월)'!AE23+'[4]골재사업소(누계)'!AB23</f>
        <v>15013.986013986014</v>
      </c>
      <c r="AF23" s="385">
        <f>+'골재사업소(당월)'!AF23+'[4]골재사업소(누계)'!AC23</f>
        <v>0</v>
      </c>
      <c r="AG23" s="227">
        <f t="shared" si="10"/>
        <v>-15013.986013986014</v>
      </c>
      <c r="AH23" s="414">
        <f t="shared" si="19"/>
        <v>18887.319347319346</v>
      </c>
      <c r="AI23" s="385">
        <f t="shared" si="19"/>
        <v>6704</v>
      </c>
      <c r="AJ23" s="415">
        <f t="shared" si="11"/>
        <v>-12183.319347319346</v>
      </c>
    </row>
    <row r="24" spans="4:39" ht="24" customHeight="1">
      <c r="D24" s="76"/>
      <c r="E24" s="166"/>
      <c r="F24" s="221" t="s">
        <v>28</v>
      </c>
      <c r="G24" s="226">
        <f>+'골재사업소(당월)'!G24+'[4]골재사업소(누계)'!G24</f>
        <v>0</v>
      </c>
      <c r="H24" s="385">
        <f>+'골재사업소(당월)'!H24+'[4]골재사업소(누계)'!H24</f>
        <v>0</v>
      </c>
      <c r="I24" s="229">
        <f t="shared" si="2"/>
        <v>0</v>
      </c>
      <c r="J24" s="228">
        <f>+'골재사업소(당월)'!J24+'[4]골재사업소(누계)'!J24</f>
        <v>0</v>
      </c>
      <c r="K24" s="385">
        <f>+'골재사업소(당월)'!K24+'[4]골재사업소(누계)'!K24</f>
        <v>0</v>
      </c>
      <c r="L24" s="227">
        <f t="shared" si="3"/>
        <v>0</v>
      </c>
      <c r="M24" s="228">
        <f>+'골재사업소(당월)'!M24+'[4]골재사업소(누계)'!M24</f>
        <v>0</v>
      </c>
      <c r="N24" s="385">
        <f>+'골재사업소(당월)'!N24+'[4]골재사업소(누계)'!N24</f>
        <v>0</v>
      </c>
      <c r="O24" s="227">
        <f t="shared" si="4"/>
        <v>0</v>
      </c>
      <c r="P24" s="414">
        <f t="shared" si="16"/>
        <v>0</v>
      </c>
      <c r="Q24" s="385">
        <f t="shared" si="16"/>
        <v>0</v>
      </c>
      <c r="R24" s="415">
        <f t="shared" si="5"/>
        <v>0</v>
      </c>
      <c r="S24" s="226">
        <f>+'골재사업소(당월)'!S24+'[4]골재사업소(누계)'!S24</f>
        <v>0</v>
      </c>
      <c r="T24" s="385">
        <f>+'골재사업소(당월)'!T24+'[4]골재사업소(누계)'!T24</f>
        <v>0</v>
      </c>
      <c r="U24" s="229">
        <f t="shared" si="6"/>
        <v>0</v>
      </c>
      <c r="V24" s="228">
        <f>+'골재사업소(당월)'!V24+'[4]골재사업소(누계)'!V24</f>
        <v>0</v>
      </c>
      <c r="W24" s="385">
        <f>+'골재사업소(당월)'!W24+'[4]골재사업소(누계)'!W24</f>
        <v>2560</v>
      </c>
      <c r="X24" s="227">
        <f t="shared" si="7"/>
        <v>2560</v>
      </c>
      <c r="Y24" s="228"/>
      <c r="Z24" s="385">
        <f>+'[9]부산크라샤(당월)'!$L$63</f>
        <v>0</v>
      </c>
      <c r="AA24" s="227">
        <f t="shared" si="8"/>
        <v>0</v>
      </c>
      <c r="AB24" s="414">
        <f t="shared" si="17"/>
        <v>0</v>
      </c>
      <c r="AC24" s="385">
        <f t="shared" si="18"/>
        <v>2560</v>
      </c>
      <c r="AD24" s="415">
        <f t="shared" si="9"/>
        <v>2560</v>
      </c>
      <c r="AE24" s="227">
        <f>+'골재사업소(당월)'!AE24+'[4]골재사업소(누계)'!AB24</f>
        <v>28256.223776223778</v>
      </c>
      <c r="AF24" s="385">
        <f>+'골재사업소(당월)'!AF24+'[4]골재사업소(누계)'!AC24</f>
        <v>0</v>
      </c>
      <c r="AG24" s="227">
        <f t="shared" si="10"/>
        <v>-28256.223776223778</v>
      </c>
      <c r="AH24" s="414">
        <f t="shared" si="19"/>
        <v>28256.223776223778</v>
      </c>
      <c r="AI24" s="385">
        <f t="shared" si="19"/>
        <v>2560</v>
      </c>
      <c r="AJ24" s="415">
        <f t="shared" si="11"/>
        <v>-25696.223776223778</v>
      </c>
    </row>
    <row r="25" spans="4:39" ht="24" customHeight="1">
      <c r="D25" s="76"/>
      <c r="E25" s="166"/>
      <c r="F25" s="221" t="s">
        <v>29</v>
      </c>
      <c r="G25" s="226">
        <f>+'골재사업소(당월)'!G25+'[4]골재사업소(누계)'!G25</f>
        <v>0</v>
      </c>
      <c r="H25" s="385">
        <f>+'골재사업소(당월)'!H25+'[4]골재사업소(누계)'!H25</f>
        <v>0</v>
      </c>
      <c r="I25" s="229">
        <f t="shared" si="2"/>
        <v>0</v>
      </c>
      <c r="J25" s="228">
        <f>+'골재사업소(당월)'!J25+'[4]골재사업소(누계)'!J25</f>
        <v>1450.66688</v>
      </c>
      <c r="K25" s="385">
        <f>+'골재사업소(당월)'!K25+'[4]골재사업소(누계)'!K25</f>
        <v>1184</v>
      </c>
      <c r="L25" s="227">
        <f t="shared" si="3"/>
        <v>-266.66687999999999</v>
      </c>
      <c r="M25" s="228">
        <f>+'골재사업소(당월)'!M25+'[4]골재사업소(누계)'!M25</f>
        <v>0</v>
      </c>
      <c r="N25" s="385">
        <f>+'골재사업소(당월)'!N25+'[4]골재사업소(누계)'!N25</f>
        <v>0</v>
      </c>
      <c r="O25" s="227">
        <f t="shared" si="4"/>
        <v>0</v>
      </c>
      <c r="P25" s="414">
        <f t="shared" si="16"/>
        <v>1450.66688</v>
      </c>
      <c r="Q25" s="385">
        <f t="shared" si="16"/>
        <v>1184</v>
      </c>
      <c r="R25" s="415">
        <f t="shared" si="5"/>
        <v>-266.66687999999999</v>
      </c>
      <c r="S25" s="226">
        <f>+'골재사업소(당월)'!S25+'[4]골재사업소(누계)'!S25</f>
        <v>0</v>
      </c>
      <c r="T25" s="385">
        <f>+'골재사업소(당월)'!T25+'[4]골재사업소(누계)'!T25</f>
        <v>0</v>
      </c>
      <c r="U25" s="229">
        <f t="shared" si="6"/>
        <v>0</v>
      </c>
      <c r="V25" s="228">
        <f>+'골재사업소(당월)'!V25+'[4]골재사업소(누계)'!V25</f>
        <v>0</v>
      </c>
      <c r="W25" s="385">
        <f>+'골재사업소(당월)'!W25+'[4]골재사업소(누계)'!W25</f>
        <v>240</v>
      </c>
      <c r="X25" s="227">
        <f t="shared" si="7"/>
        <v>240</v>
      </c>
      <c r="Y25" s="228"/>
      <c r="Z25" s="385">
        <f>+'[9]부산크라샤(당월)'!$L$64</f>
        <v>0</v>
      </c>
      <c r="AA25" s="227">
        <f t="shared" si="8"/>
        <v>0</v>
      </c>
      <c r="AB25" s="414">
        <f t="shared" si="17"/>
        <v>0</v>
      </c>
      <c r="AC25" s="385">
        <f t="shared" si="18"/>
        <v>240</v>
      </c>
      <c r="AD25" s="415">
        <f t="shared" si="9"/>
        <v>240</v>
      </c>
      <c r="AE25" s="227">
        <f>+'골재사업소(당월)'!AE25+'[4]골재사업소(누계)'!AB25</f>
        <v>7277.454545454545</v>
      </c>
      <c r="AF25" s="385">
        <f>+'골재사업소(당월)'!AF25+'[4]골재사업소(누계)'!AC25</f>
        <v>13792</v>
      </c>
      <c r="AG25" s="227">
        <f t="shared" si="10"/>
        <v>6514.545454545455</v>
      </c>
      <c r="AH25" s="414">
        <f t="shared" si="19"/>
        <v>8728.1214254545448</v>
      </c>
      <c r="AI25" s="385">
        <f t="shared" si="19"/>
        <v>15216</v>
      </c>
      <c r="AJ25" s="415">
        <f t="shared" si="11"/>
        <v>6487.8785745454552</v>
      </c>
    </row>
    <row r="26" spans="4:39" ht="24" customHeight="1">
      <c r="D26" s="76"/>
      <c r="E26" s="166"/>
      <c r="F26" s="221" t="s">
        <v>30</v>
      </c>
      <c r="G26" s="226">
        <f>+'골재사업소(당월)'!G26+'[4]골재사업소(누계)'!G26</f>
        <v>2847</v>
      </c>
      <c r="H26" s="385">
        <f>+'골재사업소(당월)'!H26+'[4]골재사업소(누계)'!H26</f>
        <v>3504</v>
      </c>
      <c r="I26" s="229">
        <f t="shared" si="2"/>
        <v>657</v>
      </c>
      <c r="J26" s="228">
        <f>+'골재사업소(당월)'!J26+'[4]골재사업소(누계)'!J26</f>
        <v>1645.6</v>
      </c>
      <c r="K26" s="385">
        <f>+'골재사업소(당월)'!K26+'[4]골재사업소(누계)'!K26</f>
        <v>240</v>
      </c>
      <c r="L26" s="227">
        <f t="shared" si="3"/>
        <v>-1405.6</v>
      </c>
      <c r="M26" s="228">
        <f>+'골재사업소(당월)'!M26+'[4]골재사업소(누계)'!M26</f>
        <v>0</v>
      </c>
      <c r="N26" s="385">
        <f>+'골재사업소(당월)'!N26+'[4]골재사업소(누계)'!N26</f>
        <v>0</v>
      </c>
      <c r="O26" s="227">
        <f t="shared" si="4"/>
        <v>0</v>
      </c>
      <c r="P26" s="414">
        <f t="shared" si="16"/>
        <v>4492.6000000000004</v>
      </c>
      <c r="Q26" s="383">
        <f t="shared" si="16"/>
        <v>3744</v>
      </c>
      <c r="R26" s="433">
        <f t="shared" si="5"/>
        <v>-748.60000000000036</v>
      </c>
      <c r="S26" s="226">
        <f>+'골재사업소(당월)'!S26+'[4]골재사업소(누계)'!S26</f>
        <v>0</v>
      </c>
      <c r="T26" s="385">
        <f>+'골재사업소(당월)'!T26+'[4]골재사업소(누계)'!T26</f>
        <v>0</v>
      </c>
      <c r="U26" s="229">
        <f t="shared" si="6"/>
        <v>0</v>
      </c>
      <c r="V26" s="228">
        <f>+'골재사업소(당월)'!V26+'[4]골재사업소(누계)'!V26</f>
        <v>0</v>
      </c>
      <c r="W26" s="385">
        <f>+'골재사업소(당월)'!W26+'[4]골재사업소(누계)'!W26</f>
        <v>0</v>
      </c>
      <c r="X26" s="227">
        <f t="shared" si="7"/>
        <v>0</v>
      </c>
      <c r="Y26" s="228"/>
      <c r="Z26" s="385">
        <f>+'[9]부산크라샤(당월)'!$L$65</f>
        <v>0</v>
      </c>
      <c r="AA26" s="227">
        <f t="shared" si="8"/>
        <v>0</v>
      </c>
      <c r="AB26" s="414">
        <f t="shared" si="17"/>
        <v>0</v>
      </c>
      <c r="AC26" s="383">
        <f t="shared" si="18"/>
        <v>0</v>
      </c>
      <c r="AD26" s="433">
        <f t="shared" si="9"/>
        <v>0</v>
      </c>
      <c r="AE26" s="227">
        <f>+'골재사업소(당월)'!AE26+'[4]골재사업소(누계)'!AB26</f>
        <v>0</v>
      </c>
      <c r="AF26" s="385">
        <f>+'골재사업소(당월)'!AF26+'[4]골재사업소(누계)'!AC26</f>
        <v>0</v>
      </c>
      <c r="AG26" s="227">
        <f t="shared" si="10"/>
        <v>0</v>
      </c>
      <c r="AH26" s="414">
        <f t="shared" si="19"/>
        <v>4492.6000000000004</v>
      </c>
      <c r="AI26" s="383">
        <f t="shared" si="19"/>
        <v>3744</v>
      </c>
      <c r="AJ26" s="415">
        <f t="shared" si="11"/>
        <v>-748.60000000000036</v>
      </c>
    </row>
    <row r="27" spans="4:39" ht="24" customHeight="1">
      <c r="D27" s="76"/>
      <c r="E27" s="225" t="s">
        <v>132</v>
      </c>
      <c r="F27" s="224" t="s">
        <v>25</v>
      </c>
      <c r="G27" s="192">
        <f>IFERROR(G35/G21,)*1000</f>
        <v>0</v>
      </c>
      <c r="H27" s="386">
        <f t="shared" ref="H27:H32" si="20">IFERROR(H35/H21,)*1000</f>
        <v>12500</v>
      </c>
      <c r="I27" s="193">
        <f t="shared" si="2"/>
        <v>12500</v>
      </c>
      <c r="J27" s="223">
        <f t="shared" ref="J27:K27" si="21">IFERROR(J35/J21,)*1000</f>
        <v>0</v>
      </c>
      <c r="K27" s="386">
        <f t="shared" si="21"/>
        <v>0</v>
      </c>
      <c r="L27" s="205">
        <f t="shared" si="3"/>
        <v>0</v>
      </c>
      <c r="M27" s="223">
        <f t="shared" ref="M27:N27" si="22">IFERROR(M35/M21,)*1000</f>
        <v>0</v>
      </c>
      <c r="N27" s="386">
        <f t="shared" si="22"/>
        <v>0</v>
      </c>
      <c r="O27" s="205">
        <f t="shared" si="4"/>
        <v>0</v>
      </c>
      <c r="P27" s="428">
        <f>+IFERROR(HLOOKUP($A$1,[14]손익!$G$5:$AB$252,48,),)</f>
        <v>9000</v>
      </c>
      <c r="Q27" s="424">
        <f t="shared" ref="Q27:Q32" si="23">IFERROR(Q35/Q21,)*1000</f>
        <v>12500</v>
      </c>
      <c r="R27" s="434">
        <f t="shared" si="5"/>
        <v>3500</v>
      </c>
      <c r="S27" s="192">
        <f t="shared" ref="S27:T27" si="24">IFERROR(S35/S21,)*1000</f>
        <v>16000</v>
      </c>
      <c r="T27" s="386">
        <f t="shared" si="24"/>
        <v>17500</v>
      </c>
      <c r="U27" s="193">
        <f t="shared" si="6"/>
        <v>1500</v>
      </c>
      <c r="V27" s="223">
        <f t="shared" ref="V27:W27" si="25">IFERROR(V35/V21,)*1000</f>
        <v>23000.000000000004</v>
      </c>
      <c r="W27" s="386">
        <f t="shared" si="25"/>
        <v>23500</v>
      </c>
      <c r="X27" s="205">
        <f t="shared" si="7"/>
        <v>499.99999999999636</v>
      </c>
      <c r="Y27" s="223"/>
      <c r="Z27" s="386">
        <f t="shared" ref="Z27:Z32" si="26">IFERROR(Z35/Z21,)*1000</f>
        <v>0</v>
      </c>
      <c r="AA27" s="205">
        <f t="shared" si="8"/>
        <v>0</v>
      </c>
      <c r="AB27" s="428">
        <f t="shared" si="17"/>
        <v>39000</v>
      </c>
      <c r="AC27" s="424">
        <f t="shared" si="18"/>
        <v>41000</v>
      </c>
      <c r="AD27" s="434">
        <f t="shared" si="9"/>
        <v>2000</v>
      </c>
      <c r="AE27" s="205">
        <f t="shared" ref="AE27:AF27" si="27">IFERROR(AE35/AE21,)*1000</f>
        <v>31780.882578847388</v>
      </c>
      <c r="AF27" s="386">
        <f t="shared" si="27"/>
        <v>32396.692781717396</v>
      </c>
      <c r="AG27" s="205">
        <f t="shared" si="10"/>
        <v>615.81020287000865</v>
      </c>
      <c r="AH27" s="416">
        <f t="shared" ref="AH27:AH32" si="28">+AH35/AH21*1000</f>
        <v>21321.260585525484</v>
      </c>
      <c r="AI27" s="386">
        <f t="shared" ref="AI27:AI32" si="29">IFERROR(AI35/AI21,)*1000</f>
        <v>22235.236294666196</v>
      </c>
      <c r="AJ27" s="417">
        <f t="shared" si="11"/>
        <v>913.97570914071184</v>
      </c>
    </row>
    <row r="28" spans="4:39" ht="24" customHeight="1">
      <c r="D28" s="76"/>
      <c r="E28" s="166" t="s">
        <v>131</v>
      </c>
      <c r="F28" s="221" t="s">
        <v>26</v>
      </c>
      <c r="G28" s="190">
        <f t="shared" ref="G28" si="30">IFERROR(G36/G22,)*1000</f>
        <v>16000</v>
      </c>
      <c r="H28" s="95">
        <f t="shared" si="20"/>
        <v>17000</v>
      </c>
      <c r="I28" s="191">
        <f t="shared" si="2"/>
        <v>1000</v>
      </c>
      <c r="J28" s="220">
        <f t="shared" ref="J28:K28" si="31">IFERROR(J36/J22,)*1000</f>
        <v>17968.417260427505</v>
      </c>
      <c r="K28" s="95">
        <f t="shared" si="31"/>
        <v>10500</v>
      </c>
      <c r="L28" s="196">
        <f t="shared" si="3"/>
        <v>-7468.4172604275045</v>
      </c>
      <c r="M28" s="220">
        <f t="shared" ref="M28:N28" si="32">IFERROR(M36/M22,)*1000</f>
        <v>0</v>
      </c>
      <c r="N28" s="95">
        <f t="shared" si="32"/>
        <v>0</v>
      </c>
      <c r="O28" s="196">
        <f t="shared" si="4"/>
        <v>0</v>
      </c>
      <c r="P28" s="429">
        <f>+IFERROR(HLOOKUP($A$1,[14]손익!$G$5:$AB$252,49,),)</f>
        <v>10555.727554179568</v>
      </c>
      <c r="Q28" s="425">
        <f t="shared" si="23"/>
        <v>16948.25227018286</v>
      </c>
      <c r="R28" s="435">
        <f t="shared" si="5"/>
        <v>6392.5247160032923</v>
      </c>
      <c r="S28" s="190">
        <f t="shared" ref="S28:T28" si="33">IFERROR(S36/S22,)*1000</f>
        <v>0</v>
      </c>
      <c r="T28" s="95">
        <f t="shared" si="33"/>
        <v>12000</v>
      </c>
      <c r="U28" s="191">
        <f t="shared" si="6"/>
        <v>12000</v>
      </c>
      <c r="V28" s="220">
        <f t="shared" ref="V28:W28" si="34">IFERROR(V36/V22,)*1000</f>
        <v>18999.999999999996</v>
      </c>
      <c r="W28" s="95">
        <f t="shared" si="34"/>
        <v>20000</v>
      </c>
      <c r="X28" s="196">
        <f t="shared" si="7"/>
        <v>1000.0000000000036</v>
      </c>
      <c r="Y28" s="220"/>
      <c r="Z28" s="95">
        <f t="shared" si="26"/>
        <v>0</v>
      </c>
      <c r="AA28" s="196">
        <f t="shared" si="8"/>
        <v>0</v>
      </c>
      <c r="AB28" s="429">
        <f t="shared" si="17"/>
        <v>18999.999999999996</v>
      </c>
      <c r="AC28" s="425">
        <f t="shared" si="18"/>
        <v>32000</v>
      </c>
      <c r="AD28" s="435">
        <f t="shared" si="9"/>
        <v>13000.000000000004</v>
      </c>
      <c r="AE28" s="196">
        <f t="shared" ref="AE28:AF28" si="35">IFERROR(AE36/AE22,)*1000</f>
        <v>28000.000000000007</v>
      </c>
      <c r="AF28" s="95">
        <f t="shared" si="35"/>
        <v>28005.358812949638</v>
      </c>
      <c r="AG28" s="196">
        <f t="shared" si="10"/>
        <v>5.3588129496311012</v>
      </c>
      <c r="AH28" s="418">
        <f t="shared" si="28"/>
        <v>19093.294248758109</v>
      </c>
      <c r="AI28" s="95">
        <f t="shared" si="29"/>
        <v>18943.635394231493</v>
      </c>
      <c r="AJ28" s="419">
        <f t="shared" si="11"/>
        <v>-149.65885452661678</v>
      </c>
    </row>
    <row r="29" spans="4:39" ht="24" customHeight="1">
      <c r="D29" s="76"/>
      <c r="E29" s="166"/>
      <c r="F29" s="221" t="s">
        <v>27</v>
      </c>
      <c r="G29" s="190">
        <f t="shared" ref="G29" si="36">IFERROR(G37/G23,)*1000</f>
        <v>10000</v>
      </c>
      <c r="H29" s="95">
        <f t="shared" si="20"/>
        <v>11500</v>
      </c>
      <c r="I29" s="191">
        <f t="shared" si="2"/>
        <v>1500</v>
      </c>
      <c r="J29" s="220">
        <f t="shared" ref="J29:K29" si="37">IFERROR(J37/J23,)*1000</f>
        <v>0</v>
      </c>
      <c r="K29" s="95">
        <f t="shared" si="37"/>
        <v>0</v>
      </c>
      <c r="L29" s="196">
        <f t="shared" si="3"/>
        <v>0</v>
      </c>
      <c r="M29" s="220">
        <f t="shared" ref="M29:N29" si="38">IFERROR(M37/M23,)*1000</f>
        <v>0</v>
      </c>
      <c r="N29" s="95">
        <f t="shared" si="38"/>
        <v>0</v>
      </c>
      <c r="O29" s="196">
        <f t="shared" si="4"/>
        <v>0</v>
      </c>
      <c r="P29" s="430">
        <f>+IFERROR(HLOOKUP($A$1,[14]손익!$G$5:$AB$252,50,),)</f>
        <v>0</v>
      </c>
      <c r="Q29" s="426">
        <f t="shared" si="23"/>
        <v>11500</v>
      </c>
      <c r="R29" s="435">
        <f t="shared" si="5"/>
        <v>11500</v>
      </c>
      <c r="S29" s="190">
        <f t="shared" ref="S29:T29" si="39">IFERROR(S37/S23,)*1000</f>
        <v>0</v>
      </c>
      <c r="T29" s="95">
        <f t="shared" si="39"/>
        <v>0</v>
      </c>
      <c r="U29" s="191">
        <f t="shared" si="6"/>
        <v>0</v>
      </c>
      <c r="V29" s="220">
        <f t="shared" ref="V29:W29" si="40">IFERROR(V37/V23,)*1000</f>
        <v>0</v>
      </c>
      <c r="W29" s="95">
        <f t="shared" si="40"/>
        <v>0</v>
      </c>
      <c r="X29" s="196">
        <f t="shared" si="7"/>
        <v>0</v>
      </c>
      <c r="Y29" s="220"/>
      <c r="Z29" s="95">
        <f t="shared" si="26"/>
        <v>0</v>
      </c>
      <c r="AA29" s="196">
        <f t="shared" si="8"/>
        <v>0</v>
      </c>
      <c r="AB29" s="430">
        <f t="shared" si="17"/>
        <v>0</v>
      </c>
      <c r="AC29" s="426">
        <f t="shared" si="18"/>
        <v>0</v>
      </c>
      <c r="AD29" s="435">
        <f t="shared" si="9"/>
        <v>0</v>
      </c>
      <c r="AE29" s="196">
        <f t="shared" ref="AE29:AF29" si="41">IFERROR(AE37/AE23,)*1000</f>
        <v>27500</v>
      </c>
      <c r="AF29" s="95">
        <f t="shared" si="41"/>
        <v>0</v>
      </c>
      <c r="AG29" s="196">
        <f t="shared" si="10"/>
        <v>-27500</v>
      </c>
      <c r="AH29" s="418">
        <f t="shared" si="28"/>
        <v>23911.172380428154</v>
      </c>
      <c r="AI29" s="95">
        <f t="shared" si="29"/>
        <v>69797.126491646777</v>
      </c>
      <c r="AJ29" s="419">
        <f t="shared" si="11"/>
        <v>45885.954111218627</v>
      </c>
    </row>
    <row r="30" spans="4:39" ht="24" customHeight="1">
      <c r="D30" s="76"/>
      <c r="E30" s="166"/>
      <c r="F30" s="221" t="s">
        <v>28</v>
      </c>
      <c r="G30" s="190">
        <f t="shared" ref="G30" si="42">IFERROR(G38/G24,)*1000</f>
        <v>0</v>
      </c>
      <c r="H30" s="95">
        <f t="shared" si="20"/>
        <v>0</v>
      </c>
      <c r="I30" s="191">
        <f t="shared" si="2"/>
        <v>0</v>
      </c>
      <c r="J30" s="220">
        <f t="shared" ref="J30:K30" si="43">IFERROR(J38/J24,)*1000</f>
        <v>0</v>
      </c>
      <c r="K30" s="95">
        <f t="shared" si="43"/>
        <v>0</v>
      </c>
      <c r="L30" s="196">
        <f t="shared" si="3"/>
        <v>0</v>
      </c>
      <c r="M30" s="220">
        <f t="shared" ref="M30:N30" si="44">IFERROR(M38/M24,)*1000</f>
        <v>0</v>
      </c>
      <c r="N30" s="95">
        <f t="shared" si="44"/>
        <v>0</v>
      </c>
      <c r="O30" s="196">
        <f t="shared" si="4"/>
        <v>0</v>
      </c>
      <c r="P30" s="430">
        <f>+IFERROR(HLOOKUP($A$1,[14]손익!$G$5:$AB$252,51,),)</f>
        <v>16406.225150516872</v>
      </c>
      <c r="Q30" s="55">
        <f t="shared" si="23"/>
        <v>0</v>
      </c>
      <c r="R30" s="436">
        <f t="shared" si="5"/>
        <v>-16406.225150516872</v>
      </c>
      <c r="S30" s="190">
        <f t="shared" ref="S30:T30" si="45">IFERROR(S38/S24,)*1000</f>
        <v>0</v>
      </c>
      <c r="T30" s="95">
        <f t="shared" si="45"/>
        <v>0</v>
      </c>
      <c r="U30" s="191">
        <f t="shared" si="6"/>
        <v>0</v>
      </c>
      <c r="V30" s="220">
        <f t="shared" ref="V30:W30" si="46">IFERROR(V38/V24,)*1000</f>
        <v>0</v>
      </c>
      <c r="W30" s="95">
        <f t="shared" si="46"/>
        <v>19000</v>
      </c>
      <c r="X30" s="196">
        <f t="shared" si="7"/>
        <v>19000</v>
      </c>
      <c r="Y30" s="220"/>
      <c r="Z30" s="95">
        <f t="shared" si="26"/>
        <v>0</v>
      </c>
      <c r="AA30" s="196">
        <f t="shared" si="8"/>
        <v>0</v>
      </c>
      <c r="AB30" s="430">
        <f t="shared" si="17"/>
        <v>0</v>
      </c>
      <c r="AC30" s="55">
        <f t="shared" si="18"/>
        <v>19000</v>
      </c>
      <c r="AD30" s="436">
        <f t="shared" si="9"/>
        <v>19000</v>
      </c>
      <c r="AE30" s="196">
        <f t="shared" ref="AE30:AF30" si="47">IFERROR(AE38/AE24,)*1000</f>
        <v>29508.196721311477</v>
      </c>
      <c r="AF30" s="95">
        <f t="shared" si="47"/>
        <v>0</v>
      </c>
      <c r="AG30" s="196">
        <f t="shared" si="10"/>
        <v>-29508.196721311477</v>
      </c>
      <c r="AH30" s="418">
        <f t="shared" si="28"/>
        <v>29508.196721311477</v>
      </c>
      <c r="AI30" s="95">
        <f t="shared" si="29"/>
        <v>278837.65625</v>
      </c>
      <c r="AJ30" s="419">
        <f t="shared" si="11"/>
        <v>249329.45952868852</v>
      </c>
    </row>
    <row r="31" spans="4:39" ht="24" customHeight="1">
      <c r="D31" s="76"/>
      <c r="E31" s="166"/>
      <c r="F31" s="221" t="s">
        <v>29</v>
      </c>
      <c r="G31" s="190">
        <f t="shared" ref="G31" si="48">IFERROR(G39/G25,)*1000</f>
        <v>0</v>
      </c>
      <c r="H31" s="95">
        <f t="shared" si="20"/>
        <v>0</v>
      </c>
      <c r="I31" s="191">
        <f t="shared" si="2"/>
        <v>0</v>
      </c>
      <c r="J31" s="220">
        <f t="shared" ref="J31:K31" si="49">IFERROR(J39/J25,)*1000</f>
        <v>15000</v>
      </c>
      <c r="K31" s="95">
        <f t="shared" si="49"/>
        <v>9000</v>
      </c>
      <c r="L31" s="196">
        <f t="shared" si="3"/>
        <v>-6000</v>
      </c>
      <c r="M31" s="220">
        <f t="shared" ref="M31:N31" si="50">IFERROR(M39/M25,)*1000</f>
        <v>0</v>
      </c>
      <c r="N31" s="95">
        <f t="shared" si="50"/>
        <v>0</v>
      </c>
      <c r="O31" s="196">
        <f t="shared" si="4"/>
        <v>0</v>
      </c>
      <c r="P31" s="430">
        <f>+IFERROR(HLOOKUP($A$1,[14]손익!$G$5:$AB$252,52,),)</f>
        <v>10000</v>
      </c>
      <c r="Q31" s="55">
        <f t="shared" si="23"/>
        <v>9000</v>
      </c>
      <c r="R31" s="436">
        <f t="shared" si="5"/>
        <v>-1000</v>
      </c>
      <c r="S31" s="190">
        <f t="shared" ref="S31:T31" si="51">IFERROR(S39/S25,)*1000</f>
        <v>0</v>
      </c>
      <c r="T31" s="95">
        <f t="shared" si="51"/>
        <v>0</v>
      </c>
      <c r="U31" s="191">
        <f t="shared" si="6"/>
        <v>0</v>
      </c>
      <c r="V31" s="220">
        <f t="shared" ref="V31:W31" si="52">IFERROR(V39/V25,)*1000</f>
        <v>0</v>
      </c>
      <c r="W31" s="95">
        <f t="shared" si="52"/>
        <v>19000</v>
      </c>
      <c r="X31" s="196">
        <f t="shared" si="7"/>
        <v>19000</v>
      </c>
      <c r="Y31" s="220"/>
      <c r="Z31" s="95">
        <f t="shared" si="26"/>
        <v>0</v>
      </c>
      <c r="AA31" s="196">
        <f t="shared" si="8"/>
        <v>0</v>
      </c>
      <c r="AB31" s="430">
        <f t="shared" si="17"/>
        <v>0</v>
      </c>
      <c r="AC31" s="55">
        <f t="shared" si="18"/>
        <v>19000</v>
      </c>
      <c r="AD31" s="436">
        <f t="shared" si="9"/>
        <v>19000</v>
      </c>
      <c r="AE31" s="196">
        <f t="shared" ref="AE31:AF31" si="53">IFERROR(AE39/AE25,)*1000</f>
        <v>29209.850135873221</v>
      </c>
      <c r="AF31" s="95">
        <f t="shared" si="53"/>
        <v>2343.9675174013919</v>
      </c>
      <c r="AG31" s="196">
        <f t="shared" si="10"/>
        <v>-26865.882618471827</v>
      </c>
      <c r="AH31" s="418">
        <f t="shared" si="28"/>
        <v>26848.086595123528</v>
      </c>
      <c r="AI31" s="95">
        <f t="shared" si="29"/>
        <v>3124.6056782334385</v>
      </c>
      <c r="AJ31" s="419">
        <f t="shared" si="11"/>
        <v>-23723.48091689009</v>
      </c>
    </row>
    <row r="32" spans="4:39" ht="24" customHeight="1" thickBot="1">
      <c r="D32" s="76"/>
      <c r="E32" s="218"/>
      <c r="F32" s="217" t="s">
        <v>30</v>
      </c>
      <c r="G32" s="213">
        <f t="shared" ref="G32" si="54">IFERROR(G40/G26,)*1000</f>
        <v>10000</v>
      </c>
      <c r="H32" s="387">
        <f t="shared" si="20"/>
        <v>11500</v>
      </c>
      <c r="I32" s="216">
        <f t="shared" si="2"/>
        <v>1500</v>
      </c>
      <c r="J32" s="215">
        <f t="shared" ref="J32:K32" si="55">IFERROR(J40/J26,)*1000</f>
        <v>15000</v>
      </c>
      <c r="K32" s="387">
        <f t="shared" si="55"/>
        <v>9000</v>
      </c>
      <c r="L32" s="214">
        <f t="shared" si="3"/>
        <v>-6000</v>
      </c>
      <c r="M32" s="215">
        <f t="shared" ref="M32:N32" si="56">IFERROR(M40/M26,)*1000</f>
        <v>0</v>
      </c>
      <c r="N32" s="387">
        <f t="shared" si="56"/>
        <v>0</v>
      </c>
      <c r="O32" s="214">
        <f t="shared" si="4"/>
        <v>0</v>
      </c>
      <c r="P32" s="431">
        <f>+IFERROR(HLOOKUP($A$1,[14]손익!$G$5:$AB$252,53,),)</f>
        <v>0</v>
      </c>
      <c r="Q32" s="427">
        <f t="shared" si="23"/>
        <v>11339.74358974359</v>
      </c>
      <c r="R32" s="437">
        <f t="shared" si="5"/>
        <v>11339.74358974359</v>
      </c>
      <c r="S32" s="213">
        <f t="shared" ref="S32:T32" si="57">IFERROR(S40/S26,)*1000</f>
        <v>0</v>
      </c>
      <c r="T32" s="387">
        <f t="shared" si="57"/>
        <v>0</v>
      </c>
      <c r="U32" s="216">
        <f t="shared" si="6"/>
        <v>0</v>
      </c>
      <c r="V32" s="215">
        <f t="shared" ref="V32:W32" si="58">IFERROR(V40/V26,)*1000</f>
        <v>0</v>
      </c>
      <c r="W32" s="387">
        <f t="shared" si="58"/>
        <v>0</v>
      </c>
      <c r="X32" s="214">
        <f t="shared" si="7"/>
        <v>0</v>
      </c>
      <c r="Y32" s="215"/>
      <c r="Z32" s="387">
        <f t="shared" si="26"/>
        <v>0</v>
      </c>
      <c r="AA32" s="214">
        <f t="shared" si="8"/>
        <v>0</v>
      </c>
      <c r="AB32" s="431">
        <f t="shared" si="17"/>
        <v>0</v>
      </c>
      <c r="AC32" s="427">
        <f t="shared" si="18"/>
        <v>0</v>
      </c>
      <c r="AD32" s="437">
        <f t="shared" si="9"/>
        <v>0</v>
      </c>
      <c r="AE32" s="214">
        <f t="shared" ref="AE32:AF32" si="59">IFERROR(AE40/AE26,)*1000</f>
        <v>0</v>
      </c>
      <c r="AF32" s="387">
        <f t="shared" si="59"/>
        <v>0</v>
      </c>
      <c r="AG32" s="214">
        <f t="shared" si="10"/>
        <v>0</v>
      </c>
      <c r="AH32" s="420">
        <f t="shared" si="28"/>
        <v>11831.456172372345</v>
      </c>
      <c r="AI32" s="421">
        <f t="shared" si="29"/>
        <v>11339.74358974359</v>
      </c>
      <c r="AJ32" s="422">
        <f t="shared" si="11"/>
        <v>-491.71258262875563</v>
      </c>
    </row>
    <row r="33" spans="5:36" ht="21.95" customHeight="1" thickTop="1">
      <c r="E33" s="6" t="s">
        <v>130</v>
      </c>
      <c r="G33" s="211"/>
      <c r="H33" s="211"/>
      <c r="I33" s="211"/>
      <c r="J33" s="76"/>
      <c r="M33" s="76"/>
      <c r="S33" s="211"/>
      <c r="T33" s="211"/>
      <c r="U33" s="211"/>
      <c r="V33" s="76"/>
      <c r="AE33" s="76"/>
      <c r="AH33" s="76"/>
    </row>
    <row r="34" spans="5:36" ht="21.95" customHeight="1">
      <c r="J34" s="76"/>
      <c r="M34" s="76"/>
      <c r="V34" s="76"/>
      <c r="AE34" s="76"/>
      <c r="AF34" s="6" t="s">
        <v>164</v>
      </c>
      <c r="AH34" s="76"/>
    </row>
    <row r="35" spans="5:36" ht="21.95" customHeight="1">
      <c r="E35" s="26" t="s">
        <v>132</v>
      </c>
      <c r="F35" s="432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60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61">+Q35-P35</f>
        <v>52600</v>
      </c>
      <c r="S35" s="6">
        <f>+'골재사업소(당월)'!S35+'[4]골재사업소(누계)'!S35</f>
        <v>1172890.6018128325</v>
      </c>
      <c r="T35" s="6">
        <f>+'골재사업소(당월)'!T35+'[4]골재사업소(누계)'!T35</f>
        <v>1309770</v>
      </c>
      <c r="U35" s="6">
        <f t="shared" ref="U35:U41" si="62">+T35-S35</f>
        <v>136879.39818716748</v>
      </c>
      <c r="V35" s="76">
        <f>+'골재사업소(당월)'!V35+'[4]골재사업소(누계)'!V35</f>
        <v>1183009.9595855523</v>
      </c>
      <c r="W35" s="6">
        <f>+'골재사업소(당월)'!W35+'[4]골재사업소(누계)'!W35</f>
        <v>1249095.5</v>
      </c>
      <c r="X35" s="6">
        <f>+W35-V35</f>
        <v>66085.540414447663</v>
      </c>
      <c r="AA35" s="6">
        <f>+Z35-Y35</f>
        <v>0</v>
      </c>
      <c r="AB35" s="6">
        <f t="shared" ref="AB35" si="63">+S35+V35+Y35</f>
        <v>2355900.5613983851</v>
      </c>
      <c r="AC35" s="6">
        <f t="shared" ref="AC35:AC41" si="64">+T35+W35+Z35</f>
        <v>2558865.5</v>
      </c>
      <c r="AD35" s="6">
        <f t="shared" ref="AD35:AD41" si="65">+AC35-AB35</f>
        <v>202964.93860161491</v>
      </c>
      <c r="AE35" s="438">
        <f>+'골재사업소(당월)'!AE35+'[4]골재사업소(누계)'!AB35</f>
        <v>922870.60545554897</v>
      </c>
      <c r="AF35" s="6">
        <f>+'골재사업소(당월)'!AF35+'[4]골재사업소(누계)'!AC35</f>
        <v>1046186.4</v>
      </c>
      <c r="AH35" s="76">
        <f t="shared" ref="AH35:AI41" si="66">+P35+AB35+AE35</f>
        <v>3278771.1668539341</v>
      </c>
      <c r="AI35" s="76">
        <f t="shared" si="66"/>
        <v>3657651.9</v>
      </c>
      <c r="AJ35" s="6">
        <f t="shared" ref="AJ35:AJ41" si="67">+AI35-AH35</f>
        <v>378880.73314606585</v>
      </c>
    </row>
    <row r="36" spans="5:36" ht="21.95" customHeight="1">
      <c r="E36" s="26" t="s">
        <v>77</v>
      </c>
      <c r="F36" s="432" t="s">
        <v>26</v>
      </c>
      <c r="G36" s="6">
        <f>+'골재사업소(당월)'!G36+'[4]골재사업소(누계)'!G36</f>
        <v>1021943.4666666667</v>
      </c>
      <c r="H36" s="6">
        <f>+'골재사업소(당월)'!H36+'[4]골재사업소(누계)'!H36</f>
        <v>1355750</v>
      </c>
      <c r="I36" s="6">
        <f t="shared" si="60"/>
        <v>333806.53333333333</v>
      </c>
      <c r="J36" s="76">
        <f>+'골재사업소(당월)'!J36+'[4]골재사업소(누계)'!J36</f>
        <v>89777.39999999998</v>
      </c>
      <c r="K36" s="6">
        <f>+'골재사업소(당월)'!K36+'[4]골재사업소(누계)'!K36</f>
        <v>6720</v>
      </c>
      <c r="L36" s="6">
        <f t="shared" ref="L36:L41" si="68">+K36-J36</f>
        <v>-83057.39999999998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69">+N36-M36</f>
        <v>0</v>
      </c>
      <c r="P36" s="6">
        <f t="shared" ref="P36:Q41" si="70">SUM(G36,J36,M36)</f>
        <v>1111720.8666666667</v>
      </c>
      <c r="Q36" s="6">
        <f t="shared" si="70"/>
        <v>1362470</v>
      </c>
      <c r="R36" s="6">
        <f t="shared" si="61"/>
        <v>250749.1333333333</v>
      </c>
      <c r="S36" s="6">
        <f>+'골재사업소(당월)'!S36+'[4]골재사업소(누계)'!S36</f>
        <v>0</v>
      </c>
      <c r="T36" s="6">
        <f>+'골재사업소(당월)'!T36+'[4]골재사업소(누계)'!T36</f>
        <v>56064</v>
      </c>
      <c r="U36" s="6">
        <f t="shared" si="62"/>
        <v>56064</v>
      </c>
      <c r="V36" s="76">
        <f>+'골재사업소(당월)'!V36+'[4]골재사업소(누계)'!V36</f>
        <v>293452.24193548388</v>
      </c>
      <c r="W36" s="6">
        <f>+'골재사업소(당월)'!W36+'[4]골재사업소(누계)'!W36</f>
        <v>598720</v>
      </c>
      <c r="X36" s="6">
        <f t="shared" ref="X36:X41" si="71">+W36-V36</f>
        <v>305267.75806451612</v>
      </c>
      <c r="AA36" s="6">
        <f t="shared" ref="AA36:AA41" si="72">+Z36-Y36</f>
        <v>0</v>
      </c>
      <c r="AB36" s="6">
        <f t="shared" ref="AB36:AB41" si="73">+S36+V36+Y36</f>
        <v>293452.24193548388</v>
      </c>
      <c r="AC36" s="6">
        <f t="shared" si="64"/>
        <v>654784</v>
      </c>
      <c r="AD36" s="6">
        <f>+AC36-AB36</f>
        <v>361331.75806451612</v>
      </c>
      <c r="AE36" s="438">
        <f>+'골재사업소(당월)'!AE36+'[4]골재사업소(누계)'!AB36</f>
        <v>643309.20279720286</v>
      </c>
      <c r="AF36" s="6">
        <f>+'골재사업소(당월)'!AF36+'[4]골재사업소(누계)'!AC36</f>
        <v>498271.34399999998</v>
      </c>
      <c r="AH36" s="6">
        <f t="shared" si="66"/>
        <v>2048482.3113993534</v>
      </c>
      <c r="AI36" s="6">
        <f t="shared" si="66"/>
        <v>2515525.344</v>
      </c>
      <c r="AJ36" s="6">
        <f t="shared" si="67"/>
        <v>467043.03260064661</v>
      </c>
    </row>
    <row r="37" spans="5:36" ht="21.95" customHeight="1">
      <c r="F37" s="432" t="s">
        <v>27</v>
      </c>
      <c r="G37" s="6">
        <f>+'골재사업소(당월)'!G37+'[4]골재사업소(누계)'!G37</f>
        <v>38733.333333333328</v>
      </c>
      <c r="H37" s="6">
        <f>+'골재사업소(당월)'!H37+'[4]골재사업소(누계)'!H37</f>
        <v>77096</v>
      </c>
      <c r="I37" s="6">
        <f t="shared" si="60"/>
        <v>38362.666666666672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68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69"/>
        <v>0</v>
      </c>
      <c r="P37" s="6">
        <f t="shared" si="70"/>
        <v>38733.333333333328</v>
      </c>
      <c r="Q37" s="6">
        <f t="shared" si="70"/>
        <v>77096</v>
      </c>
      <c r="R37" s="6">
        <f t="shared" si="61"/>
        <v>38362.666666666672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62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71"/>
        <v>0</v>
      </c>
      <c r="AA37" s="6">
        <f t="shared" si="72"/>
        <v>0</v>
      </c>
      <c r="AB37" s="6">
        <f t="shared" si="73"/>
        <v>0</v>
      </c>
      <c r="AC37" s="6">
        <f t="shared" si="64"/>
        <v>0</v>
      </c>
      <c r="AD37" s="6">
        <f t="shared" si="65"/>
        <v>0</v>
      </c>
      <c r="AE37" s="438">
        <f>+'골재사업소(당월)'!AE37+'[4]골재사업소(누계)'!AB37</f>
        <v>412884.61538461538</v>
      </c>
      <c r="AF37" s="6">
        <f>+'골재사업소(당월)'!AF37+'[4]골재사업소(누계)'!AC37</f>
        <v>390823.93599999999</v>
      </c>
      <c r="AH37" s="6">
        <f t="shared" si="66"/>
        <v>451617.94871794869</v>
      </c>
      <c r="AI37" s="6">
        <f t="shared" si="66"/>
        <v>467919.93599999999</v>
      </c>
      <c r="AJ37" s="6">
        <f t="shared" si="67"/>
        <v>16301.987282051297</v>
      </c>
    </row>
    <row r="38" spans="5:36" ht="21.95" customHeight="1">
      <c r="F38" s="432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60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68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69"/>
        <v>0</v>
      </c>
      <c r="P38" s="6">
        <f t="shared" si="70"/>
        <v>0</v>
      </c>
      <c r="Q38" s="6">
        <f t="shared" si="70"/>
        <v>0</v>
      </c>
      <c r="R38" s="6">
        <f t="shared" si="61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62"/>
        <v>0</v>
      </c>
      <c r="V38" s="76">
        <f>+'골재사업소(당월)'!V38+'[4]골재사업소(누계)'!V38</f>
        <v>0</v>
      </c>
      <c r="W38" s="6">
        <f>+'골재사업소(당월)'!W38+'[4]골재사업소(누계)'!W38</f>
        <v>48640</v>
      </c>
      <c r="X38" s="6">
        <f t="shared" si="71"/>
        <v>48640</v>
      </c>
      <c r="AA38" s="6">
        <f t="shared" si="72"/>
        <v>0</v>
      </c>
      <c r="AB38" s="6">
        <f t="shared" si="73"/>
        <v>0</v>
      </c>
      <c r="AC38" s="6">
        <f t="shared" si="64"/>
        <v>48640</v>
      </c>
      <c r="AD38" s="6">
        <f t="shared" si="65"/>
        <v>48640</v>
      </c>
      <c r="AE38" s="438">
        <f>+'골재사업소(당월)'!AE38+'[4]골재사업소(누계)'!AB38</f>
        <v>833790.20979020989</v>
      </c>
      <c r="AF38" s="6">
        <f>+'골재사업소(당월)'!AF38+'[4]골재사업소(누계)'!AC38</f>
        <v>665184.4</v>
      </c>
      <c r="AH38" s="6">
        <f t="shared" si="66"/>
        <v>833790.20979020989</v>
      </c>
      <c r="AI38" s="6">
        <f t="shared" si="66"/>
        <v>713824.4</v>
      </c>
      <c r="AJ38" s="6">
        <f t="shared" si="67"/>
        <v>-119965.80979020987</v>
      </c>
    </row>
    <row r="39" spans="5:36" ht="21.95" customHeight="1">
      <c r="F39" s="432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60"/>
        <v>0</v>
      </c>
      <c r="J39" s="76">
        <f>+'골재사업소(당월)'!J39+'[4]골재사업소(누계)'!J39</f>
        <v>21760.003199999999</v>
      </c>
      <c r="K39" s="6">
        <f>+'골재사업소(당월)'!K39+'[4]골재사업소(누계)'!K39</f>
        <v>10656</v>
      </c>
      <c r="L39" s="6">
        <f t="shared" si="68"/>
        <v>-11104.003199999999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69"/>
        <v>0</v>
      </c>
      <c r="P39" s="6">
        <f t="shared" si="70"/>
        <v>21760.003199999999</v>
      </c>
      <c r="Q39" s="6">
        <f t="shared" si="70"/>
        <v>10656</v>
      </c>
      <c r="R39" s="6">
        <f t="shared" si="61"/>
        <v>-11104.003199999999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62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71"/>
        <v>4560</v>
      </c>
      <c r="AA39" s="6">
        <f t="shared" si="72"/>
        <v>0</v>
      </c>
      <c r="AB39" s="6">
        <f t="shared" si="73"/>
        <v>0</v>
      </c>
      <c r="AC39" s="6">
        <f t="shared" si="64"/>
        <v>4560</v>
      </c>
      <c r="AD39" s="6">
        <f t="shared" si="65"/>
        <v>4560</v>
      </c>
      <c r="AE39" s="438">
        <f>+'골재사업소(당월)'!AE39+'[4]골재사업소(누계)'!AB39</f>
        <v>212573.35664335664</v>
      </c>
      <c r="AF39" s="6">
        <f>+'골재사업소(당월)'!AF39+'[4]골재사업소(누계)'!AC39</f>
        <v>32328</v>
      </c>
      <c r="AH39" s="6">
        <f t="shared" si="66"/>
        <v>234333.35984335665</v>
      </c>
      <c r="AI39" s="6">
        <f t="shared" si="66"/>
        <v>47544</v>
      </c>
      <c r="AJ39" s="6">
        <f t="shared" si="67"/>
        <v>-186789.35984335665</v>
      </c>
    </row>
    <row r="40" spans="5:36" ht="21.95" customHeight="1">
      <c r="F40" s="432" t="s">
        <v>30</v>
      </c>
      <c r="G40" s="6">
        <f>+'골재사업소(당월)'!G40+'[4]골재사업소(누계)'!G40</f>
        <v>28470</v>
      </c>
      <c r="H40" s="6">
        <f>+'골재사업소(당월)'!H40+'[4]골재사업소(누계)'!H40</f>
        <v>40296</v>
      </c>
      <c r="I40" s="6">
        <f t="shared" si="60"/>
        <v>11826</v>
      </c>
      <c r="J40" s="76">
        <f>+'골재사업소(당월)'!J40+'[4]골재사업소(누계)'!J40</f>
        <v>24684</v>
      </c>
      <c r="K40" s="6">
        <f>+'골재사업소(당월)'!K40+'[4]골재사업소(누계)'!K40</f>
        <v>2160</v>
      </c>
      <c r="L40" s="6">
        <f t="shared" si="68"/>
        <v>-22524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69"/>
        <v>0</v>
      </c>
      <c r="P40" s="6">
        <f t="shared" si="70"/>
        <v>53154</v>
      </c>
      <c r="Q40" s="6">
        <f t="shared" si="70"/>
        <v>42456</v>
      </c>
      <c r="R40" s="6">
        <f t="shared" si="61"/>
        <v>-10698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62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71"/>
        <v>0</v>
      </c>
      <c r="AA40" s="6">
        <f t="shared" si="72"/>
        <v>0</v>
      </c>
      <c r="AB40" s="6">
        <f t="shared" si="73"/>
        <v>0</v>
      </c>
      <c r="AC40" s="6">
        <f t="shared" si="64"/>
        <v>0</v>
      </c>
      <c r="AD40" s="6">
        <f t="shared" si="65"/>
        <v>0</v>
      </c>
      <c r="AE40" s="438">
        <f>+'골재사업소(당월)'!AE40+'[4]골재사업소(누계)'!AB40</f>
        <v>0</v>
      </c>
      <c r="AF40" s="6">
        <f>+'골재사업소(당월)'!AF40+'[4]골재사업소(누계)'!AC40</f>
        <v>0</v>
      </c>
      <c r="AH40" s="6">
        <f t="shared" si="66"/>
        <v>53154</v>
      </c>
      <c r="AI40" s="6">
        <f t="shared" si="66"/>
        <v>42456</v>
      </c>
      <c r="AJ40" s="6">
        <f t="shared" si="67"/>
        <v>-10698</v>
      </c>
    </row>
    <row r="41" spans="5:36" ht="21.95" customHeight="1">
      <c r="F41" s="432" t="s">
        <v>8</v>
      </c>
      <c r="G41" s="6">
        <f>SUM(G35:G40)</f>
        <v>1089146.8</v>
      </c>
      <c r="H41" s="6">
        <f>SUM(H35:H40)</f>
        <v>1525742</v>
      </c>
      <c r="I41" s="6">
        <f t="shared" si="60"/>
        <v>436595.19999999995</v>
      </c>
      <c r="J41" s="76">
        <f>SUM(J35:J40)</f>
        <v>136221.40319999997</v>
      </c>
      <c r="K41" s="76">
        <f>SUM(K35:K40)</f>
        <v>19536</v>
      </c>
      <c r="L41" s="6">
        <f t="shared" si="68"/>
        <v>-116685.40319999997</v>
      </c>
      <c r="M41" s="76">
        <f>SUM(M35:M40)</f>
        <v>0</v>
      </c>
      <c r="N41" s="76">
        <f>SUM(N35:N40)</f>
        <v>0</v>
      </c>
      <c r="O41" s="6">
        <f t="shared" si="69"/>
        <v>0</v>
      </c>
      <c r="P41" s="6">
        <f t="shared" si="70"/>
        <v>1225368.2032000001</v>
      </c>
      <c r="Q41" s="6">
        <f t="shared" si="70"/>
        <v>1545278</v>
      </c>
      <c r="R41" s="6">
        <f t="shared" si="61"/>
        <v>319909.79679999989</v>
      </c>
      <c r="S41" s="6">
        <f>SUM(S35:S40)</f>
        <v>1172890.6018128325</v>
      </c>
      <c r="T41" s="6">
        <f>SUM(T35:T40)</f>
        <v>1365834</v>
      </c>
      <c r="U41" s="6">
        <f t="shared" si="62"/>
        <v>192943.39818716748</v>
      </c>
      <c r="V41" s="76">
        <f>SUM(V35:V40)</f>
        <v>1476462.2015210362</v>
      </c>
      <c r="W41" s="76">
        <f>SUM(W35:W40)</f>
        <v>1901015.5</v>
      </c>
      <c r="X41" s="6">
        <f t="shared" si="71"/>
        <v>424553.29847896378</v>
      </c>
      <c r="Z41" s="76"/>
      <c r="AA41" s="6">
        <f t="shared" si="72"/>
        <v>0</v>
      </c>
      <c r="AB41" s="6">
        <f t="shared" si="73"/>
        <v>2649352.8033338687</v>
      </c>
      <c r="AC41" s="6">
        <f t="shared" si="64"/>
        <v>3266849.5</v>
      </c>
      <c r="AD41" s="6">
        <f t="shared" si="65"/>
        <v>617496.69666613126</v>
      </c>
      <c r="AE41" s="6">
        <f>SUM(AE35:AE40)</f>
        <v>3025427.9900709339</v>
      </c>
      <c r="AF41" s="6">
        <f>SUM(AF35:AF40)</f>
        <v>2632794.08</v>
      </c>
      <c r="AH41" s="6">
        <f t="shared" si="66"/>
        <v>6900148.9966048021</v>
      </c>
      <c r="AI41" s="6">
        <f t="shared" si="66"/>
        <v>7444921.5800000001</v>
      </c>
      <c r="AJ41" s="6">
        <f t="shared" si="67"/>
        <v>544772.58339519799</v>
      </c>
    </row>
    <row r="42" spans="5:36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/>
    <row r="44" spans="5:36" ht="21.95" customHeight="1"/>
    <row r="45" spans="5:36" ht="21.95" customHeight="1"/>
    <row r="46" spans="5:36" ht="21.95" customHeight="1"/>
    <row r="47" spans="5:36" ht="21.95" customHeight="1"/>
    <row r="48" spans="5:36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2024-08-16T07:02:43Z</cp:lastPrinted>
  <dcterms:created xsi:type="dcterms:W3CDTF">2018-12-20T00:38:36Z</dcterms:created>
  <dcterms:modified xsi:type="dcterms:W3CDTF">2024-09-04T08:00:44Z</dcterms:modified>
</cp:coreProperties>
</file>