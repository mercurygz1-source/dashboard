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담당 업무\원가손익\202407\00_보고서\"/>
    </mc:Choice>
  </mc:AlternateContent>
  <xr:revisionPtr revIDLastSave="0" documentId="13_ncr:1_{ECA3A961-35EE-4FC4-9055-1EB00771711C}" xr6:coauthVersionLast="36" xr6:coauthVersionMax="36" xr10:uidLastSave="{00000000-0000-0000-0000-000000000000}"/>
  <bookViews>
    <workbookView xWindow="480" yWindow="75" windowWidth="27975" windowHeight="12495" activeTab="2" xr2:uid="{00000000-000D-0000-FFFF-FFFF00000000}"/>
  </bookViews>
  <sheets>
    <sheet name="표지" sheetId="24" r:id="rId1"/>
    <sheet name="손익총괄" sheetId="1" r:id="rId2"/>
    <sheet name="사업장별(당월)" sheetId="2" r:id="rId3"/>
    <sheet name="사업장별(누계)" sheetId="42" r:id="rId4"/>
    <sheet name="영업이익" sheetId="33" r:id="rId5"/>
    <sheet name="공헌이익" sheetId="34" r:id="rId6"/>
    <sheet name="재료비단가" sheetId="36" r:id="rId7"/>
    <sheet name="원단위" sheetId="37" r:id="rId8"/>
    <sheet name="건자재" sheetId="29" r:id="rId9"/>
    <sheet name="골재사업소(당월)" sheetId="41" r:id="rId10"/>
    <sheet name="골재사업소(누계)" sheetId="43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</externalReferences>
  <definedNames>
    <definedName name="ASSUMPTIONS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df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fdfdfd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edsd" localSheetId="10" hidden="1">{"Header",#N/A,TRUE,"Summary";"ProjectInfo",#N/A,TRUE,"Total Value"}</definedName>
    <definedName name="edsd" localSheetId="9" hidden="1">{"Header",#N/A,TRUE,"Summary";"ProjectInfo",#N/A,TRUE,"Total Value"}</definedName>
    <definedName name="edsd" localSheetId="5" hidden="1">{"Header",#N/A,TRUE,"Summary";"ProjectInfo",#N/A,TRUE,"Total Value"}</definedName>
    <definedName name="edsd" localSheetId="4" hidden="1">{"Header",#N/A,TRUE,"Summary";"ProjectInfo",#N/A,TRUE,"Total Value"}</definedName>
    <definedName name="edsd" localSheetId="7" hidden="1">{"Header",#N/A,TRUE,"Summary";"ProjectInfo",#N/A,TRUE,"Total Value"}</definedName>
    <definedName name="edsd" localSheetId="6" hidden="1">{"Header",#N/A,TRUE,"Summary";"ProjectInfo",#N/A,TRUE,"Total Value"}</definedName>
    <definedName name="edsd" hidden="1">{"Header",#N/A,TRUE,"Summary";"ProjectInfo",#N/A,TRUE,"Total Value"}</definedName>
    <definedName name="ff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JHSJ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ijk" localSheetId="10" hidden="1">{"Header",#N/A,TRUE,"Summary";"ProjectInfo",#N/A,TRUE,"Total Value"}</definedName>
    <definedName name="jijk" localSheetId="9" hidden="1">{"Header",#N/A,TRUE,"Summary";"ProjectInfo",#N/A,TRUE,"Total Value"}</definedName>
    <definedName name="jijk" localSheetId="5" hidden="1">{"Header",#N/A,TRUE,"Summary";"ProjectInfo",#N/A,TRUE,"Total Value"}</definedName>
    <definedName name="jijk" localSheetId="4" hidden="1">{"Header",#N/A,TRUE,"Summary";"ProjectInfo",#N/A,TRUE,"Total Value"}</definedName>
    <definedName name="jijk" localSheetId="7" hidden="1">{"Header",#N/A,TRUE,"Summary";"ProjectInfo",#N/A,TRUE,"Total Value"}</definedName>
    <definedName name="jijk" localSheetId="6" hidden="1">{"Header",#N/A,TRUE,"Summary";"ProjectInfo",#N/A,TRUE,"Total Value"}</definedName>
    <definedName name="jijk" hidden="1">{"Header",#N/A,TRUE,"Summary";"ProjectInfo",#N/A,TRUE,"Total Value"}</definedName>
    <definedName name="jjjj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k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csq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DCSS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k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_xlnm.Print_Area" localSheetId="8">건자재!$D$6:$O$34</definedName>
    <definedName name="_xlnm.Print_Area" localSheetId="10">'골재사업소(누계)'!$D$4:$AG$33</definedName>
    <definedName name="_xlnm.Print_Area" localSheetId="9">'골재사업소(당월)'!$D$4:$AG$33</definedName>
    <definedName name="_xlnm.Print_Area" localSheetId="5">공헌이익!$D$4:$V$29</definedName>
    <definedName name="_xlnm.Print_Area" localSheetId="3">'사업장별(누계)'!$H$3:$AG$43</definedName>
    <definedName name="_xlnm.Print_Area" localSheetId="2">'사업장별(당월)'!$H$3:$AG$43</definedName>
    <definedName name="_xlnm.Print_Area" localSheetId="1">손익총괄!$C$3:$X$36</definedName>
    <definedName name="_xlnm.Print_Area" localSheetId="4">영업이익!$D$4:$W$29</definedName>
    <definedName name="_xlnm.Print_Area" localSheetId="7">원단위!$D$4:$V$29</definedName>
    <definedName name="_xlnm.Print_Area" localSheetId="6">재료비단가!$D$4:$V$29</definedName>
    <definedName name="sads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" localSheetId="10" hidden="1">{"Header",#N/A,TRUE,"Summary";"ProjectInfo",#N/A,TRUE,"Total Value"}</definedName>
    <definedName name="w" localSheetId="9" hidden="1">{"Header",#N/A,TRUE,"Summary";"ProjectInfo",#N/A,TRUE,"Total Value"}</definedName>
    <definedName name="w" localSheetId="5" hidden="1">{"Header",#N/A,TRUE,"Summary";"ProjectInfo",#N/A,TRUE,"Total Value"}</definedName>
    <definedName name="w" localSheetId="4" hidden="1">{"Header",#N/A,TRUE,"Summary";"ProjectInfo",#N/A,TRUE,"Total Value"}</definedName>
    <definedName name="w" localSheetId="7" hidden="1">{"Header",#N/A,TRUE,"Summary";"ProjectInfo",#N/A,TRUE,"Total Value"}</definedName>
    <definedName name="w" localSheetId="6" hidden="1">{"Header",#N/A,TRUE,"Summary";"ProjectInfo",#N/A,TRUE,"Total Value"}</definedName>
    <definedName name="w" hidden="1">{"Header",#N/A,TRUE,"Summary";"ProjectInfo",#N/A,TRUE,"Total Value"}</definedName>
    <definedName name="wrn.iIMPRESSION._.DOC.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MPRESSION._.RP2.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SummaryReport." localSheetId="10" hidden="1">{"Header",#N/A,TRUE,"Summary";"ProjectInfo",#N/A,TRUE,"Total Value"}</definedName>
    <definedName name="wrn.SummaryReport." localSheetId="9" hidden="1">{"Header",#N/A,TRUE,"Summary";"ProjectInfo",#N/A,TRUE,"Total Value"}</definedName>
    <definedName name="wrn.SummaryReport." localSheetId="5" hidden="1">{"Header",#N/A,TRUE,"Summary";"ProjectInfo",#N/A,TRUE,"Total Value"}</definedName>
    <definedName name="wrn.SummaryReport." localSheetId="4" hidden="1">{"Header",#N/A,TRUE,"Summary";"ProjectInfo",#N/A,TRUE,"Total Value"}</definedName>
    <definedName name="wrn.SummaryReport." localSheetId="7" hidden="1">{"Header",#N/A,TRUE,"Summary";"ProjectInfo",#N/A,TRUE,"Total Value"}</definedName>
    <definedName name="wrn.SummaryReport." localSheetId="6" hidden="1">{"Header",#N/A,TRUE,"Summary";"ProjectInfo",#N/A,TRUE,"Total Value"}</definedName>
    <definedName name="wrn.SummaryReport." hidden="1">{"Header",#N/A,TRUE,"Summary";"ProjectInfo",#N/A,TRUE,"Total Value"}</definedName>
    <definedName name="ww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ㅁㄴ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ㄴ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로호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ㄴㄴㅇ" localSheetId="10" hidden="1">{"Header",#N/A,TRUE,"Summary";"ProjectInfo",#N/A,TRUE,"Total Value"}</definedName>
    <definedName name="ㅁㄴㄴㅇ" localSheetId="9" hidden="1">{"Header",#N/A,TRUE,"Summary";"ProjectInfo",#N/A,TRUE,"Total Value"}</definedName>
    <definedName name="ㅁㄴㄴㅇ" localSheetId="5" hidden="1">{"Header",#N/A,TRUE,"Summary";"ProjectInfo",#N/A,TRUE,"Total Value"}</definedName>
    <definedName name="ㅁㄴㄴㅇ" localSheetId="4" hidden="1">{"Header",#N/A,TRUE,"Summary";"ProjectInfo",#N/A,TRUE,"Total Value"}</definedName>
    <definedName name="ㅁㄴㄴㅇ" localSheetId="7" hidden="1">{"Header",#N/A,TRUE,"Summary";"ProjectInfo",#N/A,TRUE,"Total Value"}</definedName>
    <definedName name="ㅁㄴㄴㅇ" localSheetId="6" hidden="1">{"Header",#N/A,TRUE,"Summary";"ProjectInfo",#N/A,TRUE,"Total Value"}</definedName>
    <definedName name="ㅁㄴㄴㅇ" hidden="1">{"Header",#N/A,TRUE,"Summary";"ProjectInfo",#N/A,TRUE,"Total Value"}</definedName>
    <definedName name="ㅁㅂㅁㅂㅂㅁㅁㅂ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ㅅ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ㄹㅇㅇ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ㅈㅇ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ㅇ" localSheetId="10" hidden="1">{"Header",#N/A,TRUE,"Summary";"ProjectInfo",#N/A,TRUE,"Total Value"}</definedName>
    <definedName name="ㅈㅇ" localSheetId="9" hidden="1">{"Header",#N/A,TRUE,"Summary";"ProjectInfo",#N/A,TRUE,"Total Value"}</definedName>
    <definedName name="ㅈㅇ" localSheetId="5" hidden="1">{"Header",#N/A,TRUE,"Summary";"ProjectInfo",#N/A,TRUE,"Total Value"}</definedName>
    <definedName name="ㅈㅇ" localSheetId="4" hidden="1">{"Header",#N/A,TRUE,"Summary";"ProjectInfo",#N/A,TRUE,"Total Value"}</definedName>
    <definedName name="ㅈㅇ" localSheetId="7" hidden="1">{"Header",#N/A,TRUE,"Summary";"ProjectInfo",#N/A,TRUE,"Total Value"}</definedName>
    <definedName name="ㅈㅇ" localSheetId="6" hidden="1">{"Header",#N/A,TRUE,"Summary";"ProjectInfo",#N/A,TRUE,"Total Value"}</definedName>
    <definedName name="ㅈㅇ" hidden="1">{"Header",#N/A,TRUE,"Summary";"ProjectInfo",#N/A,TRUE,"Total Value"}</definedName>
    <definedName name="차이분서II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ㅏㅏㅏ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ㅓㄴ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ㅣ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ㅣㅏㅣ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ㅗㅗ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</definedNames>
  <calcPr calcId="191029"/>
</workbook>
</file>

<file path=xl/calcChain.xml><?xml version="1.0" encoding="utf-8"?>
<calcChain xmlns="http://schemas.openxmlformats.org/spreadsheetml/2006/main">
  <c r="G31" i="2" l="1"/>
  <c r="G30" i="2"/>
  <c r="G29" i="2"/>
  <c r="G39" i="2"/>
  <c r="G38" i="2"/>
  <c r="G37" i="2"/>
  <c r="G36" i="2"/>
  <c r="G35" i="2"/>
  <c r="G34" i="2"/>
  <c r="G33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P32" i="43" l="1"/>
  <c r="P31" i="43"/>
  <c r="P30" i="43"/>
  <c r="P29" i="43"/>
  <c r="P28" i="43"/>
  <c r="P27" i="43"/>
  <c r="N40" i="43"/>
  <c r="M40" i="43"/>
  <c r="N39" i="43"/>
  <c r="M39" i="43"/>
  <c r="N38" i="43"/>
  <c r="M38" i="43"/>
  <c r="N37" i="43"/>
  <c r="M37" i="43"/>
  <c r="N36" i="43"/>
  <c r="M36" i="43"/>
  <c r="N35" i="43"/>
  <c r="M35" i="43"/>
  <c r="N26" i="43"/>
  <c r="M26" i="43"/>
  <c r="N25" i="43"/>
  <c r="M25" i="43"/>
  <c r="N24" i="43"/>
  <c r="M24" i="43"/>
  <c r="N23" i="43"/>
  <c r="M23" i="43"/>
  <c r="N22" i="43"/>
  <c r="M22" i="43"/>
  <c r="N21" i="43"/>
  <c r="M21" i="43"/>
  <c r="N19" i="43"/>
  <c r="N18" i="43"/>
  <c r="N15" i="43"/>
  <c r="N13" i="43"/>
  <c r="N10" i="43"/>
  <c r="N8" i="43"/>
  <c r="AC40" i="43" l="1"/>
  <c r="N32" i="43"/>
  <c r="M32" i="43"/>
  <c r="K40" i="43"/>
  <c r="K39" i="43"/>
  <c r="N30" i="43"/>
  <c r="M30" i="43"/>
  <c r="K38" i="43"/>
  <c r="M29" i="43"/>
  <c r="K37" i="43"/>
  <c r="K36" i="43"/>
  <c r="O35" i="43"/>
  <c r="K35" i="43"/>
  <c r="AC26" i="43"/>
  <c r="O26" i="43"/>
  <c r="O25" i="43"/>
  <c r="O23" i="43"/>
  <c r="O22" i="43"/>
  <c r="O21" i="43"/>
  <c r="N20" i="43"/>
  <c r="O30" i="43" l="1"/>
  <c r="O24" i="43"/>
  <c r="M27" i="43"/>
  <c r="M31" i="43"/>
  <c r="N31" i="43"/>
  <c r="O31" i="43" s="1"/>
  <c r="M28" i="43"/>
  <c r="N12" i="43"/>
  <c r="N9" i="43" s="1"/>
  <c r="O37" i="43"/>
  <c r="N28" i="43"/>
  <c r="O28" i="43" s="1"/>
  <c r="O32" i="43"/>
  <c r="N41" i="43"/>
  <c r="N27" i="43"/>
  <c r="O27" i="43" s="1"/>
  <c r="O39" i="43"/>
  <c r="O36" i="43"/>
  <c r="N29" i="43"/>
  <c r="O29" i="43" s="1"/>
  <c r="N16" i="43"/>
  <c r="O38" i="43"/>
  <c r="N14" i="43"/>
  <c r="N17" i="43"/>
  <c r="O40" i="43"/>
  <c r="M41" i="43"/>
  <c r="N11" i="43" l="1"/>
  <c r="N42" i="43"/>
  <c r="O41" i="43"/>
  <c r="M15" i="41" l="1"/>
  <c r="M15" i="43" s="1"/>
  <c r="M13" i="41"/>
  <c r="M13" i="43" s="1"/>
  <c r="M10" i="41"/>
  <c r="M10" i="43" s="1"/>
  <c r="M8" i="41"/>
  <c r="M8" i="43" s="1"/>
  <c r="M14" i="43" l="1"/>
  <c r="O14" i="43" s="1"/>
  <c r="O13" i="43"/>
  <c r="M17" i="43"/>
  <c r="O17" i="43" s="1"/>
  <c r="M42" i="43"/>
  <c r="O8" i="43"/>
  <c r="M12" i="43"/>
  <c r="M11" i="43" s="1"/>
  <c r="O11" i="43" s="1"/>
  <c r="O10" i="43"/>
  <c r="O15" i="43"/>
  <c r="M16" i="43"/>
  <c r="O16" i="43" s="1"/>
  <c r="M18" i="41"/>
  <c r="M18" i="43" s="1"/>
  <c r="O18" i="43" l="1"/>
  <c r="M9" i="43"/>
  <c r="O9" i="43" s="1"/>
  <c r="O12" i="43"/>
  <c r="M19" i="41"/>
  <c r="M19" i="43" s="1"/>
  <c r="O19" i="43" s="1"/>
  <c r="M20" i="43" l="1"/>
  <c r="O20" i="43" s="1"/>
  <c r="G18" i="41"/>
  <c r="G18" i="43" s="1"/>
  <c r="O30" i="41" l="1"/>
  <c r="O29" i="41"/>
  <c r="O28" i="41"/>
  <c r="O32" i="41"/>
  <c r="O31" i="41"/>
  <c r="O27" i="41"/>
  <c r="O26" i="41"/>
  <c r="O25" i="41"/>
  <c r="O24" i="41"/>
  <c r="O23" i="41"/>
  <c r="O22" i="41"/>
  <c r="O21" i="41"/>
  <c r="O19" i="41"/>
  <c r="M20" i="41"/>
  <c r="M16" i="41"/>
  <c r="M17" i="41"/>
  <c r="M14" i="41" l="1"/>
  <c r="O14" i="41" s="1"/>
  <c r="O8" i="41"/>
  <c r="O13" i="41"/>
  <c r="O35" i="41"/>
  <c r="O17" i="41"/>
  <c r="O20" i="41"/>
  <c r="O16" i="41"/>
  <c r="O39" i="41"/>
  <c r="O36" i="41"/>
  <c r="O15" i="41"/>
  <c r="O37" i="41"/>
  <c r="O38" i="41"/>
  <c r="O10" i="41"/>
  <c r="O40" i="41"/>
  <c r="M12" i="41"/>
  <c r="M11" i="41" s="1"/>
  <c r="O18" i="41"/>
  <c r="O12" i="41" l="1"/>
  <c r="M9" i="41"/>
  <c r="O41" i="41"/>
  <c r="O11" i="41"/>
  <c r="O9" i="41"/>
  <c r="W40" i="41" l="1"/>
  <c r="W40" i="43" s="1"/>
  <c r="T40" i="41"/>
  <c r="T40" i="43" s="1"/>
  <c r="K40" i="41"/>
  <c r="H40" i="41"/>
  <c r="W39" i="41"/>
  <c r="W39" i="43" s="1"/>
  <c r="T39" i="41"/>
  <c r="T39" i="43" s="1"/>
  <c r="K39" i="41"/>
  <c r="H39" i="41"/>
  <c r="W38" i="41"/>
  <c r="W38" i="43" s="1"/>
  <c r="T38" i="41"/>
  <c r="T38" i="43" s="1"/>
  <c r="K38" i="41"/>
  <c r="H38" i="41"/>
  <c r="W37" i="41"/>
  <c r="W37" i="43" s="1"/>
  <c r="T37" i="41"/>
  <c r="T37" i="43" s="1"/>
  <c r="K37" i="41"/>
  <c r="H37" i="41"/>
  <c r="W36" i="41"/>
  <c r="W36" i="43" s="1"/>
  <c r="T36" i="41"/>
  <c r="T36" i="43" s="1"/>
  <c r="K36" i="41"/>
  <c r="H36" i="41"/>
  <c r="W35" i="41"/>
  <c r="W35" i="43" s="1"/>
  <c r="T35" i="41"/>
  <c r="T35" i="43" s="1"/>
  <c r="K35" i="41"/>
  <c r="H35" i="41"/>
  <c r="AC24" i="41"/>
  <c r="AC24" i="43" s="1"/>
  <c r="AC23" i="41"/>
  <c r="AC23" i="43" s="1"/>
  <c r="Q39" i="41" l="1"/>
  <c r="H39" i="43"/>
  <c r="Q39" i="43" s="1"/>
  <c r="Q35" i="41"/>
  <c r="H35" i="43"/>
  <c r="Q35" i="43" s="1"/>
  <c r="Q38" i="41"/>
  <c r="H38" i="43"/>
  <c r="Q38" i="43" s="1"/>
  <c r="Q40" i="41"/>
  <c r="H40" i="43"/>
  <c r="Q40" i="43" s="1"/>
  <c r="Q36" i="41"/>
  <c r="H36" i="43"/>
  <c r="Q36" i="43" s="1"/>
  <c r="Q37" i="41"/>
  <c r="H37" i="43"/>
  <c r="Q37" i="43" s="1"/>
  <c r="AI39" i="29"/>
  <c r="AI38" i="29"/>
  <c r="AI37" i="29"/>
  <c r="L24" i="29"/>
  <c r="L16" i="29"/>
  <c r="L15" i="29"/>
  <c r="L13" i="29"/>
  <c r="G36" i="29"/>
  <c r="L36" i="29" s="1"/>
  <c r="G25" i="29"/>
  <c r="L25" i="29" s="1"/>
  <c r="G24" i="29"/>
  <c r="G16" i="29"/>
  <c r="G15" i="29"/>
  <c r="G13" i="29"/>
  <c r="G12" i="29"/>
  <c r="L12" i="29" s="1"/>
  <c r="G10" i="29"/>
  <c r="L10" i="29" s="1"/>
  <c r="U28" i="37"/>
  <c r="T28" i="37"/>
  <c r="R28" i="37"/>
  <c r="Q28" i="37"/>
  <c r="O28" i="37"/>
  <c r="N28" i="37"/>
  <c r="L28" i="37"/>
  <c r="K28" i="37"/>
  <c r="I28" i="37"/>
  <c r="H28" i="37"/>
  <c r="F28" i="37"/>
  <c r="E28" i="37"/>
  <c r="U27" i="37"/>
  <c r="T27" i="37"/>
  <c r="R27" i="37"/>
  <c r="Q27" i="37"/>
  <c r="O27" i="37"/>
  <c r="N27" i="37"/>
  <c r="L27" i="37"/>
  <c r="K27" i="37"/>
  <c r="I27" i="37"/>
  <c r="H27" i="37"/>
  <c r="F27" i="37"/>
  <c r="E27" i="37"/>
  <c r="U26" i="37"/>
  <c r="T26" i="37"/>
  <c r="R26" i="37"/>
  <c r="Q26" i="37"/>
  <c r="O26" i="37"/>
  <c r="N26" i="37"/>
  <c r="L26" i="37"/>
  <c r="K26" i="37"/>
  <c r="I26" i="37"/>
  <c r="H26" i="37"/>
  <c r="F26" i="37"/>
  <c r="E26" i="37"/>
  <c r="U25" i="37"/>
  <c r="T25" i="37"/>
  <c r="R25" i="37"/>
  <c r="Q25" i="37"/>
  <c r="O25" i="37"/>
  <c r="N25" i="37"/>
  <c r="L25" i="37"/>
  <c r="K25" i="37"/>
  <c r="I25" i="37"/>
  <c r="H25" i="37"/>
  <c r="F25" i="37"/>
  <c r="E25" i="37"/>
  <c r="U24" i="37"/>
  <c r="T24" i="37"/>
  <c r="R24" i="37"/>
  <c r="Q24" i="37"/>
  <c r="O24" i="37"/>
  <c r="N24" i="37"/>
  <c r="L24" i="37"/>
  <c r="K24" i="37"/>
  <c r="I24" i="37"/>
  <c r="H24" i="37"/>
  <c r="F24" i="37"/>
  <c r="E24" i="37"/>
  <c r="U23" i="37"/>
  <c r="T23" i="37"/>
  <c r="R23" i="37"/>
  <c r="Q23" i="37"/>
  <c r="O23" i="37"/>
  <c r="N23" i="37"/>
  <c r="L23" i="37"/>
  <c r="K23" i="37"/>
  <c r="I23" i="37"/>
  <c r="H23" i="37"/>
  <c r="F23" i="37"/>
  <c r="E23" i="37"/>
  <c r="U22" i="37"/>
  <c r="T22" i="37"/>
  <c r="R22" i="37"/>
  <c r="Q22" i="37"/>
  <c r="O22" i="37"/>
  <c r="N22" i="37"/>
  <c r="L22" i="37"/>
  <c r="K22" i="37"/>
  <c r="I22" i="37"/>
  <c r="H22" i="37"/>
  <c r="F22" i="37"/>
  <c r="E22" i="37"/>
  <c r="U21" i="37"/>
  <c r="T21" i="37"/>
  <c r="R21" i="37"/>
  <c r="Q21" i="37"/>
  <c r="O21" i="37"/>
  <c r="N21" i="37"/>
  <c r="L21" i="37"/>
  <c r="K21" i="37"/>
  <c r="I21" i="37"/>
  <c r="H21" i="37"/>
  <c r="F21" i="37"/>
  <c r="E21" i="37"/>
  <c r="U20" i="37"/>
  <c r="T20" i="37"/>
  <c r="R20" i="37"/>
  <c r="Q20" i="37"/>
  <c r="O20" i="37"/>
  <c r="N20" i="37"/>
  <c r="L20" i="37"/>
  <c r="K20" i="37"/>
  <c r="I20" i="37"/>
  <c r="H20" i="37"/>
  <c r="F20" i="37"/>
  <c r="E20" i="37"/>
  <c r="U19" i="37"/>
  <c r="T19" i="37"/>
  <c r="R19" i="37"/>
  <c r="Q19" i="37"/>
  <c r="O19" i="37"/>
  <c r="N19" i="37"/>
  <c r="L19" i="37"/>
  <c r="K19" i="37"/>
  <c r="I19" i="37"/>
  <c r="H19" i="37"/>
  <c r="F19" i="37"/>
  <c r="E19" i="37"/>
  <c r="U18" i="37"/>
  <c r="T18" i="37"/>
  <c r="R18" i="37"/>
  <c r="Q18" i="37"/>
  <c r="O18" i="37"/>
  <c r="N18" i="37"/>
  <c r="L18" i="37"/>
  <c r="K18" i="37"/>
  <c r="I18" i="37"/>
  <c r="H18" i="37"/>
  <c r="F18" i="37"/>
  <c r="E18" i="37"/>
  <c r="U17" i="37"/>
  <c r="T17" i="37"/>
  <c r="R17" i="37"/>
  <c r="Q17" i="37"/>
  <c r="O17" i="37"/>
  <c r="N17" i="37"/>
  <c r="L17" i="37"/>
  <c r="K17" i="37"/>
  <c r="I17" i="37"/>
  <c r="H17" i="37"/>
  <c r="F17" i="37"/>
  <c r="E17" i="37"/>
  <c r="U16" i="37"/>
  <c r="T16" i="37"/>
  <c r="R16" i="37"/>
  <c r="Q16" i="37"/>
  <c r="O16" i="37"/>
  <c r="N16" i="37"/>
  <c r="L16" i="37"/>
  <c r="K16" i="37"/>
  <c r="I16" i="37"/>
  <c r="H16" i="37"/>
  <c r="F16" i="37"/>
  <c r="E16" i="37"/>
  <c r="U15" i="37"/>
  <c r="T15" i="37"/>
  <c r="R15" i="37"/>
  <c r="Q15" i="37"/>
  <c r="O15" i="37"/>
  <c r="N15" i="37"/>
  <c r="L15" i="37"/>
  <c r="K15" i="37"/>
  <c r="I15" i="37"/>
  <c r="H15" i="37"/>
  <c r="F15" i="37"/>
  <c r="E15" i="37"/>
  <c r="U14" i="37"/>
  <c r="T14" i="37"/>
  <c r="R14" i="37"/>
  <c r="Q14" i="37"/>
  <c r="O14" i="37"/>
  <c r="N14" i="37"/>
  <c r="L14" i="37"/>
  <c r="K14" i="37"/>
  <c r="I14" i="37"/>
  <c r="H14" i="37"/>
  <c r="F14" i="37"/>
  <c r="E14" i="37"/>
  <c r="U13" i="37"/>
  <c r="T13" i="37"/>
  <c r="R13" i="37"/>
  <c r="Q13" i="37"/>
  <c r="O13" i="37"/>
  <c r="N13" i="37"/>
  <c r="L13" i="37"/>
  <c r="K13" i="37"/>
  <c r="I13" i="37"/>
  <c r="H13" i="37"/>
  <c r="F13" i="37"/>
  <c r="E13" i="37"/>
  <c r="U12" i="37"/>
  <c r="T12" i="37"/>
  <c r="R12" i="37"/>
  <c r="Q12" i="37"/>
  <c r="O12" i="37"/>
  <c r="N12" i="37"/>
  <c r="L12" i="37"/>
  <c r="K12" i="37"/>
  <c r="I12" i="37"/>
  <c r="H12" i="37"/>
  <c r="F12" i="37"/>
  <c r="E12" i="37"/>
  <c r="U11" i="37"/>
  <c r="T11" i="37"/>
  <c r="R11" i="37"/>
  <c r="Q11" i="37"/>
  <c r="O11" i="37"/>
  <c r="N11" i="37"/>
  <c r="L11" i="37"/>
  <c r="K11" i="37"/>
  <c r="I11" i="37"/>
  <c r="H11" i="37"/>
  <c r="F11" i="37"/>
  <c r="E11" i="37"/>
  <c r="U10" i="37"/>
  <c r="T10" i="37"/>
  <c r="R10" i="37"/>
  <c r="Q10" i="37"/>
  <c r="O10" i="37"/>
  <c r="N10" i="37"/>
  <c r="L10" i="37"/>
  <c r="K10" i="37"/>
  <c r="I10" i="37"/>
  <c r="H10" i="37"/>
  <c r="F10" i="37"/>
  <c r="E10" i="37"/>
  <c r="U9" i="37"/>
  <c r="T9" i="37"/>
  <c r="R9" i="37"/>
  <c r="Q9" i="37"/>
  <c r="O9" i="37"/>
  <c r="N9" i="37"/>
  <c r="L9" i="37"/>
  <c r="K9" i="37"/>
  <c r="I9" i="37"/>
  <c r="H9" i="37"/>
  <c r="F9" i="37"/>
  <c r="E9" i="37"/>
  <c r="U8" i="37"/>
  <c r="T8" i="37"/>
  <c r="R8" i="37"/>
  <c r="Q8" i="37"/>
  <c r="O8" i="37"/>
  <c r="N8" i="37"/>
  <c r="L8" i="37"/>
  <c r="K8" i="37"/>
  <c r="I8" i="37"/>
  <c r="H8" i="37"/>
  <c r="F8" i="37"/>
  <c r="E8" i="37"/>
  <c r="U28" i="36"/>
  <c r="T28" i="36"/>
  <c r="R28" i="36"/>
  <c r="Q28" i="36"/>
  <c r="O28" i="36"/>
  <c r="N28" i="36"/>
  <c r="L28" i="36"/>
  <c r="K28" i="36"/>
  <c r="I28" i="36"/>
  <c r="H28" i="36"/>
  <c r="F28" i="36"/>
  <c r="E28" i="36"/>
  <c r="U27" i="36"/>
  <c r="T27" i="36"/>
  <c r="R27" i="36"/>
  <c r="Q27" i="36"/>
  <c r="O27" i="36"/>
  <c r="N27" i="36"/>
  <c r="L27" i="36"/>
  <c r="K27" i="36"/>
  <c r="I27" i="36"/>
  <c r="H27" i="36"/>
  <c r="F27" i="36"/>
  <c r="E27" i="36"/>
  <c r="U26" i="36"/>
  <c r="T26" i="36"/>
  <c r="R26" i="36"/>
  <c r="Q26" i="36"/>
  <c r="O26" i="36"/>
  <c r="N26" i="36"/>
  <c r="L26" i="36"/>
  <c r="K26" i="36"/>
  <c r="I26" i="36"/>
  <c r="H26" i="36"/>
  <c r="F26" i="36"/>
  <c r="E26" i="36"/>
  <c r="U25" i="36"/>
  <c r="T25" i="36"/>
  <c r="R25" i="36"/>
  <c r="Q25" i="36"/>
  <c r="O25" i="36"/>
  <c r="N25" i="36"/>
  <c r="L25" i="36"/>
  <c r="K25" i="36"/>
  <c r="I25" i="36"/>
  <c r="H25" i="36"/>
  <c r="F25" i="36"/>
  <c r="E25" i="36"/>
  <c r="U24" i="36"/>
  <c r="T24" i="36"/>
  <c r="R24" i="36"/>
  <c r="Q24" i="36"/>
  <c r="O24" i="36"/>
  <c r="N24" i="36"/>
  <c r="L24" i="36"/>
  <c r="K24" i="36"/>
  <c r="I24" i="36"/>
  <c r="H24" i="36"/>
  <c r="F24" i="36"/>
  <c r="E24" i="36"/>
  <c r="U23" i="36"/>
  <c r="T23" i="36"/>
  <c r="R23" i="36"/>
  <c r="Q23" i="36"/>
  <c r="O23" i="36"/>
  <c r="N23" i="36"/>
  <c r="L23" i="36"/>
  <c r="K23" i="36"/>
  <c r="I23" i="36"/>
  <c r="H23" i="36"/>
  <c r="F23" i="36"/>
  <c r="E23" i="36"/>
  <c r="U22" i="36"/>
  <c r="T22" i="36"/>
  <c r="R22" i="36"/>
  <c r="Q22" i="36"/>
  <c r="O22" i="36"/>
  <c r="N22" i="36"/>
  <c r="L22" i="36"/>
  <c r="K22" i="36"/>
  <c r="I22" i="36"/>
  <c r="H22" i="36"/>
  <c r="F22" i="36"/>
  <c r="E22" i="36"/>
  <c r="U21" i="36"/>
  <c r="T21" i="36"/>
  <c r="R21" i="36"/>
  <c r="Q21" i="36"/>
  <c r="O21" i="36"/>
  <c r="N21" i="36"/>
  <c r="L21" i="36"/>
  <c r="K21" i="36"/>
  <c r="I21" i="36"/>
  <c r="H21" i="36"/>
  <c r="F21" i="36"/>
  <c r="E21" i="36"/>
  <c r="U20" i="36"/>
  <c r="T20" i="36"/>
  <c r="R20" i="36"/>
  <c r="Q20" i="36"/>
  <c r="O20" i="36"/>
  <c r="N20" i="36"/>
  <c r="L20" i="36"/>
  <c r="K20" i="36"/>
  <c r="I20" i="36"/>
  <c r="H20" i="36"/>
  <c r="F20" i="36"/>
  <c r="E20" i="36"/>
  <c r="U19" i="36"/>
  <c r="T19" i="36"/>
  <c r="R19" i="36"/>
  <c r="Q19" i="36"/>
  <c r="O19" i="36"/>
  <c r="N19" i="36"/>
  <c r="L19" i="36"/>
  <c r="K19" i="36"/>
  <c r="I19" i="36"/>
  <c r="H19" i="36"/>
  <c r="F19" i="36"/>
  <c r="E19" i="36"/>
  <c r="U18" i="36"/>
  <c r="T18" i="36"/>
  <c r="R18" i="36"/>
  <c r="Q18" i="36"/>
  <c r="O18" i="36"/>
  <c r="N18" i="36"/>
  <c r="L18" i="36"/>
  <c r="K18" i="36"/>
  <c r="I18" i="36"/>
  <c r="H18" i="36"/>
  <c r="F18" i="36"/>
  <c r="E18" i="36"/>
  <c r="U17" i="36"/>
  <c r="T17" i="36"/>
  <c r="R17" i="36"/>
  <c r="Q17" i="36"/>
  <c r="O17" i="36"/>
  <c r="N17" i="36"/>
  <c r="L17" i="36"/>
  <c r="K17" i="36"/>
  <c r="I17" i="36"/>
  <c r="H17" i="36"/>
  <c r="F17" i="36"/>
  <c r="E17" i="36"/>
  <c r="U16" i="36"/>
  <c r="T16" i="36"/>
  <c r="R16" i="36"/>
  <c r="Q16" i="36"/>
  <c r="O16" i="36"/>
  <c r="N16" i="36"/>
  <c r="L16" i="36"/>
  <c r="K16" i="36"/>
  <c r="I16" i="36"/>
  <c r="H16" i="36"/>
  <c r="F16" i="36"/>
  <c r="E16" i="36"/>
  <c r="U15" i="36"/>
  <c r="T15" i="36"/>
  <c r="R15" i="36"/>
  <c r="Q15" i="36"/>
  <c r="O15" i="36"/>
  <c r="N15" i="36"/>
  <c r="L15" i="36"/>
  <c r="K15" i="36"/>
  <c r="I15" i="36"/>
  <c r="H15" i="36"/>
  <c r="F15" i="36"/>
  <c r="E15" i="36"/>
  <c r="U14" i="36"/>
  <c r="T14" i="36"/>
  <c r="R14" i="36"/>
  <c r="Q14" i="36"/>
  <c r="O14" i="36"/>
  <c r="N14" i="36"/>
  <c r="L14" i="36"/>
  <c r="K14" i="36"/>
  <c r="I14" i="36"/>
  <c r="H14" i="36"/>
  <c r="F14" i="36"/>
  <c r="E14" i="36"/>
  <c r="U13" i="36"/>
  <c r="T13" i="36"/>
  <c r="R13" i="36"/>
  <c r="Q13" i="36"/>
  <c r="O13" i="36"/>
  <c r="N13" i="36"/>
  <c r="L13" i="36"/>
  <c r="K13" i="36"/>
  <c r="I13" i="36"/>
  <c r="H13" i="36"/>
  <c r="F13" i="36"/>
  <c r="E13" i="36"/>
  <c r="U12" i="36"/>
  <c r="T12" i="36"/>
  <c r="R12" i="36"/>
  <c r="Q12" i="36"/>
  <c r="O12" i="36"/>
  <c r="N12" i="36"/>
  <c r="L12" i="36"/>
  <c r="K12" i="36"/>
  <c r="I12" i="36"/>
  <c r="H12" i="36"/>
  <c r="F12" i="36"/>
  <c r="E12" i="36"/>
  <c r="U11" i="36"/>
  <c r="T11" i="36"/>
  <c r="R11" i="36"/>
  <c r="Q11" i="36"/>
  <c r="O11" i="36"/>
  <c r="N11" i="36"/>
  <c r="L11" i="36"/>
  <c r="K11" i="36"/>
  <c r="I11" i="36"/>
  <c r="H11" i="36"/>
  <c r="F11" i="36"/>
  <c r="E11" i="36"/>
  <c r="U10" i="36"/>
  <c r="T10" i="36"/>
  <c r="R10" i="36"/>
  <c r="Q10" i="36"/>
  <c r="O10" i="36"/>
  <c r="N10" i="36"/>
  <c r="L10" i="36"/>
  <c r="K10" i="36"/>
  <c r="I10" i="36"/>
  <c r="H10" i="36"/>
  <c r="F10" i="36"/>
  <c r="E10" i="36"/>
  <c r="U9" i="36"/>
  <c r="T9" i="36"/>
  <c r="R9" i="36"/>
  <c r="Q9" i="36"/>
  <c r="O9" i="36"/>
  <c r="N9" i="36"/>
  <c r="L9" i="36"/>
  <c r="K9" i="36"/>
  <c r="I9" i="36"/>
  <c r="H9" i="36"/>
  <c r="F9" i="36"/>
  <c r="E9" i="36"/>
  <c r="U8" i="36"/>
  <c r="T8" i="36"/>
  <c r="R8" i="36"/>
  <c r="Q8" i="36"/>
  <c r="O8" i="36"/>
  <c r="N8" i="36"/>
  <c r="L8" i="36"/>
  <c r="K8" i="36"/>
  <c r="I8" i="36"/>
  <c r="H8" i="36"/>
  <c r="F8" i="36"/>
  <c r="E8" i="36"/>
  <c r="O28" i="34"/>
  <c r="N28" i="34"/>
  <c r="L28" i="34"/>
  <c r="K28" i="34"/>
  <c r="I28" i="34"/>
  <c r="H28" i="34"/>
  <c r="F28" i="34"/>
  <c r="E28" i="34"/>
  <c r="O27" i="34"/>
  <c r="N27" i="34"/>
  <c r="L27" i="34"/>
  <c r="K27" i="34"/>
  <c r="I27" i="34"/>
  <c r="H27" i="34"/>
  <c r="F27" i="34"/>
  <c r="E27" i="34"/>
  <c r="O26" i="34"/>
  <c r="N26" i="34"/>
  <c r="L26" i="34"/>
  <c r="K26" i="34"/>
  <c r="I26" i="34"/>
  <c r="H26" i="34"/>
  <c r="F26" i="34"/>
  <c r="E26" i="34"/>
  <c r="O25" i="34"/>
  <c r="N25" i="34"/>
  <c r="L25" i="34"/>
  <c r="K25" i="34"/>
  <c r="I25" i="34"/>
  <c r="H25" i="34"/>
  <c r="F25" i="34"/>
  <c r="E25" i="34"/>
  <c r="O24" i="34"/>
  <c r="N24" i="34"/>
  <c r="L24" i="34"/>
  <c r="K24" i="34"/>
  <c r="I24" i="34"/>
  <c r="H24" i="34"/>
  <c r="F24" i="34"/>
  <c r="E24" i="34"/>
  <c r="O23" i="34"/>
  <c r="N23" i="34"/>
  <c r="L23" i="34"/>
  <c r="K23" i="34"/>
  <c r="I23" i="34"/>
  <c r="H23" i="34"/>
  <c r="F23" i="34"/>
  <c r="E23" i="34"/>
  <c r="O22" i="34"/>
  <c r="N22" i="34"/>
  <c r="L22" i="34"/>
  <c r="K22" i="34"/>
  <c r="I22" i="34"/>
  <c r="H22" i="34"/>
  <c r="F22" i="34"/>
  <c r="E22" i="34"/>
  <c r="O21" i="34"/>
  <c r="N21" i="34"/>
  <c r="L21" i="34"/>
  <c r="K21" i="34"/>
  <c r="I21" i="34"/>
  <c r="H21" i="34"/>
  <c r="F21" i="34"/>
  <c r="E21" i="34"/>
  <c r="O20" i="34"/>
  <c r="N20" i="34"/>
  <c r="L20" i="34"/>
  <c r="K20" i="34"/>
  <c r="I20" i="34"/>
  <c r="H20" i="34"/>
  <c r="F20" i="34"/>
  <c r="E20" i="34"/>
  <c r="O19" i="34"/>
  <c r="N19" i="34"/>
  <c r="L19" i="34"/>
  <c r="K19" i="34"/>
  <c r="I19" i="34"/>
  <c r="H19" i="34"/>
  <c r="F19" i="34"/>
  <c r="E19" i="34"/>
  <c r="O18" i="34"/>
  <c r="N18" i="34"/>
  <c r="L18" i="34"/>
  <c r="K18" i="34"/>
  <c r="I18" i="34"/>
  <c r="H18" i="34"/>
  <c r="F18" i="34"/>
  <c r="E18" i="34"/>
  <c r="O17" i="34"/>
  <c r="N17" i="34"/>
  <c r="L17" i="34"/>
  <c r="K17" i="34"/>
  <c r="I17" i="34"/>
  <c r="H17" i="34"/>
  <c r="F17" i="34"/>
  <c r="E17" i="34"/>
  <c r="O16" i="34"/>
  <c r="N16" i="34"/>
  <c r="L16" i="34"/>
  <c r="K16" i="34"/>
  <c r="I16" i="34"/>
  <c r="H16" i="34"/>
  <c r="F16" i="34"/>
  <c r="E16" i="34"/>
  <c r="O15" i="34"/>
  <c r="N15" i="34"/>
  <c r="L15" i="34"/>
  <c r="K15" i="34"/>
  <c r="I15" i="34"/>
  <c r="H15" i="34"/>
  <c r="F15" i="34"/>
  <c r="E15" i="34"/>
  <c r="O14" i="34"/>
  <c r="N14" i="34"/>
  <c r="L14" i="34"/>
  <c r="K14" i="34"/>
  <c r="I14" i="34"/>
  <c r="H14" i="34"/>
  <c r="F14" i="34"/>
  <c r="E14" i="34"/>
  <c r="O13" i="34"/>
  <c r="N13" i="34"/>
  <c r="L13" i="34"/>
  <c r="K13" i="34"/>
  <c r="I13" i="34"/>
  <c r="H13" i="34"/>
  <c r="F13" i="34"/>
  <c r="E13" i="34"/>
  <c r="O12" i="34"/>
  <c r="N12" i="34"/>
  <c r="L12" i="34"/>
  <c r="K12" i="34"/>
  <c r="I12" i="34"/>
  <c r="H12" i="34"/>
  <c r="F12" i="34"/>
  <c r="E12" i="34"/>
  <c r="O11" i="34"/>
  <c r="N11" i="34"/>
  <c r="L11" i="34"/>
  <c r="K11" i="34"/>
  <c r="I11" i="34"/>
  <c r="H11" i="34"/>
  <c r="F11" i="34"/>
  <c r="E11" i="34"/>
  <c r="O10" i="34"/>
  <c r="N10" i="34"/>
  <c r="L10" i="34"/>
  <c r="K10" i="34"/>
  <c r="I10" i="34"/>
  <c r="H10" i="34"/>
  <c r="F10" i="34"/>
  <c r="E10" i="34"/>
  <c r="O9" i="34"/>
  <c r="N9" i="34"/>
  <c r="L9" i="34"/>
  <c r="K9" i="34"/>
  <c r="I9" i="34"/>
  <c r="H9" i="34"/>
  <c r="F9" i="34"/>
  <c r="E9" i="34"/>
  <c r="O8" i="34"/>
  <c r="N8" i="34"/>
  <c r="L8" i="34"/>
  <c r="K8" i="34"/>
  <c r="I8" i="34"/>
  <c r="H8" i="34"/>
  <c r="F8" i="34"/>
  <c r="E8" i="34"/>
  <c r="W28" i="33"/>
  <c r="U28" i="33"/>
  <c r="T28" i="33"/>
  <c r="S28" i="33"/>
  <c r="Q28" i="33"/>
  <c r="P28" i="33"/>
  <c r="O28" i="33"/>
  <c r="M28" i="33"/>
  <c r="L28" i="33"/>
  <c r="K28" i="33"/>
  <c r="I28" i="33"/>
  <c r="H28" i="33"/>
  <c r="F28" i="33"/>
  <c r="E28" i="33"/>
  <c r="W27" i="33"/>
  <c r="U27" i="33"/>
  <c r="T27" i="33"/>
  <c r="S27" i="33"/>
  <c r="Q27" i="33"/>
  <c r="P27" i="33"/>
  <c r="O27" i="33"/>
  <c r="M27" i="33"/>
  <c r="L27" i="33"/>
  <c r="K27" i="33"/>
  <c r="I27" i="33"/>
  <c r="H27" i="33"/>
  <c r="F27" i="33"/>
  <c r="E27" i="33"/>
  <c r="W26" i="33"/>
  <c r="U26" i="33"/>
  <c r="T26" i="33"/>
  <c r="S26" i="33"/>
  <c r="Q26" i="33"/>
  <c r="P26" i="33"/>
  <c r="O26" i="33"/>
  <c r="M26" i="33"/>
  <c r="L26" i="33"/>
  <c r="K26" i="33"/>
  <c r="I26" i="33"/>
  <c r="H26" i="33"/>
  <c r="F26" i="33"/>
  <c r="E26" i="33"/>
  <c r="W25" i="33"/>
  <c r="U25" i="33"/>
  <c r="T25" i="33"/>
  <c r="S25" i="33"/>
  <c r="Q25" i="33"/>
  <c r="P25" i="33"/>
  <c r="O25" i="33"/>
  <c r="M25" i="33"/>
  <c r="L25" i="33"/>
  <c r="K25" i="33"/>
  <c r="I25" i="33"/>
  <c r="H25" i="33"/>
  <c r="F25" i="33"/>
  <c r="E25" i="33"/>
  <c r="W24" i="33"/>
  <c r="U24" i="33"/>
  <c r="T24" i="33"/>
  <c r="S24" i="33"/>
  <c r="Q24" i="33"/>
  <c r="P24" i="33"/>
  <c r="O24" i="33"/>
  <c r="M24" i="33"/>
  <c r="L24" i="33"/>
  <c r="K24" i="33"/>
  <c r="I24" i="33"/>
  <c r="H24" i="33"/>
  <c r="F24" i="33"/>
  <c r="E24" i="33"/>
  <c r="W23" i="33"/>
  <c r="U23" i="33"/>
  <c r="T23" i="33"/>
  <c r="S23" i="33"/>
  <c r="Q23" i="33"/>
  <c r="P23" i="33"/>
  <c r="O23" i="33"/>
  <c r="M23" i="33"/>
  <c r="L23" i="33"/>
  <c r="K23" i="33"/>
  <c r="I23" i="33"/>
  <c r="H23" i="33"/>
  <c r="F23" i="33"/>
  <c r="E23" i="33"/>
  <c r="W22" i="33"/>
  <c r="U22" i="33"/>
  <c r="T22" i="33"/>
  <c r="S22" i="33"/>
  <c r="Q22" i="33"/>
  <c r="P22" i="33"/>
  <c r="O22" i="33"/>
  <c r="M22" i="33"/>
  <c r="L22" i="33"/>
  <c r="K22" i="33"/>
  <c r="I22" i="33"/>
  <c r="H22" i="33"/>
  <c r="F22" i="33"/>
  <c r="E22" i="33"/>
  <c r="W21" i="33"/>
  <c r="U21" i="33"/>
  <c r="T21" i="33"/>
  <c r="S21" i="33"/>
  <c r="Q21" i="33"/>
  <c r="P21" i="33"/>
  <c r="O21" i="33"/>
  <c r="M21" i="33"/>
  <c r="L21" i="33"/>
  <c r="K21" i="33"/>
  <c r="I21" i="33"/>
  <c r="H21" i="33"/>
  <c r="F21" i="33"/>
  <c r="E21" i="33"/>
  <c r="W20" i="33"/>
  <c r="U20" i="33"/>
  <c r="T20" i="33"/>
  <c r="S20" i="33"/>
  <c r="Q20" i="33"/>
  <c r="P20" i="33"/>
  <c r="O20" i="33"/>
  <c r="M20" i="33"/>
  <c r="L20" i="33"/>
  <c r="K20" i="33"/>
  <c r="I20" i="33"/>
  <c r="H20" i="33"/>
  <c r="F20" i="33"/>
  <c r="E20" i="33"/>
  <c r="W19" i="33"/>
  <c r="U19" i="33"/>
  <c r="T19" i="33"/>
  <c r="S19" i="33"/>
  <c r="Q19" i="33"/>
  <c r="P19" i="33"/>
  <c r="O19" i="33"/>
  <c r="M19" i="33"/>
  <c r="L19" i="33"/>
  <c r="K19" i="33"/>
  <c r="I19" i="33"/>
  <c r="H19" i="33"/>
  <c r="F19" i="33"/>
  <c r="E19" i="33"/>
  <c r="W18" i="33"/>
  <c r="U18" i="33"/>
  <c r="T18" i="33"/>
  <c r="S18" i="33"/>
  <c r="Q18" i="33"/>
  <c r="P18" i="33"/>
  <c r="O18" i="33"/>
  <c r="M18" i="33"/>
  <c r="L18" i="33"/>
  <c r="K18" i="33"/>
  <c r="I18" i="33"/>
  <c r="H18" i="33"/>
  <c r="F18" i="33"/>
  <c r="E18" i="33"/>
  <c r="W17" i="33"/>
  <c r="U17" i="33"/>
  <c r="T17" i="33"/>
  <c r="S17" i="33"/>
  <c r="Q17" i="33"/>
  <c r="P17" i="33"/>
  <c r="O17" i="33"/>
  <c r="M17" i="33"/>
  <c r="L17" i="33"/>
  <c r="K17" i="33"/>
  <c r="I17" i="33"/>
  <c r="H17" i="33"/>
  <c r="F17" i="33"/>
  <c r="E17" i="33"/>
  <c r="W16" i="33"/>
  <c r="U16" i="33"/>
  <c r="T16" i="33"/>
  <c r="S16" i="33"/>
  <c r="Q16" i="33"/>
  <c r="P16" i="33"/>
  <c r="O16" i="33"/>
  <c r="M16" i="33"/>
  <c r="L16" i="33"/>
  <c r="K16" i="33"/>
  <c r="I16" i="33"/>
  <c r="H16" i="33"/>
  <c r="F16" i="33"/>
  <c r="E16" i="33"/>
  <c r="W15" i="33"/>
  <c r="U15" i="33"/>
  <c r="T15" i="33"/>
  <c r="S15" i="33"/>
  <c r="Q15" i="33"/>
  <c r="P15" i="33"/>
  <c r="O15" i="33"/>
  <c r="M15" i="33"/>
  <c r="L15" i="33"/>
  <c r="K15" i="33"/>
  <c r="I15" i="33"/>
  <c r="H15" i="33"/>
  <c r="F15" i="33"/>
  <c r="E15" i="33"/>
  <c r="W14" i="33"/>
  <c r="U14" i="33"/>
  <c r="T14" i="33"/>
  <c r="S14" i="33"/>
  <c r="Q14" i="33"/>
  <c r="P14" i="33"/>
  <c r="O14" i="33"/>
  <c r="M14" i="33"/>
  <c r="L14" i="33"/>
  <c r="K14" i="33"/>
  <c r="I14" i="33"/>
  <c r="H14" i="33"/>
  <c r="F14" i="33"/>
  <c r="E14" i="33"/>
  <c r="W13" i="33"/>
  <c r="U13" i="33"/>
  <c r="T13" i="33"/>
  <c r="S13" i="33"/>
  <c r="Q13" i="33"/>
  <c r="P13" i="33"/>
  <c r="O13" i="33"/>
  <c r="M13" i="33"/>
  <c r="L13" i="33"/>
  <c r="K13" i="33"/>
  <c r="I13" i="33"/>
  <c r="H13" i="33"/>
  <c r="F13" i="33"/>
  <c r="E13" i="33"/>
  <c r="W12" i="33"/>
  <c r="U12" i="33"/>
  <c r="T12" i="33"/>
  <c r="S12" i="33"/>
  <c r="Q12" i="33"/>
  <c r="P12" i="33"/>
  <c r="O12" i="33"/>
  <c r="M12" i="33"/>
  <c r="L12" i="33"/>
  <c r="K12" i="33"/>
  <c r="I12" i="33"/>
  <c r="H12" i="33"/>
  <c r="F12" i="33"/>
  <c r="E12" i="33"/>
  <c r="W11" i="33"/>
  <c r="U11" i="33"/>
  <c r="T11" i="33"/>
  <c r="S11" i="33"/>
  <c r="Q11" i="33"/>
  <c r="P11" i="33"/>
  <c r="O11" i="33"/>
  <c r="M11" i="33"/>
  <c r="L11" i="33"/>
  <c r="K11" i="33"/>
  <c r="I11" i="33"/>
  <c r="H11" i="33"/>
  <c r="F11" i="33"/>
  <c r="E11" i="33"/>
  <c r="W10" i="33"/>
  <c r="U10" i="33"/>
  <c r="T10" i="33"/>
  <c r="S10" i="33"/>
  <c r="Q10" i="33"/>
  <c r="P10" i="33"/>
  <c r="O10" i="33"/>
  <c r="M10" i="33"/>
  <c r="L10" i="33"/>
  <c r="K10" i="33"/>
  <c r="I10" i="33"/>
  <c r="H10" i="33"/>
  <c r="F10" i="33"/>
  <c r="E10" i="33"/>
  <c r="W9" i="33"/>
  <c r="U9" i="33"/>
  <c r="T9" i="33"/>
  <c r="S9" i="33"/>
  <c r="Q9" i="33"/>
  <c r="P9" i="33"/>
  <c r="O9" i="33"/>
  <c r="M9" i="33"/>
  <c r="L9" i="33"/>
  <c r="K9" i="33"/>
  <c r="I9" i="33"/>
  <c r="H9" i="33"/>
  <c r="F9" i="33"/>
  <c r="E9" i="33"/>
  <c r="W8" i="33"/>
  <c r="U8" i="33"/>
  <c r="T8" i="33"/>
  <c r="S8" i="33"/>
  <c r="Q8" i="33"/>
  <c r="P8" i="33"/>
  <c r="O8" i="33"/>
  <c r="M8" i="33"/>
  <c r="L8" i="33"/>
  <c r="K8" i="33"/>
  <c r="I8" i="33"/>
  <c r="H8" i="33"/>
  <c r="F8" i="33"/>
  <c r="E8" i="33"/>
  <c r="AD27" i="42"/>
  <c r="AA27" i="42"/>
  <c r="AD26" i="42"/>
  <c r="AA26" i="42"/>
  <c r="AD25" i="42"/>
  <c r="AA25" i="42"/>
  <c r="AD24" i="42"/>
  <c r="AA24" i="42"/>
  <c r="AD23" i="42"/>
  <c r="AA23" i="42"/>
  <c r="AD22" i="42"/>
  <c r="AA22" i="42"/>
  <c r="AD21" i="42"/>
  <c r="AA21" i="42"/>
  <c r="AD20" i="42"/>
  <c r="AA20" i="42"/>
  <c r="AD19" i="42"/>
  <c r="AA19" i="42"/>
  <c r="AD18" i="42"/>
  <c r="AA18" i="42"/>
  <c r="AD17" i="42"/>
  <c r="AA17" i="42"/>
  <c r="AD16" i="42"/>
  <c r="AA16" i="42"/>
  <c r="AD15" i="42"/>
  <c r="AA15" i="42"/>
  <c r="AD14" i="42"/>
  <c r="AA14" i="42"/>
  <c r="AD13" i="42"/>
  <c r="AA13" i="42"/>
  <c r="AD12" i="42"/>
  <c r="AA12" i="42"/>
  <c r="AD11" i="42"/>
  <c r="AA11" i="42"/>
  <c r="AD10" i="42"/>
  <c r="AA10" i="42"/>
  <c r="AD9" i="42"/>
  <c r="AA9" i="42"/>
  <c r="AD8" i="42"/>
  <c r="AA8" i="42"/>
  <c r="AD7" i="42"/>
  <c r="AA7" i="42"/>
  <c r="W40" i="42"/>
  <c r="U40" i="42"/>
  <c r="T40" i="42"/>
  <c r="R40" i="42"/>
  <c r="P40" i="42"/>
  <c r="O40" i="42"/>
  <c r="P38" i="42"/>
  <c r="O38" i="42"/>
  <c r="T37" i="42"/>
  <c r="R37" i="42"/>
  <c r="P37" i="42"/>
  <c r="O37" i="42"/>
  <c r="R36" i="42"/>
  <c r="P36" i="42"/>
  <c r="O36" i="42"/>
  <c r="R35" i="42"/>
  <c r="P35" i="42"/>
  <c r="O35" i="42"/>
  <c r="R38" i="2"/>
  <c r="R38" i="42" s="1"/>
  <c r="AD27" i="2" l="1"/>
  <c r="AC27" i="2"/>
  <c r="AB27" i="2"/>
  <c r="AA27" i="2"/>
  <c r="Z27" i="2"/>
  <c r="Y27" i="2"/>
  <c r="AD26" i="2"/>
  <c r="AC26" i="2"/>
  <c r="AB26" i="2"/>
  <c r="AA26" i="2"/>
  <c r="Z26" i="2"/>
  <c r="Y26" i="2"/>
  <c r="AD25" i="2"/>
  <c r="AC25" i="2"/>
  <c r="AB25" i="2"/>
  <c r="AA25" i="2"/>
  <c r="Z25" i="2"/>
  <c r="Y25" i="2"/>
  <c r="AD24" i="2"/>
  <c r="AC24" i="2"/>
  <c r="AB24" i="2"/>
  <c r="AA24" i="2"/>
  <c r="Z24" i="2"/>
  <c r="Y24" i="2"/>
  <c r="AD23" i="2"/>
  <c r="AC23" i="2"/>
  <c r="AB23" i="2"/>
  <c r="AA23" i="2"/>
  <c r="Z23" i="2"/>
  <c r="Y23" i="2"/>
  <c r="AD22" i="2"/>
  <c r="AC22" i="2"/>
  <c r="AB22" i="2"/>
  <c r="AA22" i="2"/>
  <c r="Z22" i="2"/>
  <c r="Y22" i="2"/>
  <c r="AD21" i="2"/>
  <c r="AC21" i="2"/>
  <c r="AB21" i="2"/>
  <c r="AA21" i="2"/>
  <c r="Z21" i="2"/>
  <c r="Y21" i="2"/>
  <c r="AD20" i="2"/>
  <c r="AC20" i="2"/>
  <c r="AB20" i="2"/>
  <c r="AA20" i="2"/>
  <c r="Z20" i="2"/>
  <c r="Y20" i="2"/>
  <c r="AD19" i="2"/>
  <c r="AC19" i="2"/>
  <c r="AB19" i="2"/>
  <c r="AA19" i="2"/>
  <c r="Z19" i="2"/>
  <c r="Y19" i="2"/>
  <c r="AD18" i="2"/>
  <c r="AC18" i="2"/>
  <c r="AB18" i="2"/>
  <c r="AA18" i="2"/>
  <c r="Z18" i="2"/>
  <c r="Y18" i="2"/>
  <c r="AD17" i="2"/>
  <c r="AC17" i="2"/>
  <c r="AB17" i="2"/>
  <c r="AA17" i="2"/>
  <c r="Z17" i="2"/>
  <c r="Y17" i="2"/>
  <c r="AD16" i="2"/>
  <c r="AC16" i="2"/>
  <c r="AB16" i="2"/>
  <c r="AA16" i="2"/>
  <c r="Z16" i="2"/>
  <c r="Y16" i="2"/>
  <c r="AD15" i="2"/>
  <c r="AC15" i="2"/>
  <c r="AB15" i="2"/>
  <c r="AA15" i="2"/>
  <c r="Z15" i="2"/>
  <c r="Y15" i="2"/>
  <c r="AD14" i="2"/>
  <c r="AC14" i="2"/>
  <c r="AB14" i="2"/>
  <c r="AA14" i="2"/>
  <c r="Z14" i="2"/>
  <c r="Y14" i="2"/>
  <c r="AD13" i="2"/>
  <c r="AC13" i="2"/>
  <c r="AB13" i="2"/>
  <c r="AA13" i="2"/>
  <c r="Z13" i="2"/>
  <c r="Y13" i="2"/>
  <c r="AD12" i="2"/>
  <c r="AC12" i="2"/>
  <c r="AB12" i="2"/>
  <c r="AA12" i="2"/>
  <c r="Z12" i="2"/>
  <c r="Y12" i="2"/>
  <c r="AD11" i="2"/>
  <c r="AC11" i="2"/>
  <c r="AB11" i="2"/>
  <c r="AA11" i="2"/>
  <c r="Z11" i="2"/>
  <c r="Y11" i="2"/>
  <c r="AD10" i="2"/>
  <c r="AC10" i="2"/>
  <c r="AB10" i="2"/>
  <c r="AA10" i="2"/>
  <c r="Z10" i="2"/>
  <c r="Y10" i="2"/>
  <c r="AD9" i="2"/>
  <c r="AC9" i="2"/>
  <c r="AB9" i="2"/>
  <c r="AA9" i="2"/>
  <c r="Z9" i="2"/>
  <c r="Y9" i="2"/>
  <c r="AD8" i="2"/>
  <c r="AC8" i="2"/>
  <c r="AB8" i="2"/>
  <c r="AA8" i="2"/>
  <c r="Z8" i="2"/>
  <c r="Y8" i="2"/>
  <c r="AD7" i="2"/>
  <c r="AC7" i="2"/>
  <c r="AB7" i="2"/>
  <c r="AA7" i="2"/>
  <c r="Z7" i="2"/>
  <c r="Y7" i="2"/>
  <c r="W46" i="2"/>
  <c r="R46" i="2"/>
  <c r="M46" i="2"/>
  <c r="W39" i="2"/>
  <c r="R39" i="2"/>
  <c r="W38" i="2"/>
  <c r="W37" i="2"/>
  <c r="W36" i="2"/>
  <c r="W35" i="2"/>
  <c r="W34" i="2"/>
  <c r="R34" i="2"/>
  <c r="W33" i="2"/>
  <c r="R33" i="2"/>
  <c r="W31" i="2"/>
  <c r="R31" i="2"/>
  <c r="M31" i="2"/>
  <c r="W30" i="2"/>
  <c r="R30" i="2"/>
  <c r="M30" i="2"/>
  <c r="W29" i="2"/>
  <c r="R29" i="2"/>
  <c r="M29" i="2"/>
  <c r="W28" i="2"/>
  <c r="R28" i="2"/>
  <c r="M28" i="2"/>
  <c r="W23" i="2"/>
  <c r="R23" i="2"/>
  <c r="M23" i="2"/>
  <c r="W22" i="2"/>
  <c r="R22" i="2"/>
  <c r="M22" i="2"/>
  <c r="W21" i="2"/>
  <c r="R21" i="2"/>
  <c r="M21" i="2"/>
  <c r="W20" i="2"/>
  <c r="R20" i="2"/>
  <c r="M20" i="2"/>
  <c r="W19" i="2"/>
  <c r="R19" i="2"/>
  <c r="M19" i="2"/>
  <c r="W18" i="2"/>
  <c r="R18" i="2"/>
  <c r="M18" i="2"/>
  <c r="W17" i="2"/>
  <c r="R17" i="2"/>
  <c r="M17" i="2"/>
  <c r="W16" i="2"/>
  <c r="R16" i="2"/>
  <c r="M16" i="2"/>
  <c r="W15" i="2"/>
  <c r="R15" i="2"/>
  <c r="M15" i="2"/>
  <c r="W14" i="2"/>
  <c r="R14" i="2"/>
  <c r="M14" i="2"/>
  <c r="W13" i="2"/>
  <c r="R13" i="2"/>
  <c r="M13" i="2"/>
  <c r="W12" i="2"/>
  <c r="R12" i="2"/>
  <c r="M12" i="2"/>
  <c r="W11" i="2"/>
  <c r="R11" i="2"/>
  <c r="M11" i="2"/>
  <c r="W10" i="2"/>
  <c r="R10" i="2"/>
  <c r="M10" i="2"/>
  <c r="W9" i="2"/>
  <c r="R9" i="2"/>
  <c r="M9" i="2"/>
  <c r="W8" i="2"/>
  <c r="R8" i="2"/>
  <c r="M8" i="2"/>
  <c r="W7" i="2"/>
  <c r="R7" i="2"/>
  <c r="M7" i="2"/>
  <c r="V24" i="1"/>
  <c r="T24" i="1"/>
  <c r="V23" i="1"/>
  <c r="T23" i="1"/>
  <c r="V28" i="1"/>
  <c r="V27" i="1"/>
  <c r="V20" i="1"/>
  <c r="T20" i="1"/>
  <c r="S20" i="1"/>
  <c r="V19" i="1"/>
  <c r="T19" i="1"/>
  <c r="S19" i="1"/>
  <c r="V18" i="1"/>
  <c r="T18" i="1"/>
  <c r="S18" i="1"/>
  <c r="V17" i="1"/>
  <c r="T17" i="1"/>
  <c r="S17" i="1"/>
  <c r="V16" i="1"/>
  <c r="T16" i="1"/>
  <c r="S16" i="1"/>
  <c r="V15" i="1"/>
  <c r="T15" i="1"/>
  <c r="S15" i="1"/>
  <c r="V14" i="1"/>
  <c r="T14" i="1"/>
  <c r="S14" i="1"/>
  <c r="V13" i="1"/>
  <c r="T13" i="1"/>
  <c r="S13" i="1"/>
  <c r="V11" i="1"/>
  <c r="T11" i="1"/>
  <c r="S11" i="1"/>
  <c r="V10" i="1"/>
  <c r="T10" i="1"/>
  <c r="S10" i="1"/>
  <c r="V9" i="1"/>
  <c r="T9" i="1"/>
  <c r="S9" i="1"/>
  <c r="AH38" i="29"/>
  <c r="AG38" i="29"/>
  <c r="AF38" i="29"/>
  <c r="AE38" i="29"/>
  <c r="H38" i="1"/>
  <c r="H27" i="1"/>
  <c r="H26" i="1"/>
  <c r="H25" i="1"/>
  <c r="H28" i="1" s="1"/>
  <c r="H17" i="1"/>
  <c r="H16" i="1"/>
  <c r="H15" i="1"/>
  <c r="H12" i="1"/>
  <c r="H11" i="1"/>
  <c r="H10" i="1"/>
  <c r="H9" i="1"/>
  <c r="H8" i="1"/>
  <c r="H7" i="1"/>
  <c r="H13" i="1" l="1"/>
  <c r="H18" i="1"/>
  <c r="AH39" i="29" l="1"/>
  <c r="AH37" i="29"/>
  <c r="AG39" i="29" l="1"/>
  <c r="AG37" i="29"/>
  <c r="AA21" i="1" l="1"/>
  <c r="AA19" i="1"/>
  <c r="AA18" i="1"/>
  <c r="AA17" i="1"/>
  <c r="AA16" i="1"/>
  <c r="AA15" i="1"/>
  <c r="AA13" i="1"/>
  <c r="AA12" i="1"/>
  <c r="AA11" i="1"/>
  <c r="AA10" i="1"/>
  <c r="AA9" i="1"/>
  <c r="AA8" i="1"/>
  <c r="AA7" i="1"/>
  <c r="AG5" i="1"/>
  <c r="AK6" i="1"/>
  <c r="AJ6" i="1"/>
  <c r="AI6" i="1"/>
  <c r="AH6" i="1"/>
  <c r="AG6" i="1"/>
  <c r="AF6" i="1"/>
  <c r="AE6" i="1"/>
  <c r="AD6" i="1"/>
  <c r="AC6" i="1"/>
  <c r="AB6" i="1"/>
  <c r="AB5" i="1"/>
  <c r="AC32" i="43" l="1"/>
  <c r="Y32" i="43" l="1"/>
  <c r="Y31" i="43"/>
  <c r="Y30" i="43"/>
  <c r="Y29" i="43"/>
  <c r="Y28" i="43"/>
  <c r="Y27" i="43"/>
  <c r="AF39" i="29"/>
  <c r="AF37" i="29"/>
  <c r="AG26" i="42"/>
  <c r="AG25" i="42"/>
  <c r="AG23" i="42"/>
  <c r="AG21" i="42"/>
  <c r="AG20" i="42"/>
  <c r="AG18" i="42"/>
  <c r="AG16" i="42"/>
  <c r="AG15" i="42"/>
  <c r="AG14" i="42"/>
  <c r="AG11" i="42"/>
  <c r="AG8" i="42"/>
  <c r="K41" i="42"/>
  <c r="J41" i="42"/>
  <c r="N40" i="42"/>
  <c r="N39" i="42"/>
  <c r="L39" i="42"/>
  <c r="M38" i="42"/>
  <c r="N38" i="42" s="1"/>
  <c r="N37" i="42"/>
  <c r="N36" i="42"/>
  <c r="N35" i="42"/>
  <c r="L35" i="42"/>
  <c r="N34" i="42"/>
  <c r="L34" i="42"/>
  <c r="N33" i="42"/>
  <c r="L33" i="42"/>
  <c r="AG9" i="42"/>
  <c r="AG7" i="42" l="1"/>
  <c r="AG17" i="42"/>
  <c r="AG27" i="42"/>
  <c r="AG24" i="42"/>
  <c r="AG12" i="42"/>
  <c r="AG22" i="42"/>
  <c r="AG19" i="42"/>
  <c r="AG13" i="42"/>
  <c r="AG10" i="42"/>
  <c r="L41" i="42"/>
  <c r="M41" i="42"/>
  <c r="N41" i="42" s="1"/>
  <c r="AE12" i="1" l="1"/>
  <c r="AE11" i="1"/>
  <c r="AE10" i="1"/>
  <c r="AE9" i="1"/>
  <c r="AE8" i="1"/>
  <c r="AE7" i="1"/>
  <c r="AE13" i="1" l="1"/>
  <c r="AE14" i="1" s="1"/>
  <c r="S19" i="41"/>
  <c r="S19" i="43" s="1"/>
  <c r="S18" i="41"/>
  <c r="S18" i="43" s="1"/>
  <c r="AB40" i="41" l="1"/>
  <c r="AB39" i="41"/>
  <c r="AB38" i="41"/>
  <c r="AB37" i="41"/>
  <c r="AB36" i="41"/>
  <c r="AB35" i="41"/>
  <c r="AB19" i="41"/>
  <c r="AB18" i="41"/>
  <c r="AB26" i="41" l="1"/>
  <c r="AB25" i="41"/>
  <c r="AB24" i="41"/>
  <c r="AB23" i="41"/>
  <c r="AB22" i="41"/>
  <c r="AB21" i="41"/>
  <c r="AB15" i="41"/>
  <c r="AB13" i="41"/>
  <c r="AB10" i="41"/>
  <c r="AB8" i="41"/>
  <c r="V19" i="41" l="1"/>
  <c r="V19" i="43" s="1"/>
  <c r="V18" i="41" l="1"/>
  <c r="V18" i="43" s="1"/>
  <c r="V40" i="41" l="1"/>
  <c r="V40" i="43" s="1"/>
  <c r="S40" i="41"/>
  <c r="S40" i="43" s="1"/>
  <c r="V39" i="41"/>
  <c r="V39" i="43" s="1"/>
  <c r="S39" i="41"/>
  <c r="S39" i="43" s="1"/>
  <c r="V38" i="41"/>
  <c r="V38" i="43" s="1"/>
  <c r="S38" i="41"/>
  <c r="S38" i="43" s="1"/>
  <c r="V37" i="41"/>
  <c r="V37" i="43" s="1"/>
  <c r="S37" i="41"/>
  <c r="S37" i="43" s="1"/>
  <c r="V36" i="41"/>
  <c r="V36" i="43" s="1"/>
  <c r="S36" i="41"/>
  <c r="S36" i="43" s="1"/>
  <c r="V35" i="41"/>
  <c r="V35" i="43" s="1"/>
  <c r="S35" i="41"/>
  <c r="S35" i="43" s="1"/>
  <c r="Y32" i="41"/>
  <c r="V32" i="41"/>
  <c r="S32" i="41"/>
  <c r="Y31" i="41"/>
  <c r="V31" i="41"/>
  <c r="S31" i="41"/>
  <c r="Y30" i="41"/>
  <c r="V30" i="41"/>
  <c r="S30" i="41"/>
  <c r="Y29" i="41"/>
  <c r="V29" i="41"/>
  <c r="S29" i="41"/>
  <c r="Y28" i="41"/>
  <c r="V28" i="41"/>
  <c r="S28" i="41"/>
  <c r="Y27" i="41"/>
  <c r="V27" i="41"/>
  <c r="S27" i="41"/>
  <c r="V26" i="41"/>
  <c r="V26" i="43" s="1"/>
  <c r="S26" i="41"/>
  <c r="S26" i="43" s="1"/>
  <c r="V25" i="41"/>
  <c r="V25" i="43" s="1"/>
  <c r="S25" i="41"/>
  <c r="S25" i="43" s="1"/>
  <c r="V24" i="41"/>
  <c r="V24" i="43" s="1"/>
  <c r="S24" i="41"/>
  <c r="S24" i="43" s="1"/>
  <c r="V23" i="41"/>
  <c r="V23" i="43" s="1"/>
  <c r="S23" i="41"/>
  <c r="S23" i="43" s="1"/>
  <c r="V22" i="41"/>
  <c r="V22" i="43" s="1"/>
  <c r="S22" i="41"/>
  <c r="S22" i="43" s="1"/>
  <c r="V21" i="41"/>
  <c r="V21" i="43" s="1"/>
  <c r="S21" i="41"/>
  <c r="S21" i="43" s="1"/>
  <c r="V15" i="41"/>
  <c r="V15" i="43" s="1"/>
  <c r="S15" i="41"/>
  <c r="S15" i="43" s="1"/>
  <c r="V13" i="41"/>
  <c r="V13" i="43" s="1"/>
  <c r="S13" i="41"/>
  <c r="S13" i="43" s="1"/>
  <c r="V10" i="41"/>
  <c r="V10" i="43" s="1"/>
  <c r="S10" i="41"/>
  <c r="S10" i="43" s="1"/>
  <c r="V8" i="41"/>
  <c r="V8" i="43" s="1"/>
  <c r="S8" i="41"/>
  <c r="S8" i="43" s="1"/>
  <c r="J40" i="41"/>
  <c r="J40" i="43" s="1"/>
  <c r="J39" i="41"/>
  <c r="J39" i="43" s="1"/>
  <c r="J38" i="41"/>
  <c r="J38" i="43" s="1"/>
  <c r="J37" i="41"/>
  <c r="J37" i="43" s="1"/>
  <c r="J36" i="41"/>
  <c r="J36" i="43" s="1"/>
  <c r="J35" i="41"/>
  <c r="J35" i="43" s="1"/>
  <c r="J32" i="41"/>
  <c r="J31" i="41"/>
  <c r="J30" i="41"/>
  <c r="J29" i="41"/>
  <c r="J28" i="41"/>
  <c r="J27" i="41"/>
  <c r="J19" i="41"/>
  <c r="J19" i="43" s="1"/>
  <c r="J18" i="41"/>
  <c r="J18" i="43" s="1"/>
  <c r="P18" i="43" s="1"/>
  <c r="J15" i="41"/>
  <c r="J15" i="43" s="1"/>
  <c r="J13" i="41"/>
  <c r="J13" i="43" s="1"/>
  <c r="G40" i="41"/>
  <c r="G39" i="41"/>
  <c r="G38" i="41"/>
  <c r="G37" i="41"/>
  <c r="G36" i="41"/>
  <c r="G35" i="41"/>
  <c r="G32" i="41"/>
  <c r="G31" i="41"/>
  <c r="G30" i="41"/>
  <c r="G29" i="41"/>
  <c r="G28" i="41"/>
  <c r="G27" i="41"/>
  <c r="G19" i="41"/>
  <c r="G19" i="43" s="1"/>
  <c r="G15" i="41"/>
  <c r="G15" i="43" s="1"/>
  <c r="G13" i="41"/>
  <c r="G13" i="43" s="1"/>
  <c r="P19" i="43" l="1"/>
  <c r="P15" i="43"/>
  <c r="P38" i="41"/>
  <c r="G38" i="43"/>
  <c r="P38" i="43" s="1"/>
  <c r="P35" i="41"/>
  <c r="G35" i="43"/>
  <c r="P35" i="43" s="1"/>
  <c r="P36" i="41"/>
  <c r="G36" i="43"/>
  <c r="P36" i="43" s="1"/>
  <c r="P40" i="41"/>
  <c r="G40" i="43"/>
  <c r="P40" i="43" s="1"/>
  <c r="P37" i="41"/>
  <c r="G37" i="43"/>
  <c r="P37" i="43" s="1"/>
  <c r="P20" i="43"/>
  <c r="P39" i="41"/>
  <c r="G39" i="43"/>
  <c r="P39" i="43" s="1"/>
  <c r="P13" i="43"/>
  <c r="P15" i="41"/>
  <c r="P19" i="41"/>
  <c r="P18" i="41"/>
  <c r="P13" i="41"/>
  <c r="P32" i="41"/>
  <c r="P31" i="41"/>
  <c r="P30" i="41"/>
  <c r="P29" i="41"/>
  <c r="P28" i="41"/>
  <c r="P27" i="41"/>
  <c r="J26" i="41"/>
  <c r="J26" i="43" s="1"/>
  <c r="G26" i="41"/>
  <c r="G26" i="43" s="1"/>
  <c r="J25" i="41"/>
  <c r="J25" i="43" s="1"/>
  <c r="G25" i="41"/>
  <c r="G25" i="43" s="1"/>
  <c r="J24" i="41"/>
  <c r="J24" i="43" s="1"/>
  <c r="G24" i="41"/>
  <c r="G24" i="43" s="1"/>
  <c r="J23" i="41"/>
  <c r="J23" i="43" s="1"/>
  <c r="G23" i="41"/>
  <c r="G23" i="43" s="1"/>
  <c r="J22" i="41"/>
  <c r="J22" i="43" s="1"/>
  <c r="G22" i="41"/>
  <c r="G22" i="43" s="1"/>
  <c r="J21" i="41"/>
  <c r="J21" i="43" s="1"/>
  <c r="G21" i="41"/>
  <c r="G21" i="43" s="1"/>
  <c r="J10" i="41"/>
  <c r="J10" i="43" s="1"/>
  <c r="G10" i="41"/>
  <c r="G10" i="43" s="1"/>
  <c r="J8" i="41"/>
  <c r="J8" i="43" s="1"/>
  <c r="G8" i="41"/>
  <c r="G8" i="43" s="1"/>
  <c r="P21" i="43" l="1"/>
  <c r="P24" i="43"/>
  <c r="P26" i="43"/>
  <c r="P10" i="43"/>
  <c r="P16" i="43" s="1"/>
  <c r="P23" i="43"/>
  <c r="P25" i="43"/>
  <c r="P22" i="43"/>
  <c r="P17" i="43"/>
  <c r="P8" i="43"/>
  <c r="P14" i="43" s="1"/>
  <c r="P25" i="41"/>
  <c r="P26" i="41"/>
  <c r="P8" i="41"/>
  <c r="P21" i="41"/>
  <c r="P24" i="41"/>
  <c r="P10" i="41"/>
  <c r="P23" i="41"/>
  <c r="P22" i="41"/>
  <c r="Y40" i="41"/>
  <c r="AB29" i="41"/>
  <c r="AB28" i="41"/>
  <c r="Y35" i="41"/>
  <c r="AC32" i="41"/>
  <c r="AB30" i="41"/>
  <c r="AD26" i="41"/>
  <c r="AB31" i="41"/>
  <c r="AD24" i="41"/>
  <c r="Y24" i="41"/>
  <c r="Y23" i="41"/>
  <c r="Y22" i="41"/>
  <c r="Y19" i="41"/>
  <c r="V20" i="41"/>
  <c r="S20" i="41"/>
  <c r="J20" i="41"/>
  <c r="J17" i="41"/>
  <c r="Y15" i="41"/>
  <c r="J14" i="41"/>
  <c r="AB14" i="41"/>
  <c r="V17" i="41"/>
  <c r="Y13" i="41"/>
  <c r="G14" i="41"/>
  <c r="G12" i="41"/>
  <c r="G9" i="41" s="1"/>
  <c r="V16" i="41"/>
  <c r="P12" i="43" l="1"/>
  <c r="G11" i="41"/>
  <c r="AE22" i="41"/>
  <c r="Y26" i="41"/>
  <c r="AE26" i="41" s="1"/>
  <c r="S14" i="41"/>
  <c r="AB20" i="41"/>
  <c r="AB32" i="41"/>
  <c r="AD32" i="41" s="1"/>
  <c r="Y36" i="41"/>
  <c r="AE36" i="41" s="1"/>
  <c r="Y39" i="41"/>
  <c r="Y25" i="41"/>
  <c r="AE25" i="41" s="1"/>
  <c r="Y21" i="41"/>
  <c r="AE21" i="41" s="1"/>
  <c r="Y17" i="41"/>
  <c r="AE24" i="41"/>
  <c r="V41" i="41"/>
  <c r="V42" i="41" s="1"/>
  <c r="Y37" i="41"/>
  <c r="AE37" i="41" s="1"/>
  <c r="AE40" i="41"/>
  <c r="J41" i="41"/>
  <c r="J42" i="41" s="1"/>
  <c r="AB17" i="41"/>
  <c r="AB16" i="41"/>
  <c r="AE19" i="41"/>
  <c r="G20" i="41"/>
  <c r="AE23" i="41"/>
  <c r="AE35" i="41"/>
  <c r="V12" i="41"/>
  <c r="V11" i="41" s="1"/>
  <c r="G16" i="41"/>
  <c r="AB41" i="41"/>
  <c r="AB42" i="41" s="1"/>
  <c r="AB27" i="41"/>
  <c r="G41" i="41"/>
  <c r="S41" i="41"/>
  <c r="Y38" i="41"/>
  <c r="AE38" i="41" s="1"/>
  <c r="J16" i="41"/>
  <c r="V14" i="41"/>
  <c r="S12" i="41"/>
  <c r="S9" i="41" s="1"/>
  <c r="Y8" i="41"/>
  <c r="AE8" i="41" s="1"/>
  <c r="S16" i="41"/>
  <c r="Y10" i="41"/>
  <c r="S17" i="41"/>
  <c r="AD23" i="41"/>
  <c r="AB12" i="41"/>
  <c r="AB11" i="41" s="1"/>
  <c r="G17" i="41"/>
  <c r="Y18" i="41"/>
  <c r="Y20" i="41" s="1"/>
  <c r="J12" i="41"/>
  <c r="J9" i="41" s="1"/>
  <c r="P41" i="41" l="1"/>
  <c r="P11" i="43"/>
  <c r="P9" i="43"/>
  <c r="AE28" i="41"/>
  <c r="V9" i="41"/>
  <c r="AB9" i="41"/>
  <c r="AE32" i="41"/>
  <c r="Y14" i="41"/>
  <c r="AE39" i="41"/>
  <c r="AE31" i="41" s="1"/>
  <c r="AE27" i="41"/>
  <c r="P17" i="41"/>
  <c r="AE13" i="41"/>
  <c r="P14" i="41"/>
  <c r="AE10" i="41"/>
  <c r="AE12" i="41" s="1"/>
  <c r="J11" i="41"/>
  <c r="AE30" i="41"/>
  <c r="AE18" i="41"/>
  <c r="AE20" i="41" s="1"/>
  <c r="P20" i="41"/>
  <c r="AE29" i="41"/>
  <c r="P16" i="41"/>
  <c r="AE15" i="41"/>
  <c r="S11" i="41"/>
  <c r="G42" i="41"/>
  <c r="Y16" i="41"/>
  <c r="Y41" i="41"/>
  <c r="Y42" i="41" s="1"/>
  <c r="S42" i="41"/>
  <c r="P12" i="41"/>
  <c r="P9" i="41" s="1"/>
  <c r="Y12" i="41"/>
  <c r="Y11" i="41" s="1"/>
  <c r="AE16" i="41" l="1"/>
  <c r="AE11" i="41"/>
  <c r="P11" i="41"/>
  <c r="Y9" i="41"/>
  <c r="AE9" i="41"/>
  <c r="AE17" i="41"/>
  <c r="AE14" i="41"/>
  <c r="P42" i="41"/>
  <c r="AE41" i="41"/>
  <c r="AE42" i="41" s="1"/>
  <c r="AE39" i="29" l="1"/>
  <c r="AE37" i="29"/>
  <c r="I36" i="29"/>
  <c r="I25" i="29" l="1"/>
  <c r="I24" i="29"/>
  <c r="I16" i="29"/>
  <c r="I15" i="29"/>
  <c r="I13" i="29"/>
  <c r="I12" i="29"/>
  <c r="I10" i="29"/>
  <c r="F16" i="29"/>
  <c r="F15" i="29"/>
  <c r="F13" i="29"/>
  <c r="F12" i="29"/>
  <c r="F10" i="29"/>
  <c r="F25" i="29" l="1"/>
  <c r="F24" i="29"/>
  <c r="F36" i="29" l="1"/>
  <c r="AD39" i="29" l="1"/>
  <c r="AD38" i="29"/>
  <c r="AD37" i="29"/>
  <c r="AC39" i="29"/>
  <c r="AB39" i="29"/>
  <c r="AA39" i="29"/>
  <c r="Z39" i="29"/>
  <c r="Y39" i="29"/>
  <c r="X39" i="29"/>
  <c r="W39" i="29"/>
  <c r="V39" i="29"/>
  <c r="U39" i="29"/>
  <c r="T39" i="29"/>
  <c r="S39" i="29"/>
  <c r="AC38" i="29"/>
  <c r="AB38" i="29"/>
  <c r="AA38" i="29"/>
  <c r="Z38" i="29"/>
  <c r="Y38" i="29"/>
  <c r="X38" i="29"/>
  <c r="W38" i="29"/>
  <c r="V38" i="29"/>
  <c r="U38" i="29"/>
  <c r="T38" i="29"/>
  <c r="S38" i="29"/>
  <c r="AC37" i="29" l="1"/>
  <c r="AB37" i="29" l="1"/>
  <c r="AA37" i="29" l="1"/>
  <c r="Z37" i="29" l="1"/>
  <c r="V40" i="2" l="1"/>
  <c r="Q40" i="2"/>
  <c r="Q38" i="2"/>
  <c r="Q37" i="2"/>
  <c r="Q36" i="2"/>
  <c r="Q35" i="2"/>
  <c r="S40" i="2"/>
  <c r="S37" i="2"/>
  <c r="S36" i="2"/>
  <c r="S35" i="2"/>
  <c r="K41" i="2"/>
  <c r="J41" i="2"/>
  <c r="N40" i="2"/>
  <c r="N39" i="2"/>
  <c r="N37" i="2"/>
  <c r="N36" i="2"/>
  <c r="N35" i="2"/>
  <c r="N34" i="2"/>
  <c r="M38" i="2"/>
  <c r="N38" i="2" l="1"/>
  <c r="S38" i="2"/>
  <c r="M41" i="2"/>
  <c r="N41" i="2" s="1"/>
  <c r="L41" i="2"/>
  <c r="I11" i="29" l="1"/>
  <c r="F11" i="29" l="1"/>
  <c r="V29" i="1" l="1"/>
  <c r="I20" i="29" l="1"/>
  <c r="I18" i="29"/>
  <c r="I19" i="29" l="1"/>
  <c r="I21" i="29"/>
  <c r="I22" i="29"/>
  <c r="I26" i="29"/>
  <c r="I17" i="29"/>
  <c r="I14" i="29"/>
  <c r="I27" i="29" l="1"/>
  <c r="I23" i="29"/>
  <c r="F18" i="29"/>
  <c r="F20" i="29"/>
  <c r="F14" i="29"/>
  <c r="F26" i="29"/>
  <c r="F17" i="29"/>
  <c r="I37" i="29" l="1"/>
  <c r="I28" i="29"/>
  <c r="F22" i="29"/>
  <c r="F19" i="29"/>
  <c r="F21" i="29"/>
  <c r="F23" i="29" l="1"/>
  <c r="F27" i="29"/>
  <c r="F37" i="29" l="1"/>
  <c r="F28" i="29"/>
  <c r="L39" i="2" l="1"/>
  <c r="L35" i="2"/>
  <c r="L34" i="2"/>
  <c r="N33" i="2"/>
  <c r="L33" i="2"/>
  <c r="AG27" i="2" l="1"/>
  <c r="AG25" i="2"/>
  <c r="AG23" i="2"/>
  <c r="AG20" i="2"/>
  <c r="AG18" i="2"/>
  <c r="AG17" i="2"/>
  <c r="AG15" i="2"/>
  <c r="AG13" i="2"/>
  <c r="AG11" i="2"/>
  <c r="AG9" i="2"/>
  <c r="AG16" i="2" l="1"/>
  <c r="AG21" i="2"/>
  <c r="AG8" i="2"/>
  <c r="AG10" i="2"/>
  <c r="AG12" i="2"/>
  <c r="AG14" i="2"/>
  <c r="AG19" i="2"/>
  <c r="AG22" i="2"/>
  <c r="AG24" i="2"/>
  <c r="AG26" i="2"/>
  <c r="AG7" i="2"/>
  <c r="V12" i="1" l="1"/>
  <c r="R15" i="34" l="1"/>
  <c r="U15" i="34" l="1"/>
  <c r="AF10" i="2"/>
  <c r="R26" i="34" l="1"/>
  <c r="R20" i="34"/>
  <c r="R13" i="34"/>
  <c r="R22" i="34"/>
  <c r="R14" i="34"/>
  <c r="R18" i="34"/>
  <c r="R28" i="34"/>
  <c r="R25" i="34"/>
  <c r="R17" i="34"/>
  <c r="R27" i="34"/>
  <c r="R16" i="34"/>
  <c r="R19" i="34"/>
  <c r="R24" i="34"/>
  <c r="R23" i="34"/>
  <c r="R21" i="34"/>
  <c r="R11" i="34" l="1"/>
  <c r="R9" i="34" l="1"/>
  <c r="R12" i="34" l="1"/>
  <c r="R10" i="34" l="1"/>
  <c r="R8" i="34" l="1"/>
  <c r="W11" i="1" l="1"/>
  <c r="T12" i="1"/>
  <c r="W9" i="1"/>
  <c r="W10" i="1"/>
  <c r="W12" i="1" l="1"/>
  <c r="AF8" i="2" l="1"/>
  <c r="AF16" i="2" l="1"/>
  <c r="AF15" i="2"/>
  <c r="W16" i="1"/>
  <c r="AF13" i="2"/>
  <c r="AF17" i="2"/>
  <c r="W13" i="1"/>
  <c r="AF20" i="2"/>
  <c r="U13" i="34"/>
  <c r="AF9" i="2"/>
  <c r="AF21" i="2"/>
  <c r="AF18" i="2"/>
  <c r="W14" i="1"/>
  <c r="AF14" i="2"/>
  <c r="AF7" i="2"/>
  <c r="AF19" i="2"/>
  <c r="AF11" i="2"/>
  <c r="AF23" i="2"/>
  <c r="AF22" i="2"/>
  <c r="W15" i="1"/>
  <c r="AF12" i="2"/>
  <c r="U28" i="34" l="1"/>
  <c r="U12" i="34"/>
  <c r="AF25" i="2"/>
  <c r="U25" i="34"/>
  <c r="U21" i="34"/>
  <c r="U16" i="34"/>
  <c r="U23" i="34"/>
  <c r="U26" i="34"/>
  <c r="U14" i="34"/>
  <c r="U22" i="34"/>
  <c r="U18" i="34"/>
  <c r="U27" i="34"/>
  <c r="U24" i="34"/>
  <c r="U19" i="34"/>
  <c r="U20" i="34"/>
  <c r="AF27" i="2"/>
  <c r="AF24" i="2"/>
  <c r="AF26" i="2"/>
  <c r="U17" i="34"/>
  <c r="W19" i="1" l="1"/>
  <c r="U11" i="34"/>
  <c r="W18" i="1"/>
  <c r="W17" i="1"/>
  <c r="U9" i="34"/>
  <c r="U8" i="34"/>
  <c r="U10" i="34"/>
  <c r="W20" i="1" l="1"/>
  <c r="V15" i="36" l="1"/>
  <c r="S15" i="36"/>
  <c r="P15" i="36"/>
  <c r="M15" i="36"/>
  <c r="J15" i="36"/>
  <c r="G15" i="36"/>
  <c r="G15" i="37" l="1"/>
  <c r="V15" i="37"/>
  <c r="P15" i="34"/>
  <c r="S15" i="37"/>
  <c r="P15" i="37"/>
  <c r="J15" i="33"/>
  <c r="V15" i="33"/>
  <c r="M15" i="34" l="1"/>
  <c r="N15" i="33"/>
  <c r="G15" i="34"/>
  <c r="J15" i="37"/>
  <c r="G15" i="33"/>
  <c r="M15" i="37" l="1"/>
  <c r="Q15" i="34" l="1"/>
  <c r="J15" i="34"/>
  <c r="AE10" i="2"/>
  <c r="R15" i="33"/>
  <c r="T15" i="34" l="1"/>
  <c r="V15" i="34" s="1"/>
  <c r="S15" i="34"/>
  <c r="Y15" i="33" l="1"/>
  <c r="Z15" i="33" s="1"/>
  <c r="S28" i="36" l="1"/>
  <c r="P28" i="36"/>
  <c r="M28" i="36"/>
  <c r="J28" i="36"/>
  <c r="G28" i="36"/>
  <c r="J25" i="36"/>
  <c r="J26" i="36"/>
  <c r="J27" i="36"/>
  <c r="J23" i="36"/>
  <c r="J22" i="36"/>
  <c r="J21" i="36"/>
  <c r="J20" i="36"/>
  <c r="M18" i="36"/>
  <c r="J14" i="36"/>
  <c r="J13" i="36"/>
  <c r="P25" i="34" l="1"/>
  <c r="P22" i="34"/>
  <c r="M16" i="36"/>
  <c r="J24" i="36"/>
  <c r="S19" i="36"/>
  <c r="V28" i="36"/>
  <c r="G17" i="36"/>
  <c r="P18" i="36"/>
  <c r="G25" i="36"/>
  <c r="J17" i="36"/>
  <c r="G18" i="36"/>
  <c r="S18" i="36"/>
  <c r="G24" i="36"/>
  <c r="S14" i="36"/>
  <c r="G20" i="36"/>
  <c r="V22" i="36"/>
  <c r="M27" i="36"/>
  <c r="S25" i="36"/>
  <c r="V13" i="36"/>
  <c r="V19" i="36"/>
  <c r="S22" i="36"/>
  <c r="V18" i="36"/>
  <c r="G23" i="36"/>
  <c r="P23" i="36"/>
  <c r="G19" i="36"/>
  <c r="P20" i="36"/>
  <c r="J16" i="36"/>
  <c r="S20" i="36"/>
  <c r="P16" i="36"/>
  <c r="J19" i="36"/>
  <c r="G21" i="36"/>
  <c r="P13" i="36"/>
  <c r="G14" i="36"/>
  <c r="G22" i="36"/>
  <c r="M22" i="36"/>
  <c r="M26" i="36"/>
  <c r="P25" i="36"/>
  <c r="V27" i="36"/>
  <c r="P24" i="36"/>
  <c r="G16" i="36"/>
  <c r="V21" i="36"/>
  <c r="M17" i="36"/>
  <c r="M20" i="36"/>
  <c r="S16" i="36"/>
  <c r="S21" i="36"/>
  <c r="V20" i="36"/>
  <c r="M23" i="36"/>
  <c r="M25" i="36"/>
  <c r="V26" i="36"/>
  <c r="S26" i="36"/>
  <c r="G26" i="36"/>
  <c r="P26" i="36"/>
  <c r="S27" i="36"/>
  <c r="P27" i="36"/>
  <c r="M24" i="36"/>
  <c r="V24" i="36"/>
  <c r="S23" i="36"/>
  <c r="V23" i="36"/>
  <c r="P22" i="36"/>
  <c r="M21" i="36"/>
  <c r="P21" i="36"/>
  <c r="P19" i="36"/>
  <c r="M19" i="36"/>
  <c r="J18" i="36"/>
  <c r="V17" i="36"/>
  <c r="S17" i="36"/>
  <c r="P17" i="36"/>
  <c r="M14" i="36"/>
  <c r="P14" i="36"/>
  <c r="V14" i="36"/>
  <c r="M13" i="36"/>
  <c r="S13" i="36"/>
  <c r="J28" i="33"/>
  <c r="V25" i="37"/>
  <c r="P25" i="37"/>
  <c r="S25" i="37"/>
  <c r="V25" i="36"/>
  <c r="G25" i="37"/>
  <c r="G27" i="36"/>
  <c r="J27" i="33"/>
  <c r="S24" i="36"/>
  <c r="J23" i="33"/>
  <c r="S22" i="37"/>
  <c r="P22" i="37"/>
  <c r="G22" i="37"/>
  <c r="V22" i="37"/>
  <c r="J19" i="33"/>
  <c r="J17" i="33"/>
  <c r="V16" i="36"/>
  <c r="J14" i="33"/>
  <c r="J13" i="33"/>
  <c r="G13" i="36"/>
  <c r="M25" i="34" l="1"/>
  <c r="M22" i="34"/>
  <c r="S21" i="37"/>
  <c r="P21" i="34"/>
  <c r="P24" i="34"/>
  <c r="P17" i="34"/>
  <c r="P20" i="34"/>
  <c r="P26" i="37"/>
  <c r="P26" i="34"/>
  <c r="P27" i="34"/>
  <c r="P16" i="34"/>
  <c r="P13" i="34"/>
  <c r="P18" i="34"/>
  <c r="P23" i="34"/>
  <c r="P14" i="34"/>
  <c r="P19" i="34"/>
  <c r="P28" i="34"/>
  <c r="V22" i="33"/>
  <c r="V23" i="33"/>
  <c r="V17" i="33"/>
  <c r="V28" i="33"/>
  <c r="V14" i="33"/>
  <c r="V24" i="33"/>
  <c r="V26" i="33"/>
  <c r="V19" i="33"/>
  <c r="V13" i="33"/>
  <c r="V16" i="33"/>
  <c r="V21" i="33"/>
  <c r="V27" i="33"/>
  <c r="V25" i="33"/>
  <c r="V18" i="33"/>
  <c r="J11" i="36"/>
  <c r="J26" i="33"/>
  <c r="P11" i="36"/>
  <c r="G24" i="37"/>
  <c r="P24" i="37"/>
  <c r="V24" i="37"/>
  <c r="S24" i="37"/>
  <c r="G11" i="36"/>
  <c r="V11" i="36"/>
  <c r="M10" i="36"/>
  <c r="G10" i="36"/>
  <c r="M11" i="36"/>
  <c r="S10" i="36"/>
  <c r="V16" i="37"/>
  <c r="S16" i="37"/>
  <c r="J10" i="36"/>
  <c r="P16" i="37"/>
  <c r="G16" i="37"/>
  <c r="V10" i="36"/>
  <c r="S11" i="36"/>
  <c r="P10" i="36"/>
  <c r="P14" i="37"/>
  <c r="G27" i="37"/>
  <c r="G21" i="37"/>
  <c r="P21" i="37"/>
  <c r="P28" i="37"/>
  <c r="V28" i="37"/>
  <c r="G28" i="37"/>
  <c r="S28" i="37"/>
  <c r="S23" i="37"/>
  <c r="S27" i="37"/>
  <c r="G23" i="37"/>
  <c r="P23" i="37"/>
  <c r="P27" i="37"/>
  <c r="V27" i="37"/>
  <c r="V23" i="37"/>
  <c r="S14" i="37"/>
  <c r="V14" i="37"/>
  <c r="G19" i="37"/>
  <c r="P19" i="37"/>
  <c r="G14" i="37"/>
  <c r="V19" i="37"/>
  <c r="S19" i="37"/>
  <c r="V26" i="37"/>
  <c r="S26" i="37"/>
  <c r="G26" i="37"/>
  <c r="V21" i="37"/>
  <c r="S17" i="37"/>
  <c r="V17" i="37"/>
  <c r="G17" i="37"/>
  <c r="P17" i="37"/>
  <c r="J25" i="37"/>
  <c r="J25" i="33"/>
  <c r="J24" i="33"/>
  <c r="J22" i="33"/>
  <c r="J22" i="37"/>
  <c r="J21" i="33"/>
  <c r="J20" i="33"/>
  <c r="V20" i="37"/>
  <c r="G20" i="37"/>
  <c r="P20" i="37"/>
  <c r="S20" i="37"/>
  <c r="V18" i="37"/>
  <c r="P18" i="37"/>
  <c r="G18" i="37"/>
  <c r="S18" i="37"/>
  <c r="J18" i="33"/>
  <c r="J16" i="33"/>
  <c r="S13" i="37"/>
  <c r="V13" i="37"/>
  <c r="G13" i="37"/>
  <c r="P13" i="37"/>
  <c r="G14" i="34" l="1"/>
  <c r="N14" i="33"/>
  <c r="G27" i="34"/>
  <c r="N27" i="33"/>
  <c r="M14" i="34"/>
  <c r="M23" i="34"/>
  <c r="M20" i="34"/>
  <c r="M25" i="37"/>
  <c r="N17" i="33"/>
  <c r="G17" i="34"/>
  <c r="G28" i="34"/>
  <c r="N28" i="33"/>
  <c r="M28" i="34"/>
  <c r="M19" i="34"/>
  <c r="M16" i="34"/>
  <c r="M26" i="34"/>
  <c r="M17" i="34"/>
  <c r="M24" i="34"/>
  <c r="M22" i="37"/>
  <c r="N19" i="33"/>
  <c r="G19" i="34"/>
  <c r="M27" i="34"/>
  <c r="M21" i="34"/>
  <c r="N13" i="33"/>
  <c r="G13" i="34"/>
  <c r="N23" i="33"/>
  <c r="G23" i="34"/>
  <c r="M18" i="34"/>
  <c r="M13" i="34"/>
  <c r="G18" i="33"/>
  <c r="G19" i="33"/>
  <c r="G17" i="33"/>
  <c r="G25" i="33"/>
  <c r="G26" i="33"/>
  <c r="G21" i="33"/>
  <c r="G28" i="33"/>
  <c r="P11" i="34"/>
  <c r="P10" i="34"/>
  <c r="V20" i="33"/>
  <c r="J24" i="37"/>
  <c r="J16" i="37"/>
  <c r="P10" i="37"/>
  <c r="V10" i="37"/>
  <c r="G10" i="37"/>
  <c r="S10" i="37"/>
  <c r="U15" i="1"/>
  <c r="U14" i="1"/>
  <c r="S11" i="37"/>
  <c r="V11" i="37"/>
  <c r="G11" i="37"/>
  <c r="P11" i="37"/>
  <c r="J19" i="37"/>
  <c r="J23" i="37"/>
  <c r="J28" i="37"/>
  <c r="J27" i="37"/>
  <c r="J17" i="37"/>
  <c r="J14" i="37"/>
  <c r="J26" i="37"/>
  <c r="G24" i="33"/>
  <c r="J21" i="37"/>
  <c r="J20" i="37"/>
  <c r="J18" i="37"/>
  <c r="J13" i="37"/>
  <c r="N18" i="33" l="1"/>
  <c r="Q25" i="34"/>
  <c r="S25" i="34" s="1"/>
  <c r="J25" i="34"/>
  <c r="M21" i="37"/>
  <c r="M19" i="37"/>
  <c r="M27" i="37"/>
  <c r="N24" i="33"/>
  <c r="N20" i="33"/>
  <c r="N22" i="33"/>
  <c r="M24" i="37"/>
  <c r="M14" i="37"/>
  <c r="J11" i="33"/>
  <c r="U11" i="1"/>
  <c r="J10" i="33"/>
  <c r="U10" i="1"/>
  <c r="N26" i="33"/>
  <c r="Q22" i="34"/>
  <c r="S22" i="34" s="1"/>
  <c r="J22" i="34"/>
  <c r="M16" i="37"/>
  <c r="M20" i="37"/>
  <c r="M26" i="37"/>
  <c r="N16" i="33"/>
  <c r="N25" i="33"/>
  <c r="N21" i="33"/>
  <c r="M10" i="34"/>
  <c r="M11" i="34"/>
  <c r="M23" i="37"/>
  <c r="M17" i="37"/>
  <c r="M18" i="37"/>
  <c r="M28" i="37"/>
  <c r="M13" i="37"/>
  <c r="G14" i="33"/>
  <c r="G13" i="33"/>
  <c r="G22" i="33"/>
  <c r="G23" i="33"/>
  <c r="G27" i="33"/>
  <c r="V11" i="33"/>
  <c r="V10" i="33"/>
  <c r="G16" i="33"/>
  <c r="J11" i="37"/>
  <c r="J10" i="37"/>
  <c r="N10" i="33" l="1"/>
  <c r="Q26" i="34"/>
  <c r="S26" i="34" s="1"/>
  <c r="J26" i="34"/>
  <c r="Q28" i="34"/>
  <c r="J28" i="34"/>
  <c r="Q23" i="34"/>
  <c r="J23" i="34"/>
  <c r="M11" i="37"/>
  <c r="N11" i="33"/>
  <c r="G11" i="34"/>
  <c r="Q14" i="34"/>
  <c r="J14" i="34"/>
  <c r="Q16" i="34"/>
  <c r="S16" i="34" s="1"/>
  <c r="J16" i="34"/>
  <c r="Q27" i="34"/>
  <c r="J27" i="34"/>
  <c r="T26" i="34"/>
  <c r="V26" i="34" s="1"/>
  <c r="G26" i="34"/>
  <c r="M10" i="37"/>
  <c r="Q17" i="34"/>
  <c r="J17" i="34"/>
  <c r="Q18" i="34"/>
  <c r="S18" i="34" s="1"/>
  <c r="J18" i="34"/>
  <c r="Q21" i="34"/>
  <c r="S21" i="34" s="1"/>
  <c r="J21" i="34"/>
  <c r="Q24" i="34"/>
  <c r="S24" i="34" s="1"/>
  <c r="J24" i="34"/>
  <c r="T25" i="34"/>
  <c r="V25" i="34" s="1"/>
  <c r="G25" i="34"/>
  <c r="T22" i="34"/>
  <c r="V22" i="34" s="1"/>
  <c r="G22" i="34"/>
  <c r="Q13" i="34"/>
  <c r="J13" i="34"/>
  <c r="Q19" i="34"/>
  <c r="J19" i="34"/>
  <c r="Q20" i="34"/>
  <c r="S20" i="34" s="1"/>
  <c r="J20" i="34"/>
  <c r="T21" i="34"/>
  <c r="V21" i="34" s="1"/>
  <c r="G21" i="34"/>
  <c r="AE20" i="2"/>
  <c r="G16" i="34"/>
  <c r="AE17" i="2"/>
  <c r="G20" i="34"/>
  <c r="G24" i="34"/>
  <c r="G18" i="34"/>
  <c r="G20" i="33"/>
  <c r="AE14" i="2"/>
  <c r="AE18" i="2"/>
  <c r="G11" i="33"/>
  <c r="AE9" i="2"/>
  <c r="AE19" i="2"/>
  <c r="AE11" i="2"/>
  <c r="AE23" i="2"/>
  <c r="AE22" i="2"/>
  <c r="AE16" i="2"/>
  <c r="AE21" i="2"/>
  <c r="AE12" i="2"/>
  <c r="R25" i="33"/>
  <c r="R22" i="33"/>
  <c r="T20" i="34" l="1"/>
  <c r="V20" i="34" s="1"/>
  <c r="T24" i="34"/>
  <c r="V24" i="34" s="1"/>
  <c r="T16" i="34"/>
  <c r="V16" i="34" s="1"/>
  <c r="T18" i="34"/>
  <c r="V18" i="34" s="1"/>
  <c r="T19" i="34"/>
  <c r="V19" i="34" s="1"/>
  <c r="S19" i="34"/>
  <c r="T17" i="34"/>
  <c r="V17" i="34" s="1"/>
  <c r="S17" i="34"/>
  <c r="T28" i="34"/>
  <c r="V28" i="34" s="1"/>
  <c r="S28" i="34"/>
  <c r="Q10" i="34"/>
  <c r="S10" i="34" s="1"/>
  <c r="J10" i="34"/>
  <c r="G10" i="34"/>
  <c r="T13" i="34"/>
  <c r="V13" i="34" s="1"/>
  <c r="S13" i="34"/>
  <c r="T23" i="34"/>
  <c r="V23" i="34" s="1"/>
  <c r="S23" i="34"/>
  <c r="Q11" i="34"/>
  <c r="J11" i="34"/>
  <c r="T27" i="34"/>
  <c r="V27" i="34" s="1"/>
  <c r="S27" i="34"/>
  <c r="T14" i="34"/>
  <c r="V14" i="34" s="1"/>
  <c r="S14" i="34"/>
  <c r="G10" i="33"/>
  <c r="R24" i="33"/>
  <c r="R21" i="33"/>
  <c r="R26" i="33"/>
  <c r="R19" i="33"/>
  <c r="R16" i="33"/>
  <c r="R27" i="33"/>
  <c r="R23" i="33"/>
  <c r="R14" i="33"/>
  <c r="AE26" i="2"/>
  <c r="AE25" i="2"/>
  <c r="R17" i="33"/>
  <c r="R28" i="33"/>
  <c r="R20" i="33"/>
  <c r="AE15" i="2"/>
  <c r="AE13" i="2"/>
  <c r="R18" i="33"/>
  <c r="AE8" i="2"/>
  <c r="R13" i="33"/>
  <c r="T10" i="34" l="1"/>
  <c r="V10" i="34" s="1"/>
  <c r="T11" i="34"/>
  <c r="V11" i="34" s="1"/>
  <c r="S11" i="34"/>
  <c r="U19" i="1"/>
  <c r="U18" i="1"/>
  <c r="R11" i="33"/>
  <c r="R10" i="33"/>
  <c r="V12" i="33" l="1"/>
  <c r="J9" i="36" l="1"/>
  <c r="M9" i="36"/>
  <c r="V9" i="36"/>
  <c r="V9" i="33"/>
  <c r="V8" i="33"/>
  <c r="P9" i="36"/>
  <c r="G9" i="36"/>
  <c r="S9" i="36"/>
  <c r="M8" i="36"/>
  <c r="V8" i="36"/>
  <c r="P8" i="36"/>
  <c r="G8" i="36"/>
  <c r="S8" i="36"/>
  <c r="J8" i="36"/>
  <c r="G12" i="34" l="1"/>
  <c r="N12" i="33"/>
  <c r="P8" i="34"/>
  <c r="P9" i="34"/>
  <c r="U13" i="1"/>
  <c r="J8" i="33"/>
  <c r="S9" i="37"/>
  <c r="P9" i="37"/>
  <c r="G9" i="37"/>
  <c r="V9" i="37"/>
  <c r="U16" i="1"/>
  <c r="V8" i="37"/>
  <c r="G8" i="37"/>
  <c r="S8" i="37"/>
  <c r="P8" i="37"/>
  <c r="M8" i="34" l="1"/>
  <c r="J9" i="33"/>
  <c r="M9" i="34"/>
  <c r="J8" i="37"/>
  <c r="J9" i="37"/>
  <c r="N9" i="33" l="1"/>
  <c r="M9" i="37"/>
  <c r="N8" i="33"/>
  <c r="S12" i="1"/>
  <c r="U12" i="1" s="1"/>
  <c r="U9" i="1"/>
  <c r="M8" i="37"/>
  <c r="G9" i="34" l="1"/>
  <c r="Q8" i="34"/>
  <c r="S8" i="34" s="1"/>
  <c r="J8" i="34"/>
  <c r="J9" i="34"/>
  <c r="Q9" i="34"/>
  <c r="S9" i="34" s="1"/>
  <c r="G8" i="34"/>
  <c r="T8" i="34" l="1"/>
  <c r="V8" i="34" s="1"/>
  <c r="T9" i="34"/>
  <c r="V9" i="34" s="1"/>
  <c r="AE27" i="2"/>
  <c r="AE24" i="2"/>
  <c r="U17" i="1" l="1"/>
  <c r="U20" i="1"/>
  <c r="V12" i="36" l="1"/>
  <c r="S12" i="36"/>
  <c r="P12" i="36"/>
  <c r="M12" i="36"/>
  <c r="J12" i="36"/>
  <c r="G12" i="36"/>
  <c r="J12" i="33"/>
  <c r="G8" i="33" l="1"/>
  <c r="G9" i="33"/>
  <c r="P12" i="37"/>
  <c r="S12" i="37"/>
  <c r="V12" i="37"/>
  <c r="P12" i="34"/>
  <c r="G12" i="37"/>
  <c r="M12" i="34" l="1"/>
  <c r="J12" i="37"/>
  <c r="M12" i="37" l="1"/>
  <c r="Q12" i="34" l="1"/>
  <c r="J12" i="34"/>
  <c r="R12" i="33"/>
  <c r="AE7" i="2"/>
  <c r="T12" i="34" l="1"/>
  <c r="V12" i="34" s="1"/>
  <c r="S12" i="34"/>
  <c r="R8" i="33"/>
  <c r="R9" i="33"/>
  <c r="G12" i="33" l="1"/>
  <c r="Y26" i="33" l="1"/>
  <c r="Z26" i="33" s="1"/>
  <c r="Y28" i="33"/>
  <c r="Z28" i="33" s="1"/>
  <c r="Y25" i="33"/>
  <c r="Z25" i="33" s="1"/>
  <c r="Y14" i="33"/>
  <c r="Z14" i="33" s="1"/>
  <c r="Y24" i="33"/>
  <c r="Z24" i="33" s="1"/>
  <c r="Y27" i="33"/>
  <c r="Z27" i="33" s="1"/>
  <c r="Y12" i="33"/>
  <c r="Z12" i="33" s="1"/>
  <c r="Y13" i="33"/>
  <c r="Z13" i="33" s="1"/>
  <c r="Y9" i="33" l="1"/>
  <c r="Z9" i="33" s="1"/>
  <c r="Y11" i="33" l="1"/>
  <c r="Z11" i="33" s="1"/>
  <c r="Y19" i="33" l="1"/>
  <c r="Z19" i="33" s="1"/>
  <c r="Y22" i="33"/>
  <c r="Z22" i="33" s="1"/>
  <c r="Y16" i="33"/>
  <c r="Z16" i="33" s="1"/>
  <c r="Y21" i="33"/>
  <c r="Z21" i="33" s="1"/>
  <c r="Y20" i="33"/>
  <c r="Z20" i="33" s="1"/>
  <c r="Y23" i="33"/>
  <c r="Z23" i="33" s="1"/>
  <c r="Y17" i="33"/>
  <c r="Z17" i="33" s="1"/>
  <c r="Y18" i="33"/>
  <c r="Z18" i="33" s="1"/>
  <c r="Y8" i="33" l="1"/>
  <c r="Z8" i="33" s="1"/>
  <c r="Y10" i="33"/>
  <c r="Z10" i="33" s="1"/>
  <c r="R26" i="2" l="1"/>
  <c r="W26" i="2" l="1"/>
  <c r="V34" i="1" l="1"/>
  <c r="R24" i="2" l="1"/>
  <c r="R25" i="2"/>
  <c r="R32" i="2"/>
  <c r="R27" i="2" l="1"/>
  <c r="H14" i="1" l="1"/>
  <c r="R41" i="2"/>
  <c r="R43" i="2" l="1"/>
  <c r="R47" i="2" l="1"/>
  <c r="H21" i="1" l="1"/>
  <c r="H20" i="1" l="1"/>
  <c r="H22" i="1"/>
  <c r="H23" i="1" l="1"/>
  <c r="H19" i="1"/>
  <c r="H24" i="1" l="1"/>
  <c r="W24" i="2" l="1"/>
  <c r="W25" i="2" l="1"/>
  <c r="W27" i="2" l="1"/>
  <c r="V32" i="1" l="1"/>
  <c r="V33" i="1" l="1"/>
  <c r="H33" i="1" l="1"/>
  <c r="AE18" i="1" s="1"/>
  <c r="W32" i="2" l="1"/>
  <c r="H32" i="1" l="1"/>
  <c r="AE17" i="1" s="1"/>
  <c r="H30" i="1" l="1"/>
  <c r="AE15" i="1" s="1"/>
  <c r="H31" i="1" l="1"/>
  <c r="AE16" i="1" s="1"/>
  <c r="H34" i="1" l="1"/>
  <c r="AE19" i="1" s="1"/>
  <c r="AE20" i="1" s="1"/>
  <c r="H29" i="1"/>
  <c r="H35" i="1" l="1"/>
  <c r="H36" i="1" l="1"/>
  <c r="AE21" i="1" s="1"/>
  <c r="W41" i="2" l="1"/>
  <c r="H40" i="1"/>
  <c r="H39" i="1"/>
  <c r="V36" i="1" l="1"/>
  <c r="W43" i="2"/>
  <c r="W47" i="2" l="1"/>
  <c r="V35" i="1"/>
  <c r="M26" i="2" l="1"/>
  <c r="M24" i="2" l="1"/>
  <c r="M25" i="2"/>
  <c r="M32" i="2"/>
  <c r="M27" i="2" l="1"/>
  <c r="M47" i="2"/>
  <c r="Z35" i="41" l="1"/>
  <c r="U35" i="41"/>
  <c r="T41" i="41"/>
  <c r="U36" i="41"/>
  <c r="Z36" i="41"/>
  <c r="Z37" i="41"/>
  <c r="U37" i="41"/>
  <c r="U38" i="41"/>
  <c r="Z38" i="41"/>
  <c r="Z39" i="41"/>
  <c r="U39" i="41"/>
  <c r="U40" i="41"/>
  <c r="Z40" i="41"/>
  <c r="X35" i="41"/>
  <c r="W41" i="41"/>
  <c r="X36" i="41"/>
  <c r="X37" i="41"/>
  <c r="X38" i="41"/>
  <c r="X39" i="41"/>
  <c r="X40" i="41"/>
  <c r="Z39" i="43" l="1"/>
  <c r="AA37" i="41"/>
  <c r="AA38" i="41"/>
  <c r="Z36" i="43"/>
  <c r="AA39" i="41"/>
  <c r="Z38" i="43"/>
  <c r="Z37" i="43"/>
  <c r="X41" i="41"/>
  <c r="AA36" i="41"/>
  <c r="AA40" i="41"/>
  <c r="Z41" i="41"/>
  <c r="U41" i="41"/>
  <c r="W41" i="43"/>
  <c r="Z40" i="43"/>
  <c r="AA35" i="41"/>
  <c r="T41" i="43"/>
  <c r="Z35" i="43"/>
  <c r="Z41" i="43" l="1"/>
  <c r="AA41" i="41"/>
  <c r="L35" i="41" l="1"/>
  <c r="K41" i="41"/>
  <c r="H41" i="41"/>
  <c r="Q41" i="41" s="1"/>
  <c r="I35" i="41"/>
  <c r="L36" i="41"/>
  <c r="I36" i="41"/>
  <c r="L37" i="41"/>
  <c r="I37" i="41"/>
  <c r="L38" i="41"/>
  <c r="I38" i="41"/>
  <c r="L39" i="41"/>
  <c r="I39" i="41"/>
  <c r="L40" i="41"/>
  <c r="I40" i="41"/>
  <c r="R36" i="41" l="1"/>
  <c r="I41" i="41"/>
  <c r="R35" i="41"/>
  <c r="R38" i="41"/>
  <c r="H41" i="43"/>
  <c r="L41" i="41"/>
  <c r="R40" i="41"/>
  <c r="AF40" i="41"/>
  <c r="R37" i="41"/>
  <c r="R39" i="41"/>
  <c r="K41" i="43"/>
  <c r="Q41" i="43" l="1"/>
  <c r="AF40" i="43"/>
  <c r="R41" i="41"/>
  <c r="AG40" i="41"/>
  <c r="I40" i="43" l="1"/>
  <c r="G32" i="43" l="1"/>
  <c r="S12" i="43"/>
  <c r="Y8" i="43"/>
  <c r="S28" i="43"/>
  <c r="Y22" i="43"/>
  <c r="V29" i="43"/>
  <c r="X37" i="43"/>
  <c r="U39" i="43"/>
  <c r="S31" i="43"/>
  <c r="Y39" i="43"/>
  <c r="AA39" i="43" s="1"/>
  <c r="V16" i="43"/>
  <c r="V27" i="43"/>
  <c r="X35" i="43"/>
  <c r="Y13" i="43"/>
  <c r="S17" i="43"/>
  <c r="S14" i="43"/>
  <c r="Y24" i="43"/>
  <c r="U37" i="43"/>
  <c r="S29" i="43"/>
  <c r="Y37" i="43"/>
  <c r="AA37" i="43" s="1"/>
  <c r="Y26" i="43"/>
  <c r="V41" i="43"/>
  <c r="V31" i="43"/>
  <c r="X39" i="43"/>
  <c r="V17" i="43"/>
  <c r="G31" i="43"/>
  <c r="I39" i="43"/>
  <c r="G12" i="43"/>
  <c r="J12" i="43"/>
  <c r="J9" i="43" s="1"/>
  <c r="V14" i="43"/>
  <c r="V12" i="43"/>
  <c r="V11" i="43" s="1"/>
  <c r="J20" i="43"/>
  <c r="G28" i="43"/>
  <c r="I36" i="43"/>
  <c r="I38" i="43"/>
  <c r="G30" i="43"/>
  <c r="L37" i="43"/>
  <c r="J29" i="43"/>
  <c r="Y18" i="43"/>
  <c r="L36" i="43"/>
  <c r="J28" i="43"/>
  <c r="J30" i="43"/>
  <c r="L38" i="43"/>
  <c r="J16" i="43"/>
  <c r="V20" i="43"/>
  <c r="Y36" i="43"/>
  <c r="AA36" i="43" s="1"/>
  <c r="U36" i="43"/>
  <c r="J32" i="43"/>
  <c r="L40" i="43"/>
  <c r="L39" i="43"/>
  <c r="J31" i="43"/>
  <c r="G16" i="43"/>
  <c r="S41" i="43"/>
  <c r="S30" i="43"/>
  <c r="Y38" i="43"/>
  <c r="AA38" i="43" s="1"/>
  <c r="U38" i="43"/>
  <c r="Y10" i="43"/>
  <c r="S27" i="43"/>
  <c r="Y21" i="43"/>
  <c r="Y23" i="43"/>
  <c r="V28" i="43"/>
  <c r="X36" i="43"/>
  <c r="Y40" i="43"/>
  <c r="AA40" i="43" s="1"/>
  <c r="S32" i="43"/>
  <c r="U40" i="43"/>
  <c r="G14" i="43"/>
  <c r="G17" i="43"/>
  <c r="X38" i="43"/>
  <c r="V30" i="43"/>
  <c r="Y25" i="43"/>
  <c r="X40" i="43"/>
  <c r="V32" i="43"/>
  <c r="J27" i="43"/>
  <c r="L35" i="43"/>
  <c r="J41" i="43"/>
  <c r="I35" i="43"/>
  <c r="G27" i="43"/>
  <c r="G41" i="43"/>
  <c r="P41" i="43" s="1"/>
  <c r="U35" i="43"/>
  <c r="Y35" i="43"/>
  <c r="AA35" i="43" s="1"/>
  <c r="G29" i="43"/>
  <c r="I37" i="43"/>
  <c r="R39" i="43" l="1"/>
  <c r="S20" i="43"/>
  <c r="Y19" i="43"/>
  <c r="Y14" i="43"/>
  <c r="G11" i="43"/>
  <c r="G20" i="43"/>
  <c r="J17" i="43"/>
  <c r="J14" i="43"/>
  <c r="L41" i="43"/>
  <c r="J42" i="43"/>
  <c r="G42" i="43"/>
  <c r="I41" i="43"/>
  <c r="V9" i="43"/>
  <c r="R37" i="43"/>
  <c r="R35" i="43"/>
  <c r="R38" i="43"/>
  <c r="S16" i="43"/>
  <c r="Y15" i="43"/>
  <c r="S11" i="43"/>
  <c r="J11" i="43"/>
  <c r="U41" i="43"/>
  <c r="S42" i="43"/>
  <c r="Y41" i="43"/>
  <c r="R36" i="43"/>
  <c r="X41" i="43"/>
  <c r="V42" i="43"/>
  <c r="Y12" i="43"/>
  <c r="Y9" i="43" s="1"/>
  <c r="R40" i="43"/>
  <c r="G9" i="43"/>
  <c r="S9" i="43"/>
  <c r="Y20" i="43" l="1"/>
  <c r="Y16" i="43"/>
  <c r="Y17" i="43"/>
  <c r="AA41" i="43"/>
  <c r="Y42" i="43"/>
  <c r="P42" i="43"/>
  <c r="R41" i="43"/>
  <c r="Y11" i="43"/>
  <c r="J25" i="29" l="1"/>
  <c r="H25" i="29"/>
  <c r="H24" i="29" l="1"/>
  <c r="J24" i="29"/>
  <c r="G26" i="29"/>
  <c r="J26" i="29" l="1"/>
  <c r="H26" i="29"/>
  <c r="L26" i="29"/>
  <c r="J13" i="29" l="1"/>
  <c r="H13" i="29"/>
  <c r="J15" i="29"/>
  <c r="H15" i="29"/>
  <c r="G17" i="29"/>
  <c r="W23" i="1"/>
  <c r="H17" i="29" l="1"/>
  <c r="J17" i="29"/>
  <c r="H16" i="29"/>
  <c r="J16" i="29"/>
  <c r="L17" i="29"/>
  <c r="G11" i="29"/>
  <c r="G18" i="29"/>
  <c r="J12" i="29"/>
  <c r="H12" i="29"/>
  <c r="G14" i="29"/>
  <c r="J10" i="29"/>
  <c r="H10" i="29"/>
  <c r="G20" i="29"/>
  <c r="L20" i="29"/>
  <c r="J14" i="29" l="1"/>
  <c r="H14" i="29"/>
  <c r="J11" i="29"/>
  <c r="H11" i="29"/>
  <c r="L18" i="29"/>
  <c r="L11" i="29"/>
  <c r="L14" i="29"/>
  <c r="G19" i="29"/>
  <c r="J18" i="29"/>
  <c r="H18" i="29"/>
  <c r="G22" i="29"/>
  <c r="H20" i="29"/>
  <c r="G21" i="29"/>
  <c r="J20" i="29"/>
  <c r="L21" i="29"/>
  <c r="H22" i="29" l="1"/>
  <c r="G23" i="29"/>
  <c r="J22" i="29"/>
  <c r="G27" i="29"/>
  <c r="W24" i="1"/>
  <c r="L19" i="29"/>
  <c r="H21" i="29"/>
  <c r="J21" i="29"/>
  <c r="J19" i="29"/>
  <c r="H19" i="29"/>
  <c r="L22" i="29"/>
  <c r="L23" i="29" l="1"/>
  <c r="L27" i="29"/>
  <c r="G37" i="29"/>
  <c r="J27" i="29"/>
  <c r="H27" i="29"/>
  <c r="G28" i="29"/>
  <c r="J23" i="29"/>
  <c r="H23" i="29"/>
  <c r="H28" i="29" l="1"/>
  <c r="J28" i="29"/>
  <c r="L28" i="29"/>
  <c r="L38" i="29"/>
  <c r="L37" i="29"/>
  <c r="S38" i="42" l="1"/>
  <c r="Q38" i="42"/>
  <c r="V40" i="42"/>
  <c r="S35" i="42"/>
  <c r="Q35" i="42"/>
  <c r="Q36" i="42"/>
  <c r="S36" i="42"/>
  <c r="Q37" i="42"/>
  <c r="S37" i="42"/>
  <c r="Q40" i="42"/>
  <c r="S40" i="42"/>
  <c r="K28" i="2" l="1"/>
  <c r="F8" i="1"/>
  <c r="AC8" i="1" l="1"/>
  <c r="I8" i="1"/>
  <c r="N28" i="2"/>
  <c r="AF8" i="1" l="1"/>
  <c r="P20" i="2" l="1"/>
  <c r="P21" i="2"/>
  <c r="P14" i="2"/>
  <c r="K8" i="2"/>
  <c r="K20" i="2"/>
  <c r="K21" i="2"/>
  <c r="K22" i="2"/>
  <c r="K19" i="2"/>
  <c r="K9" i="2"/>
  <c r="K17" i="2"/>
  <c r="K15" i="2"/>
  <c r="K31" i="2"/>
  <c r="K30" i="2"/>
  <c r="K18" i="2"/>
  <c r="K10" i="2"/>
  <c r="K14" i="2"/>
  <c r="K13" i="2"/>
  <c r="K12" i="2"/>
  <c r="K11" i="2"/>
  <c r="S21" i="2" l="1"/>
  <c r="S14" i="2"/>
  <c r="S20" i="2"/>
  <c r="N15" i="2"/>
  <c r="N17" i="2"/>
  <c r="N31" i="2"/>
  <c r="N8" i="2"/>
  <c r="N9" i="2"/>
  <c r="N11" i="2"/>
  <c r="N19" i="2"/>
  <c r="N12" i="2"/>
  <c r="N13" i="2"/>
  <c r="N22" i="2"/>
  <c r="N14" i="2"/>
  <c r="N10" i="2"/>
  <c r="N21" i="2"/>
  <c r="N20" i="2"/>
  <c r="N18" i="2"/>
  <c r="N30" i="2"/>
  <c r="P8" i="2"/>
  <c r="P29" i="2"/>
  <c r="P11" i="2"/>
  <c r="P9" i="2"/>
  <c r="P31" i="2"/>
  <c r="K7" i="2"/>
  <c r="P18" i="2"/>
  <c r="P7" i="2"/>
  <c r="K29" i="2"/>
  <c r="K16" i="2"/>
  <c r="K25" i="2" s="1"/>
  <c r="P22" i="2"/>
  <c r="K23" i="2"/>
  <c r="P16" i="2"/>
  <c r="P23" i="2"/>
  <c r="S9" i="2" l="1"/>
  <c r="S8" i="2"/>
  <c r="P12" i="2"/>
  <c r="S11" i="2"/>
  <c r="P19" i="2"/>
  <c r="S7" i="2"/>
  <c r="F16" i="1"/>
  <c r="S22" i="2"/>
  <c r="S18" i="2"/>
  <c r="P15" i="2"/>
  <c r="P13" i="2"/>
  <c r="S23" i="2"/>
  <c r="P17" i="2"/>
  <c r="P30" i="2"/>
  <c r="P32" i="2" s="1"/>
  <c r="S16" i="2"/>
  <c r="S29" i="2"/>
  <c r="F11" i="1"/>
  <c r="P28" i="2"/>
  <c r="P10" i="2"/>
  <c r="P24" i="2" s="1"/>
  <c r="S31" i="2"/>
  <c r="N25" i="2"/>
  <c r="N29" i="2"/>
  <c r="K32" i="2"/>
  <c r="N23" i="2"/>
  <c r="N16" i="2"/>
  <c r="K24" i="2"/>
  <c r="N7" i="2"/>
  <c r="K26" i="2"/>
  <c r="F10" i="1"/>
  <c r="F9" i="1"/>
  <c r="F12" i="1"/>
  <c r="P34" i="2"/>
  <c r="F7" i="1"/>
  <c r="F15" i="1"/>
  <c r="P33" i="2"/>
  <c r="P25" i="2" l="1"/>
  <c r="AJ17" i="41"/>
  <c r="S32" i="2"/>
  <c r="S24" i="2"/>
  <c r="S25" i="2"/>
  <c r="U21" i="2"/>
  <c r="S28" i="2"/>
  <c r="S34" i="2"/>
  <c r="AC11" i="1"/>
  <c r="F21" i="1"/>
  <c r="I11" i="1"/>
  <c r="I16" i="1"/>
  <c r="S33" i="2"/>
  <c r="S19" i="2"/>
  <c r="P26" i="2"/>
  <c r="S30" i="2"/>
  <c r="I15" i="1"/>
  <c r="S17" i="2"/>
  <c r="S12" i="2"/>
  <c r="F17" i="1"/>
  <c r="I12" i="1"/>
  <c r="AC12" i="1"/>
  <c r="S13" i="2"/>
  <c r="S10" i="2"/>
  <c r="I10" i="1"/>
  <c r="F20" i="1"/>
  <c r="AC10" i="1"/>
  <c r="S15" i="2"/>
  <c r="N26" i="2"/>
  <c r="K27" i="2"/>
  <c r="N24" i="2"/>
  <c r="I7" i="1"/>
  <c r="AC7" i="1"/>
  <c r="N32" i="2"/>
  <c r="AJ12" i="41"/>
  <c r="AC9" i="1"/>
  <c r="I9" i="1"/>
  <c r="U37" i="2"/>
  <c r="U31" i="2"/>
  <c r="U36" i="2"/>
  <c r="F26" i="1"/>
  <c r="K46" i="2"/>
  <c r="U30" i="2"/>
  <c r="U35" i="2"/>
  <c r="X31" i="2" l="1"/>
  <c r="X36" i="2"/>
  <c r="U14" i="2"/>
  <c r="AF11" i="1"/>
  <c r="U11" i="2"/>
  <c r="V37" i="2"/>
  <c r="X37" i="2"/>
  <c r="I17" i="1"/>
  <c r="U20" i="2"/>
  <c r="U8" i="2"/>
  <c r="U9" i="2"/>
  <c r="U15" i="2"/>
  <c r="U13" i="2"/>
  <c r="AF10" i="1"/>
  <c r="U22" i="2"/>
  <c r="U17" i="2"/>
  <c r="I20" i="1"/>
  <c r="X21" i="2"/>
  <c r="X35" i="2"/>
  <c r="T34" i="1"/>
  <c r="S26" i="2"/>
  <c r="I26" i="1"/>
  <c r="U10" i="2"/>
  <c r="F27" i="1"/>
  <c r="X30" i="2"/>
  <c r="F22" i="1"/>
  <c r="U18" i="2"/>
  <c r="P27" i="2"/>
  <c r="U23" i="2"/>
  <c r="AF12" i="1"/>
  <c r="U16" i="2"/>
  <c r="I21" i="1"/>
  <c r="F32" i="1"/>
  <c r="U12" i="2"/>
  <c r="U19" i="2"/>
  <c r="K47" i="2"/>
  <c r="AF9" i="1"/>
  <c r="AF7" i="1"/>
  <c r="N27" i="2"/>
  <c r="U29" i="2"/>
  <c r="U38" i="2"/>
  <c r="X20" i="2" l="1"/>
  <c r="I22" i="1"/>
  <c r="F33" i="1"/>
  <c r="U34" i="2"/>
  <c r="I27" i="1"/>
  <c r="U7" i="2"/>
  <c r="X19" i="2"/>
  <c r="U26" i="2"/>
  <c r="X29" i="2"/>
  <c r="U32" i="2"/>
  <c r="F25" i="1"/>
  <c r="X10" i="2"/>
  <c r="X17" i="2"/>
  <c r="X12" i="2"/>
  <c r="X22" i="2"/>
  <c r="AC17" i="1"/>
  <c r="I32" i="1"/>
  <c r="X11" i="2"/>
  <c r="U25" i="2"/>
  <c r="F18" i="1"/>
  <c r="X16" i="2"/>
  <c r="P39" i="2"/>
  <c r="P46" i="2"/>
  <c r="F13" i="1"/>
  <c r="W34" i="1"/>
  <c r="X13" i="2"/>
  <c r="U28" i="2"/>
  <c r="X14" i="2"/>
  <c r="X38" i="2"/>
  <c r="X23" i="2"/>
  <c r="X15" i="2"/>
  <c r="S27" i="2"/>
  <c r="X8" i="2"/>
  <c r="U33" i="2"/>
  <c r="X18" i="2"/>
  <c r="X9" i="2"/>
  <c r="F28" i="1"/>
  <c r="I28" i="1" l="1"/>
  <c r="I18" i="1"/>
  <c r="F19" i="1"/>
  <c r="S39" i="2"/>
  <c r="P41" i="2"/>
  <c r="AJ20" i="41"/>
  <c r="X32" i="2"/>
  <c r="X25" i="2"/>
  <c r="X26" i="2"/>
  <c r="I25" i="1"/>
  <c r="F29" i="1"/>
  <c r="F30" i="1"/>
  <c r="U24" i="2"/>
  <c r="X7" i="2"/>
  <c r="AF17" i="1"/>
  <c r="X28" i="2"/>
  <c r="T33" i="1"/>
  <c r="X34" i="2"/>
  <c r="T32" i="1"/>
  <c r="X33" i="2"/>
  <c r="AC18" i="1"/>
  <c r="I33" i="1"/>
  <c r="AC13" i="1"/>
  <c r="I13" i="1"/>
  <c r="F23" i="1"/>
  <c r="F14" i="1"/>
  <c r="W32" i="1" l="1"/>
  <c r="W33" i="1"/>
  <c r="S41" i="2"/>
  <c r="P43" i="2"/>
  <c r="I14" i="1"/>
  <c r="I23" i="1"/>
  <c r="F34" i="1"/>
  <c r="F35" i="1" s="1"/>
  <c r="F24" i="1"/>
  <c r="I19" i="1"/>
  <c r="AF13" i="1"/>
  <c r="AC14" i="1"/>
  <c r="X24" i="2"/>
  <c r="U27" i="2"/>
  <c r="AC15" i="1"/>
  <c r="F31" i="1"/>
  <c r="I30" i="1"/>
  <c r="AF18" i="1"/>
  <c r="I29" i="1"/>
  <c r="F36" i="1" l="1"/>
  <c r="I35" i="1"/>
  <c r="AF14" i="1"/>
  <c r="I31" i="1"/>
  <c r="AC16" i="1"/>
  <c r="I24" i="1"/>
  <c r="S43" i="2"/>
  <c r="P47" i="2"/>
  <c r="X27" i="2"/>
  <c r="AC19" i="1"/>
  <c r="I34" i="1"/>
  <c r="AF15" i="1"/>
  <c r="AC20" i="1"/>
  <c r="U46" i="2" l="1"/>
  <c r="F38" i="1"/>
  <c r="U39" i="2"/>
  <c r="AF16" i="1"/>
  <c r="AF20" i="1"/>
  <c r="AF19" i="1"/>
  <c r="AC21" i="1"/>
  <c r="I36" i="1"/>
  <c r="AF21" i="1" s="1"/>
  <c r="F39" i="1" l="1"/>
  <c r="F40" i="1"/>
  <c r="X39" i="2"/>
  <c r="U41" i="2"/>
  <c r="T36" i="1" l="1"/>
  <c r="X41" i="2"/>
  <c r="U43" i="2"/>
  <c r="U44" i="2" l="1"/>
  <c r="X43" i="2"/>
  <c r="U47" i="2"/>
  <c r="W36" i="1"/>
  <c r="T35" i="1"/>
  <c r="W35" i="1" l="1"/>
  <c r="W46" i="42" l="1"/>
  <c r="R46" i="42"/>
  <c r="M46" i="42"/>
  <c r="W39" i="42"/>
  <c r="R39" i="42"/>
  <c r="W38" i="42"/>
  <c r="W37" i="42"/>
  <c r="W36" i="42"/>
  <c r="W35" i="42"/>
  <c r="W34" i="42"/>
  <c r="R34" i="42"/>
  <c r="W33" i="42"/>
  <c r="R33" i="42"/>
  <c r="W31" i="42"/>
  <c r="R31" i="42"/>
  <c r="M31" i="42"/>
  <c r="W30" i="42"/>
  <c r="R30" i="42"/>
  <c r="M30" i="42"/>
  <c r="W29" i="42"/>
  <c r="W32" i="42" s="1"/>
  <c r="R29" i="42"/>
  <c r="M29" i="42"/>
  <c r="W28" i="42"/>
  <c r="R28" i="42"/>
  <c r="M28" i="42"/>
  <c r="W23" i="42"/>
  <c r="R23" i="42"/>
  <c r="M23" i="42"/>
  <c r="W22" i="42"/>
  <c r="R22" i="42"/>
  <c r="M22" i="42"/>
  <c r="W21" i="42"/>
  <c r="R21" i="42"/>
  <c r="M21" i="42"/>
  <c r="W20" i="42"/>
  <c r="R20" i="42"/>
  <c r="M20" i="42"/>
  <c r="W19" i="42"/>
  <c r="R19" i="42"/>
  <c r="R26" i="42" s="1"/>
  <c r="M19" i="42"/>
  <c r="M26" i="42" s="1"/>
  <c r="W18" i="42"/>
  <c r="R18" i="42"/>
  <c r="M18" i="42"/>
  <c r="W17" i="42"/>
  <c r="R17" i="42"/>
  <c r="M17" i="42"/>
  <c r="W16" i="42"/>
  <c r="R16" i="42"/>
  <c r="M16" i="42"/>
  <c r="W15" i="42"/>
  <c r="R15" i="42"/>
  <c r="M15" i="42"/>
  <c r="W14" i="42"/>
  <c r="R14" i="42"/>
  <c r="M14" i="42"/>
  <c r="W13" i="42"/>
  <c r="R13" i="42"/>
  <c r="M13" i="42"/>
  <c r="W12" i="42"/>
  <c r="R12" i="42"/>
  <c r="M12" i="42"/>
  <c r="W11" i="42"/>
  <c r="R11" i="42"/>
  <c r="M11" i="42"/>
  <c r="W10" i="42"/>
  <c r="R10" i="42"/>
  <c r="M10" i="42"/>
  <c r="W9" i="42"/>
  <c r="R9" i="42"/>
  <c r="M9" i="42"/>
  <c r="W8" i="42"/>
  <c r="R8" i="42"/>
  <c r="M8" i="42"/>
  <c r="W7" i="42"/>
  <c r="R7" i="42"/>
  <c r="M7" i="42"/>
  <c r="M38" i="1"/>
  <c r="M27" i="1"/>
  <c r="M26" i="1"/>
  <c r="M25" i="1"/>
  <c r="M17" i="1"/>
  <c r="M16" i="1"/>
  <c r="M15" i="1"/>
  <c r="M12" i="1"/>
  <c r="M11" i="1"/>
  <c r="M9" i="1"/>
  <c r="AJ9" i="1" s="1"/>
  <c r="M8" i="1"/>
  <c r="AJ8" i="1" s="1"/>
  <c r="M7" i="1"/>
  <c r="AJ7" i="1" s="1"/>
  <c r="R25" i="42" l="1"/>
  <c r="R32" i="42"/>
  <c r="W26" i="42"/>
  <c r="M24" i="42"/>
  <c r="R24" i="42"/>
  <c r="AJ11" i="1"/>
  <c r="M21" i="1"/>
  <c r="W24" i="42"/>
  <c r="M25" i="42"/>
  <c r="AJ12" i="1"/>
  <c r="M22" i="1"/>
  <c r="R41" i="42"/>
  <c r="M32" i="42"/>
  <c r="W41" i="42"/>
  <c r="W25" i="42"/>
  <c r="M13" i="1"/>
  <c r="M18" i="1"/>
  <c r="M19" i="1" s="1"/>
  <c r="M28" i="1"/>
  <c r="M29" i="1" s="1"/>
  <c r="M10" i="1"/>
  <c r="M33" i="1" l="1"/>
  <c r="AJ10" i="1"/>
  <c r="M14" i="1"/>
  <c r="M20" i="1"/>
  <c r="M32" i="1"/>
  <c r="R27" i="42"/>
  <c r="R43" i="42" s="1"/>
  <c r="R47" i="42" s="1"/>
  <c r="AJ13" i="1"/>
  <c r="M23" i="1"/>
  <c r="M27" i="42"/>
  <c r="M47" i="42" s="1"/>
  <c r="W27" i="42"/>
  <c r="W43" i="42" s="1"/>
  <c r="W47" i="42" s="1"/>
  <c r="M34" i="1" l="1"/>
  <c r="AJ14" i="1"/>
  <c r="AJ17" i="1"/>
  <c r="M24" i="1"/>
  <c r="M30" i="1"/>
  <c r="AJ18" i="1"/>
  <c r="AJ15" i="1" l="1"/>
  <c r="M31" i="1"/>
  <c r="M35" i="1"/>
  <c r="AJ19" i="1"/>
  <c r="AJ20" i="1" l="1"/>
  <c r="AJ16" i="1"/>
  <c r="M36" i="1"/>
  <c r="M40" i="1"/>
  <c r="M39" i="1"/>
  <c r="AJ21" i="1" l="1"/>
  <c r="AB40" i="43" l="1"/>
  <c r="AB39" i="43"/>
  <c r="AB38" i="43"/>
  <c r="AB37" i="43"/>
  <c r="AB36" i="43"/>
  <c r="AB35" i="43"/>
  <c r="AB19" i="43"/>
  <c r="AB18" i="43"/>
  <c r="AB20" i="43" l="1"/>
  <c r="AE18" i="43"/>
  <c r="AE19" i="43"/>
  <c r="AB41" i="43"/>
  <c r="AE35" i="43"/>
  <c r="AE36" i="43"/>
  <c r="AE37" i="43"/>
  <c r="AE38" i="43"/>
  <c r="AE39" i="43"/>
  <c r="AE40" i="43"/>
  <c r="AB26" i="43"/>
  <c r="AB25" i="43"/>
  <c r="AB24" i="43"/>
  <c r="AB30" i="43" s="1"/>
  <c r="AB23" i="43"/>
  <c r="AB29" i="43" s="1"/>
  <c r="AB22" i="43"/>
  <c r="AB28" i="43" s="1"/>
  <c r="AB21" i="43"/>
  <c r="AB27" i="43" s="1"/>
  <c r="AB15" i="43"/>
  <c r="AB13" i="43"/>
  <c r="AB10" i="43"/>
  <c r="AB8" i="43"/>
  <c r="AD26" i="43" l="1"/>
  <c r="AE26" i="43"/>
  <c r="AE32" i="43" s="1"/>
  <c r="AE25" i="43"/>
  <c r="AB31" i="43"/>
  <c r="AE31" i="43"/>
  <c r="AB12" i="43"/>
  <c r="AB11" i="43" s="1"/>
  <c r="AE8" i="43"/>
  <c r="AE10" i="43"/>
  <c r="AB42" i="43"/>
  <c r="AE41" i="43"/>
  <c r="AB14" i="43"/>
  <c r="AB17" i="43"/>
  <c r="AE13" i="43"/>
  <c r="AB16" i="43"/>
  <c r="AE15" i="43"/>
  <c r="AB32" i="43"/>
  <c r="AD32" i="43" s="1"/>
  <c r="AE21" i="43"/>
  <c r="AE27" i="43" s="1"/>
  <c r="AE22" i="43"/>
  <c r="AE28" i="43" s="1"/>
  <c r="AE20" i="43"/>
  <c r="AG40" i="43"/>
  <c r="AD23" i="43"/>
  <c r="AE23" i="43"/>
  <c r="AE29" i="43" s="1"/>
  <c r="AD24" i="43"/>
  <c r="AE24" i="43"/>
  <c r="AE30" i="43" s="1"/>
  <c r="AE12" i="43" l="1"/>
  <c r="AE16" i="43"/>
  <c r="AE42" i="43"/>
  <c r="AB9" i="43"/>
  <c r="AE11" i="43"/>
  <c r="AE14" i="43"/>
  <c r="AE17" i="43"/>
  <c r="AE9" i="43" l="1"/>
  <c r="N36" i="29" l="1"/>
  <c r="N25" i="29" l="1"/>
  <c r="O25" i="29" s="1"/>
  <c r="N24" i="29"/>
  <c r="N16" i="29"/>
  <c r="O16" i="29" s="1"/>
  <c r="N15" i="29"/>
  <c r="N13" i="29"/>
  <c r="N12" i="29"/>
  <c r="N10" i="29"/>
  <c r="O10" i="29" s="1"/>
  <c r="K16" i="29"/>
  <c r="M16" i="29" s="1"/>
  <c r="K15" i="29"/>
  <c r="K13" i="29"/>
  <c r="K12" i="29"/>
  <c r="K10" i="29"/>
  <c r="M10" i="29" s="1"/>
  <c r="K17" i="29" l="1"/>
  <c r="M17" i="29" s="1"/>
  <c r="M15" i="29"/>
  <c r="N20" i="29"/>
  <c r="O13" i="29"/>
  <c r="N17" i="29"/>
  <c r="O17" i="29" s="1"/>
  <c r="O15" i="29"/>
  <c r="K20" i="29"/>
  <c r="M13" i="29"/>
  <c r="N18" i="29"/>
  <c r="N14" i="29"/>
  <c r="N11" i="29"/>
  <c r="O11" i="29" s="1"/>
  <c r="O12" i="29"/>
  <c r="N26" i="29"/>
  <c r="O26" i="29" s="1"/>
  <c r="O24" i="29"/>
  <c r="K14" i="29"/>
  <c r="K18" i="29"/>
  <c r="K11" i="29"/>
  <c r="M11" i="29" s="1"/>
  <c r="M12" i="29"/>
  <c r="K25" i="29"/>
  <c r="M25" i="29" s="1"/>
  <c r="K24" i="29"/>
  <c r="N19" i="29" l="1"/>
  <c r="O19" i="29" s="1"/>
  <c r="O18" i="29"/>
  <c r="N22" i="29"/>
  <c r="O14" i="29"/>
  <c r="N21" i="29"/>
  <c r="O21" i="29" s="1"/>
  <c r="O20" i="29"/>
  <c r="K22" i="29"/>
  <c r="M14" i="29"/>
  <c r="K21" i="29"/>
  <c r="M21" i="29" s="1"/>
  <c r="M20" i="29"/>
  <c r="K26" i="29"/>
  <c r="M26" i="29" s="1"/>
  <c r="M24" i="29"/>
  <c r="K19" i="29"/>
  <c r="M19" i="29" s="1"/>
  <c r="M18" i="29"/>
  <c r="K36" i="29"/>
  <c r="N23" i="29" l="1"/>
  <c r="O23" i="29" s="1"/>
  <c r="N27" i="29"/>
  <c r="O22" i="29"/>
  <c r="K27" i="29"/>
  <c r="K23" i="29"/>
  <c r="M23" i="29" s="1"/>
  <c r="M22" i="29"/>
  <c r="K28" i="29" l="1"/>
  <c r="M28" i="29" s="1"/>
  <c r="K38" i="29"/>
  <c r="K37" i="29"/>
  <c r="M27" i="29"/>
  <c r="N28" i="29"/>
  <c r="O28" i="29" s="1"/>
  <c r="N37" i="29"/>
  <c r="N38" i="29"/>
  <c r="O27" i="29"/>
  <c r="K28" i="42" l="1"/>
  <c r="K8" i="1"/>
  <c r="N8" i="1" l="1"/>
  <c r="AH8" i="1"/>
  <c r="N28" i="42"/>
  <c r="AK8" i="1" l="1"/>
  <c r="P18" i="42" l="1"/>
  <c r="P19" i="42"/>
  <c r="K31" i="42"/>
  <c r="K18" i="42"/>
  <c r="K30" i="42"/>
  <c r="K23" i="42"/>
  <c r="K8" i="42"/>
  <c r="K19" i="42"/>
  <c r="K10" i="42"/>
  <c r="K9" i="42"/>
  <c r="K12" i="42"/>
  <c r="K20" i="42"/>
  <c r="K16" i="42"/>
  <c r="K13" i="42"/>
  <c r="K14" i="42"/>
  <c r="K17" i="42"/>
  <c r="K15" i="42"/>
  <c r="K21" i="42"/>
  <c r="N13" i="42" l="1"/>
  <c r="N16" i="42"/>
  <c r="N30" i="42"/>
  <c r="N12" i="42"/>
  <c r="N18" i="42"/>
  <c r="N15" i="42"/>
  <c r="N9" i="42"/>
  <c r="N31" i="42"/>
  <c r="N21" i="42"/>
  <c r="N17" i="42"/>
  <c r="N23" i="42"/>
  <c r="N10" i="42"/>
  <c r="N19" i="42"/>
  <c r="S19" i="42"/>
  <c r="N8" i="42"/>
  <c r="N20" i="42"/>
  <c r="N14" i="42"/>
  <c r="S18" i="42"/>
  <c r="P22" i="42"/>
  <c r="P7" i="42"/>
  <c r="P12" i="42"/>
  <c r="P17" i="42"/>
  <c r="P10" i="42"/>
  <c r="P20" i="42"/>
  <c r="K16" i="1"/>
  <c r="P29" i="42"/>
  <c r="P11" i="42"/>
  <c r="K11" i="42"/>
  <c r="K7" i="42"/>
  <c r="K29" i="42"/>
  <c r="K22" i="42"/>
  <c r="K26" i="42" l="1"/>
  <c r="N16" i="1"/>
  <c r="N26" i="42"/>
  <c r="S11" i="42"/>
  <c r="N29" i="42"/>
  <c r="K32" i="42"/>
  <c r="N11" i="42"/>
  <c r="K25" i="42"/>
  <c r="S17" i="42"/>
  <c r="S29" i="42"/>
  <c r="S22" i="42"/>
  <c r="S12" i="42"/>
  <c r="S7" i="42"/>
  <c r="S10" i="42"/>
  <c r="K24" i="42"/>
  <c r="N7" i="42"/>
  <c r="N22" i="42"/>
  <c r="S20" i="42"/>
  <c r="P28" i="42"/>
  <c r="K10" i="1"/>
  <c r="K11" i="1"/>
  <c r="P14" i="42"/>
  <c r="U31" i="42"/>
  <c r="P16" i="42"/>
  <c r="P31" i="42"/>
  <c r="P33" i="42"/>
  <c r="P21" i="42"/>
  <c r="K12" i="1"/>
  <c r="P23" i="42"/>
  <c r="P15" i="42"/>
  <c r="P34" i="42"/>
  <c r="P30" i="42"/>
  <c r="P9" i="42"/>
  <c r="P13" i="42"/>
  <c r="K9" i="1"/>
  <c r="K7" i="1"/>
  <c r="P25" i="42" l="1"/>
  <c r="AH11" i="1"/>
  <c r="K21" i="1"/>
  <c r="N11" i="1"/>
  <c r="AH10" i="1"/>
  <c r="N10" i="1"/>
  <c r="AH12" i="1"/>
  <c r="N12" i="1"/>
  <c r="S25" i="42"/>
  <c r="S14" i="42"/>
  <c r="S31" i="42"/>
  <c r="P32" i="42"/>
  <c r="N9" i="1"/>
  <c r="AH9" i="1"/>
  <c r="P8" i="42"/>
  <c r="N25" i="42"/>
  <c r="S34" i="42"/>
  <c r="K27" i="42"/>
  <c r="N24" i="42"/>
  <c r="N32" i="42"/>
  <c r="S33" i="42"/>
  <c r="S23" i="42"/>
  <c r="S16" i="42"/>
  <c r="S13" i="42"/>
  <c r="S9" i="42"/>
  <c r="N7" i="1"/>
  <c r="AH7" i="1"/>
  <c r="S30" i="42"/>
  <c r="S21" i="42"/>
  <c r="P26" i="42"/>
  <c r="S15" i="42"/>
  <c r="X31" i="42"/>
  <c r="S28" i="42"/>
  <c r="U12" i="42"/>
  <c r="K27" i="1"/>
  <c r="U23" i="42"/>
  <c r="K15" i="1"/>
  <c r="K17" i="1"/>
  <c r="K22" i="1" s="1"/>
  <c r="K46" i="42"/>
  <c r="K33" i="1" l="1"/>
  <c r="N22" i="1"/>
  <c r="N27" i="1"/>
  <c r="AK12" i="1"/>
  <c r="N17" i="1"/>
  <c r="N15" i="1"/>
  <c r="K20" i="1"/>
  <c r="AK10" i="1"/>
  <c r="N21" i="1"/>
  <c r="AK11" i="1"/>
  <c r="N27" i="42"/>
  <c r="S26" i="42"/>
  <c r="AK7" i="1"/>
  <c r="S8" i="42"/>
  <c r="P24" i="42"/>
  <c r="AK9" i="1"/>
  <c r="S32" i="42"/>
  <c r="K47" i="42"/>
  <c r="X23" i="42"/>
  <c r="X12" i="42"/>
  <c r="AJ12" i="43"/>
  <c r="AJ17" i="43"/>
  <c r="U8" i="42"/>
  <c r="U38" i="42"/>
  <c r="U14" i="42"/>
  <c r="U13" i="42"/>
  <c r="U19" i="42"/>
  <c r="U11" i="42"/>
  <c r="U36" i="42"/>
  <c r="K18" i="1"/>
  <c r="K19" i="1" s="1"/>
  <c r="U37" i="42"/>
  <c r="U18" i="42"/>
  <c r="U30" i="42"/>
  <c r="K25" i="1"/>
  <c r="U16" i="42"/>
  <c r="U22" i="42"/>
  <c r="K26" i="1"/>
  <c r="K32" i="1" s="1"/>
  <c r="U21" i="42"/>
  <c r="U20" i="42"/>
  <c r="U17" i="42"/>
  <c r="U9" i="42"/>
  <c r="U10" i="42"/>
  <c r="U35" i="42"/>
  <c r="U29" i="42"/>
  <c r="U15" i="42"/>
  <c r="N19" i="1" l="1"/>
  <c r="V37" i="42"/>
  <c r="X37" i="42"/>
  <c r="K30" i="1"/>
  <c r="N20" i="1"/>
  <c r="X38" i="42"/>
  <c r="N18" i="1"/>
  <c r="AH17" i="1"/>
  <c r="N32" i="1"/>
  <c r="X35" i="42"/>
  <c r="X36" i="42"/>
  <c r="AH18" i="1"/>
  <c r="N33" i="1"/>
  <c r="N25" i="1"/>
  <c r="N26" i="1"/>
  <c r="X14" i="42"/>
  <c r="X18" i="42"/>
  <c r="P27" i="42"/>
  <c r="S24" i="42"/>
  <c r="X13" i="42"/>
  <c r="X8" i="42"/>
  <c r="U32" i="42"/>
  <c r="U52" i="42" s="1"/>
  <c r="X29" i="42"/>
  <c r="X16" i="42"/>
  <c r="U25" i="42"/>
  <c r="X11" i="42"/>
  <c r="X22" i="42"/>
  <c r="X10" i="42"/>
  <c r="X21" i="42"/>
  <c r="X19" i="42"/>
  <c r="U26" i="42"/>
  <c r="X17" i="42"/>
  <c r="X20" i="42"/>
  <c r="X15" i="42"/>
  <c r="X9" i="42"/>
  <c r="X30" i="42"/>
  <c r="U7" i="42"/>
  <c r="U28" i="42"/>
  <c r="U51" i="42" s="1"/>
  <c r="U34" i="42"/>
  <c r="K13" i="1"/>
  <c r="P39" i="42"/>
  <c r="U33" i="42"/>
  <c r="P46" i="42"/>
  <c r="U53" i="42" l="1"/>
  <c r="AK17" i="1"/>
  <c r="AH15" i="1"/>
  <c r="K31" i="1"/>
  <c r="N30" i="1"/>
  <c r="S39" i="42"/>
  <c r="P41" i="42"/>
  <c r="P43" i="42" s="1"/>
  <c r="K23" i="1"/>
  <c r="AH13" i="1"/>
  <c r="N13" i="1"/>
  <c r="K14" i="1"/>
  <c r="AK18" i="1"/>
  <c r="X25" i="42"/>
  <c r="X32" i="42"/>
  <c r="X7" i="42"/>
  <c r="U24" i="42"/>
  <c r="X34" i="42"/>
  <c r="X26" i="42"/>
  <c r="S27" i="42"/>
  <c r="X33" i="42"/>
  <c r="X28" i="42"/>
  <c r="AJ20" i="43"/>
  <c r="K28" i="1"/>
  <c r="N14" i="1" l="1"/>
  <c r="AK13" i="1"/>
  <c r="AH14" i="1"/>
  <c r="K34" i="1"/>
  <c r="N23" i="1"/>
  <c r="K24" i="1"/>
  <c r="S41" i="42"/>
  <c r="AH16" i="1"/>
  <c r="N31" i="1"/>
  <c r="AK15" i="1"/>
  <c r="N28" i="1"/>
  <c r="K29" i="1"/>
  <c r="S43" i="42"/>
  <c r="P47" i="42"/>
  <c r="U27" i="42"/>
  <c r="X24" i="42"/>
  <c r="U50" i="42" l="1"/>
  <c r="AH19" i="1"/>
  <c r="N34" i="1"/>
  <c r="K35" i="1"/>
  <c r="N29" i="1"/>
  <c r="AK14" i="1"/>
  <c r="AK16" i="1"/>
  <c r="N24" i="1"/>
  <c r="X27" i="42"/>
  <c r="K38" i="1"/>
  <c r="K36" i="1" l="1"/>
  <c r="K39" i="1"/>
  <c r="K40" i="1"/>
  <c r="N35" i="1"/>
  <c r="AK19" i="1"/>
  <c r="AH20" i="1"/>
  <c r="U39" i="42"/>
  <c r="U46" i="42"/>
  <c r="U54" i="42" s="1"/>
  <c r="X39" i="42" l="1"/>
  <c r="U41" i="42"/>
  <c r="AK20" i="1"/>
  <c r="AH21" i="1"/>
  <c r="N36" i="1"/>
  <c r="AK21" i="1" s="1"/>
  <c r="X41" i="42" l="1"/>
  <c r="U43" i="42"/>
  <c r="U47" i="42" l="1"/>
  <c r="U44" i="42"/>
  <c r="X43" i="42"/>
  <c r="T36" i="2" l="1"/>
  <c r="V36" i="2" l="1"/>
  <c r="T36" i="42" l="1"/>
  <c r="V36" i="42" s="1"/>
  <c r="E8" i="1" l="1"/>
  <c r="J28" i="2"/>
  <c r="E16" i="1"/>
  <c r="E11" i="1"/>
  <c r="O28" i="2"/>
  <c r="G16" i="1" l="1"/>
  <c r="Q28" i="2"/>
  <c r="L28" i="2"/>
  <c r="AB11" i="1"/>
  <c r="AD11" i="1" s="1"/>
  <c r="E21" i="1"/>
  <c r="G11" i="1"/>
  <c r="AB8" i="1"/>
  <c r="AD8" i="1" s="1"/>
  <c r="G8" i="1"/>
  <c r="J16" i="1" l="1"/>
  <c r="L16" i="1" s="1"/>
  <c r="G21" i="1"/>
  <c r="J11" i="1"/>
  <c r="J8" i="1"/>
  <c r="J28" i="42"/>
  <c r="L28" i="42" s="1"/>
  <c r="O28" i="42"/>
  <c r="Q28" i="42" s="1"/>
  <c r="AG8" i="1" l="1"/>
  <c r="AI8" i="1" s="1"/>
  <c r="L8" i="1"/>
  <c r="AG11" i="1"/>
  <c r="AI11" i="1" s="1"/>
  <c r="J21" i="1"/>
  <c r="L11" i="1"/>
  <c r="L21" i="1" l="1"/>
  <c r="J30" i="2" l="1"/>
  <c r="L30" i="2" l="1"/>
  <c r="O30" i="2"/>
  <c r="O30" i="42" l="1"/>
  <c r="Q30" i="42" s="1"/>
  <c r="Q30" i="2"/>
  <c r="J30" i="42"/>
  <c r="L30" i="42" s="1"/>
  <c r="J29" i="2" l="1"/>
  <c r="L29" i="2" l="1"/>
  <c r="O29" i="2"/>
  <c r="O29" i="42" l="1"/>
  <c r="Q29" i="2"/>
  <c r="J29" i="42"/>
  <c r="L29" i="42" l="1"/>
  <c r="Q29" i="42"/>
  <c r="O33" i="2" l="1"/>
  <c r="O34" i="2"/>
  <c r="Q34" i="2" l="1"/>
  <c r="Q33" i="2"/>
  <c r="O34" i="42" l="1"/>
  <c r="Q34" i="42" s="1"/>
  <c r="O33" i="42" l="1"/>
  <c r="Q33" i="42" l="1"/>
  <c r="O39" i="2" l="1"/>
  <c r="O39" i="42" l="1"/>
  <c r="Q39" i="2"/>
  <c r="O41" i="2"/>
  <c r="Q41" i="2" s="1"/>
  <c r="Q39" i="42" l="1"/>
  <c r="O41" i="42"/>
  <c r="Q41" i="42" s="1"/>
  <c r="J31" i="2" l="1"/>
  <c r="L31" i="2" l="1"/>
  <c r="J32" i="2"/>
  <c r="O31" i="2"/>
  <c r="E9" i="1" l="1"/>
  <c r="Q31" i="2"/>
  <c r="O32" i="2"/>
  <c r="AI12" i="41"/>
  <c r="L32" i="2"/>
  <c r="J31" i="42"/>
  <c r="AI13" i="41" l="1"/>
  <c r="AI17" i="41"/>
  <c r="Q32" i="2"/>
  <c r="O31" i="42"/>
  <c r="J9" i="1"/>
  <c r="AB9" i="1"/>
  <c r="AD9" i="1" s="1"/>
  <c r="G9" i="1"/>
  <c r="L31" i="42"/>
  <c r="J32" i="42"/>
  <c r="L32" i="42" s="1"/>
  <c r="E12" i="1"/>
  <c r="AG9" i="1" l="1"/>
  <c r="AI9" i="1" s="1"/>
  <c r="L9" i="1"/>
  <c r="Q31" i="42"/>
  <c r="O32" i="42"/>
  <c r="Q32" i="42" s="1"/>
  <c r="J12" i="1"/>
  <c r="AB12" i="1"/>
  <c r="AD12" i="1" s="1"/>
  <c r="G12" i="1"/>
  <c r="AI17" i="43"/>
  <c r="AI18" i="43" s="1"/>
  <c r="AI18" i="41"/>
  <c r="AI12" i="43"/>
  <c r="AI13" i="43" s="1"/>
  <c r="AG12" i="1" l="1"/>
  <c r="AI12" i="1" s="1"/>
  <c r="L12" i="1"/>
  <c r="T34" i="2" l="1"/>
  <c r="S33" i="1" l="1"/>
  <c r="U33" i="1" s="1"/>
  <c r="V34" i="2"/>
  <c r="T34" i="42" l="1"/>
  <c r="V34" i="42" s="1"/>
  <c r="T33" i="2" l="1"/>
  <c r="S32" i="1" l="1"/>
  <c r="U32" i="1" s="1"/>
  <c r="V33" i="2"/>
  <c r="T33" i="42" l="1"/>
  <c r="T53" i="42" s="1"/>
  <c r="V53" i="42" s="1"/>
  <c r="V33" i="42" l="1"/>
  <c r="E26" i="1" l="1"/>
  <c r="J26" i="1" l="1"/>
  <c r="G26" i="1"/>
  <c r="E32" i="1"/>
  <c r="T28" i="2"/>
  <c r="AB17" i="1" l="1"/>
  <c r="AD17" i="1" s="1"/>
  <c r="G32" i="1"/>
  <c r="T28" i="42"/>
  <c r="V28" i="2"/>
  <c r="L26" i="1"/>
  <c r="J32" i="1"/>
  <c r="V28" i="42" l="1"/>
  <c r="T51" i="42"/>
  <c r="V51" i="42" s="1"/>
  <c r="AG17" i="1"/>
  <c r="AI17" i="1" s="1"/>
  <c r="L32" i="1"/>
  <c r="T30" i="2" l="1"/>
  <c r="T30" i="42" l="1"/>
  <c r="V30" i="42" s="1"/>
  <c r="V30" i="2"/>
  <c r="T31" i="2" l="1"/>
  <c r="T31" i="42" l="1"/>
  <c r="V31" i="42" s="1"/>
  <c r="V31" i="2"/>
  <c r="E17" i="1" l="1"/>
  <c r="G17" i="1" l="1"/>
  <c r="E22" i="1"/>
  <c r="G22" i="1" l="1"/>
  <c r="J17" i="1"/>
  <c r="L17" i="1" l="1"/>
  <c r="J22" i="1"/>
  <c r="L22" i="1" l="1"/>
  <c r="E27" i="1" l="1"/>
  <c r="T29" i="2"/>
  <c r="T29" i="42" l="1"/>
  <c r="T32" i="2"/>
  <c r="V29" i="2"/>
  <c r="J27" i="1"/>
  <c r="G27" i="1"/>
  <c r="E33" i="1"/>
  <c r="AB18" i="1" l="1"/>
  <c r="AD18" i="1" s="1"/>
  <c r="G33" i="1"/>
  <c r="L27" i="1"/>
  <c r="J33" i="1"/>
  <c r="T32" i="42"/>
  <c r="V29" i="42"/>
  <c r="AI20" i="41"/>
  <c r="V32" i="2"/>
  <c r="V32" i="42" l="1"/>
  <c r="T52" i="42"/>
  <c r="V52" i="42" s="1"/>
  <c r="AI20" i="43"/>
  <c r="AI22" i="41"/>
  <c r="AI21" i="41"/>
  <c r="AG18" i="1"/>
  <c r="AI18" i="1" s="1"/>
  <c r="L33" i="1"/>
  <c r="AI21" i="43" l="1"/>
  <c r="AI22" i="43"/>
  <c r="T38" i="2" l="1"/>
  <c r="T38" i="42" l="1"/>
  <c r="V38" i="42" s="1"/>
  <c r="V38" i="2"/>
  <c r="O23" i="2" l="1"/>
  <c r="J23" i="2" l="1"/>
  <c r="O23" i="42"/>
  <c r="Q23" i="42" s="1"/>
  <c r="Q23" i="2"/>
  <c r="J23" i="42" l="1"/>
  <c r="L23" i="2"/>
  <c r="L23" i="42" l="1"/>
  <c r="G23" i="42"/>
  <c r="T23" i="2"/>
  <c r="V23" i="2" l="1"/>
  <c r="T23" i="42" l="1"/>
  <c r="V23" i="42" l="1"/>
  <c r="F23" i="42"/>
  <c r="O16" i="2"/>
  <c r="O14" i="2"/>
  <c r="O12" i="2"/>
  <c r="O12" i="42" l="1"/>
  <c r="Q12" i="42" s="1"/>
  <c r="Q12" i="2"/>
  <c r="O16" i="42"/>
  <c r="Q16" i="42" s="1"/>
  <c r="Q16" i="2"/>
  <c r="O14" i="42"/>
  <c r="Q14" i="42" s="1"/>
  <c r="Q14" i="2"/>
  <c r="J14" i="2"/>
  <c r="J12" i="2"/>
  <c r="J16" i="2"/>
  <c r="L14" i="2" l="1"/>
  <c r="J16" i="42"/>
  <c r="L16" i="2"/>
  <c r="J12" i="42"/>
  <c r="L12" i="2"/>
  <c r="L12" i="42" l="1"/>
  <c r="G12" i="42"/>
  <c r="L16" i="42"/>
  <c r="G16" i="42"/>
  <c r="J14" i="42"/>
  <c r="L14" i="42" l="1"/>
  <c r="G14" i="42"/>
  <c r="T14" i="2"/>
  <c r="T16" i="2"/>
  <c r="V16" i="2" l="1"/>
  <c r="T14" i="42"/>
  <c r="V14" i="2"/>
  <c r="V14" i="42" l="1"/>
  <c r="F14" i="42"/>
  <c r="T16" i="42"/>
  <c r="V16" i="42" l="1"/>
  <c r="F16" i="42"/>
  <c r="O20" i="2"/>
  <c r="J20" i="2" l="1"/>
  <c r="O20" i="42"/>
  <c r="Q20" i="42" s="1"/>
  <c r="Q20" i="2"/>
  <c r="L20" i="2" l="1"/>
  <c r="J20" i="42" l="1"/>
  <c r="L20" i="42" l="1"/>
  <c r="G20" i="42"/>
  <c r="T20" i="2"/>
  <c r="T20" i="42" l="1"/>
  <c r="V20" i="2"/>
  <c r="V20" i="42" l="1"/>
  <c r="F20" i="42"/>
  <c r="O8" i="2"/>
  <c r="O8" i="42" l="1"/>
  <c r="Q8" i="42" s="1"/>
  <c r="Q8" i="2"/>
  <c r="J8" i="2"/>
  <c r="J8" i="42" l="1"/>
  <c r="L8" i="2"/>
  <c r="L8" i="42" l="1"/>
  <c r="G8" i="42"/>
  <c r="O22" i="2"/>
  <c r="Q22" i="2" l="1"/>
  <c r="J22" i="2"/>
  <c r="L22" i="2" l="1"/>
  <c r="O22" i="42"/>
  <c r="Q22" i="42" s="1"/>
  <c r="J22" i="42" l="1"/>
  <c r="L22" i="42" l="1"/>
  <c r="G22" i="42"/>
  <c r="O18" i="2"/>
  <c r="Q18" i="2" l="1"/>
  <c r="J18" i="2"/>
  <c r="L18" i="2" l="1"/>
  <c r="O18" i="42"/>
  <c r="Q18" i="42" s="1"/>
  <c r="J18" i="42" l="1"/>
  <c r="L18" i="42" l="1"/>
  <c r="G18" i="42"/>
  <c r="O15" i="2"/>
  <c r="J15" i="2" l="1"/>
  <c r="O15" i="42"/>
  <c r="Q15" i="42" s="1"/>
  <c r="Q15" i="2"/>
  <c r="J15" i="42" l="1"/>
  <c r="L15" i="2"/>
  <c r="L15" i="42" l="1"/>
  <c r="G15" i="42"/>
  <c r="O7" i="2"/>
  <c r="J7" i="2"/>
  <c r="J7" i="42" l="1"/>
  <c r="G7" i="42" s="1"/>
  <c r="L7" i="2"/>
  <c r="O7" i="42"/>
  <c r="Q7" i="2"/>
  <c r="Q7" i="42" l="1"/>
  <c r="L7" i="42"/>
  <c r="O19" i="2" l="1"/>
  <c r="Q19" i="2" l="1"/>
  <c r="J19" i="2"/>
  <c r="J19" i="42" l="1"/>
  <c r="G19" i="42" s="1"/>
  <c r="L19" i="2"/>
  <c r="O19" i="42"/>
  <c r="L19" i="42" l="1"/>
  <c r="Q19" i="42"/>
  <c r="O11" i="2" l="1"/>
  <c r="J11" i="2" l="1"/>
  <c r="O11" i="42"/>
  <c r="Q11" i="2"/>
  <c r="Q11" i="42" l="1"/>
  <c r="J11" i="42"/>
  <c r="G11" i="42" s="1"/>
  <c r="L11" i="2"/>
  <c r="L11" i="42" l="1"/>
  <c r="O17" i="2" l="1"/>
  <c r="J17" i="2" l="1"/>
  <c r="O17" i="42"/>
  <c r="Q17" i="42" s="1"/>
  <c r="Q17" i="2"/>
  <c r="J17" i="42" l="1"/>
  <c r="L17" i="2"/>
  <c r="L17" i="42" l="1"/>
  <c r="G17" i="42"/>
  <c r="O13" i="2"/>
  <c r="J13" i="2" l="1"/>
  <c r="O13" i="42"/>
  <c r="Q13" i="2"/>
  <c r="O25" i="2"/>
  <c r="Q25" i="2" s="1"/>
  <c r="L13" i="2" l="1"/>
  <c r="J25" i="2"/>
  <c r="L25" i="2" s="1"/>
  <c r="Q13" i="42"/>
  <c r="O25" i="42"/>
  <c r="Q25" i="42" s="1"/>
  <c r="J13" i="42" l="1"/>
  <c r="G13" i="42" s="1"/>
  <c r="L13" i="42" l="1"/>
  <c r="J25" i="42"/>
  <c r="L25" i="42" l="1"/>
  <c r="G25" i="42"/>
  <c r="O10" i="2"/>
  <c r="Q10" i="2" l="1"/>
  <c r="J10" i="2"/>
  <c r="L10" i="2" l="1"/>
  <c r="O10" i="42"/>
  <c r="Q10" i="42" s="1"/>
  <c r="J10" i="42" l="1"/>
  <c r="L10" i="42" l="1"/>
  <c r="G10" i="42"/>
  <c r="O21" i="2"/>
  <c r="J21" i="2" l="1"/>
  <c r="O21" i="42"/>
  <c r="Q21" i="2"/>
  <c r="O26" i="2"/>
  <c r="Q26" i="2" s="1"/>
  <c r="J21" i="42" l="1"/>
  <c r="G21" i="42" s="1"/>
  <c r="L21" i="2"/>
  <c r="J26" i="2"/>
  <c r="L26" i="2" s="1"/>
  <c r="Q21" i="42"/>
  <c r="O26" i="42"/>
  <c r="Q26" i="42" s="1"/>
  <c r="L21" i="42" l="1"/>
  <c r="J26" i="42"/>
  <c r="L26" i="42" l="1"/>
  <c r="G26" i="42"/>
  <c r="O9" i="2"/>
  <c r="J9" i="2"/>
  <c r="Q9" i="2" l="1"/>
  <c r="O24" i="2"/>
  <c r="J9" i="42"/>
  <c r="G9" i="42" s="1"/>
  <c r="L9" i="2"/>
  <c r="J24" i="2"/>
  <c r="J46" i="2" l="1"/>
  <c r="E7" i="1"/>
  <c r="A7" i="1" s="1"/>
  <c r="E10" i="1"/>
  <c r="J27" i="2"/>
  <c r="G27" i="2" s="1"/>
  <c r="L24" i="2"/>
  <c r="L9" i="42"/>
  <c r="J24" i="42"/>
  <c r="G24" i="42" s="1"/>
  <c r="O27" i="2"/>
  <c r="Q24" i="2"/>
  <c r="O9" i="42"/>
  <c r="O43" i="2" l="1"/>
  <c r="G43" i="2" s="1"/>
  <c r="Q27" i="2"/>
  <c r="O46" i="2"/>
  <c r="E13" i="1"/>
  <c r="E14" i="1" s="1"/>
  <c r="J27" i="42"/>
  <c r="G27" i="42" s="1"/>
  <c r="L24" i="42"/>
  <c r="L27" i="2"/>
  <c r="AB10" i="1"/>
  <c r="G10" i="1"/>
  <c r="Q9" i="42"/>
  <c r="O24" i="42"/>
  <c r="J7" i="1"/>
  <c r="B7" i="1" s="1"/>
  <c r="AB7" i="1"/>
  <c r="AD7" i="1" s="1"/>
  <c r="G7" i="1"/>
  <c r="J46" i="42"/>
  <c r="J47" i="2"/>
  <c r="G14" i="1" l="1"/>
  <c r="A14" i="1"/>
  <c r="AD10" i="1"/>
  <c r="J10" i="1"/>
  <c r="J13" i="1"/>
  <c r="AB13" i="1"/>
  <c r="AD13" i="1" s="1"/>
  <c r="G13" i="1"/>
  <c r="O47" i="2"/>
  <c r="AG7" i="1"/>
  <c r="AI7" i="1" s="1"/>
  <c r="L7" i="1"/>
  <c r="Q43" i="2"/>
  <c r="O46" i="42"/>
  <c r="J47" i="42"/>
  <c r="L27" i="42"/>
  <c r="O27" i="42"/>
  <c r="Q24" i="42"/>
  <c r="AG13" i="1" l="1"/>
  <c r="L13" i="1"/>
  <c r="AB14" i="1"/>
  <c r="AD14" i="1" s="1"/>
  <c r="O43" i="42"/>
  <c r="Q27" i="42"/>
  <c r="AG10" i="1"/>
  <c r="AI10" i="1" s="1"/>
  <c r="J14" i="1"/>
  <c r="L10" i="1"/>
  <c r="L14" i="1" l="1"/>
  <c r="B14" i="1"/>
  <c r="O47" i="42"/>
  <c r="Q43" i="42"/>
  <c r="G43" i="42"/>
  <c r="AG14" i="1"/>
  <c r="AI14" i="1" s="1"/>
  <c r="AI13" i="1"/>
  <c r="T7" i="2" l="1"/>
  <c r="V7" i="2" l="1"/>
  <c r="T7" i="42" l="1"/>
  <c r="F7" i="42" s="1"/>
  <c r="V7" i="42" l="1"/>
  <c r="T19" i="2" l="1"/>
  <c r="T19" i="42" l="1"/>
  <c r="F19" i="42" s="1"/>
  <c r="V19" i="2"/>
  <c r="V19" i="42" l="1"/>
  <c r="T8" i="2" l="1"/>
  <c r="V8" i="2" l="1"/>
  <c r="T8" i="42" l="1"/>
  <c r="F8" i="42" s="1"/>
  <c r="V8" i="42" l="1"/>
  <c r="T11" i="2" l="1"/>
  <c r="T11" i="42" l="1"/>
  <c r="F11" i="42" s="1"/>
  <c r="V11" i="2"/>
  <c r="V11" i="42" l="1"/>
  <c r="T17" i="2" l="1"/>
  <c r="V17" i="2" l="1"/>
  <c r="T17" i="42" l="1"/>
  <c r="V17" i="42" l="1"/>
  <c r="F17" i="42"/>
  <c r="T12" i="2"/>
  <c r="V12" i="2" l="1"/>
  <c r="T12" i="42" l="1"/>
  <c r="F12" i="42" s="1"/>
  <c r="V12" i="42" l="1"/>
  <c r="T10" i="2" l="1"/>
  <c r="V10" i="2" l="1"/>
  <c r="T10" i="42" l="1"/>
  <c r="V10" i="42" l="1"/>
  <c r="F10" i="42"/>
  <c r="T13" i="2"/>
  <c r="T13" i="42" l="1"/>
  <c r="F13" i="42" s="1"/>
  <c r="V13" i="2"/>
  <c r="V13" i="42" l="1"/>
  <c r="T21" i="2" l="1"/>
  <c r="T21" i="42" l="1"/>
  <c r="F21" i="42" s="1"/>
  <c r="V21" i="2"/>
  <c r="V21" i="42" l="1"/>
  <c r="T18" i="2" l="1"/>
  <c r="T18" i="42" l="1"/>
  <c r="V18" i="2"/>
  <c r="V18" i="42" l="1"/>
  <c r="F18" i="42"/>
  <c r="T22" i="2"/>
  <c r="V22" i="2" l="1"/>
  <c r="T26" i="2"/>
  <c r="V26" i="2" s="1"/>
  <c r="T22" i="42" l="1"/>
  <c r="F22" i="42" s="1"/>
  <c r="V22" i="42" l="1"/>
  <c r="T26" i="42"/>
  <c r="V26" i="42" l="1"/>
  <c r="F26" i="42"/>
  <c r="T15" i="2"/>
  <c r="V15" i="2" l="1"/>
  <c r="T25" i="2"/>
  <c r="V25" i="2" s="1"/>
  <c r="T15" i="42" l="1"/>
  <c r="F15" i="42" s="1"/>
  <c r="V15" i="42" l="1"/>
  <c r="T25" i="42"/>
  <c r="V25" i="42" l="1"/>
  <c r="F25" i="42"/>
  <c r="E25" i="1"/>
  <c r="J25" i="1" l="1"/>
  <c r="G25" i="1"/>
  <c r="L25" i="1" l="1"/>
  <c r="T9" i="2" l="1"/>
  <c r="E15" i="1" l="1"/>
  <c r="V9" i="2"/>
  <c r="T24" i="2"/>
  <c r="T27" i="2" l="1"/>
  <c r="V24" i="2"/>
  <c r="T9" i="42"/>
  <c r="F9" i="42" s="1"/>
  <c r="E18" i="1"/>
  <c r="G15" i="1"/>
  <c r="E20" i="1"/>
  <c r="V9" i="42" l="1"/>
  <c r="T24" i="42"/>
  <c r="F24" i="42" s="1"/>
  <c r="V27" i="2"/>
  <c r="J18" i="1"/>
  <c r="G18" i="1"/>
  <c r="E23" i="1"/>
  <c r="E30" i="1"/>
  <c r="G20" i="1"/>
  <c r="E19" i="1"/>
  <c r="G19" i="1" s="1"/>
  <c r="J15" i="1"/>
  <c r="G23" i="1" l="1"/>
  <c r="L18" i="1"/>
  <c r="J23" i="1"/>
  <c r="J19" i="1"/>
  <c r="L19" i="1" s="1"/>
  <c r="L15" i="1"/>
  <c r="J20" i="1"/>
  <c r="T27" i="42"/>
  <c r="V24" i="42"/>
  <c r="AB15" i="1"/>
  <c r="E31" i="1"/>
  <c r="G30" i="1"/>
  <c r="E24" i="1"/>
  <c r="G24" i="1" s="1"/>
  <c r="F27" i="42" l="1"/>
  <c r="V27" i="42"/>
  <c r="L23" i="1"/>
  <c r="AB16" i="1"/>
  <c r="AD16" i="1" s="1"/>
  <c r="G31" i="1"/>
  <c r="AD15" i="1"/>
  <c r="J30" i="1"/>
  <c r="J24" i="1"/>
  <c r="L24" i="1" s="1"/>
  <c r="L20" i="1"/>
  <c r="AG15" i="1" l="1"/>
  <c r="AI15" i="1" s="1"/>
  <c r="J31" i="1"/>
  <c r="L30" i="1"/>
  <c r="AG16" i="1" l="1"/>
  <c r="AI16" i="1" s="1"/>
  <c r="L31" i="1"/>
  <c r="T35" i="2" l="1"/>
  <c r="T35" i="42" l="1"/>
  <c r="T50" i="42" s="1"/>
  <c r="V50" i="42" s="1"/>
  <c r="S34" i="1"/>
  <c r="U34" i="1" s="1"/>
  <c r="V35" i="2"/>
  <c r="V35" i="42" l="1"/>
  <c r="E28" i="1"/>
  <c r="J28" i="1" l="1"/>
  <c r="G28" i="1"/>
  <c r="E29" i="1"/>
  <c r="G29" i="1" s="1"/>
  <c r="E34" i="1"/>
  <c r="E38" i="1"/>
  <c r="T39" i="2"/>
  <c r="T46" i="2"/>
  <c r="T46" i="42" l="1"/>
  <c r="T54" i="42" s="1"/>
  <c r="V54" i="42" s="1"/>
  <c r="L28" i="1"/>
  <c r="J29" i="1"/>
  <c r="L29" i="1" s="1"/>
  <c r="J34" i="1"/>
  <c r="V39" i="2"/>
  <c r="T41" i="2"/>
  <c r="J38" i="1"/>
  <c r="T39" i="42"/>
  <c r="AB19" i="1"/>
  <c r="G34" i="1"/>
  <c r="E35" i="1"/>
  <c r="V39" i="42" l="1"/>
  <c r="T41" i="42"/>
  <c r="AD19" i="1"/>
  <c r="AB20" i="1"/>
  <c r="AD20" i="1" s="1"/>
  <c r="S36" i="1"/>
  <c r="V41" i="2"/>
  <c r="T43" i="2"/>
  <c r="G44" i="2" s="1"/>
  <c r="J35" i="1"/>
  <c r="AG19" i="1"/>
  <c r="L34" i="1"/>
  <c r="E40" i="1"/>
  <c r="E36" i="1"/>
  <c r="E39" i="1"/>
  <c r="G35" i="1"/>
  <c r="AB21" i="1" l="1"/>
  <c r="G36" i="1"/>
  <c r="AD21" i="1" s="1"/>
  <c r="AG20" i="1"/>
  <c r="AI20" i="1" s="1"/>
  <c r="AI19" i="1"/>
  <c r="T44" i="2"/>
  <c r="V43" i="2"/>
  <c r="T47" i="2"/>
  <c r="S35" i="1"/>
  <c r="U35" i="1" s="1"/>
  <c r="U36" i="1"/>
  <c r="V41" i="42"/>
  <c r="T43" i="42"/>
  <c r="J36" i="1"/>
  <c r="J40" i="1"/>
  <c r="J39" i="1"/>
  <c r="L35" i="1"/>
  <c r="AG21" i="1" l="1"/>
  <c r="L36" i="1"/>
  <c r="AI21" i="1" s="1"/>
  <c r="T44" i="42"/>
  <c r="V43" i="42"/>
  <c r="G44" i="42"/>
  <c r="T47" i="42"/>
  <c r="AC18" i="41" l="1"/>
  <c r="AC25" i="41" l="1"/>
  <c r="AC8" i="41"/>
  <c r="AC13" i="41"/>
  <c r="AC22" i="41"/>
  <c r="AC35" i="41"/>
  <c r="AC36" i="41"/>
  <c r="AC37" i="41"/>
  <c r="AC38" i="41"/>
  <c r="AC39" i="41"/>
  <c r="AC18" i="43"/>
  <c r="AD18" i="41"/>
  <c r="AC21" i="41"/>
  <c r="AC38" i="43" l="1"/>
  <c r="AC30" i="41"/>
  <c r="AD30" i="41" s="1"/>
  <c r="AF38" i="41"/>
  <c r="AG38" i="41" s="1"/>
  <c r="AD18" i="43"/>
  <c r="AC37" i="43"/>
  <c r="AC29" i="41"/>
  <c r="AD29" i="41" s="1"/>
  <c r="AF37" i="41"/>
  <c r="AG37" i="41" s="1"/>
  <c r="AC15" i="41"/>
  <c r="AC36" i="43"/>
  <c r="AC28" i="41"/>
  <c r="AD28" i="41" s="1"/>
  <c r="AF36" i="41"/>
  <c r="AG36" i="41" s="1"/>
  <c r="AC35" i="43"/>
  <c r="AC27" i="41"/>
  <c r="AD27" i="41" s="1"/>
  <c r="AC41" i="41"/>
  <c r="AF35" i="41"/>
  <c r="AG35" i="41" s="1"/>
  <c r="AC22" i="43"/>
  <c r="AD22" i="43" s="1"/>
  <c r="AD22" i="41"/>
  <c r="AC10" i="41"/>
  <c r="AC12" i="41" s="1"/>
  <c r="AC13" i="43"/>
  <c r="AC14" i="41"/>
  <c r="AD14" i="41" s="1"/>
  <c r="AD13" i="41"/>
  <c r="AC39" i="43"/>
  <c r="AC31" i="41"/>
  <c r="AD31" i="41" s="1"/>
  <c r="AF39" i="41"/>
  <c r="AG39" i="41" s="1"/>
  <c r="AC8" i="43"/>
  <c r="AD8" i="41"/>
  <c r="AC21" i="43"/>
  <c r="AD21" i="43" s="1"/>
  <c r="AD21" i="41"/>
  <c r="AC25" i="43"/>
  <c r="AD25" i="43" s="1"/>
  <c r="AD25" i="41"/>
  <c r="AD12" i="41" l="1"/>
  <c r="AC9" i="41"/>
  <c r="AD9" i="41" s="1"/>
  <c r="AC42" i="41"/>
  <c r="AF41" i="41"/>
  <c r="AG41" i="41" s="1"/>
  <c r="AC27" i="43"/>
  <c r="AD27" i="43" s="1"/>
  <c r="AC41" i="43"/>
  <c r="AF35" i="43"/>
  <c r="AG35" i="43" s="1"/>
  <c r="AC28" i="43"/>
  <c r="AD28" i="43" s="1"/>
  <c r="AF36" i="43"/>
  <c r="AG36" i="43" s="1"/>
  <c r="AC15" i="43"/>
  <c r="AC17" i="43" s="1"/>
  <c r="AD17" i="43" s="1"/>
  <c r="AD15" i="41"/>
  <c r="AC16" i="41"/>
  <c r="AD16" i="41" s="1"/>
  <c r="AC29" i="43"/>
  <c r="AD29" i="43" s="1"/>
  <c r="AF37" i="43"/>
  <c r="AG37" i="43" s="1"/>
  <c r="AC17" i="41"/>
  <c r="AD17" i="41" s="1"/>
  <c r="AC31" i="43"/>
  <c r="AD31" i="43" s="1"/>
  <c r="AF39" i="43"/>
  <c r="AG39" i="43" s="1"/>
  <c r="AC12" i="43"/>
  <c r="AC9" i="43" s="1"/>
  <c r="AD9" i="43" s="1"/>
  <c r="AD8" i="43"/>
  <c r="AC14" i="43"/>
  <c r="AD14" i="43" s="1"/>
  <c r="AD13" i="43"/>
  <c r="AC10" i="43"/>
  <c r="AD10" i="43" s="1"/>
  <c r="AD10" i="41"/>
  <c r="AC11" i="41"/>
  <c r="AD11" i="41" s="1"/>
  <c r="AC30" i="43"/>
  <c r="AD30" i="43" s="1"/>
  <c r="AF38" i="43"/>
  <c r="AG38" i="43" s="1"/>
  <c r="AC16" i="43" l="1"/>
  <c r="AD16" i="43" s="1"/>
  <c r="AD15" i="43"/>
  <c r="AC42" i="43"/>
  <c r="AF41" i="43"/>
  <c r="AG41" i="43" s="1"/>
  <c r="AC11" i="43"/>
  <c r="AD11" i="43" s="1"/>
  <c r="AD12" i="43"/>
  <c r="AC19" i="41" l="1"/>
  <c r="AC19" i="43" l="1"/>
  <c r="AD19" i="41"/>
  <c r="AC20" i="41"/>
  <c r="AD20" i="41" s="1"/>
  <c r="AD19" i="43" l="1"/>
  <c r="AC20" i="43"/>
  <c r="AD20" i="43" s="1"/>
  <c r="W13" i="41" l="1"/>
  <c r="T13" i="41"/>
  <c r="W15" i="41"/>
  <c r="T15" i="41"/>
  <c r="W26" i="41"/>
  <c r="T26" i="41"/>
  <c r="W25" i="41"/>
  <c r="T25" i="41"/>
  <c r="W24" i="41"/>
  <c r="T24" i="41"/>
  <c r="W23" i="41"/>
  <c r="T23" i="41"/>
  <c r="W22" i="41"/>
  <c r="T22" i="41"/>
  <c r="W21" i="41"/>
  <c r="T21" i="41"/>
  <c r="W10" i="41"/>
  <c r="T10" i="41"/>
  <c r="X15" i="41" l="1"/>
  <c r="W16" i="41"/>
  <c r="X16" i="41" s="1"/>
  <c r="W15" i="43"/>
  <c r="U21" i="41"/>
  <c r="T27" i="41"/>
  <c r="U27" i="41" s="1"/>
  <c r="T21" i="43"/>
  <c r="Z21" i="41"/>
  <c r="T15" i="43"/>
  <c r="Z15" i="41"/>
  <c r="T16" i="41"/>
  <c r="U16" i="41" s="1"/>
  <c r="U15" i="41"/>
  <c r="T23" i="43"/>
  <c r="T29" i="41"/>
  <c r="U29" i="41" s="1"/>
  <c r="Z23" i="41"/>
  <c r="U23" i="41"/>
  <c r="W13" i="43"/>
  <c r="W17" i="41"/>
  <c r="X17" i="41" s="1"/>
  <c r="X13" i="41"/>
  <c r="W42" i="41"/>
  <c r="T24" i="43"/>
  <c r="T30" i="41"/>
  <c r="U30" i="41" s="1"/>
  <c r="Z24" i="41"/>
  <c r="U24" i="41"/>
  <c r="X21" i="41"/>
  <c r="W27" i="41"/>
  <c r="X27" i="41" s="1"/>
  <c r="W21" i="43"/>
  <c r="W24" i="43"/>
  <c r="X24" i="41"/>
  <c r="W30" i="41"/>
  <c r="X30" i="41" s="1"/>
  <c r="W29" i="41"/>
  <c r="X29" i="41" s="1"/>
  <c r="W23" i="43"/>
  <c r="X23" i="41"/>
  <c r="U22" i="41"/>
  <c r="Z22" i="41"/>
  <c r="T28" i="41"/>
  <c r="U28" i="41" s="1"/>
  <c r="T22" i="43"/>
  <c r="Z25" i="41"/>
  <c r="T31" i="41"/>
  <c r="U31" i="41" s="1"/>
  <c r="U25" i="41"/>
  <c r="T25" i="43"/>
  <c r="X22" i="41"/>
  <c r="W22" i="43"/>
  <c r="W28" i="41"/>
  <c r="X28" i="41" s="1"/>
  <c r="X25" i="41"/>
  <c r="W25" i="43"/>
  <c r="W31" i="41"/>
  <c r="X31" i="41" s="1"/>
  <c r="T42" i="41"/>
  <c r="T13" i="43"/>
  <c r="T17" i="41"/>
  <c r="U17" i="41" s="1"/>
  <c r="Z13" i="41"/>
  <c r="U13" i="41"/>
  <c r="T32" i="41"/>
  <c r="U32" i="41" s="1"/>
  <c r="U26" i="41"/>
  <c r="Z26" i="41"/>
  <c r="T26" i="43"/>
  <c r="W26" i="43"/>
  <c r="W32" i="41"/>
  <c r="X32" i="41" s="1"/>
  <c r="X26" i="41"/>
  <c r="W10" i="43"/>
  <c r="X10" i="41"/>
  <c r="Z10" i="41"/>
  <c r="T10" i="43"/>
  <c r="U10" i="41"/>
  <c r="Z28" i="41" l="1"/>
  <c r="AA28" i="41" s="1"/>
  <c r="AA22" i="41"/>
  <c r="X13" i="43"/>
  <c r="W17" i="43"/>
  <c r="X17" i="43" s="1"/>
  <c r="W42" i="43"/>
  <c r="Z29" i="41"/>
  <c r="AA29" i="41" s="1"/>
  <c r="AA23" i="41"/>
  <c r="Z42" i="41"/>
  <c r="AA13" i="41"/>
  <c r="Z17" i="41"/>
  <c r="AA17" i="41" s="1"/>
  <c r="AA25" i="41"/>
  <c r="Z31" i="41"/>
  <c r="AA31" i="41" s="1"/>
  <c r="Z32" i="41"/>
  <c r="AA32" i="41" s="1"/>
  <c r="AA26" i="41"/>
  <c r="U13" i="43"/>
  <c r="T17" i="43"/>
  <c r="U17" i="43" s="1"/>
  <c r="Z13" i="43"/>
  <c r="T42" i="43"/>
  <c r="AA15" i="41"/>
  <c r="Z16" i="41"/>
  <c r="AA16" i="41" s="1"/>
  <c r="T29" i="43"/>
  <c r="U29" i="43" s="1"/>
  <c r="U23" i="43"/>
  <c r="Z23" i="43"/>
  <c r="W30" i="43"/>
  <c r="X30" i="43" s="1"/>
  <c r="X24" i="43"/>
  <c r="U15" i="43"/>
  <c r="T16" i="43"/>
  <c r="U16" i="43" s="1"/>
  <c r="Z15" i="43"/>
  <c r="Z26" i="43"/>
  <c r="T32" i="43"/>
  <c r="U32" i="43" s="1"/>
  <c r="U26" i="43"/>
  <c r="W27" i="43"/>
  <c r="X27" i="43" s="1"/>
  <c r="X21" i="43"/>
  <c r="AA21" i="41"/>
  <c r="Z27" i="41"/>
  <c r="AA27" i="41" s="1"/>
  <c r="Z21" i="43"/>
  <c r="T27" i="43"/>
  <c r="U27" i="43" s="1"/>
  <c r="U21" i="43"/>
  <c r="W29" i="43"/>
  <c r="X29" i="43" s="1"/>
  <c r="X23" i="43"/>
  <c r="T28" i="43"/>
  <c r="U28" i="43" s="1"/>
  <c r="Z22" i="43"/>
  <c r="U22" i="43"/>
  <c r="X22" i="43"/>
  <c r="W28" i="43"/>
  <c r="X28" i="43" s="1"/>
  <c r="AA24" i="41"/>
  <c r="Z30" i="41"/>
  <c r="AA30" i="41" s="1"/>
  <c r="W16" i="43"/>
  <c r="X16" i="43" s="1"/>
  <c r="X15" i="43"/>
  <c r="W32" i="43"/>
  <c r="X32" i="43" s="1"/>
  <c r="X26" i="43"/>
  <c r="Z10" i="43"/>
  <c r="U10" i="43"/>
  <c r="X25" i="43"/>
  <c r="W31" i="43"/>
  <c r="X31" i="43" s="1"/>
  <c r="AA10" i="41"/>
  <c r="X10" i="43"/>
  <c r="Z25" i="43"/>
  <c r="T31" i="43"/>
  <c r="U31" i="43" s="1"/>
  <c r="U25" i="43"/>
  <c r="Z24" i="43"/>
  <c r="T30" i="43"/>
  <c r="U30" i="43" s="1"/>
  <c r="U24" i="43"/>
  <c r="AA15" i="43" l="1"/>
  <c r="Z16" i="43"/>
  <c r="AA16" i="43" s="1"/>
  <c r="Z17" i="43"/>
  <c r="AA17" i="43" s="1"/>
  <c r="Z42" i="43"/>
  <c r="AA13" i="43"/>
  <c r="AA10" i="43"/>
  <c r="Z29" i="43"/>
  <c r="AA29" i="43" s="1"/>
  <c r="AA23" i="43"/>
  <c r="AA22" i="43"/>
  <c r="Z28" i="43"/>
  <c r="AA28" i="43" s="1"/>
  <c r="AA26" i="43"/>
  <c r="Z32" i="43"/>
  <c r="AA32" i="43" s="1"/>
  <c r="Z31" i="43"/>
  <c r="AA31" i="43" s="1"/>
  <c r="AA25" i="43"/>
  <c r="Z30" i="43"/>
  <c r="AA30" i="43" s="1"/>
  <c r="AA24" i="43"/>
  <c r="Z27" i="43"/>
  <c r="AA27" i="43" s="1"/>
  <c r="AA21" i="43"/>
  <c r="K13" i="41" l="1"/>
  <c r="H13" i="41"/>
  <c r="K15" i="41"/>
  <c r="H15" i="41"/>
  <c r="K26" i="41"/>
  <c r="H26" i="41"/>
  <c r="K25" i="41"/>
  <c r="H25" i="41"/>
  <c r="K24" i="41"/>
  <c r="H24" i="41"/>
  <c r="K23" i="41"/>
  <c r="H23" i="41"/>
  <c r="K22" i="41"/>
  <c r="H22" i="41"/>
  <c r="K21" i="41"/>
  <c r="H21" i="41"/>
  <c r="K10" i="41"/>
  <c r="H10" i="41"/>
  <c r="H24" i="43" l="1"/>
  <c r="H30" i="41"/>
  <c r="I30" i="41" s="1"/>
  <c r="I24" i="41"/>
  <c r="Q24" i="41"/>
  <c r="K30" i="41"/>
  <c r="L30" i="41" s="1"/>
  <c r="L24" i="41"/>
  <c r="K24" i="43"/>
  <c r="K23" i="43"/>
  <c r="K29" i="41"/>
  <c r="L29" i="41" s="1"/>
  <c r="L23" i="41"/>
  <c r="H31" i="41"/>
  <c r="I31" i="41" s="1"/>
  <c r="Q25" i="41"/>
  <c r="H25" i="43"/>
  <c r="I25" i="41"/>
  <c r="K25" i="43"/>
  <c r="K31" i="41"/>
  <c r="L31" i="41" s="1"/>
  <c r="L25" i="41"/>
  <c r="K22" i="43"/>
  <c r="K28" i="41"/>
  <c r="L28" i="41" s="1"/>
  <c r="L22" i="41"/>
  <c r="Q26" i="41"/>
  <c r="H32" i="41"/>
  <c r="I32" i="41" s="1"/>
  <c r="I26" i="41"/>
  <c r="H26" i="43"/>
  <c r="L26" i="41"/>
  <c r="K26" i="43"/>
  <c r="K32" i="41"/>
  <c r="L32" i="41" s="1"/>
  <c r="Q23" i="41"/>
  <c r="H23" i="43"/>
  <c r="I23" i="41"/>
  <c r="H29" i="41"/>
  <c r="I29" i="41" s="1"/>
  <c r="I10" i="41"/>
  <c r="H10" i="43"/>
  <c r="Q10" i="41"/>
  <c r="K17" i="41"/>
  <c r="L17" i="41" s="1"/>
  <c r="L13" i="41"/>
  <c r="K42" i="41"/>
  <c r="K13" i="43"/>
  <c r="L10" i="41"/>
  <c r="K10" i="43"/>
  <c r="I21" i="41"/>
  <c r="H21" i="43"/>
  <c r="Q21" i="41"/>
  <c r="H27" i="41"/>
  <c r="I27" i="41" s="1"/>
  <c r="L21" i="41"/>
  <c r="K21" i="43"/>
  <c r="K27" i="41"/>
  <c r="L27" i="41" s="1"/>
  <c r="H13" i="43"/>
  <c r="I13" i="41"/>
  <c r="H42" i="41"/>
  <c r="Q13" i="41"/>
  <c r="H17" i="41"/>
  <c r="I17" i="41" s="1"/>
  <c r="Q15" i="41"/>
  <c r="I15" i="41"/>
  <c r="H15" i="43"/>
  <c r="H16" i="41"/>
  <c r="I16" i="41" s="1"/>
  <c r="Q22" i="41"/>
  <c r="I22" i="41"/>
  <c r="H22" i="43"/>
  <c r="H28" i="41"/>
  <c r="I28" i="41" s="1"/>
  <c r="L15" i="41"/>
  <c r="K15" i="43"/>
  <c r="K16" i="41"/>
  <c r="L16" i="41" s="1"/>
  <c r="K42" i="43" l="1"/>
  <c r="L13" i="43"/>
  <c r="K17" i="43"/>
  <c r="L17" i="43" s="1"/>
  <c r="Q17" i="41"/>
  <c r="R17" i="41" s="1"/>
  <c r="R13" i="41"/>
  <c r="AF13" i="41"/>
  <c r="Q42" i="41"/>
  <c r="AF10" i="41"/>
  <c r="R10" i="41"/>
  <c r="Q31" i="41"/>
  <c r="R31" i="41" s="1"/>
  <c r="R25" i="41"/>
  <c r="AF25" i="41"/>
  <c r="H42" i="43"/>
  <c r="I13" i="43"/>
  <c r="Q13" i="43"/>
  <c r="H17" i="43"/>
  <c r="I17" i="43" s="1"/>
  <c r="Q15" i="43"/>
  <c r="H16" i="43"/>
  <c r="I16" i="43" s="1"/>
  <c r="I15" i="43"/>
  <c r="L21" i="43"/>
  <c r="K27" i="43"/>
  <c r="L27" i="43" s="1"/>
  <c r="Q23" i="43"/>
  <c r="H29" i="43"/>
  <c r="I29" i="43" s="1"/>
  <c r="I23" i="43"/>
  <c r="AF23" i="41"/>
  <c r="Q29" i="41"/>
  <c r="R29" i="41" s="1"/>
  <c r="R23" i="41"/>
  <c r="K29" i="43"/>
  <c r="L29" i="43" s="1"/>
  <c r="L23" i="43"/>
  <c r="AF15" i="41"/>
  <c r="Q16" i="41"/>
  <c r="R16" i="41" s="1"/>
  <c r="R15" i="41"/>
  <c r="Q25" i="43"/>
  <c r="H31" i="43"/>
  <c r="I31" i="43" s="1"/>
  <c r="I25" i="43"/>
  <c r="L24" i="43"/>
  <c r="K30" i="43"/>
  <c r="L30" i="43" s="1"/>
  <c r="I10" i="43"/>
  <c r="Q10" i="43"/>
  <c r="L15" i="43"/>
  <c r="K16" i="43"/>
  <c r="L16" i="43" s="1"/>
  <c r="R21" i="41"/>
  <c r="AF21" i="41"/>
  <c r="Q27" i="41"/>
  <c r="R27" i="41" s="1"/>
  <c r="K32" i="43"/>
  <c r="L32" i="43" s="1"/>
  <c r="L26" i="43"/>
  <c r="L22" i="43"/>
  <c r="K28" i="43"/>
  <c r="L28" i="43" s="1"/>
  <c r="L25" i="43"/>
  <c r="K31" i="43"/>
  <c r="L31" i="43" s="1"/>
  <c r="H27" i="43"/>
  <c r="I27" i="43" s="1"/>
  <c r="Q21" i="43"/>
  <c r="I21" i="43"/>
  <c r="I26" i="43"/>
  <c r="H32" i="43"/>
  <c r="I32" i="43" s="1"/>
  <c r="Q26" i="43"/>
  <c r="Q30" i="41"/>
  <c r="R30" i="41" s="1"/>
  <c r="R24" i="41"/>
  <c r="AF24" i="41"/>
  <c r="Q22" i="43"/>
  <c r="H28" i="43"/>
  <c r="I28" i="43" s="1"/>
  <c r="I22" i="43"/>
  <c r="L10" i="43"/>
  <c r="AF22" i="41"/>
  <c r="Q28" i="41"/>
  <c r="R28" i="41" s="1"/>
  <c r="R22" i="41"/>
  <c r="Q32" i="41"/>
  <c r="R32" i="41" s="1"/>
  <c r="AF26" i="41"/>
  <c r="R26" i="41"/>
  <c r="Q24" i="43"/>
  <c r="H30" i="43"/>
  <c r="I30" i="43" s="1"/>
  <c r="I24" i="43"/>
  <c r="AG25" i="41" l="1"/>
  <c r="AF31" i="41"/>
  <c r="AG31" i="41" s="1"/>
  <c r="Q31" i="43"/>
  <c r="R31" i="43" s="1"/>
  <c r="R25" i="43"/>
  <c r="AF25" i="43"/>
  <c r="AG26" i="41"/>
  <c r="AF32" i="41"/>
  <c r="AG32" i="41" s="1"/>
  <c r="AG15" i="41"/>
  <c r="AF16" i="41"/>
  <c r="AG16" i="41" s="1"/>
  <c r="AG10" i="41"/>
  <c r="AG23" i="41"/>
  <c r="AF29" i="41"/>
  <c r="AG29" i="41" s="1"/>
  <c r="R24" i="43"/>
  <c r="AF24" i="43"/>
  <c r="Q30" i="43"/>
  <c r="R30" i="43" s="1"/>
  <c r="AF27" i="41"/>
  <c r="AG27" i="41" s="1"/>
  <c r="AG21" i="41"/>
  <c r="AF42" i="41"/>
  <c r="AG13" i="41"/>
  <c r="AF17" i="41"/>
  <c r="R23" i="43"/>
  <c r="AF23" i="43"/>
  <c r="Q29" i="43"/>
  <c r="R29" i="43" s="1"/>
  <c r="R21" i="43"/>
  <c r="AF21" i="43"/>
  <c r="Q27" i="43"/>
  <c r="R27" i="43" s="1"/>
  <c r="AG22" i="41"/>
  <c r="AF28" i="41"/>
  <c r="AG28" i="41" s="1"/>
  <c r="AF10" i="43"/>
  <c r="R10" i="43"/>
  <c r="AF13" i="43"/>
  <c r="R13" i="43"/>
  <c r="Q17" i="43"/>
  <c r="R17" i="43" s="1"/>
  <c r="Q42" i="43"/>
  <c r="AF22" i="43"/>
  <c r="R22" i="43"/>
  <c r="Q28" i="43"/>
  <c r="R28" i="43" s="1"/>
  <c r="AF30" i="41"/>
  <c r="AG30" i="41" s="1"/>
  <c r="AG24" i="41"/>
  <c r="Q32" i="43"/>
  <c r="R32" i="43" s="1"/>
  <c r="R26" i="43"/>
  <c r="AF26" i="43"/>
  <c r="Q16" i="43"/>
  <c r="R16" i="43" s="1"/>
  <c r="R15" i="43"/>
  <c r="AF15" i="43"/>
  <c r="AF30" i="43" l="1"/>
  <c r="AG30" i="43" s="1"/>
  <c r="AG24" i="43"/>
  <c r="AG25" i="43"/>
  <c r="AF31" i="43"/>
  <c r="AG31" i="43" s="1"/>
  <c r="AF17" i="43"/>
  <c r="AG13" i="43"/>
  <c r="AF42" i="43"/>
  <c r="AF29" i="43"/>
  <c r="AG29" i="43" s="1"/>
  <c r="AG23" i="43"/>
  <c r="AF16" i="43"/>
  <c r="AG16" i="43" s="1"/>
  <c r="AG15" i="43"/>
  <c r="AF28" i="43"/>
  <c r="AG28" i="43" s="1"/>
  <c r="AG22" i="43"/>
  <c r="AG10" i="43"/>
  <c r="AF27" i="43"/>
  <c r="AG27" i="43" s="1"/>
  <c r="AG21" i="43"/>
  <c r="AF32" i="43"/>
  <c r="AG32" i="43" s="1"/>
  <c r="AG26" i="43"/>
  <c r="AG17" i="41"/>
  <c r="AJ18" i="41"/>
  <c r="AG17" i="43" l="1"/>
  <c r="AJ18" i="43"/>
  <c r="S28" i="1" l="1"/>
  <c r="S27" i="1" l="1"/>
  <c r="S29" i="1" s="1"/>
  <c r="T8" i="41" l="1"/>
  <c r="W8" i="41"/>
  <c r="T8" i="43" l="1"/>
  <c r="Z8" i="41"/>
  <c r="T12" i="41"/>
  <c r="T9" i="41"/>
  <c r="U9" i="41" s="1"/>
  <c r="U8" i="41"/>
  <c r="T14" i="41"/>
  <c r="U14" i="41" s="1"/>
  <c r="W8" i="43"/>
  <c r="X8" i="41"/>
  <c r="W12" i="41"/>
  <c r="W9" i="41"/>
  <c r="X9" i="41" s="1"/>
  <c r="W14" i="41"/>
  <c r="X14" i="41" s="1"/>
  <c r="X12" i="41" l="1"/>
  <c r="W11" i="41"/>
  <c r="X11" i="41" s="1"/>
  <c r="W12" i="43"/>
  <c r="X8" i="43"/>
  <c r="W9" i="43"/>
  <c r="X9" i="43" s="1"/>
  <c r="W14" i="43"/>
  <c r="X14" i="43" s="1"/>
  <c r="U12" i="41"/>
  <c r="T11" i="41"/>
  <c r="U11" i="41" s="1"/>
  <c r="Z12" i="41"/>
  <c r="Z9" i="41" s="1"/>
  <c r="AA9" i="41" s="1"/>
  <c r="AA8" i="41"/>
  <c r="Z14" i="41"/>
  <c r="AA14" i="41" s="1"/>
  <c r="T12" i="43"/>
  <c r="T9" i="43"/>
  <c r="U9" i="43" s="1"/>
  <c r="Z8" i="43"/>
  <c r="U8" i="43"/>
  <c r="T14" i="43"/>
  <c r="U14" i="43" s="1"/>
  <c r="W18" i="41"/>
  <c r="U12" i="43" l="1"/>
  <c r="T11" i="43"/>
  <c r="U11" i="43" s="1"/>
  <c r="AA12" i="41"/>
  <c r="Z11" i="41"/>
  <c r="AA11" i="41" s="1"/>
  <c r="W18" i="43"/>
  <c r="X18" i="41"/>
  <c r="X12" i="43"/>
  <c r="W11" i="43"/>
  <c r="X11" i="43" s="1"/>
  <c r="Z12" i="43"/>
  <c r="AA8" i="43"/>
  <c r="Z9" i="43"/>
  <c r="AA9" i="43" s="1"/>
  <c r="Z14" i="43"/>
  <c r="AA14" i="43" s="1"/>
  <c r="T19" i="41"/>
  <c r="T18" i="41"/>
  <c r="W19" i="41"/>
  <c r="U19" i="41" l="1"/>
  <c r="T19" i="43"/>
  <c r="Z19" i="41"/>
  <c r="AA19" i="41" s="1"/>
  <c r="W20" i="41"/>
  <c r="X20" i="41" s="1"/>
  <c r="X19" i="41"/>
  <c r="W19" i="43"/>
  <c r="X19" i="43" s="1"/>
  <c r="AA12" i="43"/>
  <c r="Z11" i="43"/>
  <c r="AA11" i="43" s="1"/>
  <c r="X18" i="43"/>
  <c r="W20" i="43"/>
  <c r="X20" i="43" s="1"/>
  <c r="T18" i="43"/>
  <c r="U18" i="41"/>
  <c r="T20" i="41"/>
  <c r="U20" i="41" s="1"/>
  <c r="Z18" i="41"/>
  <c r="Z18" i="43" l="1"/>
  <c r="T20" i="43"/>
  <c r="U20" i="43" s="1"/>
  <c r="U18" i="43"/>
  <c r="Z20" i="41"/>
  <c r="AA20" i="41" s="1"/>
  <c r="AA18" i="41"/>
  <c r="Z19" i="43"/>
  <c r="AA19" i="43" s="1"/>
  <c r="U19" i="43"/>
  <c r="Z20" i="43" l="1"/>
  <c r="AA20" i="43" s="1"/>
  <c r="AA18" i="43"/>
  <c r="H8" i="41" l="1"/>
  <c r="K8" i="41"/>
  <c r="T28" i="1"/>
  <c r="K8" i="43" l="1"/>
  <c r="L8" i="41"/>
  <c r="K12" i="41"/>
  <c r="K9" i="41"/>
  <c r="L9" i="41" s="1"/>
  <c r="K14" i="41"/>
  <c r="L14" i="41" s="1"/>
  <c r="H8" i="43"/>
  <c r="I8" i="41"/>
  <c r="H12" i="41"/>
  <c r="Q8" i="41"/>
  <c r="H9" i="41"/>
  <c r="I9" i="41" s="1"/>
  <c r="H14" i="41"/>
  <c r="I14" i="41" s="1"/>
  <c r="W28" i="1"/>
  <c r="U28" i="1"/>
  <c r="T27" i="1"/>
  <c r="R8" i="41" l="1"/>
  <c r="Q12" i="41"/>
  <c r="Q9" i="41"/>
  <c r="R9" i="41" s="1"/>
  <c r="AF8" i="41"/>
  <c r="Q14" i="41"/>
  <c r="R14" i="41" s="1"/>
  <c r="I12" i="41"/>
  <c r="H11" i="41"/>
  <c r="I11" i="41" s="1"/>
  <c r="U27" i="1"/>
  <c r="T29" i="1"/>
  <c r="W27" i="1"/>
  <c r="Q8" i="43"/>
  <c r="H12" i="43"/>
  <c r="H9" i="43" s="1"/>
  <c r="I9" i="43" s="1"/>
  <c r="I8" i="43"/>
  <c r="H14" i="43"/>
  <c r="I14" i="43" s="1"/>
  <c r="L12" i="41"/>
  <c r="K11" i="41"/>
  <c r="L11" i="41" s="1"/>
  <c r="L8" i="43"/>
  <c r="K12" i="43"/>
  <c r="K9" i="43" s="1"/>
  <c r="L9" i="43" s="1"/>
  <c r="K14" i="43"/>
  <c r="L14" i="43" s="1"/>
  <c r="H19" i="41"/>
  <c r="H18" i="41"/>
  <c r="I19" i="41" l="1"/>
  <c r="H19" i="43"/>
  <c r="H18" i="43"/>
  <c r="I18" i="41"/>
  <c r="H20" i="41"/>
  <c r="I20" i="41" s="1"/>
  <c r="Q12" i="43"/>
  <c r="AF8" i="43"/>
  <c r="R8" i="43"/>
  <c r="Q9" i="43"/>
  <c r="R9" i="43" s="1"/>
  <c r="Q14" i="43"/>
  <c r="R14" i="43" s="1"/>
  <c r="AF12" i="41"/>
  <c r="AG8" i="41"/>
  <c r="AF9" i="41"/>
  <c r="AG9" i="41" s="1"/>
  <c r="AF14" i="41"/>
  <c r="AG14" i="41" s="1"/>
  <c r="R12" i="41"/>
  <c r="Q11" i="41"/>
  <c r="R11" i="41" s="1"/>
  <c r="L12" i="43"/>
  <c r="K11" i="43"/>
  <c r="L11" i="43" s="1"/>
  <c r="I12" i="43"/>
  <c r="H11" i="43"/>
  <c r="I11" i="43" s="1"/>
  <c r="U29" i="1"/>
  <c r="W29" i="1"/>
  <c r="K18" i="41"/>
  <c r="Q18" i="41" s="1"/>
  <c r="K19" i="41"/>
  <c r="R18" i="41" l="1"/>
  <c r="AF18" i="41"/>
  <c r="AG12" i="41"/>
  <c r="AJ13" i="41"/>
  <c r="AF11" i="41"/>
  <c r="AG11" i="41" s="1"/>
  <c r="AF12" i="43"/>
  <c r="AG8" i="43"/>
  <c r="AF9" i="43"/>
  <c r="AG9" i="43" s="1"/>
  <c r="AF14" i="43"/>
  <c r="AG14" i="43" s="1"/>
  <c r="R12" i="43"/>
  <c r="Q11" i="43"/>
  <c r="R11" i="43" s="1"/>
  <c r="Q19" i="41"/>
  <c r="Q20" i="41" s="1"/>
  <c r="R20" i="41" s="1"/>
  <c r="L19" i="41"/>
  <c r="K19" i="43"/>
  <c r="L19" i="43" s="1"/>
  <c r="K18" i="43"/>
  <c r="L18" i="41"/>
  <c r="K20" i="41"/>
  <c r="L20" i="41" s="1"/>
  <c r="H20" i="43"/>
  <c r="I20" i="43" s="1"/>
  <c r="I18" i="43"/>
  <c r="I19" i="43"/>
  <c r="K20" i="43" l="1"/>
  <c r="L20" i="43" s="1"/>
  <c r="L18" i="43"/>
  <c r="AJ13" i="43"/>
  <c r="AG12" i="43"/>
  <c r="AF11" i="43"/>
  <c r="AG11" i="43" s="1"/>
  <c r="Q19" i="43"/>
  <c r="AG18" i="41"/>
  <c r="AF19" i="41"/>
  <c r="AG19" i="41" s="1"/>
  <c r="R19" i="41"/>
  <c r="Q18" i="43"/>
  <c r="R18" i="43" l="1"/>
  <c r="Q20" i="43"/>
  <c r="R20" i="43" s="1"/>
  <c r="AF18" i="43"/>
  <c r="AF19" i="43"/>
  <c r="AG19" i="43" s="1"/>
  <c r="R19" i="43"/>
  <c r="AF20" i="41"/>
  <c r="AG20" i="41" l="1"/>
  <c r="AJ22" i="41"/>
  <c r="AJ21" i="41"/>
  <c r="AG18" i="43"/>
  <c r="AF20" i="43"/>
  <c r="AG20" i="43" l="1"/>
  <c r="AJ22" i="43"/>
  <c r="AJ21" i="43"/>
  <c r="S23" i="1" l="1"/>
  <c r="U23" i="1" s="1"/>
  <c r="S24" i="1"/>
  <c r="U24" i="1" s="1"/>
  <c r="Z18" i="42" l="1"/>
  <c r="Z8" i="42"/>
  <c r="Z10" i="42"/>
  <c r="Z22" i="42"/>
  <c r="Z20" i="42"/>
  <c r="Z15" i="42"/>
  <c r="Z11" i="42"/>
  <c r="Z14" i="42"/>
  <c r="Z16" i="42"/>
  <c r="Z12" i="42"/>
  <c r="Z17" i="42"/>
  <c r="Z21" i="42"/>
  <c r="Z19" i="42"/>
  <c r="Z7" i="42"/>
  <c r="Z13" i="42"/>
  <c r="Z23" i="42"/>
  <c r="Z9" i="42"/>
  <c r="AB10" i="42" l="1"/>
  <c r="AB21" i="42"/>
  <c r="AB23" i="42"/>
  <c r="AB8" i="42"/>
  <c r="AB12" i="42"/>
  <c r="AB13" i="42"/>
  <c r="AB14" i="42"/>
  <c r="AB16" i="42"/>
  <c r="AB22" i="42"/>
  <c r="AB20" i="42"/>
  <c r="Z27" i="42"/>
  <c r="Z24" i="42"/>
  <c r="Z25" i="42"/>
  <c r="Z26" i="42"/>
  <c r="AB17" i="42" l="1"/>
  <c r="AB19" i="42"/>
  <c r="AB26" i="42"/>
  <c r="AB9" i="42"/>
  <c r="AB18" i="42"/>
  <c r="AB15" i="42"/>
  <c r="AB24" i="42" l="1"/>
  <c r="AB7" i="42"/>
  <c r="AB27" i="42"/>
  <c r="AB11" i="42"/>
  <c r="AB25" i="42"/>
  <c r="Y10" i="42" l="1"/>
  <c r="AE10" i="42" s="1"/>
  <c r="AC21" i="42"/>
  <c r="AF21" i="42" s="1"/>
  <c r="AC11" i="42"/>
  <c r="AF11" i="42" s="1"/>
  <c r="AC22" i="42"/>
  <c r="AF22" i="42" s="1"/>
  <c r="AC19" i="42"/>
  <c r="AF19" i="42" s="1"/>
  <c r="AC14" i="42"/>
  <c r="AF14" i="42" s="1"/>
  <c r="AC16" i="42"/>
  <c r="AF16" i="42" s="1"/>
  <c r="AC23" i="42"/>
  <c r="AF23" i="42" s="1"/>
  <c r="AC18" i="42"/>
  <c r="AF18" i="42" s="1"/>
  <c r="AC7" i="42"/>
  <c r="AF7" i="42" s="1"/>
  <c r="AC10" i="42"/>
  <c r="AF10" i="42" s="1"/>
  <c r="AC13" i="42"/>
  <c r="AF13" i="42" s="1"/>
  <c r="AC9" i="42"/>
  <c r="AF9" i="42" s="1"/>
  <c r="AC12" i="42"/>
  <c r="AF12" i="42" s="1"/>
  <c r="AC20" i="42"/>
  <c r="AF20" i="42" s="1"/>
  <c r="AC8" i="42"/>
  <c r="AF8" i="42" s="1"/>
  <c r="AC15" i="42"/>
  <c r="AF15" i="42" s="1"/>
  <c r="AC17" i="42"/>
  <c r="AF17" i="42" s="1"/>
  <c r="AC24" i="42" l="1"/>
  <c r="AF24" i="42" s="1"/>
  <c r="AC25" i="42"/>
  <c r="AF25" i="42" s="1"/>
  <c r="AC26" i="42"/>
  <c r="AF26" i="42" s="1"/>
  <c r="AC27" i="42"/>
  <c r="AF27" i="42" s="1"/>
  <c r="Y14" i="42" l="1"/>
  <c r="AE14" i="42" s="1"/>
  <c r="Y12" i="42"/>
  <c r="AE12" i="42" s="1"/>
  <c r="Y18" i="42"/>
  <c r="AE18" i="42" s="1"/>
  <c r="Y8" i="42"/>
  <c r="AE8" i="42" s="1"/>
  <c r="Y23" i="42"/>
  <c r="AE23" i="42" s="1"/>
  <c r="Y9" i="42"/>
  <c r="AE9" i="42" s="1"/>
  <c r="Y22" i="42"/>
  <c r="AE22" i="42" s="1"/>
  <c r="Y16" i="42" l="1"/>
  <c r="AE16" i="42" s="1"/>
  <c r="Y11" i="42"/>
  <c r="AE11" i="42" s="1"/>
  <c r="Y21" i="42"/>
  <c r="AE21" i="42" s="1"/>
  <c r="Y20" i="42"/>
  <c r="AE20" i="42" s="1"/>
  <c r="Y17" i="42"/>
  <c r="AE17" i="42" s="1"/>
  <c r="Y13" i="42"/>
  <c r="AE13" i="42" s="1"/>
  <c r="Y15" i="42"/>
  <c r="AE15" i="42" s="1"/>
  <c r="Y19" i="42"/>
  <c r="AE19" i="42" s="1"/>
  <c r="Y25" i="42" l="1"/>
  <c r="AE25" i="42" s="1"/>
  <c r="Y26" i="42"/>
  <c r="AE26" i="42" s="1"/>
  <c r="Y7" i="42" l="1"/>
  <c r="AE7" i="42" s="1"/>
  <c r="Y27" i="42" l="1"/>
  <c r="AE27" i="42" s="1"/>
  <c r="Y24" i="42"/>
  <c r="AE24" i="42" s="1"/>
</calcChain>
</file>

<file path=xl/sharedStrings.xml><?xml version="1.0" encoding="utf-8"?>
<sst xmlns="http://schemas.openxmlformats.org/spreadsheetml/2006/main" count="765" uniqueCount="241">
  <si>
    <t>물량</t>
    <phoneticPr fontId="1" type="noConversion"/>
  </si>
  <si>
    <t>골재</t>
    <phoneticPr fontId="1" type="noConversion"/>
  </si>
  <si>
    <t>매출</t>
    <phoneticPr fontId="1" type="noConversion"/>
  </si>
  <si>
    <t>건자재</t>
    <phoneticPr fontId="1" type="noConversion"/>
  </si>
  <si>
    <t>기타</t>
    <phoneticPr fontId="1" type="noConversion"/>
  </si>
  <si>
    <t>매출원가</t>
    <phoneticPr fontId="1" type="noConversion"/>
  </si>
  <si>
    <t>판관비</t>
    <phoneticPr fontId="1" type="noConversion"/>
  </si>
  <si>
    <t>영업이익</t>
    <phoneticPr fontId="1" type="noConversion"/>
  </si>
  <si>
    <t>계</t>
    <phoneticPr fontId="1" type="noConversion"/>
  </si>
  <si>
    <t>%</t>
  </si>
  <si>
    <t>%</t>
    <phoneticPr fontId="1" type="noConversion"/>
  </si>
  <si>
    <t>구분</t>
    <phoneticPr fontId="1" type="noConversion"/>
  </si>
  <si>
    <t>계획</t>
    <phoneticPr fontId="1" type="noConversion"/>
  </si>
  <si>
    <t>실적</t>
    <phoneticPr fontId="1" type="noConversion"/>
  </si>
  <si>
    <t>전년</t>
    <phoneticPr fontId="1" type="noConversion"/>
  </si>
  <si>
    <t>계획</t>
  </si>
  <si>
    <t>실적</t>
  </si>
  <si>
    <t>전년</t>
  </si>
  <si>
    <t>매출이익</t>
    <phoneticPr fontId="1" type="noConversion"/>
  </si>
  <si>
    <t>수도권</t>
  </si>
  <si>
    <t>영남권</t>
  </si>
  <si>
    <t>판매단가</t>
    <phoneticPr fontId="1" type="noConversion"/>
  </si>
  <si>
    <t>안양</t>
  </si>
  <si>
    <t>인천</t>
  </si>
  <si>
    <t>파주</t>
  </si>
  <si>
    <t>부산</t>
  </si>
  <si>
    <t>서부산</t>
  </si>
  <si>
    <t>김해</t>
  </si>
  <si>
    <t>정관</t>
  </si>
  <si>
    <t>양산</t>
  </si>
  <si>
    <t>창원</t>
  </si>
  <si>
    <t>아산</t>
  </si>
  <si>
    <t>원주</t>
  </si>
  <si>
    <t>군산</t>
  </si>
  <si>
    <t>전주</t>
  </si>
  <si>
    <t>제주</t>
  </si>
  <si>
    <t>차이</t>
  </si>
  <si>
    <t>차이</t>
    <phoneticPr fontId="1" type="noConversion"/>
  </si>
  <si>
    <t>공통비</t>
    <phoneticPr fontId="1" type="noConversion"/>
  </si>
  <si>
    <t>기타 계</t>
  </si>
  <si>
    <t>임대 계</t>
    <phoneticPr fontId="1" type="noConversion"/>
  </si>
  <si>
    <t>합계</t>
    <phoneticPr fontId="1" type="noConversion"/>
  </si>
  <si>
    <t>골재 계</t>
    <phoneticPr fontId="1" type="noConversion"/>
  </si>
  <si>
    <t>(소계)</t>
  </si>
  <si>
    <t>변동비</t>
    <phoneticPr fontId="1" type="noConversion"/>
  </si>
  <si>
    <t>재료비</t>
    <phoneticPr fontId="1" type="noConversion"/>
  </si>
  <si>
    <t>운반비</t>
    <phoneticPr fontId="1" type="noConversion"/>
  </si>
  <si>
    <t>평균</t>
    <phoneticPr fontId="1" type="noConversion"/>
  </si>
  <si>
    <t>구분</t>
    <phoneticPr fontId="1" type="noConversion"/>
  </si>
  <si>
    <t>계획</t>
    <phoneticPr fontId="1" type="noConversion"/>
  </si>
  <si>
    <t>실적</t>
    <phoneticPr fontId="1" type="noConversion"/>
  </si>
  <si>
    <t>차이</t>
    <phoneticPr fontId="1" type="noConversion"/>
  </si>
  <si>
    <t>전년</t>
    <phoneticPr fontId="1" type="noConversion"/>
  </si>
  <si>
    <t>레미콘</t>
    <phoneticPr fontId="1" type="noConversion"/>
  </si>
  <si>
    <t>직영</t>
    <phoneticPr fontId="1" type="noConversion"/>
  </si>
  <si>
    <t>수도권</t>
    <phoneticPr fontId="1" type="noConversion"/>
  </si>
  <si>
    <t>영남권</t>
    <phoneticPr fontId="1" type="noConversion"/>
  </si>
  <si>
    <t>기타권</t>
    <phoneticPr fontId="1" type="noConversion"/>
  </si>
  <si>
    <t>(소계)</t>
    <phoneticPr fontId="1" type="noConversion"/>
  </si>
  <si>
    <t>임대</t>
    <phoneticPr fontId="1" type="noConversion"/>
  </si>
  <si>
    <t>골재</t>
    <phoneticPr fontId="1" type="noConversion"/>
  </si>
  <si>
    <t>부산골재</t>
    <phoneticPr fontId="1" type="noConversion"/>
  </si>
  <si>
    <t>서부산골재</t>
    <phoneticPr fontId="1" type="noConversion"/>
  </si>
  <si>
    <t>건자재</t>
    <phoneticPr fontId="1" type="noConversion"/>
  </si>
  <si>
    <t>기타</t>
    <phoneticPr fontId="1" type="noConversion"/>
  </si>
  <si>
    <t>공통비</t>
    <phoneticPr fontId="1" type="noConversion"/>
  </si>
  <si>
    <t>물량</t>
    <phoneticPr fontId="1" type="noConversion"/>
  </si>
  <si>
    <t>매출</t>
    <phoneticPr fontId="1" type="noConversion"/>
  </si>
  <si>
    <t>판매단가</t>
    <phoneticPr fontId="1" type="noConversion"/>
  </si>
  <si>
    <t>공헌이익</t>
    <phoneticPr fontId="1" type="noConversion"/>
  </si>
  <si>
    <t>구분</t>
    <phoneticPr fontId="1" type="noConversion"/>
  </si>
  <si>
    <t>계획대비</t>
    <phoneticPr fontId="1" type="noConversion"/>
  </si>
  <si>
    <t>전년대비</t>
    <phoneticPr fontId="1" type="noConversion"/>
  </si>
  <si>
    <t>계</t>
    <phoneticPr fontId="1" type="noConversion"/>
  </si>
  <si>
    <t>판매단가</t>
    <phoneticPr fontId="1" type="noConversion"/>
  </si>
  <si>
    <t>공헌이익</t>
    <phoneticPr fontId="1" type="noConversion"/>
  </si>
  <si>
    <t>[단위 : 톤, 천원]</t>
    <phoneticPr fontId="1" type="noConversion"/>
  </si>
  <si>
    <t>매출액</t>
    <phoneticPr fontId="1" type="noConversion"/>
  </si>
  <si>
    <t>구분</t>
    <phoneticPr fontId="1" type="noConversion"/>
  </si>
  <si>
    <t>계획</t>
    <phoneticPr fontId="1" type="noConversion"/>
  </si>
  <si>
    <t>실적</t>
    <phoneticPr fontId="1" type="noConversion"/>
  </si>
  <si>
    <t>계획대비</t>
    <phoneticPr fontId="1" type="noConversion"/>
  </si>
  <si>
    <t>전년</t>
    <phoneticPr fontId="1" type="noConversion"/>
  </si>
  <si>
    <t>전년대비</t>
    <phoneticPr fontId="1" type="noConversion"/>
  </si>
  <si>
    <t>실적</t>
    <phoneticPr fontId="1" type="noConversion"/>
  </si>
  <si>
    <t>건자재</t>
    <phoneticPr fontId="1" type="noConversion"/>
  </si>
  <si>
    <t>철강재</t>
    <phoneticPr fontId="1" type="noConversion"/>
  </si>
  <si>
    <t>대구</t>
    <phoneticPr fontId="1" type="noConversion"/>
  </si>
  <si>
    <t>울산</t>
    <phoneticPr fontId="1" type="noConversion"/>
  </si>
  <si>
    <t>전주</t>
    <phoneticPr fontId="1" type="noConversion"/>
  </si>
  <si>
    <t>군산</t>
    <phoneticPr fontId="1" type="noConversion"/>
  </si>
  <si>
    <t>원주</t>
    <phoneticPr fontId="1" type="noConversion"/>
  </si>
  <si>
    <t>제주</t>
    <phoneticPr fontId="1" type="noConversion"/>
  </si>
  <si>
    <t>아산</t>
    <phoneticPr fontId="1" type="noConversion"/>
  </si>
  <si>
    <t>[단위 : 천㎥, 톤, 백만원]</t>
  </si>
  <si>
    <t>대구</t>
  </si>
  <si>
    <t>대구</t>
    <phoneticPr fontId="1" type="noConversion"/>
  </si>
  <si>
    <t>울산</t>
  </si>
  <si>
    <t>울산</t>
    <phoneticPr fontId="1" type="noConversion"/>
  </si>
  <si>
    <t>레미콘임대</t>
    <phoneticPr fontId="1" type="noConversion"/>
  </si>
  <si>
    <t>레미콘임대 계</t>
    <phoneticPr fontId="1" type="noConversion"/>
  </si>
  <si>
    <t>확인</t>
    <phoneticPr fontId="1" type="noConversion"/>
  </si>
  <si>
    <t xml:space="preserve"> </t>
    <phoneticPr fontId="1" type="noConversion"/>
  </si>
  <si>
    <t>유류비</t>
    <phoneticPr fontId="1" type="noConversion"/>
  </si>
  <si>
    <t>변동비 계</t>
    <phoneticPr fontId="1" type="noConversion"/>
  </si>
  <si>
    <t>□ 레미콘</t>
    <phoneticPr fontId="1" type="noConversion"/>
  </si>
  <si>
    <t>□ 건자재</t>
    <phoneticPr fontId="1" type="noConversion"/>
  </si>
  <si>
    <t>철강재 판매단가</t>
    <phoneticPr fontId="1" type="noConversion"/>
  </si>
  <si>
    <t>철강재 마진률</t>
    <phoneticPr fontId="1" type="noConversion"/>
  </si>
  <si>
    <t>□ 골재</t>
    <phoneticPr fontId="1" type="noConversion"/>
  </si>
  <si>
    <t>판매량</t>
    <phoneticPr fontId="1" type="noConversion"/>
  </si>
  <si>
    <t>자가</t>
    <phoneticPr fontId="1" type="noConversion"/>
  </si>
  <si>
    <t>외판</t>
    <phoneticPr fontId="1" type="noConversion"/>
  </si>
  <si>
    <t>계획대비</t>
  </si>
  <si>
    <t>전년대비</t>
  </si>
  <si>
    <t>레미콘 계</t>
    <phoneticPr fontId="1" type="noConversion"/>
  </si>
  <si>
    <t>OPC 소급분</t>
    <phoneticPr fontId="1" type="noConversion"/>
  </si>
  <si>
    <t>대손</t>
    <phoneticPr fontId="1" type="noConversion"/>
  </si>
  <si>
    <t>기타 계</t>
    <phoneticPr fontId="1" type="noConversion"/>
  </si>
  <si>
    <t>영업이익(공통비 배부전)</t>
    <phoneticPr fontId="1" type="noConversion"/>
  </si>
  <si>
    <t>건재사업본부</t>
    <phoneticPr fontId="1" type="noConversion"/>
  </si>
  <si>
    <t>구분</t>
  </si>
  <si>
    <t>철강재</t>
  </si>
  <si>
    <t>기타</t>
  </si>
  <si>
    <t>판관비</t>
  </si>
  <si>
    <t>노무비</t>
  </si>
  <si>
    <t>경비</t>
  </si>
  <si>
    <t>판매단가</t>
  </si>
  <si>
    <t>마진률</t>
  </si>
  <si>
    <t>철강재 단가
및
마진률</t>
    <phoneticPr fontId="1" type="noConversion"/>
  </si>
  <si>
    <t xml:space="preserve"> * 자가이송 운반비 : 부산 3,500 / 김해 3,500 / 정관 8,000 / 양산 5,000 / 창원 8,000</t>
    <phoneticPr fontId="1" type="noConversion"/>
  </si>
  <si>
    <t>단가</t>
    <phoneticPr fontId="1" type="noConversion"/>
  </si>
  <si>
    <t>자가이송</t>
    <phoneticPr fontId="1" type="noConversion"/>
  </si>
  <si>
    <t>외부판매</t>
  </si>
  <si>
    <t>자가이송</t>
  </si>
  <si>
    <t>외부판매</t>
    <phoneticPr fontId="1" type="noConversion"/>
  </si>
  <si>
    <t>골재사업소 계</t>
    <phoneticPr fontId="1" type="noConversion"/>
  </si>
  <si>
    <t>부산 모래</t>
    <phoneticPr fontId="1" type="noConversion"/>
  </si>
  <si>
    <t>서부산 소계</t>
    <phoneticPr fontId="1" type="noConversion"/>
  </si>
  <si>
    <t>서부산 쇄사</t>
    <phoneticPr fontId="1" type="noConversion"/>
  </si>
  <si>
    <t>서부산 쇄석</t>
    <phoneticPr fontId="1" type="noConversion"/>
  </si>
  <si>
    <t>합 계</t>
    <phoneticPr fontId="1" type="noConversion"/>
  </si>
  <si>
    <t>[단위 : 천㎥, 톤, 원/㎥, 원/톤, 백만원]</t>
    <phoneticPr fontId="1" type="noConversion"/>
  </si>
  <si>
    <t>영업이익(공통비 미배부)</t>
    <phoneticPr fontId="1" type="noConversion"/>
  </si>
  <si>
    <t>물량 차이</t>
    <phoneticPr fontId="1" type="noConversion"/>
  </si>
  <si>
    <t>판매단가 차이</t>
    <phoneticPr fontId="1" type="noConversion"/>
  </si>
  <si>
    <t>제조원가 차이</t>
    <phoneticPr fontId="1" type="noConversion"/>
  </si>
  <si>
    <t>판관비 등 차이</t>
    <phoneticPr fontId="1" type="noConversion"/>
  </si>
  <si>
    <t>손익</t>
    <phoneticPr fontId="1" type="noConversion"/>
  </si>
  <si>
    <t>[단위 : 백만원, 천㎥]</t>
    <phoneticPr fontId="1" type="noConversion"/>
  </si>
  <si>
    <t>[단위 : 원/㎥]</t>
    <phoneticPr fontId="1" type="noConversion"/>
  </si>
  <si>
    <t>모래 (원/톤)</t>
  </si>
  <si>
    <t>자갈 (원/톤)</t>
  </si>
  <si>
    <t>FA (원/톤)</t>
  </si>
  <si>
    <t>SP (원/톤)</t>
  </si>
  <si>
    <t>SC (원/톤)</t>
    <phoneticPr fontId="1" type="noConversion"/>
  </si>
  <si>
    <t>OPC (원/톤)</t>
    <phoneticPr fontId="1" type="noConversion"/>
  </si>
  <si>
    <t>[단위 : kg/㎥]</t>
    <phoneticPr fontId="1" type="noConversion"/>
  </si>
  <si>
    <t>OPC</t>
    <phoneticPr fontId="1" type="noConversion"/>
  </si>
  <si>
    <t>분체류</t>
    <phoneticPr fontId="1" type="noConversion"/>
  </si>
  <si>
    <t>분체류 치환률</t>
    <phoneticPr fontId="1" type="noConversion"/>
  </si>
  <si>
    <t>자갈</t>
    <phoneticPr fontId="1" type="noConversion"/>
  </si>
  <si>
    <t>모래</t>
    <phoneticPr fontId="1" type="noConversion"/>
  </si>
  <si>
    <t>혼화제</t>
    <phoneticPr fontId="1" type="noConversion"/>
  </si>
  <si>
    <t>* 공통비</t>
    <phoneticPr fontId="1" type="noConversion"/>
  </si>
  <si>
    <t>합계</t>
    <phoneticPr fontId="1" type="noConversion"/>
  </si>
  <si>
    <t>기타</t>
    <phoneticPr fontId="1" type="noConversion"/>
  </si>
  <si>
    <t>[단위 : ㎥, 천원]</t>
    <phoneticPr fontId="1" type="noConversion"/>
  </si>
  <si>
    <t>레미콘임대</t>
    <phoneticPr fontId="1" type="noConversion"/>
  </si>
  <si>
    <t>중부권</t>
  </si>
  <si>
    <t>중부권</t>
    <phoneticPr fontId="1" type="noConversion"/>
  </si>
  <si>
    <t>중부권</t>
    <phoneticPr fontId="1" type="noConversion"/>
  </si>
  <si>
    <t>김포</t>
    <phoneticPr fontId="1" type="noConversion"/>
  </si>
  <si>
    <t>4월</t>
    <phoneticPr fontId="1" type="noConversion"/>
  </si>
  <si>
    <t xml:space="preserve"> ■ 비고</t>
  </si>
  <si>
    <t>김포</t>
  </si>
  <si>
    <t>부산크라샤</t>
    <phoneticPr fontId="1" type="noConversion"/>
  </si>
  <si>
    <t>미운영 공장</t>
    <phoneticPr fontId="1" type="noConversion"/>
  </si>
  <si>
    <t>김포</t>
    <phoneticPr fontId="1" type="noConversion"/>
  </si>
  <si>
    <t>2월</t>
  </si>
  <si>
    <t>1월</t>
    <phoneticPr fontId="1" type="noConversion"/>
  </si>
  <si>
    <t>3월</t>
    <phoneticPr fontId="1" type="noConversion"/>
  </si>
  <si>
    <t>5월</t>
    <phoneticPr fontId="1" type="noConversion"/>
  </si>
  <si>
    <t>6월</t>
  </si>
  <si>
    <t>□ 기타내역(영업이익)</t>
    <phoneticPr fontId="1" type="noConversion"/>
  </si>
  <si>
    <t>7월</t>
    <phoneticPr fontId="1" type="noConversion"/>
  </si>
  <si>
    <t>부산크라샤 쇄석</t>
    <phoneticPr fontId="1" type="noConversion"/>
  </si>
  <si>
    <t>부산크라샤 쇄사</t>
    <phoneticPr fontId="1" type="noConversion"/>
  </si>
  <si>
    <t>부산크라샤 소계</t>
    <phoneticPr fontId="1" type="noConversion"/>
  </si>
  <si>
    <t>8월</t>
    <phoneticPr fontId="1" type="noConversion"/>
  </si>
  <si>
    <t>9월</t>
    <phoneticPr fontId="1" type="noConversion"/>
  </si>
  <si>
    <t>10월</t>
    <phoneticPr fontId="1" type="noConversion"/>
  </si>
  <si>
    <t>11월</t>
  </si>
  <si>
    <t>12월</t>
    <phoneticPr fontId="1" type="noConversion"/>
  </si>
  <si>
    <t>건자재</t>
    <phoneticPr fontId="1" type="noConversion"/>
  </si>
  <si>
    <t>부산모래장</t>
    <phoneticPr fontId="1" type="noConversion"/>
  </si>
  <si>
    <t>서부산크라샤</t>
    <phoneticPr fontId="1" type="noConversion"/>
  </si>
  <si>
    <t>강릉임대</t>
    <phoneticPr fontId="1" type="noConversion"/>
  </si>
  <si>
    <t>속초임대</t>
    <phoneticPr fontId="1" type="noConversion"/>
  </si>
  <si>
    <t>포항임대</t>
    <phoneticPr fontId="1" type="noConversion"/>
  </si>
  <si>
    <t>부동산임대</t>
  </si>
  <si>
    <t>주유소임대</t>
  </si>
  <si>
    <t>공    통    비</t>
  </si>
  <si>
    <t>건자재영업</t>
    <phoneticPr fontId="1" type="noConversion"/>
  </si>
  <si>
    <t>2월</t>
    <phoneticPr fontId="1" type="noConversion"/>
  </si>
  <si>
    <t>구분</t>
    <phoneticPr fontId="1" type="noConversion"/>
  </si>
  <si>
    <t>물량</t>
    <phoneticPr fontId="1" type="noConversion"/>
  </si>
  <si>
    <t>매출액</t>
    <phoneticPr fontId="1" type="noConversion"/>
  </si>
  <si>
    <t>영업이익</t>
    <phoneticPr fontId="1" type="noConversion"/>
  </si>
  <si>
    <t>계</t>
    <phoneticPr fontId="1" type="noConversion"/>
  </si>
  <si>
    <t>(단위 : 천㎥, 천톤, 억원)</t>
    <phoneticPr fontId="1" type="noConversion"/>
  </si>
  <si>
    <t>3월</t>
  </si>
  <si>
    <t xml:space="preserve">  - 대손 16억 : 개별 10억(선원건설 7.9억, 송학건설 1억, 계원토건 1.2억) + 집합 9억</t>
    <phoneticPr fontId="1" type="noConversion"/>
  </si>
  <si>
    <t xml:space="preserve">                     태영건설 3억 환입</t>
    <phoneticPr fontId="1" type="noConversion"/>
  </si>
  <si>
    <t>4월</t>
  </si>
  <si>
    <t>2024년 5월 마감 손익</t>
    <phoneticPr fontId="1" type="noConversion"/>
  </si>
  <si>
    <t>□ 건재사업본부 손익실적(2024-05)</t>
  </si>
  <si>
    <t>5월</t>
  </si>
  <si>
    <t>5월 주요지표</t>
  </si>
  <si>
    <t>□ 사업장별 손익실적(2024-05)</t>
  </si>
  <si>
    <t>□ 레미콘 영업이익 차이분석(2024-05)</t>
  </si>
  <si>
    <t>□ 레미콘 단위당 공헌이익(2024-05)</t>
  </si>
  <si>
    <t>□ 2024년 레미콘 원재료단가(2024-05)</t>
  </si>
  <si>
    <t>□ 레미콘 원재료 원단위(2024-05)</t>
  </si>
  <si>
    <t>□ 건자재 손익실적(2024-05)</t>
    <phoneticPr fontId="1" type="noConversion"/>
  </si>
  <si>
    <t>5월누계</t>
  </si>
  <si>
    <t>□ 2024년 골재사업소 손익(2024-05)</t>
  </si>
  <si>
    <t>혼합석(25mm)</t>
  </si>
  <si>
    <t>혼합석(25mm)</t>
    <phoneticPr fontId="1" type="noConversion"/>
  </si>
  <si>
    <t>5월</t>
    <phoneticPr fontId="1" type="noConversion"/>
  </si>
  <si>
    <t>□ 2024년 골재사업소 손익(2024-05누계)</t>
    <phoneticPr fontId="1" type="noConversion"/>
  </si>
  <si>
    <t>5월 누계</t>
    <phoneticPr fontId="1" type="noConversion"/>
  </si>
  <si>
    <t>□ 사업장별 손익실적(2024-05누계)</t>
    <phoneticPr fontId="1" type="noConversion"/>
  </si>
  <si>
    <t>□ 건재부문 실적(5월)</t>
    <phoneticPr fontId="1" type="noConversion"/>
  </si>
  <si>
    <t xml:space="preserve">  * 5월누계 기타차이 : 대손 16억</t>
    <phoneticPr fontId="1" type="noConversion"/>
  </si>
  <si>
    <t>양산</t>
    <phoneticPr fontId="1" type="noConversion"/>
  </si>
  <si>
    <t>부산모래장</t>
  </si>
  <si>
    <t>서부산CR</t>
  </si>
  <si>
    <t>부산CR</t>
  </si>
  <si>
    <t>서부산CR</t>
    <phoneticPr fontId="1" type="noConversion"/>
  </si>
  <si>
    <t>부산CR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</si>
</sst>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176" formatCode="#,##0_ "/>
    <numFmt numFmtId="177" formatCode="0.0%"/>
    <numFmt numFmtId="178" formatCode="#,##0_);[Red]\(#,##0\)"/>
    <numFmt numFmtId="179" formatCode="#,##0.0_);[Red]\(#,##0.0\)"/>
    <numFmt numFmtId="180" formatCode="0_ "/>
    <numFmt numFmtId="181" formatCode="#,##0.000_);[Red]\(#,##0.000\)"/>
    <numFmt numFmtId="182" formatCode="#,##0.00_);[Red]\(#,##0.00\)"/>
  </numFmts>
  <fonts count="2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b/>
      <sz val="36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name val="굴림체"/>
      <family val="3"/>
      <charset val="129"/>
    </font>
    <font>
      <b/>
      <sz val="12"/>
      <color theme="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4"/>
      <color theme="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i/>
      <sz val="11"/>
      <color theme="1"/>
      <name val="맑은 고딕"/>
      <family val="3"/>
      <charset val="129"/>
      <scheme val="minor"/>
    </font>
    <font>
      <b/>
      <i/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11"/>
      <color rgb="FFFFFFFF"/>
      <name val="맑은 고딕"/>
      <family val="3"/>
      <charset val="129"/>
    </font>
    <font>
      <b/>
      <sz val="11"/>
      <color rgb="FF000000"/>
      <name val="맑은 고딕"/>
      <family val="3"/>
      <charset val="129"/>
    </font>
  </fonts>
  <fills count="1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00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BF8F00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14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auto="1"/>
      </left>
      <right/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ck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hair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ck">
        <color auto="1"/>
      </left>
      <right style="hair">
        <color auto="1"/>
      </right>
      <top style="thick">
        <color auto="1"/>
      </top>
      <bottom/>
      <diagonal/>
    </border>
    <border>
      <left style="hair">
        <color auto="1"/>
      </left>
      <right style="hair">
        <color auto="1"/>
      </right>
      <top style="thick">
        <color auto="1"/>
      </top>
      <bottom/>
      <diagonal/>
    </border>
    <border>
      <left style="hair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hair">
        <color auto="1"/>
      </top>
      <bottom style="thin">
        <color auto="1"/>
      </bottom>
      <diagonal/>
    </border>
    <border>
      <left/>
      <right style="thick">
        <color auto="1"/>
      </right>
      <top style="hair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 style="hair">
        <color auto="1"/>
      </top>
      <bottom/>
      <diagonal/>
    </border>
    <border>
      <left/>
      <right style="thick">
        <color auto="1"/>
      </right>
      <top style="hair">
        <color auto="1"/>
      </top>
      <bottom/>
      <diagonal/>
    </border>
    <border>
      <left style="thick">
        <color auto="1"/>
      </left>
      <right/>
      <top/>
      <bottom style="hair">
        <color auto="1"/>
      </bottom>
      <diagonal/>
    </border>
    <border>
      <left/>
      <right style="thick">
        <color auto="1"/>
      </right>
      <top/>
      <bottom style="hair">
        <color auto="1"/>
      </bottom>
      <diagonal/>
    </border>
    <border>
      <left style="thick">
        <color auto="1"/>
      </left>
      <right/>
      <top/>
      <bottom style="thin">
        <color indexed="64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ck">
        <color rgb="FFFF0000"/>
      </left>
      <right style="thick">
        <color rgb="FFFF0000"/>
      </right>
      <top style="thin">
        <color auto="1"/>
      </top>
      <bottom/>
      <diagonal/>
    </border>
    <border>
      <left style="thick">
        <color rgb="FFFF0000"/>
      </left>
      <right style="thick">
        <color rgb="FFFF0000"/>
      </right>
      <top/>
      <bottom/>
      <diagonal/>
    </border>
    <border>
      <left style="thick">
        <color rgb="FFFF0000"/>
      </left>
      <right style="thick">
        <color rgb="FFFF0000"/>
      </right>
      <top/>
      <bottom style="thin">
        <color auto="1"/>
      </bottom>
      <diagonal/>
    </border>
    <border>
      <left style="thick">
        <color rgb="FFFF0000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ck">
        <color rgb="FFFF0000"/>
      </right>
      <top/>
      <bottom style="thick">
        <color rgb="FFFF0000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</borders>
  <cellStyleXfs count="5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0" fontId="13" fillId="0" borderId="0"/>
  </cellStyleXfs>
  <cellXfs count="843">
    <xf numFmtId="0" fontId="0" fillId="0" borderId="0" xfId="0">
      <alignment vertical="center"/>
    </xf>
    <xf numFmtId="0" fontId="2" fillId="0" borderId="1" xfId="0" applyFont="1" applyBorder="1" applyAlignment="1">
      <alignment horizontal="centerContinuous" vertical="center"/>
    </xf>
    <xf numFmtId="0" fontId="2" fillId="0" borderId="4" xfId="0" applyFont="1" applyBorder="1" applyAlignment="1">
      <alignment horizontal="centerContinuous"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applyAlignment="1">
      <alignment horizontal="right" vertical="center"/>
    </xf>
    <xf numFmtId="178" fontId="0" fillId="0" borderId="0" xfId="0" applyNumberFormat="1">
      <alignment vertical="center"/>
    </xf>
    <xf numFmtId="0" fontId="5" fillId="0" borderId="0" xfId="0" applyFont="1">
      <alignment vertical="center"/>
    </xf>
    <xf numFmtId="0" fontId="0" fillId="0" borderId="0" xfId="0" applyFont="1">
      <alignment vertical="center"/>
    </xf>
    <xf numFmtId="9" fontId="0" fillId="0" borderId="0" xfId="0" applyNumberFormat="1" applyFont="1">
      <alignment vertical="center"/>
    </xf>
    <xf numFmtId="178" fontId="6" fillId="0" borderId="24" xfId="1" applyNumberFormat="1" applyFont="1" applyFill="1" applyBorder="1" applyAlignment="1">
      <alignment vertical="center"/>
    </xf>
    <xf numFmtId="178" fontId="6" fillId="2" borderId="25" xfId="1" applyNumberFormat="1" applyFont="1" applyFill="1" applyBorder="1" applyAlignment="1">
      <alignment vertical="center"/>
    </xf>
    <xf numFmtId="178" fontId="6" fillId="0" borderId="49" xfId="1" applyNumberFormat="1" applyFont="1" applyFill="1" applyBorder="1">
      <alignment vertical="center"/>
    </xf>
    <xf numFmtId="178" fontId="6" fillId="0" borderId="25" xfId="1" applyNumberFormat="1" applyFont="1" applyFill="1" applyBorder="1">
      <alignment vertical="center"/>
    </xf>
    <xf numFmtId="178" fontId="6" fillId="0" borderId="26" xfId="1" applyNumberFormat="1" applyFont="1" applyFill="1" applyBorder="1">
      <alignment vertical="center"/>
    </xf>
    <xf numFmtId="178" fontId="6" fillId="0" borderId="51" xfId="1" applyNumberFormat="1" applyFont="1" applyFill="1" applyBorder="1" applyAlignment="1">
      <alignment vertical="center"/>
    </xf>
    <xf numFmtId="178" fontId="6" fillId="0" borderId="49" xfId="1" applyNumberFormat="1" applyFont="1" applyFill="1" applyBorder="1" applyAlignment="1">
      <alignment vertical="center"/>
    </xf>
    <xf numFmtId="178" fontId="6" fillId="0" borderId="26" xfId="1" applyNumberFormat="1" applyFont="1" applyFill="1" applyBorder="1" applyAlignment="1">
      <alignment vertical="center"/>
    </xf>
    <xf numFmtId="178" fontId="6" fillId="0" borderId="0" xfId="1" applyNumberFormat="1" applyFont="1">
      <alignment vertical="center"/>
    </xf>
    <xf numFmtId="41" fontId="6" fillId="0" borderId="0" xfId="1" applyFont="1">
      <alignment vertical="center"/>
    </xf>
    <xf numFmtId="178" fontId="6" fillId="2" borderId="43" xfId="1" applyNumberFormat="1" applyFont="1" applyFill="1" applyBorder="1" applyAlignment="1">
      <alignment vertical="center"/>
    </xf>
    <xf numFmtId="178" fontId="6" fillId="0" borderId="42" xfId="1" applyNumberFormat="1" applyFont="1" applyFill="1" applyBorder="1">
      <alignment vertical="center"/>
    </xf>
    <xf numFmtId="178" fontId="6" fillId="0" borderId="44" xfId="1" applyNumberFormat="1" applyFont="1" applyFill="1" applyBorder="1">
      <alignment vertical="center"/>
    </xf>
    <xf numFmtId="178" fontId="6" fillId="0" borderId="41" xfId="1" applyNumberFormat="1" applyFont="1" applyFill="1" applyBorder="1" applyAlignment="1">
      <alignment vertical="center"/>
    </xf>
    <xf numFmtId="178" fontId="6" fillId="0" borderId="52" xfId="1" applyNumberFormat="1" applyFont="1" applyFill="1" applyBorder="1" applyAlignment="1">
      <alignment vertical="center"/>
    </xf>
    <xf numFmtId="178" fontId="6" fillId="0" borderId="43" xfId="1" applyNumberFormat="1" applyFont="1" applyFill="1" applyBorder="1">
      <alignment vertical="center"/>
    </xf>
    <xf numFmtId="178" fontId="2" fillId="0" borderId="0" xfId="0" applyNumberFormat="1" applyFont="1">
      <alignment vertical="center"/>
    </xf>
    <xf numFmtId="178" fontId="2" fillId="0" borderId="0" xfId="1" applyNumberFormat="1" applyFont="1">
      <alignment vertical="center"/>
    </xf>
    <xf numFmtId="41" fontId="2" fillId="0" borderId="0" xfId="1" applyFont="1">
      <alignment vertical="center"/>
    </xf>
    <xf numFmtId="178" fontId="6" fillId="0" borderId="42" xfId="1" applyNumberFormat="1" applyFont="1" applyFill="1" applyBorder="1" applyAlignment="1">
      <alignment vertical="center"/>
    </xf>
    <xf numFmtId="178" fontId="6" fillId="0" borderId="44" xfId="1" applyNumberFormat="1" applyFont="1" applyFill="1" applyBorder="1" applyAlignment="1">
      <alignment vertical="center"/>
    </xf>
    <xf numFmtId="178" fontId="6" fillId="0" borderId="0" xfId="0" applyNumberFormat="1" applyFont="1">
      <alignment vertical="center"/>
    </xf>
    <xf numFmtId="178" fontId="6" fillId="0" borderId="0" xfId="0" applyNumberFormat="1" applyFont="1" applyFill="1">
      <alignment vertical="center"/>
    </xf>
    <xf numFmtId="178" fontId="6" fillId="0" borderId="0" xfId="0" applyNumberFormat="1" applyFont="1" applyFill="1" applyAlignment="1">
      <alignment vertical="center"/>
    </xf>
    <xf numFmtId="178" fontId="0" fillId="0" borderId="0" xfId="0" applyNumberFormat="1" applyFont="1" applyAlignment="1">
      <alignment vertical="center"/>
    </xf>
    <xf numFmtId="178" fontId="6" fillId="0" borderId="0" xfId="0" applyNumberFormat="1" applyFont="1" applyAlignment="1">
      <alignment vertical="center"/>
    </xf>
    <xf numFmtId="178" fontId="6" fillId="0" borderId="28" xfId="1" applyNumberFormat="1" applyFont="1" applyFill="1" applyBorder="1" applyAlignment="1">
      <alignment vertical="center"/>
    </xf>
    <xf numFmtId="178" fontId="6" fillId="2" borderId="29" xfId="1" applyNumberFormat="1" applyFont="1" applyFill="1" applyBorder="1" applyAlignment="1">
      <alignment vertical="center"/>
    </xf>
    <xf numFmtId="178" fontId="6" fillId="0" borderId="39" xfId="1" applyNumberFormat="1" applyFont="1" applyFill="1" applyBorder="1">
      <alignment vertical="center"/>
    </xf>
    <xf numFmtId="178" fontId="6" fillId="0" borderId="29" xfId="1" applyNumberFormat="1" applyFont="1" applyFill="1" applyBorder="1">
      <alignment vertical="center"/>
    </xf>
    <xf numFmtId="178" fontId="6" fillId="0" borderId="30" xfId="1" applyNumberFormat="1" applyFont="1" applyFill="1" applyBorder="1">
      <alignment vertical="center"/>
    </xf>
    <xf numFmtId="178" fontId="6" fillId="0" borderId="2" xfId="1" applyNumberFormat="1" applyFont="1" applyFill="1" applyBorder="1">
      <alignment vertical="center"/>
    </xf>
    <xf numFmtId="178" fontId="6" fillId="0" borderId="29" xfId="1" applyNumberFormat="1" applyFont="1" applyFill="1" applyBorder="1" applyAlignment="1">
      <alignment horizontal="right" vertical="center"/>
    </xf>
    <xf numFmtId="178" fontId="6" fillId="0" borderId="3" xfId="1" applyNumberFormat="1" applyFont="1" applyFill="1" applyBorder="1" applyAlignment="1">
      <alignment vertical="center"/>
    </xf>
    <xf numFmtId="178" fontId="6" fillId="0" borderId="39" xfId="1" applyNumberFormat="1" applyFont="1" applyFill="1" applyBorder="1" applyAlignment="1">
      <alignment vertical="center"/>
    </xf>
    <xf numFmtId="178" fontId="6" fillId="0" borderId="30" xfId="1" applyNumberFormat="1" applyFont="1" applyFill="1" applyBorder="1" applyAlignment="1">
      <alignment vertical="center"/>
    </xf>
    <xf numFmtId="178" fontId="6" fillId="0" borderId="12" xfId="1" applyNumberFormat="1" applyFont="1" applyFill="1" applyBorder="1" applyAlignment="1">
      <alignment vertical="center"/>
    </xf>
    <xf numFmtId="178" fontId="6" fillId="2" borderId="13" xfId="1" applyNumberFormat="1" applyFont="1" applyFill="1" applyBorder="1" applyAlignment="1">
      <alignment vertical="center"/>
    </xf>
    <xf numFmtId="178" fontId="6" fillId="0" borderId="46" xfId="1" applyNumberFormat="1" applyFont="1" applyFill="1" applyBorder="1">
      <alignment vertical="center"/>
    </xf>
    <xf numFmtId="178" fontId="6" fillId="0" borderId="13" xfId="1" applyNumberFormat="1" applyFont="1" applyFill="1" applyBorder="1">
      <alignment vertical="center"/>
    </xf>
    <xf numFmtId="178" fontId="6" fillId="0" borderId="14" xfId="1" applyNumberFormat="1" applyFont="1" applyFill="1" applyBorder="1">
      <alignment vertical="center"/>
    </xf>
    <xf numFmtId="178" fontId="6" fillId="0" borderId="5" xfId="1" applyNumberFormat="1" applyFont="1" applyFill="1" applyBorder="1" applyAlignment="1">
      <alignment vertical="center"/>
    </xf>
    <xf numFmtId="178" fontId="6" fillId="0" borderId="46" xfId="1" applyNumberFormat="1" applyFont="1" applyFill="1" applyBorder="1" applyAlignment="1">
      <alignment vertical="center"/>
    </xf>
    <xf numFmtId="178" fontId="6" fillId="0" borderId="14" xfId="1" applyNumberFormat="1" applyFont="1" applyFill="1" applyBorder="1" applyAlignment="1">
      <alignment vertical="center"/>
    </xf>
    <xf numFmtId="178" fontId="6" fillId="0" borderId="12" xfId="0" applyNumberFormat="1" applyFont="1" applyFill="1" applyBorder="1" applyAlignment="1">
      <alignment vertical="center"/>
    </xf>
    <xf numFmtId="178" fontId="6" fillId="0" borderId="13" xfId="0" applyNumberFormat="1" applyFont="1" applyFill="1" applyBorder="1">
      <alignment vertical="center"/>
    </xf>
    <xf numFmtId="178" fontId="6" fillId="0" borderId="28" xfId="0" applyNumberFormat="1" applyFont="1" applyFill="1" applyBorder="1" applyAlignment="1">
      <alignment vertical="center"/>
    </xf>
    <xf numFmtId="178" fontId="6" fillId="2" borderId="39" xfId="0" applyNumberFormat="1" applyFont="1" applyFill="1" applyBorder="1" applyAlignment="1">
      <alignment vertical="center"/>
    </xf>
    <xf numFmtId="178" fontId="6" fillId="0" borderId="3" xfId="1" applyNumberFormat="1" applyFont="1" applyFill="1" applyBorder="1">
      <alignment vertical="center"/>
    </xf>
    <xf numFmtId="178" fontId="6" fillId="2" borderId="46" xfId="0" applyNumberFormat="1" applyFont="1" applyFill="1" applyBorder="1" applyAlignment="1">
      <alignment vertical="center"/>
    </xf>
    <xf numFmtId="178" fontId="6" fillId="0" borderId="5" xfId="1" applyNumberFormat="1" applyFont="1" applyFill="1" applyBorder="1">
      <alignment vertical="center"/>
    </xf>
    <xf numFmtId="178" fontId="6" fillId="0" borderId="46" xfId="0" applyNumberFormat="1" applyFont="1" applyFill="1" applyBorder="1">
      <alignment vertical="center"/>
    </xf>
    <xf numFmtId="178" fontId="6" fillId="0" borderId="5" xfId="0" applyNumberFormat="1" applyFont="1" applyFill="1" applyBorder="1">
      <alignment vertical="center"/>
    </xf>
    <xf numFmtId="178" fontId="6" fillId="0" borderId="19" xfId="1" applyNumberFormat="1" applyFont="1" applyFill="1" applyBorder="1" applyAlignment="1">
      <alignment vertical="center"/>
    </xf>
    <xf numFmtId="178" fontId="6" fillId="2" borderId="20" xfId="1" applyNumberFormat="1" applyFont="1" applyFill="1" applyBorder="1" applyAlignment="1">
      <alignment vertical="center"/>
    </xf>
    <xf numFmtId="178" fontId="6" fillId="0" borderId="53" xfId="1" applyNumberFormat="1" applyFont="1" applyFill="1" applyBorder="1">
      <alignment vertical="center"/>
    </xf>
    <xf numFmtId="178" fontId="6" fillId="0" borderId="20" xfId="1" applyNumberFormat="1" applyFont="1" applyFill="1" applyBorder="1">
      <alignment vertical="center"/>
    </xf>
    <xf numFmtId="178" fontId="6" fillId="0" borderId="21" xfId="1" applyNumberFormat="1" applyFont="1" applyFill="1" applyBorder="1">
      <alignment vertical="center"/>
    </xf>
    <xf numFmtId="178" fontId="6" fillId="0" borderId="54" xfId="1" applyNumberFormat="1" applyFont="1" applyFill="1" applyBorder="1" applyAlignment="1">
      <alignment vertical="center"/>
    </xf>
    <xf numFmtId="178" fontId="6" fillId="0" borderId="53" xfId="1" applyNumberFormat="1" applyFont="1" applyFill="1" applyBorder="1" applyAlignment="1">
      <alignment vertical="center"/>
    </xf>
    <xf numFmtId="178" fontId="6" fillId="0" borderId="21" xfId="1" applyNumberFormat="1" applyFont="1" applyFill="1" applyBorder="1" applyAlignment="1">
      <alignment vertical="center"/>
    </xf>
    <xf numFmtId="178" fontId="2" fillId="0" borderId="1" xfId="0" applyNumberFormat="1" applyFont="1" applyBorder="1" applyAlignment="1">
      <alignment horizontal="centerContinuous" vertical="center"/>
    </xf>
    <xf numFmtId="178" fontId="2" fillId="0" borderId="6" xfId="0" applyNumberFormat="1" applyFont="1" applyBorder="1" applyAlignment="1">
      <alignment horizontal="centerContinuous" vertical="center"/>
    </xf>
    <xf numFmtId="178" fontId="0" fillId="0" borderId="10" xfId="0" applyNumberFormat="1" applyBorder="1">
      <alignment vertical="center"/>
    </xf>
    <xf numFmtId="178" fontId="0" fillId="0" borderId="30" xfId="0" applyNumberFormat="1" applyBorder="1">
      <alignment vertical="center"/>
    </xf>
    <xf numFmtId="178" fontId="0" fillId="0" borderId="0" xfId="0" applyNumberFormat="1" applyBorder="1">
      <alignment vertical="center"/>
    </xf>
    <xf numFmtId="178" fontId="0" fillId="0" borderId="0" xfId="0" applyNumberFormat="1" applyFill="1" applyBorder="1">
      <alignment vertical="center"/>
    </xf>
    <xf numFmtId="178" fontId="2" fillId="0" borderId="0" xfId="0" applyNumberFormat="1" applyFont="1" applyFill="1" applyBorder="1">
      <alignment vertical="center"/>
    </xf>
    <xf numFmtId="14" fontId="2" fillId="0" borderId="28" xfId="0" applyNumberFormat="1" applyFont="1" applyBorder="1" applyAlignment="1">
      <alignment horizontal="center" vertical="center"/>
    </xf>
    <xf numFmtId="14" fontId="2" fillId="0" borderId="30" xfId="0" applyNumberFormat="1" applyFont="1" applyBorder="1" applyAlignment="1">
      <alignment horizontal="center" vertical="center"/>
    </xf>
    <xf numFmtId="14" fontId="2" fillId="0" borderId="12" xfId="0" applyNumberFormat="1" applyFont="1" applyBorder="1" applyAlignment="1">
      <alignment horizontal="center" vertical="center"/>
    </xf>
    <xf numFmtId="14" fontId="2" fillId="0" borderId="14" xfId="0" applyNumberFormat="1" applyFont="1" applyBorder="1" applyAlignment="1">
      <alignment horizontal="center" vertical="center"/>
    </xf>
    <xf numFmtId="14" fontId="2" fillId="0" borderId="21" xfId="0" applyNumberFormat="1" applyFont="1" applyBorder="1" applyAlignment="1">
      <alignment horizontal="center" vertical="center"/>
    </xf>
    <xf numFmtId="14" fontId="2" fillId="0" borderId="26" xfId="0" applyNumberFormat="1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vertical="center"/>
    </xf>
    <xf numFmtId="0" fontId="2" fillId="0" borderId="14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178" fontId="2" fillId="0" borderId="27" xfId="0" applyNumberFormat="1" applyFont="1" applyBorder="1" applyAlignment="1">
      <alignment horizontal="centerContinuous" vertical="center"/>
    </xf>
    <xf numFmtId="178" fontId="2" fillId="0" borderId="31" xfId="0" applyNumberFormat="1" applyFont="1" applyBorder="1" applyAlignment="1">
      <alignment horizontal="centerContinuous" vertical="center"/>
    </xf>
    <xf numFmtId="178" fontId="2" fillId="0" borderId="33" xfId="0" applyNumberFormat="1" applyFont="1" applyBorder="1" applyAlignment="1">
      <alignment horizontal="centerContinuous" vertical="center"/>
    </xf>
    <xf numFmtId="178" fontId="2" fillId="0" borderId="32" xfId="0" applyNumberFormat="1" applyFont="1" applyBorder="1" applyAlignment="1">
      <alignment horizontal="centerContinuous" vertical="center"/>
    </xf>
    <xf numFmtId="178" fontId="2" fillId="0" borderId="68" xfId="0" applyNumberFormat="1" applyFont="1" applyBorder="1" applyAlignment="1">
      <alignment horizontal="centerContinuous" vertical="center"/>
    </xf>
    <xf numFmtId="178" fontId="2" fillId="0" borderId="13" xfId="0" applyNumberFormat="1" applyFont="1" applyBorder="1">
      <alignment vertical="center"/>
    </xf>
    <xf numFmtId="0" fontId="10" fillId="0" borderId="0" xfId="0" applyFont="1">
      <alignment vertical="center"/>
    </xf>
    <xf numFmtId="178" fontId="0" fillId="0" borderId="0" xfId="0" applyNumberFormat="1" applyFont="1">
      <alignment vertical="center"/>
    </xf>
    <xf numFmtId="176" fontId="0" fillId="0" borderId="0" xfId="0" applyNumberFormat="1">
      <alignment vertical="center"/>
    </xf>
    <xf numFmtId="41" fontId="0" fillId="0" borderId="0" xfId="1" applyFont="1">
      <alignment vertical="center"/>
    </xf>
    <xf numFmtId="0" fontId="15" fillId="0" borderId="0" xfId="0" applyFont="1">
      <alignment vertical="center"/>
    </xf>
    <xf numFmtId="0" fontId="7" fillId="0" borderId="4" xfId="0" applyFont="1" applyBorder="1" applyAlignment="1">
      <alignment horizontal="centerContinuous" vertical="center"/>
    </xf>
    <xf numFmtId="0" fontId="7" fillId="0" borderId="27" xfId="0" applyFont="1" applyBorder="1" applyAlignment="1">
      <alignment horizontal="centerContinuous" vertical="center"/>
    </xf>
    <xf numFmtId="0" fontId="15" fillId="0" borderId="4" xfId="0" applyFont="1" applyBorder="1">
      <alignment vertical="center"/>
    </xf>
    <xf numFmtId="0" fontId="7" fillId="0" borderId="0" xfId="0" applyFont="1" applyBorder="1">
      <alignment vertical="center"/>
    </xf>
    <xf numFmtId="0" fontId="15" fillId="0" borderId="5" xfId="0" applyFont="1" applyBorder="1">
      <alignment vertical="center"/>
    </xf>
    <xf numFmtId="0" fontId="7" fillId="0" borderId="31" xfId="0" applyFont="1" applyBorder="1" applyAlignment="1">
      <alignment horizontal="centerContinuous" vertical="center"/>
    </xf>
    <xf numFmtId="176" fontId="7" fillId="0" borderId="28" xfId="0" applyNumberFormat="1" applyFont="1" applyBorder="1" applyAlignment="1">
      <alignment horizontal="center" vertical="center"/>
    </xf>
    <xf numFmtId="176" fontId="7" fillId="0" borderId="29" xfId="0" applyNumberFormat="1" applyFont="1" applyBorder="1">
      <alignment vertical="center"/>
    </xf>
    <xf numFmtId="0" fontId="7" fillId="0" borderId="18" xfId="0" applyFont="1" applyBorder="1" applyAlignment="1">
      <alignment horizontal="centerContinuous" vertical="center"/>
    </xf>
    <xf numFmtId="0" fontId="7" fillId="0" borderId="32" xfId="0" applyFont="1" applyBorder="1" applyAlignment="1">
      <alignment horizontal="centerContinuous" vertical="center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>
      <alignment vertical="center"/>
    </xf>
    <xf numFmtId="176" fontId="7" fillId="0" borderId="25" xfId="0" applyNumberFormat="1" applyFont="1" applyBorder="1">
      <alignment vertical="center"/>
    </xf>
    <xf numFmtId="176" fontId="7" fillId="0" borderId="6" xfId="0" applyNumberFormat="1" applyFont="1" applyBorder="1" applyAlignment="1">
      <alignment horizontal="centerContinuous" vertical="center"/>
    </xf>
    <xf numFmtId="176" fontId="7" fillId="0" borderId="16" xfId="0" applyNumberFormat="1" applyFont="1" applyBorder="1">
      <alignment vertical="center"/>
    </xf>
    <xf numFmtId="0" fontId="7" fillId="0" borderId="33" xfId="0" applyFont="1" applyBorder="1" applyAlignment="1">
      <alignment horizontal="centerContinuous" vertical="center"/>
    </xf>
    <xf numFmtId="0" fontId="7" fillId="0" borderId="22" xfId="0" applyFont="1" applyBorder="1" applyAlignment="1">
      <alignment horizontal="centerContinuous" vertical="center"/>
    </xf>
    <xf numFmtId="0" fontId="7" fillId="0" borderId="23" xfId="0" applyFont="1" applyBorder="1" applyAlignment="1">
      <alignment horizontal="centerContinuous" vertical="center"/>
    </xf>
    <xf numFmtId="176" fontId="7" fillId="3" borderId="29" xfId="0" applyNumberFormat="1" applyFont="1" applyFill="1" applyBorder="1">
      <alignment vertical="center"/>
    </xf>
    <xf numFmtId="176" fontId="7" fillId="3" borderId="13" xfId="0" applyNumberFormat="1" applyFont="1" applyFill="1" applyBorder="1">
      <alignment vertical="center"/>
    </xf>
    <xf numFmtId="0" fontId="7" fillId="0" borderId="0" xfId="0" applyFont="1" applyBorder="1" applyAlignment="1">
      <alignment horizontal="centerContinuous" vertical="center"/>
    </xf>
    <xf numFmtId="176" fontId="7" fillId="3" borderId="25" xfId="0" applyNumberFormat="1" applyFont="1" applyFill="1" applyBorder="1">
      <alignment vertical="center"/>
    </xf>
    <xf numFmtId="176" fontId="7" fillId="3" borderId="16" xfId="0" applyNumberFormat="1" applyFont="1" applyFill="1" applyBorder="1">
      <alignment vertical="center"/>
    </xf>
    <xf numFmtId="0" fontId="7" fillId="0" borderId="31" xfId="0" applyFont="1" applyBorder="1" applyAlignment="1">
      <alignment horizontal="right" vertical="top"/>
    </xf>
    <xf numFmtId="177" fontId="15" fillId="0" borderId="13" xfId="0" applyNumberFormat="1" applyFont="1" applyBorder="1">
      <alignment vertical="center"/>
    </xf>
    <xf numFmtId="177" fontId="15" fillId="0" borderId="14" xfId="0" applyNumberFormat="1" applyFont="1" applyBorder="1">
      <alignment vertical="center"/>
    </xf>
    <xf numFmtId="0" fontId="7" fillId="0" borderId="6" xfId="0" applyFont="1" applyBorder="1">
      <alignment vertical="center"/>
    </xf>
    <xf numFmtId="0" fontId="7" fillId="0" borderId="7" xfId="0" applyFont="1" applyBorder="1" applyAlignment="1">
      <alignment horizontal="right" vertical="center"/>
    </xf>
    <xf numFmtId="177" fontId="15" fillId="0" borderId="16" xfId="0" applyNumberFormat="1" applyFont="1" applyBorder="1">
      <alignment vertical="center"/>
    </xf>
    <xf numFmtId="177" fontId="15" fillId="0" borderId="17" xfId="0" applyNumberFormat="1" applyFont="1" applyBorder="1">
      <alignment vertical="center"/>
    </xf>
    <xf numFmtId="0" fontId="15" fillId="0" borderId="6" xfId="0" applyFont="1" applyBorder="1">
      <alignment vertical="center"/>
    </xf>
    <xf numFmtId="0" fontId="15" fillId="0" borderId="8" xfId="0" applyFont="1" applyBorder="1">
      <alignment vertical="center"/>
    </xf>
    <xf numFmtId="0" fontId="16" fillId="6" borderId="1" xfId="0" applyFont="1" applyFill="1" applyBorder="1" applyAlignment="1">
      <alignment horizontal="centerContinuous" vertical="center"/>
    </xf>
    <xf numFmtId="0" fontId="16" fillId="6" borderId="2" xfId="0" applyFont="1" applyFill="1" applyBorder="1" applyAlignment="1">
      <alignment horizontal="centerContinuous" vertical="center"/>
    </xf>
    <xf numFmtId="0" fontId="16" fillId="6" borderId="3" xfId="0" applyFont="1" applyFill="1" applyBorder="1" applyAlignment="1">
      <alignment horizontal="centerContinuous" vertical="center"/>
    </xf>
    <xf numFmtId="0" fontId="17" fillId="0" borderId="0" xfId="0" applyFont="1">
      <alignment vertical="center"/>
    </xf>
    <xf numFmtId="0" fontId="16" fillId="6" borderId="10" xfId="0" applyFont="1" applyFill="1" applyBorder="1" applyAlignment="1">
      <alignment horizontal="centerContinuous" vertical="center"/>
    </xf>
    <xf numFmtId="0" fontId="16" fillId="6" borderId="11" xfId="0" applyFont="1" applyFill="1" applyBorder="1" applyAlignment="1">
      <alignment horizontal="centerContinuous" vertical="center"/>
    </xf>
    <xf numFmtId="178" fontId="0" fillId="0" borderId="56" xfId="0" applyNumberFormat="1" applyFont="1" applyBorder="1" applyAlignment="1">
      <alignment vertical="center"/>
    </xf>
    <xf numFmtId="178" fontId="0" fillId="0" borderId="57" xfId="0" applyNumberFormat="1" applyFont="1" applyBorder="1" applyAlignment="1">
      <alignment vertical="center"/>
    </xf>
    <xf numFmtId="178" fontId="0" fillId="0" borderId="58" xfId="0" applyNumberFormat="1" applyFont="1" applyBorder="1" applyAlignment="1">
      <alignment vertical="center"/>
    </xf>
    <xf numFmtId="178" fontId="0" fillId="4" borderId="60" xfId="0" applyNumberFormat="1" applyFont="1" applyFill="1" applyBorder="1" applyAlignment="1">
      <alignment vertical="center"/>
    </xf>
    <xf numFmtId="178" fontId="0" fillId="4" borderId="61" xfId="0" applyNumberFormat="1" applyFont="1" applyFill="1" applyBorder="1" applyAlignment="1">
      <alignment vertical="center"/>
    </xf>
    <xf numFmtId="178" fontId="0" fillId="4" borderId="59" xfId="0" applyNumberFormat="1" applyFont="1" applyFill="1" applyBorder="1" applyAlignment="1">
      <alignment vertical="center"/>
    </xf>
    <xf numFmtId="178" fontId="0" fillId="0" borderId="57" xfId="1" applyNumberFormat="1" applyFont="1" applyBorder="1" applyAlignment="1">
      <alignment vertical="center"/>
    </xf>
    <xf numFmtId="178" fontId="0" fillId="4" borderId="60" xfId="1" applyNumberFormat="1" applyFont="1" applyFill="1" applyBorder="1" applyAlignment="1">
      <alignment vertical="center"/>
    </xf>
    <xf numFmtId="14" fontId="2" fillId="3" borderId="6" xfId="0" applyNumberFormat="1" applyFont="1" applyFill="1" applyBorder="1" applyAlignment="1">
      <alignment horizontal="centerContinuous" vertical="center"/>
    </xf>
    <xf numFmtId="14" fontId="2" fillId="3" borderId="50" xfId="0" applyNumberFormat="1" applyFont="1" applyFill="1" applyBorder="1" applyAlignment="1">
      <alignment horizontal="centerContinuous" vertical="center"/>
    </xf>
    <xf numFmtId="178" fontId="2" fillId="3" borderId="9" xfId="1" applyNumberFormat="1" applyFont="1" applyFill="1" applyBorder="1" applyAlignment="1">
      <alignment vertical="center"/>
    </xf>
    <xf numFmtId="178" fontId="2" fillId="3" borderId="10" xfId="1" applyNumberFormat="1" applyFont="1" applyFill="1" applyBorder="1" applyAlignment="1">
      <alignment vertical="center"/>
    </xf>
    <xf numFmtId="178" fontId="2" fillId="3" borderId="45" xfId="1" applyNumberFormat="1" applyFont="1" applyFill="1" applyBorder="1">
      <alignment vertical="center"/>
    </xf>
    <xf numFmtId="178" fontId="2" fillId="3" borderId="50" xfId="1" applyNumberFormat="1" applyFont="1" applyFill="1" applyBorder="1">
      <alignment vertical="center"/>
    </xf>
    <xf numFmtId="178" fontId="2" fillId="3" borderId="45" xfId="1" applyNumberFormat="1" applyFont="1" applyFill="1" applyBorder="1" applyAlignment="1">
      <alignment vertical="center"/>
    </xf>
    <xf numFmtId="178" fontId="2" fillId="3" borderId="10" xfId="0" applyNumberFormat="1" applyFont="1" applyFill="1" applyBorder="1">
      <alignment vertical="center"/>
    </xf>
    <xf numFmtId="178" fontId="2" fillId="3" borderId="45" xfId="0" applyNumberFormat="1" applyFont="1" applyFill="1" applyBorder="1">
      <alignment vertical="center"/>
    </xf>
    <xf numFmtId="178" fontId="2" fillId="3" borderId="50" xfId="0" applyNumberFormat="1" applyFont="1" applyFill="1" applyBorder="1">
      <alignment vertical="center"/>
    </xf>
    <xf numFmtId="0" fontId="2" fillId="0" borderId="0" xfId="0" applyFont="1" applyBorder="1">
      <alignment vertical="center"/>
    </xf>
    <xf numFmtId="176" fontId="2" fillId="0" borderId="2" xfId="0" applyNumberFormat="1" applyFont="1" applyBorder="1" applyAlignment="1">
      <alignment horizontal="center" vertical="center"/>
    </xf>
    <xf numFmtId="178" fontId="0" fillId="0" borderId="2" xfId="0" applyNumberFormat="1" applyBorder="1">
      <alignment vertical="center"/>
    </xf>
    <xf numFmtId="0" fontId="2" fillId="0" borderId="34" xfId="0" applyFont="1" applyBorder="1" applyAlignment="1">
      <alignment horizontal="centerContinuous" vertical="center"/>
    </xf>
    <xf numFmtId="0" fontId="2" fillId="0" borderId="35" xfId="0" applyFont="1" applyBorder="1" applyAlignment="1">
      <alignment horizontal="centerContinuous" vertical="center"/>
    </xf>
    <xf numFmtId="0" fontId="2" fillId="0" borderId="74" xfId="0" applyFont="1" applyBorder="1" applyAlignment="1">
      <alignment horizontal="centerContinuous" vertical="center"/>
    </xf>
    <xf numFmtId="176" fontId="2" fillId="0" borderId="66" xfId="0" applyNumberFormat="1" applyFont="1" applyBorder="1" applyAlignment="1">
      <alignment horizontal="centerContinuous" vertical="center"/>
    </xf>
    <xf numFmtId="176" fontId="2" fillId="0" borderId="0" xfId="0" applyNumberFormat="1" applyFont="1" applyBorder="1" applyAlignment="1">
      <alignment horizontal="center" vertical="center"/>
    </xf>
    <xf numFmtId="178" fontId="2" fillId="0" borderId="0" xfId="0" applyNumberFormat="1" applyFont="1" applyBorder="1">
      <alignment vertical="center"/>
    </xf>
    <xf numFmtId="178" fontId="2" fillId="0" borderId="12" xfId="0" applyNumberFormat="1" applyFont="1" applyBorder="1" applyAlignment="1">
      <alignment horizontal="center" vertical="center"/>
    </xf>
    <xf numFmtId="178" fontId="0" fillId="0" borderId="7" xfId="0" applyNumberFormat="1" applyBorder="1">
      <alignment vertical="center"/>
    </xf>
    <xf numFmtId="178" fontId="6" fillId="3" borderId="28" xfId="1" applyNumberFormat="1" applyFont="1" applyFill="1" applyBorder="1" applyAlignment="1">
      <alignment vertical="center"/>
    </xf>
    <xf numFmtId="178" fontId="6" fillId="3" borderId="29" xfId="1" applyNumberFormat="1" applyFont="1" applyFill="1" applyBorder="1" applyAlignment="1">
      <alignment vertical="center"/>
    </xf>
    <xf numFmtId="178" fontId="6" fillId="3" borderId="29" xfId="1" applyNumberFormat="1" applyFont="1" applyFill="1" applyBorder="1">
      <alignment vertical="center"/>
    </xf>
    <xf numFmtId="178" fontId="6" fillId="3" borderId="39" xfId="1" applyNumberFormat="1" applyFont="1" applyFill="1" applyBorder="1">
      <alignment vertical="center"/>
    </xf>
    <xf numFmtId="178" fontId="6" fillId="3" borderId="3" xfId="1" applyNumberFormat="1" applyFont="1" applyFill="1" applyBorder="1">
      <alignment vertical="center"/>
    </xf>
    <xf numFmtId="0" fontId="18" fillId="10" borderId="34" xfId="0" applyFont="1" applyFill="1" applyBorder="1" applyAlignment="1">
      <alignment horizontal="centerContinuous" vertical="center"/>
    </xf>
    <xf numFmtId="0" fontId="18" fillId="10" borderId="35" xfId="0" applyFont="1" applyFill="1" applyBorder="1" applyAlignment="1">
      <alignment horizontal="centerContinuous" vertical="center"/>
    </xf>
    <xf numFmtId="0" fontId="18" fillId="10" borderId="36" xfId="0" applyFont="1" applyFill="1" applyBorder="1" applyAlignment="1">
      <alignment horizontal="centerContinuous" vertical="center"/>
    </xf>
    <xf numFmtId="0" fontId="18" fillId="10" borderId="9" xfId="0" applyFont="1" applyFill="1" applyBorder="1" applyAlignment="1">
      <alignment horizontal="center" vertical="center"/>
    </xf>
    <xf numFmtId="0" fontId="18" fillId="10" borderId="10" xfId="0" applyFont="1" applyFill="1" applyBorder="1" applyAlignment="1">
      <alignment horizontal="center" vertical="center"/>
    </xf>
    <xf numFmtId="0" fontId="18" fillId="10" borderId="45" xfId="0" applyFont="1" applyFill="1" applyBorder="1" applyAlignment="1">
      <alignment horizontal="center" vertical="center"/>
    </xf>
    <xf numFmtId="0" fontId="18" fillId="10" borderId="11" xfId="0" applyFont="1" applyFill="1" applyBorder="1" applyAlignment="1">
      <alignment horizontal="center" vertical="center"/>
    </xf>
    <xf numFmtId="0" fontId="18" fillId="10" borderId="15" xfId="0" applyFont="1" applyFill="1" applyBorder="1" applyAlignment="1">
      <alignment horizontal="center" vertical="center"/>
    </xf>
    <xf numFmtId="0" fontId="18" fillId="10" borderId="16" xfId="0" applyFont="1" applyFill="1" applyBorder="1" applyAlignment="1">
      <alignment horizontal="center" vertical="center"/>
    </xf>
    <xf numFmtId="0" fontId="18" fillId="10" borderId="50" xfId="0" applyFont="1" applyFill="1" applyBorder="1" applyAlignment="1">
      <alignment horizontal="center" vertical="center"/>
    </xf>
    <xf numFmtId="0" fontId="18" fillId="10" borderId="47" xfId="0" applyFont="1" applyFill="1" applyBorder="1" applyAlignment="1">
      <alignment horizontal="center" vertical="center"/>
    </xf>
    <xf numFmtId="178" fontId="9" fillId="0" borderId="0" xfId="0" applyNumberFormat="1" applyFont="1">
      <alignment vertical="center"/>
    </xf>
    <xf numFmtId="178" fontId="19" fillId="0" borderId="0" xfId="0" applyNumberFormat="1" applyFont="1">
      <alignment vertical="center"/>
    </xf>
    <xf numFmtId="178" fontId="0" fillId="0" borderId="0" xfId="0" applyNumberFormat="1" applyAlignment="1">
      <alignment horizontal="right" vertical="center"/>
    </xf>
    <xf numFmtId="178" fontId="18" fillId="0" borderId="0" xfId="0" applyNumberFormat="1" applyFont="1" applyFill="1" applyBorder="1" applyAlignment="1">
      <alignment vertical="center"/>
    </xf>
    <xf numFmtId="178" fontId="2" fillId="0" borderId="4" xfId="0" applyNumberFormat="1" applyFont="1" applyBorder="1" applyAlignment="1">
      <alignment horizontal="centerContinuous" vertical="center"/>
    </xf>
    <xf numFmtId="178" fontId="0" fillId="0" borderId="5" xfId="0" applyNumberFormat="1" applyBorder="1">
      <alignment vertical="center"/>
    </xf>
    <xf numFmtId="178" fontId="6" fillId="0" borderId="4" xfId="0" applyNumberFormat="1" applyFont="1" applyBorder="1">
      <alignment vertical="center"/>
    </xf>
    <xf numFmtId="178" fontId="6" fillId="0" borderId="46" xfId="0" applyNumberFormat="1" applyFont="1" applyBorder="1">
      <alignment vertical="center"/>
    </xf>
    <xf numFmtId="178" fontId="6" fillId="0" borderId="18" xfId="0" applyNumberFormat="1" applyFont="1" applyBorder="1">
      <alignment vertical="center"/>
    </xf>
    <xf numFmtId="178" fontId="6" fillId="0" borderId="53" xfId="0" applyNumberFormat="1" applyFont="1" applyBorder="1">
      <alignment vertical="center"/>
    </xf>
    <xf numFmtId="178" fontId="2" fillId="0" borderId="31" xfId="0" applyNumberFormat="1" applyFont="1" applyBorder="1" applyAlignment="1">
      <alignment horizontal="right" vertical="center"/>
    </xf>
    <xf numFmtId="178" fontId="2" fillId="0" borderId="33" xfId="0" applyNumberFormat="1" applyFont="1" applyBorder="1" applyAlignment="1">
      <alignment horizontal="right" vertical="center"/>
    </xf>
    <xf numFmtId="178" fontId="6" fillId="0" borderId="0" xfId="0" applyNumberFormat="1" applyFont="1" applyBorder="1">
      <alignment vertical="center"/>
    </xf>
    <xf numFmtId="177" fontId="6" fillId="0" borderId="0" xfId="0" applyNumberFormat="1" applyFont="1" applyBorder="1">
      <alignment vertical="center"/>
    </xf>
    <xf numFmtId="178" fontId="0" fillId="0" borderId="8" xfId="0" applyNumberFormat="1" applyBorder="1">
      <alignment vertical="center"/>
    </xf>
    <xf numFmtId="178" fontId="2" fillId="0" borderId="7" xfId="0" applyNumberFormat="1" applyFont="1" applyBorder="1">
      <alignment vertical="center"/>
    </xf>
    <xf numFmtId="178" fontId="0" fillId="0" borderId="55" xfId="0" applyNumberFormat="1" applyBorder="1" applyAlignment="1">
      <alignment horizontal="center" vertical="center"/>
    </xf>
    <xf numFmtId="178" fontId="0" fillId="0" borderId="3" xfId="0" applyNumberFormat="1" applyBorder="1" applyAlignment="1">
      <alignment horizontal="center" vertical="center"/>
    </xf>
    <xf numFmtId="178" fontId="0" fillId="0" borderId="8" xfId="0" applyNumberFormat="1" applyBorder="1" applyAlignment="1">
      <alignment horizontal="center" vertical="center"/>
    </xf>
    <xf numFmtId="177" fontId="0" fillId="0" borderId="17" xfId="0" applyNumberFormat="1" applyBorder="1">
      <alignment vertical="center"/>
    </xf>
    <xf numFmtId="178" fontId="6" fillId="0" borderId="2" xfId="0" applyNumberFormat="1" applyFont="1" applyBorder="1">
      <alignment vertical="center"/>
    </xf>
    <xf numFmtId="178" fontId="6" fillId="0" borderId="68" xfId="0" applyNumberFormat="1" applyFont="1" applyBorder="1">
      <alignment vertical="center"/>
    </xf>
    <xf numFmtId="178" fontId="6" fillId="0" borderId="23" xfId="0" applyNumberFormat="1" applyFont="1" applyBorder="1">
      <alignment vertical="center"/>
    </xf>
    <xf numFmtId="177" fontId="6" fillId="0" borderId="23" xfId="0" applyNumberFormat="1" applyFont="1" applyBorder="1">
      <alignment vertical="center"/>
    </xf>
    <xf numFmtId="177" fontId="6" fillId="0" borderId="7" xfId="0" applyNumberFormat="1" applyFont="1" applyBorder="1">
      <alignment vertical="center"/>
    </xf>
    <xf numFmtId="0" fontId="16" fillId="6" borderId="74" xfId="0" applyFont="1" applyFill="1" applyBorder="1" applyAlignment="1">
      <alignment horizontal="centerContinuous" vertical="center"/>
    </xf>
    <xf numFmtId="178" fontId="0" fillId="0" borderId="30" xfId="0" applyNumberFormat="1" applyBorder="1" applyAlignment="1">
      <alignment horizontal="center" vertical="center" wrapText="1"/>
    </xf>
    <xf numFmtId="178" fontId="0" fillId="0" borderId="0" xfId="0" applyNumberFormat="1" applyAlignment="1">
      <alignment vertical="center"/>
    </xf>
    <xf numFmtId="178" fontId="6" fillId="0" borderId="8" xfId="0" applyNumberFormat="1" applyFont="1" applyBorder="1">
      <alignment vertical="center"/>
    </xf>
    <xf numFmtId="178" fontId="6" fillId="0" borderId="6" xfId="0" applyNumberFormat="1" applyFont="1" applyBorder="1">
      <alignment vertical="center"/>
    </xf>
    <xf numFmtId="178" fontId="6" fillId="0" borderId="7" xfId="0" applyNumberFormat="1" applyFont="1" applyBorder="1">
      <alignment vertical="center"/>
    </xf>
    <xf numFmtId="178" fontId="6" fillId="0" borderId="63" xfId="0" applyNumberFormat="1" applyFont="1" applyBorder="1">
      <alignment vertical="center"/>
    </xf>
    <xf numFmtId="178" fontId="6" fillId="0" borderId="47" xfId="0" applyNumberFormat="1" applyFont="1" applyBorder="1">
      <alignment vertical="center"/>
    </xf>
    <xf numFmtId="178" fontId="2" fillId="0" borderId="63" xfId="0" applyNumberFormat="1" applyFont="1" applyBorder="1" applyAlignment="1">
      <alignment horizontal="center" vertical="center"/>
    </xf>
    <xf numFmtId="178" fontId="2" fillId="0" borderId="15" xfId="0" applyNumberFormat="1" applyFont="1" applyBorder="1" applyAlignment="1">
      <alignment horizontal="center" vertical="center"/>
    </xf>
    <xf numFmtId="178" fontId="6" fillId="0" borderId="5" xfId="0" applyNumberFormat="1" applyFont="1" applyBorder="1">
      <alignment vertical="center"/>
    </xf>
    <xf numFmtId="178" fontId="6" fillId="0" borderId="31" xfId="0" applyNumberFormat="1" applyFont="1" applyBorder="1">
      <alignment vertical="center"/>
    </xf>
    <xf numFmtId="178" fontId="2" fillId="0" borderId="31" xfId="0" applyNumberFormat="1" applyFont="1" applyBorder="1" applyAlignment="1">
      <alignment horizontal="center" vertical="center"/>
    </xf>
    <xf numFmtId="178" fontId="6" fillId="0" borderId="54" xfId="0" applyNumberFormat="1" applyFont="1" applyBorder="1">
      <alignment vertical="center"/>
    </xf>
    <xf numFmtId="178" fontId="6" fillId="0" borderId="32" xfId="0" applyNumberFormat="1" applyFont="1" applyBorder="1">
      <alignment vertical="center"/>
    </xf>
    <xf numFmtId="178" fontId="2" fillId="0" borderId="32" xfId="0" applyNumberFormat="1" applyFont="1" applyBorder="1" applyAlignment="1">
      <alignment horizontal="center" vertical="center"/>
    </xf>
    <xf numFmtId="178" fontId="2" fillId="0" borderId="19" xfId="0" applyNumberFormat="1" applyFont="1" applyBorder="1" applyAlignment="1">
      <alignment horizontal="center" vertical="center"/>
    </xf>
    <xf numFmtId="178" fontId="6" fillId="0" borderId="4" xfId="0" applyNumberFormat="1" applyFont="1" applyBorder="1" applyAlignment="1">
      <alignment vertical="center"/>
    </xf>
    <xf numFmtId="178" fontId="6" fillId="0" borderId="0" xfId="0" applyNumberFormat="1" applyFont="1" applyBorder="1" applyAlignment="1">
      <alignment vertical="center"/>
    </xf>
    <xf numFmtId="178" fontId="6" fillId="0" borderId="31" xfId="0" applyNumberFormat="1" applyFont="1" applyBorder="1" applyAlignment="1">
      <alignment vertical="center"/>
    </xf>
    <xf numFmtId="178" fontId="6" fillId="0" borderId="46" xfId="0" applyNumberFormat="1" applyFont="1" applyBorder="1" applyAlignment="1">
      <alignment vertical="center"/>
    </xf>
    <xf numFmtId="178" fontId="6" fillId="0" borderId="1" xfId="0" applyNumberFormat="1" applyFont="1" applyBorder="1" applyAlignment="1">
      <alignment vertical="center"/>
    </xf>
    <xf numFmtId="178" fontId="6" fillId="0" borderId="2" xfId="0" applyNumberFormat="1" applyFont="1" applyBorder="1" applyAlignment="1">
      <alignment vertical="center"/>
    </xf>
    <xf numFmtId="178" fontId="6" fillId="0" borderId="27" xfId="0" applyNumberFormat="1" applyFont="1" applyBorder="1" applyAlignment="1">
      <alignment vertical="center"/>
    </xf>
    <xf numFmtId="178" fontId="6" fillId="0" borderId="39" xfId="0" applyNumberFormat="1" applyFont="1" applyBorder="1" applyAlignment="1">
      <alignment vertical="center"/>
    </xf>
    <xf numFmtId="178" fontId="2" fillId="0" borderId="30" xfId="0" applyNumberFormat="1" applyFont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/>
    </xf>
    <xf numFmtId="178" fontId="6" fillId="0" borderId="6" xfId="0" applyNumberFormat="1" applyFont="1" applyBorder="1" applyAlignment="1">
      <alignment vertical="center"/>
    </xf>
    <xf numFmtId="178" fontId="6" fillId="0" borderId="7" xfId="0" applyNumberFormat="1" applyFont="1" applyBorder="1" applyAlignment="1">
      <alignment vertical="center"/>
    </xf>
    <xf numFmtId="178" fontId="6" fillId="0" borderId="63" xfId="0" applyNumberFormat="1" applyFont="1" applyBorder="1" applyAlignment="1">
      <alignment vertical="center"/>
    </xf>
    <xf numFmtId="178" fontId="6" fillId="0" borderId="47" xfId="0" applyNumberFormat="1" applyFont="1" applyBorder="1" applyAlignment="1">
      <alignment vertical="center"/>
    </xf>
    <xf numFmtId="178" fontId="2" fillId="0" borderId="7" xfId="0" applyNumberFormat="1" applyFont="1" applyBorder="1" applyAlignment="1">
      <alignment horizontal="center" vertical="center"/>
    </xf>
    <xf numFmtId="178" fontId="6" fillId="0" borderId="22" xfId="0" applyNumberFormat="1" applyFont="1" applyBorder="1" applyAlignment="1">
      <alignment vertical="center"/>
    </xf>
    <xf numFmtId="178" fontId="6" fillId="0" borderId="23" xfId="0" applyNumberFormat="1" applyFont="1" applyBorder="1" applyAlignment="1">
      <alignment vertical="center"/>
    </xf>
    <xf numFmtId="178" fontId="6" fillId="0" borderId="33" xfId="0" applyNumberFormat="1" applyFont="1" applyBorder="1" applyAlignment="1">
      <alignment vertical="center"/>
    </xf>
    <xf numFmtId="178" fontId="6" fillId="0" borderId="49" xfId="0" applyNumberFormat="1" applyFont="1" applyBorder="1" applyAlignment="1">
      <alignment vertical="center"/>
    </xf>
    <xf numFmtId="178" fontId="2" fillId="0" borderId="33" xfId="0" applyNumberFormat="1" applyFont="1" applyBorder="1" applyAlignment="1">
      <alignment horizontal="center" vertical="center"/>
    </xf>
    <xf numFmtId="178" fontId="2" fillId="0" borderId="27" xfId="0" applyNumberFormat="1" applyFont="1" applyBorder="1" applyAlignment="1">
      <alignment horizontal="center" vertical="center"/>
    </xf>
    <xf numFmtId="178" fontId="2" fillId="0" borderId="28" xfId="0" applyNumberFormat="1" applyFont="1" applyBorder="1" applyAlignment="1">
      <alignment horizontal="center" vertical="center"/>
    </xf>
    <xf numFmtId="178" fontId="6" fillId="0" borderId="18" xfId="0" applyNumberFormat="1" applyFont="1" applyBorder="1" applyAlignment="1">
      <alignment vertical="center"/>
    </xf>
    <xf numFmtId="178" fontId="6" fillId="0" borderId="68" xfId="0" applyNumberFormat="1" applyFont="1" applyBorder="1" applyAlignment="1">
      <alignment vertical="center"/>
    </xf>
    <xf numFmtId="178" fontId="6" fillId="0" borderId="32" xfId="0" applyNumberFormat="1" applyFont="1" applyBorder="1" applyAlignment="1">
      <alignment vertical="center"/>
    </xf>
    <xf numFmtId="178" fontId="6" fillId="0" borderId="53" xfId="0" applyNumberFormat="1" applyFont="1" applyBorder="1" applyAlignment="1">
      <alignment vertical="center"/>
    </xf>
    <xf numFmtId="178" fontId="2" fillId="0" borderId="68" xfId="0" applyNumberFormat="1" applyFont="1" applyBorder="1" applyAlignment="1">
      <alignment horizontal="center" vertical="center"/>
    </xf>
    <xf numFmtId="178" fontId="20" fillId="0" borderId="22" xfId="0" applyNumberFormat="1" applyFont="1" applyBorder="1" applyAlignment="1">
      <alignment vertical="center"/>
    </xf>
    <xf numFmtId="178" fontId="20" fillId="0" borderId="23" xfId="0" applyNumberFormat="1" applyFont="1" applyBorder="1" applyAlignment="1">
      <alignment vertical="center"/>
    </xf>
    <xf numFmtId="178" fontId="20" fillId="0" borderId="33" xfId="0" applyNumberFormat="1" applyFont="1" applyBorder="1" applyAlignment="1">
      <alignment vertical="center"/>
    </xf>
    <xf numFmtId="178" fontId="20" fillId="0" borderId="49" xfId="0" applyNumberFormat="1" applyFont="1" applyBorder="1" applyAlignment="1">
      <alignment vertical="center"/>
    </xf>
    <xf numFmtId="178" fontId="21" fillId="0" borderId="33" xfId="0" applyNumberFormat="1" applyFont="1" applyBorder="1" applyAlignment="1">
      <alignment horizontal="center" vertical="center"/>
    </xf>
    <xf numFmtId="178" fontId="6" fillId="0" borderId="0" xfId="0" applyNumberFormat="1" applyFont="1" applyFill="1" applyBorder="1">
      <alignment vertical="center"/>
    </xf>
    <xf numFmtId="178" fontId="2" fillId="0" borderId="4" xfId="0" applyNumberFormat="1" applyFont="1" applyFill="1" applyBorder="1" applyAlignment="1">
      <alignment horizontal="center" vertical="center"/>
    </xf>
    <xf numFmtId="178" fontId="6" fillId="0" borderId="1" xfId="0" applyNumberFormat="1" applyFont="1" applyFill="1" applyBorder="1" applyAlignment="1">
      <alignment vertical="center"/>
    </xf>
    <xf numFmtId="178" fontId="6" fillId="0" borderId="2" xfId="0" applyNumberFormat="1" applyFont="1" applyFill="1" applyBorder="1" applyAlignment="1">
      <alignment vertical="center"/>
    </xf>
    <xf numFmtId="178" fontId="6" fillId="0" borderId="27" xfId="0" applyNumberFormat="1" applyFont="1" applyFill="1" applyBorder="1" applyAlignment="1">
      <alignment vertical="center"/>
    </xf>
    <xf numFmtId="178" fontId="6" fillId="0" borderId="39" xfId="0" applyNumberFormat="1" applyFont="1" applyFill="1" applyBorder="1" applyAlignment="1">
      <alignment vertical="center"/>
    </xf>
    <xf numFmtId="178" fontId="2" fillId="0" borderId="27" xfId="0" applyNumberFormat="1" applyFont="1" applyFill="1" applyBorder="1" applyAlignment="1">
      <alignment horizontal="center" vertical="center"/>
    </xf>
    <xf numFmtId="178" fontId="2" fillId="0" borderId="28" xfId="0" applyNumberFormat="1" applyFont="1" applyFill="1" applyBorder="1" applyAlignment="1">
      <alignment horizontal="center" vertical="center"/>
    </xf>
    <xf numFmtId="178" fontId="6" fillId="0" borderId="74" xfId="0" applyNumberFormat="1" applyFont="1" applyFill="1" applyBorder="1" applyAlignment="1">
      <alignment vertical="center"/>
    </xf>
    <xf numFmtId="178" fontId="6" fillId="0" borderId="66" xfId="0" applyNumberFormat="1" applyFont="1" applyFill="1" applyBorder="1" applyAlignment="1">
      <alignment vertical="center"/>
    </xf>
    <xf numFmtId="178" fontId="6" fillId="0" borderId="64" xfId="0" applyNumberFormat="1" applyFont="1" applyFill="1" applyBorder="1" applyAlignment="1">
      <alignment vertical="center"/>
    </xf>
    <xf numFmtId="178" fontId="6" fillId="0" borderId="45" xfId="0" applyNumberFormat="1" applyFont="1" applyFill="1" applyBorder="1" applyAlignment="1">
      <alignment vertical="center"/>
    </xf>
    <xf numFmtId="178" fontId="2" fillId="0" borderId="66" xfId="0" applyNumberFormat="1" applyFont="1" applyFill="1" applyBorder="1" applyAlignment="1">
      <alignment horizontal="center" vertical="center"/>
    </xf>
    <xf numFmtId="178" fontId="2" fillId="0" borderId="6" xfId="0" applyNumberFormat="1" applyFont="1" applyFill="1" applyBorder="1" applyAlignment="1">
      <alignment horizontal="center" vertical="center"/>
    </xf>
    <xf numFmtId="9" fontId="6" fillId="0" borderId="22" xfId="0" applyNumberFormat="1" applyFont="1" applyFill="1" applyBorder="1" applyAlignment="1">
      <alignment vertical="center"/>
    </xf>
    <xf numFmtId="9" fontId="6" fillId="0" borderId="23" xfId="0" applyNumberFormat="1" applyFont="1" applyFill="1" applyBorder="1" applyAlignment="1">
      <alignment vertical="center"/>
    </xf>
    <xf numFmtId="9" fontId="6" fillId="0" borderId="33" xfId="0" applyNumberFormat="1" applyFont="1" applyFill="1" applyBorder="1" applyAlignment="1">
      <alignment vertical="center"/>
    </xf>
    <xf numFmtId="9" fontId="6" fillId="0" borderId="49" xfId="0" applyNumberFormat="1" applyFont="1" applyFill="1" applyBorder="1" applyAlignment="1">
      <alignment vertical="center"/>
    </xf>
    <xf numFmtId="9" fontId="2" fillId="0" borderId="33" xfId="0" applyNumberFormat="1" applyFont="1" applyFill="1" applyBorder="1" applyAlignment="1">
      <alignment horizontal="right" vertical="center"/>
    </xf>
    <xf numFmtId="178" fontId="6" fillId="0" borderId="18" xfId="0" applyNumberFormat="1" applyFont="1" applyFill="1" applyBorder="1" applyAlignment="1">
      <alignment vertical="center"/>
    </xf>
    <xf numFmtId="178" fontId="6" fillId="0" borderId="68" xfId="0" applyNumberFormat="1" applyFont="1" applyFill="1" applyBorder="1" applyAlignment="1">
      <alignment vertical="center"/>
    </xf>
    <xf numFmtId="178" fontId="6" fillId="0" borderId="32" xfId="0" applyNumberFormat="1" applyFont="1" applyFill="1" applyBorder="1" applyAlignment="1">
      <alignment vertical="center"/>
    </xf>
    <xf numFmtId="178" fontId="6" fillId="0" borderId="53" xfId="0" applyNumberFormat="1" applyFont="1" applyFill="1" applyBorder="1" applyAlignment="1">
      <alignment vertical="center"/>
    </xf>
    <xf numFmtId="178" fontId="2" fillId="0" borderId="32" xfId="0" applyNumberFormat="1" applyFont="1" applyFill="1" applyBorder="1" applyAlignment="1">
      <alignment horizontal="center" vertical="center"/>
    </xf>
    <xf numFmtId="178" fontId="2" fillId="0" borderId="12" xfId="0" applyNumberFormat="1" applyFont="1" applyFill="1" applyBorder="1" applyAlignment="1">
      <alignment horizontal="center" vertical="center"/>
    </xf>
    <xf numFmtId="9" fontId="6" fillId="0" borderId="4" xfId="0" applyNumberFormat="1" applyFont="1" applyFill="1" applyBorder="1" applyAlignment="1">
      <alignment vertical="center"/>
    </xf>
    <xf numFmtId="9" fontId="6" fillId="0" borderId="0" xfId="0" applyNumberFormat="1" applyFont="1" applyFill="1" applyBorder="1" applyAlignment="1">
      <alignment vertical="center"/>
    </xf>
    <xf numFmtId="9" fontId="6" fillId="0" borderId="31" xfId="0" applyNumberFormat="1" applyFont="1" applyFill="1" applyBorder="1" applyAlignment="1">
      <alignment vertical="center"/>
    </xf>
    <xf numFmtId="9" fontId="6" fillId="0" borderId="46" xfId="0" applyNumberFormat="1" applyFont="1" applyFill="1" applyBorder="1" applyAlignment="1">
      <alignment vertical="center"/>
    </xf>
    <xf numFmtId="9" fontId="2" fillId="0" borderId="31" xfId="0" applyNumberFormat="1" applyFont="1" applyFill="1" applyBorder="1" applyAlignment="1">
      <alignment horizontal="right" vertical="center"/>
    </xf>
    <xf numFmtId="178" fontId="18" fillId="6" borderId="74" xfId="0" applyNumberFormat="1" applyFont="1" applyFill="1" applyBorder="1" applyAlignment="1">
      <alignment horizontal="center" vertical="center"/>
    </xf>
    <xf numFmtId="178" fontId="18" fillId="6" borderId="66" xfId="0" applyNumberFormat="1" applyFont="1" applyFill="1" applyBorder="1" applyAlignment="1">
      <alignment horizontal="center" vertical="center"/>
    </xf>
    <xf numFmtId="178" fontId="18" fillId="6" borderId="64" xfId="0" applyNumberFormat="1" applyFont="1" applyFill="1" applyBorder="1" applyAlignment="1">
      <alignment horizontal="center" vertical="center"/>
    </xf>
    <xf numFmtId="178" fontId="18" fillId="6" borderId="45" xfId="0" applyNumberFormat="1" applyFont="1" applyFill="1" applyBorder="1" applyAlignment="1">
      <alignment horizontal="center" vertical="center"/>
    </xf>
    <xf numFmtId="178" fontId="2" fillId="0" borderId="0" xfId="0" applyNumberFormat="1" applyFont="1" applyFill="1" applyBorder="1" applyAlignment="1">
      <alignment horizontal="center" vertical="center"/>
    </xf>
    <xf numFmtId="178" fontId="18" fillId="6" borderId="29" xfId="0" applyNumberFormat="1" applyFont="1" applyFill="1" applyBorder="1" applyAlignment="1">
      <alignment horizontal="centerContinuous" vertical="center"/>
    </xf>
    <xf numFmtId="178" fontId="18" fillId="6" borderId="28" xfId="0" applyNumberFormat="1" applyFont="1" applyFill="1" applyBorder="1" applyAlignment="1">
      <alignment horizontal="centerContinuous" vertical="center"/>
    </xf>
    <xf numFmtId="178" fontId="18" fillId="6" borderId="27" xfId="0" applyNumberFormat="1" applyFont="1" applyFill="1" applyBorder="1" applyAlignment="1">
      <alignment horizontal="centerContinuous" vertical="center"/>
    </xf>
    <xf numFmtId="178" fontId="18" fillId="0" borderId="0" xfId="0" applyNumberFormat="1" applyFont="1" applyFill="1" applyBorder="1" applyAlignment="1">
      <alignment horizontal="centerContinuous" vertical="center"/>
    </xf>
    <xf numFmtId="176" fontId="7" fillId="9" borderId="28" xfId="0" applyNumberFormat="1" applyFont="1" applyFill="1" applyBorder="1" applyAlignment="1">
      <alignment horizontal="center" vertical="center"/>
    </xf>
    <xf numFmtId="176" fontId="7" fillId="9" borderId="12" xfId="0" applyNumberFormat="1" applyFont="1" applyFill="1" applyBorder="1" applyAlignment="1">
      <alignment horizontal="center" vertical="center"/>
    </xf>
    <xf numFmtId="176" fontId="7" fillId="9" borderId="6" xfId="0" applyNumberFormat="1" applyFont="1" applyFill="1" applyBorder="1" applyAlignment="1">
      <alignment horizontal="centerContinuous" vertical="center"/>
    </xf>
    <xf numFmtId="0" fontId="2" fillId="0" borderId="75" xfId="0" applyFont="1" applyBorder="1" applyAlignment="1">
      <alignment horizontal="centerContinuous" vertical="center"/>
    </xf>
    <xf numFmtId="176" fontId="2" fillId="0" borderId="76" xfId="0" applyNumberFormat="1" applyFont="1" applyBorder="1" applyAlignment="1">
      <alignment horizontal="centerContinuous" vertical="center"/>
    </xf>
    <xf numFmtId="176" fontId="7" fillId="0" borderId="27" xfId="0" applyNumberFormat="1" applyFont="1" applyBorder="1" applyAlignment="1">
      <alignment horizontal="center" vertical="center"/>
    </xf>
    <xf numFmtId="176" fontId="7" fillId="0" borderId="31" xfId="0" applyNumberFormat="1" applyFont="1" applyBorder="1" applyAlignment="1">
      <alignment horizontal="center" vertical="center"/>
    </xf>
    <xf numFmtId="176" fontId="7" fillId="0" borderId="33" xfId="0" applyNumberFormat="1" applyFont="1" applyBorder="1" applyAlignment="1">
      <alignment horizontal="center" vertical="center"/>
    </xf>
    <xf numFmtId="176" fontId="7" fillId="0" borderId="7" xfId="0" applyNumberFormat="1" applyFont="1" applyBorder="1" applyAlignment="1">
      <alignment horizontal="centerContinuous" vertical="center"/>
    </xf>
    <xf numFmtId="176" fontId="7" fillId="9" borderId="27" xfId="0" applyNumberFormat="1" applyFont="1" applyFill="1" applyBorder="1" applyAlignment="1">
      <alignment horizontal="center" vertical="center"/>
    </xf>
    <xf numFmtId="176" fontId="7" fillId="9" borderId="31" xfId="0" applyNumberFormat="1" applyFont="1" applyFill="1" applyBorder="1" applyAlignment="1">
      <alignment horizontal="center" vertical="center"/>
    </xf>
    <xf numFmtId="176" fontId="7" fillId="9" borderId="33" xfId="0" applyNumberFormat="1" applyFont="1" applyFill="1" applyBorder="1" applyAlignment="1">
      <alignment horizontal="center" vertical="center"/>
    </xf>
    <xf numFmtId="176" fontId="7" fillId="9" borderId="7" xfId="0" applyNumberFormat="1" applyFont="1" applyFill="1" applyBorder="1" applyAlignment="1">
      <alignment horizontal="centerContinuous" vertical="center"/>
    </xf>
    <xf numFmtId="178" fontId="2" fillId="0" borderId="36" xfId="0" applyNumberFormat="1" applyFont="1" applyBorder="1" applyAlignment="1">
      <alignment vertical="center"/>
    </xf>
    <xf numFmtId="177" fontId="0" fillId="0" borderId="50" xfId="0" applyNumberFormat="1" applyBorder="1">
      <alignment vertical="center"/>
    </xf>
    <xf numFmtId="178" fontId="0" fillId="0" borderId="50" xfId="0" applyNumberFormat="1" applyBorder="1">
      <alignment vertical="center"/>
    </xf>
    <xf numFmtId="178" fontId="2" fillId="0" borderId="65" xfId="0" applyNumberFormat="1" applyFont="1" applyBorder="1" applyAlignment="1">
      <alignment vertical="center"/>
    </xf>
    <xf numFmtId="177" fontId="0" fillId="0" borderId="10" xfId="0" applyNumberFormat="1" applyBorder="1">
      <alignment vertical="center"/>
    </xf>
    <xf numFmtId="176" fontId="15" fillId="0" borderId="1" xfId="0" applyNumberFormat="1" applyFont="1" applyBorder="1">
      <alignment vertical="center"/>
    </xf>
    <xf numFmtId="176" fontId="15" fillId="0" borderId="4" xfId="0" applyNumberFormat="1" applyFont="1" applyBorder="1">
      <alignment vertical="center"/>
    </xf>
    <xf numFmtId="176" fontId="15" fillId="0" borderId="22" xfId="0" applyNumberFormat="1" applyFont="1" applyBorder="1">
      <alignment vertical="center"/>
    </xf>
    <xf numFmtId="176" fontId="15" fillId="0" borderId="6" xfId="0" applyNumberFormat="1" applyFont="1" applyBorder="1">
      <alignment vertical="center"/>
    </xf>
    <xf numFmtId="176" fontId="15" fillId="9" borderId="1" xfId="0" applyNumberFormat="1" applyFont="1" applyFill="1" applyBorder="1">
      <alignment vertical="center"/>
    </xf>
    <xf numFmtId="176" fontId="15" fillId="9" borderId="4" xfId="0" applyNumberFormat="1" applyFont="1" applyFill="1" applyBorder="1">
      <alignment vertical="center"/>
    </xf>
    <xf numFmtId="176" fontId="15" fillId="9" borderId="22" xfId="0" applyNumberFormat="1" applyFont="1" applyFill="1" applyBorder="1">
      <alignment vertical="center"/>
    </xf>
    <xf numFmtId="176" fontId="15" fillId="9" borderId="6" xfId="0" applyNumberFormat="1" applyFont="1" applyFill="1" applyBorder="1">
      <alignment vertical="center"/>
    </xf>
    <xf numFmtId="177" fontId="15" fillId="0" borderId="4" xfId="0" applyNumberFormat="1" applyFont="1" applyBorder="1">
      <alignment vertical="center"/>
    </xf>
    <xf numFmtId="177" fontId="15" fillId="0" borderId="6" xfId="0" applyNumberFormat="1" applyFont="1" applyBorder="1">
      <alignment vertical="center"/>
    </xf>
    <xf numFmtId="0" fontId="16" fillId="6" borderId="45" xfId="0" applyFont="1" applyFill="1" applyBorder="1" applyAlignment="1">
      <alignment horizontal="centerContinuous" vertical="center"/>
    </xf>
    <xf numFmtId="177" fontId="15" fillId="0" borderId="46" xfId="0" applyNumberFormat="1" applyFont="1" applyBorder="1">
      <alignment vertical="center"/>
    </xf>
    <xf numFmtId="177" fontId="15" fillId="0" borderId="47" xfId="0" applyNumberFormat="1" applyFont="1" applyBorder="1">
      <alignment vertical="center"/>
    </xf>
    <xf numFmtId="0" fontId="16" fillId="6" borderId="81" xfId="0" applyFont="1" applyFill="1" applyBorder="1" applyAlignment="1">
      <alignment horizontal="centerContinuous" vertical="center"/>
    </xf>
    <xf numFmtId="177" fontId="15" fillId="0" borderId="78" xfId="0" applyNumberFormat="1" applyFont="1" applyBorder="1">
      <alignment vertical="center"/>
    </xf>
    <xf numFmtId="177" fontId="15" fillId="0" borderId="80" xfId="0" applyNumberFormat="1" applyFont="1" applyBorder="1">
      <alignment vertical="center"/>
    </xf>
    <xf numFmtId="178" fontId="2" fillId="0" borderId="34" xfId="0" applyNumberFormat="1" applyFont="1" applyBorder="1" applyAlignment="1">
      <alignment vertical="center"/>
    </xf>
    <xf numFmtId="177" fontId="0" fillId="0" borderId="74" xfId="0" applyNumberFormat="1" applyBorder="1">
      <alignment vertical="center"/>
    </xf>
    <xf numFmtId="178" fontId="0" fillId="0" borderId="74" xfId="0" applyNumberFormat="1" applyBorder="1">
      <alignment vertical="center"/>
    </xf>
    <xf numFmtId="178" fontId="2" fillId="0" borderId="35" xfId="0" applyNumberFormat="1" applyFont="1" applyFill="1" applyBorder="1" applyAlignment="1">
      <alignment vertical="center"/>
    </xf>
    <xf numFmtId="177" fontId="0" fillId="0" borderId="66" xfId="0" applyNumberFormat="1" applyBorder="1">
      <alignment vertical="center"/>
    </xf>
    <xf numFmtId="178" fontId="0" fillId="0" borderId="66" xfId="0" applyNumberFormat="1" applyBorder="1">
      <alignment vertical="center"/>
    </xf>
    <xf numFmtId="178" fontId="2" fillId="3" borderId="65" xfId="0" applyNumberFormat="1" applyFont="1" applyFill="1" applyBorder="1" applyAlignment="1">
      <alignment vertical="center"/>
    </xf>
    <xf numFmtId="177" fontId="2" fillId="3" borderId="10" xfId="0" applyNumberFormat="1" applyFont="1" applyFill="1" applyBorder="1">
      <alignment vertical="center"/>
    </xf>
    <xf numFmtId="0" fontId="7" fillId="12" borderId="48" xfId="0" applyFont="1" applyFill="1" applyBorder="1" applyAlignment="1">
      <alignment horizontal="centerContinuous" vertical="center"/>
    </xf>
    <xf numFmtId="0" fontId="7" fillId="12" borderId="69" xfId="0" applyFont="1" applyFill="1" applyBorder="1" applyAlignment="1">
      <alignment horizontal="centerContinuous" vertical="center"/>
    </xf>
    <xf numFmtId="0" fontId="7" fillId="12" borderId="1" xfId="0" applyFont="1" applyFill="1" applyBorder="1" applyAlignment="1">
      <alignment horizontal="centerContinuous" vertical="center"/>
    </xf>
    <xf numFmtId="0" fontId="7" fillId="12" borderId="29" xfId="0" applyFont="1" applyFill="1" applyBorder="1" applyAlignment="1">
      <alignment horizontal="centerContinuous" vertical="center"/>
    </xf>
    <xf numFmtId="0" fontId="7" fillId="12" borderId="39" xfId="0" applyFont="1" applyFill="1" applyBorder="1" applyAlignment="1">
      <alignment horizontal="centerContinuous" vertical="center"/>
    </xf>
    <xf numFmtId="0" fontId="7" fillId="12" borderId="30" xfId="0" applyFont="1" applyFill="1" applyBorder="1" applyAlignment="1">
      <alignment horizontal="centerContinuous" vertical="center"/>
    </xf>
    <xf numFmtId="0" fontId="2" fillId="12" borderId="48" xfId="0" applyFont="1" applyFill="1" applyBorder="1" applyAlignment="1">
      <alignment horizontal="centerContinuous" vertical="center"/>
    </xf>
    <xf numFmtId="0" fontId="2" fillId="12" borderId="69" xfId="0" applyFont="1" applyFill="1" applyBorder="1" applyAlignment="1">
      <alignment horizontal="centerContinuous" vertical="center"/>
    </xf>
    <xf numFmtId="178" fontId="2" fillId="12" borderId="1" xfId="0" applyNumberFormat="1" applyFont="1" applyFill="1" applyBorder="1" applyAlignment="1">
      <alignment horizontal="centerContinuous" vertical="center"/>
    </xf>
    <xf numFmtId="178" fontId="2" fillId="12" borderId="29" xfId="0" applyNumberFormat="1" applyFont="1" applyFill="1" applyBorder="1" applyAlignment="1">
      <alignment horizontal="centerContinuous" vertical="center"/>
    </xf>
    <xf numFmtId="178" fontId="2" fillId="12" borderId="2" xfId="0" applyNumberFormat="1" applyFont="1" applyFill="1" applyBorder="1" applyAlignment="1">
      <alignment horizontal="centerContinuous" vertical="center"/>
    </xf>
    <xf numFmtId="178" fontId="2" fillId="12" borderId="3" xfId="0" applyNumberFormat="1" applyFont="1" applyFill="1" applyBorder="1" applyAlignment="1">
      <alignment horizontal="centerContinuous" vertical="center"/>
    </xf>
    <xf numFmtId="180" fontId="0" fillId="0" borderId="0" xfId="0" applyNumberFormat="1">
      <alignment vertical="center"/>
    </xf>
    <xf numFmtId="178" fontId="6" fillId="0" borderId="3" xfId="0" applyNumberFormat="1" applyFont="1" applyBorder="1">
      <alignment vertical="center"/>
    </xf>
    <xf numFmtId="178" fontId="6" fillId="0" borderId="51" xfId="0" applyNumberFormat="1" applyFont="1" applyBorder="1">
      <alignment vertical="center"/>
    </xf>
    <xf numFmtId="177" fontId="6" fillId="0" borderId="5" xfId="0" applyNumberFormat="1" applyFont="1" applyBorder="1">
      <alignment vertical="center"/>
    </xf>
    <xf numFmtId="177" fontId="6" fillId="0" borderId="51" xfId="0" applyNumberFormat="1" applyFont="1" applyBorder="1">
      <alignment vertical="center"/>
    </xf>
    <xf numFmtId="177" fontId="6" fillId="0" borderId="8" xfId="0" applyNumberFormat="1" applyFont="1" applyBorder="1">
      <alignment vertical="center"/>
    </xf>
    <xf numFmtId="178" fontId="2" fillId="0" borderId="63" xfId="0" applyNumberFormat="1" applyFont="1" applyBorder="1" applyAlignment="1">
      <alignment horizontal="centerContinuous" vertical="center"/>
    </xf>
    <xf numFmtId="0" fontId="16" fillId="6" borderId="67" xfId="0" applyFont="1" applyFill="1" applyBorder="1" applyAlignment="1">
      <alignment horizontal="centerContinuous" vertical="center"/>
    </xf>
    <xf numFmtId="178" fontId="6" fillId="0" borderId="70" xfId="0" applyNumberFormat="1" applyFont="1" applyBorder="1">
      <alignment vertical="center"/>
    </xf>
    <xf numFmtId="178" fontId="6" fillId="0" borderId="72" xfId="0" applyNumberFormat="1" applyFont="1" applyBorder="1">
      <alignment vertical="center"/>
    </xf>
    <xf numFmtId="178" fontId="6" fillId="0" borderId="71" xfId="0" applyNumberFormat="1" applyFont="1" applyBorder="1">
      <alignment vertical="center"/>
    </xf>
    <xf numFmtId="178" fontId="6" fillId="0" borderId="83" xfId="0" applyNumberFormat="1" applyFont="1" applyBorder="1">
      <alignment vertical="center"/>
    </xf>
    <xf numFmtId="178" fontId="6" fillId="0" borderId="84" xfId="0" applyNumberFormat="1" applyFont="1" applyBorder="1">
      <alignment vertical="center"/>
    </xf>
    <xf numFmtId="177" fontId="6" fillId="0" borderId="71" xfId="0" applyNumberFormat="1" applyFont="1" applyBorder="1">
      <alignment vertical="center"/>
    </xf>
    <xf numFmtId="177" fontId="6" fillId="0" borderId="83" xfId="0" applyNumberFormat="1" applyFont="1" applyBorder="1">
      <alignment vertical="center"/>
    </xf>
    <xf numFmtId="177" fontId="6" fillId="0" borderId="72" xfId="0" applyNumberFormat="1" applyFont="1" applyBorder="1">
      <alignment vertical="center"/>
    </xf>
    <xf numFmtId="0" fontId="16" fillId="6" borderId="69" xfId="0" applyFont="1" applyFill="1" applyBorder="1" applyAlignment="1">
      <alignment horizontal="centerContinuous" vertical="center"/>
    </xf>
    <xf numFmtId="0" fontId="16" fillId="6" borderId="55" xfId="0" applyFont="1" applyFill="1" applyBorder="1" applyAlignment="1">
      <alignment horizontal="centerContinuous" vertical="center"/>
    </xf>
    <xf numFmtId="178" fontId="2" fillId="0" borderId="66" xfId="0" applyNumberFormat="1" applyFont="1" applyBorder="1" applyAlignment="1">
      <alignment horizontal="centerContinuous" vertical="center"/>
    </xf>
    <xf numFmtId="178" fontId="6" fillId="0" borderId="76" xfId="0" applyNumberFormat="1" applyFont="1" applyBorder="1">
      <alignment vertical="center"/>
    </xf>
    <xf numFmtId="178" fontId="6" fillId="0" borderId="66" xfId="0" applyNumberFormat="1" applyFont="1" applyBorder="1">
      <alignment vertical="center"/>
    </xf>
    <xf numFmtId="178" fontId="6" fillId="0" borderId="50" xfId="0" applyNumberFormat="1" applyFont="1" applyBorder="1">
      <alignment vertical="center"/>
    </xf>
    <xf numFmtId="178" fontId="2" fillId="0" borderId="0" xfId="0" applyNumberFormat="1" applyFont="1" applyBorder="1" applyAlignment="1">
      <alignment horizontal="centerContinuous" vertical="center"/>
    </xf>
    <xf numFmtId="178" fontId="18" fillId="6" borderId="10" xfId="0" applyNumberFormat="1" applyFont="1" applyFill="1" applyBorder="1" applyAlignment="1">
      <alignment horizontal="center" vertical="center"/>
    </xf>
    <xf numFmtId="178" fontId="2" fillId="0" borderId="29" xfId="0" applyNumberFormat="1" applyFont="1" applyFill="1" applyBorder="1" applyAlignment="1">
      <alignment vertical="center"/>
    </xf>
    <xf numFmtId="9" fontId="2" fillId="0" borderId="13" xfId="0" applyNumberFormat="1" applyFont="1" applyFill="1" applyBorder="1" applyAlignment="1">
      <alignment vertical="center"/>
    </xf>
    <xf numFmtId="178" fontId="2" fillId="0" borderId="20" xfId="0" applyNumberFormat="1" applyFont="1" applyFill="1" applyBorder="1" applyAlignment="1">
      <alignment vertical="center"/>
    </xf>
    <xf numFmtId="9" fontId="2" fillId="0" borderId="25" xfId="0" applyNumberFormat="1" applyFont="1" applyFill="1" applyBorder="1" applyAlignment="1">
      <alignment vertical="center"/>
    </xf>
    <xf numFmtId="178" fontId="2" fillId="0" borderId="10" xfId="0" applyNumberFormat="1" applyFont="1" applyFill="1" applyBorder="1" applyAlignment="1">
      <alignment vertical="center"/>
    </xf>
    <xf numFmtId="178" fontId="21" fillId="0" borderId="25" xfId="0" applyNumberFormat="1" applyFont="1" applyBorder="1" applyAlignment="1">
      <alignment vertical="center"/>
    </xf>
    <xf numFmtId="178" fontId="2" fillId="0" borderId="20" xfId="0" applyNumberFormat="1" applyFont="1" applyBorder="1" applyAlignment="1">
      <alignment vertical="center"/>
    </xf>
    <xf numFmtId="178" fontId="2" fillId="0" borderId="29" xfId="0" applyNumberFormat="1" applyFont="1" applyBorder="1" applyAlignment="1">
      <alignment vertical="center"/>
    </xf>
    <xf numFmtId="178" fontId="2" fillId="0" borderId="25" xfId="0" applyNumberFormat="1" applyFont="1" applyBorder="1" applyAlignment="1">
      <alignment vertical="center"/>
    </xf>
    <xf numFmtId="178" fontId="2" fillId="0" borderId="16" xfId="0" applyNumberFormat="1" applyFont="1" applyBorder="1" applyAlignment="1">
      <alignment vertical="center"/>
    </xf>
    <xf numFmtId="178" fontId="2" fillId="0" borderId="13" xfId="0" applyNumberFormat="1" applyFont="1" applyBorder="1" applyAlignment="1">
      <alignment vertical="center"/>
    </xf>
    <xf numFmtId="178" fontId="2" fillId="0" borderId="20" xfId="0" applyNumberFormat="1" applyFont="1" applyBorder="1">
      <alignment vertical="center"/>
    </xf>
    <xf numFmtId="178" fontId="2" fillId="0" borderId="16" xfId="0" applyNumberFormat="1" applyFont="1" applyBorder="1">
      <alignment vertical="center"/>
    </xf>
    <xf numFmtId="178" fontId="18" fillId="6" borderId="39" xfId="0" applyNumberFormat="1" applyFont="1" applyFill="1" applyBorder="1" applyAlignment="1">
      <alignment horizontal="centerContinuous" vertical="center"/>
    </xf>
    <xf numFmtId="178" fontId="18" fillId="6" borderId="85" xfId="0" applyNumberFormat="1" applyFont="1" applyFill="1" applyBorder="1" applyAlignment="1">
      <alignment horizontal="centerContinuous" vertical="center"/>
    </xf>
    <xf numFmtId="178" fontId="18" fillId="6" borderId="86" xfId="0" applyNumberFormat="1" applyFont="1" applyFill="1" applyBorder="1" applyAlignment="1">
      <alignment horizontal="centerContinuous" vertical="center"/>
    </xf>
    <xf numFmtId="178" fontId="18" fillId="6" borderId="87" xfId="0" applyNumberFormat="1" applyFont="1" applyFill="1" applyBorder="1" applyAlignment="1">
      <alignment horizontal="centerContinuous" vertical="center"/>
    </xf>
    <xf numFmtId="178" fontId="18" fillId="6" borderId="88" xfId="0" applyNumberFormat="1" applyFont="1" applyFill="1" applyBorder="1" applyAlignment="1">
      <alignment horizontal="center" vertical="center"/>
    </xf>
    <xf numFmtId="178" fontId="18" fillId="6" borderId="89" xfId="0" applyNumberFormat="1" applyFont="1" applyFill="1" applyBorder="1" applyAlignment="1">
      <alignment horizontal="center" vertical="center"/>
    </xf>
    <xf numFmtId="178" fontId="6" fillId="0" borderId="90" xfId="0" applyNumberFormat="1" applyFont="1" applyFill="1" applyBorder="1" applyAlignment="1">
      <alignment vertical="center"/>
    </xf>
    <xf numFmtId="178" fontId="6" fillId="0" borderId="91" xfId="0" applyNumberFormat="1" applyFont="1" applyFill="1" applyBorder="1" applyAlignment="1">
      <alignment vertical="center"/>
    </xf>
    <xf numFmtId="9" fontId="6" fillId="0" borderId="92" xfId="0" applyNumberFormat="1" applyFont="1" applyFill="1" applyBorder="1" applyAlignment="1">
      <alignment vertical="center"/>
    </xf>
    <xf numFmtId="9" fontId="6" fillId="0" borderId="93" xfId="0" applyNumberFormat="1" applyFont="1" applyFill="1" applyBorder="1" applyAlignment="1">
      <alignment vertical="center"/>
    </xf>
    <xf numFmtId="178" fontId="6" fillId="0" borderId="94" xfId="0" applyNumberFormat="1" applyFont="1" applyFill="1" applyBorder="1" applyAlignment="1">
      <alignment vertical="center"/>
    </xf>
    <xf numFmtId="178" fontId="6" fillId="0" borderId="95" xfId="0" applyNumberFormat="1" applyFont="1" applyFill="1" applyBorder="1" applyAlignment="1">
      <alignment vertical="center"/>
    </xf>
    <xf numFmtId="9" fontId="6" fillId="0" borderId="96" xfId="0" applyNumberFormat="1" applyFont="1" applyFill="1" applyBorder="1" applyAlignment="1">
      <alignment vertical="center"/>
    </xf>
    <xf numFmtId="9" fontId="6" fillId="0" borderId="97" xfId="0" applyNumberFormat="1" applyFont="1" applyFill="1" applyBorder="1" applyAlignment="1">
      <alignment vertical="center"/>
    </xf>
    <xf numFmtId="178" fontId="6" fillId="0" borderId="88" xfId="0" applyNumberFormat="1" applyFont="1" applyFill="1" applyBorder="1" applyAlignment="1">
      <alignment vertical="center"/>
    </xf>
    <xf numFmtId="178" fontId="6" fillId="0" borderId="89" xfId="0" applyNumberFormat="1" applyFont="1" applyFill="1" applyBorder="1" applyAlignment="1">
      <alignment vertical="center"/>
    </xf>
    <xf numFmtId="178" fontId="20" fillId="0" borderId="96" xfId="0" applyNumberFormat="1" applyFont="1" applyBorder="1" applyAlignment="1">
      <alignment vertical="center"/>
    </xf>
    <xf numFmtId="178" fontId="20" fillId="0" borderId="97" xfId="0" applyNumberFormat="1" applyFont="1" applyBorder="1" applyAlignment="1">
      <alignment vertical="center"/>
    </xf>
    <xf numFmtId="178" fontId="6" fillId="0" borderId="94" xfId="0" applyNumberFormat="1" applyFont="1" applyBorder="1" applyAlignment="1">
      <alignment vertical="center"/>
    </xf>
    <xf numFmtId="178" fontId="6" fillId="0" borderId="95" xfId="0" applyNumberFormat="1" applyFont="1" applyBorder="1" applyAlignment="1">
      <alignment vertical="center"/>
    </xf>
    <xf numFmtId="178" fontId="6" fillId="0" borderId="90" xfId="0" applyNumberFormat="1" applyFont="1" applyBorder="1" applyAlignment="1">
      <alignment vertical="center"/>
    </xf>
    <xf numFmtId="178" fontId="6" fillId="0" borderId="91" xfId="0" applyNumberFormat="1" applyFont="1" applyBorder="1" applyAlignment="1">
      <alignment vertical="center"/>
    </xf>
    <xf numFmtId="178" fontId="6" fillId="0" borderId="96" xfId="0" applyNumberFormat="1" applyFont="1" applyBorder="1" applyAlignment="1">
      <alignment vertical="center"/>
    </xf>
    <xf numFmtId="178" fontId="6" fillId="0" borderId="97" xfId="0" applyNumberFormat="1" applyFont="1" applyBorder="1" applyAlignment="1">
      <alignment vertical="center"/>
    </xf>
    <xf numFmtId="178" fontId="6" fillId="0" borderId="98" xfId="0" applyNumberFormat="1" applyFont="1" applyBorder="1" applyAlignment="1">
      <alignment vertical="center"/>
    </xf>
    <xf numFmtId="178" fontId="6" fillId="0" borderId="99" xfId="0" applyNumberFormat="1" applyFont="1" applyBorder="1" applyAlignment="1">
      <alignment vertical="center"/>
    </xf>
    <xf numFmtId="178" fontId="6" fillId="0" borderId="92" xfId="0" applyNumberFormat="1" applyFont="1" applyBorder="1" applyAlignment="1">
      <alignment vertical="center"/>
    </xf>
    <xf numFmtId="178" fontId="6" fillId="0" borderId="93" xfId="0" applyNumberFormat="1" applyFont="1" applyBorder="1" applyAlignment="1">
      <alignment vertical="center"/>
    </xf>
    <xf numFmtId="178" fontId="6" fillId="0" borderId="94" xfId="0" applyNumberFormat="1" applyFont="1" applyBorder="1">
      <alignment vertical="center"/>
    </xf>
    <xf numFmtId="178" fontId="6" fillId="0" borderId="95" xfId="0" applyNumberFormat="1" applyFont="1" applyBorder="1">
      <alignment vertical="center"/>
    </xf>
    <xf numFmtId="178" fontId="6" fillId="0" borderId="92" xfId="0" applyNumberFormat="1" applyFont="1" applyBorder="1">
      <alignment vertical="center"/>
    </xf>
    <xf numFmtId="178" fontId="6" fillId="0" borderId="93" xfId="0" applyNumberFormat="1" applyFont="1" applyBorder="1">
      <alignment vertical="center"/>
    </xf>
    <xf numFmtId="178" fontId="6" fillId="0" borderId="100" xfId="0" applyNumberFormat="1" applyFont="1" applyBorder="1">
      <alignment vertical="center"/>
    </xf>
    <xf numFmtId="178" fontId="2" fillId="0" borderId="73" xfId="0" applyNumberFormat="1" applyFont="1" applyBorder="1">
      <alignment vertical="center"/>
    </xf>
    <xf numFmtId="178" fontId="6" fillId="0" borderId="101" xfId="0" applyNumberFormat="1" applyFont="1" applyBorder="1">
      <alignment vertical="center"/>
    </xf>
    <xf numFmtId="178" fontId="2" fillId="4" borderId="0" xfId="0" applyNumberFormat="1" applyFont="1" applyFill="1">
      <alignment vertical="center"/>
    </xf>
    <xf numFmtId="178" fontId="22" fillId="0" borderId="20" xfId="0" applyNumberFormat="1" applyFont="1" applyFill="1" applyBorder="1" applyAlignment="1">
      <alignment vertical="center"/>
    </xf>
    <xf numFmtId="178" fontId="22" fillId="0" borderId="13" xfId="0" applyNumberFormat="1" applyFont="1" applyFill="1" applyBorder="1" applyAlignment="1">
      <alignment vertical="center"/>
    </xf>
    <xf numFmtId="178" fontId="22" fillId="0" borderId="13" xfId="0" applyNumberFormat="1" applyFont="1" applyFill="1" applyBorder="1" applyAlignment="1">
      <alignment horizontal="center" vertical="center"/>
    </xf>
    <xf numFmtId="178" fontId="6" fillId="0" borderId="73" xfId="0" applyNumberFormat="1" applyFont="1" applyFill="1" applyBorder="1">
      <alignment vertical="center"/>
    </xf>
    <xf numFmtId="41" fontId="8" fillId="0" borderId="94" xfId="1" applyFont="1" applyFill="1" applyBorder="1" applyAlignment="1">
      <alignment vertical="center"/>
    </xf>
    <xf numFmtId="41" fontId="8" fillId="0" borderId="92" xfId="1" applyFont="1" applyFill="1" applyBorder="1" applyAlignment="1">
      <alignment vertical="center"/>
    </xf>
    <xf numFmtId="41" fontId="8" fillId="0" borderId="92" xfId="1" applyFont="1" applyFill="1" applyBorder="1" applyAlignment="1">
      <alignment horizontal="center" vertical="center"/>
    </xf>
    <xf numFmtId="41" fontId="8" fillId="0" borderId="100" xfId="1" applyFont="1" applyFill="1" applyBorder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178" fontId="6" fillId="0" borderId="93" xfId="0" applyNumberFormat="1" applyFont="1" applyBorder="1" applyAlignment="1">
      <alignment horizontal="right" vertical="center"/>
    </xf>
    <xf numFmtId="178" fontId="22" fillId="0" borderId="95" xfId="0" applyNumberFormat="1" applyFont="1" applyFill="1" applyBorder="1" applyAlignment="1">
      <alignment horizontal="right" vertical="center"/>
    </xf>
    <xf numFmtId="178" fontId="22" fillId="0" borderId="93" xfId="0" applyNumberFormat="1" applyFont="1" applyFill="1" applyBorder="1" applyAlignment="1">
      <alignment horizontal="right" vertical="center"/>
    </xf>
    <xf numFmtId="178" fontId="6" fillId="0" borderId="93" xfId="0" applyNumberFormat="1" applyFont="1" applyFill="1" applyBorder="1" applyAlignment="1">
      <alignment horizontal="right" vertical="center"/>
    </xf>
    <xf numFmtId="178" fontId="6" fillId="0" borderId="101" xfId="0" applyNumberFormat="1" applyFont="1" applyFill="1" applyBorder="1" applyAlignment="1">
      <alignment horizontal="right" vertical="center"/>
    </xf>
    <xf numFmtId="41" fontId="0" fillId="0" borderId="0" xfId="1" applyFont="1" applyFill="1" applyBorder="1">
      <alignment vertical="center"/>
    </xf>
    <xf numFmtId="178" fontId="18" fillId="11" borderId="1" xfId="0" applyNumberFormat="1" applyFont="1" applyFill="1" applyBorder="1" applyAlignment="1">
      <alignment horizontal="centerContinuous" vertical="center"/>
    </xf>
    <xf numFmtId="178" fontId="18" fillId="11" borderId="2" xfId="0" applyNumberFormat="1" applyFont="1" applyFill="1" applyBorder="1" applyAlignment="1">
      <alignment horizontal="centerContinuous" vertical="center"/>
    </xf>
    <xf numFmtId="178" fontId="18" fillId="11" borderId="3" xfId="0" applyNumberFormat="1" applyFont="1" applyFill="1" applyBorder="1" applyAlignment="1">
      <alignment horizontal="centerContinuous" vertical="center"/>
    </xf>
    <xf numFmtId="178" fontId="18" fillId="11" borderId="74" xfId="0" applyNumberFormat="1" applyFont="1" applyFill="1" applyBorder="1" applyAlignment="1">
      <alignment horizontal="centerContinuous" vertical="center"/>
    </xf>
    <xf numFmtId="178" fontId="18" fillId="11" borderId="102" xfId="0" applyNumberFormat="1" applyFont="1" applyFill="1" applyBorder="1" applyAlignment="1">
      <alignment horizontal="centerContinuous" vertical="center"/>
    </xf>
    <xf numFmtId="178" fontId="18" fillId="11" borderId="50" xfId="0" applyNumberFormat="1" applyFont="1" applyFill="1" applyBorder="1" applyAlignment="1">
      <alignment horizontal="centerContinuous" vertical="center"/>
    </xf>
    <xf numFmtId="178" fontId="18" fillId="11" borderId="66" xfId="0" applyNumberFormat="1" applyFont="1" applyFill="1" applyBorder="1" applyAlignment="1">
      <alignment horizontal="centerContinuous" vertical="center"/>
    </xf>
    <xf numFmtId="178" fontId="18" fillId="11" borderId="11" xfId="0" applyNumberFormat="1" applyFont="1" applyFill="1" applyBorder="1" applyAlignment="1">
      <alignment horizontal="centerContinuous" vertical="center"/>
    </xf>
    <xf numFmtId="178" fontId="0" fillId="0" borderId="1" xfId="0" applyNumberFormat="1" applyBorder="1">
      <alignment vertical="center"/>
    </xf>
    <xf numFmtId="178" fontId="2" fillId="0" borderId="105" xfId="0" applyNumberFormat="1" applyFont="1" applyBorder="1">
      <alignment vertical="center"/>
    </xf>
    <xf numFmtId="178" fontId="0" fillId="0" borderId="3" xfId="0" applyNumberFormat="1" applyBorder="1">
      <alignment vertical="center"/>
    </xf>
    <xf numFmtId="178" fontId="2" fillId="0" borderId="2" xfId="0" applyNumberFormat="1" applyFont="1" applyBorder="1">
      <alignment vertical="center"/>
    </xf>
    <xf numFmtId="178" fontId="0" fillId="0" borderId="4" xfId="0" applyNumberFormat="1" applyBorder="1" applyAlignment="1">
      <alignment horizontal="center" vertical="center"/>
    </xf>
    <xf numFmtId="178" fontId="0" fillId="0" borderId="4" xfId="0" applyNumberFormat="1" applyBorder="1">
      <alignment vertical="center"/>
    </xf>
    <xf numFmtId="178" fontId="2" fillId="0" borderId="109" xfId="0" applyNumberFormat="1" applyFont="1" applyBorder="1">
      <alignment vertical="center"/>
    </xf>
    <xf numFmtId="178" fontId="0" fillId="0" borderId="14" xfId="0" applyNumberFormat="1" applyBorder="1">
      <alignment vertical="center"/>
    </xf>
    <xf numFmtId="178" fontId="0" fillId="0" borderId="18" xfId="0" applyNumberFormat="1" applyBorder="1">
      <alignment vertical="center"/>
    </xf>
    <xf numFmtId="178" fontId="2" fillId="0" borderId="110" xfId="0" applyNumberFormat="1" applyFont="1" applyBorder="1">
      <alignment vertical="center"/>
    </xf>
    <xf numFmtId="178" fontId="0" fillId="0" borderId="54" xfId="0" applyNumberFormat="1" applyBorder="1">
      <alignment vertical="center"/>
    </xf>
    <xf numFmtId="178" fontId="2" fillId="0" borderId="68" xfId="0" applyNumberFormat="1" applyFont="1" applyBorder="1">
      <alignment vertical="center"/>
    </xf>
    <xf numFmtId="178" fontId="0" fillId="0" borderId="21" xfId="0" applyNumberFormat="1" applyBorder="1">
      <alignment vertical="center"/>
    </xf>
    <xf numFmtId="178" fontId="23" fillId="13" borderId="48" xfId="0" applyNumberFormat="1" applyFont="1" applyFill="1" applyBorder="1" applyAlignment="1">
      <alignment horizontal="right" vertical="center"/>
    </xf>
    <xf numFmtId="178" fontId="23" fillId="13" borderId="69" xfId="0" applyNumberFormat="1" applyFont="1" applyFill="1" applyBorder="1" applyAlignment="1">
      <alignment horizontal="right" vertical="center"/>
    </xf>
    <xf numFmtId="178" fontId="23" fillId="13" borderId="103" xfId="0" applyNumberFormat="1" applyFont="1" applyFill="1" applyBorder="1" applyAlignment="1">
      <alignment horizontal="right" vertical="center"/>
    </xf>
    <xf numFmtId="178" fontId="2" fillId="0" borderId="111" xfId="0" applyNumberFormat="1" applyFont="1" applyBorder="1">
      <alignment vertical="center"/>
    </xf>
    <xf numFmtId="178" fontId="23" fillId="13" borderId="112" xfId="0" applyNumberFormat="1" applyFont="1" applyFill="1" applyBorder="1" applyAlignment="1">
      <alignment horizontal="right" vertical="center"/>
    </xf>
    <xf numFmtId="178" fontId="24" fillId="14" borderId="1" xfId="0" applyNumberFormat="1" applyFont="1" applyFill="1" applyBorder="1" applyAlignment="1">
      <alignment horizontal="right" vertical="center"/>
    </xf>
    <xf numFmtId="178" fontId="24" fillId="14" borderId="2" xfId="0" applyNumberFormat="1" applyFont="1" applyFill="1" applyBorder="1" applyAlignment="1">
      <alignment horizontal="right" vertical="center"/>
    </xf>
    <xf numFmtId="178" fontId="24" fillId="14" borderId="106" xfId="0" applyNumberFormat="1" applyFont="1" applyFill="1" applyBorder="1" applyAlignment="1">
      <alignment horizontal="right" vertical="center"/>
    </xf>
    <xf numFmtId="178" fontId="24" fillId="14" borderId="4" xfId="0" applyNumberFormat="1" applyFont="1" applyFill="1" applyBorder="1" applyAlignment="1">
      <alignment horizontal="right" vertical="center"/>
    </xf>
    <xf numFmtId="178" fontId="23" fillId="13" borderId="104" xfId="0" applyNumberFormat="1" applyFont="1" applyFill="1" applyBorder="1" applyAlignment="1">
      <alignment horizontal="right" vertical="center"/>
    </xf>
    <xf numFmtId="178" fontId="23" fillId="13" borderId="67" xfId="0" applyNumberFormat="1" applyFont="1" applyFill="1" applyBorder="1" applyAlignment="1">
      <alignment horizontal="center" vertical="center"/>
    </xf>
    <xf numFmtId="178" fontId="24" fillId="14" borderId="70" xfId="0" applyNumberFormat="1" applyFont="1" applyFill="1" applyBorder="1" applyAlignment="1">
      <alignment horizontal="center" vertical="center"/>
    </xf>
    <xf numFmtId="178" fontId="24" fillId="14" borderId="113" xfId="0" applyNumberFormat="1" applyFont="1" applyFill="1" applyBorder="1" applyAlignment="1">
      <alignment horizontal="center" vertical="center"/>
    </xf>
    <xf numFmtId="178" fontId="24" fillId="14" borderId="71" xfId="0" applyNumberFormat="1" applyFont="1" applyFill="1" applyBorder="1" applyAlignment="1">
      <alignment horizontal="center" vertical="center"/>
    </xf>
    <xf numFmtId="178" fontId="0" fillId="0" borderId="70" xfId="0" applyNumberFormat="1" applyBorder="1" applyAlignment="1">
      <alignment horizontal="center" vertical="center"/>
    </xf>
    <xf numFmtId="178" fontId="0" fillId="0" borderId="71" xfId="0" applyNumberFormat="1" applyBorder="1" applyAlignment="1">
      <alignment horizontal="center" vertical="center"/>
    </xf>
    <xf numFmtId="178" fontId="0" fillId="0" borderId="84" xfId="0" applyNumberFormat="1" applyBorder="1" applyAlignment="1">
      <alignment horizontal="center" vertical="center"/>
    </xf>
    <xf numFmtId="178" fontId="24" fillId="14" borderId="108" xfId="0" applyNumberFormat="1" applyFont="1" applyFill="1" applyBorder="1" applyAlignment="1">
      <alignment horizontal="right" vertical="center"/>
    </xf>
    <xf numFmtId="178" fontId="24" fillId="14" borderId="0" xfId="0" applyNumberFormat="1" applyFont="1" applyFill="1" applyBorder="1" applyAlignment="1">
      <alignment horizontal="right" vertical="center"/>
    </xf>
    <xf numFmtId="178" fontId="24" fillId="14" borderId="105" xfId="0" applyNumberFormat="1" applyFont="1" applyFill="1" applyBorder="1" applyAlignment="1">
      <alignment horizontal="right" vertical="center"/>
    </xf>
    <xf numFmtId="178" fontId="24" fillId="14" borderId="107" xfId="0" applyNumberFormat="1" applyFont="1" applyFill="1" applyBorder="1" applyAlignment="1">
      <alignment horizontal="right" vertical="center"/>
    </xf>
    <xf numFmtId="178" fontId="24" fillId="14" borderId="109" xfId="0" applyNumberFormat="1" applyFont="1" applyFill="1" applyBorder="1" applyAlignment="1">
      <alignment horizontal="right" vertical="center"/>
    </xf>
    <xf numFmtId="178" fontId="24" fillId="14" borderId="30" xfId="0" applyNumberFormat="1" applyFont="1" applyFill="1" applyBorder="1" applyAlignment="1">
      <alignment horizontal="right" vertical="center"/>
    </xf>
    <xf numFmtId="178" fontId="24" fillId="14" borderId="44" xfId="0" applyNumberFormat="1" applyFont="1" applyFill="1" applyBorder="1" applyAlignment="1">
      <alignment horizontal="right" vertical="center"/>
    </xf>
    <xf numFmtId="178" fontId="24" fillId="14" borderId="17" xfId="0" applyNumberFormat="1" applyFont="1" applyFill="1" applyBorder="1" applyAlignment="1">
      <alignment horizontal="right" vertical="center"/>
    </xf>
    <xf numFmtId="178" fontId="0" fillId="0" borderId="1" xfId="0" applyNumberFormat="1" applyBorder="1" applyAlignment="1">
      <alignment horizontal="center" vertical="center"/>
    </xf>
    <xf numFmtId="178" fontId="0" fillId="0" borderId="18" xfId="0" applyNumberFormat="1" applyBorder="1" applyAlignment="1">
      <alignment horizontal="center" vertical="center"/>
    </xf>
    <xf numFmtId="178" fontId="23" fillId="13" borderId="55" xfId="0" applyNumberFormat="1" applyFont="1" applyFill="1" applyBorder="1" applyAlignment="1">
      <alignment horizontal="right" vertical="center"/>
    </xf>
    <xf numFmtId="178" fontId="24" fillId="14" borderId="3" xfId="0" applyNumberFormat="1" applyFont="1" applyFill="1" applyBorder="1" applyAlignment="1">
      <alignment horizontal="right" vertical="center"/>
    </xf>
    <xf numFmtId="178" fontId="24" fillId="14" borderId="52" xfId="0" applyNumberFormat="1" applyFont="1" applyFill="1" applyBorder="1" applyAlignment="1">
      <alignment horizontal="right" vertical="center"/>
    </xf>
    <xf numFmtId="178" fontId="24" fillId="14" borderId="5" xfId="0" applyNumberFormat="1" applyFont="1" applyFill="1" applyBorder="1" applyAlignment="1">
      <alignment horizontal="right" vertical="center"/>
    </xf>
    <xf numFmtId="178" fontId="0" fillId="0" borderId="1" xfId="0" applyNumberFormat="1" applyBorder="1" applyAlignment="1">
      <alignment horizontal="right" vertical="center"/>
    </xf>
    <xf numFmtId="178" fontId="2" fillId="0" borderId="105" xfId="0" applyNumberFormat="1" applyFont="1" applyBorder="1" applyAlignment="1">
      <alignment horizontal="right" vertical="center"/>
    </xf>
    <xf numFmtId="178" fontId="0" fillId="0" borderId="3" xfId="0" applyNumberFormat="1" applyBorder="1" applyAlignment="1">
      <alignment horizontal="right" vertical="center"/>
    </xf>
    <xf numFmtId="178" fontId="0" fillId="0" borderId="4" xfId="0" applyNumberFormat="1" applyBorder="1" applyAlignment="1">
      <alignment horizontal="right" vertical="center"/>
    </xf>
    <xf numFmtId="178" fontId="2" fillId="0" borderId="109" xfId="0" applyNumberFormat="1" applyFont="1" applyBorder="1" applyAlignment="1">
      <alignment horizontal="right" vertical="center"/>
    </xf>
    <xf numFmtId="178" fontId="0" fillId="0" borderId="5" xfId="0" applyNumberFormat="1" applyBorder="1" applyAlignment="1">
      <alignment horizontal="right" vertical="center"/>
    </xf>
    <xf numFmtId="178" fontId="0" fillId="0" borderId="18" xfId="0" applyNumberFormat="1" applyBorder="1" applyAlignment="1">
      <alignment horizontal="right" vertical="center"/>
    </xf>
    <xf numFmtId="178" fontId="2" fillId="0" borderId="110" xfId="0" applyNumberFormat="1" applyFont="1" applyBorder="1" applyAlignment="1">
      <alignment horizontal="right" vertical="center"/>
    </xf>
    <xf numFmtId="178" fontId="0" fillId="0" borderId="54" xfId="0" applyNumberFormat="1" applyBorder="1" applyAlignment="1">
      <alignment horizontal="right" vertical="center"/>
    </xf>
    <xf numFmtId="178" fontId="0" fillId="0" borderId="6" xfId="0" applyNumberFormat="1" applyBorder="1" applyAlignment="1">
      <alignment horizontal="center" vertical="center"/>
    </xf>
    <xf numFmtId="178" fontId="0" fillId="0" borderId="6" xfId="0" applyNumberFormat="1" applyBorder="1" applyAlignment="1">
      <alignment horizontal="right" vertical="center"/>
    </xf>
    <xf numFmtId="178" fontId="2" fillId="0" borderId="114" xfId="0" applyNumberFormat="1" applyFont="1" applyBorder="1" applyAlignment="1">
      <alignment horizontal="right" vertical="center"/>
    </xf>
    <xf numFmtId="178" fontId="0" fillId="0" borderId="8" xfId="0" applyNumberFormat="1" applyBorder="1" applyAlignment="1">
      <alignment horizontal="right" vertical="center"/>
    </xf>
    <xf numFmtId="178" fontId="0" fillId="0" borderId="0" xfId="0" applyNumberFormat="1" applyAlignment="1">
      <alignment horizontal="center" vertical="center"/>
    </xf>
    <xf numFmtId="9" fontId="0" fillId="0" borderId="1" xfId="0" applyNumberFormat="1" applyBorder="1">
      <alignment vertical="center"/>
    </xf>
    <xf numFmtId="9" fontId="2" fillId="0" borderId="105" xfId="0" applyNumberFormat="1" applyFont="1" applyBorder="1">
      <alignment vertical="center"/>
    </xf>
    <xf numFmtId="9" fontId="0" fillId="0" borderId="3" xfId="0" applyNumberFormat="1" applyBorder="1">
      <alignment vertical="center"/>
    </xf>
    <xf numFmtId="179" fontId="0" fillId="0" borderId="1" xfId="0" applyNumberFormat="1" applyBorder="1">
      <alignment vertical="center"/>
    </xf>
    <xf numFmtId="179" fontId="2" fillId="0" borderId="105" xfId="0" applyNumberFormat="1" applyFont="1" applyBorder="1">
      <alignment vertical="center"/>
    </xf>
    <xf numFmtId="179" fontId="0" fillId="0" borderId="3" xfId="0" applyNumberFormat="1" applyBorder="1">
      <alignment vertical="center"/>
    </xf>
    <xf numFmtId="9" fontId="0" fillId="0" borderId="4" xfId="0" applyNumberFormat="1" applyBorder="1">
      <alignment vertical="center"/>
    </xf>
    <xf numFmtId="9" fontId="2" fillId="0" borderId="109" xfId="0" applyNumberFormat="1" applyFont="1" applyBorder="1">
      <alignment vertical="center"/>
    </xf>
    <xf numFmtId="9" fontId="0" fillId="0" borderId="5" xfId="0" applyNumberFormat="1" applyBorder="1">
      <alignment vertical="center"/>
    </xf>
    <xf numFmtId="179" fontId="0" fillId="0" borderId="4" xfId="0" applyNumberFormat="1" applyBorder="1">
      <alignment vertical="center"/>
    </xf>
    <xf numFmtId="179" fontId="2" fillId="0" borderId="109" xfId="0" applyNumberFormat="1" applyFont="1" applyBorder="1">
      <alignment vertical="center"/>
    </xf>
    <xf numFmtId="179" fontId="0" fillId="0" borderId="5" xfId="0" applyNumberFormat="1" applyBorder="1">
      <alignment vertical="center"/>
    </xf>
    <xf numFmtId="9" fontId="0" fillId="0" borderId="18" xfId="0" applyNumberFormat="1" applyBorder="1">
      <alignment vertical="center"/>
    </xf>
    <xf numFmtId="9" fontId="2" fillId="0" borderId="110" xfId="0" applyNumberFormat="1" applyFont="1" applyBorder="1">
      <alignment vertical="center"/>
    </xf>
    <xf numFmtId="9" fontId="0" fillId="0" borderId="54" xfId="0" applyNumberFormat="1" applyBorder="1">
      <alignment vertical="center"/>
    </xf>
    <xf numFmtId="179" fontId="0" fillId="0" borderId="18" xfId="0" applyNumberFormat="1" applyBorder="1">
      <alignment vertical="center"/>
    </xf>
    <xf numFmtId="179" fontId="2" fillId="0" borderId="110" xfId="0" applyNumberFormat="1" applyFont="1" applyBorder="1">
      <alignment vertical="center"/>
    </xf>
    <xf numFmtId="179" fontId="0" fillId="0" borderId="54" xfId="0" applyNumberFormat="1" applyBorder="1">
      <alignment vertical="center"/>
    </xf>
    <xf numFmtId="178" fontId="0" fillId="0" borderId="6" xfId="0" applyNumberFormat="1" applyBorder="1">
      <alignment vertical="center"/>
    </xf>
    <xf numFmtId="178" fontId="2" fillId="0" borderId="114" xfId="0" applyNumberFormat="1" applyFont="1" applyBorder="1">
      <alignment vertical="center"/>
    </xf>
    <xf numFmtId="9" fontId="0" fillId="0" borderId="6" xfId="0" applyNumberFormat="1" applyBorder="1">
      <alignment vertical="center"/>
    </xf>
    <xf numFmtId="9" fontId="2" fillId="0" borderId="114" xfId="0" applyNumberFormat="1" applyFont="1" applyBorder="1">
      <alignment vertical="center"/>
    </xf>
    <xf numFmtId="9" fontId="0" fillId="0" borderId="8" xfId="0" applyNumberFormat="1" applyBorder="1">
      <alignment vertical="center"/>
    </xf>
    <xf numFmtId="179" fontId="0" fillId="0" borderId="6" xfId="0" applyNumberFormat="1" applyBorder="1">
      <alignment vertical="center"/>
    </xf>
    <xf numFmtId="179" fontId="2" fillId="0" borderId="114" xfId="0" applyNumberFormat="1" applyFont="1" applyBorder="1">
      <alignment vertical="center"/>
    </xf>
    <xf numFmtId="179" fontId="0" fillId="0" borderId="8" xfId="0" applyNumberFormat="1" applyBorder="1">
      <alignment vertical="center"/>
    </xf>
    <xf numFmtId="9" fontId="23" fillId="13" borderId="48" xfId="0" applyNumberFormat="1" applyFont="1" applyFill="1" applyBorder="1" applyAlignment="1">
      <alignment horizontal="right" vertical="center"/>
    </xf>
    <xf numFmtId="9" fontId="23" fillId="13" borderId="103" xfId="0" applyNumberFormat="1" applyFont="1" applyFill="1" applyBorder="1" applyAlignment="1">
      <alignment horizontal="right" vertical="center"/>
    </xf>
    <xf numFmtId="9" fontId="23" fillId="13" borderId="55" xfId="0" applyNumberFormat="1" applyFont="1" applyFill="1" applyBorder="1" applyAlignment="1">
      <alignment horizontal="right" vertical="center"/>
    </xf>
    <xf numFmtId="9" fontId="24" fillId="14" borderId="3" xfId="0" applyNumberFormat="1" applyFont="1" applyFill="1" applyBorder="1" applyAlignment="1">
      <alignment horizontal="right" vertical="center"/>
    </xf>
    <xf numFmtId="9" fontId="24" fillId="14" borderId="52" xfId="0" applyNumberFormat="1" applyFont="1" applyFill="1" applyBorder="1" applyAlignment="1">
      <alignment horizontal="right" vertical="center"/>
    </xf>
    <xf numFmtId="9" fontId="24" fillId="14" borderId="5" xfId="0" applyNumberFormat="1" applyFont="1" applyFill="1" applyBorder="1" applyAlignment="1">
      <alignment horizontal="right" vertical="center"/>
    </xf>
    <xf numFmtId="9" fontId="24" fillId="14" borderId="1" xfId="0" applyNumberFormat="1" applyFont="1" applyFill="1" applyBorder="1" applyAlignment="1">
      <alignment horizontal="right" vertical="center"/>
    </xf>
    <xf numFmtId="9" fontId="24" fillId="14" borderId="105" xfId="0" applyNumberFormat="1" applyFont="1" applyFill="1" applyBorder="1" applyAlignment="1">
      <alignment horizontal="right" vertical="center"/>
    </xf>
    <xf numFmtId="9" fontId="24" fillId="14" borderId="106" xfId="0" applyNumberFormat="1" applyFont="1" applyFill="1" applyBorder="1" applyAlignment="1">
      <alignment horizontal="right" vertical="center"/>
    </xf>
    <xf numFmtId="9" fontId="24" fillId="14" borderId="107" xfId="0" applyNumberFormat="1" applyFont="1" applyFill="1" applyBorder="1" applyAlignment="1">
      <alignment horizontal="right" vertical="center"/>
    </xf>
    <xf numFmtId="9" fontId="24" fillId="14" borderId="4" xfId="0" applyNumberFormat="1" applyFont="1" applyFill="1" applyBorder="1" applyAlignment="1">
      <alignment horizontal="right" vertical="center"/>
    </xf>
    <xf numFmtId="9" fontId="24" fillId="14" borderId="109" xfId="0" applyNumberFormat="1" applyFont="1" applyFill="1" applyBorder="1" applyAlignment="1">
      <alignment horizontal="right" vertical="center"/>
    </xf>
    <xf numFmtId="178" fontId="0" fillId="0" borderId="0" xfId="0" quotePrefix="1" applyNumberFormat="1">
      <alignment vertical="center"/>
    </xf>
    <xf numFmtId="178" fontId="23" fillId="13" borderId="48" xfId="1" applyNumberFormat="1" applyFont="1" applyFill="1" applyBorder="1" applyAlignment="1">
      <alignment horizontal="right" vertical="center"/>
    </xf>
    <xf numFmtId="178" fontId="23" fillId="13" borderId="103" xfId="1" applyNumberFormat="1" applyFont="1" applyFill="1" applyBorder="1" applyAlignment="1">
      <alignment horizontal="right" vertical="center"/>
    </xf>
    <xf numFmtId="178" fontId="23" fillId="13" borderId="55" xfId="1" applyNumberFormat="1" applyFont="1" applyFill="1" applyBorder="1" applyAlignment="1">
      <alignment horizontal="right" vertical="center"/>
    </xf>
    <xf numFmtId="178" fontId="24" fillId="14" borderId="1" xfId="1" applyNumberFormat="1" applyFont="1" applyFill="1" applyBorder="1" applyAlignment="1">
      <alignment horizontal="right" vertical="center"/>
    </xf>
    <xf numFmtId="178" fontId="24" fillId="14" borderId="105" xfId="1" applyNumberFormat="1" applyFont="1" applyFill="1" applyBorder="1" applyAlignment="1">
      <alignment horizontal="right" vertical="center"/>
    </xf>
    <xf numFmtId="178" fontId="24" fillId="14" borderId="3" xfId="1" applyNumberFormat="1" applyFont="1" applyFill="1" applyBorder="1" applyAlignment="1">
      <alignment horizontal="right" vertical="center"/>
    </xf>
    <xf numFmtId="178" fontId="24" fillId="14" borderId="106" xfId="1" applyNumberFormat="1" applyFont="1" applyFill="1" applyBorder="1" applyAlignment="1">
      <alignment horizontal="right" vertical="center"/>
    </xf>
    <xf numFmtId="178" fontId="24" fillId="14" borderId="107" xfId="1" applyNumberFormat="1" applyFont="1" applyFill="1" applyBorder="1" applyAlignment="1">
      <alignment horizontal="right" vertical="center"/>
    </xf>
    <xf numFmtId="178" fontId="24" fillId="14" borderId="52" xfId="1" applyNumberFormat="1" applyFont="1" applyFill="1" applyBorder="1" applyAlignment="1">
      <alignment horizontal="right" vertical="center"/>
    </xf>
    <xf numFmtId="178" fontId="24" fillId="14" borderId="4" xfId="1" applyNumberFormat="1" applyFont="1" applyFill="1" applyBorder="1" applyAlignment="1">
      <alignment horizontal="right" vertical="center"/>
    </xf>
    <xf numFmtId="178" fontId="24" fillId="14" borderId="109" xfId="1" applyNumberFormat="1" applyFont="1" applyFill="1" applyBorder="1" applyAlignment="1">
      <alignment horizontal="right" vertical="center"/>
    </xf>
    <xf numFmtId="178" fontId="24" fillId="14" borderId="5" xfId="1" applyNumberFormat="1" applyFont="1" applyFill="1" applyBorder="1" applyAlignment="1">
      <alignment horizontal="right" vertical="center"/>
    </xf>
    <xf numFmtId="178" fontId="0" fillId="0" borderId="1" xfId="1" applyNumberFormat="1" applyFont="1" applyBorder="1">
      <alignment vertical="center"/>
    </xf>
    <xf numFmtId="178" fontId="2" fillId="0" borderId="105" xfId="1" applyNumberFormat="1" applyFont="1" applyBorder="1">
      <alignment vertical="center"/>
    </xf>
    <xf numFmtId="178" fontId="0" fillId="0" borderId="3" xfId="1" applyNumberFormat="1" applyFont="1" applyBorder="1">
      <alignment vertical="center"/>
    </xf>
    <xf numFmtId="178" fontId="0" fillId="0" borderId="4" xfId="1" applyNumberFormat="1" applyFont="1" applyBorder="1">
      <alignment vertical="center"/>
    </xf>
    <xf numFmtId="178" fontId="2" fillId="0" borderId="109" xfId="1" applyNumberFormat="1" applyFont="1" applyBorder="1">
      <alignment vertical="center"/>
    </xf>
    <xf numFmtId="178" fontId="0" fillId="0" borderId="5" xfId="1" applyNumberFormat="1" applyFont="1" applyBorder="1">
      <alignment vertical="center"/>
    </xf>
    <xf numFmtId="178" fontId="0" fillId="0" borderId="18" xfId="1" applyNumberFormat="1" applyFont="1" applyBorder="1">
      <alignment vertical="center"/>
    </xf>
    <xf numFmtId="178" fontId="2" fillId="0" borderId="110" xfId="1" applyNumberFormat="1" applyFont="1" applyBorder="1">
      <alignment vertical="center"/>
    </xf>
    <xf numFmtId="178" fontId="0" fillId="0" borderId="54" xfId="1" applyNumberFormat="1" applyFont="1" applyBorder="1">
      <alignment vertical="center"/>
    </xf>
    <xf numFmtId="178" fontId="0" fillId="0" borderId="6" xfId="1" applyNumberFormat="1" applyFont="1" applyBorder="1">
      <alignment vertical="center"/>
    </xf>
    <xf numFmtId="178" fontId="2" fillId="0" borderId="114" xfId="1" applyNumberFormat="1" applyFont="1" applyBorder="1">
      <alignment vertical="center"/>
    </xf>
    <xf numFmtId="178" fontId="0" fillId="0" borderId="8" xfId="1" applyNumberFormat="1" applyFont="1" applyBorder="1">
      <alignment vertical="center"/>
    </xf>
    <xf numFmtId="178" fontId="2" fillId="0" borderId="7" xfId="0" applyNumberFormat="1" applyFont="1" applyBorder="1" applyAlignment="1">
      <alignment horizontal="right" vertical="center"/>
    </xf>
    <xf numFmtId="0" fontId="16" fillId="6" borderId="118" xfId="0" applyFont="1" applyFill="1" applyBorder="1" applyAlignment="1">
      <alignment horizontal="centerContinuous" vertical="center"/>
    </xf>
    <xf numFmtId="0" fontId="16" fillId="6" borderId="119" xfId="0" applyFont="1" applyFill="1" applyBorder="1" applyAlignment="1">
      <alignment horizontal="centerContinuous" vertical="center"/>
    </xf>
    <xf numFmtId="178" fontId="6" fillId="0" borderId="90" xfId="0" applyNumberFormat="1" applyFont="1" applyBorder="1">
      <alignment vertical="center"/>
    </xf>
    <xf numFmtId="178" fontId="6" fillId="0" borderId="91" xfId="0" applyNumberFormat="1" applyFont="1" applyBorder="1">
      <alignment vertical="center"/>
    </xf>
    <xf numFmtId="178" fontId="6" fillId="0" borderId="98" xfId="0" applyNumberFormat="1" applyFont="1" applyBorder="1">
      <alignment vertical="center"/>
    </xf>
    <xf numFmtId="178" fontId="6" fillId="0" borderId="99" xfId="0" applyNumberFormat="1" applyFont="1" applyBorder="1">
      <alignment vertical="center"/>
    </xf>
    <xf numFmtId="178" fontId="6" fillId="0" borderId="96" xfId="0" applyNumberFormat="1" applyFont="1" applyBorder="1">
      <alignment vertical="center"/>
    </xf>
    <xf numFmtId="178" fontId="6" fillId="0" borderId="97" xfId="0" applyNumberFormat="1" applyFont="1" applyBorder="1">
      <alignment vertical="center"/>
    </xf>
    <xf numFmtId="178" fontId="6" fillId="0" borderId="88" xfId="0" applyNumberFormat="1" applyFont="1" applyBorder="1">
      <alignment vertical="center"/>
    </xf>
    <xf numFmtId="178" fontId="6" fillId="0" borderId="89" xfId="0" applyNumberFormat="1" applyFont="1" applyBorder="1">
      <alignment vertical="center"/>
    </xf>
    <xf numFmtId="177" fontId="6" fillId="0" borderId="92" xfId="0" applyNumberFormat="1" applyFont="1" applyBorder="1">
      <alignment vertical="center"/>
    </xf>
    <xf numFmtId="177" fontId="6" fillId="0" borderId="93" xfId="0" applyNumberFormat="1" applyFont="1" applyBorder="1">
      <alignment vertical="center"/>
    </xf>
    <xf numFmtId="177" fontId="6" fillId="0" borderId="96" xfId="0" applyNumberFormat="1" applyFont="1" applyBorder="1">
      <alignment vertical="center"/>
    </xf>
    <xf numFmtId="177" fontId="6" fillId="0" borderId="97" xfId="0" applyNumberFormat="1" applyFont="1" applyBorder="1">
      <alignment vertical="center"/>
    </xf>
    <xf numFmtId="177" fontId="6" fillId="0" borderId="100" xfId="0" applyNumberFormat="1" applyFont="1" applyBorder="1">
      <alignment vertical="center"/>
    </xf>
    <xf numFmtId="177" fontId="6" fillId="0" borderId="120" xfId="0" applyNumberFormat="1" applyFont="1" applyBorder="1">
      <alignment vertical="center"/>
    </xf>
    <xf numFmtId="177" fontId="6" fillId="0" borderId="121" xfId="0" applyNumberFormat="1" applyFont="1" applyBorder="1">
      <alignment vertical="center"/>
    </xf>
    <xf numFmtId="177" fontId="6" fillId="0" borderId="101" xfId="0" applyNumberFormat="1" applyFont="1" applyBorder="1">
      <alignment vertical="center"/>
    </xf>
    <xf numFmtId="178" fontId="6" fillId="0" borderId="4" xfId="1" applyNumberFormat="1" applyFont="1" applyFill="1" applyBorder="1" applyAlignment="1">
      <alignment vertical="center"/>
    </xf>
    <xf numFmtId="178" fontId="6" fillId="0" borderId="0" xfId="1" applyNumberFormat="1" applyFont="1" applyFill="1" applyBorder="1" applyAlignment="1">
      <alignment vertical="center"/>
    </xf>
    <xf numFmtId="178" fontId="6" fillId="0" borderId="6" xfId="1" applyNumberFormat="1" applyFont="1" applyFill="1" applyBorder="1" applyAlignment="1">
      <alignment vertical="center"/>
    </xf>
    <xf numFmtId="178" fontId="6" fillId="0" borderId="7" xfId="1" applyNumberFormat="1" applyFont="1" applyFill="1" applyBorder="1" applyAlignment="1">
      <alignment vertical="center"/>
    </xf>
    <xf numFmtId="178" fontId="6" fillId="0" borderId="8" xfId="1" applyNumberFormat="1" applyFont="1" applyFill="1" applyBorder="1" applyAlignment="1">
      <alignment vertical="center"/>
    </xf>
    <xf numFmtId="181" fontId="0" fillId="0" borderId="0" xfId="0" applyNumberFormat="1">
      <alignment vertical="center"/>
    </xf>
    <xf numFmtId="178" fontId="0" fillId="0" borderId="0" xfId="0" applyNumberFormat="1" applyAlignment="1">
      <alignment horizontal="center" vertical="center" wrapText="1"/>
    </xf>
    <xf numFmtId="182" fontId="0" fillId="0" borderId="0" xfId="0" applyNumberFormat="1">
      <alignment vertical="center"/>
    </xf>
    <xf numFmtId="178" fontId="0" fillId="4" borderId="0" xfId="0" applyNumberFormat="1" applyFill="1">
      <alignment vertical="center"/>
    </xf>
    <xf numFmtId="178" fontId="2" fillId="0" borderId="4" xfId="1" applyNumberFormat="1" applyFont="1" applyFill="1" applyBorder="1" applyAlignment="1">
      <alignment vertical="center"/>
    </xf>
    <xf numFmtId="41" fontId="0" fillId="0" borderId="0" xfId="0" applyNumberFormat="1" applyFont="1">
      <alignment vertical="center"/>
    </xf>
    <xf numFmtId="9" fontId="0" fillId="0" borderId="0" xfId="0" applyNumberFormat="1">
      <alignment vertical="center"/>
    </xf>
    <xf numFmtId="178" fontId="0" fillId="0" borderId="0" xfId="1" applyNumberFormat="1" applyFont="1">
      <alignment vertical="center"/>
    </xf>
    <xf numFmtId="176" fontId="0" fillId="9" borderId="0" xfId="0" applyNumberFormat="1" applyFill="1">
      <alignment vertical="center"/>
    </xf>
    <xf numFmtId="0" fontId="0" fillId="9" borderId="0" xfId="0" applyFill="1">
      <alignment vertical="center"/>
    </xf>
    <xf numFmtId="178" fontId="0" fillId="4" borderId="0" xfId="1" applyNumberFormat="1" applyFont="1" applyFill="1">
      <alignment vertical="center"/>
    </xf>
    <xf numFmtId="178" fontId="6" fillId="0" borderId="34" xfId="0" applyNumberFormat="1" applyFont="1" applyBorder="1" applyAlignment="1">
      <alignment vertical="center"/>
    </xf>
    <xf numFmtId="178" fontId="6" fillId="3" borderId="65" xfId="0" applyNumberFormat="1" applyFont="1" applyFill="1" applyBorder="1" applyAlignment="1">
      <alignment vertical="center"/>
    </xf>
    <xf numFmtId="178" fontId="6" fillId="0" borderId="35" xfId="0" applyNumberFormat="1" applyFont="1" applyFill="1" applyBorder="1" applyAlignment="1">
      <alignment vertical="center"/>
    </xf>
    <xf numFmtId="178" fontId="6" fillId="0" borderId="65" xfId="0" applyNumberFormat="1" applyFont="1" applyBorder="1" applyAlignment="1">
      <alignment vertical="center"/>
    </xf>
    <xf numFmtId="178" fontId="6" fillId="0" borderId="36" xfId="0" applyNumberFormat="1" applyFont="1" applyBorder="1" applyAlignment="1">
      <alignment vertical="center"/>
    </xf>
    <xf numFmtId="178" fontId="6" fillId="0" borderId="48" xfId="1" applyNumberFormat="1" applyFont="1" applyBorder="1">
      <alignment vertical="center"/>
    </xf>
    <xf numFmtId="178" fontId="6" fillId="3" borderId="38" xfId="1" applyNumberFormat="1" applyFont="1" applyFill="1" applyBorder="1">
      <alignment vertical="center"/>
    </xf>
    <xf numFmtId="178" fontId="6" fillId="0" borderId="69" xfId="0" applyNumberFormat="1" applyFont="1" applyBorder="1">
      <alignment vertical="center"/>
    </xf>
    <xf numFmtId="178" fontId="6" fillId="0" borderId="38" xfId="1" applyNumberFormat="1" applyFont="1" applyBorder="1">
      <alignment vertical="center"/>
    </xf>
    <xf numFmtId="178" fontId="6" fillId="0" borderId="55" xfId="0" applyNumberFormat="1" applyFont="1" applyBorder="1">
      <alignment vertical="center"/>
    </xf>
    <xf numFmtId="178" fontId="6" fillId="3" borderId="20" xfId="0" applyNumberFormat="1" applyFont="1" applyFill="1" applyBorder="1">
      <alignment vertical="center"/>
    </xf>
    <xf numFmtId="178" fontId="6" fillId="0" borderId="20" xfId="0" applyNumberFormat="1" applyFont="1" applyBorder="1">
      <alignment vertical="center"/>
    </xf>
    <xf numFmtId="178" fontId="6" fillId="0" borderId="6" xfId="1" applyNumberFormat="1" applyFont="1" applyBorder="1">
      <alignment vertical="center"/>
    </xf>
    <xf numFmtId="178" fontId="6" fillId="3" borderId="16" xfId="1" applyNumberFormat="1" applyFont="1" applyFill="1" applyBorder="1">
      <alignment vertical="center"/>
    </xf>
    <xf numFmtId="178" fontId="6" fillId="0" borderId="7" xfId="1" applyNumberFormat="1" applyFont="1" applyBorder="1">
      <alignment vertical="center"/>
    </xf>
    <xf numFmtId="178" fontId="6" fillId="0" borderId="16" xfId="1" applyNumberFormat="1" applyFont="1" applyBorder="1">
      <alignment vertical="center"/>
    </xf>
    <xf numFmtId="178" fontId="6" fillId="0" borderId="8" xfId="1" applyNumberFormat="1" applyFont="1" applyBorder="1">
      <alignment vertical="center"/>
    </xf>
    <xf numFmtId="178" fontId="6" fillId="0" borderId="106" xfId="1" applyNumberFormat="1" applyFont="1" applyBorder="1">
      <alignment vertical="center"/>
    </xf>
    <xf numFmtId="178" fontId="6" fillId="3" borderId="43" xfId="1" applyNumberFormat="1" applyFont="1" applyFill="1" applyBorder="1">
      <alignment vertical="center"/>
    </xf>
    <xf numFmtId="178" fontId="6" fillId="0" borderId="108" xfId="0" applyNumberFormat="1" applyFont="1" applyBorder="1">
      <alignment vertical="center"/>
    </xf>
    <xf numFmtId="178" fontId="6" fillId="0" borderId="43" xfId="1" applyNumberFormat="1" applyFont="1" applyBorder="1">
      <alignment vertical="center"/>
    </xf>
    <xf numFmtId="178" fontId="6" fillId="0" borderId="52" xfId="0" applyNumberFormat="1" applyFont="1" applyBorder="1">
      <alignment vertical="center"/>
    </xf>
    <xf numFmtId="178" fontId="6" fillId="0" borderId="106" xfId="0" applyNumberFormat="1" applyFont="1" applyBorder="1" applyAlignment="1">
      <alignment horizontal="centerContinuous" vertical="center"/>
    </xf>
    <xf numFmtId="178" fontId="6" fillId="0" borderId="108" xfId="0" applyNumberFormat="1" applyFont="1" applyBorder="1" applyAlignment="1">
      <alignment horizontal="centerContinuous" vertical="center"/>
    </xf>
    <xf numFmtId="178" fontId="6" fillId="0" borderId="6" xfId="0" applyNumberFormat="1" applyFont="1" applyBorder="1" applyAlignment="1">
      <alignment horizontal="centerContinuous" vertical="center"/>
    </xf>
    <xf numFmtId="178" fontId="6" fillId="0" borderId="7" xfId="0" applyNumberFormat="1" applyFont="1" applyBorder="1" applyAlignment="1">
      <alignment horizontal="centerContinuous" vertical="center"/>
    </xf>
    <xf numFmtId="178" fontId="6" fillId="9" borderId="4" xfId="1" applyNumberFormat="1" applyFont="1" applyFill="1" applyBorder="1" applyAlignment="1">
      <alignment vertical="center"/>
    </xf>
    <xf numFmtId="14" fontId="2" fillId="4" borderId="4" xfId="0" applyNumberFormat="1" applyFont="1" applyFill="1" applyBorder="1" applyAlignment="1">
      <alignment horizontal="centerContinuous" vertical="center"/>
    </xf>
    <xf numFmtId="14" fontId="2" fillId="4" borderId="5" xfId="0" applyNumberFormat="1" applyFont="1" applyFill="1" applyBorder="1" applyAlignment="1">
      <alignment horizontal="centerContinuous" vertical="center"/>
    </xf>
    <xf numFmtId="178" fontId="2" fillId="4" borderId="12" xfId="1" applyNumberFormat="1" applyFont="1" applyFill="1" applyBorder="1" applyAlignment="1">
      <alignment vertical="center"/>
    </xf>
    <xf numFmtId="178" fontId="2" fillId="4" borderId="13" xfId="1" applyNumberFormat="1" applyFont="1" applyFill="1" applyBorder="1" applyAlignment="1">
      <alignment vertical="center"/>
    </xf>
    <xf numFmtId="178" fontId="2" fillId="4" borderId="46" xfId="1" applyNumberFormat="1" applyFont="1" applyFill="1" applyBorder="1">
      <alignment vertical="center"/>
    </xf>
    <xf numFmtId="178" fontId="2" fillId="4" borderId="13" xfId="1" applyNumberFormat="1" applyFont="1" applyFill="1" applyBorder="1">
      <alignment vertical="center"/>
    </xf>
    <xf numFmtId="178" fontId="2" fillId="4" borderId="14" xfId="1" applyNumberFormat="1" applyFont="1" applyFill="1" applyBorder="1">
      <alignment vertical="center"/>
    </xf>
    <xf numFmtId="178" fontId="2" fillId="4" borderId="5" xfId="1" applyNumberFormat="1" applyFont="1" applyFill="1" applyBorder="1" applyAlignment="1">
      <alignment vertical="center"/>
    </xf>
    <xf numFmtId="178" fontId="2" fillId="4" borderId="46" xfId="1" applyNumberFormat="1" applyFont="1" applyFill="1" applyBorder="1" applyAlignment="1">
      <alignment vertical="center"/>
    </xf>
    <xf numFmtId="178" fontId="2" fillId="4" borderId="14" xfId="1" applyNumberFormat="1" applyFont="1" applyFill="1" applyBorder="1" applyAlignment="1">
      <alignment vertical="center"/>
    </xf>
    <xf numFmtId="14" fontId="2" fillId="4" borderId="48" xfId="0" applyNumberFormat="1" applyFont="1" applyFill="1" applyBorder="1" applyAlignment="1">
      <alignment horizontal="centerContinuous" vertical="center"/>
    </xf>
    <xf numFmtId="14" fontId="2" fillId="4" borderId="55" xfId="0" applyNumberFormat="1" applyFont="1" applyFill="1" applyBorder="1" applyAlignment="1">
      <alignment horizontal="centerContinuous" vertical="center"/>
    </xf>
    <xf numFmtId="178" fontId="2" fillId="4" borderId="37" xfId="0" applyNumberFormat="1" applyFont="1" applyFill="1" applyBorder="1" applyAlignment="1">
      <alignment vertical="center"/>
    </xf>
    <xf numFmtId="178" fontId="2" fillId="4" borderId="38" xfId="1" applyNumberFormat="1" applyFont="1" applyFill="1" applyBorder="1" applyAlignment="1">
      <alignment vertical="center"/>
    </xf>
    <xf numFmtId="178" fontId="2" fillId="4" borderId="40" xfId="0" applyNumberFormat="1" applyFont="1" applyFill="1" applyBorder="1">
      <alignment vertical="center"/>
    </xf>
    <xf numFmtId="178" fontId="2" fillId="4" borderId="40" xfId="1" applyNumberFormat="1" applyFont="1" applyFill="1" applyBorder="1">
      <alignment vertical="center"/>
    </xf>
    <xf numFmtId="178" fontId="2" fillId="4" borderId="55" xfId="1" applyNumberFormat="1" applyFont="1" applyFill="1" applyBorder="1">
      <alignment vertical="center"/>
    </xf>
    <xf numFmtId="178" fontId="2" fillId="3" borderId="74" xfId="0" applyNumberFormat="1" applyFont="1" applyFill="1" applyBorder="1" applyAlignment="1">
      <alignment vertical="center"/>
    </xf>
    <xf numFmtId="178" fontId="2" fillId="3" borderId="66" xfId="0" applyNumberFormat="1" applyFont="1" applyFill="1" applyBorder="1" applyAlignment="1">
      <alignment vertical="center"/>
    </xf>
    <xf numFmtId="178" fontId="2" fillId="3" borderId="50" xfId="0" applyNumberFormat="1" applyFont="1" applyFill="1" applyBorder="1" applyAlignment="1">
      <alignment vertical="center"/>
    </xf>
    <xf numFmtId="178" fontId="6" fillId="9" borderId="1" xfId="1" applyNumberFormat="1" applyFont="1" applyFill="1" applyBorder="1" applyAlignment="1">
      <alignment vertical="center"/>
    </xf>
    <xf numFmtId="178" fontId="6" fillId="9" borderId="2" xfId="1" applyNumberFormat="1" applyFont="1" applyFill="1" applyBorder="1" applyAlignment="1">
      <alignment vertical="center"/>
    </xf>
    <xf numFmtId="178" fontId="6" fillId="9" borderId="3" xfId="1" applyNumberFormat="1" applyFont="1" applyFill="1" applyBorder="1" applyAlignment="1">
      <alignment vertical="center"/>
    </xf>
    <xf numFmtId="178" fontId="2" fillId="4" borderId="48" xfId="0" applyNumberFormat="1" applyFont="1" applyFill="1" applyBorder="1" applyAlignment="1">
      <alignment vertical="center"/>
    </xf>
    <xf numFmtId="178" fontId="2" fillId="4" borderId="69" xfId="0" applyNumberFormat="1" applyFont="1" applyFill="1" applyBorder="1" applyAlignment="1">
      <alignment vertical="center"/>
    </xf>
    <xf numFmtId="178" fontId="2" fillId="4" borderId="55" xfId="0" applyNumberFormat="1" applyFont="1" applyFill="1" applyBorder="1" applyAlignment="1">
      <alignment vertical="center"/>
    </xf>
    <xf numFmtId="178" fontId="2" fillId="0" borderId="122" xfId="0" applyNumberFormat="1" applyFont="1" applyBorder="1">
      <alignment vertical="center"/>
    </xf>
    <xf numFmtId="178" fontId="0" fillId="0" borderId="17" xfId="0" applyNumberFormat="1" applyBorder="1">
      <alignment vertical="center"/>
    </xf>
    <xf numFmtId="0" fontId="6" fillId="0" borderId="0" xfId="0" applyFont="1">
      <alignment vertical="center"/>
    </xf>
    <xf numFmtId="179" fontId="0" fillId="0" borderId="0" xfId="1" applyNumberFormat="1" applyFont="1">
      <alignment vertical="center"/>
    </xf>
    <xf numFmtId="179" fontId="0" fillId="0" borderId="0" xfId="0" applyNumberFormat="1">
      <alignment vertical="center"/>
    </xf>
    <xf numFmtId="178" fontId="6" fillId="9" borderId="1" xfId="0" applyNumberFormat="1" applyFont="1" applyFill="1" applyBorder="1" applyAlignment="1">
      <alignment vertical="center"/>
    </xf>
    <xf numFmtId="9" fontId="0" fillId="0" borderId="0" xfId="0" applyNumberFormat="1" applyFont="1" applyAlignment="1">
      <alignment vertical="center"/>
    </xf>
    <xf numFmtId="178" fontId="2" fillId="0" borderId="4" xfId="0" applyNumberFormat="1" applyFont="1" applyBorder="1" applyAlignment="1">
      <alignment horizontal="center" vertical="center"/>
    </xf>
    <xf numFmtId="178" fontId="2" fillId="0" borderId="6" xfId="0" applyNumberFormat="1" applyFont="1" applyBorder="1" applyAlignment="1">
      <alignment horizontal="center" vertical="center"/>
    </xf>
    <xf numFmtId="9" fontId="2" fillId="0" borderId="0" xfId="0" applyNumberFormat="1" applyFont="1">
      <alignment vertical="center"/>
    </xf>
    <xf numFmtId="178" fontId="2" fillId="0" borderId="4" xfId="0" applyNumberFormat="1" applyFont="1" applyBorder="1" applyAlignment="1">
      <alignment horizontal="center" vertical="center"/>
    </xf>
    <xf numFmtId="178" fontId="2" fillId="0" borderId="6" xfId="0" applyNumberFormat="1" applyFont="1" applyBorder="1" applyAlignment="1">
      <alignment horizontal="center" vertical="center"/>
    </xf>
    <xf numFmtId="0" fontId="15" fillId="0" borderId="71" xfId="0" applyFont="1" applyBorder="1" applyAlignment="1">
      <alignment horizontal="center" vertical="center"/>
    </xf>
    <xf numFmtId="178" fontId="15" fillId="0" borderId="71" xfId="0" applyNumberFormat="1" applyFont="1" applyBorder="1" applyAlignment="1">
      <alignment horizontal="center" vertical="center"/>
    </xf>
    <xf numFmtId="0" fontId="15" fillId="0" borderId="72" xfId="0" applyFont="1" applyBorder="1" applyAlignment="1">
      <alignment horizontal="center" vertical="center"/>
    </xf>
    <xf numFmtId="178" fontId="15" fillId="0" borderId="71" xfId="1" applyNumberFormat="1" applyFont="1" applyBorder="1" applyAlignment="1">
      <alignment horizontal="right" vertical="center"/>
    </xf>
    <xf numFmtId="178" fontId="15" fillId="0" borderId="72" xfId="1" applyNumberFormat="1" applyFont="1" applyBorder="1" applyAlignment="1">
      <alignment horizontal="right" vertical="center"/>
    </xf>
    <xf numFmtId="179" fontId="15" fillId="0" borderId="71" xfId="0" applyNumberFormat="1" applyFont="1" applyBorder="1" applyAlignment="1">
      <alignment horizontal="right" vertical="center"/>
    </xf>
    <xf numFmtId="0" fontId="12" fillId="0" borderId="0" xfId="0" applyFont="1">
      <alignment vertical="center"/>
    </xf>
    <xf numFmtId="178" fontId="15" fillId="0" borderId="4" xfId="1" applyNumberFormat="1" applyFont="1" applyBorder="1" applyAlignment="1">
      <alignment horizontal="right" vertical="center"/>
    </xf>
    <xf numFmtId="178" fontId="15" fillId="0" borderId="6" xfId="1" applyNumberFormat="1" applyFont="1" applyBorder="1" applyAlignment="1">
      <alignment horizontal="right" vertical="center"/>
    </xf>
    <xf numFmtId="179" fontId="15" fillId="0" borderId="4" xfId="0" applyNumberFormat="1" applyFont="1" applyBorder="1" applyAlignment="1">
      <alignment horizontal="right" vertical="center"/>
    </xf>
    <xf numFmtId="178" fontId="15" fillId="0" borderId="5" xfId="1" applyNumberFormat="1" applyFont="1" applyBorder="1" applyAlignment="1">
      <alignment horizontal="right" vertical="center"/>
    </xf>
    <xf numFmtId="178" fontId="15" fillId="0" borderId="8" xfId="1" applyNumberFormat="1" applyFont="1" applyBorder="1" applyAlignment="1">
      <alignment horizontal="right" vertical="center"/>
    </xf>
    <xf numFmtId="179" fontId="15" fillId="0" borderId="5" xfId="0" applyNumberFormat="1" applyFont="1" applyBorder="1" applyAlignment="1">
      <alignment horizontal="right" vertical="center"/>
    </xf>
    <xf numFmtId="178" fontId="15" fillId="0" borderId="124" xfId="1" applyNumberFormat="1" applyFont="1" applyBorder="1" applyAlignment="1">
      <alignment horizontal="right" vertical="center"/>
    </xf>
    <xf numFmtId="178" fontId="15" fillId="0" borderId="125" xfId="1" applyNumberFormat="1" applyFont="1" applyBorder="1" applyAlignment="1">
      <alignment horizontal="right" vertical="center"/>
    </xf>
    <xf numFmtId="179" fontId="15" fillId="0" borderId="124" xfId="0" applyNumberFormat="1" applyFont="1" applyBorder="1" applyAlignment="1">
      <alignment horizontal="right" vertical="center"/>
    </xf>
    <xf numFmtId="178" fontId="15" fillId="0" borderId="0" xfId="1" applyNumberFormat="1" applyFont="1" applyBorder="1" applyAlignment="1">
      <alignment horizontal="right" vertical="center"/>
    </xf>
    <xf numFmtId="178" fontId="15" fillId="0" borderId="7" xfId="1" applyNumberFormat="1" applyFont="1" applyBorder="1" applyAlignment="1">
      <alignment horizontal="right" vertical="center"/>
    </xf>
    <xf numFmtId="179" fontId="15" fillId="0" borderId="0" xfId="0" applyNumberFormat="1" applyFont="1" applyBorder="1" applyAlignment="1">
      <alignment horizontal="right" vertical="center"/>
    </xf>
    <xf numFmtId="178" fontId="15" fillId="0" borderId="130" xfId="1" applyNumberFormat="1" applyFont="1" applyBorder="1" applyAlignment="1">
      <alignment horizontal="right" vertical="center"/>
    </xf>
    <xf numFmtId="178" fontId="15" fillId="0" borderId="131" xfId="1" applyNumberFormat="1" applyFont="1" applyBorder="1" applyAlignment="1">
      <alignment horizontal="right" vertical="center"/>
    </xf>
    <xf numFmtId="179" fontId="15" fillId="0" borderId="130" xfId="0" applyNumberFormat="1" applyFont="1" applyBorder="1" applyAlignment="1">
      <alignment horizontal="right" vertical="center"/>
    </xf>
    <xf numFmtId="0" fontId="14" fillId="15" borderId="133" xfId="0" applyFont="1" applyFill="1" applyBorder="1" applyAlignment="1">
      <alignment horizontal="center" vertical="center"/>
    </xf>
    <xf numFmtId="0" fontId="14" fillId="15" borderId="134" xfId="0" applyFont="1" applyFill="1" applyBorder="1" applyAlignment="1">
      <alignment horizontal="center" vertical="center"/>
    </xf>
    <xf numFmtId="0" fontId="14" fillId="15" borderId="135" xfId="0" applyFont="1" applyFill="1" applyBorder="1" applyAlignment="1">
      <alignment horizontal="center" vertical="center"/>
    </xf>
    <xf numFmtId="0" fontId="14" fillId="15" borderId="132" xfId="0" applyFont="1" applyFill="1" applyBorder="1" applyAlignment="1">
      <alignment horizontal="center" vertical="center"/>
    </xf>
    <xf numFmtId="0" fontId="14" fillId="15" borderId="136" xfId="0" applyFont="1" applyFill="1" applyBorder="1" applyAlignment="1">
      <alignment horizontal="center" vertical="center"/>
    </xf>
    <xf numFmtId="0" fontId="14" fillId="15" borderId="137" xfId="0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15" fillId="0" borderId="60" xfId="0" applyFont="1" applyBorder="1" applyAlignment="1">
      <alignment horizontal="center" vertical="center"/>
    </xf>
    <xf numFmtId="177" fontId="6" fillId="0" borderId="71" xfId="0" applyNumberFormat="1" applyFont="1" applyBorder="1" applyAlignment="1">
      <alignment horizontal="center" vertical="center"/>
    </xf>
    <xf numFmtId="177" fontId="6" fillId="0" borderId="4" xfId="0" applyNumberFormat="1" applyFont="1" applyBorder="1" applyAlignment="1">
      <alignment horizontal="right" vertical="center"/>
    </xf>
    <xf numFmtId="177" fontId="6" fillId="0" borderId="124" xfId="0" applyNumberFormat="1" applyFont="1" applyBorder="1" applyAlignment="1">
      <alignment horizontal="right" vertical="center"/>
    </xf>
    <xf numFmtId="177" fontId="6" fillId="0" borderId="5" xfId="0" applyNumberFormat="1" applyFont="1" applyBorder="1" applyAlignment="1">
      <alignment horizontal="right" vertical="center"/>
    </xf>
    <xf numFmtId="177" fontId="6" fillId="0" borderId="71" xfId="0" applyNumberFormat="1" applyFont="1" applyBorder="1" applyAlignment="1">
      <alignment horizontal="right" vertical="center"/>
    </xf>
    <xf numFmtId="177" fontId="6" fillId="0" borderId="130" xfId="0" applyNumberFormat="1" applyFont="1" applyBorder="1" applyAlignment="1">
      <alignment horizontal="right" vertical="center"/>
    </xf>
    <xf numFmtId="177" fontId="6" fillId="0" borderId="0" xfId="0" applyNumberFormat="1" applyFont="1" applyBorder="1" applyAlignment="1">
      <alignment horizontal="right" vertical="center"/>
    </xf>
    <xf numFmtId="177" fontId="6" fillId="0" borderId="0" xfId="0" applyNumberFormat="1" applyFont="1">
      <alignment vertical="center"/>
    </xf>
    <xf numFmtId="0" fontId="7" fillId="16" borderId="55" xfId="0" applyFont="1" applyFill="1" applyBorder="1" applyAlignment="1">
      <alignment horizontal="center" vertical="center"/>
    </xf>
    <xf numFmtId="178" fontId="7" fillId="16" borderId="48" xfId="1" applyNumberFormat="1" applyFont="1" applyFill="1" applyBorder="1" applyAlignment="1">
      <alignment horizontal="right" vertical="center"/>
    </xf>
    <xf numFmtId="178" fontId="7" fillId="16" borderId="55" xfId="1" applyNumberFormat="1" applyFont="1" applyFill="1" applyBorder="1" applyAlignment="1">
      <alignment horizontal="right" vertical="center"/>
    </xf>
    <xf numFmtId="178" fontId="7" fillId="16" borderId="67" xfId="1" applyNumberFormat="1" applyFont="1" applyFill="1" applyBorder="1" applyAlignment="1">
      <alignment horizontal="right" vertical="center"/>
    </xf>
    <xf numFmtId="178" fontId="7" fillId="16" borderId="129" xfId="1" applyNumberFormat="1" applyFont="1" applyFill="1" applyBorder="1" applyAlignment="1">
      <alignment horizontal="right" vertical="center"/>
    </xf>
    <xf numFmtId="178" fontId="7" fillId="16" borderId="69" xfId="1" applyNumberFormat="1" applyFont="1" applyFill="1" applyBorder="1" applyAlignment="1">
      <alignment horizontal="right" vertical="center"/>
    </xf>
    <xf numFmtId="178" fontId="7" fillId="16" borderId="3" xfId="0" applyNumberFormat="1" applyFont="1" applyFill="1" applyBorder="1" applyAlignment="1">
      <alignment horizontal="center" vertical="center"/>
    </xf>
    <xf numFmtId="179" fontId="7" fillId="16" borderId="1" xfId="0" applyNumberFormat="1" applyFont="1" applyFill="1" applyBorder="1" applyAlignment="1">
      <alignment horizontal="right" vertical="center"/>
    </xf>
    <xf numFmtId="179" fontId="7" fillId="16" borderId="3" xfId="0" applyNumberFormat="1" applyFont="1" applyFill="1" applyBorder="1" applyAlignment="1">
      <alignment horizontal="right" vertical="center"/>
    </xf>
    <xf numFmtId="179" fontId="7" fillId="16" borderId="70" xfId="0" applyNumberFormat="1" applyFont="1" applyFill="1" applyBorder="1" applyAlignment="1">
      <alignment horizontal="right" vertical="center"/>
    </xf>
    <xf numFmtId="179" fontId="7" fillId="16" borderId="128" xfId="0" applyNumberFormat="1" applyFont="1" applyFill="1" applyBorder="1" applyAlignment="1">
      <alignment horizontal="right" vertical="center"/>
    </xf>
    <xf numFmtId="179" fontId="7" fillId="16" borderId="2" xfId="0" applyNumberFormat="1" applyFont="1" applyFill="1" applyBorder="1" applyAlignment="1">
      <alignment horizontal="right" vertical="center"/>
    </xf>
    <xf numFmtId="177" fontId="6" fillId="9" borderId="138" xfId="0" applyNumberFormat="1" applyFont="1" applyFill="1" applyBorder="1" applyAlignment="1">
      <alignment horizontal="center" vertical="center"/>
    </xf>
    <xf numFmtId="177" fontId="6" fillId="9" borderId="139" xfId="0" applyNumberFormat="1" applyFont="1" applyFill="1" applyBorder="1" applyAlignment="1">
      <alignment horizontal="right" vertical="center"/>
    </xf>
    <xf numFmtId="177" fontId="6" fillId="9" borderId="138" xfId="0" applyNumberFormat="1" applyFont="1" applyFill="1" applyBorder="1" applyAlignment="1">
      <alignment horizontal="right" vertical="center"/>
    </xf>
    <xf numFmtId="177" fontId="6" fillId="9" borderId="140" xfId="0" applyNumberFormat="1" applyFont="1" applyFill="1" applyBorder="1" applyAlignment="1">
      <alignment horizontal="right" vertical="center"/>
    </xf>
    <xf numFmtId="177" fontId="6" fillId="9" borderId="141" xfId="0" applyNumberFormat="1" applyFont="1" applyFill="1" applyBorder="1" applyAlignment="1">
      <alignment horizontal="right" vertical="center"/>
    </xf>
    <xf numFmtId="177" fontId="6" fillId="9" borderId="60" xfId="0" applyNumberFormat="1" applyFont="1" applyFill="1" applyBorder="1" applyAlignment="1">
      <alignment horizontal="right" vertical="center"/>
    </xf>
    <xf numFmtId="178" fontId="14" fillId="7" borderId="126" xfId="1" applyNumberFormat="1" applyFont="1" applyFill="1" applyBorder="1" applyAlignment="1">
      <alignment horizontal="right" vertical="center"/>
    </xf>
    <xf numFmtId="179" fontId="14" fillId="5" borderId="123" xfId="0" applyNumberFormat="1" applyFont="1" applyFill="1" applyBorder="1" applyAlignment="1">
      <alignment horizontal="right" vertical="center"/>
    </xf>
    <xf numFmtId="177" fontId="6" fillId="9" borderId="127" xfId="0" applyNumberFormat="1" applyFont="1" applyFill="1" applyBorder="1" applyAlignment="1">
      <alignment horizontal="right" vertical="center"/>
    </xf>
    <xf numFmtId="179" fontId="15" fillId="0" borderId="4" xfId="1" applyNumberFormat="1" applyFont="1" applyBorder="1" applyAlignment="1">
      <alignment horizontal="right" vertical="center"/>
    </xf>
    <xf numFmtId="179" fontId="15" fillId="0" borderId="124" xfId="1" applyNumberFormat="1" applyFont="1" applyBorder="1" applyAlignment="1">
      <alignment horizontal="right" vertical="center"/>
    </xf>
    <xf numFmtId="179" fontId="15" fillId="0" borderId="5" xfId="1" applyNumberFormat="1" applyFont="1" applyBorder="1" applyAlignment="1">
      <alignment horizontal="right" vertical="center"/>
    </xf>
    <xf numFmtId="179" fontId="15" fillId="0" borderId="71" xfId="1" applyNumberFormat="1" applyFont="1" applyBorder="1" applyAlignment="1">
      <alignment horizontal="right" vertical="center"/>
    </xf>
    <xf numFmtId="179" fontId="15" fillId="0" borderId="130" xfId="1" applyNumberFormat="1" applyFont="1" applyBorder="1" applyAlignment="1">
      <alignment horizontal="right" vertical="center"/>
    </xf>
    <xf numFmtId="179" fontId="15" fillId="0" borderId="0" xfId="1" applyNumberFormat="1" applyFont="1" applyBorder="1" applyAlignment="1">
      <alignment horizontal="right" vertical="center"/>
    </xf>
    <xf numFmtId="0" fontId="15" fillId="12" borderId="71" xfId="0" applyFont="1" applyFill="1" applyBorder="1" applyAlignment="1">
      <alignment horizontal="center" vertical="center"/>
    </xf>
    <xf numFmtId="178" fontId="15" fillId="12" borderId="4" xfId="1" applyNumberFormat="1" applyFont="1" applyFill="1" applyBorder="1" applyAlignment="1">
      <alignment horizontal="right" vertical="center"/>
    </xf>
    <xf numFmtId="178" fontId="15" fillId="12" borderId="124" xfId="1" applyNumberFormat="1" applyFont="1" applyFill="1" applyBorder="1" applyAlignment="1">
      <alignment horizontal="right" vertical="center"/>
    </xf>
    <xf numFmtId="178" fontId="15" fillId="12" borderId="5" xfId="1" applyNumberFormat="1" applyFont="1" applyFill="1" applyBorder="1" applyAlignment="1">
      <alignment horizontal="right" vertical="center"/>
    </xf>
    <xf numFmtId="178" fontId="15" fillId="12" borderId="71" xfId="1" applyNumberFormat="1" applyFont="1" applyFill="1" applyBorder="1" applyAlignment="1">
      <alignment horizontal="right" vertical="center"/>
    </xf>
    <xf numFmtId="178" fontId="15" fillId="12" borderId="130" xfId="1" applyNumberFormat="1" applyFont="1" applyFill="1" applyBorder="1" applyAlignment="1">
      <alignment horizontal="right" vertical="center"/>
    </xf>
    <xf numFmtId="178" fontId="15" fillId="12" borderId="0" xfId="1" applyNumberFormat="1" applyFont="1" applyFill="1" applyBorder="1" applyAlignment="1">
      <alignment horizontal="right" vertical="center"/>
    </xf>
    <xf numFmtId="178" fontId="15" fillId="12" borderId="70" xfId="0" applyNumberFormat="1" applyFont="1" applyFill="1" applyBorder="1" applyAlignment="1">
      <alignment horizontal="center" vertical="center"/>
    </xf>
    <xf numFmtId="179" fontId="15" fillId="12" borderId="1" xfId="0" applyNumberFormat="1" applyFont="1" applyFill="1" applyBorder="1" applyAlignment="1">
      <alignment horizontal="right" vertical="center"/>
    </xf>
    <xf numFmtId="179" fontId="15" fillId="12" borderId="123" xfId="0" applyNumberFormat="1" applyFont="1" applyFill="1" applyBorder="1" applyAlignment="1">
      <alignment horizontal="right" vertical="center"/>
    </xf>
    <xf numFmtId="179" fontId="15" fillId="12" borderId="3" xfId="0" applyNumberFormat="1" applyFont="1" applyFill="1" applyBorder="1" applyAlignment="1">
      <alignment horizontal="right" vertical="center"/>
    </xf>
    <xf numFmtId="179" fontId="15" fillId="12" borderId="70" xfId="0" applyNumberFormat="1" applyFont="1" applyFill="1" applyBorder="1" applyAlignment="1">
      <alignment horizontal="right" vertical="center"/>
    </xf>
    <xf numFmtId="179" fontId="15" fillId="12" borderId="128" xfId="0" applyNumberFormat="1" applyFont="1" applyFill="1" applyBorder="1" applyAlignment="1">
      <alignment horizontal="right" vertical="center"/>
    </xf>
    <xf numFmtId="179" fontId="15" fillId="12" borderId="2" xfId="0" applyNumberFormat="1" applyFont="1" applyFill="1" applyBorder="1" applyAlignment="1">
      <alignment horizontal="right" vertical="center"/>
    </xf>
    <xf numFmtId="178" fontId="15" fillId="0" borderId="39" xfId="0" applyNumberFormat="1" applyFont="1" applyBorder="1">
      <alignment vertical="center"/>
    </xf>
    <xf numFmtId="178" fontId="15" fillId="0" borderId="29" xfId="0" applyNumberFormat="1" applyFont="1" applyBorder="1">
      <alignment vertical="center"/>
    </xf>
    <xf numFmtId="178" fontId="15" fillId="0" borderId="30" xfId="0" applyNumberFormat="1" applyFont="1" applyBorder="1">
      <alignment vertical="center"/>
    </xf>
    <xf numFmtId="178" fontId="15" fillId="0" borderId="46" xfId="0" applyNumberFormat="1" applyFont="1" applyBorder="1">
      <alignment vertical="center"/>
    </xf>
    <xf numFmtId="178" fontId="15" fillId="0" borderId="13" xfId="0" applyNumberFormat="1" applyFont="1" applyBorder="1">
      <alignment vertical="center"/>
    </xf>
    <xf numFmtId="178" fontId="15" fillId="0" borderId="14" xfId="0" applyNumberFormat="1" applyFont="1" applyBorder="1">
      <alignment vertical="center"/>
    </xf>
    <xf numFmtId="178" fontId="15" fillId="0" borderId="49" xfId="0" applyNumberFormat="1" applyFont="1" applyBorder="1">
      <alignment vertical="center"/>
    </xf>
    <xf numFmtId="178" fontId="15" fillId="0" borderId="25" xfId="0" applyNumberFormat="1" applyFont="1" applyBorder="1">
      <alignment vertical="center"/>
    </xf>
    <xf numFmtId="178" fontId="15" fillId="0" borderId="26" xfId="0" applyNumberFormat="1" applyFont="1" applyBorder="1">
      <alignment vertical="center"/>
    </xf>
    <xf numFmtId="178" fontId="15" fillId="0" borderId="47" xfId="0" applyNumberFormat="1" applyFont="1" applyBorder="1">
      <alignment vertical="center"/>
    </xf>
    <xf numFmtId="178" fontId="15" fillId="0" borderId="16" xfId="0" applyNumberFormat="1" applyFont="1" applyBorder="1">
      <alignment vertical="center"/>
    </xf>
    <xf numFmtId="178" fontId="15" fillId="0" borderId="17" xfId="0" applyNumberFormat="1" applyFont="1" applyBorder="1">
      <alignment vertical="center"/>
    </xf>
    <xf numFmtId="178" fontId="15" fillId="9" borderId="39" xfId="0" applyNumberFormat="1" applyFont="1" applyFill="1" applyBorder="1">
      <alignment vertical="center"/>
    </xf>
    <xf numFmtId="178" fontId="15" fillId="9" borderId="29" xfId="0" applyNumberFormat="1" applyFont="1" applyFill="1" applyBorder="1">
      <alignment vertical="center"/>
    </xf>
    <xf numFmtId="178" fontId="15" fillId="9" borderId="30" xfId="0" applyNumberFormat="1" applyFont="1" applyFill="1" applyBorder="1">
      <alignment vertical="center"/>
    </xf>
    <xf numFmtId="178" fontId="15" fillId="9" borderId="46" xfId="0" applyNumberFormat="1" applyFont="1" applyFill="1" applyBorder="1">
      <alignment vertical="center"/>
    </xf>
    <xf numFmtId="178" fontId="15" fillId="9" borderId="13" xfId="0" applyNumberFormat="1" applyFont="1" applyFill="1" applyBorder="1">
      <alignment vertical="center"/>
    </xf>
    <xf numFmtId="178" fontId="15" fillId="9" borderId="14" xfId="0" applyNumberFormat="1" applyFont="1" applyFill="1" applyBorder="1">
      <alignment vertical="center"/>
    </xf>
    <xf numFmtId="178" fontId="15" fillId="9" borderId="49" xfId="0" applyNumberFormat="1" applyFont="1" applyFill="1" applyBorder="1">
      <alignment vertical="center"/>
    </xf>
    <xf numFmtId="178" fontId="15" fillId="9" borderId="25" xfId="0" applyNumberFormat="1" applyFont="1" applyFill="1" applyBorder="1">
      <alignment vertical="center"/>
    </xf>
    <xf numFmtId="178" fontId="15" fillId="9" borderId="26" xfId="0" applyNumberFormat="1" applyFont="1" applyFill="1" applyBorder="1">
      <alignment vertical="center"/>
    </xf>
    <xf numFmtId="178" fontId="15" fillId="9" borderId="47" xfId="0" applyNumberFormat="1" applyFont="1" applyFill="1" applyBorder="1">
      <alignment vertical="center"/>
    </xf>
    <xf numFmtId="178" fontId="15" fillId="9" borderId="16" xfId="0" applyNumberFormat="1" applyFont="1" applyFill="1" applyBorder="1">
      <alignment vertical="center"/>
    </xf>
    <xf numFmtId="178" fontId="15" fillId="9" borderId="17" xfId="0" applyNumberFormat="1" applyFont="1" applyFill="1" applyBorder="1">
      <alignment vertical="center"/>
    </xf>
    <xf numFmtId="178" fontId="15" fillId="0" borderId="1" xfId="0" applyNumberFormat="1" applyFont="1" applyBorder="1">
      <alignment vertical="center"/>
    </xf>
    <xf numFmtId="178" fontId="15" fillId="0" borderId="77" xfId="0" applyNumberFormat="1" applyFont="1" applyBorder="1">
      <alignment vertical="center"/>
    </xf>
    <xf numFmtId="178" fontId="15" fillId="0" borderId="4" xfId="0" applyNumberFormat="1" applyFont="1" applyBorder="1">
      <alignment vertical="center"/>
    </xf>
    <xf numFmtId="178" fontId="15" fillId="0" borderId="78" xfId="0" applyNumberFormat="1" applyFont="1" applyBorder="1">
      <alignment vertical="center"/>
    </xf>
    <xf numFmtId="178" fontId="15" fillId="0" borderId="18" xfId="0" applyNumberFormat="1" applyFont="1" applyBorder="1">
      <alignment vertical="center"/>
    </xf>
    <xf numFmtId="178" fontId="15" fillId="0" borderId="82" xfId="0" applyNumberFormat="1" applyFont="1" applyBorder="1">
      <alignment vertical="center"/>
    </xf>
    <xf numFmtId="178" fontId="15" fillId="0" borderId="53" xfId="0" applyNumberFormat="1" applyFont="1" applyBorder="1">
      <alignment vertical="center"/>
    </xf>
    <xf numFmtId="178" fontId="15" fillId="0" borderId="20" xfId="0" applyNumberFormat="1" applyFont="1" applyBorder="1">
      <alignment vertical="center"/>
    </xf>
    <xf numFmtId="178" fontId="15" fillId="0" borderId="21" xfId="0" applyNumberFormat="1" applyFont="1" applyBorder="1">
      <alignment vertical="center"/>
    </xf>
    <xf numFmtId="178" fontId="15" fillId="0" borderId="22" xfId="0" applyNumberFormat="1" applyFont="1" applyBorder="1">
      <alignment vertical="center"/>
    </xf>
    <xf numFmtId="178" fontId="15" fillId="0" borderId="79" xfId="0" applyNumberFormat="1" applyFont="1" applyBorder="1">
      <alignment vertical="center"/>
    </xf>
    <xf numFmtId="178" fontId="14" fillId="7" borderId="82" xfId="0" applyNumberFormat="1" applyFont="1" applyFill="1" applyBorder="1">
      <alignment vertical="center"/>
    </xf>
    <xf numFmtId="178" fontId="14" fillId="5" borderId="78" xfId="0" applyNumberFormat="1" applyFont="1" applyFill="1" applyBorder="1">
      <alignment vertical="center"/>
    </xf>
    <xf numFmtId="178" fontId="6" fillId="9" borderId="0" xfId="0" applyNumberFormat="1" applyFont="1" applyFill="1" applyBorder="1" applyAlignment="1">
      <alignment horizontal="left" vertical="center"/>
    </xf>
    <xf numFmtId="0" fontId="11" fillId="8" borderId="0" xfId="0" applyFont="1" applyFill="1" applyAlignment="1">
      <alignment horizontal="center" vertical="center" wrapText="1"/>
    </xf>
    <xf numFmtId="0" fontId="11" fillId="8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14" fillId="15" borderId="67" xfId="0" applyFont="1" applyFill="1" applyBorder="1" applyAlignment="1">
      <alignment horizontal="center" vertical="center"/>
    </xf>
    <xf numFmtId="0" fontId="14" fillId="15" borderId="70" xfId="0" applyFont="1" applyFill="1" applyBorder="1" applyAlignment="1">
      <alignment horizontal="center" vertical="center"/>
    </xf>
    <xf numFmtId="0" fontId="14" fillId="15" borderId="129" xfId="0" applyFont="1" applyFill="1" applyBorder="1" applyAlignment="1">
      <alignment horizontal="center" vertical="center"/>
    </xf>
    <xf numFmtId="0" fontId="14" fillId="15" borderId="55" xfId="0" applyFont="1" applyFill="1" applyBorder="1" applyAlignment="1">
      <alignment horizontal="center" vertical="center"/>
    </xf>
    <xf numFmtId="0" fontId="14" fillId="15" borderId="48" xfId="0" applyFont="1" applyFill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4" fillId="15" borderId="135" xfId="0" applyFont="1" applyFill="1" applyBorder="1" applyAlignment="1">
      <alignment horizontal="center" vertical="center"/>
    </xf>
    <xf numFmtId="0" fontId="14" fillId="15" borderId="132" xfId="0" applyFont="1" applyFill="1" applyBorder="1" applyAlignment="1">
      <alignment horizontal="center" vertical="center"/>
    </xf>
    <xf numFmtId="178" fontId="6" fillId="0" borderId="48" xfId="0" applyNumberFormat="1" applyFont="1" applyBorder="1" applyAlignment="1">
      <alignment horizontal="center" vertical="center"/>
    </xf>
    <xf numFmtId="178" fontId="6" fillId="0" borderId="55" xfId="0" applyNumberFormat="1" applyFont="1" applyBorder="1" applyAlignment="1">
      <alignment horizontal="center" vertical="center"/>
    </xf>
    <xf numFmtId="0" fontId="16" fillId="6" borderId="1" xfId="0" applyFont="1" applyFill="1" applyBorder="1" applyAlignment="1">
      <alignment horizontal="center" vertical="center"/>
    </xf>
    <xf numFmtId="0" fontId="16" fillId="6" borderId="2" xfId="0" applyFont="1" applyFill="1" applyBorder="1" applyAlignment="1">
      <alignment horizontal="center" vertical="center"/>
    </xf>
    <xf numFmtId="0" fontId="16" fillId="6" borderId="6" xfId="0" applyFont="1" applyFill="1" applyBorder="1" applyAlignment="1">
      <alignment horizontal="center" vertical="center"/>
    </xf>
    <xf numFmtId="0" fontId="16" fillId="6" borderId="7" xfId="0" applyFont="1" applyFill="1" applyBorder="1" applyAlignment="1">
      <alignment horizontal="center" vertical="center"/>
    </xf>
    <xf numFmtId="0" fontId="16" fillId="6" borderId="3" xfId="0" applyFont="1" applyFill="1" applyBorder="1" applyAlignment="1">
      <alignment horizontal="center" vertical="center"/>
    </xf>
    <xf numFmtId="0" fontId="16" fillId="6" borderId="8" xfId="0" applyFont="1" applyFill="1" applyBorder="1" applyAlignment="1">
      <alignment horizontal="center" vertical="center"/>
    </xf>
    <xf numFmtId="176" fontId="2" fillId="0" borderId="6" xfId="0" applyNumberFormat="1" applyFont="1" applyBorder="1" applyAlignment="1">
      <alignment horizontal="center" vertical="center"/>
    </xf>
    <xf numFmtId="176" fontId="2" fillId="0" borderId="8" xfId="0" applyNumberFormat="1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18" fillId="10" borderId="1" xfId="0" applyFont="1" applyFill="1" applyBorder="1" applyAlignment="1">
      <alignment horizontal="center" vertical="center"/>
    </xf>
    <xf numFmtId="0" fontId="18" fillId="10" borderId="3" xfId="0" applyFont="1" applyFill="1" applyBorder="1" applyAlignment="1">
      <alignment horizontal="center" vertical="center"/>
    </xf>
    <xf numFmtId="0" fontId="18" fillId="10" borderId="6" xfId="0" applyFont="1" applyFill="1" applyBorder="1" applyAlignment="1">
      <alignment horizontal="center" vertical="center"/>
    </xf>
    <xf numFmtId="0" fontId="18" fillId="10" borderId="8" xfId="0" applyFont="1" applyFill="1" applyBorder="1" applyAlignment="1">
      <alignment horizontal="center" vertical="center"/>
    </xf>
    <xf numFmtId="178" fontId="2" fillId="0" borderId="62" xfId="0" applyNumberFormat="1" applyFont="1" applyBorder="1" applyAlignment="1">
      <alignment horizontal="center" vertical="center"/>
    </xf>
    <xf numFmtId="0" fontId="2" fillId="3" borderId="48" xfId="0" applyFont="1" applyFill="1" applyBorder="1" applyAlignment="1">
      <alignment horizontal="center" vertical="center"/>
    </xf>
    <xf numFmtId="0" fontId="2" fillId="3" borderId="55" xfId="0" applyFont="1" applyFill="1" applyBorder="1" applyAlignment="1">
      <alignment horizontal="center" vertical="center"/>
    </xf>
    <xf numFmtId="178" fontId="2" fillId="4" borderId="48" xfId="1" applyNumberFormat="1" applyFont="1" applyFill="1" applyBorder="1" applyAlignment="1">
      <alignment horizontal="center" vertical="center"/>
    </xf>
    <xf numFmtId="178" fontId="2" fillId="4" borderId="69" xfId="1" applyNumberFormat="1" applyFont="1" applyFill="1" applyBorder="1" applyAlignment="1">
      <alignment horizontal="center" vertical="center"/>
    </xf>
    <xf numFmtId="178" fontId="2" fillId="4" borderId="55" xfId="1" applyNumberFormat="1" applyFont="1" applyFill="1" applyBorder="1" applyAlignment="1">
      <alignment horizontal="center" vertical="center"/>
    </xf>
    <xf numFmtId="178" fontId="18" fillId="11" borderId="70" xfId="0" applyNumberFormat="1" applyFont="1" applyFill="1" applyBorder="1" applyAlignment="1">
      <alignment horizontal="center" vertical="center"/>
    </xf>
    <xf numFmtId="178" fontId="18" fillId="11" borderId="72" xfId="0" applyNumberFormat="1" applyFont="1" applyFill="1" applyBorder="1" applyAlignment="1">
      <alignment horizontal="center" vertical="center"/>
    </xf>
    <xf numFmtId="178" fontId="18" fillId="11" borderId="1" xfId="0" applyNumberFormat="1" applyFont="1" applyFill="1" applyBorder="1" applyAlignment="1">
      <alignment horizontal="center" vertical="center"/>
    </xf>
    <xf numFmtId="178" fontId="18" fillId="11" borderId="2" xfId="0" applyNumberFormat="1" applyFont="1" applyFill="1" applyBorder="1" applyAlignment="1">
      <alignment horizontal="center" vertical="center"/>
    </xf>
    <xf numFmtId="178" fontId="18" fillId="11" borderId="6" xfId="0" applyNumberFormat="1" applyFont="1" applyFill="1" applyBorder="1" applyAlignment="1">
      <alignment horizontal="center" vertical="center"/>
    </xf>
    <xf numFmtId="178" fontId="18" fillId="11" borderId="7" xfId="0" applyNumberFormat="1" applyFont="1" applyFill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 wrapText="1"/>
    </xf>
    <xf numFmtId="178" fontId="2" fillId="0" borderId="3" xfId="0" applyNumberFormat="1" applyFont="1" applyBorder="1" applyAlignment="1">
      <alignment horizontal="center" vertical="center"/>
    </xf>
    <xf numFmtId="178" fontId="2" fillId="0" borderId="4" xfId="0" applyNumberFormat="1" applyFont="1" applyBorder="1" applyAlignment="1">
      <alignment horizontal="center" vertical="center"/>
    </xf>
    <xf numFmtId="178" fontId="2" fillId="0" borderId="5" xfId="0" applyNumberFormat="1" applyFont="1" applyBorder="1" applyAlignment="1">
      <alignment horizontal="center" vertical="center"/>
    </xf>
    <xf numFmtId="178" fontId="2" fillId="0" borderId="6" xfId="0" applyNumberFormat="1" applyFont="1" applyBorder="1" applyAlignment="1">
      <alignment horizontal="center" vertical="center"/>
    </xf>
    <xf numFmtId="178" fontId="2" fillId="0" borderId="8" xfId="0" applyNumberFormat="1" applyFont="1" applyBorder="1" applyAlignment="1">
      <alignment horizontal="center" vertical="center"/>
    </xf>
    <xf numFmtId="0" fontId="16" fillId="6" borderId="115" xfId="0" applyFont="1" applyFill="1" applyBorder="1" applyAlignment="1">
      <alignment horizontal="center" vertical="center"/>
    </xf>
    <xf numFmtId="0" fontId="16" fillId="6" borderId="116" xfId="0" applyFont="1" applyFill="1" applyBorder="1" applyAlignment="1">
      <alignment horizontal="center" vertical="center"/>
    </xf>
    <xf numFmtId="0" fontId="16" fillId="6" borderId="117" xfId="0" applyFont="1" applyFill="1" applyBorder="1" applyAlignment="1">
      <alignment horizontal="center" vertical="center"/>
    </xf>
    <xf numFmtId="178" fontId="18" fillId="6" borderId="1" xfId="0" applyNumberFormat="1" applyFont="1" applyFill="1" applyBorder="1" applyAlignment="1">
      <alignment horizontal="center" vertical="center"/>
    </xf>
    <xf numFmtId="178" fontId="18" fillId="6" borderId="3" xfId="0" applyNumberFormat="1" applyFont="1" applyFill="1" applyBorder="1" applyAlignment="1">
      <alignment horizontal="center" vertical="center"/>
    </xf>
    <xf numFmtId="178" fontId="18" fillId="6" borderId="6" xfId="0" applyNumberFormat="1" applyFont="1" applyFill="1" applyBorder="1" applyAlignment="1">
      <alignment horizontal="center" vertical="center"/>
    </xf>
    <xf numFmtId="178" fontId="18" fillId="6" borderId="8" xfId="0" applyNumberFormat="1" applyFont="1" applyFill="1" applyBorder="1" applyAlignment="1">
      <alignment horizontal="center" vertical="center"/>
    </xf>
    <xf numFmtId="14" fontId="0" fillId="0" borderId="0" xfId="0" applyNumberFormat="1" applyFont="1">
      <alignment vertical="center"/>
    </xf>
  </cellXfs>
  <cellStyles count="5">
    <cellStyle name="백분율 3" xfId="2" xr:uid="{00000000-0005-0000-0000-000001000000}"/>
    <cellStyle name="쉼표 [0]" xfId="1" builtinId="6"/>
    <cellStyle name="쉼표 [0] 2" xfId="3" xr:uid="{00000000-0005-0000-0000-000003000000}"/>
    <cellStyle name="표준" xfId="0" builtinId="0"/>
    <cellStyle name="표준 2 2" xfId="4" xr:uid="{00000000-0005-0000-0000-000005000000}"/>
  </cellStyles>
  <dxfs count="0"/>
  <tableStyles count="0" defaultTableStyle="TableStyleMedium9" defaultPivotStyle="PivotStyleLight16"/>
  <colors>
    <mruColors>
      <color rgb="FF008000"/>
      <color rgb="FF0000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26" Type="http://schemas.openxmlformats.org/officeDocument/2006/relationships/externalLink" Target="externalLinks/externalLink15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0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openxmlformats.org/officeDocument/2006/relationships/externalLink" Target="externalLinks/externalLink1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externalLink" Target="externalLinks/externalLink9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3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externalLink" Target="externalLinks/externalLink12.xml"/><Relationship Id="rId28" Type="http://schemas.openxmlformats.org/officeDocument/2006/relationships/externalLink" Target="externalLinks/externalLink17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8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externalLink" Target="externalLinks/externalLink11.xml"/><Relationship Id="rId27" Type="http://schemas.openxmlformats.org/officeDocument/2006/relationships/externalLink" Target="externalLinks/externalLink16.xml"/><Relationship Id="rId30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건자재!$R$38</c:f>
              <c:strCache>
                <c:ptCount val="1"/>
                <c:pt idx="0">
                  <c:v>판매단가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bg1"/>
              </a:solidFill>
              <a:ln w="31750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건자재!$W$37:$AI$37</c:f>
              <c:strCache>
                <c:ptCount val="13"/>
                <c:pt idx="0">
                  <c:v>5월</c:v>
                </c:pt>
                <c:pt idx="1">
                  <c:v>6월</c:v>
                </c:pt>
                <c:pt idx="2">
                  <c:v>7월</c:v>
                </c:pt>
                <c:pt idx="3">
                  <c:v>8월</c:v>
                </c:pt>
                <c:pt idx="4">
                  <c:v>9월</c:v>
                </c:pt>
                <c:pt idx="5">
                  <c:v>10월</c:v>
                </c:pt>
                <c:pt idx="6">
                  <c:v>11월</c:v>
                </c:pt>
                <c:pt idx="7">
                  <c:v>12월</c:v>
                </c:pt>
                <c:pt idx="8">
                  <c:v>1월</c:v>
                </c:pt>
                <c:pt idx="9">
                  <c:v>2월</c:v>
                </c:pt>
                <c:pt idx="10">
                  <c:v>3월</c:v>
                </c:pt>
                <c:pt idx="11">
                  <c:v>4월</c:v>
                </c:pt>
                <c:pt idx="12">
                  <c:v>5월</c:v>
                </c:pt>
              </c:strCache>
            </c:strRef>
          </c:cat>
          <c:val>
            <c:numRef>
              <c:f>건자재!$W$38:$AI$38</c:f>
              <c:numCache>
                <c:formatCode>#,##0_);[Red]\(#,##0\)</c:formatCode>
                <c:ptCount val="13"/>
                <c:pt idx="0">
                  <c:v>1064717.6492676102</c:v>
                </c:pt>
                <c:pt idx="1">
                  <c:v>1043902.0889611768</c:v>
                </c:pt>
                <c:pt idx="2">
                  <c:v>1025254.3120930659</c:v>
                </c:pt>
                <c:pt idx="3">
                  <c:v>957693.63511625899</c:v>
                </c:pt>
                <c:pt idx="4">
                  <c:v>1007624.1816933632</c:v>
                </c:pt>
                <c:pt idx="5">
                  <c:v>964243.14311560732</c:v>
                </c:pt>
                <c:pt idx="6">
                  <c:v>985246.58044154115</c:v>
                </c:pt>
                <c:pt idx="7">
                  <c:v>951341.4287927025</c:v>
                </c:pt>
                <c:pt idx="8">
                  <c:v>920730.85338998202</c:v>
                </c:pt>
                <c:pt idx="9">
                  <c:v>886130.8859870329</c:v>
                </c:pt>
                <c:pt idx="10">
                  <c:v>873530.5235919673</c:v>
                </c:pt>
                <c:pt idx="11">
                  <c:v>853042.90795678552</c:v>
                </c:pt>
                <c:pt idx="12">
                  <c:v>811389.30758305453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55-4D75-BE3B-275E751F38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5924856"/>
        <c:axId val="725929120"/>
      </c:lineChart>
      <c:lineChart>
        <c:grouping val="standard"/>
        <c:varyColors val="0"/>
        <c:ser>
          <c:idx val="1"/>
          <c:order val="1"/>
          <c:tx>
            <c:strRef>
              <c:f>건자재!$R$39</c:f>
              <c:strCache>
                <c:ptCount val="1"/>
                <c:pt idx="0">
                  <c:v>마진률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건자재!$V$37:$AH$37</c:f>
              <c:strCache>
                <c:ptCount val="13"/>
                <c:pt idx="0">
                  <c:v>4월</c:v>
                </c:pt>
                <c:pt idx="1">
                  <c:v>5월</c:v>
                </c:pt>
                <c:pt idx="2">
                  <c:v>6월</c:v>
                </c:pt>
                <c:pt idx="3">
                  <c:v>7월</c:v>
                </c:pt>
                <c:pt idx="4">
                  <c:v>8월</c:v>
                </c:pt>
                <c:pt idx="5">
                  <c:v>9월</c:v>
                </c:pt>
                <c:pt idx="6">
                  <c:v>10월</c:v>
                </c:pt>
                <c:pt idx="7">
                  <c:v>11월</c:v>
                </c:pt>
                <c:pt idx="8">
                  <c:v>12월</c:v>
                </c:pt>
                <c:pt idx="9">
                  <c:v>1월</c:v>
                </c:pt>
                <c:pt idx="10">
                  <c:v>2월</c:v>
                </c:pt>
                <c:pt idx="11">
                  <c:v>3월</c:v>
                </c:pt>
                <c:pt idx="12">
                  <c:v>4월</c:v>
                </c:pt>
              </c:strCache>
            </c:strRef>
          </c:cat>
          <c:val>
            <c:numRef>
              <c:f>건자재!$V$39:$AH$39</c:f>
              <c:numCache>
                <c:formatCode>0.0%</c:formatCode>
                <c:ptCount val="13"/>
                <c:pt idx="0">
                  <c:v>2.0783119934692784E-2</c:v>
                </c:pt>
                <c:pt idx="1">
                  <c:v>1.8530156032889104E-2</c:v>
                </c:pt>
                <c:pt idx="2">
                  <c:v>2.338088905753952E-2</c:v>
                </c:pt>
                <c:pt idx="3">
                  <c:v>2.4066421287530761E-2</c:v>
                </c:pt>
                <c:pt idx="4">
                  <c:v>2.751551238666371E-2</c:v>
                </c:pt>
                <c:pt idx="5">
                  <c:v>1.6738202604907604E-2</c:v>
                </c:pt>
                <c:pt idx="6">
                  <c:v>1.8118540365804674E-2</c:v>
                </c:pt>
                <c:pt idx="7">
                  <c:v>1.7419708473984639E-2</c:v>
                </c:pt>
                <c:pt idx="8">
                  <c:v>2.0746012557623313E-2</c:v>
                </c:pt>
                <c:pt idx="9">
                  <c:v>1.9263299607757241E-2</c:v>
                </c:pt>
                <c:pt idx="10">
                  <c:v>2.0328430506478493E-2</c:v>
                </c:pt>
                <c:pt idx="11">
                  <c:v>1.815970186077798E-2</c:v>
                </c:pt>
                <c:pt idx="12">
                  <c:v>2.0783119934692784E-2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55-4D75-BE3B-275E751F38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5496360"/>
        <c:axId val="622269880"/>
      </c:lineChart>
      <c:catAx>
        <c:axId val="725924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25929120"/>
        <c:crosses val="autoZero"/>
        <c:auto val="1"/>
        <c:lblAlgn val="ctr"/>
        <c:lblOffset val="0"/>
        <c:noMultiLvlLbl val="0"/>
      </c:catAx>
      <c:valAx>
        <c:axId val="725929120"/>
        <c:scaling>
          <c:orientation val="minMax"/>
          <c:max val="1400000"/>
          <c:min val="300000"/>
        </c:scaling>
        <c:delete val="0"/>
        <c:axPos val="l"/>
        <c:numFmt formatCode="#,##0_);[Red]\(#,##0\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25924856"/>
        <c:crosses val="autoZero"/>
        <c:crossBetween val="between"/>
      </c:valAx>
      <c:valAx>
        <c:axId val="622269880"/>
        <c:scaling>
          <c:orientation val="minMax"/>
          <c:max val="0.15000000000000002"/>
          <c:min val="1.0000000000000002E-3"/>
        </c:scaling>
        <c:delete val="0"/>
        <c:axPos val="r"/>
        <c:numFmt formatCode="0.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25496360"/>
        <c:crosses val="max"/>
        <c:crossBetween val="between"/>
      </c:valAx>
      <c:catAx>
        <c:axId val="7254963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222698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394607</xdr:colOff>
      <xdr:row>27</xdr:row>
      <xdr:rowOff>299358</xdr:rowOff>
    </xdr:from>
    <xdr:to>
      <xdr:col>14</xdr:col>
      <xdr:colOff>830036</xdr:colOff>
      <xdr:row>33</xdr:row>
      <xdr:rowOff>317500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BB01E3CC-2C56-45D5-94BE-AA7FCAC4DE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4&#45380;&#50696;&#49328;/&#49324;&#50629;&#44228;&#54925;/01_&#51665;&#44228;/2024&#45380;_&#54637;&#47785;&#48324;&#49552;&#51061;&#50696;&#4932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2024&#45380;_&#54637;&#47785;&#48324;&#49552;&#51061;&#49892;&#51201;_&#54620;&#49457;&#54252;&#54632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312/00_&#48372;&#44256;&#49436;/2023&#45380;_&#54637;&#47785;&#48324;&#49552;&#51061;&#49892;&#51201;_&#54620;&#49457;&#54252;&#54632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&#49552;&#51061;&#48372;&#44256;&#49436;(2024-04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405/01_&#47112;&#48120;&#53080;/&#47112;&#48120;&#53080;&#50896;&#44032;&#49552;&#51061;(2024-05)&#44228;&#54925;&#45824;&#48708;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405/01_&#47112;&#48120;&#53080;/&#47112;&#48120;&#53080;&#50896;&#44032;&#49552;&#51061;(2024-05)&#51204;&#45380;&#45824;&#48708;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405/02_&#44148;&#51088;&#51116;/&#44148;&#51088;&#51116;&#50689;&#50629;&#49552;&#51061;(2024)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312/02_&#44148;&#51088;&#51116;/&#44148;&#51088;&#51116;&#50689;&#50629;&#49552;&#51061;(2023)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405/03_&#44264;&#51116;/&#44264;&#51116;&#50896;&#44032;&#49552;&#51061;(2024-05)&#44228;&#54925;&#45824;&#48708;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312/03_&#44264;&#51116;/&#44264;&#51116;&#50896;&#44032;&#49552;&#51061;(2023-05)&#44228;&#54925;&#45824;&#48708;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405/01_&#47112;&#48120;&#53080;/&#47112;&#48120;&#53080;&#50896;&#44032;&#49552;&#51061;(2024-05&#45572;&#44228;)&#44228;&#54925;&#45824;&#48708;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405/01_&#47112;&#48120;&#53080;/&#47112;&#48120;&#53080;&#50896;&#44032;&#49552;&#51061;(2024-05&#45572;&#44228;)&#51204;&#45380;&#45824;&#48708;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4&#45380;&#50696;&#49328;/&#49324;&#50629;&#44228;&#54925;/02_&#50696;&#49328;&#50836;&#44396;&#50504;/&#44148;&#51088;&#51116;/2024&#45380;_&#50696;&#49328;&#50836;&#44396;&#50504;_&#44148;&#51088;&#51116;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4&#45380;&#50696;&#49328;/&#49324;&#50629;&#44228;&#54925;/02_&#50696;&#49328;&#50836;&#44396;&#50504;/&#44264;&#51116;/2024&#45380;_&#50696;&#49328;&#50836;&#44396;&#50504;_&#49436;&#48512;&#49328;&#53356;&#46972;&#49380;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4&#45380;&#50696;&#49328;/&#49324;&#50629;&#44228;&#54925;/02_&#50696;&#49328;&#50836;&#44396;&#50504;/&#44264;&#51116;/2024&#45380;_&#50696;&#49328;&#50836;&#44396;&#50504;_&#48512;&#49328;&#53356;&#46972;&#49380;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4&#45380;&#50696;&#49328;/&#49324;&#50629;&#44228;&#54925;/02_&#50696;&#49328;&#50836;&#44396;&#50504;/&#44264;&#51116;/2024&#45380;_&#50696;&#49328;&#50836;&#44396;&#50504;_&#48512;&#49328;&#47784;&#47000;&#51109;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405/03_&#44264;&#51116;/&#44264;&#51116;&#49892;&#51201;(2024-0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월별손익"/>
      <sheetName val="월별손익 (2)"/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10월"/>
      <sheetName val="11월"/>
      <sheetName val="12월"/>
      <sheetName val="2월누계"/>
      <sheetName val="3월누계"/>
      <sheetName val="4월누계"/>
      <sheetName val="5월누계"/>
      <sheetName val="6월누계"/>
      <sheetName val="7월누계"/>
      <sheetName val="8월누계"/>
      <sheetName val="9월누계"/>
      <sheetName val="10월누계"/>
      <sheetName val="11월누계"/>
      <sheetName val="12월누계"/>
      <sheetName val="하반기"/>
      <sheetName val="물량"/>
      <sheetName val="매출액"/>
      <sheetName val="매출원가"/>
      <sheetName val="노무비"/>
      <sheetName val="경비"/>
      <sheetName val="운반비"/>
      <sheetName val="감가상각비_제조"/>
      <sheetName val="감가상각비_판매"/>
      <sheetName val="영업공통비"/>
      <sheetName val="부문공통비"/>
      <sheetName val="본사공통비"/>
      <sheetName val="매출이익"/>
      <sheetName val="영업이익1"/>
      <sheetName val="영업이익2"/>
      <sheetName val="Sheet2"/>
      <sheetName val="Sheet2 (2)"/>
    </sheetNames>
    <sheetDataSet>
      <sheetData sheetId="0"/>
      <sheetData sheetId="1"/>
      <sheetData sheetId="2"/>
      <sheetData sheetId="3">
        <row r="7">
          <cell r="Z7">
            <v>241000</v>
          </cell>
        </row>
      </sheetData>
      <sheetData sheetId="4">
        <row r="7">
          <cell r="Z7">
            <v>229000</v>
          </cell>
        </row>
      </sheetData>
      <sheetData sheetId="5">
        <row r="7">
          <cell r="Z7">
            <v>286000</v>
          </cell>
        </row>
      </sheetData>
      <sheetData sheetId="6">
        <row r="6">
          <cell r="D6" t="str">
            <v>구분</v>
          </cell>
        </row>
      </sheetData>
      <sheetData sheetId="7">
        <row r="6">
          <cell r="D6" t="str">
            <v>구분</v>
          </cell>
          <cell r="E6" t="str">
            <v>합계</v>
          </cell>
          <cell r="F6" t="str">
            <v>안양</v>
          </cell>
          <cell r="G6" t="str">
            <v>인천</v>
          </cell>
          <cell r="H6" t="str">
            <v>파주</v>
          </cell>
          <cell r="I6" t="str">
            <v>김포</v>
          </cell>
          <cell r="J6" t="str">
            <v>부산</v>
          </cell>
          <cell r="K6" t="str">
            <v>서부산</v>
          </cell>
          <cell r="L6" t="str">
            <v>김해</v>
          </cell>
          <cell r="M6" t="str">
            <v>정관</v>
          </cell>
          <cell r="N6" t="str">
            <v>양산</v>
          </cell>
          <cell r="O6" t="str">
            <v>창원</v>
          </cell>
          <cell r="P6" t="str">
            <v>대구</v>
          </cell>
          <cell r="Q6" t="str">
            <v>울산</v>
          </cell>
          <cell r="R6" t="str">
            <v>아산</v>
          </cell>
          <cell r="S6" t="str">
            <v>전주</v>
          </cell>
          <cell r="T6" t="str">
            <v>군산</v>
          </cell>
          <cell r="U6" t="str">
            <v>원주</v>
          </cell>
          <cell r="V6" t="str">
            <v>제주</v>
          </cell>
          <cell r="Z6" t="str">
            <v>레미콘 계</v>
          </cell>
          <cell r="AA6" t="str">
            <v>건자재</v>
          </cell>
          <cell r="AB6" t="str">
            <v>서부산크라샤</v>
          </cell>
          <cell r="AC6" t="str">
            <v>부산크라샤</v>
          </cell>
          <cell r="AD6" t="str">
            <v>부산모래장</v>
          </cell>
          <cell r="AE6" t="str">
            <v>골재계</v>
          </cell>
          <cell r="AF6" t="str">
            <v>강릉임대</v>
          </cell>
          <cell r="AG6" t="str">
            <v>속초임대</v>
          </cell>
          <cell r="AH6" t="str">
            <v>포항임대</v>
          </cell>
          <cell r="AI6" t="str">
            <v>부동산임대</v>
          </cell>
          <cell r="AJ6" t="str">
            <v>주유소임대</v>
          </cell>
          <cell r="AL6" t="str">
            <v>임대 계</v>
          </cell>
          <cell r="AM6" t="str">
            <v>삼척</v>
          </cell>
          <cell r="AN6" t="str">
            <v>미로</v>
          </cell>
          <cell r="AO6" t="str">
            <v>양양</v>
          </cell>
          <cell r="AP6" t="str">
            <v>경포</v>
          </cell>
          <cell r="AQ6" t="str">
            <v>한스타워</v>
          </cell>
          <cell r="AR6" t="str">
            <v>임금인상</v>
          </cell>
          <cell r="AS6" t="str">
            <v>시멘트소급</v>
          </cell>
          <cell r="AT6" t="str">
            <v>기타</v>
          </cell>
          <cell r="AU6" t="str">
            <v>기타 계</v>
          </cell>
        </row>
        <row r="7">
          <cell r="D7" t="str">
            <v>물     량</v>
          </cell>
          <cell r="F7">
            <v>44000</v>
          </cell>
          <cell r="G7">
            <v>35000</v>
          </cell>
          <cell r="H7">
            <v>28000</v>
          </cell>
          <cell r="I7">
            <v>18500</v>
          </cell>
          <cell r="J7">
            <v>20000</v>
          </cell>
          <cell r="K7">
            <v>26000</v>
          </cell>
          <cell r="L7">
            <v>12000</v>
          </cell>
          <cell r="M7">
            <v>18000</v>
          </cell>
          <cell r="N7">
            <v>11500</v>
          </cell>
          <cell r="O7">
            <v>18000</v>
          </cell>
          <cell r="P7">
            <v>16500</v>
          </cell>
          <cell r="Q7">
            <v>10000</v>
          </cell>
          <cell r="R7">
            <v>24000</v>
          </cell>
          <cell r="S7">
            <v>12000</v>
          </cell>
          <cell r="T7">
            <v>7500</v>
          </cell>
          <cell r="U7">
            <v>7000</v>
          </cell>
          <cell r="V7">
            <v>6000</v>
          </cell>
          <cell r="W7">
            <v>0</v>
          </cell>
          <cell r="X7">
            <v>0</v>
          </cell>
          <cell r="Y7">
            <v>0</v>
          </cell>
          <cell r="Z7">
            <v>314000</v>
          </cell>
          <cell r="AA7">
            <v>7600</v>
          </cell>
          <cell r="AB7">
            <v>51226.029226666666</v>
          </cell>
          <cell r="AC7">
            <v>41810.091372023955</v>
          </cell>
          <cell r="AD7">
            <v>28019.294299382029</v>
          </cell>
          <cell r="AE7">
            <v>121055.41489807265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</row>
        <row r="8">
          <cell r="D8" t="str">
            <v>매 출 액</v>
          </cell>
          <cell r="E8">
            <v>43731983.529877067</v>
          </cell>
          <cell r="F8">
            <v>4457848.1000000006</v>
          </cell>
          <cell r="G8">
            <v>3594518.8099999996</v>
          </cell>
          <cell r="H8">
            <v>2776660.9924217607</v>
          </cell>
          <cell r="I8">
            <v>1777821.5</v>
          </cell>
          <cell r="J8">
            <v>2152005.9839999997</v>
          </cell>
          <cell r="K8">
            <v>2684636.82</v>
          </cell>
          <cell r="L8">
            <v>1212002.3999999999</v>
          </cell>
          <cell r="M8">
            <v>1872000</v>
          </cell>
          <cell r="N8">
            <v>1112796.0900000001</v>
          </cell>
          <cell r="O8">
            <v>1829284</v>
          </cell>
          <cell r="P8">
            <v>1613040</v>
          </cell>
          <cell r="Q8">
            <v>1012931</v>
          </cell>
          <cell r="R8">
            <v>2424003.5999999996</v>
          </cell>
          <cell r="S8">
            <v>1246467.3899999999</v>
          </cell>
          <cell r="T8">
            <v>817184.73199999996</v>
          </cell>
          <cell r="U8">
            <v>755300</v>
          </cell>
          <cell r="V8">
            <v>760800</v>
          </cell>
          <cell r="W8">
            <v>0</v>
          </cell>
          <cell r="X8">
            <v>0</v>
          </cell>
          <cell r="Y8">
            <v>0</v>
          </cell>
          <cell r="Z8">
            <v>32099301.41842176</v>
          </cell>
          <cell r="AA8">
            <v>9285688.4210526329</v>
          </cell>
          <cell r="AB8">
            <v>635925.90506666666</v>
          </cell>
          <cell r="AC8">
            <v>750478.01166872459</v>
          </cell>
          <cell r="AD8">
            <v>795682.27333394904</v>
          </cell>
          <cell r="AE8">
            <v>2182086.1900693402</v>
          </cell>
          <cell r="AF8">
            <v>12500</v>
          </cell>
          <cell r="AG8">
            <v>50000</v>
          </cell>
          <cell r="AH8">
            <v>28340</v>
          </cell>
          <cell r="AI8">
            <v>67047.50033333333</v>
          </cell>
          <cell r="AJ8">
            <v>5250</v>
          </cell>
          <cell r="AK8">
            <v>0</v>
          </cell>
          <cell r="AL8">
            <v>163137.50033333333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1770</v>
          </cell>
          <cell r="AU8">
            <v>1770</v>
          </cell>
        </row>
        <row r="9">
          <cell r="D9" t="str">
            <v xml:space="preserve"> - 단  위  당</v>
          </cell>
          <cell r="F9">
            <v>101314.72954545455</v>
          </cell>
          <cell r="G9">
            <v>102700.53742857142</v>
          </cell>
          <cell r="H9">
            <v>99166.464015062884</v>
          </cell>
          <cell r="I9">
            <v>96098.459459459467</v>
          </cell>
          <cell r="J9">
            <v>107600.29919999998</v>
          </cell>
          <cell r="K9">
            <v>103255.2623076923</v>
          </cell>
          <cell r="L9">
            <v>101000.2</v>
          </cell>
          <cell r="M9">
            <v>104000</v>
          </cell>
          <cell r="N9">
            <v>96764.877391304355</v>
          </cell>
          <cell r="O9">
            <v>101626.88888888889</v>
          </cell>
          <cell r="P9">
            <v>97760</v>
          </cell>
          <cell r="Q9">
            <v>101293.09999999999</v>
          </cell>
          <cell r="R9">
            <v>101000.15</v>
          </cell>
          <cell r="S9">
            <v>103872.2825</v>
          </cell>
          <cell r="T9">
            <v>108957.96426666666</v>
          </cell>
          <cell r="U9">
            <v>107900</v>
          </cell>
          <cell r="V9">
            <v>126800</v>
          </cell>
          <cell r="W9">
            <v>0</v>
          </cell>
          <cell r="X9">
            <v>0</v>
          </cell>
          <cell r="Y9">
            <v>0</v>
          </cell>
          <cell r="Z9">
            <v>102227.07458096102</v>
          </cell>
          <cell r="AA9">
            <v>1221801.1080332412</v>
          </cell>
          <cell r="AB9">
            <v>12414.11670330332</v>
          </cell>
          <cell r="AC9">
            <v>17949.685997837496</v>
          </cell>
          <cell r="AD9">
            <v>28397.655730804683</v>
          </cell>
          <cell r="AE9">
            <v>18025.514942116661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</row>
        <row r="10">
          <cell r="D10" t="str">
            <v>매출원가</v>
          </cell>
          <cell r="E10">
            <v>36822264.679613225</v>
          </cell>
          <cell r="F10">
            <v>3654989.1269322322</v>
          </cell>
          <cell r="G10">
            <v>3024575.0104645551</v>
          </cell>
          <cell r="H10">
            <v>2271689.4195099887</v>
          </cell>
          <cell r="I10">
            <v>1429103.6680424586</v>
          </cell>
          <cell r="J10">
            <v>1723820.5401441304</v>
          </cell>
          <cell r="K10">
            <v>2116281.7633803883</v>
          </cell>
          <cell r="L10">
            <v>1005774.6260355207</v>
          </cell>
          <cell r="M10">
            <v>1535972.3835858116</v>
          </cell>
          <cell r="N10">
            <v>903890.45137138129</v>
          </cell>
          <cell r="O10">
            <v>1420017.8417660883</v>
          </cell>
          <cell r="P10">
            <v>1266996.2728037927</v>
          </cell>
          <cell r="Q10">
            <v>869557.33068614849</v>
          </cell>
          <cell r="R10">
            <v>1958210.3401008188</v>
          </cell>
          <cell r="S10">
            <v>969847.89823687554</v>
          </cell>
          <cell r="T10">
            <v>582547.61462339037</v>
          </cell>
          <cell r="U10">
            <v>574331.49423950748</v>
          </cell>
          <cell r="V10">
            <v>608379.89711576956</v>
          </cell>
          <cell r="W10">
            <v>0</v>
          </cell>
          <cell r="X10">
            <v>0</v>
          </cell>
          <cell r="Y10">
            <v>0</v>
          </cell>
          <cell r="Z10">
            <v>25915985.679038864</v>
          </cell>
          <cell r="AA10">
            <v>9048062.5777684227</v>
          </cell>
          <cell r="AB10">
            <v>454606.69458666665</v>
          </cell>
          <cell r="AC10">
            <v>677411.01960416767</v>
          </cell>
          <cell r="AD10">
            <v>687944.79361510708</v>
          </cell>
          <cell r="AE10">
            <v>1819962.5078059412</v>
          </cell>
          <cell r="AF10">
            <v>141.58099999999999</v>
          </cell>
          <cell r="AG10">
            <v>780.69200000000001</v>
          </cell>
          <cell r="AH10">
            <v>459.28500000000003</v>
          </cell>
          <cell r="AI10">
            <v>273.40800000000002</v>
          </cell>
          <cell r="AJ10">
            <v>191.119</v>
          </cell>
          <cell r="AK10">
            <v>0</v>
          </cell>
          <cell r="AL10">
            <v>1846.0849999999998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36407.829999999994</v>
          </cell>
          <cell r="AS10">
            <v>0</v>
          </cell>
          <cell r="AT10">
            <v>0</v>
          </cell>
          <cell r="AU10">
            <v>36407.829999999994</v>
          </cell>
        </row>
        <row r="11">
          <cell r="D11" t="str">
            <v xml:space="preserve"> - 단  위  당</v>
          </cell>
          <cell r="F11">
            <v>83067.934703005274</v>
          </cell>
          <cell r="G11">
            <v>86416.428870415853</v>
          </cell>
          <cell r="H11">
            <v>81131.764982499604</v>
          </cell>
          <cell r="I11">
            <v>77248.846921213975</v>
          </cell>
          <cell r="J11">
            <v>86191.027007206518</v>
          </cell>
          <cell r="K11">
            <v>81395.452437707238</v>
          </cell>
          <cell r="L11">
            <v>83814.552169626724</v>
          </cell>
          <cell r="M11">
            <v>85331.799088100641</v>
          </cell>
          <cell r="N11">
            <v>78599.169684467939</v>
          </cell>
          <cell r="O11">
            <v>78889.880098116002</v>
          </cell>
          <cell r="P11">
            <v>76787.652897199558</v>
          </cell>
          <cell r="Q11">
            <v>86955.733068614849</v>
          </cell>
          <cell r="R11">
            <v>81592.097504200778</v>
          </cell>
          <cell r="S11">
            <v>80820.65818640629</v>
          </cell>
          <cell r="T11">
            <v>77673.015283118715</v>
          </cell>
          <cell r="U11">
            <v>82047.356319929633</v>
          </cell>
          <cell r="V11">
            <v>101396.64951929492</v>
          </cell>
          <cell r="W11">
            <v>0</v>
          </cell>
          <cell r="X11">
            <v>0</v>
          </cell>
          <cell r="Y11">
            <v>0</v>
          </cell>
          <cell r="Z11">
            <v>82534.986238977275</v>
          </cell>
          <cell r="AA11">
            <v>1190534.5497063713</v>
          </cell>
          <cell r="AB11">
            <v>8874.5253428702727</v>
          </cell>
          <cell r="AC11">
            <v>16202.093738006948</v>
          </cell>
          <cell r="AD11">
            <v>24552.538199731884</v>
          </cell>
          <cell r="AE11">
            <v>15034.127216352361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</row>
        <row r="12">
          <cell r="D12" t="str">
            <v>매출이익</v>
          </cell>
          <cell r="E12">
            <v>6909718.8502638415</v>
          </cell>
          <cell r="F12">
            <v>802858.97306776838</v>
          </cell>
          <cell r="G12">
            <v>569943.79953544447</v>
          </cell>
          <cell r="H12">
            <v>504971.57291177195</v>
          </cell>
          <cell r="I12">
            <v>348717.83195754141</v>
          </cell>
          <cell r="J12">
            <v>428185.44385586935</v>
          </cell>
          <cell r="K12">
            <v>568355.05661961157</v>
          </cell>
          <cell r="L12">
            <v>206227.77396447922</v>
          </cell>
          <cell r="M12">
            <v>336027.61641418841</v>
          </cell>
          <cell r="N12">
            <v>208905.63862861879</v>
          </cell>
          <cell r="O12">
            <v>409266.15823391173</v>
          </cell>
          <cell r="P12">
            <v>346043.72719620727</v>
          </cell>
          <cell r="Q12">
            <v>143373.66931385151</v>
          </cell>
          <cell r="R12">
            <v>465793.25989918085</v>
          </cell>
          <cell r="S12">
            <v>276619.49176312436</v>
          </cell>
          <cell r="T12">
            <v>234637.11737660959</v>
          </cell>
          <cell r="U12">
            <v>180968.50576049252</v>
          </cell>
          <cell r="V12">
            <v>152420.10288423044</v>
          </cell>
          <cell r="W12">
            <v>0</v>
          </cell>
          <cell r="X12">
            <v>0</v>
          </cell>
          <cell r="Y12">
            <v>0</v>
          </cell>
          <cell r="Z12">
            <v>6183315.7393828966</v>
          </cell>
          <cell r="AA12">
            <v>237625.84328421019</v>
          </cell>
          <cell r="AB12">
            <v>181319.21048000001</v>
          </cell>
          <cell r="AC12">
            <v>73066.992064556922</v>
          </cell>
          <cell r="AD12">
            <v>107737.47971884196</v>
          </cell>
          <cell r="AE12">
            <v>362123.68226339901</v>
          </cell>
          <cell r="AF12">
            <v>12358.419</v>
          </cell>
          <cell r="AG12">
            <v>49219.307999999997</v>
          </cell>
          <cell r="AH12">
            <v>27880.715</v>
          </cell>
          <cell r="AI12">
            <v>66774.092333333334</v>
          </cell>
          <cell r="AJ12">
            <v>5058.8810000000003</v>
          </cell>
          <cell r="AK12">
            <v>0</v>
          </cell>
          <cell r="AL12">
            <v>161291.41533333334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-36407.829999999994</v>
          </cell>
          <cell r="AS12">
            <v>0</v>
          </cell>
          <cell r="AT12">
            <v>1770</v>
          </cell>
          <cell r="AU12">
            <v>-34637.829999999994</v>
          </cell>
        </row>
        <row r="13">
          <cell r="D13" t="str">
            <v>판 관 비</v>
          </cell>
          <cell r="E13">
            <v>781258.10200000007</v>
          </cell>
          <cell r="F13">
            <v>66432.599999999991</v>
          </cell>
          <cell r="G13">
            <v>62067.44</v>
          </cell>
          <cell r="H13">
            <v>46575.41</v>
          </cell>
          <cell r="I13">
            <v>33635.03</v>
          </cell>
          <cell r="J13">
            <v>54185.16</v>
          </cell>
          <cell r="K13">
            <v>46470</v>
          </cell>
          <cell r="L13">
            <v>34319.57</v>
          </cell>
          <cell r="M13">
            <v>44109.53</v>
          </cell>
          <cell r="N13">
            <v>35058.870000000003</v>
          </cell>
          <cell r="O13">
            <v>40196.69</v>
          </cell>
          <cell r="P13">
            <v>34813.94</v>
          </cell>
          <cell r="Q13">
            <v>26229.420000000002</v>
          </cell>
          <cell r="R13">
            <v>40901.259999999995</v>
          </cell>
          <cell r="S13">
            <v>24959.47</v>
          </cell>
          <cell r="T13">
            <v>10051.150000000001</v>
          </cell>
          <cell r="U13">
            <v>9974.630000000001</v>
          </cell>
          <cell r="V13">
            <v>14777.390000000001</v>
          </cell>
          <cell r="W13">
            <v>0</v>
          </cell>
          <cell r="X13">
            <v>0</v>
          </cell>
          <cell r="Y13">
            <v>0</v>
          </cell>
          <cell r="Z13">
            <v>624757.56000000006</v>
          </cell>
          <cell r="AA13">
            <v>119169.95999999999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414.08499999999998</v>
          </cell>
          <cell r="AN13">
            <v>237.679</v>
          </cell>
          <cell r="AO13">
            <v>145.50200000000001</v>
          </cell>
          <cell r="AP13">
            <v>150</v>
          </cell>
          <cell r="AQ13">
            <v>9494.7459999999992</v>
          </cell>
          <cell r="AR13">
            <v>26888.569999999996</v>
          </cell>
          <cell r="AS13">
            <v>0</v>
          </cell>
          <cell r="AT13">
            <v>0</v>
          </cell>
          <cell r="AU13">
            <v>37330.581999999995</v>
          </cell>
        </row>
        <row r="14">
          <cell r="D14" t="str">
            <v xml:space="preserve"> - 노   무   비</v>
          </cell>
          <cell r="E14">
            <v>565788.56000000006</v>
          </cell>
          <cell r="F14">
            <v>48296.539999999994</v>
          </cell>
          <cell r="G14">
            <v>46077.93</v>
          </cell>
          <cell r="H14">
            <v>34163.040000000001</v>
          </cell>
          <cell r="I14">
            <v>25384.5</v>
          </cell>
          <cell r="J14">
            <v>40364</v>
          </cell>
          <cell r="K14">
            <v>33482.83</v>
          </cell>
          <cell r="L14">
            <v>25437.74</v>
          </cell>
          <cell r="M14">
            <v>33056.31</v>
          </cell>
          <cell r="N14">
            <v>26198.02</v>
          </cell>
          <cell r="O14">
            <v>30100.890000000003</v>
          </cell>
          <cell r="P14">
            <v>25518.92</v>
          </cell>
          <cell r="Q14">
            <v>18858.050000000003</v>
          </cell>
          <cell r="R14">
            <v>29242.879999999997</v>
          </cell>
          <cell r="S14">
            <v>17960.63</v>
          </cell>
          <cell r="T14">
            <v>6740.76</v>
          </cell>
          <cell r="U14">
            <v>5981.55</v>
          </cell>
          <cell r="V14">
            <v>10553.53</v>
          </cell>
          <cell r="W14">
            <v>0</v>
          </cell>
          <cell r="X14">
            <v>0</v>
          </cell>
          <cell r="Y14">
            <v>0</v>
          </cell>
          <cell r="Z14">
            <v>457418.12000000005</v>
          </cell>
          <cell r="AA14">
            <v>83504.47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24865.969999999998</v>
          </cell>
          <cell r="AS14">
            <v>0</v>
          </cell>
          <cell r="AT14">
            <v>0</v>
          </cell>
          <cell r="AU14">
            <v>24865.969999999998</v>
          </cell>
        </row>
        <row r="15">
          <cell r="D15" t="str">
            <v xml:space="preserve"> - 경        비</v>
          </cell>
          <cell r="E15">
            <v>215469.54199999999</v>
          </cell>
          <cell r="F15">
            <v>18136.059999999998</v>
          </cell>
          <cell r="G15">
            <v>15989.51</v>
          </cell>
          <cell r="H15">
            <v>12412.37</v>
          </cell>
          <cell r="I15">
            <v>8250.5299999999988</v>
          </cell>
          <cell r="J15">
            <v>13821.16</v>
          </cell>
          <cell r="K15">
            <v>12987.17</v>
          </cell>
          <cell r="L15">
            <v>8881.83</v>
          </cell>
          <cell r="M15">
            <v>11053.220000000001</v>
          </cell>
          <cell r="N15">
            <v>8860.85</v>
          </cell>
          <cell r="O15">
            <v>10095.799999999999</v>
          </cell>
          <cell r="P15">
            <v>9295.02</v>
          </cell>
          <cell r="Q15">
            <v>7371.37</v>
          </cell>
          <cell r="R15">
            <v>11658.380000000001</v>
          </cell>
          <cell r="S15">
            <v>6998.84</v>
          </cell>
          <cell r="T15">
            <v>3310.3900000000003</v>
          </cell>
          <cell r="U15">
            <v>3993.08</v>
          </cell>
          <cell r="V15">
            <v>4223.8600000000006</v>
          </cell>
          <cell r="W15">
            <v>0</v>
          </cell>
          <cell r="X15">
            <v>0</v>
          </cell>
          <cell r="Y15">
            <v>0</v>
          </cell>
          <cell r="Z15">
            <v>167339.44</v>
          </cell>
          <cell r="AA15">
            <v>35665.49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414.08499999999998</v>
          </cell>
          <cell r="AN15">
            <v>237.679</v>
          </cell>
          <cell r="AO15">
            <v>145.50200000000001</v>
          </cell>
          <cell r="AP15">
            <v>150</v>
          </cell>
          <cell r="AQ15">
            <v>9494.7459999999992</v>
          </cell>
          <cell r="AR15">
            <v>2022.6</v>
          </cell>
          <cell r="AS15">
            <v>0</v>
          </cell>
          <cell r="AT15">
            <v>0</v>
          </cell>
          <cell r="AU15">
            <v>12464.611999999999</v>
          </cell>
        </row>
        <row r="16">
          <cell r="D16" t="str">
            <v xml:space="preserve"> - 운   반   비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</row>
        <row r="17">
          <cell r="D17" t="str">
            <v>EBITDA</v>
          </cell>
          <cell r="E17">
            <v>6128460.7482638415</v>
          </cell>
          <cell r="F17">
            <v>736426.37306776841</v>
          </cell>
          <cell r="G17">
            <v>507876.35953544447</v>
          </cell>
          <cell r="H17">
            <v>458396.16291177191</v>
          </cell>
          <cell r="I17">
            <v>315082.80195754138</v>
          </cell>
          <cell r="J17">
            <v>374000.28385586932</v>
          </cell>
          <cell r="K17">
            <v>521885.05661961157</v>
          </cell>
          <cell r="L17">
            <v>171908.20396447921</v>
          </cell>
          <cell r="M17">
            <v>291918.08641418838</v>
          </cell>
          <cell r="N17">
            <v>173846.7686286188</v>
          </cell>
          <cell r="O17">
            <v>369069.46823391173</v>
          </cell>
          <cell r="P17">
            <v>311229.78719620727</v>
          </cell>
          <cell r="Q17">
            <v>117144.24931385151</v>
          </cell>
          <cell r="R17">
            <v>424891.99989918084</v>
          </cell>
          <cell r="S17">
            <v>251660.02176312436</v>
          </cell>
          <cell r="T17">
            <v>224585.96737660959</v>
          </cell>
          <cell r="U17">
            <v>170993.87576049252</v>
          </cell>
          <cell r="V17">
            <v>137642.71288423042</v>
          </cell>
          <cell r="W17">
            <v>0</v>
          </cell>
          <cell r="X17">
            <v>0</v>
          </cell>
          <cell r="Y17">
            <v>0</v>
          </cell>
          <cell r="Z17">
            <v>5558558.1793828961</v>
          </cell>
          <cell r="AA17">
            <v>118455.8832842102</v>
          </cell>
          <cell r="AB17">
            <v>181319.21048000001</v>
          </cell>
          <cell r="AC17">
            <v>73066.992064556922</v>
          </cell>
          <cell r="AD17">
            <v>107737.47971884196</v>
          </cell>
          <cell r="AE17">
            <v>362123.68226339901</v>
          </cell>
          <cell r="AF17">
            <v>12358.419</v>
          </cell>
          <cell r="AG17">
            <v>49219.307999999997</v>
          </cell>
          <cell r="AH17">
            <v>27880.715</v>
          </cell>
          <cell r="AI17">
            <v>66774.092333333334</v>
          </cell>
          <cell r="AJ17">
            <v>5058.8810000000003</v>
          </cell>
          <cell r="AK17">
            <v>0</v>
          </cell>
          <cell r="AL17">
            <v>161291.41533333334</v>
          </cell>
          <cell r="AM17">
            <v>-414.08499999999998</v>
          </cell>
          <cell r="AN17">
            <v>-237.679</v>
          </cell>
          <cell r="AO17">
            <v>-145.50200000000001</v>
          </cell>
          <cell r="AP17">
            <v>-150</v>
          </cell>
          <cell r="AQ17">
            <v>-9494.7459999999992</v>
          </cell>
          <cell r="AR17">
            <v>-63296.399999999994</v>
          </cell>
          <cell r="AS17">
            <v>0</v>
          </cell>
          <cell r="AT17">
            <v>1770</v>
          </cell>
          <cell r="AU17">
            <v>-71968.411999999982</v>
          </cell>
        </row>
        <row r="18">
          <cell r="D18" t="str">
            <v>감가상각비</v>
          </cell>
          <cell r="E18">
            <v>550874.0723341722</v>
          </cell>
          <cell r="F18">
            <v>30061.216222222214</v>
          </cell>
          <cell r="G18">
            <v>34252.868350577788</v>
          </cell>
          <cell r="H18">
            <v>19365.797555555557</v>
          </cell>
          <cell r="I18">
            <v>19199.545555555553</v>
          </cell>
          <cell r="J18">
            <v>47248.159333333337</v>
          </cell>
          <cell r="K18">
            <v>29081.277888888893</v>
          </cell>
          <cell r="L18">
            <v>13037.444888888889</v>
          </cell>
          <cell r="M18">
            <v>24416.41333333333</v>
          </cell>
          <cell r="N18">
            <v>11475.898111111112</v>
          </cell>
          <cell r="O18">
            <v>32560.991888888886</v>
          </cell>
          <cell r="P18">
            <v>14898.031030231863</v>
          </cell>
          <cell r="Q18">
            <v>12571.594333333333</v>
          </cell>
          <cell r="R18">
            <v>34063.269</v>
          </cell>
          <cell r="S18">
            <v>23400.329333333335</v>
          </cell>
          <cell r="T18">
            <v>10246.369555555555</v>
          </cell>
          <cell r="U18">
            <v>5428.9927777777775</v>
          </cell>
          <cell r="V18">
            <v>10192.983842236315</v>
          </cell>
          <cell r="W18">
            <v>0</v>
          </cell>
          <cell r="X18">
            <v>0</v>
          </cell>
          <cell r="Y18">
            <v>0</v>
          </cell>
          <cell r="Z18">
            <v>371501.18300082372</v>
          </cell>
          <cell r="AA18">
            <v>4908.0999999999995</v>
          </cell>
          <cell r="AB18">
            <v>12325.267</v>
          </cell>
          <cell r="AC18">
            <v>56856.659666666652</v>
          </cell>
          <cell r="AD18">
            <v>35106.999222222221</v>
          </cell>
          <cell r="AE18">
            <v>104288.92588888886</v>
          </cell>
          <cell r="AF18">
            <v>3388.672</v>
          </cell>
          <cell r="AG18">
            <v>5622.5950000000003</v>
          </cell>
          <cell r="AH18">
            <v>8281.2160000000003</v>
          </cell>
          <cell r="AI18">
            <v>8489.6080000000002</v>
          </cell>
          <cell r="AJ18">
            <v>1312.8920000000001</v>
          </cell>
          <cell r="AK18">
            <v>0</v>
          </cell>
          <cell r="AL18">
            <v>27094.983</v>
          </cell>
          <cell r="AM18">
            <v>5225.2884444596393</v>
          </cell>
          <cell r="AN18">
            <v>1056.4570000000001</v>
          </cell>
          <cell r="AO18">
            <v>353.67200000000003</v>
          </cell>
          <cell r="AP18">
            <v>432.17</v>
          </cell>
          <cell r="AQ18">
            <v>18257.885000000002</v>
          </cell>
          <cell r="AR18">
            <v>0</v>
          </cell>
          <cell r="AS18">
            <v>0</v>
          </cell>
          <cell r="AT18">
            <v>17755.408000000003</v>
          </cell>
          <cell r="AU18">
            <v>43080.880444459646</v>
          </cell>
        </row>
        <row r="19">
          <cell r="D19" t="str">
            <v xml:space="preserve"> - 제        조</v>
          </cell>
          <cell r="E19">
            <v>477518.09188971261</v>
          </cell>
          <cell r="F19">
            <v>27733.594222222215</v>
          </cell>
          <cell r="G19">
            <v>31642.98635057779</v>
          </cell>
          <cell r="H19">
            <v>17300.203555555556</v>
          </cell>
          <cell r="I19">
            <v>18007.557555555552</v>
          </cell>
          <cell r="J19">
            <v>44145.857333333333</v>
          </cell>
          <cell r="K19">
            <v>27516.875888888891</v>
          </cell>
          <cell r="L19">
            <v>11843.845888888889</v>
          </cell>
          <cell r="M19">
            <v>22558.761333333332</v>
          </cell>
          <cell r="N19">
            <v>9988.6461111111112</v>
          </cell>
          <cell r="O19">
            <v>31342.225888888886</v>
          </cell>
          <cell r="P19">
            <v>13692.643030231862</v>
          </cell>
          <cell r="Q19">
            <v>11469.439333333332</v>
          </cell>
          <cell r="R19">
            <v>32475.067999999999</v>
          </cell>
          <cell r="S19">
            <v>22557.171333333335</v>
          </cell>
          <cell r="T19">
            <v>9803.5005555555545</v>
          </cell>
          <cell r="U19">
            <v>5058.5927777777779</v>
          </cell>
          <cell r="V19">
            <v>9367.6138422363147</v>
          </cell>
          <cell r="W19">
            <v>0</v>
          </cell>
          <cell r="X19">
            <v>0</v>
          </cell>
          <cell r="Y19">
            <v>0</v>
          </cell>
          <cell r="Z19">
            <v>346504.58300082374</v>
          </cell>
          <cell r="AA19">
            <v>0</v>
          </cell>
          <cell r="AB19">
            <v>12325.267</v>
          </cell>
          <cell r="AC19">
            <v>56856.659666666652</v>
          </cell>
          <cell r="AD19">
            <v>34736.599222222219</v>
          </cell>
          <cell r="AE19">
            <v>103918.52588888886</v>
          </cell>
          <cell r="AF19">
            <v>3388.672</v>
          </cell>
          <cell r="AG19">
            <v>5622.5950000000003</v>
          </cell>
          <cell r="AH19">
            <v>8281.2160000000003</v>
          </cell>
          <cell r="AI19">
            <v>8489.6080000000002</v>
          </cell>
          <cell r="AJ19">
            <v>1312.8920000000001</v>
          </cell>
          <cell r="AK19">
            <v>0</v>
          </cell>
          <cell r="AL19">
            <v>27094.983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</row>
        <row r="20">
          <cell r="D20" t="str">
            <v xml:space="preserve"> - 판        매</v>
          </cell>
          <cell r="E20">
            <v>73355.980444459652</v>
          </cell>
          <cell r="F20">
            <v>2327.6220000000003</v>
          </cell>
          <cell r="G20">
            <v>2609.8820000000001</v>
          </cell>
          <cell r="H20">
            <v>2065.5940000000001</v>
          </cell>
          <cell r="I20">
            <v>1191.9880000000001</v>
          </cell>
          <cell r="J20">
            <v>3102.3020000000001</v>
          </cell>
          <cell r="K20">
            <v>1564.402</v>
          </cell>
          <cell r="L20">
            <v>1193.5990000000002</v>
          </cell>
          <cell r="M20">
            <v>1857.652</v>
          </cell>
          <cell r="N20">
            <v>1487.2520000000002</v>
          </cell>
          <cell r="O20">
            <v>1218.7660000000001</v>
          </cell>
          <cell r="P20">
            <v>1205.3880000000001</v>
          </cell>
          <cell r="Q20">
            <v>1102.155</v>
          </cell>
          <cell r="R20">
            <v>1588.201</v>
          </cell>
          <cell r="S20">
            <v>843.15800000000002</v>
          </cell>
          <cell r="T20">
            <v>442.86900000000003</v>
          </cell>
          <cell r="U20">
            <v>370.4</v>
          </cell>
          <cell r="V20">
            <v>825.37</v>
          </cell>
          <cell r="W20">
            <v>0</v>
          </cell>
          <cell r="X20">
            <v>0</v>
          </cell>
          <cell r="Y20">
            <v>0</v>
          </cell>
          <cell r="Z20">
            <v>24996.6</v>
          </cell>
          <cell r="AA20">
            <v>4908.0999999999995</v>
          </cell>
          <cell r="AB20">
            <v>0</v>
          </cell>
          <cell r="AC20">
            <v>0</v>
          </cell>
          <cell r="AD20">
            <v>370.4</v>
          </cell>
          <cell r="AE20">
            <v>370.4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5225.2884444596393</v>
          </cell>
          <cell r="AN20">
            <v>1056.4570000000001</v>
          </cell>
          <cell r="AO20">
            <v>353.67200000000003</v>
          </cell>
          <cell r="AP20">
            <v>432.17</v>
          </cell>
          <cell r="AQ20">
            <v>18257.885000000002</v>
          </cell>
          <cell r="AR20">
            <v>0</v>
          </cell>
          <cell r="AS20">
            <v>0</v>
          </cell>
          <cell r="AT20">
            <v>17755.408000000003</v>
          </cell>
          <cell r="AU20">
            <v>43080.880444459646</v>
          </cell>
        </row>
        <row r="21">
          <cell r="D21" t="str">
            <v>영업이익 I</v>
          </cell>
          <cell r="E21">
            <v>5577586.6759296693</v>
          </cell>
          <cell r="F21">
            <v>706365.15684554621</v>
          </cell>
          <cell r="G21">
            <v>473623.4911848667</v>
          </cell>
          <cell r="H21">
            <v>439030.36535621638</v>
          </cell>
          <cell r="I21">
            <v>295883.25640198583</v>
          </cell>
          <cell r="J21">
            <v>326752.124522536</v>
          </cell>
          <cell r="K21">
            <v>492803.77873072267</v>
          </cell>
          <cell r="L21">
            <v>158870.75907559032</v>
          </cell>
          <cell r="M21">
            <v>267501.67308085505</v>
          </cell>
          <cell r="N21">
            <v>162370.87051750769</v>
          </cell>
          <cell r="O21">
            <v>336508.47634502285</v>
          </cell>
          <cell r="P21">
            <v>296331.75616597541</v>
          </cell>
          <cell r="Q21">
            <v>104572.65498051819</v>
          </cell>
          <cell r="R21">
            <v>390828.73089918087</v>
          </cell>
          <cell r="S21">
            <v>228259.69242979103</v>
          </cell>
          <cell r="T21">
            <v>214339.59782105405</v>
          </cell>
          <cell r="U21">
            <v>165564.88298271474</v>
          </cell>
          <cell r="V21">
            <v>127449.72904199411</v>
          </cell>
          <cell r="W21">
            <v>0</v>
          </cell>
          <cell r="X21">
            <v>0</v>
          </cell>
          <cell r="Y21">
            <v>0</v>
          </cell>
          <cell r="Z21">
            <v>5187056.9963820726</v>
          </cell>
          <cell r="AA21">
            <v>113547.78328421019</v>
          </cell>
          <cell r="AB21">
            <v>168993.94348000002</v>
          </cell>
          <cell r="AC21">
            <v>16210.33239789027</v>
          </cell>
          <cell r="AD21">
            <v>72630.480496619741</v>
          </cell>
          <cell r="AE21">
            <v>257834.75637451015</v>
          </cell>
          <cell r="AF21">
            <v>8969.7469999999994</v>
          </cell>
          <cell r="AG21">
            <v>43596.712999999996</v>
          </cell>
          <cell r="AH21">
            <v>19599.499</v>
          </cell>
          <cell r="AI21">
            <v>58284.484333333334</v>
          </cell>
          <cell r="AJ21">
            <v>3745.9890000000005</v>
          </cell>
          <cell r="AK21">
            <v>0</v>
          </cell>
          <cell r="AL21">
            <v>134196.43233333333</v>
          </cell>
          <cell r="AM21">
            <v>-5639.3734444596394</v>
          </cell>
          <cell r="AN21">
            <v>-1294.1360000000002</v>
          </cell>
          <cell r="AO21">
            <v>-499.17400000000004</v>
          </cell>
          <cell r="AP21">
            <v>-582.17000000000007</v>
          </cell>
          <cell r="AQ21">
            <v>-27752.631000000001</v>
          </cell>
          <cell r="AR21">
            <v>-63296.399999999994</v>
          </cell>
          <cell r="AS21">
            <v>0</v>
          </cell>
          <cell r="AT21">
            <v>-15985.408000000003</v>
          </cell>
          <cell r="AU21">
            <v>-115049.29244445963</v>
          </cell>
        </row>
        <row r="22">
          <cell r="D22" t="str">
            <v>공    통    비</v>
          </cell>
          <cell r="E22">
            <v>1198695.8153709299</v>
          </cell>
          <cell r="F22">
            <v>162593.53841943434</v>
          </cell>
          <cell r="G22">
            <v>131104.85577853455</v>
          </cell>
          <cell r="H22">
            <v>101274.67908766837</v>
          </cell>
          <cell r="I22">
            <v>64843.458520523913</v>
          </cell>
          <cell r="J22">
            <v>78713.93240373538</v>
          </cell>
          <cell r="K22">
            <v>98195.972850073216</v>
          </cell>
          <cell r="L22">
            <v>44331.41715035541</v>
          </cell>
          <cell r="M22">
            <v>68472.152287376099</v>
          </cell>
          <cell r="N22">
            <v>40702.747510297377</v>
          </cell>
          <cell r="O22">
            <v>66909.728966271636</v>
          </cell>
          <cell r="P22">
            <v>59000.17122095573</v>
          </cell>
          <cell r="Q22">
            <v>37049.981671262911</v>
          </cell>
          <cell r="R22">
            <v>84825.340443814799</v>
          </cell>
          <cell r="S22">
            <v>43618.755644118384</v>
          </cell>
          <cell r="T22">
            <v>28596.48108500646</v>
          </cell>
          <cell r="U22">
            <v>26430.892939768462</v>
          </cell>
          <cell r="V22">
            <v>26623.359391732876</v>
          </cell>
          <cell r="W22">
            <v>0</v>
          </cell>
          <cell r="X22">
            <v>0</v>
          </cell>
          <cell r="Y22">
            <v>0</v>
          </cell>
          <cell r="Z22">
            <v>1163287.4653709298</v>
          </cell>
          <cell r="AA22">
            <v>0</v>
          </cell>
          <cell r="AB22">
            <v>10319.06398708833</v>
          </cell>
          <cell r="AC22">
            <v>12177.881985324268</v>
          </cell>
          <cell r="AD22">
            <v>12911.404027587405</v>
          </cell>
          <cell r="AE22">
            <v>35408.350000000006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</row>
        <row r="23">
          <cell r="D23" t="str">
            <v xml:space="preserve"> - 영업공통비</v>
          </cell>
          <cell r="E23">
            <v>234090.24333333335</v>
          </cell>
          <cell r="F23">
            <v>28632.208217730629</v>
          </cell>
          <cell r="G23">
            <v>23087.150728727007</v>
          </cell>
          <cell r="H23">
            <v>17834.150895601495</v>
          </cell>
          <cell r="I23">
            <v>11418.72809931729</v>
          </cell>
          <cell r="J23">
            <v>14044.706859987888</v>
          </cell>
          <cell r="K23">
            <v>17520.832861415533</v>
          </cell>
          <cell r="L23">
            <v>7909.9308032415702</v>
          </cell>
          <cell r="M23">
            <v>12217.294671750005</v>
          </cell>
          <cell r="N23">
            <v>7262.4774258019461</v>
          </cell>
          <cell r="O23">
            <v>11938.515847391849</v>
          </cell>
          <cell r="P23">
            <v>10527.235575491255</v>
          </cell>
          <cell r="Q23">
            <v>6610.7246309564134</v>
          </cell>
          <cell r="R23">
            <v>11982.4038103933</v>
          </cell>
          <cell r="S23">
            <v>6161.5731938133231</v>
          </cell>
          <cell r="T23">
            <v>4039.5309010729311</v>
          </cell>
          <cell r="U23">
            <v>3733.6205267970977</v>
          </cell>
          <cell r="V23">
            <v>3760.8082838438127</v>
          </cell>
          <cell r="W23">
            <v>0</v>
          </cell>
          <cell r="X23">
            <v>0</v>
          </cell>
          <cell r="Y23">
            <v>0</v>
          </cell>
          <cell r="Z23">
            <v>198681.89333333334</v>
          </cell>
          <cell r="AA23">
            <v>0</v>
          </cell>
          <cell r="AB23">
            <v>10319.06398708833</v>
          </cell>
          <cell r="AC23">
            <v>12177.881985324268</v>
          </cell>
          <cell r="AD23">
            <v>12911.404027587405</v>
          </cell>
          <cell r="AE23">
            <v>35408.350000000006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</row>
        <row r="24">
          <cell r="D24" t="str">
            <v xml:space="preserve"> - 부문공통비</v>
          </cell>
          <cell r="E24">
            <v>343635.48577777774</v>
          </cell>
          <cell r="F24">
            <v>47722.994883866915</v>
          </cell>
          <cell r="G24">
            <v>38480.719605406332</v>
          </cell>
          <cell r="H24">
            <v>29725.234095701133</v>
          </cell>
          <cell r="I24">
            <v>19032.269481979118</v>
          </cell>
          <cell r="J24">
            <v>23038.059678274585</v>
          </cell>
          <cell r="K24">
            <v>28740.079597126856</v>
          </cell>
          <cell r="L24">
            <v>12974.956310071313</v>
          </cell>
          <cell r="M24">
            <v>20040.486893799465</v>
          </cell>
          <cell r="N24">
            <v>11912.91423991255</v>
          </cell>
          <cell r="O24">
            <v>19583.19552726339</v>
          </cell>
          <cell r="P24">
            <v>17268.219540157206</v>
          </cell>
          <cell r="Q24">
            <v>10843.819674050848</v>
          </cell>
          <cell r="R24">
            <v>25949.899773676665</v>
          </cell>
          <cell r="S24">
            <v>13343.917410706958</v>
          </cell>
          <cell r="T24">
            <v>8748.2798672323879</v>
          </cell>
          <cell r="U24">
            <v>8085.7797814565911</v>
          </cell>
          <cell r="V24">
            <v>8144.659417095424</v>
          </cell>
          <cell r="W24">
            <v>0</v>
          </cell>
          <cell r="X24">
            <v>0</v>
          </cell>
          <cell r="Y24">
            <v>0</v>
          </cell>
          <cell r="Z24">
            <v>343635.48577777774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</row>
        <row r="25">
          <cell r="D25" t="str">
            <v xml:space="preserve"> - 본사공통비</v>
          </cell>
          <cell r="E25">
            <v>620970.08625981887</v>
          </cell>
          <cell r="F25">
            <v>86238.335317836798</v>
          </cell>
          <cell r="G25">
            <v>69536.985444401216</v>
          </cell>
          <cell r="H25">
            <v>53715.294096365746</v>
          </cell>
          <cell r="I25">
            <v>34392.460939227509</v>
          </cell>
          <cell r="J25">
            <v>41631.165865472911</v>
          </cell>
          <cell r="K25">
            <v>51935.060391530838</v>
          </cell>
          <cell r="L25">
            <v>23446.530037042521</v>
          </cell>
          <cell r="M25">
            <v>36214.370721826628</v>
          </cell>
          <cell r="N25">
            <v>21527.355844582882</v>
          </cell>
          <cell r="O25">
            <v>35388.017591616401</v>
          </cell>
          <cell r="P25">
            <v>31204.716105307274</v>
          </cell>
          <cell r="Q25">
            <v>19595.437366255646</v>
          </cell>
          <cell r="R25">
            <v>46893.036859744832</v>
          </cell>
          <cell r="S25">
            <v>24113.2650395981</v>
          </cell>
          <cell r="T25">
            <v>15808.670316701142</v>
          </cell>
          <cell r="U25">
            <v>14611.492631514771</v>
          </cell>
          <cell r="V25">
            <v>14717.891690793642</v>
          </cell>
          <cell r="W25">
            <v>0</v>
          </cell>
          <cell r="X25">
            <v>0</v>
          </cell>
          <cell r="Y25">
            <v>0</v>
          </cell>
          <cell r="Z25">
            <v>620970.08625981887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</row>
        <row r="26">
          <cell r="D26" t="str">
            <v>영업이익 II</v>
          </cell>
          <cell r="E26">
            <v>4378890.8605587389</v>
          </cell>
          <cell r="F26">
            <v>543771.61842611188</v>
          </cell>
          <cell r="G26">
            <v>342518.63540633215</v>
          </cell>
          <cell r="H26">
            <v>337755.68626854802</v>
          </cell>
          <cell r="I26">
            <v>231039.79788146191</v>
          </cell>
          <cell r="J26">
            <v>248038.19211880062</v>
          </cell>
          <cell r="K26">
            <v>394607.80588064948</v>
          </cell>
          <cell r="L26">
            <v>114539.34192523491</v>
          </cell>
          <cell r="M26">
            <v>199029.52079347894</v>
          </cell>
          <cell r="N26">
            <v>121668.12300721032</v>
          </cell>
          <cell r="O26">
            <v>269598.74737875123</v>
          </cell>
          <cell r="P26">
            <v>237331.58494501968</v>
          </cell>
          <cell r="Q26">
            <v>67522.673309255275</v>
          </cell>
          <cell r="R26">
            <v>306003.39045536605</v>
          </cell>
          <cell r="S26">
            <v>184640.93678567265</v>
          </cell>
          <cell r="T26">
            <v>185743.11673604758</v>
          </cell>
          <cell r="U26">
            <v>139133.99004294627</v>
          </cell>
          <cell r="V26">
            <v>100826.36965026124</v>
          </cell>
          <cell r="W26">
            <v>0</v>
          </cell>
          <cell r="X26">
            <v>0</v>
          </cell>
          <cell r="Y26">
            <v>0</v>
          </cell>
          <cell r="Z26">
            <v>4023769.5310111428</v>
          </cell>
          <cell r="AA26">
            <v>113547.78328421019</v>
          </cell>
          <cell r="AB26">
            <v>158674.87949291168</v>
          </cell>
          <cell r="AC26">
            <v>4032.4504125660023</v>
          </cell>
          <cell r="AD26">
            <v>59719.076469032334</v>
          </cell>
          <cell r="AE26">
            <v>222426.40637451014</v>
          </cell>
          <cell r="AF26">
            <v>8969.7469999999994</v>
          </cell>
          <cell r="AG26">
            <v>43596.712999999996</v>
          </cell>
          <cell r="AH26">
            <v>19599.499</v>
          </cell>
          <cell r="AI26">
            <v>58284.484333333334</v>
          </cell>
          <cell r="AJ26">
            <v>3745.9890000000005</v>
          </cell>
          <cell r="AK26">
            <v>0</v>
          </cell>
          <cell r="AL26">
            <v>134196.43233333333</v>
          </cell>
          <cell r="AM26">
            <v>-5639.3734444596394</v>
          </cell>
          <cell r="AN26">
            <v>-1294.1360000000002</v>
          </cell>
          <cell r="AO26">
            <v>-499.17400000000004</v>
          </cell>
          <cell r="AP26">
            <v>-582.17000000000007</v>
          </cell>
          <cell r="AQ26">
            <v>-27752.631000000001</v>
          </cell>
          <cell r="AR26">
            <v>-63296.399999999994</v>
          </cell>
          <cell r="AS26">
            <v>0</v>
          </cell>
          <cell r="AT26">
            <v>-15985.408000000003</v>
          </cell>
          <cell r="AU26">
            <v>-115049.29244445963</v>
          </cell>
        </row>
        <row r="27">
          <cell r="E27">
            <v>4444342.6655587433</v>
          </cell>
          <cell r="F27">
            <v>543771.61842611188</v>
          </cell>
          <cell r="G27">
            <v>342518.63540633215</v>
          </cell>
          <cell r="H27">
            <v>337755.68626854802</v>
          </cell>
          <cell r="I27">
            <v>231039.79788146197</v>
          </cell>
          <cell r="J27">
            <v>248038.19211880062</v>
          </cell>
          <cell r="K27">
            <v>394607.80588064948</v>
          </cell>
          <cell r="L27">
            <v>114539.34192523491</v>
          </cell>
          <cell r="M27">
            <v>199029.52079347894</v>
          </cell>
          <cell r="N27">
            <v>121668.12300721029</v>
          </cell>
          <cell r="O27">
            <v>269598.74737875123</v>
          </cell>
          <cell r="P27">
            <v>237331.58494501968</v>
          </cell>
          <cell r="Q27">
            <v>67522.673309255275</v>
          </cell>
          <cell r="R27">
            <v>306003.39045536605</v>
          </cell>
          <cell r="S27">
            <v>184640.93678567265</v>
          </cell>
          <cell r="T27">
            <v>185743.11673604758</v>
          </cell>
          <cell r="U27">
            <v>139133.99004294627</v>
          </cell>
          <cell r="V27">
            <v>100826.36965026124</v>
          </cell>
          <cell r="W27">
            <v>0</v>
          </cell>
          <cell r="X27">
            <v>0</v>
          </cell>
          <cell r="Y27">
            <v>0</v>
          </cell>
          <cell r="Z27">
            <v>4023769.5310111484</v>
          </cell>
          <cell r="AA27">
            <v>113547.78328421019</v>
          </cell>
          <cell r="AB27">
            <v>158674.87949291168</v>
          </cell>
          <cell r="AC27">
            <v>4242.4504125660023</v>
          </cell>
          <cell r="AD27">
            <v>59719.076469032334</v>
          </cell>
          <cell r="AE27">
            <v>222636.40637451003</v>
          </cell>
          <cell r="AF27">
            <v>8969.7469999999994</v>
          </cell>
          <cell r="AG27">
            <v>43596.712999999996</v>
          </cell>
          <cell r="AH27">
            <v>19599.499</v>
          </cell>
          <cell r="AI27">
            <v>58284.484333333334</v>
          </cell>
          <cell r="AJ27">
            <v>3745.9890000000005</v>
          </cell>
          <cell r="AK27">
            <v>0</v>
          </cell>
          <cell r="AL27">
            <v>134196.43233333333</v>
          </cell>
          <cell r="AM27">
            <v>-5639.3734444596394</v>
          </cell>
          <cell r="AN27">
            <v>-1294.1360000000002</v>
          </cell>
          <cell r="AO27">
            <v>0</v>
          </cell>
          <cell r="AP27">
            <v>0</v>
          </cell>
          <cell r="AQ27">
            <v>-17755.408000000003</v>
          </cell>
          <cell r="AR27">
            <v>0</v>
          </cell>
          <cell r="AS27">
            <v>0</v>
          </cell>
          <cell r="AT27">
            <v>-25118.569999999996</v>
          </cell>
          <cell r="AU27">
            <v>-49807.487444459635</v>
          </cell>
        </row>
        <row r="28">
          <cell r="E28">
            <v>-65451.805000004359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-5.5879354476928711E-9</v>
          </cell>
          <cell r="AA28">
            <v>0</v>
          </cell>
          <cell r="AB28">
            <v>0</v>
          </cell>
          <cell r="AC28">
            <v>-210</v>
          </cell>
          <cell r="AD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-499.17400000000004</v>
          </cell>
          <cell r="AP28">
            <v>-582.17000000000007</v>
          </cell>
          <cell r="AQ28">
            <v>-9997.2229999999981</v>
          </cell>
          <cell r="AR28">
            <v>-63296.399999999994</v>
          </cell>
          <cell r="AS28">
            <v>0</v>
          </cell>
          <cell r="AT28">
            <v>9133.161999999993</v>
          </cell>
          <cell r="AU28">
            <v>-65241.804999999993</v>
          </cell>
        </row>
        <row r="30">
          <cell r="E30">
            <v>442655.41489807266</v>
          </cell>
          <cell r="F30">
            <v>44000</v>
          </cell>
          <cell r="G30">
            <v>35000</v>
          </cell>
          <cell r="H30">
            <v>28000</v>
          </cell>
          <cell r="I30">
            <v>18500</v>
          </cell>
          <cell r="J30">
            <v>20000</v>
          </cell>
          <cell r="K30">
            <v>26000</v>
          </cell>
          <cell r="L30">
            <v>12000</v>
          </cell>
          <cell r="M30">
            <v>18000</v>
          </cell>
          <cell r="N30">
            <v>11500</v>
          </cell>
          <cell r="O30">
            <v>18000</v>
          </cell>
          <cell r="P30">
            <v>16500</v>
          </cell>
          <cell r="Q30">
            <v>10000</v>
          </cell>
          <cell r="R30">
            <v>24000</v>
          </cell>
          <cell r="S30">
            <v>12000</v>
          </cell>
          <cell r="T30">
            <v>7500</v>
          </cell>
          <cell r="U30">
            <v>7000</v>
          </cell>
          <cell r="V30">
            <v>6000</v>
          </cell>
          <cell r="W30">
            <v>0</v>
          </cell>
          <cell r="X30">
            <v>0</v>
          </cell>
          <cell r="Y30">
            <v>0</v>
          </cell>
          <cell r="Z30">
            <v>314000</v>
          </cell>
          <cell r="AA30">
            <v>7600</v>
          </cell>
          <cell r="AB30">
            <v>51226.029226666666</v>
          </cell>
          <cell r="AC30">
            <v>41810.091372023955</v>
          </cell>
          <cell r="AD30">
            <v>28019.294299382029</v>
          </cell>
          <cell r="AE30">
            <v>121055.41489807265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</row>
        <row r="31">
          <cell r="D31" t="str">
            <v>매출</v>
          </cell>
          <cell r="E31">
            <v>43731983.529877067</v>
          </cell>
          <cell r="F31">
            <v>4457848.1000000006</v>
          </cell>
          <cell r="G31">
            <v>3594518.8099999996</v>
          </cell>
          <cell r="H31">
            <v>2776660.9924217607</v>
          </cell>
          <cell r="I31">
            <v>1777821.5</v>
          </cell>
          <cell r="J31">
            <v>2152005.9839999997</v>
          </cell>
          <cell r="K31">
            <v>2684636.82</v>
          </cell>
          <cell r="L31">
            <v>1212002.3999999999</v>
          </cell>
          <cell r="M31">
            <v>1872000</v>
          </cell>
          <cell r="N31">
            <v>1112796.0900000001</v>
          </cell>
          <cell r="O31">
            <v>1829284</v>
          </cell>
          <cell r="P31">
            <v>1613040</v>
          </cell>
          <cell r="Q31">
            <v>1012931</v>
          </cell>
          <cell r="R31">
            <v>2424003.5999999996</v>
          </cell>
          <cell r="S31">
            <v>1246467.3899999999</v>
          </cell>
          <cell r="T31">
            <v>817184.73199999996</v>
          </cell>
          <cell r="U31">
            <v>755300</v>
          </cell>
          <cell r="V31">
            <v>760800</v>
          </cell>
          <cell r="W31">
            <v>0</v>
          </cell>
          <cell r="X31">
            <v>0</v>
          </cell>
          <cell r="Y31">
            <v>0</v>
          </cell>
          <cell r="Z31">
            <v>32099301.41842176</v>
          </cell>
          <cell r="AA31">
            <v>9285688.4210526329</v>
          </cell>
          <cell r="AB31">
            <v>635925.90506666666</v>
          </cell>
          <cell r="AC31">
            <v>750478.01166872459</v>
          </cell>
          <cell r="AD31">
            <v>795682.27333394904</v>
          </cell>
          <cell r="AE31">
            <v>2182086.1900693402</v>
          </cell>
          <cell r="AF31">
            <v>12500</v>
          </cell>
          <cell r="AG31">
            <v>50000</v>
          </cell>
          <cell r="AH31">
            <v>28340</v>
          </cell>
          <cell r="AI31">
            <v>67047.50033333333</v>
          </cell>
          <cell r="AJ31">
            <v>5250</v>
          </cell>
          <cell r="AK31">
            <v>0</v>
          </cell>
          <cell r="AL31">
            <v>163137.50033333333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1770</v>
          </cell>
          <cell r="AU31">
            <v>1770</v>
          </cell>
        </row>
        <row r="32">
          <cell r="D32" t="str">
            <v>매출원가</v>
          </cell>
          <cell r="E32">
            <v>37299782.771502942</v>
          </cell>
          <cell r="F32">
            <v>3682722.7211544542</v>
          </cell>
          <cell r="G32">
            <v>3056217.9968151329</v>
          </cell>
          <cell r="H32">
            <v>2288989.6230655443</v>
          </cell>
          <cell r="I32">
            <v>1447111.2255980142</v>
          </cell>
          <cell r="J32">
            <v>1767966.3974774636</v>
          </cell>
          <cell r="K32">
            <v>2143798.639269277</v>
          </cell>
          <cell r="L32">
            <v>1017618.4719244096</v>
          </cell>
          <cell r="M32">
            <v>1558531.1449191449</v>
          </cell>
          <cell r="N32">
            <v>913879.09748249245</v>
          </cell>
          <cell r="O32">
            <v>1451360.0676549771</v>
          </cell>
          <cell r="P32">
            <v>1280688.9158340245</v>
          </cell>
          <cell r="Q32">
            <v>881026.77001948177</v>
          </cell>
          <cell r="R32">
            <v>1990685.4081008187</v>
          </cell>
          <cell r="S32">
            <v>992405.0695702089</v>
          </cell>
          <cell r="T32">
            <v>592351.11517894594</v>
          </cell>
          <cell r="U32">
            <v>579390.08701728529</v>
          </cell>
          <cell r="V32">
            <v>617747.51095800591</v>
          </cell>
          <cell r="W32">
            <v>0</v>
          </cell>
          <cell r="X32">
            <v>0</v>
          </cell>
          <cell r="Y32">
            <v>0</v>
          </cell>
          <cell r="Z32">
            <v>26262490.262039687</v>
          </cell>
          <cell r="AA32">
            <v>9048062.5777684227</v>
          </cell>
          <cell r="AB32">
            <v>466931.96158666664</v>
          </cell>
          <cell r="AC32">
            <v>734267.67927083431</v>
          </cell>
          <cell r="AD32">
            <v>722681.3928373293</v>
          </cell>
          <cell r="AE32">
            <v>1923881.03369483</v>
          </cell>
          <cell r="AF32">
            <v>3530.2530000000002</v>
          </cell>
          <cell r="AG32">
            <v>6403.2870000000003</v>
          </cell>
          <cell r="AH32">
            <v>8740.5010000000002</v>
          </cell>
          <cell r="AI32">
            <v>8763.0159999999996</v>
          </cell>
          <cell r="AJ32">
            <v>1504.011</v>
          </cell>
          <cell r="AK32">
            <v>0</v>
          </cell>
          <cell r="AL32">
            <v>28941.067999999999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36407.829999999994</v>
          </cell>
          <cell r="AS32">
            <v>0</v>
          </cell>
          <cell r="AT32">
            <v>0</v>
          </cell>
          <cell r="AU32">
            <v>36407.829999999994</v>
          </cell>
        </row>
        <row r="33">
          <cell r="D33" t="str">
            <v>매출이익</v>
          </cell>
          <cell r="E33">
            <v>6432200.7583741266</v>
          </cell>
          <cell r="F33">
            <v>775125.37884554639</v>
          </cell>
          <cell r="G33">
            <v>538300.81318486668</v>
          </cell>
          <cell r="H33">
            <v>487671.3693562164</v>
          </cell>
          <cell r="I33">
            <v>330710.27440198581</v>
          </cell>
          <cell r="J33">
            <v>384039.58652253612</v>
          </cell>
          <cell r="K33">
            <v>540838.18073072284</v>
          </cell>
          <cell r="L33">
            <v>194383.92807559029</v>
          </cell>
          <cell r="M33">
            <v>313468.85508085508</v>
          </cell>
          <cell r="N33">
            <v>198916.99251750764</v>
          </cell>
          <cell r="O33">
            <v>377923.93234502291</v>
          </cell>
          <cell r="P33">
            <v>332351.08416597545</v>
          </cell>
          <cell r="Q33">
            <v>131904.22998051823</v>
          </cell>
          <cell r="R33">
            <v>433318.19189918088</v>
          </cell>
          <cell r="S33">
            <v>254062.320429791</v>
          </cell>
          <cell r="T33">
            <v>224833.61682105402</v>
          </cell>
          <cell r="U33">
            <v>175909.91298271471</v>
          </cell>
          <cell r="V33">
            <v>143052.48904199409</v>
          </cell>
          <cell r="W33">
            <v>0</v>
          </cell>
          <cell r="X33">
            <v>0</v>
          </cell>
          <cell r="Y33">
            <v>0</v>
          </cell>
          <cell r="Z33">
            <v>5836811.1563820727</v>
          </cell>
          <cell r="AA33">
            <v>237625.84328421019</v>
          </cell>
          <cell r="AB33">
            <v>168993.94348000002</v>
          </cell>
          <cell r="AC33">
            <v>16210.332397890277</v>
          </cell>
          <cell r="AD33">
            <v>73000.880496619735</v>
          </cell>
          <cell r="AE33">
            <v>258205.15637451014</v>
          </cell>
          <cell r="AF33">
            <v>8969.7469999999994</v>
          </cell>
          <cell r="AG33">
            <v>43596.713000000003</v>
          </cell>
          <cell r="AH33">
            <v>19599.499</v>
          </cell>
          <cell r="AI33">
            <v>58284.484333333327</v>
          </cell>
          <cell r="AJ33">
            <v>3745.989</v>
          </cell>
          <cell r="AK33">
            <v>0</v>
          </cell>
          <cell r="AL33">
            <v>134196.43233333333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-36407.829999999994</v>
          </cell>
          <cell r="AS33">
            <v>0</v>
          </cell>
          <cell r="AT33">
            <v>1770</v>
          </cell>
          <cell r="AU33">
            <v>-34637.829999999994</v>
          </cell>
        </row>
        <row r="34">
          <cell r="D34" t="str">
            <v>판관비</v>
          </cell>
          <cell r="E34">
            <v>2053309.8978153896</v>
          </cell>
          <cell r="F34">
            <v>231353.76041943431</v>
          </cell>
          <cell r="G34">
            <v>195782.17777853456</v>
          </cell>
          <cell r="H34">
            <v>149915.68308766838</v>
          </cell>
          <cell r="I34">
            <v>99670.476520523909</v>
          </cell>
          <cell r="J34">
            <v>136001.39440373538</v>
          </cell>
          <cell r="K34">
            <v>146230.37485007322</v>
          </cell>
          <cell r="L34">
            <v>79844.586150355419</v>
          </cell>
          <cell r="M34">
            <v>114439.3342873761</v>
          </cell>
          <cell r="N34">
            <v>77248.869510297372</v>
          </cell>
          <cell r="O34">
            <v>108325.18496627164</v>
          </cell>
          <cell r="P34">
            <v>95019.499220955739</v>
          </cell>
          <cell r="Q34">
            <v>64381.556671262908</v>
          </cell>
          <cell r="R34">
            <v>127314.80144381479</v>
          </cell>
          <cell r="S34">
            <v>69421.383644118381</v>
          </cell>
          <cell r="T34">
            <v>39090.500085006461</v>
          </cell>
          <cell r="U34">
            <v>36775.922939768461</v>
          </cell>
          <cell r="V34">
            <v>42226.119391732878</v>
          </cell>
          <cell r="W34">
            <v>0</v>
          </cell>
          <cell r="X34">
            <v>0</v>
          </cell>
          <cell r="Y34">
            <v>0</v>
          </cell>
          <cell r="Z34">
            <v>1813041.6253709299</v>
          </cell>
          <cell r="AA34">
            <v>124078.06</v>
          </cell>
          <cell r="AB34">
            <v>10319.06398708833</v>
          </cell>
          <cell r="AC34">
            <v>12177.881985324268</v>
          </cell>
          <cell r="AD34">
            <v>13281.804027587405</v>
          </cell>
          <cell r="AE34">
            <v>35778.750000000007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5639.3734444596394</v>
          </cell>
          <cell r="AN34">
            <v>1294.1360000000002</v>
          </cell>
          <cell r="AO34">
            <v>499.17400000000004</v>
          </cell>
          <cell r="AP34">
            <v>582.17000000000007</v>
          </cell>
          <cell r="AQ34">
            <v>27752.631000000001</v>
          </cell>
          <cell r="AR34">
            <v>26888.569999999996</v>
          </cell>
          <cell r="AS34">
            <v>0</v>
          </cell>
          <cell r="AT34">
            <v>17755.408000000003</v>
          </cell>
          <cell r="AU34">
            <v>80411.462444459641</v>
          </cell>
        </row>
        <row r="35">
          <cell r="D35" t="str">
            <v>영업이익</v>
          </cell>
          <cell r="E35">
            <v>4378890.8605587371</v>
          </cell>
          <cell r="F35">
            <v>543771.61842611211</v>
          </cell>
          <cell r="G35">
            <v>342518.63540633209</v>
          </cell>
          <cell r="H35">
            <v>337755.68626854802</v>
          </cell>
          <cell r="I35">
            <v>231039.79788146191</v>
          </cell>
          <cell r="J35">
            <v>248038.19211880074</v>
          </cell>
          <cell r="K35">
            <v>394607.8058806496</v>
          </cell>
          <cell r="L35">
            <v>114539.34192523487</v>
          </cell>
          <cell r="M35">
            <v>199029.52079347899</v>
          </cell>
          <cell r="N35">
            <v>121668.12300721026</v>
          </cell>
          <cell r="O35">
            <v>269598.74737875129</v>
          </cell>
          <cell r="P35">
            <v>237331.58494501971</v>
          </cell>
          <cell r="Q35">
            <v>67522.673309255319</v>
          </cell>
          <cell r="R35">
            <v>306003.39045536611</v>
          </cell>
          <cell r="S35">
            <v>184640.93678567262</v>
          </cell>
          <cell r="T35">
            <v>185743.11673604755</v>
          </cell>
          <cell r="U35">
            <v>139133.99004294624</v>
          </cell>
          <cell r="V35">
            <v>100826.36965026121</v>
          </cell>
          <cell r="W35">
            <v>0</v>
          </cell>
          <cell r="X35">
            <v>0</v>
          </cell>
          <cell r="Y35">
            <v>0</v>
          </cell>
          <cell r="Z35">
            <v>4023769.5310111428</v>
          </cell>
          <cell r="AA35">
            <v>113547.78328421019</v>
          </cell>
          <cell r="AB35">
            <v>158674.87949291168</v>
          </cell>
          <cell r="AC35">
            <v>4032.4504125660096</v>
          </cell>
          <cell r="AD35">
            <v>59719.076469032327</v>
          </cell>
          <cell r="AE35">
            <v>222426.40637451014</v>
          </cell>
          <cell r="AF35">
            <v>8969.7469999999994</v>
          </cell>
          <cell r="AG35">
            <v>43596.713000000003</v>
          </cell>
          <cell r="AH35">
            <v>19599.499</v>
          </cell>
          <cell r="AI35">
            <v>58284.484333333327</v>
          </cell>
          <cell r="AJ35">
            <v>3745.989</v>
          </cell>
          <cell r="AK35">
            <v>0</v>
          </cell>
          <cell r="AL35">
            <v>134196.43233333333</v>
          </cell>
          <cell r="AM35">
            <v>-5639.3734444596394</v>
          </cell>
          <cell r="AN35">
            <v>-1294.1360000000002</v>
          </cell>
          <cell r="AO35">
            <v>-499.17400000000004</v>
          </cell>
          <cell r="AP35">
            <v>-582.17000000000007</v>
          </cell>
          <cell r="AQ35">
            <v>-27752.631000000001</v>
          </cell>
          <cell r="AR35">
            <v>-63296.399999999994</v>
          </cell>
          <cell r="AS35">
            <v>0</v>
          </cell>
          <cell r="AT35">
            <v>-15985.408000000003</v>
          </cell>
          <cell r="AU35">
            <v>-115049.29244445963</v>
          </cell>
        </row>
      </sheetData>
      <sheetData sheetId="8">
        <row r="6">
          <cell r="D6" t="str">
            <v>구분</v>
          </cell>
        </row>
      </sheetData>
      <sheetData sheetId="9">
        <row r="6">
          <cell r="D6" t="str">
            <v>구분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6">
          <cell r="D6" t="str">
            <v>구분</v>
          </cell>
        </row>
      </sheetData>
      <sheetData sheetId="19">
        <row r="6">
          <cell r="D6" t="str">
            <v>구분</v>
          </cell>
        </row>
      </sheetData>
      <sheetData sheetId="20">
        <row r="6">
          <cell r="D6" t="str">
            <v>구분</v>
          </cell>
        </row>
      </sheetData>
      <sheetData sheetId="21"/>
      <sheetData sheetId="22"/>
      <sheetData sheetId="23"/>
      <sheetData sheetId="24"/>
      <sheetData sheetId="25">
        <row r="6">
          <cell r="D6" t="str">
            <v>구분</v>
          </cell>
        </row>
      </sheetData>
      <sheetData sheetId="26">
        <row r="6">
          <cell r="D6" t="str">
            <v>구분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손익검증"/>
      <sheetName val="A1피벗"/>
      <sheetName val="A1raw"/>
      <sheetName val="월별"/>
      <sheetName val="1월"/>
      <sheetName val="2월"/>
      <sheetName val="2월누계"/>
      <sheetName val="3월"/>
      <sheetName val="3월누계"/>
      <sheetName val="4월"/>
      <sheetName val="4월누계"/>
      <sheetName val="5월"/>
      <sheetName val="5월누계"/>
      <sheetName val="6월"/>
      <sheetName val="6월누계"/>
      <sheetName val="7월"/>
      <sheetName val="7월누계"/>
      <sheetName val="물량"/>
      <sheetName val="매출액"/>
      <sheetName val="매출원가"/>
      <sheetName val="노무비"/>
      <sheetName val="경비"/>
      <sheetName val="운반비"/>
      <sheetName val="영업공통비"/>
      <sheetName val="부문공통비"/>
      <sheetName val="본사공통비"/>
      <sheetName val="감가상각비_제조"/>
      <sheetName val="감가상각비_판매"/>
      <sheetName val="매출이익"/>
      <sheetName val="EBITDA1"/>
      <sheetName val="EBITDA2"/>
      <sheetName val="영업이익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6">
          <cell r="F6" t="str">
            <v>합계</v>
          </cell>
        </row>
      </sheetData>
      <sheetData sheetId="10"/>
      <sheetData sheetId="11">
        <row r="6">
          <cell r="F6" t="str">
            <v>합계</v>
          </cell>
          <cell r="G6" t="str">
            <v>안양</v>
          </cell>
          <cell r="H6" t="str">
            <v>인천</v>
          </cell>
          <cell r="I6" t="str">
            <v>파주</v>
          </cell>
          <cell r="J6" t="str">
            <v>김포</v>
          </cell>
          <cell r="K6" t="str">
            <v>부산</v>
          </cell>
          <cell r="L6" t="str">
            <v>서부산</v>
          </cell>
          <cell r="M6" t="str">
            <v>김해</v>
          </cell>
          <cell r="N6" t="str">
            <v>정관</v>
          </cell>
          <cell r="O6" t="str">
            <v>양산</v>
          </cell>
          <cell r="P6" t="str">
            <v>창원</v>
          </cell>
          <cell r="Q6" t="str">
            <v>대구</v>
          </cell>
          <cell r="R6" t="str">
            <v>울산</v>
          </cell>
          <cell r="S6" t="str">
            <v>아산</v>
          </cell>
          <cell r="T6" t="str">
            <v>원주</v>
          </cell>
          <cell r="U6" t="str">
            <v>군산</v>
          </cell>
          <cell r="V6" t="str">
            <v>전주</v>
          </cell>
          <cell r="W6" t="str">
            <v>제주</v>
          </cell>
          <cell r="Z6" t="str">
            <v>레미콘직영 계</v>
          </cell>
          <cell r="AA6" t="str">
            <v>속초임대</v>
          </cell>
          <cell r="AB6" t="str">
            <v>양양임대</v>
          </cell>
          <cell r="AC6" t="str">
            <v>강릉임대</v>
          </cell>
          <cell r="AD6" t="str">
            <v>포항임대</v>
          </cell>
          <cell r="AH6" t="str">
            <v>레미콘임대 계</v>
          </cell>
          <cell r="AI6" t="str">
            <v>레미콘 총계</v>
          </cell>
          <cell r="AJ6" t="str">
            <v>부산골재</v>
          </cell>
          <cell r="AK6" t="str">
            <v>서부산골재</v>
          </cell>
          <cell r="AL6" t="str">
            <v>부산크라샤</v>
          </cell>
          <cell r="AN6" t="str">
            <v>골재 계</v>
          </cell>
          <cell r="AO6" t="str">
            <v>건자재영업</v>
          </cell>
          <cell r="AP6" t="str">
            <v>부산시그마</v>
          </cell>
          <cell r="AS6" t="str">
            <v>기타사업 계</v>
          </cell>
          <cell r="AT6" t="str">
            <v>주유소임대</v>
          </cell>
          <cell r="AU6" t="str">
            <v>부동산임대</v>
          </cell>
          <cell r="AV6" t="str">
            <v>기타임대</v>
          </cell>
          <cell r="BA6" t="str">
            <v>임대 계</v>
          </cell>
          <cell r="BB6" t="str">
            <v>공통</v>
          </cell>
          <cell r="BC6" t="str">
            <v>M기타영업</v>
          </cell>
          <cell r="BD6" t="str">
            <v>opc소급</v>
          </cell>
          <cell r="BE6" t="str">
            <v>대손</v>
          </cell>
          <cell r="BF6" t="str">
            <v>미운영 공장</v>
          </cell>
          <cell r="BG6" t="str">
            <v>M본사_회계팀</v>
          </cell>
          <cell r="BJ6" t="str">
            <v>기타 계</v>
          </cell>
        </row>
        <row r="7">
          <cell r="G7">
            <v>40606</v>
          </cell>
          <cell r="H7">
            <v>30156</v>
          </cell>
          <cell r="I7">
            <v>28609</v>
          </cell>
          <cell r="J7">
            <v>20743</v>
          </cell>
          <cell r="K7">
            <v>28126.5</v>
          </cell>
          <cell r="L7">
            <v>23976</v>
          </cell>
          <cell r="M7">
            <v>14268</v>
          </cell>
          <cell r="N7">
            <v>24315</v>
          </cell>
          <cell r="O7">
            <v>14568</v>
          </cell>
          <cell r="P7">
            <v>20168.5</v>
          </cell>
          <cell r="Q7">
            <v>20795</v>
          </cell>
          <cell r="R7">
            <v>11917</v>
          </cell>
          <cell r="S7">
            <v>32637</v>
          </cell>
          <cell r="T7">
            <v>7601</v>
          </cell>
          <cell r="U7">
            <v>10731</v>
          </cell>
          <cell r="V7">
            <v>14195.5</v>
          </cell>
          <cell r="W7">
            <v>3716.5</v>
          </cell>
          <cell r="Z7">
            <v>347129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H7">
            <v>0</v>
          </cell>
          <cell r="AI7">
            <v>347129</v>
          </cell>
          <cell r="AJ7">
            <v>25913</v>
          </cell>
          <cell r="AK7">
            <v>26574</v>
          </cell>
          <cell r="AL7">
            <v>46828</v>
          </cell>
          <cell r="AN7">
            <v>99315</v>
          </cell>
          <cell r="AO7">
            <v>9787.4410000000007</v>
          </cell>
          <cell r="AP7">
            <v>0</v>
          </cell>
          <cell r="AT7">
            <v>0</v>
          </cell>
          <cell r="AU7">
            <v>0</v>
          </cell>
          <cell r="AV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J7">
            <v>0</v>
          </cell>
        </row>
        <row r="8">
          <cell r="F8">
            <v>47042769.752000004</v>
          </cell>
          <cell r="G8">
            <v>4123294.6359999999</v>
          </cell>
          <cell r="H8">
            <v>2946527.9569999999</v>
          </cell>
          <cell r="I8">
            <v>2747818.9619999998</v>
          </cell>
          <cell r="J8">
            <v>2113521.5580000002</v>
          </cell>
          <cell r="K8">
            <v>2986118.2050000001</v>
          </cell>
          <cell r="L8">
            <v>2459604</v>
          </cell>
          <cell r="M8">
            <v>1329136.5</v>
          </cell>
          <cell r="N8">
            <v>2465083.6</v>
          </cell>
          <cell r="O8">
            <v>1362525.78</v>
          </cell>
          <cell r="P8">
            <v>1990103.3</v>
          </cell>
          <cell r="Q8">
            <v>2090730.7</v>
          </cell>
          <cell r="R8">
            <v>1241145.8500000001</v>
          </cell>
          <cell r="S8">
            <v>3371381.9810000001</v>
          </cell>
          <cell r="T8">
            <v>848833.2</v>
          </cell>
          <cell r="U8">
            <v>1218054.6000000001</v>
          </cell>
          <cell r="V8">
            <v>1369042.35</v>
          </cell>
          <cell r="W8">
            <v>463020.55200000003</v>
          </cell>
          <cell r="Z8">
            <v>35125943.731000006</v>
          </cell>
          <cell r="AA8">
            <v>50000</v>
          </cell>
          <cell r="AB8">
            <v>0</v>
          </cell>
          <cell r="AC8">
            <v>12500</v>
          </cell>
          <cell r="AD8">
            <v>28340</v>
          </cell>
          <cell r="AH8">
            <v>90840</v>
          </cell>
          <cell r="AI8">
            <v>35216783.731000006</v>
          </cell>
          <cell r="AJ8">
            <v>748562</v>
          </cell>
          <cell r="AK8">
            <v>369830</v>
          </cell>
          <cell r="AL8">
            <v>857386</v>
          </cell>
          <cell r="AN8">
            <v>1975778</v>
          </cell>
          <cell r="AO8">
            <v>9774820.8849999998</v>
          </cell>
          <cell r="AP8">
            <v>0</v>
          </cell>
          <cell r="AS8">
            <v>9774820.8849999998</v>
          </cell>
          <cell r="AT8">
            <v>5512.5</v>
          </cell>
          <cell r="AU8">
            <v>6650</v>
          </cell>
          <cell r="AV8">
            <v>61520.635999999999</v>
          </cell>
          <cell r="BA8">
            <v>73683.135999999999</v>
          </cell>
          <cell r="BB8">
            <v>0</v>
          </cell>
          <cell r="BC8">
            <v>1704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J8">
            <v>1704</v>
          </cell>
        </row>
        <row r="9">
          <cell r="G9">
            <v>101543.97468354431</v>
          </cell>
          <cell r="H9">
            <v>97709.509119246577</v>
          </cell>
          <cell r="I9">
            <v>96047.361389772443</v>
          </cell>
          <cell r="J9">
            <v>101890.83343778626</v>
          </cell>
          <cell r="K9">
            <v>106167.42947042825</v>
          </cell>
          <cell r="L9">
            <v>102586.08608608608</v>
          </cell>
          <cell r="M9">
            <v>93155.067283431446</v>
          </cell>
          <cell r="N9">
            <v>101381.18856672835</v>
          </cell>
          <cell r="O9">
            <v>93528.677924217467</v>
          </cell>
          <cell r="P9">
            <v>98673.837915561395</v>
          </cell>
          <cell r="Q9">
            <v>100540.06732387593</v>
          </cell>
          <cell r="R9">
            <v>104149.18603675422</v>
          </cell>
          <cell r="S9">
            <v>103299.38355240985</v>
          </cell>
          <cell r="T9">
            <v>111673.88501512959</v>
          </cell>
          <cell r="U9">
            <v>113508.02348336596</v>
          </cell>
          <cell r="V9">
            <v>96441.995702863598</v>
          </cell>
          <cell r="W9">
            <v>124585.10749360958</v>
          </cell>
          <cell r="Z9">
            <v>101189.88540571374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H9">
            <v>0</v>
          </cell>
          <cell r="AI9">
            <v>101451.57486409953</v>
          </cell>
          <cell r="AJ9">
            <v>28887.508200517113</v>
          </cell>
          <cell r="AK9">
            <v>13916.986528185445</v>
          </cell>
          <cell r="AL9">
            <v>18309.259417442554</v>
          </cell>
          <cell r="AO9">
            <v>998710.58073300251</v>
          </cell>
          <cell r="AP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J9">
            <v>0</v>
          </cell>
        </row>
        <row r="10">
          <cell r="F10">
            <v>40174639.225570008</v>
          </cell>
          <cell r="G10">
            <v>3553816.8590600002</v>
          </cell>
          <cell r="H10">
            <v>2582305.1333600003</v>
          </cell>
          <cell r="I10">
            <v>2428224.0453300001</v>
          </cell>
          <cell r="J10">
            <v>1702345.0047200001</v>
          </cell>
          <cell r="K10">
            <v>2441026.0040800003</v>
          </cell>
          <cell r="L10">
            <v>2004554.6770600001</v>
          </cell>
          <cell r="M10">
            <v>1200666.2317799998</v>
          </cell>
          <cell r="N10">
            <v>2079270.6882</v>
          </cell>
          <cell r="O10">
            <v>1172395.9292300001</v>
          </cell>
          <cell r="P10">
            <v>1604192.2347800001</v>
          </cell>
          <cell r="Q10">
            <v>1636323.78942</v>
          </cell>
          <cell r="R10">
            <v>1013578.5162999999</v>
          </cell>
          <cell r="S10">
            <v>2606775.9594699997</v>
          </cell>
          <cell r="T10">
            <v>620012.67692</v>
          </cell>
          <cell r="U10">
            <v>846215.53784</v>
          </cell>
          <cell r="V10">
            <v>1105491.7788</v>
          </cell>
          <cell r="W10">
            <v>386532.39636000001</v>
          </cell>
          <cell r="Z10">
            <v>28983727.462710004</v>
          </cell>
          <cell r="AA10">
            <v>3514.8020000000001</v>
          </cell>
          <cell r="AB10">
            <v>0</v>
          </cell>
          <cell r="AC10">
            <v>3465.14</v>
          </cell>
          <cell r="AD10">
            <v>8722.2880000000005</v>
          </cell>
          <cell r="AH10">
            <v>15702.23</v>
          </cell>
          <cell r="AI10">
            <v>28999429.692710005</v>
          </cell>
          <cell r="AJ10">
            <v>654303.19397999998</v>
          </cell>
          <cell r="AK10">
            <v>301362.56902</v>
          </cell>
          <cell r="AL10">
            <v>699339.12185999996</v>
          </cell>
          <cell r="AN10">
            <v>1655004.8848600001</v>
          </cell>
          <cell r="AO10">
            <v>9519898.3310000002</v>
          </cell>
          <cell r="AP10">
            <v>0</v>
          </cell>
          <cell r="AS10">
            <v>9519898.3310000002</v>
          </cell>
          <cell r="AT10">
            <v>126.027</v>
          </cell>
          <cell r="AU10">
            <v>180.29</v>
          </cell>
          <cell r="AV10">
            <v>0</v>
          </cell>
          <cell r="BA10">
            <v>306.31700000000001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J10">
            <v>0</v>
          </cell>
        </row>
        <row r="11">
          <cell r="G11">
            <v>87519.501035807523</v>
          </cell>
          <cell r="H11">
            <v>85631.553699429642</v>
          </cell>
          <cell r="I11">
            <v>84876.229344961379</v>
          </cell>
          <cell r="J11">
            <v>82068.408847321989</v>
          </cell>
          <cell r="K11">
            <v>86787.407038913487</v>
          </cell>
          <cell r="L11">
            <v>83606.718262429102</v>
          </cell>
          <cell r="M11">
            <v>84150.983444070633</v>
          </cell>
          <cell r="N11">
            <v>85513.908624305986</v>
          </cell>
          <cell r="O11">
            <v>80477.480040499722</v>
          </cell>
          <cell r="P11">
            <v>79539.491522919401</v>
          </cell>
          <cell r="Q11">
            <v>78688.328416446268</v>
          </cell>
          <cell r="R11">
            <v>85053.16071997986</v>
          </cell>
          <cell r="S11">
            <v>79871.800700738415</v>
          </cell>
          <cell r="T11">
            <v>81569.882504933557</v>
          </cell>
          <cell r="U11">
            <v>78857.099789395201</v>
          </cell>
          <cell r="V11">
            <v>77876.21279983093</v>
          </cell>
          <cell r="W11">
            <v>104004.41177451905</v>
          </cell>
          <cell r="Z11">
            <v>83495.551978399977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H11">
            <v>0</v>
          </cell>
          <cell r="AI11">
            <v>83540.786545376526</v>
          </cell>
          <cell r="AJ11">
            <v>25249.997838150732</v>
          </cell>
          <cell r="AK11">
            <v>11340.504591706178</v>
          </cell>
          <cell r="AL11">
            <v>14934.208632869222</v>
          </cell>
          <cell r="AO11">
            <v>972664.69662499102</v>
          </cell>
          <cell r="AP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J11">
            <v>0</v>
          </cell>
        </row>
        <row r="12">
          <cell r="F12">
            <v>6868130.5264299959</v>
          </cell>
          <cell r="G12">
            <v>569477.77693999978</v>
          </cell>
          <cell r="H12">
            <v>364222.82363999961</v>
          </cell>
          <cell r="I12">
            <v>319594.91666999971</v>
          </cell>
          <cell r="J12">
            <v>411176.55328000011</v>
          </cell>
          <cell r="K12">
            <v>545092.20091999974</v>
          </cell>
          <cell r="L12">
            <v>455049.32293999987</v>
          </cell>
          <cell r="M12">
            <v>128470.2682200002</v>
          </cell>
          <cell r="N12">
            <v>385812.91180000012</v>
          </cell>
          <cell r="O12">
            <v>190129.8507699999</v>
          </cell>
          <cell r="P12">
            <v>385911.06521999999</v>
          </cell>
          <cell r="Q12">
            <v>454406.91057999991</v>
          </cell>
          <cell r="R12">
            <v>227567.33370000019</v>
          </cell>
          <cell r="S12">
            <v>764606.02153000049</v>
          </cell>
          <cell r="T12">
            <v>228820.52307999996</v>
          </cell>
          <cell r="U12">
            <v>371839.06216000009</v>
          </cell>
          <cell r="V12">
            <v>263550.57120000012</v>
          </cell>
          <cell r="W12">
            <v>76488.155640000012</v>
          </cell>
          <cell r="Z12">
            <v>6142216.26829</v>
          </cell>
          <cell r="AA12">
            <v>46485.197999999997</v>
          </cell>
          <cell r="AB12">
            <v>0</v>
          </cell>
          <cell r="AC12">
            <v>9034.86</v>
          </cell>
          <cell r="AD12">
            <v>19617.712</v>
          </cell>
          <cell r="AH12">
            <v>75137.77</v>
          </cell>
          <cell r="AI12">
            <v>6217354.0382900015</v>
          </cell>
          <cell r="AJ12">
            <v>94258.806020000018</v>
          </cell>
          <cell r="AK12">
            <v>68467.430980000005</v>
          </cell>
          <cell r="AL12">
            <v>158046.87814000004</v>
          </cell>
          <cell r="AN12">
            <v>320773.11513999989</v>
          </cell>
          <cell r="AO12">
            <v>254922.55399999954</v>
          </cell>
          <cell r="AP12">
            <v>0</v>
          </cell>
          <cell r="AS12">
            <v>254922.55399999954</v>
          </cell>
          <cell r="AT12">
            <v>5386.473</v>
          </cell>
          <cell r="AU12">
            <v>6469.71</v>
          </cell>
          <cell r="AV12">
            <v>61520.635999999999</v>
          </cell>
          <cell r="BA12">
            <v>73376.819000000003</v>
          </cell>
          <cell r="BB12">
            <v>0</v>
          </cell>
          <cell r="BC12">
            <v>1704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J12">
            <v>1704</v>
          </cell>
        </row>
        <row r="13">
          <cell r="F13">
            <v>851139.59100000013</v>
          </cell>
          <cell r="G13">
            <v>69819.722999999998</v>
          </cell>
          <cell r="H13">
            <v>63000.944999999992</v>
          </cell>
          <cell r="I13">
            <v>46080.796999999999</v>
          </cell>
          <cell r="J13">
            <v>35893.574999999997</v>
          </cell>
          <cell r="K13">
            <v>47819.487000000001</v>
          </cell>
          <cell r="L13">
            <v>51362.936999999991</v>
          </cell>
          <cell r="M13">
            <v>35689.276000000005</v>
          </cell>
          <cell r="N13">
            <v>43166.176000000007</v>
          </cell>
          <cell r="O13">
            <v>27106.808000000001</v>
          </cell>
          <cell r="P13">
            <v>45186.14</v>
          </cell>
          <cell r="Q13">
            <v>36199.351999999999</v>
          </cell>
          <cell r="R13">
            <v>27057.460999999999</v>
          </cell>
          <cell r="S13">
            <v>47610.42</v>
          </cell>
          <cell r="T13">
            <v>11702.999</v>
          </cell>
          <cell r="U13">
            <v>12117.554</v>
          </cell>
          <cell r="V13">
            <v>32955.062000000005</v>
          </cell>
          <cell r="W13">
            <v>14206.369999999999</v>
          </cell>
          <cell r="Z13">
            <v>646975.08200000017</v>
          </cell>
          <cell r="AA13">
            <v>0</v>
          </cell>
          <cell r="AB13">
            <v>180.89699999999999</v>
          </cell>
          <cell r="AC13">
            <v>0</v>
          </cell>
          <cell r="AD13">
            <v>0</v>
          </cell>
          <cell r="AH13">
            <v>180.89699999999999</v>
          </cell>
          <cell r="AI13">
            <v>647155.97900000005</v>
          </cell>
          <cell r="AJ13">
            <v>2460</v>
          </cell>
          <cell r="AK13">
            <v>356.59699999999998</v>
          </cell>
          <cell r="AL13">
            <v>0</v>
          </cell>
          <cell r="AN13">
            <v>2816.5969999999998</v>
          </cell>
          <cell r="AO13">
            <v>127004.14200000001</v>
          </cell>
          <cell r="AP13">
            <v>0</v>
          </cell>
          <cell r="AS13">
            <v>127004.14200000001</v>
          </cell>
          <cell r="AT13">
            <v>0</v>
          </cell>
          <cell r="AU13">
            <v>0</v>
          </cell>
          <cell r="AV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74162.872999999992</v>
          </cell>
          <cell r="BG13">
            <v>0</v>
          </cell>
          <cell r="BJ13">
            <v>74162.872999999992</v>
          </cell>
        </row>
        <row r="14">
          <cell r="F14">
            <v>529675.14900000021</v>
          </cell>
          <cell r="G14">
            <v>46703.006000000001</v>
          </cell>
          <cell r="H14">
            <v>40410.050999999992</v>
          </cell>
          <cell r="I14">
            <v>31786.723000000002</v>
          </cell>
          <cell r="J14">
            <v>24713.363999999998</v>
          </cell>
          <cell r="K14">
            <v>31264.802</v>
          </cell>
          <cell r="L14">
            <v>33662.964999999997</v>
          </cell>
          <cell r="M14">
            <v>25713.390000000003</v>
          </cell>
          <cell r="N14">
            <v>32846.332000000002</v>
          </cell>
          <cell r="O14">
            <v>19149.683000000001</v>
          </cell>
          <cell r="P14">
            <v>31623.273000000001</v>
          </cell>
          <cell r="Q14">
            <v>25351.927</v>
          </cell>
          <cell r="R14">
            <v>18482.428</v>
          </cell>
          <cell r="S14">
            <v>30530.071000000004</v>
          </cell>
          <cell r="T14">
            <v>7016.6719999999996</v>
          </cell>
          <cell r="U14">
            <v>7157.8350000000009</v>
          </cell>
          <cell r="V14">
            <v>23152.053</v>
          </cell>
          <cell r="W14">
            <v>10360.079</v>
          </cell>
          <cell r="Z14">
            <v>439924.65400000016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H14">
            <v>0</v>
          </cell>
          <cell r="AI14">
            <v>439924.65400000016</v>
          </cell>
          <cell r="AJ14">
            <v>0</v>
          </cell>
          <cell r="AK14">
            <v>0</v>
          </cell>
          <cell r="AL14">
            <v>0</v>
          </cell>
          <cell r="AN14">
            <v>0</v>
          </cell>
          <cell r="AO14">
            <v>89750.494999999995</v>
          </cell>
          <cell r="AP14">
            <v>0</v>
          </cell>
          <cell r="AS14">
            <v>89750.494999999995</v>
          </cell>
          <cell r="AT14">
            <v>0</v>
          </cell>
          <cell r="AU14">
            <v>0</v>
          </cell>
          <cell r="AV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J14">
            <v>0</v>
          </cell>
        </row>
        <row r="15">
          <cell r="F15">
            <v>321464.44199999992</v>
          </cell>
          <cell r="G15">
            <v>23116.716999999997</v>
          </cell>
          <cell r="H15">
            <v>22590.894000000004</v>
          </cell>
          <cell r="I15">
            <v>14294.073999999999</v>
          </cell>
          <cell r="J15">
            <v>11180.210999999999</v>
          </cell>
          <cell r="K15">
            <v>16554.685000000001</v>
          </cell>
          <cell r="L15">
            <v>17699.971999999998</v>
          </cell>
          <cell r="M15">
            <v>9975.8860000000004</v>
          </cell>
          <cell r="N15">
            <v>10319.844000000001</v>
          </cell>
          <cell r="O15">
            <v>7957.1249999999991</v>
          </cell>
          <cell r="P15">
            <v>13562.867</v>
          </cell>
          <cell r="Q15">
            <v>10847.425000000001</v>
          </cell>
          <cell r="R15">
            <v>8575.0329999999994</v>
          </cell>
          <cell r="S15">
            <v>17080.348999999998</v>
          </cell>
          <cell r="T15">
            <v>4686.3269999999993</v>
          </cell>
          <cell r="U15">
            <v>4959.7190000000001</v>
          </cell>
          <cell r="V15">
            <v>9803.0090000000018</v>
          </cell>
          <cell r="W15">
            <v>3846.2909999999997</v>
          </cell>
          <cell r="Z15">
            <v>207050.42799999996</v>
          </cell>
          <cell r="AA15">
            <v>0</v>
          </cell>
          <cell r="AB15">
            <v>180.89699999999999</v>
          </cell>
          <cell r="AC15">
            <v>0</v>
          </cell>
          <cell r="AD15">
            <v>0</v>
          </cell>
          <cell r="AH15">
            <v>180.89699999999999</v>
          </cell>
          <cell r="AI15">
            <v>207231.32499999995</v>
          </cell>
          <cell r="AJ15">
            <v>2460</v>
          </cell>
          <cell r="AK15">
            <v>356.59699999999998</v>
          </cell>
          <cell r="AL15">
            <v>0</v>
          </cell>
          <cell r="AN15">
            <v>2816.5969999999998</v>
          </cell>
          <cell r="AO15">
            <v>37253.647000000012</v>
          </cell>
          <cell r="AP15">
            <v>0</v>
          </cell>
          <cell r="AS15">
            <v>37253.647000000012</v>
          </cell>
          <cell r="AT15">
            <v>0</v>
          </cell>
          <cell r="AU15">
            <v>0</v>
          </cell>
          <cell r="AV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74162.872999999992</v>
          </cell>
          <cell r="BG15">
            <v>0</v>
          </cell>
          <cell r="BJ15">
            <v>74162.872999999992</v>
          </cell>
        </row>
        <row r="16"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N16">
            <v>0</v>
          </cell>
          <cell r="AO16">
            <v>0</v>
          </cell>
          <cell r="AP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J16">
            <v>0</v>
          </cell>
        </row>
        <row r="17">
          <cell r="F17">
            <v>6016990.9354299959</v>
          </cell>
          <cell r="G17">
            <v>499658.05393999978</v>
          </cell>
          <cell r="H17">
            <v>301221.8786399996</v>
          </cell>
          <cell r="I17">
            <v>273514.11966999969</v>
          </cell>
          <cell r="J17">
            <v>375282.9782800001</v>
          </cell>
          <cell r="K17">
            <v>497272.71391999972</v>
          </cell>
          <cell r="L17">
            <v>403686.38593999989</v>
          </cell>
          <cell r="M17">
            <v>92780.992220000189</v>
          </cell>
          <cell r="N17">
            <v>342646.73580000014</v>
          </cell>
          <cell r="O17">
            <v>163023.04276999991</v>
          </cell>
          <cell r="P17">
            <v>340724.92521999998</v>
          </cell>
          <cell r="Q17">
            <v>418207.5585799999</v>
          </cell>
          <cell r="R17">
            <v>200509.87270000018</v>
          </cell>
          <cell r="S17">
            <v>716995.60153000045</v>
          </cell>
          <cell r="T17">
            <v>217117.52407999994</v>
          </cell>
          <cell r="U17">
            <v>359721.50816000008</v>
          </cell>
          <cell r="V17">
            <v>230595.50920000012</v>
          </cell>
          <cell r="W17">
            <v>62281.785640000016</v>
          </cell>
          <cell r="Z17">
            <v>5495241.1862899996</v>
          </cell>
          <cell r="AA17">
            <v>46485.197999999997</v>
          </cell>
          <cell r="AB17">
            <v>-180.89699999999999</v>
          </cell>
          <cell r="AC17">
            <v>9034.86</v>
          </cell>
          <cell r="AD17">
            <v>19617.712</v>
          </cell>
          <cell r="AH17">
            <v>74956.873000000007</v>
          </cell>
          <cell r="AI17">
            <v>5570198.0592900012</v>
          </cell>
          <cell r="AJ17">
            <v>91798.806020000018</v>
          </cell>
          <cell r="AK17">
            <v>68110.83398000001</v>
          </cell>
          <cell r="AL17">
            <v>158046.87814000004</v>
          </cell>
          <cell r="AN17">
            <v>317956.51813999988</v>
          </cell>
          <cell r="AO17">
            <v>127918.41199999953</v>
          </cell>
          <cell r="AP17">
            <v>0</v>
          </cell>
          <cell r="AS17">
            <v>127918.41199999953</v>
          </cell>
          <cell r="AT17">
            <v>5386.473</v>
          </cell>
          <cell r="AU17">
            <v>6469.71</v>
          </cell>
          <cell r="AV17">
            <v>61520.635999999999</v>
          </cell>
          <cell r="BA17">
            <v>73376.819000000003</v>
          </cell>
          <cell r="BB17">
            <v>0</v>
          </cell>
          <cell r="BC17">
            <v>1704</v>
          </cell>
          <cell r="BD17">
            <v>0</v>
          </cell>
          <cell r="BE17">
            <v>0</v>
          </cell>
          <cell r="BF17">
            <v>-74162.872999999992</v>
          </cell>
          <cell r="BG17">
            <v>0</v>
          </cell>
          <cell r="BJ17">
            <v>-72458.872999999992</v>
          </cell>
        </row>
        <row r="18">
          <cell r="F18">
            <v>600194.48742999986</v>
          </cell>
          <cell r="G18">
            <v>29493.447940000002</v>
          </cell>
          <cell r="H18">
            <v>35038.540639999999</v>
          </cell>
          <cell r="I18">
            <v>19362.44067</v>
          </cell>
          <cell r="J18">
            <v>20632.708280000003</v>
          </cell>
          <cell r="K18">
            <v>85348.608920000013</v>
          </cell>
          <cell r="L18">
            <v>43465.981939999998</v>
          </cell>
          <cell r="M18">
            <v>16562.52522</v>
          </cell>
          <cell r="N18">
            <v>29460.0448</v>
          </cell>
          <cell r="O18">
            <v>10682.80877</v>
          </cell>
          <cell r="P18">
            <v>31398.63522</v>
          </cell>
          <cell r="Q18">
            <v>14419.280579999999</v>
          </cell>
          <cell r="R18">
            <v>12972.3127</v>
          </cell>
          <cell r="S18">
            <v>35665.640530000004</v>
          </cell>
          <cell r="T18">
            <v>5774.1460799999995</v>
          </cell>
          <cell r="U18">
            <v>10246.18316</v>
          </cell>
          <cell r="V18">
            <v>20789.6872</v>
          </cell>
          <cell r="W18">
            <v>11146.087640000002</v>
          </cell>
          <cell r="Z18">
            <v>432459.08029000007</v>
          </cell>
          <cell r="AA18">
            <v>5672.5910000000003</v>
          </cell>
          <cell r="AB18">
            <v>353.67200000000003</v>
          </cell>
          <cell r="AC18">
            <v>0</v>
          </cell>
          <cell r="AD18">
            <v>0</v>
          </cell>
          <cell r="AH18">
            <v>6026.2630000000008</v>
          </cell>
          <cell r="AI18">
            <v>438485.34328999999</v>
          </cell>
          <cell r="AJ18">
            <v>32813.604019999999</v>
          </cell>
          <cell r="AK18">
            <v>11689.385980000001</v>
          </cell>
          <cell r="AL18">
            <v>59480.409140000003</v>
          </cell>
          <cell r="AN18">
            <v>103983.39913999999</v>
          </cell>
          <cell r="AO18">
            <v>5550.3850000000002</v>
          </cell>
          <cell r="AP18">
            <v>855.83600000000001</v>
          </cell>
          <cell r="AS18">
            <v>6406.2210000000005</v>
          </cell>
          <cell r="AT18">
            <v>1312.8920000000001</v>
          </cell>
          <cell r="AU18">
            <v>8489.6080000000002</v>
          </cell>
          <cell r="AV18">
            <v>0</v>
          </cell>
          <cell r="BA18">
            <v>9802.5</v>
          </cell>
          <cell r="BB18">
            <v>0</v>
          </cell>
          <cell r="BC18">
            <v>17730.047999999999</v>
          </cell>
          <cell r="BD18">
            <v>0</v>
          </cell>
          <cell r="BE18">
            <v>0</v>
          </cell>
          <cell r="BF18">
            <v>23786.975999999999</v>
          </cell>
          <cell r="BG18">
            <v>0</v>
          </cell>
          <cell r="BJ18">
            <v>41517.023999999998</v>
          </cell>
        </row>
        <row r="19">
          <cell r="F19">
            <v>529854.1574299999</v>
          </cell>
          <cell r="G19">
            <v>27165.825940000002</v>
          </cell>
          <cell r="H19">
            <v>33093.405639999997</v>
          </cell>
          <cell r="I19">
            <v>17591.193670000001</v>
          </cell>
          <cell r="J19">
            <v>19440.720280000001</v>
          </cell>
          <cell r="K19">
            <v>83472.542920000007</v>
          </cell>
          <cell r="L19">
            <v>41901.579939999996</v>
          </cell>
          <cell r="M19">
            <v>15368.926220000001</v>
          </cell>
          <cell r="N19">
            <v>27896.739799999999</v>
          </cell>
          <cell r="O19">
            <v>9932.7727699999996</v>
          </cell>
          <cell r="P19">
            <v>30179.86922</v>
          </cell>
          <cell r="Q19">
            <v>13213.89258</v>
          </cell>
          <cell r="R19">
            <v>11870.1577</v>
          </cell>
          <cell r="S19">
            <v>34077.439530000003</v>
          </cell>
          <cell r="T19">
            <v>5403.7460799999999</v>
          </cell>
          <cell r="U19">
            <v>9803.3141599999999</v>
          </cell>
          <cell r="V19">
            <v>19662.823199999999</v>
          </cell>
          <cell r="W19">
            <v>10320.717640000001</v>
          </cell>
          <cell r="Z19">
            <v>410395.66728999995</v>
          </cell>
          <cell r="AA19">
            <v>5672.5910000000003</v>
          </cell>
          <cell r="AB19">
            <v>0</v>
          </cell>
          <cell r="AC19">
            <v>0</v>
          </cell>
          <cell r="AD19">
            <v>0</v>
          </cell>
          <cell r="AH19">
            <v>5672.5910000000003</v>
          </cell>
          <cell r="AI19">
            <v>416068.25828999997</v>
          </cell>
          <cell r="AJ19">
            <v>32813.604019999999</v>
          </cell>
          <cell r="AK19">
            <v>11689.385980000001</v>
          </cell>
          <cell r="AL19">
            <v>59480.409140000003</v>
          </cell>
          <cell r="AN19">
            <v>103983.39913999999</v>
          </cell>
          <cell r="AO19">
            <v>0</v>
          </cell>
          <cell r="AP19">
            <v>0</v>
          </cell>
          <cell r="AS19">
            <v>0</v>
          </cell>
          <cell r="AT19">
            <v>1312.8920000000001</v>
          </cell>
          <cell r="AU19">
            <v>8489.6080000000002</v>
          </cell>
          <cell r="AV19">
            <v>0</v>
          </cell>
          <cell r="BA19">
            <v>9802.5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J19">
            <v>0</v>
          </cell>
        </row>
        <row r="20">
          <cell r="F20">
            <v>70340.33</v>
          </cell>
          <cell r="G20">
            <v>2327.6219999999998</v>
          </cell>
          <cell r="H20">
            <v>1945.135</v>
          </cell>
          <cell r="I20">
            <v>1771.2470000000001</v>
          </cell>
          <cell r="J20">
            <v>1191.9880000000001</v>
          </cell>
          <cell r="K20">
            <v>1876.066</v>
          </cell>
          <cell r="L20">
            <v>1564.402</v>
          </cell>
          <cell r="M20">
            <v>1193.5989999999999</v>
          </cell>
          <cell r="N20">
            <v>1563.3050000000001</v>
          </cell>
          <cell r="O20">
            <v>750.03599999999994</v>
          </cell>
          <cell r="P20">
            <v>1218.7660000000001</v>
          </cell>
          <cell r="Q20">
            <v>1205.3879999999999</v>
          </cell>
          <cell r="R20">
            <v>1102.155</v>
          </cell>
          <cell r="S20">
            <v>1588.201</v>
          </cell>
          <cell r="T20">
            <v>370.4</v>
          </cell>
          <cell r="U20">
            <v>442.86900000000003</v>
          </cell>
          <cell r="V20">
            <v>1126.864</v>
          </cell>
          <cell r="W20">
            <v>825.37</v>
          </cell>
          <cell r="Z20">
            <v>22063.413</v>
          </cell>
          <cell r="AA20">
            <v>0</v>
          </cell>
          <cell r="AB20">
            <v>353.67200000000003</v>
          </cell>
          <cell r="AC20">
            <v>0</v>
          </cell>
          <cell r="AD20">
            <v>0</v>
          </cell>
          <cell r="AH20">
            <v>353.67200000000003</v>
          </cell>
          <cell r="AI20">
            <v>22417.084999999999</v>
          </cell>
          <cell r="AJ20">
            <v>0</v>
          </cell>
          <cell r="AK20">
            <v>0</v>
          </cell>
          <cell r="AL20">
            <v>0</v>
          </cell>
          <cell r="AN20">
            <v>0</v>
          </cell>
          <cell r="AO20">
            <v>5550.3850000000002</v>
          </cell>
          <cell r="AP20">
            <v>855.83600000000001</v>
          </cell>
          <cell r="AS20">
            <v>6406.2210000000005</v>
          </cell>
          <cell r="AT20">
            <v>0</v>
          </cell>
          <cell r="AU20">
            <v>0</v>
          </cell>
          <cell r="AV20">
            <v>0</v>
          </cell>
          <cell r="BA20">
            <v>0</v>
          </cell>
          <cell r="BB20">
            <v>0</v>
          </cell>
          <cell r="BC20">
            <v>17730.047999999999</v>
          </cell>
          <cell r="BD20">
            <v>0</v>
          </cell>
          <cell r="BE20">
            <v>0</v>
          </cell>
          <cell r="BF20">
            <v>23786.975999999999</v>
          </cell>
          <cell r="BG20">
            <v>0</v>
          </cell>
          <cell r="BJ20">
            <v>41517.023999999998</v>
          </cell>
        </row>
        <row r="21">
          <cell r="F21">
            <v>5416796.4479999961</v>
          </cell>
          <cell r="G21">
            <v>470164.6059999998</v>
          </cell>
          <cell r="H21">
            <v>266183.33799999958</v>
          </cell>
          <cell r="I21">
            <v>254151.67899999968</v>
          </cell>
          <cell r="J21">
            <v>354650.27000000008</v>
          </cell>
          <cell r="K21">
            <v>411924.10499999969</v>
          </cell>
          <cell r="L21">
            <v>360220.40399999986</v>
          </cell>
          <cell r="M21">
            <v>76218.467000000193</v>
          </cell>
          <cell r="N21">
            <v>313186.69100000017</v>
          </cell>
          <cell r="O21">
            <v>152340.23399999991</v>
          </cell>
          <cell r="P21">
            <v>309326.28999999998</v>
          </cell>
          <cell r="Q21">
            <v>403788.27799999987</v>
          </cell>
          <cell r="R21">
            <v>187537.56000000017</v>
          </cell>
          <cell r="S21">
            <v>681329.96100000048</v>
          </cell>
          <cell r="T21">
            <v>211343.37799999994</v>
          </cell>
          <cell r="U21">
            <v>349475.32500000007</v>
          </cell>
          <cell r="V21">
            <v>209805.8220000001</v>
          </cell>
          <cell r="W21">
            <v>51135.698000000019</v>
          </cell>
          <cell r="Z21">
            <v>5062782.1059999997</v>
          </cell>
          <cell r="AA21">
            <v>40812.606999999996</v>
          </cell>
          <cell r="AB21">
            <v>-534.56899999999996</v>
          </cell>
          <cell r="AC21">
            <v>9034.86</v>
          </cell>
          <cell r="AD21">
            <v>19617.712</v>
          </cell>
          <cell r="AH21">
            <v>68930.61</v>
          </cell>
          <cell r="AI21">
            <v>5131712.7160000009</v>
          </cell>
          <cell r="AJ21">
            <v>58985.202000000019</v>
          </cell>
          <cell r="AK21">
            <v>56421.448000000011</v>
          </cell>
          <cell r="AL21">
            <v>98566.469000000041</v>
          </cell>
          <cell r="AN21">
            <v>213973.11899999989</v>
          </cell>
          <cell r="AO21">
            <v>122368.02699999954</v>
          </cell>
          <cell r="AP21">
            <v>-855.83600000000001</v>
          </cell>
          <cell r="AS21">
            <v>121512.19099999953</v>
          </cell>
          <cell r="AT21">
            <v>4073.5810000000001</v>
          </cell>
          <cell r="AU21">
            <v>-2019.8980000000001</v>
          </cell>
          <cell r="AV21">
            <v>61520.635999999999</v>
          </cell>
          <cell r="BA21">
            <v>63574.319000000003</v>
          </cell>
          <cell r="BB21">
            <v>0</v>
          </cell>
          <cell r="BC21">
            <v>-16026.047999999999</v>
          </cell>
          <cell r="BD21">
            <v>0</v>
          </cell>
          <cell r="BE21">
            <v>0</v>
          </cell>
          <cell r="BF21">
            <v>-97949.848999999987</v>
          </cell>
          <cell r="BG21">
            <v>0</v>
          </cell>
          <cell r="BJ21">
            <v>-113975.897</v>
          </cell>
        </row>
        <row r="22">
          <cell r="F22">
            <v>1199504.1929991539</v>
          </cell>
          <cell r="G22">
            <v>136005.55138088166</v>
          </cell>
          <cell r="H22">
            <v>97190.279819471951</v>
          </cell>
          <cell r="I22">
            <v>90635.927337997739</v>
          </cell>
          <cell r="J22">
            <v>69713.830862697068</v>
          </cell>
          <cell r="K22">
            <v>100278.87103908819</v>
          </cell>
          <cell r="L22">
            <v>82597.638603266692</v>
          </cell>
          <cell r="M22">
            <v>44634.638861138126</v>
          </cell>
          <cell r="N22">
            <v>82781.652786236984</v>
          </cell>
          <cell r="O22">
            <v>45755.907033845317</v>
          </cell>
          <cell r="P22">
            <v>66831.015544196736</v>
          </cell>
          <cell r="Q22">
            <v>70210.252859954198</v>
          </cell>
          <cell r="R22">
            <v>41679.764861434713</v>
          </cell>
          <cell r="S22">
            <v>106096.20873795397</v>
          </cell>
          <cell r="T22">
            <v>26712.48315333077</v>
          </cell>
          <cell r="U22">
            <v>38331.751140668217</v>
          </cell>
          <cell r="V22">
            <v>43083.282688013816</v>
          </cell>
          <cell r="W22">
            <v>14571.094409297273</v>
          </cell>
          <cell r="Z22">
            <v>1157110.1511194736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H22">
            <v>0</v>
          </cell>
          <cell r="AI22">
            <v>1157110.1511194736</v>
          </cell>
          <cell r="AJ22">
            <v>16061.808957367946</v>
          </cell>
          <cell r="AK22">
            <v>7935.3998823122029</v>
          </cell>
          <cell r="AL22">
            <v>18396.833039999998</v>
          </cell>
          <cell r="AN22">
            <v>42394.041879680146</v>
          </cell>
          <cell r="AO22">
            <v>0</v>
          </cell>
          <cell r="AP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J22">
            <v>0</v>
          </cell>
        </row>
        <row r="23">
          <cell r="F23">
            <v>211901.43199915384</v>
          </cell>
          <cell r="G23">
            <v>20074.796662504217</v>
          </cell>
          <cell r="H23">
            <v>14345.554906680447</v>
          </cell>
          <cell r="I23">
            <v>13378.114298675453</v>
          </cell>
          <cell r="J23">
            <v>10289.954821135201</v>
          </cell>
          <cell r="K23">
            <v>16321.024766970229</v>
          </cell>
          <cell r="L23">
            <v>13443.29160638135</v>
          </cell>
          <cell r="M23">
            <v>7264.5716766540809</v>
          </cell>
          <cell r="N23">
            <v>13473.241086332728</v>
          </cell>
          <cell r="O23">
            <v>7447.0652112096914</v>
          </cell>
          <cell r="P23">
            <v>10877.173312745397</v>
          </cell>
          <cell r="Q23">
            <v>11427.165702492679</v>
          </cell>
          <cell r="R23">
            <v>6783.6471186418821</v>
          </cell>
          <cell r="S23">
            <v>11306.26719731543</v>
          </cell>
          <cell r="T23">
            <v>2846.6471670189208</v>
          </cell>
          <cell r="U23">
            <v>4084.8681182172954</v>
          </cell>
          <cell r="V23">
            <v>4591.2206628539343</v>
          </cell>
          <cell r="W23">
            <v>1552.7858036447408</v>
          </cell>
          <cell r="Z23">
            <v>169507.39011947368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H23">
            <v>0</v>
          </cell>
          <cell r="AI23">
            <v>169507.39011947368</v>
          </cell>
          <cell r="AJ23">
            <v>16061.808957367946</v>
          </cell>
          <cell r="AK23">
            <v>7935.3998823122029</v>
          </cell>
          <cell r="AL23">
            <v>18396.833039999998</v>
          </cell>
          <cell r="AN23">
            <v>42394.041879680146</v>
          </cell>
          <cell r="AO23">
            <v>0</v>
          </cell>
          <cell r="AP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J23">
            <v>0</v>
          </cell>
        </row>
        <row r="24">
          <cell r="F24">
            <v>355701.27899999998</v>
          </cell>
          <cell r="G24">
            <v>41754.356465151825</v>
          </cell>
          <cell r="H24">
            <v>29837.88196384265</v>
          </cell>
          <cell r="I24">
            <v>27825.664321760454</v>
          </cell>
          <cell r="J24">
            <v>21402.48037552926</v>
          </cell>
          <cell r="K24">
            <v>30238.790817918481</v>
          </cell>
          <cell r="L24">
            <v>24907.068556891089</v>
          </cell>
          <cell r="M24">
            <v>13459.440595708202</v>
          </cell>
          <cell r="N24">
            <v>24962.55747822328</v>
          </cell>
          <cell r="O24">
            <v>13797.555628057</v>
          </cell>
          <cell r="P24">
            <v>20152.690973179095</v>
          </cell>
          <cell r="Q24">
            <v>21171.689783760678</v>
          </cell>
          <cell r="R24">
            <v>12568.407261921377</v>
          </cell>
          <cell r="S24">
            <v>34140.147004247148</v>
          </cell>
          <cell r="T24">
            <v>8595.6709721423631</v>
          </cell>
          <cell r="U24">
            <v>12334.574764163888</v>
          </cell>
          <cell r="V24">
            <v>13863.545379149362</v>
          </cell>
          <cell r="W24">
            <v>4688.7566583537655</v>
          </cell>
          <cell r="Z24">
            <v>355701.27899999998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H24">
            <v>0</v>
          </cell>
          <cell r="AI24">
            <v>355701.27899999998</v>
          </cell>
          <cell r="AJ24">
            <v>0</v>
          </cell>
          <cell r="AK24">
            <v>0</v>
          </cell>
          <cell r="AL24">
            <v>0</v>
          </cell>
          <cell r="AN24">
            <v>0</v>
          </cell>
          <cell r="AO24">
            <v>0</v>
          </cell>
          <cell r="AP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J24">
            <v>0</v>
          </cell>
        </row>
        <row r="25">
          <cell r="F25">
            <v>631901.48199999996</v>
          </cell>
          <cell r="G25">
            <v>74176.39825322562</v>
          </cell>
          <cell r="H25">
            <v>53006.842948948855</v>
          </cell>
          <cell r="I25">
            <v>49432.148717561839</v>
          </cell>
          <cell r="J25">
            <v>38021.395666032615</v>
          </cell>
          <cell r="K25">
            <v>53719.055454199479</v>
          </cell>
          <cell r="L25">
            <v>44247.278439994254</v>
          </cell>
          <cell r="M25">
            <v>23910.626588775845</v>
          </cell>
          <cell r="N25">
            <v>44345.854221680973</v>
          </cell>
          <cell r="O25">
            <v>24511.286194578621</v>
          </cell>
          <cell r="P25">
            <v>35801.151258272235</v>
          </cell>
          <cell r="Q25">
            <v>37611.397373700849</v>
          </cell>
          <cell r="R25">
            <v>22327.71048087145</v>
          </cell>
          <cell r="S25">
            <v>60649.794536391397</v>
          </cell>
          <cell r="T25">
            <v>15270.165014169486</v>
          </cell>
          <cell r="U25">
            <v>21912.308258287037</v>
          </cell>
          <cell r="V25">
            <v>24628.516646010525</v>
          </cell>
          <cell r="W25">
            <v>8329.5519472987671</v>
          </cell>
          <cell r="Z25">
            <v>631901.48199999996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H25">
            <v>0</v>
          </cell>
          <cell r="AI25">
            <v>631901.48199999996</v>
          </cell>
          <cell r="AJ25">
            <v>0</v>
          </cell>
          <cell r="AK25">
            <v>0</v>
          </cell>
          <cell r="AL25">
            <v>0</v>
          </cell>
          <cell r="AN25">
            <v>0</v>
          </cell>
          <cell r="AO25">
            <v>0</v>
          </cell>
          <cell r="AP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J25">
            <v>0</v>
          </cell>
        </row>
        <row r="26">
          <cell r="F26">
            <v>4217292.2550008427</v>
          </cell>
          <cell r="G26">
            <v>334159.05461911811</v>
          </cell>
          <cell r="H26">
            <v>168993.05818052765</v>
          </cell>
          <cell r="I26">
            <v>163515.75166200195</v>
          </cell>
          <cell r="J26">
            <v>284936.43913730304</v>
          </cell>
          <cell r="K26">
            <v>311645.23396091152</v>
          </cell>
          <cell r="L26">
            <v>277622.76539673319</v>
          </cell>
          <cell r="M26">
            <v>31583.828138862067</v>
          </cell>
          <cell r="N26">
            <v>230405.03821376318</v>
          </cell>
          <cell r="O26">
            <v>106584.32696615459</v>
          </cell>
          <cell r="P26">
            <v>242495.27445580324</v>
          </cell>
          <cell r="Q26">
            <v>333578.02514004568</v>
          </cell>
          <cell r="R26">
            <v>145857.79513856547</v>
          </cell>
          <cell r="S26">
            <v>575233.75226204656</v>
          </cell>
          <cell r="T26">
            <v>184630.89484666917</v>
          </cell>
          <cell r="U26">
            <v>311143.57385933184</v>
          </cell>
          <cell r="V26">
            <v>166722.5393119863</v>
          </cell>
          <cell r="W26">
            <v>36564.603590702747</v>
          </cell>
          <cell r="Z26">
            <v>3905671.9548805263</v>
          </cell>
          <cell r="AA26">
            <v>40812.606999999996</v>
          </cell>
          <cell r="AB26">
            <v>-534.56899999999996</v>
          </cell>
          <cell r="AC26">
            <v>9034.86</v>
          </cell>
          <cell r="AD26">
            <v>19617.712</v>
          </cell>
          <cell r="AH26">
            <v>68930.61</v>
          </cell>
          <cell r="AI26">
            <v>3974602.5648805276</v>
          </cell>
          <cell r="AJ26">
            <v>42923.393042632073</v>
          </cell>
          <cell r="AK26">
            <v>48486.048117687809</v>
          </cell>
          <cell r="AL26">
            <v>80169.635960000043</v>
          </cell>
          <cell r="AN26">
            <v>171579.07712031974</v>
          </cell>
          <cell r="AO26">
            <v>122368.02699999954</v>
          </cell>
          <cell r="AP26">
            <v>-855.83600000000001</v>
          </cell>
          <cell r="AS26">
            <v>121512.19099999953</v>
          </cell>
          <cell r="AT26">
            <v>4073.5810000000001</v>
          </cell>
          <cell r="AU26">
            <v>-2019.8980000000001</v>
          </cell>
          <cell r="AV26">
            <v>61520.635999999999</v>
          </cell>
          <cell r="BA26">
            <v>63574.319000000003</v>
          </cell>
          <cell r="BB26">
            <v>0</v>
          </cell>
          <cell r="BC26">
            <v>-16026.047999999999</v>
          </cell>
          <cell r="BD26">
            <v>0</v>
          </cell>
          <cell r="BE26">
            <v>0</v>
          </cell>
          <cell r="BF26">
            <v>-97949.848999999987</v>
          </cell>
          <cell r="BG26">
            <v>0</v>
          </cell>
          <cell r="BJ26">
            <v>-113975.897</v>
          </cell>
        </row>
        <row r="27">
          <cell r="F27">
            <v>4217292.2550008446</v>
          </cell>
          <cell r="G27">
            <v>334159.05461911816</v>
          </cell>
          <cell r="H27">
            <v>168993.05818052765</v>
          </cell>
          <cell r="I27">
            <v>163515.75166200197</v>
          </cell>
          <cell r="J27">
            <v>284936.43913730298</v>
          </cell>
          <cell r="K27">
            <v>311645.23396091152</v>
          </cell>
          <cell r="L27">
            <v>277622.76539673319</v>
          </cell>
          <cell r="M27">
            <v>31583.828138862063</v>
          </cell>
          <cell r="N27">
            <v>230405.03821376318</v>
          </cell>
          <cell r="O27">
            <v>106584.32696615461</v>
          </cell>
          <cell r="P27">
            <v>242495.27445580327</v>
          </cell>
          <cell r="Q27">
            <v>333578.02514004568</v>
          </cell>
          <cell r="R27">
            <v>145857.79513856547</v>
          </cell>
          <cell r="S27">
            <v>575233.75226204644</v>
          </cell>
          <cell r="T27">
            <v>184630.89484666917</v>
          </cell>
          <cell r="U27">
            <v>311143.5738593319</v>
          </cell>
          <cell r="V27">
            <v>166722.5393119863</v>
          </cell>
          <cell r="W27">
            <v>36564.60359070274</v>
          </cell>
          <cell r="Z27">
            <v>3905671.9548805263</v>
          </cell>
          <cell r="AA27">
            <v>40812.606999999996</v>
          </cell>
          <cell r="AB27">
            <v>-534.56899999999996</v>
          </cell>
          <cell r="AC27">
            <v>9034.86</v>
          </cell>
          <cell r="AD27">
            <v>19617.712</v>
          </cell>
          <cell r="AH27">
            <v>68930.609999999986</v>
          </cell>
          <cell r="AI27">
            <v>3974602.5648805262</v>
          </cell>
          <cell r="AJ27">
            <v>42923.393042632073</v>
          </cell>
          <cell r="AK27">
            <v>48486.048117687809</v>
          </cell>
          <cell r="AL27">
            <v>80169.635960000043</v>
          </cell>
          <cell r="AN27">
            <v>171579.07712031994</v>
          </cell>
          <cell r="AO27">
            <v>122368.02699999954</v>
          </cell>
          <cell r="AP27">
            <v>-855.83600000000001</v>
          </cell>
          <cell r="AS27">
            <v>121512.19099999954</v>
          </cell>
          <cell r="AT27">
            <v>4073.5810000000001</v>
          </cell>
          <cell r="AU27">
            <v>-2019.8980000000001</v>
          </cell>
          <cell r="AV27">
            <v>61520.635999999999</v>
          </cell>
          <cell r="BA27">
            <v>63574.318999999996</v>
          </cell>
          <cell r="BB27">
            <v>0</v>
          </cell>
          <cell r="BC27">
            <v>-16026.047999999999</v>
          </cell>
          <cell r="BD27">
            <v>0</v>
          </cell>
          <cell r="BE27">
            <v>0</v>
          </cell>
          <cell r="BF27">
            <v>-97949.848999999987</v>
          </cell>
          <cell r="BG27">
            <v>0</v>
          </cell>
          <cell r="BJ27">
            <v>-113975.89699999998</v>
          </cell>
        </row>
        <row r="28"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N28">
            <v>0</v>
          </cell>
          <cell r="AO28">
            <v>0</v>
          </cell>
          <cell r="AP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J28">
            <v>0</v>
          </cell>
        </row>
        <row r="31">
          <cell r="G31">
            <v>40606</v>
          </cell>
          <cell r="H31">
            <v>30156</v>
          </cell>
          <cell r="I31">
            <v>28609</v>
          </cell>
          <cell r="J31">
            <v>20743</v>
          </cell>
          <cell r="K31">
            <v>28126.5</v>
          </cell>
          <cell r="L31">
            <v>23976</v>
          </cell>
          <cell r="M31">
            <v>14268</v>
          </cell>
          <cell r="N31">
            <v>24315</v>
          </cell>
          <cell r="O31">
            <v>14568</v>
          </cell>
          <cell r="P31">
            <v>20168.5</v>
          </cell>
          <cell r="Q31">
            <v>20795</v>
          </cell>
          <cell r="R31">
            <v>11917</v>
          </cell>
          <cell r="S31">
            <v>32637</v>
          </cell>
          <cell r="T31">
            <v>7601</v>
          </cell>
          <cell r="U31">
            <v>10731</v>
          </cell>
          <cell r="V31">
            <v>14195.5</v>
          </cell>
          <cell r="W31">
            <v>3716.5</v>
          </cell>
          <cell r="X31">
            <v>0</v>
          </cell>
          <cell r="Y31">
            <v>0</v>
          </cell>
          <cell r="Z31">
            <v>347129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H31">
            <v>0</v>
          </cell>
          <cell r="AI31">
            <v>347129</v>
          </cell>
          <cell r="AJ31">
            <v>25913</v>
          </cell>
          <cell r="AK31">
            <v>26574</v>
          </cell>
          <cell r="AL31">
            <v>46828</v>
          </cell>
          <cell r="AN31">
            <v>99315</v>
          </cell>
          <cell r="AO31">
            <v>9787.4410000000007</v>
          </cell>
          <cell r="AP31">
            <v>0</v>
          </cell>
          <cell r="AS31">
            <v>9787.4410000000007</v>
          </cell>
          <cell r="AT31">
            <v>0</v>
          </cell>
          <cell r="AU31">
            <v>0</v>
          </cell>
          <cell r="AV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J31">
            <v>0</v>
          </cell>
        </row>
        <row r="32">
          <cell r="F32">
            <v>47042769.752000004</v>
          </cell>
          <cell r="G32">
            <v>4123294.6359999999</v>
          </cell>
          <cell r="H32">
            <v>2946527.9569999999</v>
          </cell>
          <cell r="I32">
            <v>2747818.9619999998</v>
          </cell>
          <cell r="J32">
            <v>2113521.5580000002</v>
          </cell>
          <cell r="K32">
            <v>2986118.2050000001</v>
          </cell>
          <cell r="L32">
            <v>2459604</v>
          </cell>
          <cell r="M32">
            <v>1329136.5</v>
          </cell>
          <cell r="N32">
            <v>2465083.6</v>
          </cell>
          <cell r="O32">
            <v>1362525.78</v>
          </cell>
          <cell r="P32">
            <v>1990103.3</v>
          </cell>
          <cell r="Q32">
            <v>2090730.7</v>
          </cell>
          <cell r="R32">
            <v>1241145.8500000001</v>
          </cell>
          <cell r="S32">
            <v>3371381.9810000001</v>
          </cell>
          <cell r="T32">
            <v>848833.2</v>
          </cell>
          <cell r="U32">
            <v>1218054.6000000001</v>
          </cell>
          <cell r="V32">
            <v>1369042.35</v>
          </cell>
          <cell r="W32">
            <v>463020.55200000003</v>
          </cell>
          <cell r="X32">
            <v>0</v>
          </cell>
          <cell r="Y32">
            <v>0</v>
          </cell>
          <cell r="Z32">
            <v>35125943.731000006</v>
          </cell>
          <cell r="AA32">
            <v>50000</v>
          </cell>
          <cell r="AB32">
            <v>0</v>
          </cell>
          <cell r="AC32">
            <v>12500</v>
          </cell>
          <cell r="AD32">
            <v>28340</v>
          </cell>
          <cell r="AH32">
            <v>90840</v>
          </cell>
          <cell r="AI32">
            <v>35216783.731000006</v>
          </cell>
          <cell r="AJ32">
            <v>748562</v>
          </cell>
          <cell r="AK32">
            <v>369830</v>
          </cell>
          <cell r="AL32">
            <v>857386</v>
          </cell>
          <cell r="AN32">
            <v>1975778</v>
          </cell>
          <cell r="AO32">
            <v>9774820.8849999998</v>
          </cell>
          <cell r="AP32">
            <v>0</v>
          </cell>
          <cell r="AS32">
            <v>9774820.8849999998</v>
          </cell>
          <cell r="AT32">
            <v>5512.5</v>
          </cell>
          <cell r="AU32">
            <v>6650</v>
          </cell>
          <cell r="AV32">
            <v>61520.635999999999</v>
          </cell>
          <cell r="BA32">
            <v>73683.135999999999</v>
          </cell>
          <cell r="BB32">
            <v>0</v>
          </cell>
          <cell r="BC32">
            <v>1704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J32">
            <v>1704</v>
          </cell>
        </row>
        <row r="33">
          <cell r="F33">
            <v>40704493.382999994</v>
          </cell>
          <cell r="G33">
            <v>3580982.6850000001</v>
          </cell>
          <cell r="H33">
            <v>2615398.5390000003</v>
          </cell>
          <cell r="I33">
            <v>2445815.2390000001</v>
          </cell>
          <cell r="J33">
            <v>1721785.7250000001</v>
          </cell>
          <cell r="K33">
            <v>2524498.5470000003</v>
          </cell>
          <cell r="L33">
            <v>2046456.2570000002</v>
          </cell>
          <cell r="M33">
            <v>1216035.1579999998</v>
          </cell>
          <cell r="N33">
            <v>2107167.4279999998</v>
          </cell>
          <cell r="O33">
            <v>1182328.702</v>
          </cell>
          <cell r="P33">
            <v>1634372.1040000001</v>
          </cell>
          <cell r="Q33">
            <v>1649537.682</v>
          </cell>
          <cell r="R33">
            <v>1025448.6739999999</v>
          </cell>
          <cell r="S33">
            <v>2640853.3989999997</v>
          </cell>
          <cell r="T33">
            <v>625416.42299999995</v>
          </cell>
          <cell r="U33">
            <v>856018.85199999996</v>
          </cell>
          <cell r="V33">
            <v>1125154.602</v>
          </cell>
          <cell r="W33">
            <v>396853.114</v>
          </cell>
          <cell r="X33">
            <v>0</v>
          </cell>
          <cell r="Y33">
            <v>0</v>
          </cell>
          <cell r="Z33">
            <v>29394123.129999995</v>
          </cell>
          <cell r="AA33">
            <v>9187.393</v>
          </cell>
          <cell r="AB33">
            <v>0</v>
          </cell>
          <cell r="AC33">
            <v>3465.14</v>
          </cell>
          <cell r="AD33">
            <v>8722.2880000000005</v>
          </cell>
          <cell r="AH33">
            <v>21374.821</v>
          </cell>
          <cell r="AI33">
            <v>29415497.950999994</v>
          </cell>
          <cell r="AJ33">
            <v>687116.79799999995</v>
          </cell>
          <cell r="AK33">
            <v>313051.95500000002</v>
          </cell>
          <cell r="AL33">
            <v>758819.53099999996</v>
          </cell>
          <cell r="AN33">
            <v>1758988.284</v>
          </cell>
          <cell r="AO33">
            <v>9519898.3310000002</v>
          </cell>
          <cell r="AP33">
            <v>0</v>
          </cell>
          <cell r="AS33">
            <v>9519898.3310000002</v>
          </cell>
          <cell r="AT33">
            <v>1438.9190000000001</v>
          </cell>
          <cell r="AU33">
            <v>8669.898000000001</v>
          </cell>
          <cell r="AV33">
            <v>0</v>
          </cell>
          <cell r="BA33">
            <v>10108.817000000001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J33">
            <v>0</v>
          </cell>
        </row>
        <row r="34">
          <cell r="F34">
            <v>6338276.3690000102</v>
          </cell>
          <cell r="G34">
            <v>542311.95099999988</v>
          </cell>
          <cell r="H34">
            <v>331129.4179999996</v>
          </cell>
          <cell r="I34">
            <v>302003.72299999977</v>
          </cell>
          <cell r="J34">
            <v>391735.8330000001</v>
          </cell>
          <cell r="K34">
            <v>461619.65799999982</v>
          </cell>
          <cell r="L34">
            <v>413147.74299999978</v>
          </cell>
          <cell r="M34">
            <v>113101.34200000018</v>
          </cell>
          <cell r="N34">
            <v>357916.17200000025</v>
          </cell>
          <cell r="O34">
            <v>180197.07799999998</v>
          </cell>
          <cell r="P34">
            <v>355731.196</v>
          </cell>
          <cell r="Q34">
            <v>441193.01799999992</v>
          </cell>
          <cell r="R34">
            <v>215697.17600000021</v>
          </cell>
          <cell r="S34">
            <v>730528.5820000004</v>
          </cell>
          <cell r="T34">
            <v>223416.777</v>
          </cell>
          <cell r="U34">
            <v>362035.74800000014</v>
          </cell>
          <cell r="V34">
            <v>243887.74800000014</v>
          </cell>
          <cell r="W34">
            <v>66167.438000000024</v>
          </cell>
          <cell r="X34">
            <v>0</v>
          </cell>
          <cell r="Y34">
            <v>0</v>
          </cell>
          <cell r="Z34">
            <v>5731820.601000011</v>
          </cell>
          <cell r="AA34">
            <v>40812.607000000004</v>
          </cell>
          <cell r="AB34">
            <v>0</v>
          </cell>
          <cell r="AC34">
            <v>9034.86</v>
          </cell>
          <cell r="AD34">
            <v>19617.712</v>
          </cell>
          <cell r="AH34">
            <v>69465.179000000004</v>
          </cell>
          <cell r="AI34">
            <v>5801285.7800000124</v>
          </cell>
          <cell r="AJ34">
            <v>61445.202000000048</v>
          </cell>
          <cell r="AK34">
            <v>56778.044999999984</v>
          </cell>
          <cell r="AL34">
            <v>98566.469000000041</v>
          </cell>
          <cell r="AN34">
            <v>216789.71600000001</v>
          </cell>
          <cell r="AO34">
            <v>254922.55399999954</v>
          </cell>
          <cell r="AP34">
            <v>0</v>
          </cell>
          <cell r="AS34">
            <v>254922.55399999954</v>
          </cell>
          <cell r="AT34">
            <v>4073.5810000000001</v>
          </cell>
          <cell r="AU34">
            <v>-2019.898000000001</v>
          </cell>
          <cell r="AV34">
            <v>61520.635999999999</v>
          </cell>
          <cell r="BA34">
            <v>63574.318999999996</v>
          </cell>
          <cell r="BB34">
            <v>0</v>
          </cell>
          <cell r="BC34">
            <v>1704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J34">
            <v>1704</v>
          </cell>
        </row>
        <row r="35">
          <cell r="F35">
            <v>2120984.1139991535</v>
          </cell>
          <cell r="G35">
            <v>208152.89638088166</v>
          </cell>
          <cell r="H35">
            <v>162136.35981947195</v>
          </cell>
          <cell r="I35">
            <v>138487.97133799773</v>
          </cell>
          <cell r="J35">
            <v>106799.39386269706</v>
          </cell>
          <cell r="K35">
            <v>149974.42403908819</v>
          </cell>
          <cell r="L35">
            <v>135524.97760326669</v>
          </cell>
          <cell r="M35">
            <v>81517.513861138126</v>
          </cell>
          <cell r="N35">
            <v>127511.13378623698</v>
          </cell>
          <cell r="O35">
            <v>73612.751033845314</v>
          </cell>
          <cell r="P35">
            <v>113235.92154419674</v>
          </cell>
          <cell r="Q35">
            <v>107614.9928599542</v>
          </cell>
          <cell r="R35">
            <v>69839.380861434707</v>
          </cell>
          <cell r="S35">
            <v>155294.82973795396</v>
          </cell>
          <cell r="T35">
            <v>38785.882153330771</v>
          </cell>
          <cell r="U35">
            <v>50892.174140668219</v>
          </cell>
          <cell r="V35">
            <v>77165.208688013823</v>
          </cell>
          <cell r="W35">
            <v>29602.834409297273</v>
          </cell>
          <cell r="X35">
            <v>0</v>
          </cell>
          <cell r="Y35">
            <v>0</v>
          </cell>
          <cell r="Z35">
            <v>1826148.6461194735</v>
          </cell>
          <cell r="AA35">
            <v>0</v>
          </cell>
          <cell r="AB35">
            <v>534.56899999999996</v>
          </cell>
          <cell r="AC35">
            <v>0</v>
          </cell>
          <cell r="AD35">
            <v>0</v>
          </cell>
          <cell r="AH35">
            <v>534.56899999999996</v>
          </cell>
          <cell r="AI35">
            <v>1826683.2151194734</v>
          </cell>
          <cell r="AJ35">
            <v>18521.808957367946</v>
          </cell>
          <cell r="AK35">
            <v>8291.9968823122035</v>
          </cell>
          <cell r="AL35">
            <v>18396.833039999998</v>
          </cell>
          <cell r="AN35">
            <v>45210.638879680148</v>
          </cell>
          <cell r="AO35">
            <v>132554.527</v>
          </cell>
          <cell r="AP35">
            <v>855.83600000000001</v>
          </cell>
          <cell r="AS35">
            <v>133410.36300000001</v>
          </cell>
          <cell r="AT35">
            <v>0</v>
          </cell>
          <cell r="AU35">
            <v>0</v>
          </cell>
          <cell r="AV35">
            <v>0</v>
          </cell>
          <cell r="BA35">
            <v>0</v>
          </cell>
          <cell r="BB35">
            <v>0</v>
          </cell>
          <cell r="BC35">
            <v>17730.047999999999</v>
          </cell>
          <cell r="BD35">
            <v>0</v>
          </cell>
          <cell r="BE35">
            <v>0</v>
          </cell>
          <cell r="BF35">
            <v>97949.848999999987</v>
          </cell>
          <cell r="BG35">
            <v>0</v>
          </cell>
          <cell r="BJ35">
            <v>115679.89699999998</v>
          </cell>
        </row>
        <row r="36">
          <cell r="F36">
            <v>4217292.2550008567</v>
          </cell>
          <cell r="G36">
            <v>334159.05461911822</v>
          </cell>
          <cell r="H36">
            <v>168993.05818052765</v>
          </cell>
          <cell r="I36">
            <v>163515.75166200203</v>
          </cell>
          <cell r="J36">
            <v>284936.43913730304</v>
          </cell>
          <cell r="K36">
            <v>311645.23396091163</v>
          </cell>
          <cell r="L36">
            <v>277622.76539673307</v>
          </cell>
          <cell r="M36">
            <v>31583.828138862053</v>
          </cell>
          <cell r="N36">
            <v>230405.03821376327</v>
          </cell>
          <cell r="O36">
            <v>106584.32696615467</v>
          </cell>
          <cell r="P36">
            <v>242495.27445580327</v>
          </cell>
          <cell r="Q36">
            <v>333578.02514004573</v>
          </cell>
          <cell r="R36">
            <v>145857.7951385655</v>
          </cell>
          <cell r="S36">
            <v>575233.75226204644</v>
          </cell>
          <cell r="T36">
            <v>184630.89484666922</v>
          </cell>
          <cell r="U36">
            <v>311143.5738593319</v>
          </cell>
          <cell r="V36">
            <v>166722.5393119863</v>
          </cell>
          <cell r="W36">
            <v>36564.603590702754</v>
          </cell>
          <cell r="X36">
            <v>0</v>
          </cell>
          <cell r="Y36">
            <v>0</v>
          </cell>
          <cell r="Z36">
            <v>3905671.9548805375</v>
          </cell>
          <cell r="AA36">
            <v>40812.607000000004</v>
          </cell>
          <cell r="AB36">
            <v>-534.56899999999996</v>
          </cell>
          <cell r="AC36">
            <v>9034.86</v>
          </cell>
          <cell r="AD36">
            <v>19617.712</v>
          </cell>
          <cell r="AH36">
            <v>68930.61</v>
          </cell>
          <cell r="AI36">
            <v>3974602.5648805387</v>
          </cell>
          <cell r="AJ36">
            <v>42923.393042632102</v>
          </cell>
          <cell r="AK36">
            <v>48486.04811768778</v>
          </cell>
          <cell r="AL36">
            <v>80169.635960000043</v>
          </cell>
          <cell r="AN36">
            <v>171579.07712031988</v>
          </cell>
          <cell r="AO36">
            <v>122368.02699999954</v>
          </cell>
          <cell r="AP36">
            <v>-855.83600000000001</v>
          </cell>
          <cell r="AS36">
            <v>121512.19099999953</v>
          </cell>
          <cell r="AT36">
            <v>4073.5810000000001</v>
          </cell>
          <cell r="AU36">
            <v>-2019.898000000001</v>
          </cell>
          <cell r="AV36">
            <v>61520.635999999999</v>
          </cell>
          <cell r="BA36">
            <v>63574.318999999996</v>
          </cell>
          <cell r="BB36">
            <v>0</v>
          </cell>
          <cell r="BC36">
            <v>-16026.047999999999</v>
          </cell>
          <cell r="BD36">
            <v>0</v>
          </cell>
          <cell r="BE36">
            <v>0</v>
          </cell>
          <cell r="BF36">
            <v>-97949.848999999987</v>
          </cell>
          <cell r="BG36">
            <v>0</v>
          </cell>
          <cell r="BJ36">
            <v>-113975.89699999998</v>
          </cell>
        </row>
        <row r="38">
          <cell r="Z38">
            <v>0</v>
          </cell>
          <cell r="AH38">
            <v>0</v>
          </cell>
          <cell r="AI38">
            <v>0</v>
          </cell>
          <cell r="AJ38">
            <v>-15938</v>
          </cell>
          <cell r="AK38">
            <v>-16110</v>
          </cell>
          <cell r="AL38">
            <v>-28828</v>
          </cell>
          <cell r="AN38">
            <v>-60876</v>
          </cell>
          <cell r="AS38">
            <v>0</v>
          </cell>
          <cell r="BA38">
            <v>0</v>
          </cell>
          <cell r="BJ38">
            <v>0</v>
          </cell>
        </row>
        <row r="39">
          <cell r="F39">
            <v>-1298936</v>
          </cell>
          <cell r="Z39">
            <v>0</v>
          </cell>
          <cell r="AH39">
            <v>0</v>
          </cell>
          <cell r="AI39">
            <v>0</v>
          </cell>
          <cell r="AJ39">
            <v>-466472</v>
          </cell>
          <cell r="AK39">
            <v>-257974</v>
          </cell>
          <cell r="AL39">
            <v>-574490</v>
          </cell>
          <cell r="AN39">
            <v>-1298936</v>
          </cell>
          <cell r="AS39">
            <v>0</v>
          </cell>
          <cell r="BA39">
            <v>0</v>
          </cell>
          <cell r="BJ39">
            <v>0</v>
          </cell>
        </row>
        <row r="40">
          <cell r="F40">
            <v>-1298935.9999999998</v>
          </cell>
          <cell r="K40">
            <v>-123813.379</v>
          </cell>
          <cell r="L40">
            <v>-76423.282000000007</v>
          </cell>
          <cell r="M40">
            <v>-845.67700000000002</v>
          </cell>
          <cell r="N40">
            <v>-3556.5479999999998</v>
          </cell>
          <cell r="O40">
            <v>-398.42899999999997</v>
          </cell>
          <cell r="P40">
            <v>1431.9390000000001</v>
          </cell>
          <cell r="Z40">
            <v>-203605.37600000002</v>
          </cell>
          <cell r="AH40">
            <v>0</v>
          </cell>
          <cell r="AI40">
            <v>-203605.37600000002</v>
          </cell>
          <cell r="AJ40">
            <v>-423715.87300000002</v>
          </cell>
          <cell r="AK40">
            <v>-204472.12400000001</v>
          </cell>
          <cell r="AL40">
            <v>-467142.62699999998</v>
          </cell>
          <cell r="AN40">
            <v>-1095330.6239999998</v>
          </cell>
          <cell r="AS40">
            <v>0</v>
          </cell>
          <cell r="BA40">
            <v>0</v>
          </cell>
          <cell r="BJ40">
            <v>0</v>
          </cell>
        </row>
        <row r="41"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123813.379</v>
          </cell>
          <cell r="L41">
            <v>76423.282000000007</v>
          </cell>
          <cell r="M41">
            <v>845.67700000000002</v>
          </cell>
          <cell r="N41">
            <v>3556.5479999999998</v>
          </cell>
          <cell r="O41">
            <v>398.42899999999997</v>
          </cell>
          <cell r="P41">
            <v>-1431.9390000000001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203605.37600000002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H41">
            <v>0</v>
          </cell>
          <cell r="AI41">
            <v>203605.37600000002</v>
          </cell>
          <cell r="AJ41">
            <v>-42756.126999999979</v>
          </cell>
          <cell r="AK41">
            <v>-53501.875999999989</v>
          </cell>
          <cell r="AL41">
            <v>-107347.37300000002</v>
          </cell>
          <cell r="AN41">
            <v>-203605.37600000016</v>
          </cell>
          <cell r="AO41">
            <v>0</v>
          </cell>
          <cell r="AP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J41">
            <v>0</v>
          </cell>
        </row>
        <row r="42">
          <cell r="F42">
            <v>0</v>
          </cell>
          <cell r="Z42">
            <v>0</v>
          </cell>
          <cell r="AH42">
            <v>0</v>
          </cell>
          <cell r="AI42">
            <v>0</v>
          </cell>
          <cell r="AN42">
            <v>0</v>
          </cell>
          <cell r="AS42">
            <v>0</v>
          </cell>
          <cell r="BA42">
            <v>0</v>
          </cell>
          <cell r="BJ42">
            <v>0</v>
          </cell>
        </row>
        <row r="43"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123813.379</v>
          </cell>
          <cell r="L43">
            <v>76423.282000000007</v>
          </cell>
          <cell r="M43">
            <v>845.67700000000002</v>
          </cell>
          <cell r="N43">
            <v>3556.5479999999998</v>
          </cell>
          <cell r="O43">
            <v>398.42899999999997</v>
          </cell>
          <cell r="P43">
            <v>-1431.9390000000001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203605.37600000002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H43">
            <v>0</v>
          </cell>
          <cell r="AI43">
            <v>203605.37600000002</v>
          </cell>
          <cell r="AJ43">
            <v>-42756.126999999979</v>
          </cell>
          <cell r="AK43">
            <v>-53501.875999999989</v>
          </cell>
          <cell r="AL43">
            <v>-107347.37300000002</v>
          </cell>
          <cell r="AN43">
            <v>-203605.37600000016</v>
          </cell>
          <cell r="AO43">
            <v>0</v>
          </cell>
          <cell r="AP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J43">
            <v>0</v>
          </cell>
        </row>
        <row r="45">
          <cell r="G45">
            <v>40606</v>
          </cell>
          <cell r="H45">
            <v>30156</v>
          </cell>
          <cell r="I45">
            <v>28609</v>
          </cell>
          <cell r="J45">
            <v>20743</v>
          </cell>
          <cell r="K45">
            <v>28126.5</v>
          </cell>
          <cell r="L45">
            <v>23976</v>
          </cell>
          <cell r="M45">
            <v>14268</v>
          </cell>
          <cell r="N45">
            <v>24315</v>
          </cell>
          <cell r="O45">
            <v>14568</v>
          </cell>
          <cell r="P45">
            <v>20168.5</v>
          </cell>
          <cell r="Q45">
            <v>20795</v>
          </cell>
          <cell r="R45">
            <v>11917</v>
          </cell>
          <cell r="S45">
            <v>32637</v>
          </cell>
          <cell r="T45">
            <v>7601</v>
          </cell>
          <cell r="U45">
            <v>10731</v>
          </cell>
          <cell r="V45">
            <v>14195.5</v>
          </cell>
          <cell r="W45">
            <v>3716.5</v>
          </cell>
          <cell r="X45">
            <v>0</v>
          </cell>
          <cell r="Y45">
            <v>0</v>
          </cell>
          <cell r="Z45">
            <v>347129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H45">
            <v>0</v>
          </cell>
          <cell r="AI45">
            <v>347129</v>
          </cell>
          <cell r="AJ45">
            <v>9975</v>
          </cell>
          <cell r="AK45">
            <v>10464</v>
          </cell>
          <cell r="AL45">
            <v>18000</v>
          </cell>
          <cell r="AN45">
            <v>38439</v>
          </cell>
          <cell r="AO45">
            <v>9787.4410000000007</v>
          </cell>
          <cell r="AP45">
            <v>0</v>
          </cell>
          <cell r="AS45">
            <v>9787.4410000000007</v>
          </cell>
          <cell r="AT45">
            <v>0</v>
          </cell>
          <cell r="AU45">
            <v>0</v>
          </cell>
          <cell r="AV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J45">
            <v>0</v>
          </cell>
        </row>
        <row r="46">
          <cell r="F46">
            <v>45743833.752000004</v>
          </cell>
          <cell r="G46">
            <v>4123294.6359999999</v>
          </cell>
          <cell r="H46">
            <v>2946527.9569999999</v>
          </cell>
          <cell r="I46">
            <v>2747818.9619999998</v>
          </cell>
          <cell r="J46">
            <v>2113521.5580000002</v>
          </cell>
          <cell r="K46">
            <v>2986118.2050000001</v>
          </cell>
          <cell r="L46">
            <v>2459604</v>
          </cell>
          <cell r="M46">
            <v>1329136.5</v>
          </cell>
          <cell r="N46">
            <v>2465083.6</v>
          </cell>
          <cell r="O46">
            <v>1362525.78</v>
          </cell>
          <cell r="P46">
            <v>1990103.3</v>
          </cell>
          <cell r="Q46">
            <v>2090730.7</v>
          </cell>
          <cell r="R46">
            <v>1241145.8500000001</v>
          </cell>
          <cell r="S46">
            <v>3371381.9810000001</v>
          </cell>
          <cell r="T46">
            <v>848833.2</v>
          </cell>
          <cell r="U46">
            <v>1218054.6000000001</v>
          </cell>
          <cell r="V46">
            <v>1369042.35</v>
          </cell>
          <cell r="W46">
            <v>463020.55200000003</v>
          </cell>
          <cell r="X46">
            <v>0</v>
          </cell>
          <cell r="Y46">
            <v>0</v>
          </cell>
          <cell r="Z46">
            <v>35125943.731000006</v>
          </cell>
          <cell r="AA46">
            <v>50000</v>
          </cell>
          <cell r="AB46">
            <v>0</v>
          </cell>
          <cell r="AC46">
            <v>12500</v>
          </cell>
          <cell r="AD46">
            <v>28340</v>
          </cell>
          <cell r="AH46">
            <v>90840</v>
          </cell>
          <cell r="AI46">
            <v>35216783.731000006</v>
          </cell>
          <cell r="AJ46">
            <v>282090</v>
          </cell>
          <cell r="AK46">
            <v>111856</v>
          </cell>
          <cell r="AL46">
            <v>282896</v>
          </cell>
          <cell r="AN46">
            <v>676842</v>
          </cell>
          <cell r="AO46">
            <v>9774820.8849999998</v>
          </cell>
          <cell r="AP46">
            <v>0</v>
          </cell>
          <cell r="AS46">
            <v>9774820.8849999998</v>
          </cell>
          <cell r="AT46">
            <v>5512.5</v>
          </cell>
          <cell r="AU46">
            <v>6650</v>
          </cell>
          <cell r="AV46">
            <v>61520.635999999999</v>
          </cell>
          <cell r="BA46">
            <v>73683.135999999999</v>
          </cell>
          <cell r="BB46">
            <v>0</v>
          </cell>
          <cell r="BC46">
            <v>1704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J46">
            <v>1704</v>
          </cell>
        </row>
        <row r="47">
          <cell r="F47">
            <v>39405557.382999994</v>
          </cell>
          <cell r="G47">
            <v>3580982.6850000001</v>
          </cell>
          <cell r="H47">
            <v>2615398.5390000003</v>
          </cell>
          <cell r="I47">
            <v>2445815.2390000001</v>
          </cell>
          <cell r="J47">
            <v>1721785.7250000001</v>
          </cell>
          <cell r="K47">
            <v>2400685.1680000001</v>
          </cell>
          <cell r="L47">
            <v>1970032.9750000001</v>
          </cell>
          <cell r="M47">
            <v>1215189.4809999999</v>
          </cell>
          <cell r="N47">
            <v>2103610.88</v>
          </cell>
          <cell r="O47">
            <v>1181930.273</v>
          </cell>
          <cell r="P47">
            <v>1635804.0430000001</v>
          </cell>
          <cell r="Q47">
            <v>1649537.682</v>
          </cell>
          <cell r="R47">
            <v>1025448.6739999999</v>
          </cell>
          <cell r="S47">
            <v>2640853.3989999997</v>
          </cell>
          <cell r="T47">
            <v>625416.42299999995</v>
          </cell>
          <cell r="U47">
            <v>856018.85199999996</v>
          </cell>
          <cell r="V47">
            <v>1125154.602</v>
          </cell>
          <cell r="W47">
            <v>396853.114</v>
          </cell>
          <cell r="X47">
            <v>0</v>
          </cell>
          <cell r="Y47">
            <v>0</v>
          </cell>
          <cell r="Z47">
            <v>29190517.753999993</v>
          </cell>
          <cell r="AA47">
            <v>9187.393</v>
          </cell>
          <cell r="AB47">
            <v>0</v>
          </cell>
          <cell r="AC47">
            <v>3465.14</v>
          </cell>
          <cell r="AD47">
            <v>8722.2880000000005</v>
          </cell>
          <cell r="AH47">
            <v>21374.821</v>
          </cell>
          <cell r="AI47">
            <v>29211892.574999992</v>
          </cell>
          <cell r="AJ47">
            <v>263400.92499999993</v>
          </cell>
          <cell r="AK47">
            <v>108579.83100000001</v>
          </cell>
          <cell r="AL47">
            <v>291676.90399999998</v>
          </cell>
          <cell r="AN47">
            <v>663657.65999999992</v>
          </cell>
          <cell r="AO47">
            <v>9519898.3310000002</v>
          </cell>
          <cell r="AP47">
            <v>0</v>
          </cell>
          <cell r="AS47">
            <v>9519898.3310000002</v>
          </cell>
          <cell r="AT47">
            <v>1438.9190000000001</v>
          </cell>
          <cell r="AU47">
            <v>8669.898000000001</v>
          </cell>
          <cell r="AV47">
            <v>0</v>
          </cell>
          <cell r="BA47">
            <v>10108.817000000001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J47">
            <v>0</v>
          </cell>
        </row>
        <row r="48">
          <cell r="F48">
            <v>6338276.3690000102</v>
          </cell>
          <cell r="G48">
            <v>542311.95099999988</v>
          </cell>
          <cell r="H48">
            <v>331129.4179999996</v>
          </cell>
          <cell r="I48">
            <v>302003.72299999977</v>
          </cell>
          <cell r="J48">
            <v>391735.8330000001</v>
          </cell>
          <cell r="K48">
            <v>585433.03700000001</v>
          </cell>
          <cell r="L48">
            <v>489571.02499999991</v>
          </cell>
          <cell r="M48">
            <v>113947.01900000009</v>
          </cell>
          <cell r="N48">
            <v>361472.7200000002</v>
          </cell>
          <cell r="O48">
            <v>180595.50699999998</v>
          </cell>
          <cell r="P48">
            <v>354299.25699999998</v>
          </cell>
          <cell r="Q48">
            <v>441193.01799999992</v>
          </cell>
          <cell r="R48">
            <v>215697.17600000021</v>
          </cell>
          <cell r="S48">
            <v>730528.5820000004</v>
          </cell>
          <cell r="T48">
            <v>223416.777</v>
          </cell>
          <cell r="U48">
            <v>362035.74800000014</v>
          </cell>
          <cell r="V48">
            <v>243887.74800000014</v>
          </cell>
          <cell r="W48">
            <v>66167.438000000024</v>
          </cell>
          <cell r="X48">
            <v>0</v>
          </cell>
          <cell r="Y48">
            <v>0</v>
          </cell>
          <cell r="Z48">
            <v>5935425.977000013</v>
          </cell>
          <cell r="AA48">
            <v>40812.607000000004</v>
          </cell>
          <cell r="AB48">
            <v>0</v>
          </cell>
          <cell r="AC48">
            <v>9034.86</v>
          </cell>
          <cell r="AD48">
            <v>19617.712</v>
          </cell>
          <cell r="AH48">
            <v>69465.179000000004</v>
          </cell>
          <cell r="AI48">
            <v>6004891.1560000144</v>
          </cell>
          <cell r="AJ48">
            <v>18689.07500000007</v>
          </cell>
          <cell r="AK48">
            <v>3276.1689999999944</v>
          </cell>
          <cell r="AL48">
            <v>-8780.9039999999804</v>
          </cell>
          <cell r="AN48">
            <v>13184.340000000084</v>
          </cell>
          <cell r="AO48">
            <v>254922.55399999954</v>
          </cell>
          <cell r="AP48">
            <v>0</v>
          </cell>
          <cell r="AS48">
            <v>254922.55399999954</v>
          </cell>
          <cell r="AT48">
            <v>4073.5810000000001</v>
          </cell>
          <cell r="AU48">
            <v>-2019.898000000001</v>
          </cell>
          <cell r="AV48">
            <v>61520.635999999999</v>
          </cell>
          <cell r="BA48">
            <v>63574.318999999996</v>
          </cell>
          <cell r="BB48">
            <v>0</v>
          </cell>
          <cell r="BC48">
            <v>1704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J48">
            <v>1704</v>
          </cell>
        </row>
        <row r="49">
          <cell r="F49">
            <v>2120984.1139991535</v>
          </cell>
          <cell r="G49">
            <v>208152.89638088166</v>
          </cell>
          <cell r="H49">
            <v>162136.35981947195</v>
          </cell>
          <cell r="I49">
            <v>138487.97133799773</v>
          </cell>
          <cell r="J49">
            <v>106799.39386269706</v>
          </cell>
          <cell r="K49">
            <v>149974.42403908819</v>
          </cell>
          <cell r="L49">
            <v>135524.97760326669</v>
          </cell>
          <cell r="M49">
            <v>81517.513861138126</v>
          </cell>
          <cell r="N49">
            <v>127511.13378623698</v>
          </cell>
          <cell r="O49">
            <v>73612.751033845314</v>
          </cell>
          <cell r="P49">
            <v>113235.92154419674</v>
          </cell>
          <cell r="Q49">
            <v>107614.9928599542</v>
          </cell>
          <cell r="R49">
            <v>69839.380861434707</v>
          </cell>
          <cell r="S49">
            <v>155294.82973795396</v>
          </cell>
          <cell r="T49">
            <v>38785.882153330771</v>
          </cell>
          <cell r="U49">
            <v>50892.174140668219</v>
          </cell>
          <cell r="V49">
            <v>77165.208688013823</v>
          </cell>
          <cell r="W49">
            <v>29602.834409297273</v>
          </cell>
          <cell r="X49">
            <v>0</v>
          </cell>
          <cell r="Y49">
            <v>0</v>
          </cell>
          <cell r="Z49">
            <v>1826148.6461194735</v>
          </cell>
          <cell r="AA49">
            <v>0</v>
          </cell>
          <cell r="AB49">
            <v>534.56899999999996</v>
          </cell>
          <cell r="AC49">
            <v>0</v>
          </cell>
          <cell r="AD49">
            <v>0</v>
          </cell>
          <cell r="AH49">
            <v>534.56899999999996</v>
          </cell>
          <cell r="AI49">
            <v>1826683.2151194734</v>
          </cell>
          <cell r="AJ49">
            <v>18521.808957367946</v>
          </cell>
          <cell r="AK49">
            <v>8291.9968823122035</v>
          </cell>
          <cell r="AL49">
            <v>18396.833039999998</v>
          </cell>
          <cell r="AN49">
            <v>45210.638879680148</v>
          </cell>
          <cell r="AO49">
            <v>132554.527</v>
          </cell>
          <cell r="AP49">
            <v>855.83600000000001</v>
          </cell>
          <cell r="AS49">
            <v>133410.36300000001</v>
          </cell>
          <cell r="AT49">
            <v>0</v>
          </cell>
          <cell r="AU49">
            <v>0</v>
          </cell>
          <cell r="AV49">
            <v>0</v>
          </cell>
          <cell r="BA49">
            <v>0</v>
          </cell>
          <cell r="BB49">
            <v>0</v>
          </cell>
          <cell r="BC49">
            <v>17730.047999999999</v>
          </cell>
          <cell r="BD49">
            <v>0</v>
          </cell>
          <cell r="BE49">
            <v>0</v>
          </cell>
          <cell r="BF49">
            <v>97949.848999999987</v>
          </cell>
          <cell r="BG49">
            <v>0</v>
          </cell>
          <cell r="BJ49">
            <v>115679.89699999998</v>
          </cell>
        </row>
        <row r="50">
          <cell r="F50">
            <v>4217292.2550008567</v>
          </cell>
          <cell r="G50">
            <v>334159.05461911822</v>
          </cell>
          <cell r="H50">
            <v>168993.05818052765</v>
          </cell>
          <cell r="I50">
            <v>163515.75166200203</v>
          </cell>
          <cell r="J50">
            <v>284936.43913730304</v>
          </cell>
          <cell r="K50">
            <v>435458.61296091182</v>
          </cell>
          <cell r="L50">
            <v>354046.04739673319</v>
          </cell>
          <cell r="M50">
            <v>32429.505138861961</v>
          </cell>
          <cell r="N50">
            <v>233961.58621376322</v>
          </cell>
          <cell r="O50">
            <v>106982.75596615467</v>
          </cell>
          <cell r="P50">
            <v>241063.33545580326</v>
          </cell>
          <cell r="Q50">
            <v>333578.02514004573</v>
          </cell>
          <cell r="R50">
            <v>145857.7951385655</v>
          </cell>
          <cell r="S50">
            <v>575233.75226204644</v>
          </cell>
          <cell r="T50">
            <v>184630.89484666922</v>
          </cell>
          <cell r="U50">
            <v>311143.5738593319</v>
          </cell>
          <cell r="V50">
            <v>166722.5393119863</v>
          </cell>
          <cell r="W50">
            <v>36564.603590702754</v>
          </cell>
          <cell r="X50">
            <v>0</v>
          </cell>
          <cell r="Y50">
            <v>0</v>
          </cell>
          <cell r="Z50">
            <v>4109277.3308805395</v>
          </cell>
          <cell r="AA50">
            <v>40812.607000000004</v>
          </cell>
          <cell r="AB50">
            <v>-534.56899999999996</v>
          </cell>
          <cell r="AC50">
            <v>9034.86</v>
          </cell>
          <cell r="AD50">
            <v>19617.712</v>
          </cell>
          <cell r="AH50">
            <v>68930.61</v>
          </cell>
          <cell r="AI50">
            <v>4178207.9408805408</v>
          </cell>
          <cell r="AJ50">
            <v>167.26604263212357</v>
          </cell>
          <cell r="AK50">
            <v>-5015.8278823122091</v>
          </cell>
          <cell r="AL50">
            <v>-27177.737039999978</v>
          </cell>
          <cell r="AN50">
            <v>-32026.298879680064</v>
          </cell>
          <cell r="AO50">
            <v>122368.02699999954</v>
          </cell>
          <cell r="AP50">
            <v>-855.83600000000001</v>
          </cell>
          <cell r="AS50">
            <v>121512.19099999953</v>
          </cell>
          <cell r="AT50">
            <v>4073.5810000000001</v>
          </cell>
          <cell r="AU50">
            <v>-2019.898000000001</v>
          </cell>
          <cell r="AV50">
            <v>61520.635999999999</v>
          </cell>
          <cell r="BA50">
            <v>63574.318999999996</v>
          </cell>
          <cell r="BB50">
            <v>0</v>
          </cell>
          <cell r="BC50">
            <v>-16026.047999999999</v>
          </cell>
          <cell r="BD50">
            <v>0</v>
          </cell>
          <cell r="BE50">
            <v>0</v>
          </cell>
          <cell r="BF50">
            <v>-97949.848999999987</v>
          </cell>
          <cell r="BG50">
            <v>0</v>
          </cell>
          <cell r="BJ50">
            <v>-113975.89699999998</v>
          </cell>
        </row>
        <row r="53">
          <cell r="AA53">
            <v>119694</v>
          </cell>
        </row>
        <row r="54">
          <cell r="AA54">
            <v>117030</v>
          </cell>
        </row>
        <row r="55">
          <cell r="AA55">
            <v>10000</v>
          </cell>
        </row>
        <row r="56">
          <cell r="AA56">
            <v>55200</v>
          </cell>
        </row>
      </sheetData>
      <sheetData sheetId="12"/>
      <sheetData sheetId="13">
        <row r="6">
          <cell r="F6" t="str">
            <v>합계</v>
          </cell>
        </row>
      </sheetData>
      <sheetData sheetId="14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손익검증"/>
      <sheetName val="A1피벗"/>
      <sheetName val="A1raw"/>
      <sheetName val="월별"/>
      <sheetName val="1월"/>
      <sheetName val="2월"/>
      <sheetName val="2월누계"/>
      <sheetName val="3월"/>
      <sheetName val="3월누계"/>
      <sheetName val="4월"/>
      <sheetName val="4월누계"/>
      <sheetName val="5월"/>
      <sheetName val="5월누계"/>
      <sheetName val="6월"/>
      <sheetName val="6월누계"/>
      <sheetName val="7월"/>
      <sheetName val="7월누계"/>
      <sheetName val="8월"/>
      <sheetName val="8월누계"/>
      <sheetName val="9월"/>
      <sheetName val="9월누계"/>
      <sheetName val="10월"/>
      <sheetName val="10월누계"/>
      <sheetName val="11월"/>
      <sheetName val="11월누계"/>
      <sheetName val="12월"/>
      <sheetName val="12월누계"/>
      <sheetName val="하반기"/>
      <sheetName val="물량"/>
      <sheetName val="매출액"/>
      <sheetName val="매출원가"/>
      <sheetName val="노무비"/>
      <sheetName val="경비"/>
      <sheetName val="운반비"/>
      <sheetName val="영업공통비"/>
      <sheetName val="부문공통비"/>
      <sheetName val="본사공통비"/>
      <sheetName val="감가상각비_제조"/>
      <sheetName val="감가상각비_판매"/>
      <sheetName val="매출이익"/>
      <sheetName val="EBITDA1"/>
      <sheetName val="EBITDA2"/>
      <sheetName val="영업이익"/>
      <sheetName val="2023년_항목별손익실적_한성포함"/>
    </sheetNames>
    <sheetDataSet>
      <sheetData sheetId="0"/>
      <sheetData sheetId="1"/>
      <sheetData sheetId="2"/>
      <sheetData sheetId="3"/>
      <sheetData sheetId="4">
        <row r="6">
          <cell r="G6" t="str">
            <v>안양</v>
          </cell>
        </row>
      </sheetData>
      <sheetData sheetId="5">
        <row r="6">
          <cell r="G6" t="str">
            <v>안양</v>
          </cell>
        </row>
      </sheetData>
      <sheetData sheetId="6"/>
      <sheetData sheetId="7">
        <row r="6">
          <cell r="G6" t="str">
            <v>안양</v>
          </cell>
        </row>
      </sheetData>
      <sheetData sheetId="8"/>
      <sheetData sheetId="9">
        <row r="6">
          <cell r="F6" t="str">
            <v>합계</v>
          </cell>
        </row>
      </sheetData>
      <sheetData sheetId="10"/>
      <sheetData sheetId="11">
        <row r="6">
          <cell r="F6" t="str">
            <v>합계</v>
          </cell>
          <cell r="G6" t="str">
            <v>안양</v>
          </cell>
          <cell r="H6" t="str">
            <v>인천</v>
          </cell>
          <cell r="I6" t="str">
            <v>파주</v>
          </cell>
          <cell r="J6" t="str">
            <v>김포</v>
          </cell>
          <cell r="K6" t="str">
            <v>부산</v>
          </cell>
          <cell r="L6" t="str">
            <v>서부산</v>
          </cell>
          <cell r="M6" t="str">
            <v>김해</v>
          </cell>
          <cell r="N6" t="str">
            <v>정관</v>
          </cell>
          <cell r="O6" t="str">
            <v>양산</v>
          </cell>
          <cell r="P6" t="str">
            <v>창원</v>
          </cell>
          <cell r="Q6" t="str">
            <v>대구</v>
          </cell>
          <cell r="R6" t="str">
            <v>울산</v>
          </cell>
          <cell r="S6" t="str">
            <v>아산</v>
          </cell>
          <cell r="T6" t="str">
            <v>원주</v>
          </cell>
          <cell r="U6" t="str">
            <v>군산</v>
          </cell>
          <cell r="V6" t="str">
            <v>전주</v>
          </cell>
          <cell r="W6" t="str">
            <v>제주</v>
          </cell>
          <cell r="X6"/>
          <cell r="Y6"/>
          <cell r="Z6" t="str">
            <v>레미콘직영 계</v>
          </cell>
          <cell r="AA6" t="str">
            <v>속초임대</v>
          </cell>
          <cell r="AB6" t="str">
            <v>양양임대</v>
          </cell>
          <cell r="AC6" t="str">
            <v>강릉임대</v>
          </cell>
          <cell r="AD6" t="str">
            <v>포항임대</v>
          </cell>
          <cell r="AE6" t="str">
            <v>포항</v>
          </cell>
          <cell r="AF6"/>
          <cell r="AG6"/>
          <cell r="AH6" t="str">
            <v>레미콘임대 계</v>
          </cell>
          <cell r="AI6" t="str">
            <v>레미콘 총계</v>
          </cell>
          <cell r="AJ6" t="str">
            <v>부산골재</v>
          </cell>
          <cell r="AK6" t="str">
            <v>서부산골재</v>
          </cell>
          <cell r="AL6" t="str">
            <v>부산크라샤</v>
          </cell>
          <cell r="AM6"/>
          <cell r="AN6" t="str">
            <v>골재 계</v>
          </cell>
          <cell r="AO6" t="str">
            <v>건자재영업</v>
          </cell>
          <cell r="AP6" t="str">
            <v>부산시그마</v>
          </cell>
          <cell r="AQ6"/>
          <cell r="AR6"/>
          <cell r="AS6" t="str">
            <v>기타사업 계</v>
          </cell>
          <cell r="AT6" t="str">
            <v>주유소임대</v>
          </cell>
          <cell r="AU6" t="str">
            <v>부동산임대</v>
          </cell>
          <cell r="AV6" t="str">
            <v>경포임대</v>
          </cell>
          <cell r="AW6" t="str">
            <v>기타임대</v>
          </cell>
          <cell r="AX6" t="str">
            <v>한스타워</v>
          </cell>
          <cell r="AY6"/>
          <cell r="AZ6"/>
          <cell r="BA6" t="str">
            <v>임대 계</v>
          </cell>
          <cell r="BB6" t="str">
            <v>공통</v>
          </cell>
          <cell r="BC6" t="str">
            <v>M기타영업</v>
          </cell>
          <cell r="BD6" t="str">
            <v>opc소급</v>
          </cell>
          <cell r="BE6" t="str">
            <v>대손</v>
          </cell>
          <cell r="BF6" t="str">
            <v>미운영 공장</v>
          </cell>
          <cell r="BG6" t="str">
            <v>M본사_회계팀</v>
          </cell>
          <cell r="BH6"/>
          <cell r="BI6"/>
          <cell r="BJ6" t="str">
            <v>기타 계</v>
          </cell>
          <cell r="BK6"/>
        </row>
        <row r="7">
          <cell r="F7"/>
          <cell r="G7">
            <v>50291</v>
          </cell>
          <cell r="H7">
            <v>47894</v>
          </cell>
          <cell r="I7">
            <v>31208</v>
          </cell>
          <cell r="J7">
            <v>21652</v>
          </cell>
          <cell r="K7">
            <v>24945</v>
          </cell>
          <cell r="L7">
            <v>20256</v>
          </cell>
          <cell r="M7">
            <v>14873</v>
          </cell>
          <cell r="N7">
            <v>18999</v>
          </cell>
          <cell r="O7">
            <v>14522</v>
          </cell>
          <cell r="P7">
            <v>19665</v>
          </cell>
          <cell r="Q7">
            <v>22446.5</v>
          </cell>
          <cell r="R7">
            <v>9938</v>
          </cell>
          <cell r="S7">
            <v>28419</v>
          </cell>
          <cell r="T7">
            <v>6128.5</v>
          </cell>
          <cell r="U7">
            <v>12420.5</v>
          </cell>
          <cell r="V7">
            <v>11748.5</v>
          </cell>
          <cell r="W7">
            <v>8995.5</v>
          </cell>
          <cell r="X7"/>
          <cell r="Y7"/>
          <cell r="Z7">
            <v>364401.5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/>
          <cell r="AG7"/>
          <cell r="AH7">
            <v>0</v>
          </cell>
          <cell r="AI7">
            <v>364401.5</v>
          </cell>
          <cell r="AJ7">
            <v>31026</v>
          </cell>
          <cell r="AK7">
            <v>36532</v>
          </cell>
          <cell r="AL7">
            <v>0</v>
          </cell>
          <cell r="AM7"/>
          <cell r="AN7">
            <v>67558</v>
          </cell>
          <cell r="AO7">
            <v>7344.996000000001</v>
          </cell>
          <cell r="AP7">
            <v>0</v>
          </cell>
          <cell r="AQ7"/>
          <cell r="AR7"/>
          <cell r="AS7"/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/>
          <cell r="AZ7"/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1</v>
          </cell>
          <cell r="BG7">
            <v>0</v>
          </cell>
          <cell r="BH7"/>
          <cell r="BI7"/>
          <cell r="BJ7">
            <v>1</v>
          </cell>
          <cell r="BK7"/>
          <cell r="BL7"/>
          <cell r="BM7"/>
          <cell r="BN7"/>
          <cell r="BO7"/>
        </row>
        <row r="8">
          <cell r="F8">
            <v>46501414.478000008</v>
          </cell>
          <cell r="G8">
            <v>4775681.909</v>
          </cell>
          <cell r="H8">
            <v>4757687.4460000005</v>
          </cell>
          <cell r="I8">
            <v>2894034.6750000003</v>
          </cell>
          <cell r="J8">
            <v>1977135.2409999999</v>
          </cell>
          <cell r="K8">
            <v>2521297.4</v>
          </cell>
          <cell r="L8">
            <v>2129667.9</v>
          </cell>
          <cell r="M8">
            <v>1507013.8</v>
          </cell>
          <cell r="N8">
            <v>1919670.8</v>
          </cell>
          <cell r="O8">
            <v>1391904.5</v>
          </cell>
          <cell r="P8">
            <v>1950585.7</v>
          </cell>
          <cell r="Q8">
            <v>2128375.25</v>
          </cell>
          <cell r="R8">
            <v>927629.8</v>
          </cell>
          <cell r="S8">
            <v>2791073.85</v>
          </cell>
          <cell r="T8">
            <v>639652.80000000005</v>
          </cell>
          <cell r="U8">
            <v>1246377.5</v>
          </cell>
          <cell r="V8">
            <v>1190572.588</v>
          </cell>
          <cell r="W8">
            <v>1073361.3910000001</v>
          </cell>
          <cell r="X8"/>
          <cell r="Y8"/>
          <cell r="Z8">
            <v>35821722.550000004</v>
          </cell>
          <cell r="AA8">
            <v>50000</v>
          </cell>
          <cell r="AB8">
            <v>0</v>
          </cell>
          <cell r="AC8">
            <v>0</v>
          </cell>
          <cell r="AD8">
            <v>28340</v>
          </cell>
          <cell r="AE8">
            <v>0</v>
          </cell>
          <cell r="AF8"/>
          <cell r="AG8"/>
          <cell r="AH8">
            <v>78340</v>
          </cell>
          <cell r="AI8">
            <v>35900062.550000004</v>
          </cell>
          <cell r="AJ8">
            <v>895312</v>
          </cell>
          <cell r="AK8">
            <v>425134</v>
          </cell>
          <cell r="AL8">
            <v>0</v>
          </cell>
          <cell r="AM8"/>
          <cell r="AN8">
            <v>1320446</v>
          </cell>
          <cell r="AO8">
            <v>9029123.5920000002</v>
          </cell>
          <cell r="AP8">
            <v>0</v>
          </cell>
          <cell r="AQ8"/>
          <cell r="AR8"/>
          <cell r="AS8">
            <v>9029123.5920000002</v>
          </cell>
          <cell r="AT8">
            <v>5250</v>
          </cell>
          <cell r="AU8">
            <v>9448</v>
          </cell>
          <cell r="AV8">
            <v>0</v>
          </cell>
          <cell r="AW8">
            <v>80696.236000000004</v>
          </cell>
          <cell r="AX8">
            <v>0</v>
          </cell>
          <cell r="AY8"/>
          <cell r="AZ8"/>
          <cell r="BA8">
            <v>95394.236000000004</v>
          </cell>
          <cell r="BB8">
            <v>-34000</v>
          </cell>
          <cell r="BC8">
            <v>1762.1</v>
          </cell>
          <cell r="BD8">
            <v>0</v>
          </cell>
          <cell r="BE8">
            <v>0</v>
          </cell>
          <cell r="BF8">
            <v>188626</v>
          </cell>
          <cell r="BG8">
            <v>0</v>
          </cell>
          <cell r="BH8"/>
          <cell r="BI8"/>
          <cell r="BJ8">
            <v>156388.1</v>
          </cell>
          <cell r="BK8"/>
          <cell r="BL8"/>
          <cell r="BM8"/>
          <cell r="BN8"/>
          <cell r="BO8"/>
        </row>
        <row r="9">
          <cell r="F9"/>
          <cell r="G9">
            <v>94960.965361595518</v>
          </cell>
          <cell r="H9">
            <v>99337.859564872429</v>
          </cell>
          <cell r="I9">
            <v>92733.74375160216</v>
          </cell>
          <cell r="J9">
            <v>91314.208433401058</v>
          </cell>
          <cell r="K9">
            <v>101074.25937061536</v>
          </cell>
          <cell r="L9">
            <v>105137.63329383887</v>
          </cell>
          <cell r="M9">
            <v>101325.475694211</v>
          </cell>
          <cell r="N9">
            <v>101040.62319069424</v>
          </cell>
          <cell r="O9">
            <v>95847.989257678011</v>
          </cell>
          <cell r="P9">
            <v>99190.729722857868</v>
          </cell>
          <cell r="Q9">
            <v>94819.916245294371</v>
          </cell>
          <cell r="R9">
            <v>93341.698530891532</v>
          </cell>
          <cell r="S9">
            <v>98211.543333685215</v>
          </cell>
          <cell r="T9">
            <v>104373.46822224036</v>
          </cell>
          <cell r="U9">
            <v>100348.41592528482</v>
          </cell>
          <cell r="V9">
            <v>101338.26343788569</v>
          </cell>
          <cell r="W9">
            <v>119322.03779667613</v>
          </cell>
          <cell r="X9"/>
          <cell r="Y9"/>
          <cell r="Z9">
            <v>98302.895432647783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/>
          <cell r="AG9"/>
          <cell r="AH9">
            <v>0</v>
          </cell>
          <cell r="AI9">
            <v>98517.878082280135</v>
          </cell>
          <cell r="AJ9">
            <v>28856.829755688777</v>
          </cell>
          <cell r="AK9">
            <v>11637.304281178145</v>
          </cell>
          <cell r="AL9">
            <v>0</v>
          </cell>
          <cell r="AM9"/>
          <cell r="AN9"/>
          <cell r="AO9">
            <v>1229289.1094835177</v>
          </cell>
          <cell r="AP9">
            <v>0</v>
          </cell>
          <cell r="AQ9"/>
          <cell r="AR9"/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/>
          <cell r="AZ9"/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188626000</v>
          </cell>
          <cell r="BG9">
            <v>0</v>
          </cell>
          <cell r="BH9"/>
          <cell r="BI9"/>
          <cell r="BJ9">
            <v>156388100</v>
          </cell>
          <cell r="BK9"/>
          <cell r="BL9"/>
          <cell r="BM9"/>
          <cell r="BN9"/>
          <cell r="BO9"/>
        </row>
        <row r="10">
          <cell r="F10">
            <v>38120884.77920001</v>
          </cell>
          <cell r="G10">
            <v>3761357.5773399998</v>
          </cell>
          <cell r="H10">
            <v>3819894.0945600001</v>
          </cell>
          <cell r="I10">
            <v>2426132.5609900001</v>
          </cell>
          <cell r="J10">
            <v>1598085.6704599999</v>
          </cell>
          <cell r="K10">
            <v>1944750.9718599999</v>
          </cell>
          <cell r="L10">
            <v>1682246.6032200002</v>
          </cell>
          <cell r="M10">
            <v>1197810.4408900002</v>
          </cell>
          <cell r="N10">
            <v>1538787.1934100001</v>
          </cell>
          <cell r="O10">
            <v>1076403.8200900001</v>
          </cell>
          <cell r="P10">
            <v>1408698.40962</v>
          </cell>
          <cell r="Q10">
            <v>1578953.44832</v>
          </cell>
          <cell r="R10">
            <v>794174.70833000005</v>
          </cell>
          <cell r="S10">
            <v>2097561.2134799999</v>
          </cell>
          <cell r="T10">
            <v>491987.98282999999</v>
          </cell>
          <cell r="U10">
            <v>845760.01514999999</v>
          </cell>
          <cell r="V10">
            <v>904711.27390000003</v>
          </cell>
          <cell r="W10">
            <v>824087.45145000005</v>
          </cell>
          <cell r="X10"/>
          <cell r="Y10"/>
          <cell r="Z10">
            <v>27991403.435900003</v>
          </cell>
          <cell r="AA10">
            <v>329.089</v>
          </cell>
          <cell r="AB10">
            <v>0</v>
          </cell>
          <cell r="AC10">
            <v>0</v>
          </cell>
          <cell r="AD10">
            <v>16625.887999999999</v>
          </cell>
          <cell r="AE10">
            <v>0</v>
          </cell>
          <cell r="AF10"/>
          <cell r="AG10"/>
          <cell r="AH10">
            <v>16954.976999999999</v>
          </cell>
          <cell r="AI10">
            <v>28008358.412900005</v>
          </cell>
          <cell r="AJ10">
            <v>804372.52477999998</v>
          </cell>
          <cell r="AK10">
            <v>294354.94551999995</v>
          </cell>
          <cell r="AL10">
            <v>0</v>
          </cell>
          <cell r="AM10"/>
          <cell r="AN10">
            <v>1098727.4702999999</v>
          </cell>
          <cell r="AO10">
            <v>8861812.523</v>
          </cell>
          <cell r="AP10">
            <v>0</v>
          </cell>
          <cell r="AQ10"/>
          <cell r="AR10"/>
          <cell r="AS10">
            <v>8861812.523</v>
          </cell>
          <cell r="AT10">
            <v>98.394999999999996</v>
          </cell>
          <cell r="AU10">
            <v>164.834</v>
          </cell>
          <cell r="AV10">
            <v>0</v>
          </cell>
          <cell r="AW10">
            <v>0</v>
          </cell>
          <cell r="AX10">
            <v>0</v>
          </cell>
          <cell r="AY10"/>
          <cell r="AZ10"/>
          <cell r="BA10">
            <v>263.22899999999998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151723.144</v>
          </cell>
          <cell r="BG10">
            <v>0</v>
          </cell>
          <cell r="BH10"/>
          <cell r="BI10"/>
          <cell r="BJ10">
            <v>151723.144</v>
          </cell>
          <cell r="BK10"/>
          <cell r="BL10"/>
          <cell r="BM10"/>
          <cell r="BN10"/>
          <cell r="BO10"/>
        </row>
        <row r="11">
          <cell r="F11"/>
          <cell r="G11">
            <v>74791.862904694673</v>
          </cell>
          <cell r="H11">
            <v>79757.257580490244</v>
          </cell>
          <cell r="I11">
            <v>77740.725486734184</v>
          </cell>
          <cell r="J11">
            <v>73807.762352669495</v>
          </cell>
          <cell r="K11">
            <v>77961.554293846464</v>
          </cell>
          <cell r="L11">
            <v>83049.299132109008</v>
          </cell>
          <cell r="M11">
            <v>80535.900012774844</v>
          </cell>
          <cell r="N11">
            <v>80993.062445918215</v>
          </cell>
          <cell r="O11">
            <v>74122.284815452411</v>
          </cell>
          <cell r="P11">
            <v>71634.803438596486</v>
          </cell>
          <cell r="Q11">
            <v>70342.968762167817</v>
          </cell>
          <cell r="R11">
            <v>79912.931005232458</v>
          </cell>
          <cell r="S11">
            <v>73808.410340969058</v>
          </cell>
          <cell r="T11">
            <v>80278.695085257394</v>
          </cell>
          <cell r="U11">
            <v>68093.878277847107</v>
          </cell>
          <cell r="V11">
            <v>77006.534783163821</v>
          </cell>
          <cell r="W11">
            <v>91611.077922294484</v>
          </cell>
          <cell r="X11"/>
          <cell r="Y11"/>
          <cell r="Z11">
            <v>76814.731651488808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/>
          <cell r="AG11"/>
          <cell r="AH11">
            <v>0</v>
          </cell>
          <cell r="AI11">
            <v>76861.259936910254</v>
          </cell>
          <cell r="AJ11">
            <v>25925.756616386254</v>
          </cell>
          <cell r="AK11">
            <v>8057.4549852184364</v>
          </cell>
          <cell r="AL11">
            <v>0</v>
          </cell>
          <cell r="AM11"/>
          <cell r="AN11"/>
          <cell r="AO11">
            <v>1206510.1904752566</v>
          </cell>
          <cell r="AP11">
            <v>0</v>
          </cell>
          <cell r="AQ11"/>
          <cell r="AR11"/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/>
          <cell r="AZ11"/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151723144</v>
          </cell>
          <cell r="BG11">
            <v>0</v>
          </cell>
          <cell r="BH11"/>
          <cell r="BI11"/>
          <cell r="BJ11">
            <v>151723144</v>
          </cell>
          <cell r="BK11"/>
          <cell r="BL11"/>
          <cell r="BM11"/>
          <cell r="BN11"/>
          <cell r="BO11"/>
        </row>
        <row r="12">
          <cell r="F12">
            <v>8380529.6987999976</v>
          </cell>
          <cell r="G12">
            <v>1014324.3316600001</v>
          </cell>
          <cell r="H12">
            <v>937793.35144000035</v>
          </cell>
          <cell r="I12">
            <v>467902.11401000014</v>
          </cell>
          <cell r="J12">
            <v>379049.57053999999</v>
          </cell>
          <cell r="K12">
            <v>576546.42813999997</v>
          </cell>
          <cell r="L12">
            <v>447421.29677999974</v>
          </cell>
          <cell r="M12">
            <v>309203.35910999984</v>
          </cell>
          <cell r="N12">
            <v>380883.60658999998</v>
          </cell>
          <cell r="O12">
            <v>315500.67990999995</v>
          </cell>
          <cell r="P12">
            <v>541887.2903799999</v>
          </cell>
          <cell r="Q12">
            <v>549421.80168000003</v>
          </cell>
          <cell r="R12">
            <v>133455.09166999999</v>
          </cell>
          <cell r="S12">
            <v>693512.63652000017</v>
          </cell>
          <cell r="T12">
            <v>147664.81717000005</v>
          </cell>
          <cell r="U12">
            <v>400617.48485000001</v>
          </cell>
          <cell r="V12">
            <v>285861.31409999996</v>
          </cell>
          <cell r="W12">
            <v>249273.93955000001</v>
          </cell>
          <cell r="X12"/>
          <cell r="Y12"/>
          <cell r="Z12">
            <v>7830319.1140999999</v>
          </cell>
          <cell r="AA12">
            <v>49670.911</v>
          </cell>
          <cell r="AB12">
            <v>0</v>
          </cell>
          <cell r="AC12">
            <v>0</v>
          </cell>
          <cell r="AD12">
            <v>11714.112000000001</v>
          </cell>
          <cell r="AE12">
            <v>0</v>
          </cell>
          <cell r="AF12"/>
          <cell r="AG12"/>
          <cell r="AH12">
            <v>61385.023000000001</v>
          </cell>
          <cell r="AI12">
            <v>7891704.1370999999</v>
          </cell>
          <cell r="AJ12">
            <v>90939.475220000022</v>
          </cell>
          <cell r="AK12">
            <v>130779.05448000005</v>
          </cell>
          <cell r="AL12">
            <v>0</v>
          </cell>
          <cell r="AM12"/>
          <cell r="AN12">
            <v>221718.52970000007</v>
          </cell>
          <cell r="AO12">
            <v>167311.06900000013</v>
          </cell>
          <cell r="AP12">
            <v>0</v>
          </cell>
          <cell r="AQ12"/>
          <cell r="AR12"/>
          <cell r="AS12">
            <v>167311.06900000013</v>
          </cell>
          <cell r="AT12">
            <v>5151.6049999999996</v>
          </cell>
          <cell r="AU12">
            <v>9283.1659999999993</v>
          </cell>
          <cell r="AV12">
            <v>0</v>
          </cell>
          <cell r="AW12">
            <v>80696.236000000004</v>
          </cell>
          <cell r="AX12">
            <v>0</v>
          </cell>
          <cell r="AY12"/>
          <cell r="AZ12"/>
          <cell r="BA12">
            <v>95131.006999999998</v>
          </cell>
          <cell r="BB12">
            <v>-34000</v>
          </cell>
          <cell r="BC12">
            <v>1762.1</v>
          </cell>
          <cell r="BD12">
            <v>0</v>
          </cell>
          <cell r="BE12">
            <v>0</v>
          </cell>
          <cell r="BF12">
            <v>36902.856</v>
          </cell>
          <cell r="BG12">
            <v>0</v>
          </cell>
          <cell r="BH12"/>
          <cell r="BI12"/>
          <cell r="BJ12">
            <v>4664.9559999999983</v>
          </cell>
          <cell r="BK12"/>
          <cell r="BL12"/>
          <cell r="BM12"/>
          <cell r="BN12"/>
          <cell r="BO12"/>
        </row>
        <row r="13">
          <cell r="F13">
            <v>873132.70600000001</v>
          </cell>
          <cell r="G13">
            <v>75046.554000000004</v>
          </cell>
          <cell r="H13">
            <v>71096.959999999992</v>
          </cell>
          <cell r="I13">
            <v>43806.548999999999</v>
          </cell>
          <cell r="J13">
            <v>32067.095999999998</v>
          </cell>
          <cell r="K13">
            <v>60521.240000000005</v>
          </cell>
          <cell r="L13">
            <v>46821.953000000009</v>
          </cell>
          <cell r="M13">
            <v>36651.672999999995</v>
          </cell>
          <cell r="N13">
            <v>50217.986000000004</v>
          </cell>
          <cell r="O13">
            <v>33981.987000000001</v>
          </cell>
          <cell r="P13">
            <v>39722.191999999995</v>
          </cell>
          <cell r="Q13">
            <v>35457.017</v>
          </cell>
          <cell r="R13">
            <v>28374.643</v>
          </cell>
          <cell r="S13">
            <v>42112.68</v>
          </cell>
          <cell r="T13">
            <v>8948.0730000000003</v>
          </cell>
          <cell r="U13">
            <v>10497.368</v>
          </cell>
          <cell r="V13">
            <v>24348.807000000001</v>
          </cell>
          <cell r="W13">
            <v>9318.9160000000011</v>
          </cell>
          <cell r="X13"/>
          <cell r="Y13"/>
          <cell r="Z13">
            <v>648991.69400000002</v>
          </cell>
          <cell r="AA13">
            <v>0</v>
          </cell>
          <cell r="AB13">
            <v>248.00300000000001</v>
          </cell>
          <cell r="AC13">
            <v>0</v>
          </cell>
          <cell r="AD13">
            <v>0</v>
          </cell>
          <cell r="AE13">
            <v>0</v>
          </cell>
          <cell r="AF13"/>
          <cell r="AG13"/>
          <cell r="AH13">
            <v>248.00300000000001</v>
          </cell>
          <cell r="AI13">
            <v>649239.69700000004</v>
          </cell>
          <cell r="AJ13">
            <v>10290.197</v>
          </cell>
          <cell r="AK13">
            <v>0</v>
          </cell>
          <cell r="AL13">
            <v>83953.483999999997</v>
          </cell>
          <cell r="AM13"/>
          <cell r="AN13">
            <v>94243.680999999997</v>
          </cell>
          <cell r="AO13">
            <v>110244.068</v>
          </cell>
          <cell r="AP13">
            <v>0</v>
          </cell>
          <cell r="AQ13"/>
          <cell r="AR13"/>
          <cell r="AS13">
            <v>110244.068</v>
          </cell>
          <cell r="AT13">
            <v>0</v>
          </cell>
          <cell r="AU13">
            <v>0</v>
          </cell>
          <cell r="AV13">
            <v>195.33699999999999</v>
          </cell>
          <cell r="AW13">
            <v>0</v>
          </cell>
          <cell r="AX13">
            <v>15789.128000000001</v>
          </cell>
          <cell r="AY13"/>
          <cell r="AZ13"/>
          <cell r="BA13">
            <v>15984.465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3420.7950000000001</v>
          </cell>
          <cell r="BG13">
            <v>0</v>
          </cell>
          <cell r="BH13"/>
          <cell r="BI13"/>
          <cell r="BJ13">
            <v>3420.7950000000001</v>
          </cell>
          <cell r="BK13"/>
          <cell r="BL13"/>
          <cell r="BM13"/>
          <cell r="BN13"/>
          <cell r="BO13"/>
        </row>
        <row r="14">
          <cell r="F14">
            <v>550504.88699999999</v>
          </cell>
          <cell r="G14">
            <v>46855.713000000003</v>
          </cell>
          <cell r="H14">
            <v>44867.485999999997</v>
          </cell>
          <cell r="I14">
            <v>28844.433000000001</v>
          </cell>
          <cell r="J14">
            <v>21502.642</v>
          </cell>
          <cell r="K14">
            <v>39607.792000000001</v>
          </cell>
          <cell r="L14">
            <v>32629.212000000003</v>
          </cell>
          <cell r="M14">
            <v>25698.35</v>
          </cell>
          <cell r="N14">
            <v>33023.709000000003</v>
          </cell>
          <cell r="O14">
            <v>24840.932000000001</v>
          </cell>
          <cell r="P14">
            <v>26417.063999999998</v>
          </cell>
          <cell r="Q14">
            <v>24691.702999999998</v>
          </cell>
          <cell r="R14">
            <v>17686.723999999998</v>
          </cell>
          <cell r="S14">
            <v>28458.102999999999</v>
          </cell>
          <cell r="T14">
            <v>5498.52</v>
          </cell>
          <cell r="U14">
            <v>6608.0889999999999</v>
          </cell>
          <cell r="V14">
            <v>17441.814999999999</v>
          </cell>
          <cell r="W14">
            <v>5665.509</v>
          </cell>
          <cell r="X14"/>
          <cell r="Y14"/>
          <cell r="Z14">
            <v>430337.79599999997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/>
          <cell r="AG14"/>
          <cell r="AH14">
            <v>0</v>
          </cell>
          <cell r="AI14">
            <v>430337.79599999997</v>
          </cell>
          <cell r="AJ14">
            <v>7160.87</v>
          </cell>
          <cell r="AK14">
            <v>0</v>
          </cell>
          <cell r="AL14">
            <v>30377.444</v>
          </cell>
          <cell r="AM14"/>
          <cell r="AN14">
            <v>37538.313999999998</v>
          </cell>
          <cell r="AO14">
            <v>82628.777000000002</v>
          </cell>
          <cell r="AP14">
            <v>0</v>
          </cell>
          <cell r="AQ14"/>
          <cell r="AR14"/>
          <cell r="AS14">
            <v>82628.777000000002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/>
          <cell r="AZ14"/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/>
          <cell r="BI14"/>
          <cell r="BJ14">
            <v>0</v>
          </cell>
          <cell r="BK14"/>
          <cell r="BL14"/>
          <cell r="BM14"/>
          <cell r="BN14"/>
          <cell r="BO14"/>
        </row>
        <row r="15">
          <cell r="F15">
            <v>322432.81900000008</v>
          </cell>
          <cell r="G15">
            <v>28190.841</v>
          </cell>
          <cell r="H15">
            <v>26229.474000000002</v>
          </cell>
          <cell r="I15">
            <v>14962.116000000002</v>
          </cell>
          <cell r="J15">
            <v>10564.454</v>
          </cell>
          <cell r="K15">
            <v>20913.448</v>
          </cell>
          <cell r="L15">
            <v>14192.741000000002</v>
          </cell>
          <cell r="M15">
            <v>10953.323</v>
          </cell>
          <cell r="N15">
            <v>17194.276999999998</v>
          </cell>
          <cell r="O15">
            <v>9141.0549999999985</v>
          </cell>
          <cell r="P15">
            <v>13305.128000000001</v>
          </cell>
          <cell r="Q15">
            <v>10765.314</v>
          </cell>
          <cell r="R15">
            <v>10687.919000000002</v>
          </cell>
          <cell r="S15">
            <v>13654.577000000001</v>
          </cell>
          <cell r="T15">
            <v>3449.5529999999999</v>
          </cell>
          <cell r="U15">
            <v>3889.279</v>
          </cell>
          <cell r="V15">
            <v>6906.9920000000002</v>
          </cell>
          <cell r="W15">
            <v>3653.4070000000002</v>
          </cell>
          <cell r="X15"/>
          <cell r="Y15"/>
          <cell r="Z15">
            <v>218653.89800000004</v>
          </cell>
          <cell r="AA15">
            <v>0</v>
          </cell>
          <cell r="AB15">
            <v>248.00300000000001</v>
          </cell>
          <cell r="AC15">
            <v>0</v>
          </cell>
          <cell r="AD15">
            <v>0</v>
          </cell>
          <cell r="AE15">
            <v>0</v>
          </cell>
          <cell r="AF15"/>
          <cell r="AG15"/>
          <cell r="AH15">
            <v>248.00300000000001</v>
          </cell>
          <cell r="AI15">
            <v>218901.90100000004</v>
          </cell>
          <cell r="AJ15">
            <v>3129.3269999999998</v>
          </cell>
          <cell r="AK15">
            <v>0</v>
          </cell>
          <cell r="AL15">
            <v>53501.04</v>
          </cell>
          <cell r="AM15"/>
          <cell r="AN15">
            <v>56630.366999999998</v>
          </cell>
          <cell r="AO15">
            <v>27615.291000000001</v>
          </cell>
          <cell r="AP15">
            <v>0</v>
          </cell>
          <cell r="AQ15"/>
          <cell r="AR15"/>
          <cell r="AS15">
            <v>27615.291000000001</v>
          </cell>
          <cell r="AT15">
            <v>0</v>
          </cell>
          <cell r="AU15">
            <v>0</v>
          </cell>
          <cell r="AV15">
            <v>195.33699999999999</v>
          </cell>
          <cell r="AW15">
            <v>0</v>
          </cell>
          <cell r="AX15">
            <v>15789.128000000001</v>
          </cell>
          <cell r="AY15"/>
          <cell r="AZ15"/>
          <cell r="BA15">
            <v>15984.465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3300.7950000000001</v>
          </cell>
          <cell r="BG15">
            <v>0</v>
          </cell>
          <cell r="BH15"/>
          <cell r="BI15"/>
          <cell r="BJ15">
            <v>3300.7950000000001</v>
          </cell>
          <cell r="BK15"/>
          <cell r="BL15"/>
          <cell r="BM15"/>
          <cell r="BN15"/>
          <cell r="BO15"/>
        </row>
        <row r="16">
          <cell r="F16">
            <v>195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/>
          <cell r="Y16"/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/>
          <cell r="AG16"/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75</v>
          </cell>
          <cell r="AM16"/>
          <cell r="AN16">
            <v>75</v>
          </cell>
          <cell r="AO16">
            <v>0</v>
          </cell>
          <cell r="AP16">
            <v>0</v>
          </cell>
          <cell r="AQ16"/>
          <cell r="AR16"/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/>
          <cell r="AZ16"/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120</v>
          </cell>
          <cell r="BG16">
            <v>0</v>
          </cell>
          <cell r="BH16"/>
          <cell r="BI16"/>
          <cell r="BJ16">
            <v>120</v>
          </cell>
          <cell r="BK16"/>
          <cell r="BL16"/>
          <cell r="BM16"/>
          <cell r="BN16"/>
          <cell r="BO16"/>
        </row>
        <row r="17">
          <cell r="F17">
            <v>7507396.9927999973</v>
          </cell>
          <cell r="G17">
            <v>939277.77766000014</v>
          </cell>
          <cell r="H17">
            <v>866696.39144000039</v>
          </cell>
          <cell r="I17">
            <v>424095.56501000014</v>
          </cell>
          <cell r="J17">
            <v>346982.47453999997</v>
          </cell>
          <cell r="K17">
            <v>516025.18813999998</v>
          </cell>
          <cell r="L17">
            <v>400599.34377999976</v>
          </cell>
          <cell r="M17">
            <v>272551.68610999984</v>
          </cell>
          <cell r="N17">
            <v>330665.62058999995</v>
          </cell>
          <cell r="O17">
            <v>281518.69290999993</v>
          </cell>
          <cell r="P17">
            <v>502165.09837999992</v>
          </cell>
          <cell r="Q17">
            <v>513964.78468000004</v>
          </cell>
          <cell r="R17">
            <v>105080.44867</v>
          </cell>
          <cell r="S17">
            <v>651399.95652000012</v>
          </cell>
          <cell r="T17">
            <v>138716.74417000005</v>
          </cell>
          <cell r="U17">
            <v>390120.11684999999</v>
          </cell>
          <cell r="V17">
            <v>261512.50709999996</v>
          </cell>
          <cell r="W17">
            <v>239955.02355000001</v>
          </cell>
          <cell r="X17"/>
          <cell r="Y17"/>
          <cell r="Z17">
            <v>7181327.4200999998</v>
          </cell>
          <cell r="AA17">
            <v>49670.911</v>
          </cell>
          <cell r="AB17">
            <v>-248.00300000000001</v>
          </cell>
          <cell r="AC17">
            <v>0</v>
          </cell>
          <cell r="AD17">
            <v>11714.112000000001</v>
          </cell>
          <cell r="AE17">
            <v>0</v>
          </cell>
          <cell r="AF17"/>
          <cell r="AG17"/>
          <cell r="AH17">
            <v>61137.020000000004</v>
          </cell>
          <cell r="AI17">
            <v>7242464.4401000002</v>
          </cell>
          <cell r="AJ17">
            <v>80649.278220000022</v>
          </cell>
          <cell r="AK17">
            <v>130779.05448000005</v>
          </cell>
          <cell r="AL17">
            <v>-83953.483999999997</v>
          </cell>
          <cell r="AM17"/>
          <cell r="AN17">
            <v>127474.84870000008</v>
          </cell>
          <cell r="AO17">
            <v>57067.001000000135</v>
          </cell>
          <cell r="AP17">
            <v>0</v>
          </cell>
          <cell r="AQ17"/>
          <cell r="AR17"/>
          <cell r="AS17">
            <v>57067.001000000135</v>
          </cell>
          <cell r="AT17">
            <v>5151.6049999999996</v>
          </cell>
          <cell r="AU17">
            <v>9283.1659999999993</v>
          </cell>
          <cell r="AV17">
            <v>-195.33699999999999</v>
          </cell>
          <cell r="AW17">
            <v>80696.236000000004</v>
          </cell>
          <cell r="AX17">
            <v>-15789.128000000001</v>
          </cell>
          <cell r="AY17"/>
          <cell r="AZ17"/>
          <cell r="BA17">
            <v>79146.542000000001</v>
          </cell>
          <cell r="BB17">
            <v>-34000</v>
          </cell>
          <cell r="BC17">
            <v>1762.1</v>
          </cell>
          <cell r="BD17">
            <v>0</v>
          </cell>
          <cell r="BE17">
            <v>0</v>
          </cell>
          <cell r="BF17">
            <v>33482.061000000002</v>
          </cell>
          <cell r="BG17">
            <v>0</v>
          </cell>
          <cell r="BH17"/>
          <cell r="BI17"/>
          <cell r="BJ17">
            <v>1244.1609999999982</v>
          </cell>
          <cell r="BK17"/>
          <cell r="BL17"/>
          <cell r="BM17"/>
          <cell r="BN17"/>
          <cell r="BO17"/>
        </row>
        <row r="18">
          <cell r="F18">
            <v>465786.51979999995</v>
          </cell>
          <cell r="G18">
            <v>30017.340660000002</v>
          </cell>
          <cell r="H18">
            <v>32898.050439999999</v>
          </cell>
          <cell r="I18">
            <v>18556.851009999998</v>
          </cell>
          <cell r="J18">
            <v>16869.757539999999</v>
          </cell>
          <cell r="K18">
            <v>30646.33814</v>
          </cell>
          <cell r="L18">
            <v>33114.066780000001</v>
          </cell>
          <cell r="M18">
            <v>15419.134109999999</v>
          </cell>
          <cell r="N18">
            <v>27034.37959</v>
          </cell>
          <cell r="O18">
            <v>12127.56891</v>
          </cell>
          <cell r="P18">
            <v>31784.12138</v>
          </cell>
          <cell r="Q18">
            <v>13526.319680000001</v>
          </cell>
          <cell r="R18">
            <v>11054.71867</v>
          </cell>
          <cell r="S18">
            <v>33385.902520000003</v>
          </cell>
          <cell r="T18">
            <v>5096.4581699999999</v>
          </cell>
          <cell r="U18">
            <v>9189.6238499999999</v>
          </cell>
          <cell r="V18">
            <v>22966.866099999999</v>
          </cell>
          <cell r="W18">
            <v>8457.9415500000014</v>
          </cell>
          <cell r="X18"/>
          <cell r="Y18"/>
          <cell r="Z18">
            <v>352145.4390999999</v>
          </cell>
          <cell r="AA18">
            <v>5622.5950000000003</v>
          </cell>
          <cell r="AB18">
            <v>353.67200000000003</v>
          </cell>
          <cell r="AC18">
            <v>0</v>
          </cell>
          <cell r="AD18">
            <v>0</v>
          </cell>
          <cell r="AE18">
            <v>0</v>
          </cell>
          <cell r="AF18"/>
          <cell r="AG18"/>
          <cell r="AH18">
            <v>5976.2669999999998</v>
          </cell>
          <cell r="AI18">
            <v>358121.70609999995</v>
          </cell>
          <cell r="AJ18">
            <v>34275.898219999995</v>
          </cell>
          <cell r="AK18">
            <v>11646.60248</v>
          </cell>
          <cell r="AL18">
            <v>2107.44</v>
          </cell>
          <cell r="AM18"/>
          <cell r="AN18">
            <v>48029.940699999999</v>
          </cell>
          <cell r="AO18">
            <v>2800.7159999999999</v>
          </cell>
          <cell r="AP18">
            <v>855.83600000000001</v>
          </cell>
          <cell r="AQ18"/>
          <cell r="AR18"/>
          <cell r="AS18">
            <v>3656.5519999999997</v>
          </cell>
          <cell r="AT18">
            <v>1312.8920000000001</v>
          </cell>
          <cell r="AU18">
            <v>8489.6080000000002</v>
          </cell>
          <cell r="AV18">
            <v>432.17</v>
          </cell>
          <cell r="AW18">
            <v>0</v>
          </cell>
          <cell r="AX18">
            <v>18257.884999999998</v>
          </cell>
          <cell r="AY18"/>
          <cell r="AZ18"/>
          <cell r="BA18">
            <v>28492.555</v>
          </cell>
          <cell r="BB18">
            <v>0</v>
          </cell>
          <cell r="BC18">
            <v>18212.794999999998</v>
          </cell>
          <cell r="BD18">
            <v>0</v>
          </cell>
          <cell r="BE18">
            <v>0</v>
          </cell>
          <cell r="BF18">
            <v>9272.9709999999995</v>
          </cell>
          <cell r="BG18">
            <v>0</v>
          </cell>
          <cell r="BH18"/>
          <cell r="BI18"/>
          <cell r="BJ18">
            <v>27485.765999999996</v>
          </cell>
          <cell r="BK18"/>
          <cell r="BL18"/>
          <cell r="BM18"/>
          <cell r="BN18"/>
          <cell r="BO18"/>
        </row>
        <row r="19">
          <cell r="F19">
            <v>399024.26279999997</v>
          </cell>
          <cell r="G19">
            <v>28287.819660000001</v>
          </cell>
          <cell r="H19">
            <v>31150.666440000001</v>
          </cell>
          <cell r="I19">
            <v>17141.75201</v>
          </cell>
          <cell r="J19">
            <v>15957.864539999999</v>
          </cell>
          <cell r="K19">
            <v>29420.76614</v>
          </cell>
          <cell r="L19">
            <v>31935.761780000001</v>
          </cell>
          <cell r="M19">
            <v>15144.80611</v>
          </cell>
          <cell r="N19">
            <v>25827.222590000001</v>
          </cell>
          <cell r="O19">
            <v>11184.80991</v>
          </cell>
          <cell r="P19">
            <v>31109.847379999999</v>
          </cell>
          <cell r="Q19">
            <v>12865.42468</v>
          </cell>
          <cell r="R19">
            <v>10765.83267</v>
          </cell>
          <cell r="S19">
            <v>32448.195520000001</v>
          </cell>
          <cell r="T19">
            <v>4832.0601699999997</v>
          </cell>
          <cell r="U19">
            <v>9189.6238499999999</v>
          </cell>
          <cell r="V19">
            <v>22297.801100000001</v>
          </cell>
          <cell r="W19">
            <v>8445.8405500000008</v>
          </cell>
          <cell r="X19"/>
          <cell r="Y19"/>
          <cell r="Z19">
            <v>338006.09509999998</v>
          </cell>
          <cell r="AA19">
            <v>5622.5950000000003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/>
          <cell r="AG19"/>
          <cell r="AH19">
            <v>5622.5950000000003</v>
          </cell>
          <cell r="AI19">
            <v>343628.69009999995</v>
          </cell>
          <cell r="AJ19">
            <v>33946.470219999996</v>
          </cell>
          <cell r="AK19">
            <v>11646.60248</v>
          </cell>
          <cell r="AL19">
            <v>0</v>
          </cell>
          <cell r="AM19"/>
          <cell r="AN19">
            <v>45593.072699999997</v>
          </cell>
          <cell r="AO19">
            <v>0</v>
          </cell>
          <cell r="AP19">
            <v>0</v>
          </cell>
          <cell r="AQ19"/>
          <cell r="AR19"/>
          <cell r="AS19">
            <v>0</v>
          </cell>
          <cell r="AT19">
            <v>1312.8920000000001</v>
          </cell>
          <cell r="AU19">
            <v>8489.6080000000002</v>
          </cell>
          <cell r="AV19">
            <v>0</v>
          </cell>
          <cell r="AW19">
            <v>0</v>
          </cell>
          <cell r="AX19">
            <v>0</v>
          </cell>
          <cell r="AY19"/>
          <cell r="AZ19"/>
          <cell r="BA19">
            <v>9802.5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/>
          <cell r="BI19"/>
          <cell r="BJ19">
            <v>0</v>
          </cell>
          <cell r="BK19"/>
          <cell r="BL19"/>
          <cell r="BM19"/>
          <cell r="BN19"/>
          <cell r="BO19"/>
        </row>
        <row r="20">
          <cell r="F20">
            <v>66762.256999999983</v>
          </cell>
          <cell r="G20">
            <v>1729.521</v>
          </cell>
          <cell r="H20">
            <v>1747.384</v>
          </cell>
          <cell r="I20">
            <v>1415.0989999999999</v>
          </cell>
          <cell r="J20">
            <v>911.89300000000003</v>
          </cell>
          <cell r="K20">
            <v>1225.5719999999999</v>
          </cell>
          <cell r="L20">
            <v>1178.3050000000001</v>
          </cell>
          <cell r="M20">
            <v>274.32799999999997</v>
          </cell>
          <cell r="N20">
            <v>1207.1569999999999</v>
          </cell>
          <cell r="O20">
            <v>942.75900000000001</v>
          </cell>
          <cell r="P20">
            <v>674.274</v>
          </cell>
          <cell r="Q20">
            <v>660.89499999999998</v>
          </cell>
          <cell r="R20">
            <v>288.88600000000002</v>
          </cell>
          <cell r="S20">
            <v>937.70699999999999</v>
          </cell>
          <cell r="T20">
            <v>264.39800000000002</v>
          </cell>
          <cell r="U20">
            <v>0</v>
          </cell>
          <cell r="V20">
            <v>669.06500000000005</v>
          </cell>
          <cell r="W20">
            <v>12.101000000000001</v>
          </cell>
          <cell r="X20"/>
          <cell r="Y20"/>
          <cell r="Z20">
            <v>14139.343999999999</v>
          </cell>
          <cell r="AA20">
            <v>0</v>
          </cell>
          <cell r="AB20">
            <v>353.67200000000003</v>
          </cell>
          <cell r="AC20">
            <v>0</v>
          </cell>
          <cell r="AD20">
            <v>0</v>
          </cell>
          <cell r="AE20">
            <v>0</v>
          </cell>
          <cell r="AF20"/>
          <cell r="AG20"/>
          <cell r="AH20">
            <v>353.67200000000003</v>
          </cell>
          <cell r="AI20">
            <v>14493.016</v>
          </cell>
          <cell r="AJ20">
            <v>329.428</v>
          </cell>
          <cell r="AK20">
            <v>0</v>
          </cell>
          <cell r="AL20">
            <v>2107.44</v>
          </cell>
          <cell r="AM20"/>
          <cell r="AN20">
            <v>2436.8679999999999</v>
          </cell>
          <cell r="AO20">
            <v>2800.7159999999999</v>
          </cell>
          <cell r="AP20">
            <v>855.83600000000001</v>
          </cell>
          <cell r="AQ20"/>
          <cell r="AR20"/>
          <cell r="AS20">
            <v>3656.5519999999997</v>
          </cell>
          <cell r="AT20">
            <v>0</v>
          </cell>
          <cell r="AU20">
            <v>0</v>
          </cell>
          <cell r="AV20">
            <v>432.17</v>
          </cell>
          <cell r="AW20">
            <v>0</v>
          </cell>
          <cell r="AX20">
            <v>18257.884999999998</v>
          </cell>
          <cell r="AY20"/>
          <cell r="AZ20"/>
          <cell r="BA20">
            <v>18690.054999999997</v>
          </cell>
          <cell r="BB20">
            <v>0</v>
          </cell>
          <cell r="BC20">
            <v>18212.794999999998</v>
          </cell>
          <cell r="BD20">
            <v>0</v>
          </cell>
          <cell r="BE20">
            <v>0</v>
          </cell>
          <cell r="BF20">
            <v>9272.9709999999995</v>
          </cell>
          <cell r="BG20">
            <v>0</v>
          </cell>
          <cell r="BH20"/>
          <cell r="BI20"/>
          <cell r="BJ20">
            <v>27485.765999999996</v>
          </cell>
          <cell r="BK20"/>
          <cell r="BL20"/>
          <cell r="BM20"/>
          <cell r="BN20"/>
          <cell r="BO20"/>
        </row>
        <row r="21">
          <cell r="F21">
            <v>7041610.4729999974</v>
          </cell>
          <cell r="G21">
            <v>909260.43700000015</v>
          </cell>
          <cell r="H21">
            <v>833798.34100000036</v>
          </cell>
          <cell r="I21">
            <v>405538.71400000015</v>
          </cell>
          <cell r="J21">
            <v>330112.71699999995</v>
          </cell>
          <cell r="K21">
            <v>485378.85</v>
          </cell>
          <cell r="L21">
            <v>367485.27699999977</v>
          </cell>
          <cell r="M21">
            <v>257132.55199999985</v>
          </cell>
          <cell r="N21">
            <v>303631.24099999992</v>
          </cell>
          <cell r="O21">
            <v>269391.12399999995</v>
          </cell>
          <cell r="P21">
            <v>470380.9769999999</v>
          </cell>
          <cell r="Q21">
            <v>500438.46500000003</v>
          </cell>
          <cell r="R21">
            <v>94025.73</v>
          </cell>
          <cell r="S21">
            <v>618014.05400000012</v>
          </cell>
          <cell r="T21">
            <v>133620.28600000005</v>
          </cell>
          <cell r="U21">
            <v>380930.49300000002</v>
          </cell>
          <cell r="V21">
            <v>238545.64099999995</v>
          </cell>
          <cell r="W21">
            <v>231497.08200000002</v>
          </cell>
          <cell r="X21"/>
          <cell r="Y21"/>
          <cell r="Z21">
            <v>6829181.9809999997</v>
          </cell>
          <cell r="AA21">
            <v>44048.315999999999</v>
          </cell>
          <cell r="AB21">
            <v>-601.67500000000007</v>
          </cell>
          <cell r="AC21">
            <v>0</v>
          </cell>
          <cell r="AD21">
            <v>11714.112000000001</v>
          </cell>
          <cell r="AE21">
            <v>0</v>
          </cell>
          <cell r="AF21"/>
          <cell r="AG21"/>
          <cell r="AH21">
            <v>55160.753000000004</v>
          </cell>
          <cell r="AI21">
            <v>6884342.7340000002</v>
          </cell>
          <cell r="AJ21">
            <v>46373.380000000026</v>
          </cell>
          <cell r="AK21">
            <v>119132.45200000005</v>
          </cell>
          <cell r="AL21">
            <v>-86060.923999999999</v>
          </cell>
          <cell r="AM21"/>
          <cell r="AN21">
            <v>79444.908000000083</v>
          </cell>
          <cell r="AO21">
            <v>54266.285000000134</v>
          </cell>
          <cell r="AP21">
            <v>-855.83600000000001</v>
          </cell>
          <cell r="AQ21"/>
          <cell r="AR21"/>
          <cell r="AS21">
            <v>53410.449000000139</v>
          </cell>
          <cell r="AT21">
            <v>3838.7129999999997</v>
          </cell>
          <cell r="AU21">
            <v>793.55799999999908</v>
          </cell>
          <cell r="AV21">
            <v>-627.50700000000006</v>
          </cell>
          <cell r="AW21">
            <v>80696.236000000004</v>
          </cell>
          <cell r="AX21">
            <v>-34047.012999999999</v>
          </cell>
          <cell r="AY21"/>
          <cell r="AZ21"/>
          <cell r="BA21">
            <v>50653.987000000001</v>
          </cell>
          <cell r="BB21">
            <v>-34000</v>
          </cell>
          <cell r="BC21">
            <v>-16450.695</v>
          </cell>
          <cell r="BD21">
            <v>0</v>
          </cell>
          <cell r="BE21">
            <v>0</v>
          </cell>
          <cell r="BF21">
            <v>24209.090000000004</v>
          </cell>
          <cell r="BG21">
            <v>0</v>
          </cell>
          <cell r="BH21"/>
          <cell r="BI21"/>
          <cell r="BJ21">
            <v>-26241.604999999996</v>
          </cell>
          <cell r="BK21"/>
          <cell r="BL21"/>
          <cell r="BM21"/>
          <cell r="BN21"/>
          <cell r="BO21"/>
        </row>
        <row r="22">
          <cell r="F22">
            <v>1023237.8320000002</v>
          </cell>
          <cell r="G22">
            <v>137509.48844649695</v>
          </cell>
          <cell r="H22">
            <v>136991.36151736954</v>
          </cell>
          <cell r="I22">
            <v>83329.927597502799</v>
          </cell>
          <cell r="J22">
            <v>56929.012601758564</v>
          </cell>
          <cell r="K22">
            <v>72804.811486126273</v>
          </cell>
          <cell r="L22">
            <v>61496.144797339017</v>
          </cell>
          <cell r="M22">
            <v>43516.427540833058</v>
          </cell>
          <cell r="N22">
            <v>55432.282883177999</v>
          </cell>
          <cell r="O22">
            <v>40192.539257443743</v>
          </cell>
          <cell r="P22">
            <v>56324.979423702112</v>
          </cell>
          <cell r="Q22">
            <v>61458.81832424325</v>
          </cell>
          <cell r="R22">
            <v>26786.174736035904</v>
          </cell>
          <cell r="S22">
            <v>76588.585272103461</v>
          </cell>
          <cell r="T22">
            <v>17552.42091402911</v>
          </cell>
          <cell r="U22">
            <v>34201.276845462584</v>
          </cell>
          <cell r="V22">
            <v>32669.959692634751</v>
          </cell>
          <cell r="W22">
            <v>29453.620663740978</v>
          </cell>
          <cell r="X22"/>
          <cell r="Y22"/>
          <cell r="Z22">
            <v>1023237.8320000002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/>
          <cell r="AG22"/>
          <cell r="AH22">
            <v>0</v>
          </cell>
          <cell r="AI22">
            <v>1023237.8320000002</v>
          </cell>
          <cell r="AJ22">
            <v>0</v>
          </cell>
          <cell r="AK22">
            <v>0</v>
          </cell>
          <cell r="AL22">
            <v>0</v>
          </cell>
          <cell r="AM22"/>
          <cell r="AN22">
            <v>0</v>
          </cell>
          <cell r="AO22">
            <v>0</v>
          </cell>
          <cell r="AP22">
            <v>0</v>
          </cell>
          <cell r="AQ22"/>
          <cell r="AR22"/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/>
          <cell r="AZ22"/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/>
          <cell r="BI22"/>
          <cell r="BJ22">
            <v>0</v>
          </cell>
          <cell r="BK22"/>
          <cell r="BL22"/>
          <cell r="BM22"/>
          <cell r="BN22"/>
          <cell r="BO22"/>
        </row>
        <row r="23">
          <cell r="F23">
            <v>148008.59100000004</v>
          </cell>
          <cell r="G23">
            <v>20825.639794682127</v>
          </cell>
          <cell r="H23">
            <v>20747.170120219405</v>
          </cell>
          <cell r="I23">
            <v>12620.213163964718</v>
          </cell>
          <cell r="J23">
            <v>8621.8276549871516</v>
          </cell>
          <cell r="K23">
            <v>11202.156654071754</v>
          </cell>
          <cell r="L23">
            <v>9462.1417675471457</v>
          </cell>
          <cell r="M23">
            <v>6695.681623059605</v>
          </cell>
          <cell r="N23">
            <v>8529.1219615136433</v>
          </cell>
          <cell r="O23">
            <v>6184.2495282418568</v>
          </cell>
          <cell r="P23">
            <v>8666.4772583322429</v>
          </cell>
          <cell r="Q23">
            <v>9456.3985070341714</v>
          </cell>
          <cell r="R23">
            <v>4121.4710873002332</v>
          </cell>
          <cell r="S23">
            <v>8394.5043230160973</v>
          </cell>
          <cell r="T23">
            <v>1923.8359439429921</v>
          </cell>
          <cell r="U23">
            <v>3748.6365012735127</v>
          </cell>
          <cell r="V23">
            <v>3580.7962361262717</v>
          </cell>
          <cell r="W23">
            <v>3228.2688746870926</v>
          </cell>
          <cell r="X23"/>
          <cell r="Y23"/>
          <cell r="Z23">
            <v>148008.59100000004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/>
          <cell r="AG23"/>
          <cell r="AH23">
            <v>0</v>
          </cell>
          <cell r="AI23">
            <v>148008.59100000004</v>
          </cell>
          <cell r="AJ23">
            <v>0</v>
          </cell>
          <cell r="AK23">
            <v>0</v>
          </cell>
          <cell r="AL23">
            <v>0</v>
          </cell>
          <cell r="AM23"/>
          <cell r="AN23">
            <v>0</v>
          </cell>
          <cell r="AO23">
            <v>0</v>
          </cell>
          <cell r="AP23">
            <v>0</v>
          </cell>
          <cell r="AQ23"/>
          <cell r="AR23"/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/>
          <cell r="AZ23"/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/>
          <cell r="BI23"/>
          <cell r="BJ23">
            <v>0</v>
          </cell>
          <cell r="BK23"/>
          <cell r="BL23"/>
          <cell r="BM23"/>
          <cell r="BN23"/>
          <cell r="BO23"/>
        </row>
        <row r="24">
          <cell r="F24">
            <v>234073.86700000003</v>
          </cell>
          <cell r="G24">
            <v>31206.269615908583</v>
          </cell>
          <cell r="H24">
            <v>31088.686394355816</v>
          </cell>
          <cell r="I24">
            <v>18910.81275234036</v>
          </cell>
          <cell r="J24">
            <v>12919.414771215323</v>
          </cell>
          <cell r="K24">
            <v>16475.194107466108</v>
          </cell>
          <cell r="L24">
            <v>13916.125894922083</v>
          </cell>
          <cell r="M24">
            <v>9847.4479359833203</v>
          </cell>
          <cell r="N24">
            <v>12543.918481189388</v>
          </cell>
          <cell r="O24">
            <v>9095.276430521666</v>
          </cell>
          <cell r="P24">
            <v>12745.929151692955</v>
          </cell>
          <cell r="Q24">
            <v>13907.67918821346</v>
          </cell>
          <cell r="R24">
            <v>6061.5146054844481</v>
          </cell>
          <cell r="S24">
            <v>18238.02437864837</v>
          </cell>
          <cell r="T24">
            <v>4179.7544555371369</v>
          </cell>
          <cell r="U24">
            <v>8144.3431638323736</v>
          </cell>
          <cell r="V24">
            <v>7779.6909187818446</v>
          </cell>
          <cell r="W24">
            <v>7013.7847539067898</v>
          </cell>
          <cell r="X24"/>
          <cell r="Y24"/>
          <cell r="Z24">
            <v>234073.86700000003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/>
          <cell r="AG24"/>
          <cell r="AH24">
            <v>0</v>
          </cell>
          <cell r="AI24">
            <v>234073.86700000003</v>
          </cell>
          <cell r="AJ24">
            <v>0</v>
          </cell>
          <cell r="AK24">
            <v>0</v>
          </cell>
          <cell r="AL24">
            <v>0</v>
          </cell>
          <cell r="AM24"/>
          <cell r="AN24">
            <v>0</v>
          </cell>
          <cell r="AO24">
            <v>0</v>
          </cell>
          <cell r="AP24">
            <v>0</v>
          </cell>
          <cell r="AQ24"/>
          <cell r="AR24"/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/>
          <cell r="AZ24"/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/>
          <cell r="BI24"/>
          <cell r="BJ24">
            <v>0</v>
          </cell>
          <cell r="BK24"/>
          <cell r="BL24"/>
          <cell r="BM24"/>
          <cell r="BN24"/>
          <cell r="BO24"/>
        </row>
        <row r="25">
          <cell r="F25">
            <v>641155.37400000007</v>
          </cell>
          <cell r="G25">
            <v>85477.579035906223</v>
          </cell>
          <cell r="H25">
            <v>85155.505002794322</v>
          </cell>
          <cell r="I25">
            <v>51798.901681197727</v>
          </cell>
          <cell r="J25">
            <v>35387.770175556092</v>
          </cell>
          <cell r="K25">
            <v>45127.460724588404</v>
          </cell>
          <cell r="L25">
            <v>38117.877134869792</v>
          </cell>
          <cell r="M25">
            <v>26973.297981790136</v>
          </cell>
          <cell r="N25">
            <v>34359.242440474969</v>
          </cell>
          <cell r="O25">
            <v>24913.013298680216</v>
          </cell>
          <cell r="P25">
            <v>34912.573013676913</v>
          </cell>
          <cell r="Q25">
            <v>38094.74062899562</v>
          </cell>
          <cell r="R25">
            <v>16603.189043251223</v>
          </cell>
          <cell r="S25">
            <v>49956.056570438988</v>
          </cell>
          <cell r="T25">
            <v>11448.830514548979</v>
          </cell>
          <cell r="U25">
            <v>22308.297180356698</v>
          </cell>
          <cell r="V25">
            <v>21309.472537726637</v>
          </cell>
          <cell r="W25">
            <v>19211.567035147094</v>
          </cell>
          <cell r="X25"/>
          <cell r="Y25"/>
          <cell r="Z25">
            <v>641155.37400000007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/>
          <cell r="AG25"/>
          <cell r="AH25">
            <v>0</v>
          </cell>
          <cell r="AI25">
            <v>641155.37400000007</v>
          </cell>
          <cell r="AJ25">
            <v>0</v>
          </cell>
          <cell r="AK25">
            <v>0</v>
          </cell>
          <cell r="AL25">
            <v>0</v>
          </cell>
          <cell r="AM25"/>
          <cell r="AN25">
            <v>0</v>
          </cell>
          <cell r="AO25">
            <v>0</v>
          </cell>
          <cell r="AP25">
            <v>0</v>
          </cell>
          <cell r="AQ25"/>
          <cell r="AR25"/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/>
          <cell r="AZ25"/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/>
          <cell r="BI25"/>
          <cell r="BJ25">
            <v>0</v>
          </cell>
          <cell r="BK25"/>
          <cell r="BL25"/>
          <cell r="BM25"/>
          <cell r="BN25"/>
          <cell r="BO25"/>
        </row>
        <row r="26">
          <cell r="F26">
            <v>6018372.640999997</v>
          </cell>
          <cell r="G26">
            <v>771750.94855350326</v>
          </cell>
          <cell r="H26">
            <v>696806.97948263085</v>
          </cell>
          <cell r="I26">
            <v>322208.78640249732</v>
          </cell>
          <cell r="J26">
            <v>273183.70439824136</v>
          </cell>
          <cell r="K26">
            <v>412574.0385138737</v>
          </cell>
          <cell r="L26">
            <v>305989.13220266078</v>
          </cell>
          <cell r="M26">
            <v>213616.12445916678</v>
          </cell>
          <cell r="N26">
            <v>248198.95811682192</v>
          </cell>
          <cell r="O26">
            <v>229198.58474255621</v>
          </cell>
          <cell r="P26">
            <v>414055.99757629778</v>
          </cell>
          <cell r="Q26">
            <v>438979.64667575678</v>
          </cell>
          <cell r="R26">
            <v>67239.555263964096</v>
          </cell>
          <cell r="S26">
            <v>541425.46872789669</v>
          </cell>
          <cell r="T26">
            <v>116067.86508597095</v>
          </cell>
          <cell r="U26">
            <v>346729.21615453745</v>
          </cell>
          <cell r="V26">
            <v>205875.68130736519</v>
          </cell>
          <cell r="W26">
            <v>202043.46133625903</v>
          </cell>
          <cell r="X26"/>
          <cell r="Y26"/>
          <cell r="Z26">
            <v>5805944.1489999993</v>
          </cell>
          <cell r="AA26">
            <v>44048.315999999999</v>
          </cell>
          <cell r="AB26">
            <v>-601.67500000000007</v>
          </cell>
          <cell r="AC26">
            <v>0</v>
          </cell>
          <cell r="AD26">
            <v>11714.112000000001</v>
          </cell>
          <cell r="AE26">
            <v>0</v>
          </cell>
          <cell r="AF26"/>
          <cell r="AG26"/>
          <cell r="AH26">
            <v>55160.753000000004</v>
          </cell>
          <cell r="AI26">
            <v>5861104.9019999998</v>
          </cell>
          <cell r="AJ26">
            <v>46373.380000000026</v>
          </cell>
          <cell r="AK26">
            <v>119132.45200000005</v>
          </cell>
          <cell r="AL26">
            <v>-86060.923999999999</v>
          </cell>
          <cell r="AM26"/>
          <cell r="AN26">
            <v>79444.908000000083</v>
          </cell>
          <cell r="AO26">
            <v>54266.285000000134</v>
          </cell>
          <cell r="AP26">
            <v>-855.83600000000001</v>
          </cell>
          <cell r="AQ26"/>
          <cell r="AR26"/>
          <cell r="AS26">
            <v>53410.449000000139</v>
          </cell>
          <cell r="AT26">
            <v>3838.7129999999997</v>
          </cell>
          <cell r="AU26">
            <v>793.55799999999908</v>
          </cell>
          <cell r="AV26">
            <v>-627.50700000000006</v>
          </cell>
          <cell r="AW26">
            <v>80696.236000000004</v>
          </cell>
          <cell r="AX26">
            <v>-34047.012999999999</v>
          </cell>
          <cell r="AY26"/>
          <cell r="AZ26"/>
          <cell r="BA26">
            <v>50653.987000000001</v>
          </cell>
          <cell r="BB26">
            <v>-34000</v>
          </cell>
          <cell r="BC26">
            <v>-16450.695</v>
          </cell>
          <cell r="BD26">
            <v>0</v>
          </cell>
          <cell r="BE26">
            <v>0</v>
          </cell>
          <cell r="BF26">
            <v>24209.090000000004</v>
          </cell>
          <cell r="BG26">
            <v>0</v>
          </cell>
          <cell r="BH26"/>
          <cell r="BI26"/>
          <cell r="BJ26">
            <v>-26241.604999999996</v>
          </cell>
          <cell r="BK26"/>
          <cell r="BL26"/>
          <cell r="BM26"/>
          <cell r="BN26"/>
          <cell r="BO26"/>
        </row>
        <row r="27">
          <cell r="F27">
            <v>6018372.6409999998</v>
          </cell>
          <cell r="G27">
            <v>771750.94855350314</v>
          </cell>
          <cell r="H27">
            <v>696806.97948263085</v>
          </cell>
          <cell r="I27">
            <v>322208.78640249732</v>
          </cell>
          <cell r="J27">
            <v>273183.70439824142</v>
          </cell>
          <cell r="K27">
            <v>412574.0385138737</v>
          </cell>
          <cell r="L27">
            <v>305989.13220266078</v>
          </cell>
          <cell r="M27">
            <v>213616.12445916681</v>
          </cell>
          <cell r="N27">
            <v>248198.95811682192</v>
          </cell>
          <cell r="O27">
            <v>229198.58474255615</v>
          </cell>
          <cell r="P27">
            <v>414055.99757629778</v>
          </cell>
          <cell r="Q27">
            <v>438979.64667575673</v>
          </cell>
          <cell r="R27">
            <v>67239.555263964081</v>
          </cell>
          <cell r="S27">
            <v>541425.46872789657</v>
          </cell>
          <cell r="T27">
            <v>116067.86508597096</v>
          </cell>
          <cell r="U27">
            <v>346729.21615453751</v>
          </cell>
          <cell r="V27">
            <v>205875.68130736519</v>
          </cell>
          <cell r="W27">
            <v>202043.46133625903</v>
          </cell>
          <cell r="X27"/>
          <cell r="Y27"/>
          <cell r="Z27">
            <v>5805944.1490000002</v>
          </cell>
          <cell r="AA27">
            <v>44048.315999999999</v>
          </cell>
          <cell r="AB27">
            <v>-601.67500000000007</v>
          </cell>
          <cell r="AC27">
            <v>0</v>
          </cell>
          <cell r="AD27">
            <v>11714.112000000001</v>
          </cell>
          <cell r="AE27">
            <v>0</v>
          </cell>
          <cell r="AF27"/>
          <cell r="AG27"/>
          <cell r="AH27">
            <v>55160.752999999997</v>
          </cell>
          <cell r="AI27">
            <v>5861104.9019999998</v>
          </cell>
          <cell r="AJ27">
            <v>46373.380000000026</v>
          </cell>
          <cell r="AK27">
            <v>119132.45200000005</v>
          </cell>
          <cell r="AL27">
            <v>-86060.923999999999</v>
          </cell>
          <cell r="AM27"/>
          <cell r="AN27">
            <v>79444.908000000083</v>
          </cell>
          <cell r="AO27">
            <v>54266.285000000134</v>
          </cell>
          <cell r="AP27">
            <v>-855.83600000000001</v>
          </cell>
          <cell r="AQ27"/>
          <cell r="AR27"/>
          <cell r="AS27">
            <v>53410.449000000131</v>
          </cell>
          <cell r="AT27">
            <v>3838.7129999999997</v>
          </cell>
          <cell r="AU27">
            <v>793.55799999999908</v>
          </cell>
          <cell r="AV27">
            <v>-627.50700000000006</v>
          </cell>
          <cell r="AW27">
            <v>80696.236000000004</v>
          </cell>
          <cell r="AX27">
            <v>-34047.012999999999</v>
          </cell>
          <cell r="AY27"/>
          <cell r="AZ27"/>
          <cell r="BA27">
            <v>50653.987000000001</v>
          </cell>
          <cell r="BB27">
            <v>-34000</v>
          </cell>
          <cell r="BC27">
            <v>-16450.695</v>
          </cell>
          <cell r="BD27">
            <v>0</v>
          </cell>
          <cell r="BE27">
            <v>0</v>
          </cell>
          <cell r="BF27">
            <v>24209.089999999997</v>
          </cell>
          <cell r="BG27">
            <v>0</v>
          </cell>
          <cell r="BH27"/>
          <cell r="BI27"/>
          <cell r="BJ27">
            <v>-26241.605000000003</v>
          </cell>
          <cell r="BK27"/>
          <cell r="BL27"/>
          <cell r="BM27"/>
          <cell r="BN27"/>
          <cell r="BO27"/>
        </row>
        <row r="28"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/>
          <cell r="Y28"/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/>
          <cell r="AG28"/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/>
          <cell r="AN28">
            <v>0</v>
          </cell>
          <cell r="AO28">
            <v>0</v>
          </cell>
          <cell r="AP28">
            <v>0</v>
          </cell>
          <cell r="AQ28"/>
          <cell r="AR28"/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/>
          <cell r="AZ28"/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/>
          <cell r="BI28"/>
          <cell r="BJ28">
            <v>0</v>
          </cell>
        </row>
        <row r="29">
          <cell r="F29"/>
          <cell r="G29"/>
          <cell r="H29"/>
          <cell r="I29"/>
          <cell r="J29"/>
          <cell r="K29"/>
          <cell r="L29"/>
          <cell r="M29"/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C29"/>
          <cell r="AD29"/>
          <cell r="AE29"/>
          <cell r="AF29"/>
          <cell r="AG29"/>
          <cell r="AH29"/>
          <cell r="AI29"/>
          <cell r="AJ29"/>
          <cell r="AK29"/>
          <cell r="AL29"/>
          <cell r="AM29"/>
          <cell r="AN29"/>
          <cell r="AO29"/>
          <cell r="AP29"/>
          <cell r="AQ29"/>
          <cell r="AR29"/>
          <cell r="AS29"/>
          <cell r="AT29"/>
          <cell r="AU29"/>
          <cell r="AV29"/>
          <cell r="AW29"/>
          <cell r="AX29"/>
          <cell r="AY29"/>
          <cell r="AZ29"/>
          <cell r="BA29"/>
          <cell r="BB29"/>
          <cell r="BC29"/>
          <cell r="BD29"/>
          <cell r="BE29"/>
          <cell r="BF29"/>
          <cell r="BG29"/>
          <cell r="BH29"/>
          <cell r="BI29"/>
          <cell r="BJ29"/>
        </row>
        <row r="30">
          <cell r="F30"/>
          <cell r="G30"/>
          <cell r="H30"/>
          <cell r="I30"/>
          <cell r="J30"/>
          <cell r="K30"/>
          <cell r="L30"/>
          <cell r="M30"/>
          <cell r="N30"/>
          <cell r="O30"/>
          <cell r="P30"/>
          <cell r="Q30"/>
          <cell r="R30"/>
          <cell r="S30"/>
          <cell r="T30"/>
          <cell r="U30"/>
          <cell r="V30"/>
          <cell r="W30"/>
          <cell r="X30"/>
          <cell r="Y30"/>
          <cell r="Z30"/>
          <cell r="AA30"/>
          <cell r="AB30"/>
          <cell r="AC30"/>
          <cell r="AD30"/>
          <cell r="AE30"/>
          <cell r="AF30"/>
          <cell r="AG30"/>
          <cell r="AH30"/>
          <cell r="AI30"/>
          <cell r="AJ30"/>
          <cell r="AK30"/>
          <cell r="AL30"/>
          <cell r="AM30"/>
          <cell r="AN30"/>
          <cell r="AO30"/>
          <cell r="AP30"/>
          <cell r="AQ30"/>
          <cell r="AR30"/>
          <cell r="AS30"/>
          <cell r="AT30"/>
          <cell r="AU30"/>
          <cell r="AV30"/>
          <cell r="AW30"/>
          <cell r="AX30"/>
          <cell r="AY30"/>
          <cell r="AZ30"/>
          <cell r="BA30"/>
          <cell r="BB30"/>
          <cell r="BC30"/>
          <cell r="BD30"/>
          <cell r="BE30"/>
          <cell r="BF30"/>
          <cell r="BG30"/>
          <cell r="BH30"/>
          <cell r="BI30"/>
          <cell r="BJ30"/>
        </row>
        <row r="31">
          <cell r="F31"/>
          <cell r="G31">
            <v>50291</v>
          </cell>
          <cell r="H31">
            <v>47894</v>
          </cell>
          <cell r="I31">
            <v>31208</v>
          </cell>
          <cell r="J31">
            <v>21652</v>
          </cell>
          <cell r="K31">
            <v>24945</v>
          </cell>
          <cell r="L31">
            <v>20256</v>
          </cell>
          <cell r="M31">
            <v>14873</v>
          </cell>
          <cell r="N31">
            <v>18999</v>
          </cell>
          <cell r="O31">
            <v>14522</v>
          </cell>
          <cell r="P31">
            <v>19665</v>
          </cell>
          <cell r="Q31">
            <v>22446.5</v>
          </cell>
          <cell r="R31">
            <v>9938</v>
          </cell>
          <cell r="S31">
            <v>28419</v>
          </cell>
          <cell r="T31">
            <v>6128.5</v>
          </cell>
          <cell r="U31">
            <v>12420.5</v>
          </cell>
          <cell r="V31">
            <v>11748.5</v>
          </cell>
          <cell r="W31">
            <v>8995.5</v>
          </cell>
          <cell r="X31">
            <v>0</v>
          </cell>
          <cell r="Y31">
            <v>0</v>
          </cell>
          <cell r="Z31">
            <v>364401.5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/>
          <cell r="AG31"/>
          <cell r="AH31">
            <v>0</v>
          </cell>
          <cell r="AI31">
            <v>364401.5</v>
          </cell>
          <cell r="AJ31">
            <v>31026</v>
          </cell>
          <cell r="AK31">
            <v>36532</v>
          </cell>
          <cell r="AL31">
            <v>0</v>
          </cell>
          <cell r="AM31"/>
          <cell r="AN31">
            <v>67558</v>
          </cell>
          <cell r="AO31">
            <v>7344.996000000001</v>
          </cell>
          <cell r="AP31">
            <v>0</v>
          </cell>
          <cell r="AQ31"/>
          <cell r="AR31"/>
          <cell r="AS31">
            <v>7344.996000000001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/>
          <cell r="AZ31"/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1</v>
          </cell>
          <cell r="BG31">
            <v>0</v>
          </cell>
          <cell r="BH31"/>
          <cell r="BI31"/>
          <cell r="BJ31">
            <v>1</v>
          </cell>
        </row>
        <row r="32">
          <cell r="F32">
            <v>46501414.478000008</v>
          </cell>
          <cell r="G32">
            <v>4775681.909</v>
          </cell>
          <cell r="H32">
            <v>4757687.4460000005</v>
          </cell>
          <cell r="I32">
            <v>2894034.6750000003</v>
          </cell>
          <cell r="J32">
            <v>1977135.2409999999</v>
          </cell>
          <cell r="K32">
            <v>2521297.4</v>
          </cell>
          <cell r="L32">
            <v>2129667.9</v>
          </cell>
          <cell r="M32">
            <v>1507013.8</v>
          </cell>
          <cell r="N32">
            <v>1919670.8</v>
          </cell>
          <cell r="O32">
            <v>1391904.5</v>
          </cell>
          <cell r="P32">
            <v>1950585.7</v>
          </cell>
          <cell r="Q32">
            <v>2128375.25</v>
          </cell>
          <cell r="R32">
            <v>927629.8</v>
          </cell>
          <cell r="S32">
            <v>2791073.85</v>
          </cell>
          <cell r="T32">
            <v>639652.80000000005</v>
          </cell>
          <cell r="U32">
            <v>1246377.5</v>
          </cell>
          <cell r="V32">
            <v>1190572.588</v>
          </cell>
          <cell r="W32">
            <v>1073361.3910000001</v>
          </cell>
          <cell r="X32">
            <v>0</v>
          </cell>
          <cell r="Y32">
            <v>0</v>
          </cell>
          <cell r="Z32">
            <v>35821722.550000004</v>
          </cell>
          <cell r="AA32">
            <v>50000</v>
          </cell>
          <cell r="AB32">
            <v>0</v>
          </cell>
          <cell r="AC32">
            <v>0</v>
          </cell>
          <cell r="AD32">
            <v>28340</v>
          </cell>
          <cell r="AE32">
            <v>0</v>
          </cell>
          <cell r="AF32"/>
          <cell r="AG32"/>
          <cell r="AH32">
            <v>78340</v>
          </cell>
          <cell r="AI32">
            <v>35900062.550000004</v>
          </cell>
          <cell r="AJ32">
            <v>895312</v>
          </cell>
          <cell r="AK32">
            <v>425134</v>
          </cell>
          <cell r="AL32">
            <v>0</v>
          </cell>
          <cell r="AM32"/>
          <cell r="AN32">
            <v>1320446</v>
          </cell>
          <cell r="AO32">
            <v>9029123.5920000002</v>
          </cell>
          <cell r="AP32">
            <v>0</v>
          </cell>
          <cell r="AQ32"/>
          <cell r="AR32"/>
          <cell r="AS32">
            <v>9029123.5920000002</v>
          </cell>
          <cell r="AT32">
            <v>5250</v>
          </cell>
          <cell r="AU32">
            <v>9448</v>
          </cell>
          <cell r="AV32">
            <v>0</v>
          </cell>
          <cell r="AW32">
            <v>80696.236000000004</v>
          </cell>
          <cell r="AX32">
            <v>0</v>
          </cell>
          <cell r="AY32"/>
          <cell r="AZ32"/>
          <cell r="BA32">
            <v>95394.236000000004</v>
          </cell>
          <cell r="BB32">
            <v>-34000</v>
          </cell>
          <cell r="BC32">
            <v>1762.1</v>
          </cell>
          <cell r="BD32">
            <v>0</v>
          </cell>
          <cell r="BE32">
            <v>0</v>
          </cell>
          <cell r="BF32">
            <v>188626</v>
          </cell>
          <cell r="BG32">
            <v>0</v>
          </cell>
          <cell r="BH32"/>
          <cell r="BI32"/>
          <cell r="BJ32">
            <v>156388.1</v>
          </cell>
        </row>
        <row r="33">
          <cell r="F33">
            <v>38519909.042000003</v>
          </cell>
          <cell r="G33">
            <v>3789645.3969999999</v>
          </cell>
          <cell r="H33">
            <v>3851044.7609999999</v>
          </cell>
          <cell r="I33">
            <v>2443274.3130000001</v>
          </cell>
          <cell r="J33">
            <v>1614043.5349999999</v>
          </cell>
          <cell r="K33">
            <v>1974171.7379999999</v>
          </cell>
          <cell r="L33">
            <v>1714182.3650000002</v>
          </cell>
          <cell r="M33">
            <v>1212955.2470000002</v>
          </cell>
          <cell r="N33">
            <v>1564614.416</v>
          </cell>
          <cell r="O33">
            <v>1087588.6300000001</v>
          </cell>
          <cell r="P33">
            <v>1439808.257</v>
          </cell>
          <cell r="Q33">
            <v>1591818.8729999999</v>
          </cell>
          <cell r="R33">
            <v>804940.54100000008</v>
          </cell>
          <cell r="S33">
            <v>2130009.409</v>
          </cell>
          <cell r="T33">
            <v>496820.04300000001</v>
          </cell>
          <cell r="U33">
            <v>854949.63899999997</v>
          </cell>
          <cell r="V33">
            <v>927009.07500000007</v>
          </cell>
          <cell r="W33">
            <v>832533.29200000002</v>
          </cell>
          <cell r="X33">
            <v>0</v>
          </cell>
          <cell r="Y33">
            <v>0</v>
          </cell>
          <cell r="Z33">
            <v>28329409.530999999</v>
          </cell>
          <cell r="AA33">
            <v>5951.6840000000002</v>
          </cell>
          <cell r="AB33">
            <v>0</v>
          </cell>
          <cell r="AC33">
            <v>0</v>
          </cell>
          <cell r="AD33">
            <v>16625.887999999999</v>
          </cell>
          <cell r="AE33">
            <v>0</v>
          </cell>
          <cell r="AF33"/>
          <cell r="AG33"/>
          <cell r="AH33">
            <v>22577.572</v>
          </cell>
          <cell r="AI33">
            <v>28351987.103</v>
          </cell>
          <cell r="AJ33">
            <v>838318.995</v>
          </cell>
          <cell r="AK33">
            <v>306001.54799999995</v>
          </cell>
          <cell r="AL33">
            <v>0</v>
          </cell>
          <cell r="AM33"/>
          <cell r="AN33">
            <v>1144320.5430000001</v>
          </cell>
          <cell r="AO33">
            <v>8861812.523</v>
          </cell>
          <cell r="AP33">
            <v>0</v>
          </cell>
          <cell r="AQ33"/>
          <cell r="AR33"/>
          <cell r="AS33">
            <v>8861812.523</v>
          </cell>
          <cell r="AT33">
            <v>1411.287</v>
          </cell>
          <cell r="AU33">
            <v>8654.4420000000009</v>
          </cell>
          <cell r="AV33">
            <v>0</v>
          </cell>
          <cell r="AW33">
            <v>0</v>
          </cell>
          <cell r="AX33">
            <v>0</v>
          </cell>
          <cell r="AY33"/>
          <cell r="AZ33"/>
          <cell r="BA33">
            <v>10065.729000000001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151723.144</v>
          </cell>
          <cell r="BG33">
            <v>0</v>
          </cell>
          <cell r="BH33"/>
          <cell r="BI33"/>
          <cell r="BJ33">
            <v>151723.144</v>
          </cell>
        </row>
        <row r="34">
          <cell r="F34">
            <v>7981505.4360000044</v>
          </cell>
          <cell r="G34">
            <v>986036.5120000001</v>
          </cell>
          <cell r="H34">
            <v>906642.68500000052</v>
          </cell>
          <cell r="I34">
            <v>450760.3620000002</v>
          </cell>
          <cell r="J34">
            <v>363091.70600000001</v>
          </cell>
          <cell r="K34">
            <v>547125.66200000001</v>
          </cell>
          <cell r="L34">
            <v>415485.53499999968</v>
          </cell>
          <cell r="M34">
            <v>294058.55299999984</v>
          </cell>
          <cell r="N34">
            <v>355056.38400000008</v>
          </cell>
          <cell r="O34">
            <v>304315.86999999988</v>
          </cell>
          <cell r="P34">
            <v>510777.44299999997</v>
          </cell>
          <cell r="Q34">
            <v>536556.37700000009</v>
          </cell>
          <cell r="R34">
            <v>122689.25899999996</v>
          </cell>
          <cell r="S34">
            <v>661064.44100000011</v>
          </cell>
          <cell r="T34">
            <v>142832.75700000004</v>
          </cell>
          <cell r="U34">
            <v>391427.86100000003</v>
          </cell>
          <cell r="V34">
            <v>263563.51299999992</v>
          </cell>
          <cell r="W34">
            <v>240828.09900000005</v>
          </cell>
          <cell r="X34">
            <v>0</v>
          </cell>
          <cell r="Y34">
            <v>0</v>
          </cell>
          <cell r="Z34">
            <v>7492313.019000005</v>
          </cell>
          <cell r="AA34">
            <v>44048.315999999999</v>
          </cell>
          <cell r="AB34">
            <v>0</v>
          </cell>
          <cell r="AC34">
            <v>0</v>
          </cell>
          <cell r="AD34">
            <v>11714.112000000001</v>
          </cell>
          <cell r="AE34">
            <v>0</v>
          </cell>
          <cell r="AF34"/>
          <cell r="AG34"/>
          <cell r="AH34">
            <v>55762.428</v>
          </cell>
          <cell r="AI34">
            <v>7548075.4470000044</v>
          </cell>
          <cell r="AJ34">
            <v>56993.005000000005</v>
          </cell>
          <cell r="AK34">
            <v>119132.45200000005</v>
          </cell>
          <cell r="AL34">
            <v>0</v>
          </cell>
          <cell r="AM34"/>
          <cell r="AN34">
            <v>176125.45699999994</v>
          </cell>
          <cell r="AO34">
            <v>167311.06900000013</v>
          </cell>
          <cell r="AP34">
            <v>0</v>
          </cell>
          <cell r="AQ34"/>
          <cell r="AR34"/>
          <cell r="AS34">
            <v>167311.06900000013</v>
          </cell>
          <cell r="AT34">
            <v>3838.7129999999997</v>
          </cell>
          <cell r="AU34">
            <v>793.55799999999908</v>
          </cell>
          <cell r="AV34">
            <v>0</v>
          </cell>
          <cell r="AW34">
            <v>80696.236000000004</v>
          </cell>
          <cell r="AX34">
            <v>0</v>
          </cell>
          <cell r="AY34"/>
          <cell r="AZ34"/>
          <cell r="BA34">
            <v>85328.506999999998</v>
          </cell>
          <cell r="BB34">
            <v>-34000</v>
          </cell>
          <cell r="BC34">
            <v>1762.1</v>
          </cell>
          <cell r="BD34">
            <v>0</v>
          </cell>
          <cell r="BE34">
            <v>0</v>
          </cell>
          <cell r="BF34">
            <v>36902.856</v>
          </cell>
          <cell r="BG34">
            <v>0</v>
          </cell>
          <cell r="BH34"/>
          <cell r="BI34"/>
          <cell r="BJ34">
            <v>4664.9560000000056</v>
          </cell>
        </row>
        <row r="35">
          <cell r="F35">
            <v>1963132.7950000002</v>
          </cell>
          <cell r="G35">
            <v>214285.56344649696</v>
          </cell>
          <cell r="H35">
            <v>209835.70551736953</v>
          </cell>
          <cell r="I35">
            <v>128551.5755975028</v>
          </cell>
          <cell r="J35">
            <v>89908.001601758559</v>
          </cell>
          <cell r="K35">
            <v>134551.62348612625</v>
          </cell>
          <cell r="L35">
            <v>109496.40279733902</v>
          </cell>
          <cell r="M35">
            <v>80442.428540833047</v>
          </cell>
          <cell r="N35">
            <v>106857.42588317802</v>
          </cell>
          <cell r="O35">
            <v>75117.285257443742</v>
          </cell>
          <cell r="P35">
            <v>96721.445423702113</v>
          </cell>
          <cell r="Q35">
            <v>97576.730324243254</v>
          </cell>
          <cell r="R35">
            <v>55449.703736035903</v>
          </cell>
          <cell r="S35">
            <v>119638.97227210345</v>
          </cell>
          <cell r="T35">
            <v>26764.891914029111</v>
          </cell>
          <cell r="U35">
            <v>44698.644845462586</v>
          </cell>
          <cell r="V35">
            <v>57687.831692634754</v>
          </cell>
          <cell r="W35">
            <v>38784.637663740978</v>
          </cell>
          <cell r="X35">
            <v>0</v>
          </cell>
          <cell r="Y35">
            <v>0</v>
          </cell>
          <cell r="Z35">
            <v>1686368.87</v>
          </cell>
          <cell r="AA35">
            <v>0</v>
          </cell>
          <cell r="AB35">
            <v>601.67500000000007</v>
          </cell>
          <cell r="AC35">
            <v>0</v>
          </cell>
          <cell r="AD35">
            <v>0</v>
          </cell>
          <cell r="AE35">
            <v>0</v>
          </cell>
          <cell r="AF35"/>
          <cell r="AG35"/>
          <cell r="AH35">
            <v>601.67500000000007</v>
          </cell>
          <cell r="AI35">
            <v>1686970.5450000002</v>
          </cell>
          <cell r="AJ35">
            <v>10619.625</v>
          </cell>
          <cell r="AK35">
            <v>0</v>
          </cell>
          <cell r="AL35">
            <v>86060.923999999999</v>
          </cell>
          <cell r="AM35"/>
          <cell r="AN35">
            <v>96680.548999999999</v>
          </cell>
          <cell r="AO35">
            <v>113044.784</v>
          </cell>
          <cell r="AP35">
            <v>855.83600000000001</v>
          </cell>
          <cell r="AQ35"/>
          <cell r="AR35"/>
          <cell r="AS35">
            <v>113900.62</v>
          </cell>
          <cell r="AT35">
            <v>0</v>
          </cell>
          <cell r="AU35">
            <v>0</v>
          </cell>
          <cell r="AV35">
            <v>627.50700000000006</v>
          </cell>
          <cell r="AW35">
            <v>0</v>
          </cell>
          <cell r="AX35">
            <v>34047.012999999999</v>
          </cell>
          <cell r="AY35"/>
          <cell r="AZ35"/>
          <cell r="BA35">
            <v>34674.519999999997</v>
          </cell>
          <cell r="BB35">
            <v>0</v>
          </cell>
          <cell r="BC35">
            <v>18212.794999999998</v>
          </cell>
          <cell r="BD35">
            <v>0</v>
          </cell>
          <cell r="BE35">
            <v>0</v>
          </cell>
          <cell r="BF35">
            <v>12693.766</v>
          </cell>
          <cell r="BG35">
            <v>0</v>
          </cell>
          <cell r="BH35"/>
          <cell r="BI35"/>
          <cell r="BJ35">
            <v>30906.560999999998</v>
          </cell>
        </row>
        <row r="36">
          <cell r="F36">
            <v>6018372.6410000045</v>
          </cell>
          <cell r="G36">
            <v>771750.94855350314</v>
          </cell>
          <cell r="H36">
            <v>696806.97948263097</v>
          </cell>
          <cell r="I36">
            <v>322208.78640249738</v>
          </cell>
          <cell r="J36">
            <v>273183.70439824148</v>
          </cell>
          <cell r="K36">
            <v>412574.03851387376</v>
          </cell>
          <cell r="L36">
            <v>305989.13220266066</v>
          </cell>
          <cell r="M36">
            <v>213616.12445916678</v>
          </cell>
          <cell r="N36">
            <v>248198.95811682206</v>
          </cell>
          <cell r="O36">
            <v>229198.58474255615</v>
          </cell>
          <cell r="P36">
            <v>414055.99757629784</v>
          </cell>
          <cell r="Q36">
            <v>438979.64667575684</v>
          </cell>
          <cell r="R36">
            <v>67239.555263964052</v>
          </cell>
          <cell r="S36">
            <v>541425.46872789669</v>
          </cell>
          <cell r="T36">
            <v>116067.86508597093</v>
          </cell>
          <cell r="U36">
            <v>346729.21615453745</v>
          </cell>
          <cell r="V36">
            <v>205875.68130736516</v>
          </cell>
          <cell r="W36">
            <v>202043.46133625906</v>
          </cell>
          <cell r="X36">
            <v>0</v>
          </cell>
          <cell r="Y36">
            <v>0</v>
          </cell>
          <cell r="Z36">
            <v>5805944.1490000049</v>
          </cell>
          <cell r="AA36">
            <v>44048.315999999999</v>
          </cell>
          <cell r="AB36">
            <v>-601.67500000000007</v>
          </cell>
          <cell r="AC36">
            <v>0</v>
          </cell>
          <cell r="AD36">
            <v>11714.112000000001</v>
          </cell>
          <cell r="AE36">
            <v>0</v>
          </cell>
          <cell r="AF36"/>
          <cell r="AG36"/>
          <cell r="AH36">
            <v>55160.752999999997</v>
          </cell>
          <cell r="AI36">
            <v>5861104.9020000044</v>
          </cell>
          <cell r="AJ36">
            <v>46373.380000000005</v>
          </cell>
          <cell r="AK36">
            <v>119132.45200000005</v>
          </cell>
          <cell r="AL36">
            <v>-86060.923999999999</v>
          </cell>
          <cell r="AM36"/>
          <cell r="AN36">
            <v>79444.907999999938</v>
          </cell>
          <cell r="AO36">
            <v>54266.285000000134</v>
          </cell>
          <cell r="AP36">
            <v>-855.83600000000001</v>
          </cell>
          <cell r="AQ36"/>
          <cell r="AR36"/>
          <cell r="AS36">
            <v>53410.449000000139</v>
          </cell>
          <cell r="AT36">
            <v>3838.7129999999997</v>
          </cell>
          <cell r="AU36">
            <v>793.55799999999908</v>
          </cell>
          <cell r="AV36">
            <v>-627.50700000000006</v>
          </cell>
          <cell r="AW36">
            <v>80696.236000000004</v>
          </cell>
          <cell r="AX36">
            <v>-34047.012999999999</v>
          </cell>
          <cell r="AY36"/>
          <cell r="AZ36"/>
          <cell r="BA36">
            <v>50653.987000000001</v>
          </cell>
          <cell r="BB36">
            <v>-34000</v>
          </cell>
          <cell r="BC36">
            <v>-16450.695</v>
          </cell>
          <cell r="BD36">
            <v>0</v>
          </cell>
          <cell r="BE36">
            <v>0</v>
          </cell>
          <cell r="BF36">
            <v>24209.09</v>
          </cell>
          <cell r="BG36">
            <v>0</v>
          </cell>
          <cell r="BH36"/>
          <cell r="BI36"/>
          <cell r="BJ36">
            <v>-26241.604999999992</v>
          </cell>
        </row>
        <row r="38">
          <cell r="F38"/>
          <cell r="G38"/>
          <cell r="H38"/>
          <cell r="I38"/>
          <cell r="J38"/>
          <cell r="K38"/>
          <cell r="L38"/>
          <cell r="M38"/>
          <cell r="N38"/>
          <cell r="O38"/>
          <cell r="P38"/>
          <cell r="Q38"/>
          <cell r="R38"/>
          <cell r="S38"/>
          <cell r="T38"/>
          <cell r="U38"/>
          <cell r="V38"/>
          <cell r="W38"/>
          <cell r="X38"/>
          <cell r="Y38"/>
          <cell r="Z38">
            <v>0</v>
          </cell>
          <cell r="AA38"/>
          <cell r="AB38"/>
          <cell r="AC38"/>
          <cell r="AD38"/>
          <cell r="AE38"/>
          <cell r="AF38"/>
          <cell r="AG38"/>
          <cell r="AH38">
            <v>0</v>
          </cell>
          <cell r="AI38">
            <v>0</v>
          </cell>
          <cell r="AJ38">
            <v>-21084</v>
          </cell>
          <cell r="AK38">
            <v>-20884</v>
          </cell>
          <cell r="AL38"/>
          <cell r="AM38"/>
          <cell r="AN38">
            <v>-41968</v>
          </cell>
          <cell r="AO38"/>
          <cell r="AP38"/>
          <cell r="AQ38"/>
          <cell r="AR38"/>
          <cell r="AS38">
            <v>0</v>
          </cell>
          <cell r="AT38"/>
          <cell r="AU38"/>
          <cell r="AV38"/>
          <cell r="AW38"/>
          <cell r="AX38"/>
          <cell r="AY38"/>
          <cell r="AZ38"/>
          <cell r="BA38">
            <v>0</v>
          </cell>
          <cell r="BB38"/>
          <cell r="BC38"/>
          <cell r="BD38"/>
          <cell r="BE38"/>
          <cell r="BF38"/>
          <cell r="BG38"/>
          <cell r="BH38"/>
          <cell r="BI38"/>
          <cell r="BJ38">
            <v>0</v>
          </cell>
        </row>
        <row r="39">
          <cell r="F39">
            <v>-867148</v>
          </cell>
          <cell r="G39"/>
          <cell r="H39"/>
          <cell r="I39"/>
          <cell r="J39"/>
          <cell r="K39"/>
          <cell r="L39"/>
          <cell r="M39"/>
          <cell r="N39"/>
          <cell r="O39"/>
          <cell r="P39"/>
          <cell r="Q39"/>
          <cell r="R39"/>
          <cell r="S39"/>
          <cell r="T39"/>
          <cell r="U39"/>
          <cell r="V39"/>
          <cell r="W39"/>
          <cell r="X39"/>
          <cell r="Y39"/>
          <cell r="Z39">
            <v>0</v>
          </cell>
          <cell r="AA39"/>
          <cell r="AB39"/>
          <cell r="AC39"/>
          <cell r="AD39"/>
          <cell r="AE39"/>
          <cell r="AF39"/>
          <cell r="AG39"/>
          <cell r="AH39">
            <v>0</v>
          </cell>
          <cell r="AI39">
            <v>0</v>
          </cell>
          <cell r="AJ39">
            <v>-606726</v>
          </cell>
          <cell r="AK39">
            <v>-260422</v>
          </cell>
          <cell r="AL39"/>
          <cell r="AM39"/>
          <cell r="AN39">
            <v>-867148</v>
          </cell>
          <cell r="AO39"/>
          <cell r="AP39"/>
          <cell r="AQ39"/>
          <cell r="AR39"/>
          <cell r="AS39">
            <v>0</v>
          </cell>
          <cell r="AT39"/>
          <cell r="AU39"/>
          <cell r="AV39"/>
          <cell r="AW39"/>
          <cell r="AX39"/>
          <cell r="AY39"/>
          <cell r="AZ39"/>
          <cell r="BA39">
            <v>0</v>
          </cell>
          <cell r="BB39"/>
          <cell r="BC39"/>
          <cell r="BD39"/>
          <cell r="BE39"/>
          <cell r="BF39"/>
          <cell r="BG39"/>
          <cell r="BH39"/>
          <cell r="BI39"/>
          <cell r="BJ39">
            <v>0</v>
          </cell>
        </row>
        <row r="40">
          <cell r="F40">
            <v>-867148</v>
          </cell>
          <cell r="G40"/>
          <cell r="H40"/>
          <cell r="I40"/>
          <cell r="J40"/>
          <cell r="K40">
            <v>-29961.508999999998</v>
          </cell>
          <cell r="L40">
            <v>-80172.816999999995</v>
          </cell>
          <cell r="M40">
            <v>-5504.4520000000002</v>
          </cell>
          <cell r="N40">
            <v>-2317.0309999999999</v>
          </cell>
          <cell r="O40">
            <v>-2361.056</v>
          </cell>
          <cell r="P40">
            <v>-6716.1610000000001</v>
          </cell>
          <cell r="Q40"/>
          <cell r="R40"/>
          <cell r="S40"/>
          <cell r="T40"/>
          <cell r="U40"/>
          <cell r="V40"/>
          <cell r="W40"/>
          <cell r="X40"/>
          <cell r="Y40"/>
          <cell r="Z40">
            <v>-127033.02600000001</v>
          </cell>
          <cell r="AA40"/>
          <cell r="AB40"/>
          <cell r="AC40"/>
          <cell r="AD40"/>
          <cell r="AE40"/>
          <cell r="AF40"/>
          <cell r="AG40"/>
          <cell r="AH40">
            <v>0</v>
          </cell>
          <cell r="AI40">
            <v>-127033.02600000001</v>
          </cell>
          <cell r="AJ40">
            <v>-569687.15599999996</v>
          </cell>
          <cell r="AK40">
            <v>-170427.818</v>
          </cell>
          <cell r="AL40"/>
          <cell r="AM40"/>
          <cell r="AN40">
            <v>-740114.97399999993</v>
          </cell>
          <cell r="AO40"/>
          <cell r="AP40"/>
          <cell r="AQ40"/>
          <cell r="AR40"/>
          <cell r="AS40">
            <v>0</v>
          </cell>
          <cell r="AT40"/>
          <cell r="AU40"/>
          <cell r="AV40"/>
          <cell r="AW40"/>
          <cell r="AX40"/>
          <cell r="AY40"/>
          <cell r="AZ40"/>
          <cell r="BA40">
            <v>0</v>
          </cell>
          <cell r="BB40"/>
          <cell r="BC40"/>
          <cell r="BD40"/>
          <cell r="BE40"/>
          <cell r="BF40"/>
          <cell r="BG40"/>
          <cell r="BH40"/>
          <cell r="BI40"/>
          <cell r="BJ40">
            <v>0</v>
          </cell>
        </row>
        <row r="41"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29961.508999999998</v>
          </cell>
          <cell r="L41">
            <v>80172.816999999995</v>
          </cell>
          <cell r="M41">
            <v>5504.4520000000002</v>
          </cell>
          <cell r="N41">
            <v>2317.0309999999999</v>
          </cell>
          <cell r="O41">
            <v>2361.056</v>
          </cell>
          <cell r="P41">
            <v>6716.1610000000001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127033.02600000001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/>
          <cell r="AG41"/>
          <cell r="AH41">
            <v>0</v>
          </cell>
          <cell r="AI41">
            <v>127033.02600000001</v>
          </cell>
          <cell r="AJ41">
            <v>-37038.844000000041</v>
          </cell>
          <cell r="AK41">
            <v>-89994.182000000001</v>
          </cell>
          <cell r="AL41">
            <v>0</v>
          </cell>
          <cell r="AM41"/>
          <cell r="AN41">
            <v>-127033.02600000007</v>
          </cell>
          <cell r="AO41">
            <v>0</v>
          </cell>
          <cell r="AP41">
            <v>0</v>
          </cell>
          <cell r="AQ41"/>
          <cell r="AR41"/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/>
          <cell r="AZ41"/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/>
          <cell r="BI41"/>
          <cell r="BJ41">
            <v>0</v>
          </cell>
        </row>
        <row r="42">
          <cell r="F42">
            <v>0</v>
          </cell>
          <cell r="G42"/>
          <cell r="H42"/>
          <cell r="I42"/>
          <cell r="J42"/>
          <cell r="K42"/>
          <cell r="L42"/>
          <cell r="M42"/>
          <cell r="N42"/>
          <cell r="O42"/>
          <cell r="P42"/>
          <cell r="Q42"/>
          <cell r="R42"/>
          <cell r="S42"/>
          <cell r="T42"/>
          <cell r="U42"/>
          <cell r="V42"/>
          <cell r="W42"/>
          <cell r="X42"/>
          <cell r="Y42"/>
          <cell r="Z42">
            <v>0</v>
          </cell>
          <cell r="AA42"/>
          <cell r="AB42"/>
          <cell r="AC42"/>
          <cell r="AD42"/>
          <cell r="AE42"/>
          <cell r="AF42"/>
          <cell r="AG42"/>
          <cell r="AH42">
            <v>0</v>
          </cell>
          <cell r="AI42">
            <v>0</v>
          </cell>
          <cell r="AJ42"/>
          <cell r="AK42"/>
          <cell r="AL42"/>
          <cell r="AM42"/>
          <cell r="AN42">
            <v>0</v>
          </cell>
          <cell r="AO42"/>
          <cell r="AP42"/>
          <cell r="AQ42"/>
          <cell r="AR42"/>
          <cell r="AS42">
            <v>0</v>
          </cell>
          <cell r="AT42"/>
          <cell r="AU42"/>
          <cell r="AV42"/>
          <cell r="AW42"/>
          <cell r="AX42"/>
          <cell r="AY42"/>
          <cell r="AZ42"/>
          <cell r="BA42">
            <v>0</v>
          </cell>
          <cell r="BB42"/>
          <cell r="BC42"/>
          <cell r="BD42"/>
          <cell r="BE42"/>
          <cell r="BF42"/>
          <cell r="BG42"/>
          <cell r="BH42"/>
          <cell r="BI42"/>
          <cell r="BJ42">
            <v>0</v>
          </cell>
        </row>
        <row r="43"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29961.508999999998</v>
          </cell>
          <cell r="L43">
            <v>80172.816999999995</v>
          </cell>
          <cell r="M43">
            <v>5504.4520000000002</v>
          </cell>
          <cell r="N43">
            <v>2317.0309999999999</v>
          </cell>
          <cell r="O43">
            <v>2361.056</v>
          </cell>
          <cell r="P43">
            <v>6716.1610000000001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127033.02600000001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/>
          <cell r="AG43"/>
          <cell r="AH43">
            <v>0</v>
          </cell>
          <cell r="AI43">
            <v>127033.02600000001</v>
          </cell>
          <cell r="AJ43">
            <v>-37038.844000000041</v>
          </cell>
          <cell r="AK43">
            <v>-89994.182000000001</v>
          </cell>
          <cell r="AL43">
            <v>0</v>
          </cell>
          <cell r="AM43"/>
          <cell r="AN43">
            <v>-127033.02600000007</v>
          </cell>
          <cell r="AO43">
            <v>0</v>
          </cell>
          <cell r="AP43">
            <v>0</v>
          </cell>
          <cell r="AQ43"/>
          <cell r="AR43"/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/>
          <cell r="AZ43"/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/>
          <cell r="BI43"/>
          <cell r="BJ43">
            <v>0</v>
          </cell>
        </row>
        <row r="45">
          <cell r="F45"/>
          <cell r="G45">
            <v>50291</v>
          </cell>
          <cell r="H45">
            <v>47894</v>
          </cell>
          <cell r="I45">
            <v>31208</v>
          </cell>
          <cell r="J45">
            <v>21652</v>
          </cell>
          <cell r="K45">
            <v>24945</v>
          </cell>
          <cell r="L45">
            <v>20256</v>
          </cell>
          <cell r="M45">
            <v>14873</v>
          </cell>
          <cell r="N45">
            <v>18999</v>
          </cell>
          <cell r="O45">
            <v>14522</v>
          </cell>
          <cell r="P45">
            <v>19665</v>
          </cell>
          <cell r="Q45">
            <v>22446.5</v>
          </cell>
          <cell r="R45">
            <v>9938</v>
          </cell>
          <cell r="S45">
            <v>28419</v>
          </cell>
          <cell r="T45">
            <v>6128.5</v>
          </cell>
          <cell r="U45">
            <v>12420.5</v>
          </cell>
          <cell r="V45">
            <v>11748.5</v>
          </cell>
          <cell r="W45">
            <v>8995.5</v>
          </cell>
          <cell r="X45">
            <v>0</v>
          </cell>
          <cell r="Y45">
            <v>0</v>
          </cell>
          <cell r="Z45">
            <v>364401.5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/>
          <cell r="AG45"/>
          <cell r="AH45">
            <v>0</v>
          </cell>
          <cell r="AI45">
            <v>364401.5</v>
          </cell>
          <cell r="AJ45">
            <v>9942</v>
          </cell>
          <cell r="AK45">
            <v>15648</v>
          </cell>
          <cell r="AL45">
            <v>0</v>
          </cell>
          <cell r="AM45"/>
          <cell r="AN45">
            <v>25590</v>
          </cell>
          <cell r="AO45">
            <v>7344.996000000001</v>
          </cell>
          <cell r="AP45">
            <v>0</v>
          </cell>
          <cell r="AQ45"/>
          <cell r="AR45"/>
          <cell r="AS45">
            <v>7344.996000000001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/>
          <cell r="AZ45"/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1</v>
          </cell>
          <cell r="BG45">
            <v>0</v>
          </cell>
          <cell r="BH45"/>
          <cell r="BI45"/>
          <cell r="BJ45">
            <v>1</v>
          </cell>
        </row>
        <row r="46">
          <cell r="F46">
            <v>45634266.478000008</v>
          </cell>
          <cell r="G46">
            <v>4775681.909</v>
          </cell>
          <cell r="H46">
            <v>4757687.4460000005</v>
          </cell>
          <cell r="I46">
            <v>2894034.6750000003</v>
          </cell>
          <cell r="J46">
            <v>1977135.2409999999</v>
          </cell>
          <cell r="K46">
            <v>2521297.4</v>
          </cell>
          <cell r="L46">
            <v>2129667.9</v>
          </cell>
          <cell r="M46">
            <v>1507013.8</v>
          </cell>
          <cell r="N46">
            <v>1919670.8</v>
          </cell>
          <cell r="O46">
            <v>1391904.5</v>
          </cell>
          <cell r="P46">
            <v>1950585.7</v>
          </cell>
          <cell r="Q46">
            <v>2128375.25</v>
          </cell>
          <cell r="R46">
            <v>927629.8</v>
          </cell>
          <cell r="S46">
            <v>2791073.85</v>
          </cell>
          <cell r="T46">
            <v>639652.80000000005</v>
          </cell>
          <cell r="U46">
            <v>1246377.5</v>
          </cell>
          <cell r="V46">
            <v>1190572.588</v>
          </cell>
          <cell r="W46">
            <v>1073361.3910000001</v>
          </cell>
          <cell r="X46">
            <v>0</v>
          </cell>
          <cell r="Y46">
            <v>0</v>
          </cell>
          <cell r="Z46">
            <v>35821722.550000004</v>
          </cell>
          <cell r="AA46">
            <v>50000</v>
          </cell>
          <cell r="AB46">
            <v>0</v>
          </cell>
          <cell r="AC46">
            <v>0</v>
          </cell>
          <cell r="AD46">
            <v>28340</v>
          </cell>
          <cell r="AE46">
            <v>0</v>
          </cell>
          <cell r="AF46"/>
          <cell r="AG46"/>
          <cell r="AH46">
            <v>78340</v>
          </cell>
          <cell r="AI46">
            <v>35900062.550000004</v>
          </cell>
          <cell r="AJ46">
            <v>288586</v>
          </cell>
          <cell r="AK46">
            <v>164712</v>
          </cell>
          <cell r="AL46">
            <v>0</v>
          </cell>
          <cell r="AM46"/>
          <cell r="AN46">
            <v>453298</v>
          </cell>
          <cell r="AO46">
            <v>9029123.5920000002</v>
          </cell>
          <cell r="AP46">
            <v>0</v>
          </cell>
          <cell r="AQ46"/>
          <cell r="AR46"/>
          <cell r="AS46">
            <v>9029123.5920000002</v>
          </cell>
          <cell r="AT46">
            <v>5250</v>
          </cell>
          <cell r="AU46">
            <v>9448</v>
          </cell>
          <cell r="AV46">
            <v>0</v>
          </cell>
          <cell r="AW46">
            <v>80696.236000000004</v>
          </cell>
          <cell r="AX46">
            <v>0</v>
          </cell>
          <cell r="AY46"/>
          <cell r="AZ46"/>
          <cell r="BA46">
            <v>95394.236000000004</v>
          </cell>
          <cell r="BB46">
            <v>-34000</v>
          </cell>
          <cell r="BC46">
            <v>1762.1</v>
          </cell>
          <cell r="BD46">
            <v>0</v>
          </cell>
          <cell r="BE46">
            <v>0</v>
          </cell>
          <cell r="BF46">
            <v>188626</v>
          </cell>
          <cell r="BG46">
            <v>0</v>
          </cell>
          <cell r="BH46"/>
          <cell r="BI46"/>
          <cell r="BJ46">
            <v>156388.1</v>
          </cell>
        </row>
        <row r="47">
          <cell r="F47">
            <v>37652761.042000011</v>
          </cell>
          <cell r="G47">
            <v>3789645.3969999999</v>
          </cell>
          <cell r="H47">
            <v>3851044.7609999999</v>
          </cell>
          <cell r="I47">
            <v>2443274.3130000001</v>
          </cell>
          <cell r="J47">
            <v>1614043.5349999999</v>
          </cell>
          <cell r="K47">
            <v>1944210.2289999998</v>
          </cell>
          <cell r="L47">
            <v>1634009.5480000002</v>
          </cell>
          <cell r="M47">
            <v>1207450.7950000002</v>
          </cell>
          <cell r="N47">
            <v>1562297.385</v>
          </cell>
          <cell r="O47">
            <v>1085227.574</v>
          </cell>
          <cell r="P47">
            <v>1433092.0959999999</v>
          </cell>
          <cell r="Q47">
            <v>1591818.8729999999</v>
          </cell>
          <cell r="R47">
            <v>804940.54100000008</v>
          </cell>
          <cell r="S47">
            <v>2130009.409</v>
          </cell>
          <cell r="T47">
            <v>496820.04300000001</v>
          </cell>
          <cell r="U47">
            <v>854949.63899999997</v>
          </cell>
          <cell r="V47">
            <v>927009.07500000007</v>
          </cell>
          <cell r="W47">
            <v>832533.29200000002</v>
          </cell>
          <cell r="X47">
            <v>0</v>
          </cell>
          <cell r="Y47">
            <v>0</v>
          </cell>
          <cell r="Z47">
            <v>28202376.505000006</v>
          </cell>
          <cell r="AA47">
            <v>5951.6840000000002</v>
          </cell>
          <cell r="AB47">
            <v>0</v>
          </cell>
          <cell r="AC47">
            <v>0</v>
          </cell>
          <cell r="AD47">
            <v>16625.887999999999</v>
          </cell>
          <cell r="AE47">
            <v>0</v>
          </cell>
          <cell r="AF47"/>
          <cell r="AG47"/>
          <cell r="AH47">
            <v>22577.572</v>
          </cell>
          <cell r="AI47">
            <v>28224954.077000007</v>
          </cell>
          <cell r="AJ47">
            <v>268631.83900000004</v>
          </cell>
          <cell r="AK47">
            <v>135573.72999999995</v>
          </cell>
          <cell r="AL47">
            <v>0</v>
          </cell>
          <cell r="AM47"/>
          <cell r="AN47">
            <v>404205.56900000002</v>
          </cell>
          <cell r="AO47">
            <v>8861812.523</v>
          </cell>
          <cell r="AP47">
            <v>0</v>
          </cell>
          <cell r="AQ47"/>
          <cell r="AR47"/>
          <cell r="AS47">
            <v>8861812.523</v>
          </cell>
          <cell r="AT47">
            <v>1411.287</v>
          </cell>
          <cell r="AU47">
            <v>8654.4420000000009</v>
          </cell>
          <cell r="AV47">
            <v>0</v>
          </cell>
          <cell r="AW47">
            <v>0</v>
          </cell>
          <cell r="AX47">
            <v>0</v>
          </cell>
          <cell r="AY47"/>
          <cell r="AZ47"/>
          <cell r="BA47">
            <v>10065.729000000001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151723.144</v>
          </cell>
          <cell r="BG47">
            <v>0</v>
          </cell>
          <cell r="BH47"/>
          <cell r="BI47"/>
          <cell r="BJ47">
            <v>151723.144</v>
          </cell>
        </row>
        <row r="48">
          <cell r="F48">
            <v>7981505.435999997</v>
          </cell>
          <cell r="G48">
            <v>986036.5120000001</v>
          </cell>
          <cell r="H48">
            <v>906642.68500000052</v>
          </cell>
          <cell r="I48">
            <v>450760.3620000002</v>
          </cell>
          <cell r="J48">
            <v>363091.70600000001</v>
          </cell>
          <cell r="K48">
            <v>577087.17100000009</v>
          </cell>
          <cell r="L48">
            <v>495658.35199999972</v>
          </cell>
          <cell r="M48">
            <v>299563.00499999989</v>
          </cell>
          <cell r="N48">
            <v>357373.41500000004</v>
          </cell>
          <cell r="O48">
            <v>306676.92599999998</v>
          </cell>
          <cell r="P48">
            <v>517493.60400000005</v>
          </cell>
          <cell r="Q48">
            <v>536556.37700000009</v>
          </cell>
          <cell r="R48">
            <v>122689.25899999996</v>
          </cell>
          <cell r="S48">
            <v>661064.44100000011</v>
          </cell>
          <cell r="T48">
            <v>142832.75700000004</v>
          </cell>
          <cell r="U48">
            <v>391427.86100000003</v>
          </cell>
          <cell r="V48">
            <v>263563.51299999992</v>
          </cell>
          <cell r="W48">
            <v>240828.09900000005</v>
          </cell>
          <cell r="X48">
            <v>0</v>
          </cell>
          <cell r="Y48">
            <v>0</v>
          </cell>
          <cell r="Z48">
            <v>7619346.0449999981</v>
          </cell>
          <cell r="AA48">
            <v>44048.315999999999</v>
          </cell>
          <cell r="AB48">
            <v>0</v>
          </cell>
          <cell r="AC48">
            <v>0</v>
          </cell>
          <cell r="AD48">
            <v>11714.112000000001</v>
          </cell>
          <cell r="AE48">
            <v>0</v>
          </cell>
          <cell r="AF48"/>
          <cell r="AG48"/>
          <cell r="AH48">
            <v>55762.428</v>
          </cell>
          <cell r="AI48">
            <v>7675108.4729999974</v>
          </cell>
          <cell r="AJ48">
            <v>19954.160999999964</v>
          </cell>
          <cell r="AK48">
            <v>29138.270000000048</v>
          </cell>
          <cell r="AL48">
            <v>0</v>
          </cell>
          <cell r="AM48"/>
          <cell r="AN48">
            <v>49092.430999999982</v>
          </cell>
          <cell r="AO48">
            <v>167311.06900000013</v>
          </cell>
          <cell r="AP48">
            <v>0</v>
          </cell>
          <cell r="AQ48"/>
          <cell r="AR48"/>
          <cell r="AS48">
            <v>167311.06900000013</v>
          </cell>
          <cell r="AT48">
            <v>3838.7129999999997</v>
          </cell>
          <cell r="AU48">
            <v>793.55799999999908</v>
          </cell>
          <cell r="AV48">
            <v>0</v>
          </cell>
          <cell r="AW48">
            <v>80696.236000000004</v>
          </cell>
          <cell r="AX48">
            <v>0</v>
          </cell>
          <cell r="AY48"/>
          <cell r="AZ48"/>
          <cell r="BA48">
            <v>85328.506999999998</v>
          </cell>
          <cell r="BB48">
            <v>-34000</v>
          </cell>
          <cell r="BC48">
            <v>1762.1</v>
          </cell>
          <cell r="BD48">
            <v>0</v>
          </cell>
          <cell r="BE48">
            <v>0</v>
          </cell>
          <cell r="BF48">
            <v>36902.856</v>
          </cell>
          <cell r="BG48">
            <v>0</v>
          </cell>
          <cell r="BH48"/>
          <cell r="BI48"/>
          <cell r="BJ48">
            <v>4664.9560000000056</v>
          </cell>
        </row>
        <row r="49">
          <cell r="F49">
            <v>1963132.7950000002</v>
          </cell>
          <cell r="G49">
            <v>214285.56344649696</v>
          </cell>
          <cell r="H49">
            <v>209835.70551736953</v>
          </cell>
          <cell r="I49">
            <v>128551.5755975028</v>
          </cell>
          <cell r="J49">
            <v>89908.001601758559</v>
          </cell>
          <cell r="K49">
            <v>134551.62348612625</v>
          </cell>
          <cell r="L49">
            <v>109496.40279733902</v>
          </cell>
          <cell r="M49">
            <v>80442.428540833047</v>
          </cell>
          <cell r="N49">
            <v>106857.42588317802</v>
          </cell>
          <cell r="O49">
            <v>75117.285257443742</v>
          </cell>
          <cell r="P49">
            <v>96721.445423702113</v>
          </cell>
          <cell r="Q49">
            <v>97576.730324243254</v>
          </cell>
          <cell r="R49">
            <v>55449.703736035903</v>
          </cell>
          <cell r="S49">
            <v>119638.97227210345</v>
          </cell>
          <cell r="T49">
            <v>26764.891914029111</v>
          </cell>
          <cell r="U49">
            <v>44698.644845462586</v>
          </cell>
          <cell r="V49">
            <v>57687.831692634754</v>
          </cell>
          <cell r="W49">
            <v>38784.637663740978</v>
          </cell>
          <cell r="X49">
            <v>0</v>
          </cell>
          <cell r="Y49">
            <v>0</v>
          </cell>
          <cell r="Z49">
            <v>1686368.87</v>
          </cell>
          <cell r="AA49">
            <v>0</v>
          </cell>
          <cell r="AB49">
            <v>601.67500000000007</v>
          </cell>
          <cell r="AC49">
            <v>0</v>
          </cell>
          <cell r="AD49">
            <v>0</v>
          </cell>
          <cell r="AE49">
            <v>0</v>
          </cell>
          <cell r="AF49"/>
          <cell r="AG49"/>
          <cell r="AH49">
            <v>601.67500000000007</v>
          </cell>
          <cell r="AI49">
            <v>1686970.5450000002</v>
          </cell>
          <cell r="AJ49">
            <v>10619.625</v>
          </cell>
          <cell r="AK49">
            <v>0</v>
          </cell>
          <cell r="AL49">
            <v>86060.923999999999</v>
          </cell>
          <cell r="AM49"/>
          <cell r="AN49">
            <v>96680.548999999999</v>
          </cell>
          <cell r="AO49">
            <v>113044.784</v>
          </cell>
          <cell r="AP49">
            <v>855.83600000000001</v>
          </cell>
          <cell r="AQ49"/>
          <cell r="AR49"/>
          <cell r="AS49">
            <v>113900.62</v>
          </cell>
          <cell r="AT49">
            <v>0</v>
          </cell>
          <cell r="AU49">
            <v>0</v>
          </cell>
          <cell r="AV49">
            <v>627.50700000000006</v>
          </cell>
          <cell r="AW49">
            <v>0</v>
          </cell>
          <cell r="AX49">
            <v>34047.012999999999</v>
          </cell>
          <cell r="AY49"/>
          <cell r="AZ49"/>
          <cell r="BA49">
            <v>34674.519999999997</v>
          </cell>
          <cell r="BB49">
            <v>0</v>
          </cell>
          <cell r="BC49">
            <v>18212.794999999998</v>
          </cell>
          <cell r="BD49">
            <v>0</v>
          </cell>
          <cell r="BE49">
            <v>0</v>
          </cell>
          <cell r="BF49">
            <v>12693.766</v>
          </cell>
          <cell r="BG49">
            <v>0</v>
          </cell>
          <cell r="BH49"/>
          <cell r="BI49"/>
          <cell r="BJ49">
            <v>30906.560999999998</v>
          </cell>
        </row>
        <row r="50">
          <cell r="F50">
            <v>6018372.640999997</v>
          </cell>
          <cell r="G50">
            <v>771750.94855350314</v>
          </cell>
          <cell r="H50">
            <v>696806.97948263097</v>
          </cell>
          <cell r="I50">
            <v>322208.78640249738</v>
          </cell>
          <cell r="J50">
            <v>273183.70439824148</v>
          </cell>
          <cell r="K50">
            <v>442535.54751387384</v>
          </cell>
          <cell r="L50">
            <v>386161.9492026607</v>
          </cell>
          <cell r="M50">
            <v>219120.57645916683</v>
          </cell>
          <cell r="N50">
            <v>250515.98911682202</v>
          </cell>
          <cell r="O50">
            <v>231559.64074255625</v>
          </cell>
          <cell r="P50">
            <v>420772.15857629792</v>
          </cell>
          <cell r="Q50">
            <v>438979.64667575684</v>
          </cell>
          <cell r="R50">
            <v>67239.555263964052</v>
          </cell>
          <cell r="S50">
            <v>541425.46872789669</v>
          </cell>
          <cell r="T50">
            <v>116067.86508597093</v>
          </cell>
          <cell r="U50">
            <v>346729.21615453745</v>
          </cell>
          <cell r="V50">
            <v>205875.68130736516</v>
          </cell>
          <cell r="W50">
            <v>202043.46133625906</v>
          </cell>
          <cell r="X50">
            <v>0</v>
          </cell>
          <cell r="Y50">
            <v>0</v>
          </cell>
          <cell r="Z50">
            <v>5932977.174999998</v>
          </cell>
          <cell r="AA50">
            <v>44048.315999999999</v>
          </cell>
          <cell r="AB50">
            <v>-601.67500000000007</v>
          </cell>
          <cell r="AC50">
            <v>0</v>
          </cell>
          <cell r="AD50">
            <v>11714.112000000001</v>
          </cell>
          <cell r="AE50">
            <v>0</v>
          </cell>
          <cell r="AF50"/>
          <cell r="AG50"/>
          <cell r="AH50">
            <v>55160.752999999997</v>
          </cell>
          <cell r="AI50">
            <v>5988137.9279999975</v>
          </cell>
          <cell r="AJ50">
            <v>9334.5359999999637</v>
          </cell>
          <cell r="AK50">
            <v>29138.270000000048</v>
          </cell>
          <cell r="AL50">
            <v>-86060.923999999999</v>
          </cell>
          <cell r="AM50"/>
          <cell r="AN50">
            <v>-47588.118000000017</v>
          </cell>
          <cell r="AO50">
            <v>54266.285000000134</v>
          </cell>
          <cell r="AP50">
            <v>-855.83600000000001</v>
          </cell>
          <cell r="AQ50"/>
          <cell r="AR50"/>
          <cell r="AS50">
            <v>53410.449000000139</v>
          </cell>
          <cell r="AT50">
            <v>3838.7129999999997</v>
          </cell>
          <cell r="AU50">
            <v>793.55799999999908</v>
          </cell>
          <cell r="AV50">
            <v>-627.50700000000006</v>
          </cell>
          <cell r="AW50">
            <v>80696.236000000004</v>
          </cell>
          <cell r="AX50">
            <v>-34047.012999999999</v>
          </cell>
          <cell r="AY50"/>
          <cell r="AZ50"/>
          <cell r="BA50">
            <v>50653.987000000001</v>
          </cell>
          <cell r="BB50">
            <v>-34000</v>
          </cell>
          <cell r="BC50">
            <v>-16450.695</v>
          </cell>
          <cell r="BD50">
            <v>0</v>
          </cell>
          <cell r="BE50">
            <v>0</v>
          </cell>
          <cell r="BF50">
            <v>24209.09</v>
          </cell>
          <cell r="BG50">
            <v>0</v>
          </cell>
          <cell r="BH50"/>
          <cell r="BI50"/>
          <cell r="BJ50">
            <v>-26241.604999999992</v>
          </cell>
        </row>
        <row r="53">
          <cell r="J53"/>
        </row>
        <row r="54">
          <cell r="J54"/>
        </row>
      </sheetData>
      <sheetData sheetId="12"/>
      <sheetData sheetId="13">
        <row r="6">
          <cell r="F6" t="str">
            <v>합계</v>
          </cell>
        </row>
      </sheetData>
      <sheetData sheetId="14">
        <row r="6">
          <cell r="F6" t="str">
            <v>합계</v>
          </cell>
        </row>
      </sheetData>
      <sheetData sheetId="15">
        <row r="6">
          <cell r="F6" t="str">
            <v>합계</v>
          </cell>
        </row>
      </sheetData>
      <sheetData sheetId="16">
        <row r="6">
          <cell r="F6" t="str">
            <v>합계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6">
          <cell r="F6" t="str">
            <v>합계</v>
          </cell>
        </row>
      </sheetData>
      <sheetData sheetId="27">
        <row r="6">
          <cell r="F6" t="str">
            <v>합계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손익총괄"/>
      <sheetName val="사업장별(당월)"/>
      <sheetName val="사업장별(누계)"/>
      <sheetName val="영업이익"/>
      <sheetName val="공헌이익"/>
      <sheetName val="재료비단가"/>
      <sheetName val="원단위"/>
      <sheetName val="건자재"/>
      <sheetName val="골재사업소(당월)"/>
      <sheetName val="골재사업소(누계)"/>
    </sheetNames>
    <sheetDataSet>
      <sheetData sheetId="0"/>
      <sheetData sheetId="1">
        <row r="7">
          <cell r="J7">
            <v>1064.5</v>
          </cell>
          <cell r="K7">
            <v>1125.9659999999999</v>
          </cell>
          <cell r="M7">
            <v>1279.6475</v>
          </cell>
        </row>
        <row r="8">
          <cell r="J8">
            <v>27900</v>
          </cell>
          <cell r="K8">
            <v>30310.545999999998</v>
          </cell>
          <cell r="M8">
            <v>34525.302000000003</v>
          </cell>
        </row>
        <row r="9">
          <cell r="J9">
            <v>259.16836022409933</v>
          </cell>
          <cell r="K9">
            <v>321.06</v>
          </cell>
          <cell r="M9">
            <v>245.33200000000002</v>
          </cell>
        </row>
        <row r="10">
          <cell r="J10">
            <v>107660.25202049456</v>
          </cell>
          <cell r="K10">
            <v>114335.880034</v>
          </cell>
          <cell r="M10">
            <v>120036.54801999999</v>
          </cell>
        </row>
        <row r="11">
          <cell r="J11">
            <v>34136.772631578955</v>
          </cell>
          <cell r="K11">
            <v>31755.57242</v>
          </cell>
          <cell r="M11">
            <v>41371.689569000002</v>
          </cell>
        </row>
        <row r="12">
          <cell r="J12">
            <v>5564.2229145893543</v>
          </cell>
          <cell r="K12">
            <v>6528.42958</v>
          </cell>
          <cell r="M12">
            <v>4645.3089</v>
          </cell>
        </row>
        <row r="13">
          <cell r="J13">
            <v>659.63000133332207</v>
          </cell>
          <cell r="K13">
            <v>659.35363199998756</v>
          </cell>
          <cell r="M13">
            <v>697.53236400000605</v>
          </cell>
        </row>
        <row r="15">
          <cell r="J15">
            <v>91757.223983003816</v>
          </cell>
          <cell r="K15">
            <v>99332.256000000008</v>
          </cell>
          <cell r="M15">
            <v>100333.61472001001</v>
          </cell>
        </row>
        <row r="16">
          <cell r="J16">
            <v>33262.447979452627</v>
          </cell>
          <cell r="K16">
            <v>31058.810272999996</v>
          </cell>
          <cell r="M16">
            <v>40559.505040999997</v>
          </cell>
        </row>
        <row r="17">
          <cell r="J17">
            <v>5123.38765807049</v>
          </cell>
          <cell r="K17">
            <v>5776.7520540099995</v>
          </cell>
          <cell r="M17">
            <v>4101.3853069799998</v>
          </cell>
        </row>
        <row r="18">
          <cell r="J18">
            <v>172.61401999999589</v>
          </cell>
          <cell r="K18">
            <v>99.923078000002079</v>
          </cell>
          <cell r="M18">
            <v>56.103694000009455</v>
          </cell>
        </row>
        <row r="25">
          <cell r="J25">
            <v>2660.1239439999999</v>
          </cell>
          <cell r="K25">
            <v>2654.9902910000001</v>
          </cell>
          <cell r="M25">
            <v>2663.6079210000003</v>
          </cell>
        </row>
        <row r="26">
          <cell r="J26">
            <v>506.61561000000006</v>
          </cell>
          <cell r="K26">
            <v>554.17757899999992</v>
          </cell>
          <cell r="M26">
            <v>489.58174799999995</v>
          </cell>
        </row>
        <row r="27">
          <cell r="J27">
            <v>332.11168511111111</v>
          </cell>
          <cell r="K27">
            <v>178.67938762327853</v>
          </cell>
          <cell r="M27">
            <v>94.566042999999979</v>
          </cell>
        </row>
        <row r="28">
          <cell r="J28">
            <v>5438.8915691386301</v>
          </cell>
          <cell r="K28">
            <v>7170.2525813758675</v>
          </cell>
          <cell r="M28">
            <v>4892.3354380000001</v>
          </cell>
        </row>
        <row r="38">
          <cell r="J38">
            <v>8767.4611192195116</v>
          </cell>
          <cell r="K38">
            <v>6453.3944219908371</v>
          </cell>
          <cell r="M38">
            <v>13560.378941010007</v>
          </cell>
        </row>
      </sheetData>
      <sheetData sheetId="2"/>
      <sheetData sheetId="3">
        <row r="7">
          <cell r="J7">
            <v>158</v>
          </cell>
          <cell r="K7">
            <v>170.69800000000004</v>
          </cell>
          <cell r="M7">
            <v>174.13400000000001</v>
          </cell>
          <cell r="O7">
            <v>15630.925800000001</v>
          </cell>
          <cell r="P7">
            <v>16839.669387000002</v>
          </cell>
          <cell r="R7">
            <v>15728.417817</v>
          </cell>
          <cell r="T7">
            <v>1848.6119111812795</v>
          </cell>
          <cell r="U7">
            <v>1780.9295909999996</v>
          </cell>
          <cell r="W7">
            <v>1863.8714359800003</v>
          </cell>
        </row>
        <row r="8">
          <cell r="J8">
            <v>115</v>
          </cell>
          <cell r="K8">
            <v>113.751</v>
          </cell>
          <cell r="M8">
            <v>144.40100000000001</v>
          </cell>
          <cell r="O8">
            <v>11543.532939999999</v>
          </cell>
          <cell r="P8">
            <v>11517.811092</v>
          </cell>
          <cell r="R8">
            <v>13186.724229000001</v>
          </cell>
          <cell r="T8">
            <v>931.37371881954414</v>
          </cell>
          <cell r="U8">
            <v>955.5358790000007</v>
          </cell>
          <cell r="W8">
            <v>1209.7030029999994</v>
          </cell>
        </row>
        <row r="9">
          <cell r="J9">
            <v>95</v>
          </cell>
          <cell r="K9">
            <v>94.777000000000015</v>
          </cell>
          <cell r="M9">
            <v>91.730999999999995</v>
          </cell>
          <cell r="O9">
            <v>9247.4845052445635</v>
          </cell>
          <cell r="P9">
            <v>9538.5461930000001</v>
          </cell>
          <cell r="R9">
            <v>8169.5876859999998</v>
          </cell>
          <cell r="T9">
            <v>1029.7134471397358</v>
          </cell>
          <cell r="U9">
            <v>720.66829500000063</v>
          </cell>
          <cell r="W9">
            <v>540.21148501000027</v>
          </cell>
        </row>
        <row r="10">
          <cell r="J10">
            <v>47</v>
          </cell>
          <cell r="K10">
            <v>41.157499999999999</v>
          </cell>
          <cell r="M10">
            <v>63.448499999999996</v>
          </cell>
          <cell r="O10">
            <v>4421.5450000000001</v>
          </cell>
          <cell r="P10">
            <v>4025.2966449999999</v>
          </cell>
          <cell r="R10">
            <v>5500.4496710000003</v>
          </cell>
          <cell r="T10">
            <v>381.91400168643406</v>
          </cell>
          <cell r="U10">
            <v>266.92423199999996</v>
          </cell>
          <cell r="W10">
            <v>626.50729500000034</v>
          </cell>
        </row>
        <row r="11">
          <cell r="J11">
            <v>73</v>
          </cell>
          <cell r="K11">
            <v>85.016999999999996</v>
          </cell>
          <cell r="M11">
            <v>100.93049999999999</v>
          </cell>
          <cell r="O11">
            <v>7854.8037852500001</v>
          </cell>
          <cell r="P11">
            <v>9081.949435999999</v>
          </cell>
          <cell r="R11">
            <v>10229.16915</v>
          </cell>
          <cell r="T11">
            <v>1024.3788098642742</v>
          </cell>
          <cell r="U11">
            <v>989.91648799999962</v>
          </cell>
          <cell r="W11">
            <v>1907.0720659999997</v>
          </cell>
        </row>
        <row r="12">
          <cell r="J12">
            <v>90</v>
          </cell>
          <cell r="K12">
            <v>88.975000000000009</v>
          </cell>
          <cell r="M12">
            <v>88.757999999999996</v>
          </cell>
          <cell r="O12">
            <v>9324.2000200000002</v>
          </cell>
          <cell r="P12">
            <v>8987.0293199999996</v>
          </cell>
          <cell r="R12">
            <v>8604.2468000000008</v>
          </cell>
          <cell r="T12">
            <v>1506.8652289712081</v>
          </cell>
          <cell r="U12">
            <v>1022.0486359999994</v>
          </cell>
          <cell r="W12">
            <v>1446.164806</v>
          </cell>
        </row>
        <row r="13">
          <cell r="J13">
            <v>45</v>
          </cell>
          <cell r="K13">
            <v>52.341999999999999</v>
          </cell>
          <cell r="M13">
            <v>53.904000000000003</v>
          </cell>
          <cell r="O13">
            <v>4544.9964</v>
          </cell>
          <cell r="P13">
            <v>5200.4931999999999</v>
          </cell>
          <cell r="R13">
            <v>5108.8738999999996</v>
          </cell>
          <cell r="T13">
            <v>494.98771329863229</v>
          </cell>
          <cell r="U13">
            <v>409.07597899999979</v>
          </cell>
          <cell r="W13">
            <v>621.18869599999994</v>
          </cell>
        </row>
        <row r="14">
          <cell r="J14">
            <v>70</v>
          </cell>
          <cell r="K14">
            <v>78.444500000000005</v>
          </cell>
          <cell r="M14">
            <v>80.24799999999999</v>
          </cell>
          <cell r="O14">
            <v>7280</v>
          </cell>
          <cell r="P14">
            <v>8063.9056499999997</v>
          </cell>
          <cell r="R14">
            <v>7928.6787399999994</v>
          </cell>
          <cell r="T14">
            <v>968.75995145517618</v>
          </cell>
          <cell r="U14">
            <v>785.51299999999924</v>
          </cell>
          <cell r="W14">
            <v>1250.1101930000004</v>
          </cell>
        </row>
        <row r="15">
          <cell r="J15">
            <v>42</v>
          </cell>
          <cell r="K15">
            <v>49.696000000000005</v>
          </cell>
          <cell r="M15">
            <v>57.518000000000001</v>
          </cell>
          <cell r="O15">
            <v>4051.4254040000001</v>
          </cell>
          <cell r="P15">
            <v>4664.993555</v>
          </cell>
          <cell r="R15">
            <v>5355.6535720000002</v>
          </cell>
          <cell r="T15">
            <v>485.11723999640509</v>
          </cell>
          <cell r="U15">
            <v>498.47379300000023</v>
          </cell>
          <cell r="W15">
            <v>885.08944899999995</v>
          </cell>
        </row>
        <row r="16">
          <cell r="J16">
            <v>64</v>
          </cell>
          <cell r="K16">
            <v>70.602499999999992</v>
          </cell>
          <cell r="M16">
            <v>82.379000000000005</v>
          </cell>
          <cell r="O16">
            <v>6374.8540000000003</v>
          </cell>
          <cell r="P16">
            <v>7271.7708499999999</v>
          </cell>
          <cell r="R16">
            <v>7626.867400000001</v>
          </cell>
          <cell r="T16">
            <v>989.51374684853431</v>
          </cell>
          <cell r="U16">
            <v>1193.086329</v>
          </cell>
          <cell r="W16">
            <v>1414.9403959999995</v>
          </cell>
        </row>
        <row r="17">
          <cell r="J17">
            <v>59.5</v>
          </cell>
          <cell r="K17">
            <v>61.982499999999995</v>
          </cell>
          <cell r="M17">
            <v>82.573499999999996</v>
          </cell>
          <cell r="O17">
            <v>5819.0999999999995</v>
          </cell>
          <cell r="P17">
            <v>6243.7076419999994</v>
          </cell>
          <cell r="R17">
            <v>7518.0581999999995</v>
          </cell>
          <cell r="T17">
            <v>897.81830430998662</v>
          </cell>
          <cell r="U17">
            <v>907.73586</v>
          </cell>
          <cell r="W17">
            <v>1341.7225720000001</v>
          </cell>
        </row>
        <row r="18">
          <cell r="J18">
            <v>24</v>
          </cell>
          <cell r="K18">
            <v>28.464500000000001</v>
          </cell>
          <cell r="M18">
            <v>37.962000000000003</v>
          </cell>
          <cell r="O18">
            <v>2349.9203600000001</v>
          </cell>
          <cell r="P18">
            <v>2936.2033919999999</v>
          </cell>
          <cell r="R18">
            <v>3569.2606500000002</v>
          </cell>
          <cell r="T18">
            <v>-86.137287972996077</v>
          </cell>
          <cell r="U18">
            <v>95.296588000000128</v>
          </cell>
          <cell r="W18">
            <v>266.85729100000015</v>
          </cell>
        </row>
        <row r="19">
          <cell r="J19">
            <v>79</v>
          </cell>
          <cell r="K19">
            <v>98.310999999999993</v>
          </cell>
          <cell r="M19">
            <v>105.273</v>
          </cell>
          <cell r="O19">
            <v>7978.9881000000005</v>
          </cell>
          <cell r="P19">
            <v>9986.3714510000009</v>
          </cell>
          <cell r="R19">
            <v>9848.337841999999</v>
          </cell>
          <cell r="T19">
            <v>1038.6815454551995</v>
          </cell>
          <cell r="U19">
            <v>1119.1053419999998</v>
          </cell>
          <cell r="W19">
            <v>1683.3936729999996</v>
          </cell>
        </row>
        <row r="20">
          <cell r="J20">
            <v>44</v>
          </cell>
          <cell r="K20">
            <v>25.734999999999999</v>
          </cell>
          <cell r="M20">
            <v>40.862000000000002</v>
          </cell>
          <cell r="O20">
            <v>4504.9760370000004</v>
          </cell>
          <cell r="P20">
            <v>2477.4563479999997</v>
          </cell>
          <cell r="R20">
            <v>3746.6177460000004</v>
          </cell>
          <cell r="T20">
            <v>630.28976405014953</v>
          </cell>
          <cell r="U20">
            <v>52.556105999999915</v>
          </cell>
          <cell r="W20">
            <v>393.71595400000029</v>
          </cell>
        </row>
        <row r="21">
          <cell r="J21">
            <v>23</v>
          </cell>
          <cell r="K21">
            <v>32.875</v>
          </cell>
          <cell r="M21">
            <v>30.3825</v>
          </cell>
          <cell r="O21">
            <v>2510.6996690000001</v>
          </cell>
          <cell r="P21">
            <v>3584.0588900000002</v>
          </cell>
          <cell r="R21">
            <v>2870.7355120000002</v>
          </cell>
          <cell r="T21">
            <v>581.69129882247876</v>
          </cell>
          <cell r="U21">
            <v>968.94532500000014</v>
          </cell>
          <cell r="W21">
            <v>590.94265799999994</v>
          </cell>
        </row>
        <row r="22">
          <cell r="J22">
            <v>18</v>
          </cell>
          <cell r="K22">
            <v>20.073499999999999</v>
          </cell>
          <cell r="M22">
            <v>15.724</v>
          </cell>
          <cell r="O22">
            <v>1942.1999999999998</v>
          </cell>
          <cell r="P22">
            <v>2234.6113449999998</v>
          </cell>
          <cell r="R22">
            <v>1565.863918</v>
          </cell>
          <cell r="T22">
            <v>251.08144414499782</v>
          </cell>
          <cell r="U22">
            <v>405.84467300000006</v>
          </cell>
          <cell r="W22">
            <v>213.51944899999992</v>
          </cell>
        </row>
        <row r="23">
          <cell r="J23">
            <v>18</v>
          </cell>
          <cell r="K23">
            <v>13.064</v>
          </cell>
          <cell r="M23">
            <v>29.418500000000002</v>
          </cell>
          <cell r="O23">
            <v>2280.6000000000004</v>
          </cell>
          <cell r="P23">
            <v>1682.0056380000001</v>
          </cell>
          <cell r="R23">
            <v>3479.0051869999998</v>
          </cell>
          <cell r="T23">
            <v>268.24325541969938</v>
          </cell>
          <cell r="U23">
            <v>176.97762700000001</v>
          </cell>
          <cell r="W23">
            <v>784.31495700000005</v>
          </cell>
        </row>
        <row r="28">
          <cell r="J28">
            <v>27900</v>
          </cell>
          <cell r="K28">
            <v>30310.545999999998</v>
          </cell>
          <cell r="M28">
            <v>34525.302000000003</v>
          </cell>
          <cell r="O28">
            <v>34136.772631578955</v>
          </cell>
          <cell r="P28">
            <v>31755.57242</v>
          </cell>
          <cell r="R28">
            <v>41371.689569000002</v>
          </cell>
          <cell r="T28">
            <v>367.70904212632246</v>
          </cell>
          <cell r="U28">
            <v>142.58456800000181</v>
          </cell>
          <cell r="W28">
            <v>322.60278000000085</v>
          </cell>
        </row>
        <row r="29">
          <cell r="J29">
            <v>74.727773787099821</v>
          </cell>
          <cell r="K29">
            <v>86.685000000000002</v>
          </cell>
          <cell r="M29">
            <v>96.415999999999997</v>
          </cell>
          <cell r="O29">
            <v>2316.7264242225001</v>
          </cell>
          <cell r="P29">
            <v>2636.47408</v>
          </cell>
          <cell r="R29">
            <v>2896.2548999999999</v>
          </cell>
          <cell r="T29">
            <v>108.00787328464264</v>
          </cell>
          <cell r="U29">
            <v>194.37668699777529</v>
          </cell>
          <cell r="W29">
            <v>169.55755101999986</v>
          </cell>
        </row>
        <row r="30">
          <cell r="J30">
            <v>23.509599999999999</v>
          </cell>
          <cell r="K30">
            <v>99.713999999999999</v>
          </cell>
          <cell r="M30">
            <v>148.916</v>
          </cell>
          <cell r="O30">
            <v>366.51980000000003</v>
          </cell>
          <cell r="P30">
            <v>1384.3620000000001</v>
          </cell>
          <cell r="R30">
            <v>1749.0540000000001</v>
          </cell>
          <cell r="T30">
            <v>-43.562166027138119</v>
          </cell>
          <cell r="U30">
            <v>198.10859981894606</v>
          </cell>
          <cell r="W30">
            <v>337.50084800000008</v>
          </cell>
        </row>
        <row r="31">
          <cell r="J31">
            <v>160.93098643699949</v>
          </cell>
          <cell r="K31">
            <v>134.661</v>
          </cell>
          <cell r="M31">
            <v>0</v>
          </cell>
          <cell r="O31">
            <v>2880.9766903668551</v>
          </cell>
          <cell r="P31">
            <v>2507.5934999999999</v>
          </cell>
          <cell r="R31">
            <v>0</v>
          </cell>
          <cell r="T31">
            <v>44.277864150249179</v>
          </cell>
          <cell r="U31">
            <v>180.51285155000019</v>
          </cell>
          <cell r="W31">
            <v>-57.700848999999991</v>
          </cell>
        </row>
        <row r="33">
          <cell r="O33">
            <v>363.36</v>
          </cell>
          <cell r="P33">
            <v>363.36</v>
          </cell>
          <cell r="R33">
            <v>313.36</v>
          </cell>
          <cell r="T33">
            <v>291.991851</v>
          </cell>
          <cell r="U33">
            <v>290.84225700000002</v>
          </cell>
          <cell r="W33">
            <v>252.022628</v>
          </cell>
        </row>
        <row r="34">
          <cell r="O34">
            <v>289.19000133333333</v>
          </cell>
          <cell r="P34">
            <v>289.184032</v>
          </cell>
          <cell r="R34">
            <v>377.27676400000007</v>
          </cell>
          <cell r="T34">
            <v>260.75979033333334</v>
          </cell>
          <cell r="U34">
            <v>261.371352</v>
          </cell>
          <cell r="W34">
            <v>224.34973600000001</v>
          </cell>
        </row>
        <row r="35">
          <cell r="O35">
            <v>0</v>
          </cell>
          <cell r="P35">
            <v>0</v>
          </cell>
          <cell r="R35">
            <v>0</v>
          </cell>
          <cell r="T35">
            <v>-5214.7342013607904</v>
          </cell>
          <cell r="U35">
            <v>-5407.8338633758676</v>
          </cell>
          <cell r="W35">
            <v>-4348.3262850000001</v>
          </cell>
        </row>
        <row r="36">
          <cell r="O36">
            <v>0</v>
          </cell>
          <cell r="P36">
            <v>0</v>
          </cell>
          <cell r="R36">
            <v>0</v>
          </cell>
          <cell r="T36">
            <v>0</v>
          </cell>
          <cell r="U36">
            <v>0</v>
          </cell>
          <cell r="W36">
            <v>0</v>
          </cell>
        </row>
        <row r="37">
          <cell r="O37">
            <v>0</v>
          </cell>
          <cell r="P37">
            <v>0</v>
          </cell>
          <cell r="R37">
            <v>0</v>
          </cell>
          <cell r="T37">
            <v>0</v>
          </cell>
          <cell r="U37">
            <v>-1595.842547</v>
          </cell>
          <cell r="W37">
            <v>-278.35280399999999</v>
          </cell>
        </row>
        <row r="38">
          <cell r="O38">
            <v>0</v>
          </cell>
          <cell r="P38">
            <v>0</v>
          </cell>
          <cell r="R38">
            <v>0</v>
          </cell>
          <cell r="T38">
            <v>-110.55147477783856</v>
          </cell>
          <cell r="U38">
            <v>-106.93348900000001</v>
          </cell>
          <cell r="W38">
            <v>-70.030342000000005</v>
          </cell>
        </row>
        <row r="39">
          <cell r="O39">
            <v>7.08</v>
          </cell>
          <cell r="P39">
            <v>6.80959999999404</v>
          </cell>
          <cell r="R39">
            <v>6.8956000000014894</v>
          </cell>
          <cell r="T39">
            <v>-179.34155300000543</v>
          </cell>
          <cell r="U39">
            <v>-52.425737000015104</v>
          </cell>
          <cell r="W39">
            <v>-30.569700999994758</v>
          </cell>
        </row>
        <row r="40">
          <cell r="O40">
            <v>0</v>
          </cell>
          <cell r="P40">
            <v>0</v>
          </cell>
          <cell r="R40">
            <v>0</v>
          </cell>
          <cell r="T40">
            <v>0</v>
          </cell>
          <cell r="U40">
            <v>0</v>
          </cell>
          <cell r="W40">
            <v>0</v>
          </cell>
        </row>
        <row r="46">
          <cell r="J46">
            <v>1064.5</v>
          </cell>
          <cell r="K46">
            <v>1125.9659999999999</v>
          </cell>
          <cell r="M46">
            <v>1279.6475</v>
          </cell>
          <cell r="O46">
            <v>148020.87756799618</v>
          </cell>
          <cell r="P46">
            <v>153279.23566599999</v>
          </cell>
          <cell r="R46">
            <v>166751.07885300001</v>
          </cell>
          <cell r="T46">
            <v>8767.4611192195116</v>
          </cell>
          <cell r="U46">
            <v>6453.3944219908371</v>
          </cell>
          <cell r="W46">
            <v>13560.378941010007</v>
          </cell>
        </row>
      </sheetData>
      <sheetData sheetId="4"/>
      <sheetData sheetId="5"/>
      <sheetData sheetId="6"/>
      <sheetData sheetId="7"/>
      <sheetData sheetId="8">
        <row r="10">
          <cell r="K10">
            <v>27900</v>
          </cell>
          <cell r="L10">
            <v>30310.545999999998</v>
          </cell>
          <cell r="N10">
            <v>34525.302000000003</v>
          </cell>
        </row>
        <row r="12">
          <cell r="K12">
            <v>27285000</v>
          </cell>
          <cell r="L12">
            <v>26688507.144000001</v>
          </cell>
          <cell r="N12">
            <v>36199609.309</v>
          </cell>
        </row>
        <row r="13">
          <cell r="K13">
            <v>6851772.6315789502</v>
          </cell>
          <cell r="L13">
            <v>5067065.2760000005</v>
          </cell>
          <cell r="N13">
            <v>5172080.2599999988</v>
          </cell>
        </row>
        <row r="15">
          <cell r="K15">
            <v>26648980</v>
          </cell>
          <cell r="L15">
            <v>26089130.177000001</v>
          </cell>
          <cell r="N15">
            <v>35493775.987999998</v>
          </cell>
        </row>
        <row r="16">
          <cell r="K16">
            <v>6613467.9794526277</v>
          </cell>
          <cell r="L16">
            <v>4969680.095999999</v>
          </cell>
          <cell r="N16">
            <v>5065729.0529999984</v>
          </cell>
        </row>
        <row r="24">
          <cell r="K24">
            <v>331443.06</v>
          </cell>
          <cell r="L24">
            <v>355065.34299999999</v>
          </cell>
          <cell r="N24">
            <v>337947.34299999999</v>
          </cell>
        </row>
        <row r="25">
          <cell r="K25">
            <v>175172.55000000002</v>
          </cell>
          <cell r="L25">
            <v>199112.23599999998</v>
          </cell>
          <cell r="N25">
            <v>151634.405</v>
          </cell>
        </row>
        <row r="36">
          <cell r="K36">
            <v>367709.04212632246</v>
          </cell>
          <cell r="L36">
            <v>142584.56800000177</v>
          </cell>
          <cell r="N36">
            <v>322602.7800000009</v>
          </cell>
        </row>
      </sheetData>
      <sheetData sheetId="9"/>
      <sheetData sheetId="10">
        <row r="8">
          <cell r="G8">
            <v>21758</v>
          </cell>
          <cell r="H8">
            <v>55218</v>
          </cell>
          <cell r="J8">
            <v>1751.6000000000001</v>
          </cell>
          <cell r="K8">
            <v>1808</v>
          </cell>
          <cell r="P8">
            <v>39851.407964092759</v>
          </cell>
          <cell r="Q8">
            <v>42570</v>
          </cell>
          <cell r="S8">
            <v>36079.578472906753</v>
          </cell>
          <cell r="T8">
            <v>49259</v>
          </cell>
          <cell r="Y8">
            <v>47727.773787099824</v>
          </cell>
          <cell r="Z8">
            <v>50069</v>
          </cell>
        </row>
        <row r="10">
          <cell r="G10">
            <v>0</v>
          </cell>
          <cell r="H10">
            <v>35328</v>
          </cell>
          <cell r="J10">
            <v>0</v>
          </cell>
          <cell r="K10">
            <v>7360</v>
          </cell>
          <cell r="P10">
            <v>24000</v>
          </cell>
          <cell r="Q10">
            <v>20800</v>
          </cell>
          <cell r="S10">
            <v>61000</v>
          </cell>
          <cell r="T10">
            <v>22032</v>
          </cell>
          <cell r="Y10">
            <v>27000</v>
          </cell>
          <cell r="Z10">
            <v>36616</v>
          </cell>
        </row>
        <row r="12">
          <cell r="AF12">
            <v>259168.36022409931</v>
          </cell>
          <cell r="AG12">
            <v>321060</v>
          </cell>
        </row>
        <row r="13">
          <cell r="G13">
            <v>348128</v>
          </cell>
          <cell r="H13">
            <v>893930</v>
          </cell>
          <cell r="J13">
            <v>18391.800000000003</v>
          </cell>
          <cell r="K13">
            <v>17232</v>
          </cell>
          <cell r="P13">
            <v>637622.52742548415</v>
          </cell>
          <cell r="Q13">
            <v>744007</v>
          </cell>
          <cell r="S13">
            <v>796354.16294137144</v>
          </cell>
          <cell r="T13">
            <v>1091106.5</v>
          </cell>
          <cell r="Y13">
            <v>1469226.4242225001</v>
          </cell>
          <cell r="Z13">
            <v>1507138.08</v>
          </cell>
        </row>
        <row r="15">
          <cell r="G15">
            <v>0</v>
          </cell>
          <cell r="H15">
            <v>414128</v>
          </cell>
          <cell r="J15">
            <v>0</v>
          </cell>
          <cell r="K15">
            <v>59072</v>
          </cell>
          <cell r="P15">
            <v>288000</v>
          </cell>
          <cell r="Q15">
            <v>270400</v>
          </cell>
          <cell r="S15">
            <v>1159000</v>
          </cell>
          <cell r="T15">
            <v>402080</v>
          </cell>
          <cell r="Y15">
            <v>847500</v>
          </cell>
          <cell r="Z15">
            <v>1129336</v>
          </cell>
        </row>
        <row r="17">
          <cell r="AF17">
            <v>5564222.9145893548</v>
          </cell>
          <cell r="AG17">
            <v>6528429.5800000001</v>
          </cell>
        </row>
        <row r="18">
          <cell r="G18">
            <v>-45595.468294173974</v>
          </cell>
          <cell r="H18">
            <v>193635.05235809754</v>
          </cell>
          <cell r="J18">
            <v>2033.3022670358764</v>
          </cell>
          <cell r="K18">
            <v>8485.0301039589849</v>
          </cell>
          <cell r="P18">
            <v>-62133.285366316937</v>
          </cell>
          <cell r="Q18">
            <v>5330.9461821636778</v>
          </cell>
          <cell r="S18">
            <v>157543.3008020022</v>
          </cell>
          <cell r="T18">
            <v>239662.99113749826</v>
          </cell>
          <cell r="Y18">
            <v>67275.639518355951</v>
          </cell>
          <cell r="Z18">
            <v>148415.49599999998</v>
          </cell>
        </row>
        <row r="19">
          <cell r="G19">
            <v>0</v>
          </cell>
          <cell r="H19">
            <v>-25679.843281061927</v>
          </cell>
          <cell r="J19">
            <v>0</v>
          </cell>
          <cell r="K19">
            <v>21668.360647951486</v>
          </cell>
          <cell r="P19">
            <v>-132028.78474865155</v>
          </cell>
          <cell r="Q19">
            <v>-87723.208623961298</v>
          </cell>
          <cell r="S19">
            <v>80896.633463215636</v>
          </cell>
          <cell r="T19">
            <v>23242.122854299341</v>
          </cell>
          <cell r="Y19">
            <v>40732.233766286692</v>
          </cell>
          <cell r="Z19">
            <v>45961.190997775302</v>
          </cell>
        </row>
        <row r="20">
          <cell r="AF20">
            <v>108723.5714077537</v>
          </cell>
          <cell r="AG20">
            <v>572998.13836672157</v>
          </cell>
        </row>
        <row r="21">
          <cell r="G21">
            <v>0</v>
          </cell>
          <cell r="H21">
            <v>3888</v>
          </cell>
          <cell r="J21">
            <v>0</v>
          </cell>
          <cell r="K21">
            <v>0</v>
          </cell>
          <cell r="P21">
            <v>39851.407964092759</v>
          </cell>
          <cell r="Q21">
            <v>42394</v>
          </cell>
          <cell r="S21">
            <v>27710.542989035781</v>
          </cell>
          <cell r="T21">
            <v>30923</v>
          </cell>
          <cell r="Y21">
            <v>15622.284276610306</v>
          </cell>
          <cell r="Z21">
            <v>18133</v>
          </cell>
        </row>
        <row r="22">
          <cell r="G22">
            <v>21758</v>
          </cell>
          <cell r="H22">
            <v>46370</v>
          </cell>
          <cell r="J22">
            <v>1751.6000000000001</v>
          </cell>
          <cell r="K22">
            <v>640</v>
          </cell>
          <cell r="P22">
            <v>0</v>
          </cell>
          <cell r="Q22">
            <v>176</v>
          </cell>
          <cell r="S22">
            <v>8369.0354838709682</v>
          </cell>
          <cell r="T22">
            <v>16032</v>
          </cell>
          <cell r="Y22">
            <v>6926.8251748251751</v>
          </cell>
          <cell r="Z22">
            <v>10320</v>
          </cell>
        </row>
        <row r="23">
          <cell r="G23">
            <v>0</v>
          </cell>
          <cell r="H23">
            <v>3696</v>
          </cell>
          <cell r="J23">
            <v>0</v>
          </cell>
          <cell r="K23">
            <v>0</v>
          </cell>
          <cell r="P23">
            <v>0</v>
          </cell>
          <cell r="Q23">
            <v>0</v>
          </cell>
          <cell r="S23">
            <v>0</v>
          </cell>
          <cell r="T23">
            <v>0</v>
          </cell>
          <cell r="Y23">
            <v>5713.2867132867132</v>
          </cell>
          <cell r="Z23">
            <v>0</v>
          </cell>
        </row>
        <row r="24">
          <cell r="G24">
            <v>0</v>
          </cell>
          <cell r="H24">
            <v>0</v>
          </cell>
          <cell r="J24">
            <v>0</v>
          </cell>
          <cell r="K24">
            <v>0</v>
          </cell>
          <cell r="P24">
            <v>0</v>
          </cell>
          <cell r="Q24">
            <v>0</v>
          </cell>
          <cell r="S24">
            <v>0</v>
          </cell>
          <cell r="T24">
            <v>2064</v>
          </cell>
          <cell r="Y24">
            <v>16212.587412587411</v>
          </cell>
          <cell r="Z24">
            <v>0</v>
          </cell>
        </row>
        <row r="25">
          <cell r="G25">
            <v>0</v>
          </cell>
          <cell r="H25">
            <v>0</v>
          </cell>
          <cell r="J25">
            <v>0</v>
          </cell>
          <cell r="K25">
            <v>928</v>
          </cell>
          <cell r="P25">
            <v>0</v>
          </cell>
          <cell r="Q25">
            <v>0</v>
          </cell>
          <cell r="S25">
            <v>0</v>
          </cell>
          <cell r="T25">
            <v>240</v>
          </cell>
          <cell r="Y25">
            <v>3252.7902097902097</v>
          </cell>
          <cell r="Z25">
            <v>8624</v>
          </cell>
        </row>
        <row r="26">
          <cell r="G26">
            <v>0</v>
          </cell>
          <cell r="H26">
            <v>1264</v>
          </cell>
          <cell r="J26">
            <v>0</v>
          </cell>
          <cell r="K26">
            <v>240</v>
          </cell>
          <cell r="P26">
            <v>0</v>
          </cell>
          <cell r="Q26">
            <v>0</v>
          </cell>
          <cell r="S26">
            <v>0</v>
          </cell>
          <cell r="T26">
            <v>0</v>
          </cell>
          <cell r="Y26">
            <v>0</v>
          </cell>
          <cell r="Z26">
            <v>0</v>
          </cell>
        </row>
        <row r="35">
          <cell r="G35">
            <v>0</v>
          </cell>
          <cell r="H35">
            <v>48600</v>
          </cell>
          <cell r="J35">
            <v>0</v>
          </cell>
          <cell r="K35">
            <v>0</v>
          </cell>
          <cell r="P35">
            <v>637622.52742548415</v>
          </cell>
          <cell r="Q35">
            <v>741895</v>
          </cell>
          <cell r="S35">
            <v>637342.48874782305</v>
          </cell>
          <cell r="T35">
            <v>726690.5</v>
          </cell>
          <cell r="Y35">
            <v>513674.63750921306</v>
          </cell>
          <cell r="Z35">
            <v>593066.4</v>
          </cell>
        </row>
        <row r="36">
          <cell r="G36">
            <v>348128</v>
          </cell>
          <cell r="H36">
            <v>788290</v>
          </cell>
          <cell r="J36">
            <v>18391.800000000003</v>
          </cell>
          <cell r="K36">
            <v>6720</v>
          </cell>
          <cell r="P36">
            <v>0</v>
          </cell>
          <cell r="Q36">
            <v>2112</v>
          </cell>
          <cell r="S36">
            <v>159011.67419354839</v>
          </cell>
          <cell r="T36">
            <v>320640</v>
          </cell>
          <cell r="Y36">
            <v>193951.10489510489</v>
          </cell>
          <cell r="Z36">
            <v>289055.34399999998</v>
          </cell>
        </row>
        <row r="37">
          <cell r="G37">
            <v>0</v>
          </cell>
          <cell r="H37">
            <v>42504</v>
          </cell>
          <cell r="J37">
            <v>0</v>
          </cell>
          <cell r="K37">
            <v>0</v>
          </cell>
          <cell r="P37">
            <v>0</v>
          </cell>
          <cell r="Q37">
            <v>0</v>
          </cell>
          <cell r="S37">
            <v>0</v>
          </cell>
          <cell r="T37">
            <v>0</v>
          </cell>
          <cell r="Y37">
            <v>157115.38461538462</v>
          </cell>
          <cell r="Z37">
            <v>248703.93599999999</v>
          </cell>
        </row>
        <row r="38">
          <cell r="G38">
            <v>0</v>
          </cell>
          <cell r="H38">
            <v>0</v>
          </cell>
          <cell r="J38">
            <v>0</v>
          </cell>
          <cell r="K38">
            <v>0</v>
          </cell>
          <cell r="P38">
            <v>0</v>
          </cell>
          <cell r="Q38">
            <v>0</v>
          </cell>
          <cell r="S38">
            <v>0</v>
          </cell>
          <cell r="T38">
            <v>39216</v>
          </cell>
          <cell r="Y38">
            <v>502590.20979020977</v>
          </cell>
          <cell r="Z38">
            <v>343984.4</v>
          </cell>
        </row>
        <row r="39">
          <cell r="G39">
            <v>0</v>
          </cell>
          <cell r="H39">
            <v>0</v>
          </cell>
          <cell r="J39">
            <v>0</v>
          </cell>
          <cell r="K39">
            <v>8352</v>
          </cell>
          <cell r="P39">
            <v>0</v>
          </cell>
          <cell r="Q39">
            <v>0</v>
          </cell>
          <cell r="S39">
            <v>0</v>
          </cell>
          <cell r="T39">
            <v>4560</v>
          </cell>
          <cell r="Y39">
            <v>101895.08741258743</v>
          </cell>
          <cell r="Z39">
            <v>32328</v>
          </cell>
        </row>
        <row r="40">
          <cell r="G40">
            <v>0</v>
          </cell>
          <cell r="H40">
            <v>14536</v>
          </cell>
          <cell r="J40">
            <v>0</v>
          </cell>
          <cell r="K40">
            <v>2160</v>
          </cell>
          <cell r="P40">
            <v>0</v>
          </cell>
          <cell r="Q40">
            <v>0</v>
          </cell>
          <cell r="S40">
            <v>0</v>
          </cell>
          <cell r="T40">
            <v>0</v>
          </cell>
          <cell r="Y40">
            <v>0</v>
          </cell>
          <cell r="Z40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계"/>
      <sheetName val="수도권"/>
      <sheetName val="영남권"/>
      <sheetName val="중부권"/>
      <sheetName val="안양"/>
      <sheetName val="인천"/>
      <sheetName val="파주"/>
      <sheetName val="김포"/>
      <sheetName val="부산"/>
      <sheetName val="서부산"/>
      <sheetName val="김해"/>
      <sheetName val="정관"/>
      <sheetName val="양산"/>
      <sheetName val="창원"/>
      <sheetName val="대구"/>
      <sheetName val="울산"/>
      <sheetName val="아산"/>
      <sheetName val="원주"/>
      <sheetName val="군산"/>
      <sheetName val="전주"/>
      <sheetName val="제주"/>
    </sheetNames>
    <sheetDataSet>
      <sheetData sheetId="0">
        <row r="5">
          <cell r="T5">
            <v>314000</v>
          </cell>
          <cell r="U5">
            <v>347129</v>
          </cell>
        </row>
        <row r="9">
          <cell r="E9">
            <v>239.23485430449503</v>
          </cell>
          <cell r="F9">
            <v>253.18458505785401</v>
          </cell>
          <cell r="G9">
            <v>100465.32906026569</v>
          </cell>
          <cell r="H9">
            <v>100306.62099337298</v>
          </cell>
        </row>
        <row r="10">
          <cell r="E10">
            <v>26.41349906204173</v>
          </cell>
          <cell r="F10">
            <v>30.966558527507868</v>
          </cell>
          <cell r="G10">
            <v>91240.579983151896</v>
          </cell>
          <cell r="H10">
            <v>92540.245468863781</v>
          </cell>
        </row>
        <row r="11">
          <cell r="E11">
            <v>0</v>
          </cell>
          <cell r="F11">
            <v>0</v>
          </cell>
        </row>
        <row r="12">
          <cell r="E12">
            <v>50.281867157925916</v>
          </cell>
          <cell r="F12">
            <v>45.716025342852589</v>
          </cell>
          <cell r="G12">
            <v>64097.274293059374</v>
          </cell>
          <cell r="H12">
            <v>63942.421053091937</v>
          </cell>
        </row>
        <row r="13">
          <cell r="E13">
            <v>35.042255927122</v>
          </cell>
          <cell r="F13">
            <v>34.27178376030006</v>
          </cell>
          <cell r="G13">
            <v>40597.499990032586</v>
          </cell>
          <cell r="H13">
            <v>41098.565775303468</v>
          </cell>
        </row>
        <row r="14">
          <cell r="E14">
            <v>0</v>
          </cell>
          <cell r="F14">
            <v>0</v>
          </cell>
        </row>
        <row r="15">
          <cell r="E15">
            <v>350.97247645158473</v>
          </cell>
          <cell r="F15">
            <v>364.13895268851456</v>
          </cell>
        </row>
        <row r="16">
          <cell r="E16">
            <v>820.63019793002979</v>
          </cell>
          <cell r="F16">
            <v>819.67124906955519</v>
          </cell>
          <cell r="G16">
            <v>12810.057952283236</v>
          </cell>
          <cell r="H16">
            <v>13219.803115119234</v>
          </cell>
        </row>
        <row r="17">
          <cell r="E17">
            <v>907.3490772741518</v>
          </cell>
          <cell r="F17">
            <v>902.53342311847427</v>
          </cell>
          <cell r="G17">
            <v>15792.093314325435</v>
          </cell>
          <cell r="H17">
            <v>15973.328584072256</v>
          </cell>
        </row>
        <row r="19">
          <cell r="E19">
            <v>3.1597559392252972</v>
          </cell>
          <cell r="F19">
            <v>3.0259976655612362</v>
          </cell>
        </row>
        <row r="20">
          <cell r="Q20">
            <v>58423.723456261192</v>
          </cell>
          <cell r="R20">
            <v>60369.965968169381</v>
          </cell>
        </row>
        <row r="21">
          <cell r="Q21">
            <v>17579.733305003949</v>
          </cell>
          <cell r="R21">
            <v>17424.044003881074</v>
          </cell>
        </row>
        <row r="22">
          <cell r="Q22">
            <v>187.46019108280254</v>
          </cell>
          <cell r="R22">
            <v>180.53198847262249</v>
          </cell>
        </row>
        <row r="50">
          <cell r="Q50">
            <v>82534.986238977246</v>
          </cell>
          <cell r="R50">
            <v>83605.353571894055</v>
          </cell>
        </row>
        <row r="56">
          <cell r="L56">
            <v>-308988.4558912986</v>
          </cell>
        </row>
        <row r="61">
          <cell r="T61">
            <v>102227.07458096102</v>
          </cell>
          <cell r="U61">
            <v>101219.55379406505</v>
          </cell>
        </row>
        <row r="80">
          <cell r="H80">
            <v>624757.56000000006</v>
          </cell>
          <cell r="I80">
            <v>646975.08199999994</v>
          </cell>
          <cell r="L80">
            <v>-22217.52199999999</v>
          </cell>
        </row>
        <row r="85">
          <cell r="H85">
            <v>371501.18300082372</v>
          </cell>
          <cell r="I85">
            <v>432459.08028999995</v>
          </cell>
          <cell r="L85">
            <v>-60957.897289176217</v>
          </cell>
          <cell r="Q85">
            <v>102227.07458096102</v>
          </cell>
          <cell r="R85">
            <v>101219.55379406505</v>
          </cell>
        </row>
        <row r="86">
          <cell r="H86">
            <v>5187056.9963820726</v>
          </cell>
          <cell r="I86">
            <v>5062782.1059999978</v>
          </cell>
          <cell r="K86">
            <v>-347567.4684178633</v>
          </cell>
          <cell r="M86">
            <v>615456.45321626216</v>
          </cell>
        </row>
        <row r="89">
          <cell r="Q89">
            <v>76190.91695234795</v>
          </cell>
          <cell r="R89">
            <v>77974.541960523071</v>
          </cell>
        </row>
        <row r="90">
          <cell r="Q90">
            <v>26036.157628613073</v>
          </cell>
          <cell r="R90">
            <v>23245.011833541983</v>
          </cell>
        </row>
      </sheetData>
      <sheetData sheetId="1">
        <row r="5">
          <cell r="T5">
            <v>125500</v>
          </cell>
          <cell r="U5">
            <v>120114</v>
          </cell>
        </row>
        <row r="9">
          <cell r="E9">
            <v>257.29474103585653</v>
          </cell>
          <cell r="F9">
            <v>276.63615088477627</v>
          </cell>
          <cell r="G9">
            <v>100000</v>
          </cell>
          <cell r="H9">
            <v>100000.02603228959</v>
          </cell>
        </row>
        <row r="10">
          <cell r="E10">
            <v>7.2807569721115541</v>
          </cell>
          <cell r="F10">
            <v>5.3850044745373493</v>
          </cell>
          <cell r="G10">
            <v>92334.684016700674</v>
          </cell>
          <cell r="H10">
            <v>98294.364000320405</v>
          </cell>
        </row>
        <row r="11">
          <cell r="E11">
            <v>0</v>
          </cell>
          <cell r="F11">
            <v>0</v>
          </cell>
        </row>
        <row r="12">
          <cell r="E12">
            <v>50.455657370517926</v>
          </cell>
          <cell r="F12">
            <v>44.49701784749427</v>
          </cell>
          <cell r="G12">
            <v>64324.215495914927</v>
          </cell>
          <cell r="H12">
            <v>64200.619887049026</v>
          </cell>
        </row>
        <row r="13">
          <cell r="E13">
            <v>39.008127490039847</v>
          </cell>
          <cell r="F13">
            <v>37.118618381061744</v>
          </cell>
          <cell r="G13">
            <v>45162.495506095358</v>
          </cell>
          <cell r="H13">
            <v>47457.917225533638</v>
          </cell>
        </row>
        <row r="14">
          <cell r="E14">
            <v>0</v>
          </cell>
          <cell r="F14">
            <v>0</v>
          </cell>
        </row>
        <row r="15">
          <cell r="E15">
            <v>354.03928286852585</v>
          </cell>
          <cell r="F15">
            <v>363.63679158786965</v>
          </cell>
        </row>
        <row r="16">
          <cell r="E16">
            <v>841.91932270916334</v>
          </cell>
          <cell r="F16">
            <v>835.12874368499251</v>
          </cell>
          <cell r="G16">
            <v>15352.760344514152</v>
          </cell>
          <cell r="H16">
            <v>16269.748099195749</v>
          </cell>
        </row>
        <row r="17">
          <cell r="E17">
            <v>894.4178884462151</v>
          </cell>
          <cell r="F17">
            <v>900.81029260941534</v>
          </cell>
          <cell r="G17">
            <v>14734.58455950604</v>
          </cell>
          <cell r="H17">
            <v>14881.236459574689</v>
          </cell>
        </row>
        <row r="19">
          <cell r="E19">
            <v>3.0522218326693231</v>
          </cell>
          <cell r="F19">
            <v>2.9785314652843451</v>
          </cell>
        </row>
        <row r="20">
          <cell r="Q20">
            <v>59930.609885074016</v>
          </cell>
          <cell r="R20">
            <v>62210.137089693366</v>
          </cell>
        </row>
        <row r="21">
          <cell r="Q21">
            <v>17374.204062593326</v>
          </cell>
          <cell r="R21">
            <v>17836.355987437524</v>
          </cell>
        </row>
        <row r="22">
          <cell r="Q22">
            <v>213.64541832669323</v>
          </cell>
          <cell r="R22">
            <v>187.10817405106039</v>
          </cell>
        </row>
        <row r="50">
          <cell r="Q50">
            <v>82712.009760551664</v>
          </cell>
          <cell r="R50">
            <v>85330.052723558008</v>
          </cell>
        </row>
        <row r="56">
          <cell r="L56">
            <v>-310074.99958643131</v>
          </cell>
        </row>
        <row r="61">
          <cell r="T61">
            <v>100452.98328622917</v>
          </cell>
          <cell r="U61">
            <v>99353.382025602928</v>
          </cell>
        </row>
        <row r="80">
          <cell r="H80">
            <v>208710.48</v>
          </cell>
          <cell r="I80">
            <v>214795.03999999998</v>
          </cell>
          <cell r="L80">
            <v>-6084.5599999999904</v>
          </cell>
        </row>
        <row r="85">
          <cell r="H85">
            <v>102879.42768391111</v>
          </cell>
          <cell r="I85">
            <v>104527.13753000001</v>
          </cell>
          <cell r="L85">
            <v>-1647.7098460888919</v>
          </cell>
          <cell r="Q85">
            <v>100452.98328622917</v>
          </cell>
          <cell r="R85">
            <v>99353.382025602928</v>
          </cell>
        </row>
        <row r="86">
          <cell r="H86">
            <v>1914902.2697886152</v>
          </cell>
          <cell r="I86">
            <v>1345149.8929999974</v>
          </cell>
          <cell r="K86">
            <v>-130219.17968840155</v>
          </cell>
          <cell r="M86">
            <v>-121725.92766769388</v>
          </cell>
        </row>
        <row r="89">
          <cell r="Q89">
            <v>77518.459365994029</v>
          </cell>
          <cell r="R89">
            <v>80233.601251181943</v>
          </cell>
        </row>
        <row r="90">
          <cell r="Q90">
            <v>22934.523920235137</v>
          </cell>
          <cell r="R90">
            <v>19119.780774420986</v>
          </cell>
        </row>
      </sheetData>
      <sheetData sheetId="2">
        <row r="5">
          <cell r="T5">
            <v>132000</v>
          </cell>
          <cell r="U5">
            <v>158134</v>
          </cell>
        </row>
        <row r="9">
          <cell r="E9">
            <v>219.38866857281405</v>
          </cell>
          <cell r="F9">
            <v>223.35651965502393</v>
          </cell>
          <cell r="G9">
            <v>99999.999999999985</v>
          </cell>
          <cell r="H9">
            <v>99998.433831996314</v>
          </cell>
        </row>
        <row r="10">
          <cell r="E10">
            <v>42.160634132432591</v>
          </cell>
          <cell r="F10">
            <v>59.698099085636152</v>
          </cell>
          <cell r="G10">
            <v>92100.000000000015</v>
          </cell>
          <cell r="H10">
            <v>92282.443026301873</v>
          </cell>
        </row>
        <row r="11">
          <cell r="E11">
            <v>0</v>
          </cell>
          <cell r="F11">
            <v>0</v>
          </cell>
        </row>
        <row r="12">
          <cell r="E12">
            <v>53.007737027187432</v>
          </cell>
          <cell r="F12">
            <v>48.175669499252812</v>
          </cell>
          <cell r="G12">
            <v>63683.915966307781</v>
          </cell>
          <cell r="H12">
            <v>63497.387610631944</v>
          </cell>
        </row>
        <row r="13">
          <cell r="E13">
            <v>34.359381523608377</v>
          </cell>
          <cell r="F13">
            <v>34.418932397862257</v>
          </cell>
          <cell r="G13">
            <v>35391.935552892595</v>
          </cell>
          <cell r="H13">
            <v>35427.601126789996</v>
          </cell>
        </row>
        <row r="14">
          <cell r="E14">
            <v>0</v>
          </cell>
          <cell r="F14">
            <v>0</v>
          </cell>
        </row>
        <row r="15">
          <cell r="E15">
            <v>348.91642125604244</v>
          </cell>
          <cell r="F15">
            <v>365.64922063777516</v>
          </cell>
        </row>
        <row r="16">
          <cell r="E16">
            <v>806.56278143961651</v>
          </cell>
          <cell r="F16">
            <v>811.44309240520749</v>
          </cell>
          <cell r="G16">
            <v>10365.487960913784</v>
          </cell>
          <cell r="H16">
            <v>11051.40561860964</v>
          </cell>
        </row>
        <row r="17">
          <cell r="E17">
            <v>910.75413078851238</v>
          </cell>
          <cell r="F17">
            <v>894.13798487247016</v>
          </cell>
          <cell r="G17">
            <v>17320.161655734952</v>
          </cell>
          <cell r="H17">
            <v>17532.805350783139</v>
          </cell>
        </row>
        <row r="19">
          <cell r="E19">
            <v>3.3532282190662381</v>
          </cell>
          <cell r="F19">
            <v>3.1293643208125426</v>
          </cell>
        </row>
        <row r="20">
          <cell r="Q20">
            <v>57184.654891669306</v>
          </cell>
          <cell r="R20">
            <v>59486.514994554345</v>
          </cell>
        </row>
        <row r="21">
          <cell r="Q21">
            <v>17836.02823720884</v>
          </cell>
          <cell r="R21">
            <v>18193.532927230819</v>
          </cell>
        </row>
        <row r="22">
          <cell r="Q22">
            <v>167.42424242424241</v>
          </cell>
          <cell r="R22">
            <v>180.36399154023457</v>
          </cell>
        </row>
        <row r="50">
          <cell r="Q50">
            <v>82138.721286161075</v>
          </cell>
          <cell r="R50">
            <v>83539.108013981415</v>
          </cell>
        </row>
        <row r="56">
          <cell r="L56">
            <v>-160491.96310355733</v>
          </cell>
        </row>
        <row r="61">
          <cell r="T61">
            <v>102187.09313636363</v>
          </cell>
          <cell r="U61">
            <v>100729.73295151837</v>
          </cell>
        </row>
        <row r="80">
          <cell r="H80">
            <v>315383.18</v>
          </cell>
          <cell r="I80">
            <v>313587.63700000005</v>
          </cell>
          <cell r="L80">
            <v>1795.5429999999596</v>
          </cell>
        </row>
        <row r="85">
          <cell r="H85">
            <v>185289.81080800964</v>
          </cell>
          <cell r="I85">
            <v>244310.19815000004</v>
          </cell>
          <cell r="L85">
            <v>-59020.387341990398</v>
          </cell>
          <cell r="Q85">
            <v>102187.09313636363</v>
          </cell>
          <cell r="R85">
            <v>100729.73295151837</v>
          </cell>
        </row>
        <row r="86">
          <cell r="H86">
            <v>2145712.093418729</v>
          </cell>
          <cell r="I86">
            <v>2214542.0289999987</v>
          </cell>
          <cell r="K86">
            <v>-229779.0656241836</v>
          </cell>
          <cell r="M86">
            <v>516325.80865099886</v>
          </cell>
        </row>
        <row r="89">
          <cell r="Q89">
            <v>75188.107371302394</v>
          </cell>
          <cell r="R89">
            <v>77860.411913325399</v>
          </cell>
        </row>
        <row r="90">
          <cell r="Q90">
            <v>26998.985765061239</v>
          </cell>
          <cell r="R90">
            <v>22869.321038192968</v>
          </cell>
        </row>
      </sheetData>
      <sheetData sheetId="3">
        <row r="5">
          <cell r="T5">
            <v>56500</v>
          </cell>
          <cell r="U5">
            <v>68881</v>
          </cell>
        </row>
        <row r="9">
          <cell r="E9">
            <v>245.48584070796463</v>
          </cell>
          <cell r="F9">
            <v>281.23934144252684</v>
          </cell>
          <cell r="G9">
            <v>102520.22537932724</v>
          </cell>
          <cell r="H9">
            <v>101386.18415997902</v>
          </cell>
        </row>
        <row r="10">
          <cell r="E10">
            <v>32.122123893805309</v>
          </cell>
          <cell r="F10">
            <v>9.0874721669835825</v>
          </cell>
          <cell r="G10">
            <v>88054.416221279404</v>
          </cell>
          <cell r="H10">
            <v>90560.055580329426</v>
          </cell>
        </row>
        <row r="11">
          <cell r="E11">
            <v>0</v>
          </cell>
          <cell r="F11">
            <v>0</v>
          </cell>
        </row>
        <row r="12">
          <cell r="E12">
            <v>43.52743362831859</v>
          </cell>
          <cell r="F12">
            <v>42.173606752500234</v>
          </cell>
          <cell r="G12">
            <v>64689.005001423167</v>
          </cell>
          <cell r="H12">
            <v>64639.382548127956</v>
          </cell>
        </row>
        <row r="13">
          <cell r="E13">
            <v>27.828495575221236</v>
          </cell>
          <cell r="F13">
            <v>29.039899989839313</v>
          </cell>
          <cell r="G13">
            <v>41399.816194007544</v>
          </cell>
          <cell r="H13">
            <v>42530.736187324081</v>
          </cell>
        </row>
        <row r="14">
          <cell r="E14">
            <v>0</v>
          </cell>
          <cell r="F14">
            <v>0</v>
          </cell>
        </row>
        <row r="15">
          <cell r="E15">
            <v>348.96389380530974</v>
          </cell>
          <cell r="F15">
            <v>361.54032035184991</v>
          </cell>
        </row>
        <row r="16">
          <cell r="E16">
            <v>806.20743362831843</v>
          </cell>
          <cell r="F16">
            <v>811.95659142438296</v>
          </cell>
          <cell r="G16">
            <v>12625.651010565805</v>
          </cell>
          <cell r="H16">
            <v>12793.862633121507</v>
          </cell>
        </row>
        <row r="17">
          <cell r="E17">
            <v>928.11716814159297</v>
          </cell>
          <cell r="F17">
            <v>924.74094132930782</v>
          </cell>
          <cell r="G17">
            <v>14552.569651697098</v>
          </cell>
          <cell r="H17">
            <v>14345.878071097777</v>
          </cell>
        </row>
        <row r="19">
          <cell r="E19">
            <v>2.946608849557522</v>
          </cell>
          <cell r="F19">
            <v>2.8706582381374011</v>
          </cell>
        </row>
        <row r="20">
          <cell r="Q20">
            <v>57971.383698918173</v>
          </cell>
          <cell r="R20">
            <v>59231.294732411137</v>
          </cell>
        </row>
        <row r="21">
          <cell r="Q21">
            <v>17437.48532042851</v>
          </cell>
          <cell r="R21">
            <v>14951.24853032964</v>
          </cell>
        </row>
        <row r="22">
          <cell r="Q22">
            <v>176.10619469026548</v>
          </cell>
          <cell r="R22">
            <v>169.61062807542132</v>
          </cell>
        </row>
        <row r="50">
          <cell r="Q50">
            <v>83067.56184630729</v>
          </cell>
          <cell r="R50">
            <v>80791.926930167087</v>
          </cell>
        </row>
        <row r="56">
          <cell r="L56">
            <v>156748.3781454936</v>
          </cell>
        </row>
        <row r="61">
          <cell r="T61">
            <v>106261.16322123892</v>
          </cell>
          <cell r="U61">
            <v>105549.17441674772</v>
          </cell>
        </row>
        <row r="80">
          <cell r="H80">
            <v>100663.90000000001</v>
          </cell>
          <cell r="I80">
            <v>118592.40500000001</v>
          </cell>
          <cell r="L80">
            <v>-17928.505000000005</v>
          </cell>
        </row>
        <row r="85">
          <cell r="H85">
            <v>83331.94450890299</v>
          </cell>
          <cell r="I85">
            <v>83621.744610000009</v>
          </cell>
          <cell r="L85">
            <v>-289.80010109702789</v>
          </cell>
          <cell r="Q85">
            <v>106261.16322123892</v>
          </cell>
          <cell r="R85">
            <v>105549.17441674772</v>
          </cell>
        </row>
        <row r="86">
          <cell r="H86">
            <v>1126442.6331747344</v>
          </cell>
          <cell r="I86">
            <v>1503090.1840000001</v>
          </cell>
          <cell r="K86">
            <v>-49042.500842158879</v>
          </cell>
          <cell r="M86">
            <v>287159.9786230285</v>
          </cell>
        </row>
        <row r="89">
          <cell r="Q89">
            <v>75584.975214036953</v>
          </cell>
          <cell r="R89">
            <v>74352.153890816189</v>
          </cell>
        </row>
        <row r="90">
          <cell r="Q90">
            <v>30676.18800720197</v>
          </cell>
          <cell r="R90">
            <v>31197.020525931526</v>
          </cell>
        </row>
      </sheetData>
      <sheetData sheetId="4">
        <row r="2">
          <cell r="N2">
            <v>44000</v>
          </cell>
        </row>
        <row r="5">
          <cell r="T5">
            <v>44000</v>
          </cell>
          <cell r="U5">
            <v>40606</v>
          </cell>
        </row>
        <row r="9">
          <cell r="E9">
            <v>269.10000000000002</v>
          </cell>
          <cell r="F9">
            <v>297.48843469910355</v>
          </cell>
          <cell r="G9">
            <v>100000.00000000001</v>
          </cell>
          <cell r="H9">
            <v>100000.07308634436</v>
          </cell>
        </row>
        <row r="10">
          <cell r="E10">
            <v>12</v>
          </cell>
          <cell r="F10">
            <v>0</v>
          </cell>
          <cell r="G10">
            <v>87100.000000000015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40</v>
          </cell>
          <cell r="F12">
            <v>47.760321087363337</v>
          </cell>
          <cell r="G12">
            <v>64000</v>
          </cell>
          <cell r="H12">
            <v>64252.155150102539</v>
          </cell>
        </row>
        <row r="13">
          <cell r="E13">
            <v>47.5</v>
          </cell>
          <cell r="F13">
            <v>39.155373781148462</v>
          </cell>
          <cell r="G13">
            <v>45000</v>
          </cell>
          <cell r="H13">
            <v>45800.599158066558</v>
          </cell>
        </row>
        <row r="14">
          <cell r="E14">
            <v>0</v>
          </cell>
          <cell r="F14">
            <v>0</v>
          </cell>
        </row>
        <row r="15">
          <cell r="E15">
            <v>368.6</v>
          </cell>
          <cell r="F15">
            <v>384.40412956761531</v>
          </cell>
        </row>
        <row r="16">
          <cell r="E16">
            <v>845</v>
          </cell>
          <cell r="F16">
            <v>850.30779080074865</v>
          </cell>
          <cell r="G16">
            <v>15333.333333333334</v>
          </cell>
          <cell r="H16">
            <v>17076.992271093772</v>
          </cell>
        </row>
        <row r="17">
          <cell r="E17">
            <v>880</v>
          </cell>
          <cell r="F17">
            <v>876.92049148035153</v>
          </cell>
          <cell r="G17">
            <v>15161.290322580648</v>
          </cell>
          <cell r="H17">
            <v>16142.929948324347</v>
          </cell>
        </row>
        <row r="19">
          <cell r="E19">
            <v>3.29</v>
          </cell>
          <cell r="F19">
            <v>3.1221326209002269</v>
          </cell>
        </row>
        <row r="20">
          <cell r="Q20">
            <v>61732.997150537638</v>
          </cell>
          <cell r="R20">
            <v>65898.240741652713</v>
          </cell>
        </row>
        <row r="21">
          <cell r="Q21">
            <v>16655.968157894738</v>
          </cell>
          <cell r="R21">
            <v>16657.032970550576</v>
          </cell>
        </row>
        <row r="22">
          <cell r="Q22">
            <v>186.36363636363637</v>
          </cell>
          <cell r="R22">
            <v>206.439549886733</v>
          </cell>
        </row>
        <row r="50">
          <cell r="Q50">
            <v>83067.934703005274</v>
          </cell>
          <cell r="R50">
            <v>87520.002043730914</v>
          </cell>
        </row>
        <row r="56">
          <cell r="L56">
            <v>-180760.30250976814</v>
          </cell>
        </row>
        <row r="80">
          <cell r="H80">
            <v>66432.599999999991</v>
          </cell>
          <cell r="I80">
            <v>69819.722999999998</v>
          </cell>
          <cell r="L80">
            <v>-3387.1230000000087</v>
          </cell>
        </row>
        <row r="85">
          <cell r="H85">
            <v>30061.216222222214</v>
          </cell>
          <cell r="I85">
            <v>29493.447940000002</v>
          </cell>
          <cell r="L85">
            <v>567.76828222221229</v>
          </cell>
          <cell r="Q85">
            <v>101314.72954545455</v>
          </cell>
          <cell r="R85">
            <v>101543.97468354431</v>
          </cell>
        </row>
        <row r="86">
          <cell r="H86">
            <v>706365.15684554621</v>
          </cell>
          <cell r="I86">
            <v>470164.6059999998</v>
          </cell>
          <cell r="K86">
            <v>9308.7280772725753</v>
          </cell>
          <cell r="M86">
            <v>-61929.621695272857</v>
          </cell>
        </row>
        <row r="89">
          <cell r="Q89">
            <v>78575.328944796012</v>
          </cell>
          <cell r="R89">
            <v>82761.713262090023</v>
          </cell>
        </row>
      </sheetData>
      <sheetData sheetId="5">
        <row r="2">
          <cell r="N2">
            <v>35000</v>
          </cell>
        </row>
        <row r="5">
          <cell r="T5">
            <v>35000</v>
          </cell>
          <cell r="U5">
            <v>30156</v>
          </cell>
        </row>
        <row r="9">
          <cell r="E9">
            <v>281.11399999999998</v>
          </cell>
          <cell r="F9">
            <v>261.51660965261186</v>
          </cell>
          <cell r="G9">
            <v>100000</v>
          </cell>
          <cell r="H9">
            <v>99999.999366240954</v>
          </cell>
        </row>
        <row r="10">
          <cell r="E10">
            <v>11.020999999999999</v>
          </cell>
          <cell r="F10">
            <v>21.030198223282948</v>
          </cell>
          <cell r="G10">
            <v>99500</v>
          </cell>
          <cell r="H10">
            <v>98294.129197791161</v>
          </cell>
        </row>
        <row r="11">
          <cell r="E11">
            <v>0</v>
          </cell>
          <cell r="F11">
            <v>0</v>
          </cell>
        </row>
        <row r="12">
          <cell r="E12">
            <v>51.826000000000001</v>
          </cell>
          <cell r="F12">
            <v>41.683740387165216</v>
          </cell>
          <cell r="G12">
            <v>64500</v>
          </cell>
          <cell r="H12">
            <v>64505.283706021233</v>
          </cell>
        </row>
        <row r="13">
          <cell r="E13">
            <v>26.144000000000002</v>
          </cell>
          <cell r="F13">
            <v>38.091808538849129</v>
          </cell>
          <cell r="G13">
            <v>45000.000000000007</v>
          </cell>
          <cell r="H13">
            <v>48618.747842325123</v>
          </cell>
        </row>
        <row r="14">
          <cell r="E14">
            <v>0</v>
          </cell>
          <cell r="F14">
            <v>0</v>
          </cell>
        </row>
        <row r="15">
          <cell r="E15">
            <v>370.10500000000002</v>
          </cell>
          <cell r="F15">
            <v>362.32235680190911</v>
          </cell>
        </row>
        <row r="16">
          <cell r="E16">
            <v>884.3</v>
          </cell>
          <cell r="F16">
            <v>882.43668788119749</v>
          </cell>
          <cell r="G16">
            <v>15733.333333333332</v>
          </cell>
          <cell r="H16">
            <v>15999.06792856112</v>
          </cell>
        </row>
        <row r="17">
          <cell r="E17">
            <v>848.60299999999995</v>
          </cell>
          <cell r="F17">
            <v>843.67155595332815</v>
          </cell>
          <cell r="G17">
            <v>15504.01628025705</v>
          </cell>
          <cell r="H17">
            <v>15068.543001935393</v>
          </cell>
        </row>
        <row r="19">
          <cell r="E19">
            <v>3.331</v>
          </cell>
          <cell r="F19">
            <v>3.018691991514189</v>
          </cell>
        </row>
        <row r="20">
          <cell r="Q20">
            <v>63595.02789414164</v>
          </cell>
          <cell r="R20">
            <v>61883.897109520018</v>
          </cell>
        </row>
        <row r="21">
          <cell r="Q21">
            <v>17195.206425135006</v>
          </cell>
          <cell r="R21">
            <v>17658.272971360384</v>
          </cell>
        </row>
        <row r="22">
          <cell r="Q22">
            <v>314.28571428571428</v>
          </cell>
          <cell r="R22">
            <v>288.20163749668524</v>
          </cell>
        </row>
        <row r="50">
          <cell r="Q50">
            <v>86416.428870415883</v>
          </cell>
          <cell r="R50">
            <v>85629.549025457425</v>
          </cell>
        </row>
        <row r="56">
          <cell r="L56">
            <v>23668.695656260199</v>
          </cell>
        </row>
        <row r="80">
          <cell r="H80">
            <v>62067.44</v>
          </cell>
          <cell r="I80">
            <v>63000.944999999992</v>
          </cell>
          <cell r="L80">
            <v>-933.50499999999192</v>
          </cell>
        </row>
        <row r="85">
          <cell r="H85">
            <v>34252.868350577788</v>
          </cell>
          <cell r="I85">
            <v>35038.540639999999</v>
          </cell>
          <cell r="L85">
            <v>-785.67228942220686</v>
          </cell>
          <cell r="Q85">
            <v>102700.53742857142</v>
          </cell>
          <cell r="R85">
            <v>97709.509119246577</v>
          </cell>
        </row>
        <row r="86">
          <cell r="H86">
            <v>473623.4911848667</v>
          </cell>
          <cell r="I86">
            <v>266183.33799999958</v>
          </cell>
          <cell r="K86">
            <v>-150509.44969599997</v>
          </cell>
          <cell r="M86">
            <v>-78880.221855705604</v>
          </cell>
        </row>
        <row r="89">
          <cell r="Q89">
            <v>81104.520033562352</v>
          </cell>
          <cell r="R89">
            <v>79830.371718377093</v>
          </cell>
        </row>
      </sheetData>
      <sheetData sheetId="6">
        <row r="2">
          <cell r="N2">
            <v>28000</v>
          </cell>
        </row>
        <row r="5">
          <cell r="T5">
            <v>28000</v>
          </cell>
          <cell r="U5">
            <v>28609</v>
          </cell>
        </row>
        <row r="9">
          <cell r="E9">
            <v>240.87857142857143</v>
          </cell>
          <cell r="F9">
            <v>271.38547200698446</v>
          </cell>
          <cell r="G9">
            <v>100000</v>
          </cell>
          <cell r="H9">
            <v>99999.998257399624</v>
          </cell>
        </row>
        <row r="10">
          <cell r="E10">
            <v>0</v>
          </cell>
          <cell r="F10">
            <v>0.12383098694023068</v>
          </cell>
          <cell r="G10">
            <v>0</v>
          </cell>
          <cell r="H10">
            <v>98338.12672775182</v>
          </cell>
        </row>
        <row r="11">
          <cell r="E11">
            <v>0</v>
          </cell>
          <cell r="F11">
            <v>0</v>
          </cell>
        </row>
        <row r="12">
          <cell r="E12">
            <v>56.884821428571428</v>
          </cell>
          <cell r="F12">
            <v>40.743075048201128</v>
          </cell>
          <cell r="G12">
            <v>64500</v>
          </cell>
          <cell r="H12">
            <v>64556.074650157097</v>
          </cell>
        </row>
        <row r="13">
          <cell r="E13">
            <v>39.106428571428573</v>
          </cell>
          <cell r="F13">
            <v>39.182121939684947</v>
          </cell>
          <cell r="G13">
            <v>45000</v>
          </cell>
          <cell r="H13">
            <v>47895.639992800912</v>
          </cell>
        </row>
        <row r="14">
          <cell r="E14">
            <v>0</v>
          </cell>
          <cell r="F14">
            <v>0</v>
          </cell>
        </row>
        <row r="15">
          <cell r="E15">
            <v>336.86982142857147</v>
          </cell>
          <cell r="F15">
            <v>351.43449998181075</v>
          </cell>
        </row>
        <row r="16">
          <cell r="E16">
            <v>874.56696428571422</v>
          </cell>
          <cell r="F16">
            <v>798.10722223434857</v>
          </cell>
          <cell r="G16">
            <v>15266.666666666666</v>
          </cell>
          <cell r="H16">
            <v>16532.072288523992</v>
          </cell>
        </row>
        <row r="17">
          <cell r="E17">
            <v>881.45857142857142</v>
          </cell>
          <cell r="F17">
            <v>934.94121426752417</v>
          </cell>
          <cell r="G17">
            <v>13419.354838709678</v>
          </cell>
          <cell r="H17">
            <v>13160.314842729855</v>
          </cell>
        </row>
        <row r="19">
          <cell r="E19">
            <v>2.6949585714285718</v>
          </cell>
          <cell r="F19">
            <v>2.8608132343846626</v>
          </cell>
        </row>
        <row r="20">
          <cell r="Q20">
            <v>56637.415249193553</v>
          </cell>
          <cell r="R20">
            <v>59132.020480919644</v>
          </cell>
        </row>
        <row r="21">
          <cell r="Q21">
            <v>18613.020357142857</v>
          </cell>
          <cell r="R21">
            <v>20120.413183455199</v>
          </cell>
        </row>
        <row r="22">
          <cell r="Q22">
            <v>202.5</v>
          </cell>
          <cell r="R22">
            <v>140.68565608061405</v>
          </cell>
        </row>
        <row r="50">
          <cell r="Q50">
            <v>81131.76498249959</v>
          </cell>
          <cell r="R50">
            <v>84362.055040197898</v>
          </cell>
        </row>
        <row r="56">
          <cell r="L56">
            <v>-88784.748315963792</v>
          </cell>
        </row>
        <row r="80">
          <cell r="H80">
            <v>46575.41</v>
          </cell>
          <cell r="I80">
            <v>46080.796999999999</v>
          </cell>
          <cell r="L80">
            <v>494.61299999999937</v>
          </cell>
        </row>
        <row r="85">
          <cell r="H85">
            <v>19365.797555555557</v>
          </cell>
          <cell r="I85">
            <v>19362.44067</v>
          </cell>
          <cell r="L85">
            <v>3.3568855555552091</v>
          </cell>
          <cell r="Q85">
            <v>99166.464015062884</v>
          </cell>
          <cell r="R85">
            <v>95934.037841574798</v>
          </cell>
        </row>
        <row r="86">
          <cell r="H86">
            <v>439030.36535621638</v>
          </cell>
          <cell r="I86">
            <v>254151.67899999968</v>
          </cell>
          <cell r="K86">
            <v>-88836.76852597305</v>
          </cell>
          <cell r="M86">
            <v>-7755.1393998352069</v>
          </cell>
        </row>
        <row r="89">
          <cell r="Q89">
            <v>75452.93560633641</v>
          </cell>
          <cell r="R89">
            <v>79393.119320455458</v>
          </cell>
        </row>
      </sheetData>
      <sheetData sheetId="7">
        <row r="2">
          <cell r="N2">
            <v>18500</v>
          </cell>
        </row>
        <row r="5">
          <cell r="T5">
            <v>18500</v>
          </cell>
          <cell r="U5">
            <v>20743</v>
          </cell>
        </row>
        <row r="9">
          <cell r="E9">
            <v>209</v>
          </cell>
          <cell r="F9">
            <v>264.42589672431706</v>
          </cell>
          <cell r="G9">
            <v>100000</v>
          </cell>
          <cell r="H9">
            <v>99999.997751061412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63</v>
          </cell>
          <cell r="F12">
            <v>47.249077754100838</v>
          </cell>
          <cell r="G12">
            <v>64300</v>
          </cell>
          <cell r="H12">
            <v>63276.40377759187</v>
          </cell>
        </row>
        <row r="13">
          <cell r="E13">
            <v>43</v>
          </cell>
          <cell r="F13">
            <v>28.753508102482755</v>
          </cell>
          <cell r="G13">
            <v>46000</v>
          </cell>
          <cell r="H13">
            <v>48888.410791934039</v>
          </cell>
        </row>
        <row r="14">
          <cell r="E14">
            <v>0</v>
          </cell>
          <cell r="F14">
            <v>0</v>
          </cell>
        </row>
        <row r="15">
          <cell r="E15">
            <v>315</v>
          </cell>
          <cell r="F15">
            <v>340.42848258090066</v>
          </cell>
        </row>
        <row r="16">
          <cell r="E16">
            <v>705</v>
          </cell>
          <cell r="F16">
            <v>784.28613905545387</v>
          </cell>
          <cell r="G16">
            <v>14666.666666666666</v>
          </cell>
          <cell r="H16">
            <v>14599.999557692949</v>
          </cell>
        </row>
        <row r="17">
          <cell r="E17">
            <v>1035</v>
          </cell>
          <cell r="F17">
            <v>987.81901977303153</v>
          </cell>
          <cell r="G17">
            <v>14373.490674017828</v>
          </cell>
          <cell r="H17">
            <v>14606.724459695381</v>
          </cell>
        </row>
        <row r="19">
          <cell r="E19">
            <v>2.5</v>
          </cell>
          <cell r="F19">
            <v>2.7898434015560731</v>
          </cell>
        </row>
        <row r="20">
          <cell r="Q20">
            <v>53695.462847608454</v>
          </cell>
          <cell r="R20">
            <v>59468.42985281728</v>
          </cell>
        </row>
        <row r="21">
          <cell r="Q21">
            <v>17546.119785317234</v>
          </cell>
          <cell r="R21">
            <v>17364.609445463106</v>
          </cell>
        </row>
        <row r="22">
          <cell r="Q22">
            <v>105</v>
          </cell>
          <cell r="R22">
            <v>60.304821844491805</v>
          </cell>
        </row>
        <row r="50">
          <cell r="Q50">
            <v>77248.846921213975</v>
          </cell>
          <cell r="R50">
            <v>81793.497992962977</v>
          </cell>
        </row>
        <row r="56">
          <cell r="L56">
            <v>-91706.52369682338</v>
          </cell>
        </row>
        <row r="80">
          <cell r="H80">
            <v>33635.03</v>
          </cell>
          <cell r="I80">
            <v>35893.574999999997</v>
          </cell>
          <cell r="L80">
            <v>-2258.5449999999983</v>
          </cell>
        </row>
        <row r="85">
          <cell r="H85">
            <v>19199.545555555553</v>
          </cell>
          <cell r="I85">
            <v>20632.708280000003</v>
          </cell>
          <cell r="L85">
            <v>-1433.1627244444499</v>
          </cell>
          <cell r="Q85">
            <v>96098.459459459467</v>
          </cell>
          <cell r="R85">
            <v>102058.93047227316</v>
          </cell>
        </row>
        <row r="86">
          <cell r="H86">
            <v>295883.25640198583</v>
          </cell>
          <cell r="I86">
            <v>354650.27000000008</v>
          </cell>
          <cell r="K86">
            <v>120276.34456756753</v>
          </cell>
          <cell r="M86">
            <v>33888.900451714173</v>
          </cell>
        </row>
        <row r="89">
          <cell r="Q89">
            <v>71346.582632925682</v>
          </cell>
          <cell r="R89">
            <v>76893.344120124879</v>
          </cell>
        </row>
      </sheetData>
      <sheetData sheetId="8">
        <row r="2">
          <cell r="N2">
            <v>20000</v>
          </cell>
        </row>
        <row r="5">
          <cell r="T5">
            <v>20000</v>
          </cell>
          <cell r="U5">
            <v>28126.5</v>
          </cell>
        </row>
        <row r="9">
          <cell r="E9">
            <v>223.34810258057263</v>
          </cell>
          <cell r="F9">
            <v>187.67748177318936</v>
          </cell>
          <cell r="G9">
            <v>99999.999999999985</v>
          </cell>
          <cell r="H9">
            <v>100009.53823693114</v>
          </cell>
        </row>
        <row r="10">
          <cell r="E10">
            <v>58.585585274055099</v>
          </cell>
          <cell r="F10">
            <v>162.65365050644826</v>
          </cell>
          <cell r="G10">
            <v>92100.000000000015</v>
          </cell>
          <cell r="H10">
            <v>92474.703210534499</v>
          </cell>
        </row>
        <row r="11">
          <cell r="E11">
            <v>0</v>
          </cell>
          <cell r="F11">
            <v>0</v>
          </cell>
        </row>
        <row r="12">
          <cell r="E12">
            <v>40.633364379436998</v>
          </cell>
          <cell r="F12">
            <v>0</v>
          </cell>
          <cell r="G12">
            <v>65000</v>
          </cell>
          <cell r="H12">
            <v>0</v>
          </cell>
        </row>
        <row r="13">
          <cell r="E13">
            <v>36.07961805581531</v>
          </cell>
          <cell r="F13">
            <v>31.975313714012021</v>
          </cell>
          <cell r="G13">
            <v>36500</v>
          </cell>
          <cell r="H13">
            <v>36500.009353445268</v>
          </cell>
        </row>
        <row r="14">
          <cell r="E14">
            <v>0</v>
          </cell>
          <cell r="F14">
            <v>0</v>
          </cell>
        </row>
        <row r="15">
          <cell r="E15">
            <v>358.64667028988009</v>
          </cell>
          <cell r="F15">
            <v>382.30644599364962</v>
          </cell>
        </row>
        <row r="16">
          <cell r="E16">
            <v>835.72066313080722</v>
          </cell>
          <cell r="F16">
            <v>887.22526741525223</v>
          </cell>
          <cell r="G16">
            <v>10738.499053987573</v>
          </cell>
          <cell r="H16">
            <v>11753.718793455235</v>
          </cell>
        </row>
        <row r="17">
          <cell r="E17">
            <v>891.05897830670744</v>
          </cell>
          <cell r="F17">
            <v>829.92567363808939</v>
          </cell>
          <cell r="G17">
            <v>17415.826994239913</v>
          </cell>
          <cell r="H17">
            <v>18082.9914460494</v>
          </cell>
        </row>
        <row r="19">
          <cell r="E19">
            <v>3.0524418108371689</v>
          </cell>
          <cell r="F19">
            <v>3.3214503397016308</v>
          </cell>
        </row>
        <row r="20">
          <cell r="Q20">
            <v>58976.992675954592</v>
          </cell>
          <cell r="R20">
            <v>63592.972167527005</v>
          </cell>
        </row>
        <row r="21">
          <cell r="Q21">
            <v>19641.118055555558</v>
          </cell>
          <cell r="R21">
            <v>19330.29496390116</v>
          </cell>
        </row>
        <row r="22">
          <cell r="Q22">
            <v>50</v>
          </cell>
          <cell r="R22">
            <v>0</v>
          </cell>
        </row>
        <row r="50">
          <cell r="Q50">
            <v>86191.027007206518</v>
          </cell>
          <cell r="R50">
            <v>88169.298600393799</v>
          </cell>
        </row>
        <row r="56">
          <cell r="L56">
            <v>-16774.082961806063</v>
          </cell>
        </row>
        <row r="80">
          <cell r="H80">
            <v>54185.16</v>
          </cell>
          <cell r="I80">
            <v>47819.487000000001</v>
          </cell>
          <cell r="L80">
            <v>6365.6730000000007</v>
          </cell>
        </row>
        <row r="85">
          <cell r="H85">
            <v>47248.159333333337</v>
          </cell>
          <cell r="I85">
            <v>85348.608920000013</v>
          </cell>
          <cell r="L85">
            <v>-38100.449586666677</v>
          </cell>
          <cell r="Q85">
            <v>107600.29919999998</v>
          </cell>
          <cell r="R85">
            <v>106167.42947042825</v>
          </cell>
        </row>
        <row r="86">
          <cell r="H86">
            <v>326752.124522536</v>
          </cell>
          <cell r="I86">
            <v>411924.10499999969</v>
          </cell>
          <cell r="K86">
            <v>-40301.610448799212</v>
          </cell>
          <cell r="M86">
            <v>173982.45047473605</v>
          </cell>
        </row>
        <row r="89">
          <cell r="Q89">
            <v>78668.110731510154</v>
          </cell>
          <cell r="R89">
            <v>82923.267131428162</v>
          </cell>
        </row>
      </sheetData>
      <sheetData sheetId="9">
        <row r="2">
          <cell r="N2">
            <v>26000</v>
          </cell>
        </row>
        <row r="5">
          <cell r="T5">
            <v>26000</v>
          </cell>
          <cell r="U5">
            <v>23976</v>
          </cell>
        </row>
        <row r="9">
          <cell r="E9">
            <v>224.10000000000002</v>
          </cell>
          <cell r="F9">
            <v>219.30182615894037</v>
          </cell>
          <cell r="G9">
            <v>100000</v>
          </cell>
          <cell r="H9">
            <v>100012.05379326054</v>
          </cell>
        </row>
        <row r="10">
          <cell r="E10">
            <v>45.8</v>
          </cell>
          <cell r="F10">
            <v>66.987714403973527</v>
          </cell>
          <cell r="G10">
            <v>92100</v>
          </cell>
          <cell r="H10">
            <v>92101.892658260083</v>
          </cell>
        </row>
        <row r="11">
          <cell r="E11">
            <v>0</v>
          </cell>
          <cell r="F11">
            <v>0</v>
          </cell>
        </row>
        <row r="12">
          <cell r="E12">
            <v>45.8</v>
          </cell>
          <cell r="F12">
            <v>39.635271523178822</v>
          </cell>
          <cell r="G12">
            <v>65000</v>
          </cell>
          <cell r="H12">
            <v>65404.264188061788</v>
          </cell>
        </row>
        <row r="13">
          <cell r="E13">
            <v>35.29999999999999</v>
          </cell>
          <cell r="F13">
            <v>30.744519453642361</v>
          </cell>
          <cell r="G13">
            <v>35200</v>
          </cell>
          <cell r="H13">
            <v>35309.480601311632</v>
          </cell>
        </row>
        <row r="14">
          <cell r="E14">
            <v>0</v>
          </cell>
          <cell r="F14">
            <v>0</v>
          </cell>
        </row>
        <row r="15">
          <cell r="E15">
            <v>351.00000000000006</v>
          </cell>
          <cell r="F15">
            <v>356.66933153973503</v>
          </cell>
        </row>
        <row r="16">
          <cell r="E16">
            <v>822</v>
          </cell>
          <cell r="F16">
            <v>818.63824503311196</v>
          </cell>
          <cell r="G16">
            <v>10666.666666666666</v>
          </cell>
          <cell r="H16">
            <v>11305.619795432376</v>
          </cell>
        </row>
        <row r="17">
          <cell r="E17">
            <v>911.40000000000009</v>
          </cell>
          <cell r="F17">
            <v>919.21916390728472</v>
          </cell>
          <cell r="G17">
            <v>17676.111186186386</v>
          </cell>
          <cell r="H17">
            <v>18550.702247602087</v>
          </cell>
        </row>
        <row r="19">
          <cell r="E19">
            <v>4.8650000000000002</v>
          </cell>
          <cell r="F19">
            <v>3.1215066225165553</v>
          </cell>
        </row>
        <row r="20">
          <cell r="Q20">
            <v>59861.68773509028</v>
          </cell>
          <cell r="R20">
            <v>60881.089776490073</v>
          </cell>
        </row>
        <row r="21">
          <cell r="Q21">
            <v>16266.590087232355</v>
          </cell>
          <cell r="R21">
            <v>17445.588948675497</v>
          </cell>
        </row>
        <row r="22">
          <cell r="Q22">
            <v>76.923076923076934</v>
          </cell>
          <cell r="R22">
            <v>255.9176324503311</v>
          </cell>
        </row>
        <row r="50">
          <cell r="Q50">
            <v>81395.452437707252</v>
          </cell>
          <cell r="R50">
            <v>84112.605629139071</v>
          </cell>
        </row>
        <row r="56">
          <cell r="L56">
            <v>-53017.309413531417</v>
          </cell>
        </row>
        <row r="80">
          <cell r="H80">
            <v>46470</v>
          </cell>
          <cell r="I80">
            <v>51362.936999999991</v>
          </cell>
          <cell r="L80">
            <v>-4892.9369999999954</v>
          </cell>
        </row>
        <row r="85">
          <cell r="H85">
            <v>29081.277888888893</v>
          </cell>
          <cell r="I85">
            <v>43465.981939999998</v>
          </cell>
          <cell r="L85">
            <v>-14384.704051111104</v>
          </cell>
          <cell r="Q85">
            <v>103255.2623076923</v>
          </cell>
          <cell r="R85">
            <v>102586.08608608608</v>
          </cell>
        </row>
        <row r="86">
          <cell r="H86">
            <v>492803.77873072267</v>
          </cell>
          <cell r="I86">
            <v>360220.40399999986</v>
          </cell>
          <cell r="K86">
            <v>-16044.169089230725</v>
          </cell>
          <cell r="M86">
            <v>-44244.25517684978</v>
          </cell>
        </row>
        <row r="89">
          <cell r="Q89">
            <v>76205.200899245712</v>
          </cell>
          <cell r="R89">
            <v>78582.596357615912</v>
          </cell>
        </row>
      </sheetData>
      <sheetData sheetId="10">
        <row r="2">
          <cell r="N2">
            <v>12000</v>
          </cell>
        </row>
        <row r="5">
          <cell r="T5">
            <v>12000</v>
          </cell>
          <cell r="U5">
            <v>14268</v>
          </cell>
        </row>
        <row r="9">
          <cell r="E9">
            <v>165.44</v>
          </cell>
          <cell r="F9">
            <v>218.11332705404993</v>
          </cell>
          <cell r="G9">
            <v>100000</v>
          </cell>
          <cell r="H9">
            <v>100000.20728141484</v>
          </cell>
        </row>
        <row r="10">
          <cell r="E10">
            <v>148.79</v>
          </cell>
          <cell r="F10">
            <v>114.58622808288654</v>
          </cell>
          <cell r="G10">
            <v>92100.000000000015</v>
          </cell>
          <cell r="H10">
            <v>92099.979164336633</v>
          </cell>
        </row>
        <row r="11">
          <cell r="E11">
            <v>0</v>
          </cell>
          <cell r="F11">
            <v>0</v>
          </cell>
        </row>
        <row r="12">
          <cell r="E12">
            <v>13.12</v>
          </cell>
          <cell r="F12">
            <v>4.3168395884654407</v>
          </cell>
          <cell r="G12">
            <v>64000</v>
          </cell>
          <cell r="H12">
            <v>63176.192686865703</v>
          </cell>
        </row>
        <row r="13">
          <cell r="E13">
            <v>19.18</v>
          </cell>
          <cell r="F13">
            <v>15.744824663092297</v>
          </cell>
          <cell r="G13">
            <v>35000</v>
          </cell>
          <cell r="H13">
            <v>34999.997929226214</v>
          </cell>
        </row>
        <row r="14">
          <cell r="E14">
            <v>0</v>
          </cell>
          <cell r="F14">
            <v>0</v>
          </cell>
        </row>
        <row r="15">
          <cell r="E15">
            <v>346.53000000000003</v>
          </cell>
          <cell r="F15">
            <v>352.76121938849417</v>
          </cell>
        </row>
        <row r="16">
          <cell r="E16">
            <v>830</v>
          </cell>
          <cell r="F16">
            <v>783.13831328792924</v>
          </cell>
          <cell r="G16">
            <v>9426.6666666666679</v>
          </cell>
          <cell r="H16">
            <v>9791.7871193810643</v>
          </cell>
        </row>
        <row r="17">
          <cell r="E17">
            <v>890</v>
          </cell>
          <cell r="F17">
            <v>936.75286190407132</v>
          </cell>
          <cell r="G17">
            <v>17730.479017177091</v>
          </cell>
          <cell r="H17">
            <v>16174.497486786173</v>
          </cell>
        </row>
        <row r="19">
          <cell r="E19">
            <v>3.3</v>
          </cell>
          <cell r="F19">
            <v>3.5176785973047395</v>
          </cell>
        </row>
        <row r="20">
          <cell r="Q20">
            <v>57995.398658620943</v>
          </cell>
          <cell r="R20">
            <v>59291.017098971155</v>
          </cell>
        </row>
        <row r="21">
          <cell r="Q21">
            <v>18115.390073099417</v>
          </cell>
          <cell r="R21">
            <v>17715.305100710044</v>
          </cell>
        </row>
        <row r="22">
          <cell r="Q22">
            <v>379.16666666666663</v>
          </cell>
          <cell r="R22">
            <v>418.1583103897986</v>
          </cell>
        </row>
        <row r="50">
          <cell r="Q50">
            <v>83814.552169626724</v>
          </cell>
          <cell r="R50">
            <v>84274.454137081571</v>
          </cell>
        </row>
        <row r="56">
          <cell r="L56">
            <v>-2989.5827348117346</v>
          </cell>
        </row>
        <row r="80">
          <cell r="H80">
            <v>34319.57</v>
          </cell>
          <cell r="I80">
            <v>35689.276000000005</v>
          </cell>
          <cell r="L80">
            <v>-1369.7060000000019</v>
          </cell>
        </row>
        <row r="85">
          <cell r="H85">
            <v>13037.444888888889</v>
          </cell>
          <cell r="I85">
            <v>16562.52522</v>
          </cell>
          <cell r="L85">
            <v>-3525.0803311111122</v>
          </cell>
          <cell r="Q85">
            <v>101000.2</v>
          </cell>
          <cell r="R85">
            <v>93214.324011012912</v>
          </cell>
        </row>
        <row r="86">
          <cell r="H86">
            <v>158870.75907559032</v>
          </cell>
          <cell r="I86">
            <v>76218.467000000193</v>
          </cell>
          <cell r="K86">
            <v>-107460.66039999975</v>
          </cell>
          <cell r="M86">
            <v>32692.737390332652</v>
          </cell>
        </row>
        <row r="89">
          <cell r="Q89">
            <v>76489.955398387028</v>
          </cell>
          <cell r="R89">
            <v>77424.480510070993</v>
          </cell>
        </row>
      </sheetData>
      <sheetData sheetId="11">
        <row r="2">
          <cell r="N2">
            <v>18000</v>
          </cell>
        </row>
        <row r="5">
          <cell r="T5">
            <v>18000</v>
          </cell>
          <cell r="U5">
            <v>24315</v>
          </cell>
        </row>
        <row r="9">
          <cell r="E9">
            <v>207.8</v>
          </cell>
          <cell r="F9">
            <v>207.87451708400152</v>
          </cell>
          <cell r="G9">
            <v>100000</v>
          </cell>
          <cell r="H9">
            <v>100018.56987172256</v>
          </cell>
        </row>
        <row r="10">
          <cell r="E10">
            <v>74.5</v>
          </cell>
          <cell r="F10">
            <v>67.562319805929008</v>
          </cell>
          <cell r="G10">
            <v>92100.000000000015</v>
          </cell>
          <cell r="H10">
            <v>92099.465136930143</v>
          </cell>
        </row>
        <row r="11">
          <cell r="E11">
            <v>0</v>
          </cell>
          <cell r="F11">
            <v>0</v>
          </cell>
        </row>
        <row r="12">
          <cell r="E12">
            <v>41.4</v>
          </cell>
          <cell r="F12">
            <v>51.32429546482463</v>
          </cell>
          <cell r="G12">
            <v>63499.999999999993</v>
          </cell>
          <cell r="H12">
            <v>63655.926022804633</v>
          </cell>
        </row>
        <row r="13">
          <cell r="E13">
            <v>35.700000000000003</v>
          </cell>
          <cell r="F13">
            <v>39.80437153077586</v>
          </cell>
          <cell r="G13">
            <v>35500</v>
          </cell>
          <cell r="H13">
            <v>35499.99663251709</v>
          </cell>
        </row>
        <row r="14">
          <cell r="E14">
            <v>0</v>
          </cell>
          <cell r="F14">
            <v>0</v>
          </cell>
        </row>
        <row r="15">
          <cell r="E15">
            <v>359.4</v>
          </cell>
          <cell r="F15">
            <v>366.56550388553103</v>
          </cell>
        </row>
        <row r="16">
          <cell r="E16">
            <v>795</v>
          </cell>
          <cell r="F16">
            <v>792.40491756095605</v>
          </cell>
          <cell r="G16">
            <v>10733.333333333332</v>
          </cell>
          <cell r="H16">
            <v>11670.90194727294</v>
          </cell>
        </row>
        <row r="17">
          <cell r="E17">
            <v>920</v>
          </cell>
          <cell r="F17">
            <v>920.6049504543397</v>
          </cell>
          <cell r="G17">
            <v>18315.171013635976</v>
          </cell>
          <cell r="H17">
            <v>18642.116114790901</v>
          </cell>
        </row>
        <row r="19">
          <cell r="E19">
            <v>3.0584700000000002</v>
          </cell>
          <cell r="F19">
            <v>2.9072488795690985</v>
          </cell>
        </row>
        <row r="20">
          <cell r="Q20">
            <v>59233.160532545087</v>
          </cell>
          <cell r="R20">
            <v>60769.291353151602</v>
          </cell>
        </row>
        <row r="21">
          <cell r="Q21">
            <v>19050.002777777776</v>
          </cell>
          <cell r="R21">
            <v>19662.555281444016</v>
          </cell>
        </row>
        <row r="22">
          <cell r="Q22">
            <v>250</v>
          </cell>
          <cell r="R22">
            <v>214.21812425475926</v>
          </cell>
        </row>
        <row r="50">
          <cell r="Q50">
            <v>85331.799088100641</v>
          </cell>
          <cell r="R50">
            <v>85724.931335060232</v>
          </cell>
        </row>
        <row r="56">
          <cell r="L56">
            <v>-4427.9933728329788</v>
          </cell>
        </row>
        <row r="80">
          <cell r="H80">
            <v>44109.53</v>
          </cell>
          <cell r="I80">
            <v>43166.176000000007</v>
          </cell>
          <cell r="L80">
            <v>943.35399999999527</v>
          </cell>
        </row>
        <row r="85">
          <cell r="H85">
            <v>24416.41333333333</v>
          </cell>
          <cell r="I85">
            <v>29460.0448</v>
          </cell>
          <cell r="L85">
            <v>-5043.6314666666676</v>
          </cell>
          <cell r="Q85">
            <v>104000</v>
          </cell>
          <cell r="R85">
            <v>101381.18856672835</v>
          </cell>
        </row>
        <row r="86">
          <cell r="H86">
            <v>267501.67308085505</v>
          </cell>
          <cell r="I86">
            <v>313186.69100000017</v>
          </cell>
          <cell r="K86">
            <v>-63676.400000000176</v>
          </cell>
          <cell r="M86">
            <v>117889.68875864451</v>
          </cell>
        </row>
        <row r="89">
          <cell r="Q89">
            <v>78533.163310322867</v>
          </cell>
          <cell r="R89">
            <v>80646.064758850378</v>
          </cell>
        </row>
      </sheetData>
      <sheetData sheetId="12">
        <row r="2">
          <cell r="N2">
            <v>11500</v>
          </cell>
        </row>
        <row r="5">
          <cell r="T5">
            <v>11500</v>
          </cell>
          <cell r="U5">
            <v>14568</v>
          </cell>
        </row>
        <row r="9">
          <cell r="E9">
            <v>226.18540869565217</v>
          </cell>
          <cell r="F9">
            <v>259.33731988472624</v>
          </cell>
          <cell r="G9">
            <v>100000</v>
          </cell>
          <cell r="H9">
            <v>99923.81803268673</v>
          </cell>
        </row>
        <row r="10">
          <cell r="E10">
            <v>6.6271304347826092</v>
          </cell>
          <cell r="F10">
            <v>0</v>
          </cell>
          <cell r="G10">
            <v>92100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64.914260869565211</v>
          </cell>
          <cell r="F12">
            <v>84.503606422396089</v>
          </cell>
          <cell r="G12">
            <v>62999.999999999993</v>
          </cell>
          <cell r="H12">
            <v>63287.882034327362</v>
          </cell>
        </row>
        <row r="13">
          <cell r="E13">
            <v>37.427478260869563</v>
          </cell>
          <cell r="F13">
            <v>23.21240496775081</v>
          </cell>
          <cell r="G13">
            <v>36000</v>
          </cell>
          <cell r="H13">
            <v>36000.022938383896</v>
          </cell>
        </row>
        <row r="14">
          <cell r="E14">
            <v>0</v>
          </cell>
          <cell r="F14">
            <v>0</v>
          </cell>
        </row>
        <row r="15">
          <cell r="E15">
            <v>335.15427826086955</v>
          </cell>
          <cell r="F15">
            <v>367.05333127487313</v>
          </cell>
        </row>
        <row r="16">
          <cell r="E16">
            <v>784</v>
          </cell>
          <cell r="F16">
            <v>788.83119925895426</v>
          </cell>
          <cell r="G16">
            <v>9066.6666666666661</v>
          </cell>
          <cell r="H16">
            <v>9572.4987901800869</v>
          </cell>
        </row>
        <row r="17">
          <cell r="E17">
            <v>899.05776347826099</v>
          </cell>
          <cell r="F17">
            <v>904.39927267737073</v>
          </cell>
          <cell r="G17">
            <v>17432.17388656026</v>
          </cell>
          <cell r="H17">
            <v>16747.722183508253</v>
          </cell>
        </row>
        <row r="19">
          <cell r="E19">
            <v>2.4677242347826085</v>
          </cell>
          <cell r="F19">
            <v>2.9821339371483457</v>
          </cell>
        </row>
        <row r="20">
          <cell r="Q20">
            <v>53279.816794307771</v>
          </cell>
          <cell r="R20">
            <v>57044.28571428571</v>
          </cell>
        </row>
        <row r="21">
          <cell r="Q21">
            <v>17463.187585812357</v>
          </cell>
          <cell r="R21">
            <v>16830.317414573899</v>
          </cell>
        </row>
        <row r="22">
          <cell r="Q22">
            <v>82.608695652173907</v>
          </cell>
          <cell r="R22">
            <v>30.905653904212979</v>
          </cell>
        </row>
        <row r="50">
          <cell r="Q50">
            <v>78599.169684467954</v>
          </cell>
          <cell r="R50">
            <v>80480.226773706599</v>
          </cell>
        </row>
        <row r="56">
          <cell r="L56">
            <v>-27363.225266671016</v>
          </cell>
        </row>
        <row r="80">
          <cell r="H80">
            <v>35058.870000000003</v>
          </cell>
          <cell r="I80">
            <v>27106.808000000001</v>
          </cell>
          <cell r="L80">
            <v>7952.0619999999999</v>
          </cell>
        </row>
        <row r="85">
          <cell r="H85">
            <v>11475.898111111112</v>
          </cell>
          <cell r="I85">
            <v>10682.80877</v>
          </cell>
          <cell r="L85">
            <v>793.08934111111182</v>
          </cell>
          <cell r="Q85">
            <v>96764.877391304355</v>
          </cell>
          <cell r="R85">
            <v>93528.677924217467</v>
          </cell>
        </row>
        <row r="86">
          <cell r="H86">
            <v>162370.87051750769</v>
          </cell>
          <cell r="I86">
            <v>152340.23399999991</v>
          </cell>
          <cell r="K86">
            <v>-47144.953836521781</v>
          </cell>
          <cell r="M86">
            <v>55732.391244574072</v>
          </cell>
        </row>
        <row r="89">
          <cell r="Q89">
            <v>70825.6130757723</v>
          </cell>
          <cell r="R89">
            <v>73905.50878276382</v>
          </cell>
        </row>
      </sheetData>
      <sheetData sheetId="13">
        <row r="2">
          <cell r="N2">
            <v>18000</v>
          </cell>
        </row>
        <row r="5">
          <cell r="T5">
            <v>18000</v>
          </cell>
          <cell r="U5">
            <v>20168.5</v>
          </cell>
        </row>
        <row r="9">
          <cell r="E9">
            <v>239.1</v>
          </cell>
          <cell r="F9">
            <v>254.49855467684768</v>
          </cell>
          <cell r="G9">
            <v>100000</v>
          </cell>
          <cell r="H9">
            <v>100004.69095741486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69</v>
          </cell>
          <cell r="F12">
            <v>62.62722017006714</v>
          </cell>
          <cell r="G12">
            <v>65000</v>
          </cell>
          <cell r="H12">
            <v>65007.530814594829</v>
          </cell>
        </row>
        <row r="13">
          <cell r="E13">
            <v>34.799999999999997</v>
          </cell>
          <cell r="F13">
            <v>38.188589136524776</v>
          </cell>
          <cell r="G13">
            <v>33000</v>
          </cell>
          <cell r="H13">
            <v>33000.000675143565</v>
          </cell>
        </row>
        <row r="14">
          <cell r="E14">
            <v>0</v>
          </cell>
          <cell r="F14">
            <v>0</v>
          </cell>
        </row>
        <row r="15">
          <cell r="E15">
            <v>342.90000000000003</v>
          </cell>
          <cell r="F15">
            <v>355.31436398343959</v>
          </cell>
        </row>
        <row r="16">
          <cell r="E16">
            <v>837.7</v>
          </cell>
          <cell r="F16">
            <v>877.45642958078179</v>
          </cell>
          <cell r="G16">
            <v>10400</v>
          </cell>
          <cell r="H16">
            <v>11209.951415439245</v>
          </cell>
        </row>
        <row r="17">
          <cell r="E17">
            <v>880.59999999999991</v>
          </cell>
          <cell r="F17">
            <v>840.58655824677055</v>
          </cell>
          <cell r="G17">
            <v>17019.616516901086</v>
          </cell>
          <cell r="H17">
            <v>17512.609351415093</v>
          </cell>
        </row>
        <row r="19">
          <cell r="E19">
            <v>3.08</v>
          </cell>
          <cell r="F19">
            <v>2.7864330515407687</v>
          </cell>
        </row>
        <row r="20">
          <cell r="Q20">
            <v>55702.154304783093</v>
          </cell>
          <cell r="R20">
            <v>57663.839353447205</v>
          </cell>
        </row>
        <row r="21">
          <cell r="Q21">
            <v>16491.015283687946</v>
          </cell>
          <cell r="R21">
            <v>16421.269504425218</v>
          </cell>
        </row>
        <row r="22">
          <cell r="Q22">
            <v>66.666666666666671</v>
          </cell>
          <cell r="R22">
            <v>82.035699233953949</v>
          </cell>
        </row>
        <row r="50">
          <cell r="Q50">
            <v>78889.880098116017</v>
          </cell>
          <cell r="R50">
            <v>79559.335002603068</v>
          </cell>
        </row>
        <row r="56">
          <cell r="L56">
            <v>-13101.688021147356</v>
          </cell>
        </row>
        <row r="80">
          <cell r="H80">
            <v>40196.69</v>
          </cell>
          <cell r="I80">
            <v>45186.14</v>
          </cell>
          <cell r="L80">
            <v>-4989.4499999999989</v>
          </cell>
        </row>
        <row r="85">
          <cell r="H85">
            <v>32560.991888888886</v>
          </cell>
          <cell r="I85">
            <v>31398.63522</v>
          </cell>
          <cell r="L85">
            <v>1162.3566688888859</v>
          </cell>
          <cell r="Q85">
            <v>101626.88888888889</v>
          </cell>
          <cell r="R85">
            <v>98673.837915561395</v>
          </cell>
        </row>
        <row r="86">
          <cell r="H86">
            <v>336508.47634502285</v>
          </cell>
          <cell r="I86">
            <v>309326.28999999998</v>
          </cell>
          <cell r="K86">
            <v>-59558.608555555598</v>
          </cell>
          <cell r="M86">
            <v>49305.203562790994</v>
          </cell>
        </row>
        <row r="89">
          <cell r="Q89">
            <v>72259.836255137707</v>
          </cell>
          <cell r="R89">
            <v>74167.144557106381</v>
          </cell>
        </row>
      </sheetData>
      <sheetData sheetId="14">
        <row r="2">
          <cell r="N2">
            <v>16500</v>
          </cell>
        </row>
        <row r="5">
          <cell r="T5">
            <v>16500</v>
          </cell>
          <cell r="U5">
            <v>20795</v>
          </cell>
        </row>
        <row r="9">
          <cell r="E9">
            <v>233.21999999999997</v>
          </cell>
          <cell r="F9">
            <v>239.93214907429672</v>
          </cell>
          <cell r="G9">
            <v>100000</v>
          </cell>
          <cell r="H9">
            <v>99999.998396597279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67.600000000000023</v>
          </cell>
          <cell r="F12">
            <v>80.504659773984187</v>
          </cell>
          <cell r="G12">
            <v>62499.999999999993</v>
          </cell>
          <cell r="H12">
            <v>62864.17480400145</v>
          </cell>
        </row>
        <row r="13">
          <cell r="E13">
            <v>37.180000000000007</v>
          </cell>
          <cell r="F13">
            <v>44.764743447944198</v>
          </cell>
          <cell r="G13">
            <v>35500</v>
          </cell>
          <cell r="H13">
            <v>35351.348833543881</v>
          </cell>
        </row>
        <row r="14">
          <cell r="E14">
            <v>0</v>
          </cell>
          <cell r="F14">
            <v>0</v>
          </cell>
        </row>
        <row r="15">
          <cell r="E15">
            <v>338</v>
          </cell>
          <cell r="F15">
            <v>365.20155229622515</v>
          </cell>
        </row>
        <row r="16">
          <cell r="E16">
            <v>773.65296287352862</v>
          </cell>
          <cell r="F16">
            <v>712.87641389757118</v>
          </cell>
          <cell r="G16">
            <v>10466.666666666668</v>
          </cell>
          <cell r="H16">
            <v>10490.356636012675</v>
          </cell>
        </row>
        <row r="17">
          <cell r="E17">
            <v>945.57584351209061</v>
          </cell>
          <cell r="F17">
            <v>973.19235984611737</v>
          </cell>
          <cell r="G17">
            <v>14718.131256952169</v>
          </cell>
          <cell r="H17">
            <v>14821.532028330101</v>
          </cell>
        </row>
        <row r="19">
          <cell r="E19">
            <v>2.7040000000000002</v>
          </cell>
          <cell r="F19">
            <v>3.2819151719163258</v>
          </cell>
        </row>
        <row r="20">
          <cell r="Q20">
            <v>52503.967056290479</v>
          </cell>
          <cell r="R20">
            <v>55086.333926424624</v>
          </cell>
        </row>
        <row r="21">
          <cell r="Q21">
            <v>16751.031174242424</v>
          </cell>
          <cell r="R21">
            <v>17899.422505409952</v>
          </cell>
        </row>
        <row r="22">
          <cell r="Q22">
            <v>321.21212121212125</v>
          </cell>
          <cell r="R22">
            <v>286.93907189228179</v>
          </cell>
        </row>
        <row r="50">
          <cell r="Q50">
            <v>76787.652897199558</v>
          </cell>
          <cell r="R50">
            <v>78688.327530656417</v>
          </cell>
        </row>
        <row r="56">
          <cell r="L56">
            <v>-39524.547422735333</v>
          </cell>
        </row>
        <row r="80">
          <cell r="H80">
            <v>34813.94</v>
          </cell>
          <cell r="I80">
            <v>36199.351999999999</v>
          </cell>
          <cell r="L80">
            <v>-1385.4120000000016</v>
          </cell>
        </row>
        <row r="85">
          <cell r="H85">
            <v>14898.031030231863</v>
          </cell>
          <cell r="I85">
            <v>14419.280579999999</v>
          </cell>
          <cell r="L85">
            <v>478.75045023186249</v>
          </cell>
          <cell r="Q85">
            <v>97760</v>
          </cell>
          <cell r="R85">
            <v>100540.06732387593</v>
          </cell>
        </row>
        <row r="86">
          <cell r="H86">
            <v>296331.75616597541</v>
          </cell>
          <cell r="I86">
            <v>403788.27799999987</v>
          </cell>
          <cell r="K86">
            <v>57811.500000000036</v>
          </cell>
          <cell r="M86">
            <v>90076.23080652795</v>
          </cell>
        </row>
        <row r="89">
          <cell r="Q89">
            <v>69576.21035174503</v>
          </cell>
          <cell r="R89">
            <v>73272.695503726849</v>
          </cell>
        </row>
      </sheetData>
      <sheetData sheetId="15">
        <row r="2">
          <cell r="N2">
            <v>10000</v>
          </cell>
        </row>
        <row r="5">
          <cell r="T5">
            <v>10000</v>
          </cell>
          <cell r="U5">
            <v>11917</v>
          </cell>
        </row>
        <row r="9">
          <cell r="E9">
            <v>218.70000000000002</v>
          </cell>
          <cell r="F9">
            <v>228.00285642359648</v>
          </cell>
          <cell r="G9">
            <v>100000</v>
          </cell>
          <cell r="H9">
            <v>99999.923448076472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98.7</v>
          </cell>
          <cell r="F12">
            <v>98.508014600990208</v>
          </cell>
          <cell r="G12">
            <v>61300</v>
          </cell>
          <cell r="H12">
            <v>61287.574440442491</v>
          </cell>
        </row>
        <row r="13">
          <cell r="E13">
            <v>35.299999999999997</v>
          </cell>
          <cell r="F13">
            <v>47.556979944616934</v>
          </cell>
          <cell r="G13">
            <v>37000</v>
          </cell>
          <cell r="H13">
            <v>36999.99186570874</v>
          </cell>
        </row>
        <row r="14">
          <cell r="E14">
            <v>0</v>
          </cell>
          <cell r="F14">
            <v>0</v>
          </cell>
        </row>
        <row r="15">
          <cell r="E15">
            <v>352.70000000000005</v>
          </cell>
          <cell r="F15">
            <v>374.06785096920362</v>
          </cell>
        </row>
        <row r="16">
          <cell r="E16">
            <v>725</v>
          </cell>
          <cell r="F16">
            <v>777.17865234538885</v>
          </cell>
          <cell r="G16">
            <v>10546.666666666666</v>
          </cell>
          <cell r="H16">
            <v>11223.984353523643</v>
          </cell>
        </row>
        <row r="17">
          <cell r="E17">
            <v>967</v>
          </cell>
          <cell r="F17">
            <v>831.9288411512963</v>
          </cell>
          <cell r="G17">
            <v>18685.571581890948</v>
          </cell>
          <cell r="H17">
            <v>19833.352632453836</v>
          </cell>
        </row>
        <row r="19">
          <cell r="E19">
            <v>3.2</v>
          </cell>
          <cell r="F19">
            <v>3.1887765377192254</v>
          </cell>
        </row>
        <row r="20">
          <cell r="Q20">
            <v>56861.691053021874</v>
          </cell>
          <cell r="R20">
            <v>58304.650834941676</v>
          </cell>
        </row>
        <row r="21">
          <cell r="Q21">
            <v>20426.034633699637</v>
          </cell>
          <cell r="R21">
            <v>19756.746412687757</v>
          </cell>
        </row>
        <row r="22">
          <cell r="Q22">
            <v>260</v>
          </cell>
          <cell r="R22">
            <v>272.51481077452382</v>
          </cell>
        </row>
        <row r="50">
          <cell r="Q50">
            <v>86955.733068614849</v>
          </cell>
          <cell r="R50">
            <v>85053.158680876048</v>
          </cell>
        </row>
        <row r="56">
          <cell r="L56">
            <v>22672.954678683163</v>
          </cell>
        </row>
        <row r="80">
          <cell r="H80">
            <v>26229.420000000002</v>
          </cell>
          <cell r="I80">
            <v>27057.460999999999</v>
          </cell>
          <cell r="L80">
            <v>-828.04099999999744</v>
          </cell>
        </row>
        <row r="85">
          <cell r="H85">
            <v>12571.594333333333</v>
          </cell>
          <cell r="I85">
            <v>12972.3127</v>
          </cell>
          <cell r="L85">
            <v>-400.71836666666786</v>
          </cell>
          <cell r="Q85">
            <v>101293.09999999999</v>
          </cell>
          <cell r="R85">
            <v>104149.18603675422</v>
          </cell>
        </row>
        <row r="86">
          <cell r="H86">
            <v>104572.65498051819</v>
          </cell>
          <cell r="I86">
            <v>187537.56000000017</v>
          </cell>
          <cell r="K86">
            <v>34035.977300000202</v>
          </cell>
          <cell r="M86">
            <v>27484.732407465286</v>
          </cell>
        </row>
        <row r="89">
          <cell r="Q89">
            <v>77547.725686721504</v>
          </cell>
          <cell r="R89">
            <v>78333.912058403948</v>
          </cell>
        </row>
      </sheetData>
      <sheetData sheetId="16">
        <row r="2">
          <cell r="N2">
            <v>24000</v>
          </cell>
        </row>
        <row r="5">
          <cell r="T5">
            <v>24000</v>
          </cell>
          <cell r="U5">
            <v>32637</v>
          </cell>
        </row>
        <row r="9">
          <cell r="E9">
            <v>231.38416666666666</v>
          </cell>
          <cell r="F9">
            <v>305.31779554575246</v>
          </cell>
          <cell r="G9">
            <v>100000</v>
          </cell>
          <cell r="H9">
            <v>100643.96550568542</v>
          </cell>
        </row>
        <row r="10">
          <cell r="E10">
            <v>64.87833333333333</v>
          </cell>
          <cell r="F10">
            <v>10.95230769230769</v>
          </cell>
          <cell r="G10">
            <v>87100.000000000015</v>
          </cell>
          <cell r="H10">
            <v>87099.965657498367</v>
          </cell>
        </row>
        <row r="11">
          <cell r="E11">
            <v>0</v>
          </cell>
          <cell r="F11">
            <v>0</v>
          </cell>
        </row>
        <row r="12">
          <cell r="E12">
            <v>32.523333333333326</v>
          </cell>
          <cell r="F12">
            <v>29.561443188432428</v>
          </cell>
          <cell r="G12">
            <v>64500.000000000015</v>
          </cell>
          <cell r="H12">
            <v>64416.672118453251</v>
          </cell>
        </row>
        <row r="13">
          <cell r="E13">
            <v>32.523333333333326</v>
          </cell>
          <cell r="F13">
            <v>35.139559783108169</v>
          </cell>
          <cell r="G13">
            <v>42000</v>
          </cell>
          <cell r="H13">
            <v>43272.407609833019</v>
          </cell>
        </row>
        <row r="14">
          <cell r="E14">
            <v>0</v>
          </cell>
          <cell r="F14">
            <v>0</v>
          </cell>
        </row>
        <row r="15">
          <cell r="E15">
            <v>361.30916666666661</v>
          </cell>
          <cell r="F15">
            <v>380.97110620960069</v>
          </cell>
        </row>
        <row r="16">
          <cell r="E16">
            <v>854.9133333333333</v>
          </cell>
          <cell r="F16">
            <v>844.98745375731448</v>
          </cell>
          <cell r="G16">
            <v>10933.333333333334</v>
          </cell>
          <cell r="H16">
            <v>11500.984605151692</v>
          </cell>
        </row>
        <row r="17">
          <cell r="E17">
            <v>864.74416666666662</v>
          </cell>
          <cell r="F17">
            <v>886.89665995772498</v>
          </cell>
          <cell r="G17">
            <v>13742.253874325719</v>
          </cell>
          <cell r="H17">
            <v>13415.827664684894</v>
          </cell>
        </row>
        <row r="19">
          <cell r="E19">
            <v>3.0019333333333331</v>
          </cell>
          <cell r="F19">
            <v>3.201692491498942</v>
          </cell>
        </row>
        <row r="20">
          <cell r="Q20">
            <v>56035.284152453351</v>
          </cell>
          <cell r="R20">
            <v>59426.672916092262</v>
          </cell>
        </row>
        <row r="21">
          <cell r="Q21">
            <v>19763.523670212766</v>
          </cell>
          <cell r="R21">
            <v>15632.573936219098</v>
          </cell>
        </row>
        <row r="22">
          <cell r="Q22">
            <v>208.33333333333334</v>
          </cell>
          <cell r="R22">
            <v>144.46009864289434</v>
          </cell>
        </row>
        <row r="50">
          <cell r="Q50">
            <v>81592.097504200778</v>
          </cell>
          <cell r="R50">
            <v>79872.592071807114</v>
          </cell>
        </row>
        <row r="56">
          <cell r="L56">
            <v>56145.326774601133</v>
          </cell>
        </row>
        <row r="80">
          <cell r="H80">
            <v>40901.259999999995</v>
          </cell>
          <cell r="I80">
            <v>47610.42</v>
          </cell>
          <cell r="L80">
            <v>-6709.1600000000062</v>
          </cell>
        </row>
        <row r="85">
          <cell r="H85">
            <v>34063.269</v>
          </cell>
          <cell r="I85">
            <v>35665.640530000004</v>
          </cell>
          <cell r="L85">
            <v>-1602.371530000004</v>
          </cell>
          <cell r="Q85">
            <v>101000.15</v>
          </cell>
          <cell r="R85">
            <v>103299.38355240985</v>
          </cell>
        </row>
        <row r="86">
          <cell r="H86">
            <v>390828.73089918087</v>
          </cell>
          <cell r="I86">
            <v>681329.96100000048</v>
          </cell>
          <cell r="K86">
            <v>75040.085450000595</v>
          </cell>
          <cell r="M86">
            <v>167627.34940621781</v>
          </cell>
        </row>
        <row r="89">
          <cell r="Q89">
            <v>76007.141155999445</v>
          </cell>
          <cell r="R89">
            <v>75203.706950954263</v>
          </cell>
        </row>
      </sheetData>
      <sheetData sheetId="17">
        <row r="2">
          <cell r="N2">
            <v>7000</v>
          </cell>
        </row>
        <row r="5">
          <cell r="T5">
            <v>7000</v>
          </cell>
          <cell r="U5">
            <v>7601</v>
          </cell>
        </row>
        <row r="9">
          <cell r="E9">
            <v>259.89999999999998</v>
          </cell>
          <cell r="F9">
            <v>262.54782397053009</v>
          </cell>
          <cell r="G9">
            <v>100000</v>
          </cell>
          <cell r="H9">
            <v>100001.24171562589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44.4</v>
          </cell>
          <cell r="F12">
            <v>48.534271806341273</v>
          </cell>
          <cell r="G12">
            <v>64000</v>
          </cell>
          <cell r="H12">
            <v>63924.149315955961</v>
          </cell>
        </row>
        <row r="13">
          <cell r="E13">
            <v>39.199999999999996</v>
          </cell>
          <cell r="F13">
            <v>40.495465070385471</v>
          </cell>
          <cell r="G13">
            <v>49000</v>
          </cell>
          <cell r="H13">
            <v>49000.008219462114</v>
          </cell>
        </row>
        <row r="14">
          <cell r="E14">
            <v>0</v>
          </cell>
          <cell r="F14">
            <v>0</v>
          </cell>
        </row>
        <row r="15">
          <cell r="E15">
            <v>343.49999999999994</v>
          </cell>
          <cell r="F15">
            <v>351.57756084725685</v>
          </cell>
        </row>
        <row r="16">
          <cell r="E16">
            <v>815.90000000000009</v>
          </cell>
          <cell r="F16">
            <v>837.49769767135899</v>
          </cell>
          <cell r="G16">
            <v>13666.666666666666</v>
          </cell>
          <cell r="H16">
            <v>14134.515741884001</v>
          </cell>
        </row>
        <row r="17">
          <cell r="E17">
            <v>953.30000000000007</v>
          </cell>
          <cell r="F17">
            <v>948.37850282857505</v>
          </cell>
          <cell r="G17">
            <v>13419.354838709678</v>
          </cell>
          <cell r="H17">
            <v>14004.018935650005</v>
          </cell>
        </row>
        <row r="19">
          <cell r="E19">
            <v>2.871</v>
          </cell>
          <cell r="F19">
            <v>2.8189185633469283</v>
          </cell>
        </row>
        <row r="20">
          <cell r="Q20">
            <v>56418.304301075259</v>
          </cell>
          <cell r="R20">
            <v>58227.264044204712</v>
          </cell>
        </row>
        <row r="21">
          <cell r="Q21">
            <v>15776.610355303974</v>
          </cell>
          <cell r="R21">
            <v>13363.85646625444</v>
          </cell>
        </row>
        <row r="22">
          <cell r="Q22">
            <v>214.28571428571428</v>
          </cell>
          <cell r="R22">
            <v>263.83370609130378</v>
          </cell>
        </row>
        <row r="50">
          <cell r="Q50">
            <v>82047.356319929619</v>
          </cell>
          <cell r="R50">
            <v>81569.88119984213</v>
          </cell>
        </row>
        <row r="56">
          <cell r="L56">
            <v>3629.2784677851723</v>
          </cell>
        </row>
        <row r="80">
          <cell r="H80">
            <v>9974.630000000001</v>
          </cell>
          <cell r="I80">
            <v>11702.999</v>
          </cell>
          <cell r="L80">
            <v>-1728.3689999999992</v>
          </cell>
        </row>
        <row r="85">
          <cell r="H85">
            <v>5428.9927777777775</v>
          </cell>
          <cell r="I85">
            <v>5774.1460799999995</v>
          </cell>
          <cell r="L85">
            <v>-345.15330222222201</v>
          </cell>
          <cell r="Q85">
            <v>107900</v>
          </cell>
          <cell r="R85">
            <v>111673.88501512959</v>
          </cell>
        </row>
        <row r="86">
          <cell r="H86">
            <v>165564.88298271474</v>
          </cell>
          <cell r="I86">
            <v>211343.37799999994</v>
          </cell>
          <cell r="K86">
            <v>28685.300000000028</v>
          </cell>
          <cell r="M86">
            <v>15537.438851722291</v>
          </cell>
        </row>
        <row r="89">
          <cell r="Q89">
            <v>72409.200370664941</v>
          </cell>
          <cell r="R89">
            <v>71854.954216550454</v>
          </cell>
        </row>
      </sheetData>
      <sheetData sheetId="18">
        <row r="2">
          <cell r="N2">
            <v>7500</v>
          </cell>
        </row>
        <row r="5">
          <cell r="T5">
            <v>7500</v>
          </cell>
          <cell r="U5">
            <v>10731</v>
          </cell>
        </row>
        <row r="9">
          <cell r="E9">
            <v>218.5</v>
          </cell>
          <cell r="F9">
            <v>250.42284064450038</v>
          </cell>
          <cell r="G9">
            <v>100000</v>
          </cell>
          <cell r="H9">
            <v>99999.999628085483</v>
          </cell>
        </row>
        <row r="10">
          <cell r="E10">
            <v>13</v>
          </cell>
          <cell r="F10">
            <v>24.805255658005027</v>
          </cell>
          <cell r="G10">
            <v>95000</v>
          </cell>
          <cell r="H10">
            <v>95182.778558188758</v>
          </cell>
        </row>
        <row r="11">
          <cell r="E11">
            <v>0</v>
          </cell>
          <cell r="F11">
            <v>0</v>
          </cell>
        </row>
        <row r="12">
          <cell r="E12">
            <v>85</v>
          </cell>
          <cell r="F12">
            <v>72.511875756729026</v>
          </cell>
          <cell r="G12">
            <v>64900.000000000007</v>
          </cell>
          <cell r="H12">
            <v>64890.425081041627</v>
          </cell>
        </row>
        <row r="13">
          <cell r="E13">
            <v>21.3</v>
          </cell>
          <cell r="F13">
            <v>18.706348141939088</v>
          </cell>
          <cell r="G13">
            <v>37500</v>
          </cell>
          <cell r="H13">
            <v>39596.333702862728</v>
          </cell>
        </row>
        <row r="14">
          <cell r="E14">
            <v>0</v>
          </cell>
          <cell r="F14">
            <v>0</v>
          </cell>
        </row>
        <row r="15">
          <cell r="E15">
            <v>337.8</v>
          </cell>
          <cell r="F15">
            <v>366.44632020117353</v>
          </cell>
        </row>
        <row r="16">
          <cell r="E16">
            <v>785</v>
          </cell>
          <cell r="F16">
            <v>815.48477228276067</v>
          </cell>
          <cell r="G16">
            <v>13666.666666666666</v>
          </cell>
          <cell r="H16">
            <v>13972.839104325558</v>
          </cell>
        </row>
        <row r="17">
          <cell r="E17">
            <v>935</v>
          </cell>
          <cell r="F17">
            <v>902.07553320294335</v>
          </cell>
          <cell r="G17">
            <v>14837.329653268933</v>
          </cell>
          <cell r="H17">
            <v>15149.12635633263</v>
          </cell>
        </row>
        <row r="19">
          <cell r="E19">
            <v>2.84</v>
          </cell>
          <cell r="F19">
            <v>2.7762037813169407</v>
          </cell>
        </row>
        <row r="20">
          <cell r="Q20">
            <v>56557.486559139783</v>
          </cell>
          <cell r="R20">
            <v>59967.748812517464</v>
          </cell>
        </row>
        <row r="21">
          <cell r="Q21">
            <v>12685.699003436426</v>
          </cell>
          <cell r="R21">
            <v>13359.195305951383</v>
          </cell>
        </row>
        <row r="22">
          <cell r="Q22">
            <v>60</v>
          </cell>
          <cell r="R22">
            <v>54.930148086057557</v>
          </cell>
        </row>
        <row r="50">
          <cell r="Q50">
            <v>77673.01528311873</v>
          </cell>
          <cell r="R50">
            <v>78856.325416783089</v>
          </cell>
        </row>
        <row r="56">
          <cell r="L56">
            <v>-12706.410836852967</v>
          </cell>
        </row>
        <row r="80">
          <cell r="H80">
            <v>10051.150000000001</v>
          </cell>
          <cell r="I80">
            <v>12117.554</v>
          </cell>
          <cell r="L80">
            <v>-2066.4040000000005</v>
          </cell>
        </row>
        <row r="85">
          <cell r="H85">
            <v>10246.369555555555</v>
          </cell>
          <cell r="I85">
            <v>10246.18316</v>
          </cell>
          <cell r="L85">
            <v>0.18639555555455445</v>
          </cell>
          <cell r="Q85">
            <v>108957.96426666666</v>
          </cell>
          <cell r="R85">
            <v>113508.02348336596</v>
          </cell>
        </row>
        <row r="86">
          <cell r="H86">
            <v>214339.59782105405</v>
          </cell>
          <cell r="I86">
            <v>349475.32500000007</v>
          </cell>
          <cell r="K86">
            <v>48826.685454400198</v>
          </cell>
          <cell r="M86">
            <v>101081.67016584342</v>
          </cell>
        </row>
        <row r="89">
          <cell r="Q89">
            <v>69303.185562576211</v>
          </cell>
          <cell r="R89">
            <v>73381.874266554907</v>
          </cell>
        </row>
      </sheetData>
      <sheetData sheetId="19">
        <row r="2">
          <cell r="N2">
            <v>12000</v>
          </cell>
        </row>
        <row r="5">
          <cell r="T5">
            <v>12000</v>
          </cell>
          <cell r="U5">
            <v>14195.5</v>
          </cell>
        </row>
        <row r="9">
          <cell r="E9">
            <v>233.54</v>
          </cell>
          <cell r="F9">
            <v>247.1276122714946</v>
          </cell>
          <cell r="G9">
            <v>100000</v>
          </cell>
          <cell r="H9">
            <v>99931.222314465209</v>
          </cell>
        </row>
        <row r="10">
          <cell r="E10">
            <v>13.36</v>
          </cell>
          <cell r="F10">
            <v>0.15589517804938183</v>
          </cell>
          <cell r="G10">
            <v>93100</v>
          </cell>
          <cell r="H10">
            <v>93203.374589360188</v>
          </cell>
        </row>
        <row r="11">
          <cell r="E11">
            <v>0</v>
          </cell>
          <cell r="F11">
            <v>0</v>
          </cell>
        </row>
        <row r="12">
          <cell r="E12">
            <v>60.870000000000005</v>
          </cell>
          <cell r="F12">
            <v>55.864399985910978</v>
          </cell>
          <cell r="G12">
            <v>65000</v>
          </cell>
          <cell r="H12">
            <v>64996.64089225958</v>
          </cell>
        </row>
        <row r="13">
          <cell r="E13">
            <v>29.800000000000004</v>
          </cell>
          <cell r="F13">
            <v>24.298481208833781</v>
          </cell>
          <cell r="G13">
            <v>36000</v>
          </cell>
          <cell r="H13">
            <v>35999.979010178591</v>
          </cell>
        </row>
        <row r="14">
          <cell r="E14">
            <v>0</v>
          </cell>
          <cell r="F14">
            <v>0</v>
          </cell>
        </row>
        <row r="15">
          <cell r="E15">
            <v>337.57</v>
          </cell>
          <cell r="F15">
            <v>327.44638864428873</v>
          </cell>
        </row>
        <row r="16">
          <cell r="E16">
            <v>764.65</v>
          </cell>
          <cell r="F16">
            <v>712.9174738473464</v>
          </cell>
          <cell r="G16">
            <v>12533.333333333336</v>
          </cell>
          <cell r="H16">
            <v>12925.841434277114</v>
          </cell>
        </row>
        <row r="17">
          <cell r="E17">
            <v>980.78000000000009</v>
          </cell>
          <cell r="F17">
            <v>1032.5106547849666</v>
          </cell>
          <cell r="G17">
            <v>14400.114063263671</v>
          </cell>
          <cell r="H17">
            <v>14889.397049397207</v>
          </cell>
        </row>
        <row r="19">
          <cell r="E19">
            <v>2.9</v>
          </cell>
          <cell r="F19">
            <v>2.2308090592089056</v>
          </cell>
        </row>
        <row r="20">
          <cell r="Q20">
            <v>55393.123204301075</v>
          </cell>
          <cell r="R20">
            <v>55577.869606565466</v>
          </cell>
        </row>
        <row r="21">
          <cell r="Q21">
            <v>17129.656330645161</v>
          </cell>
          <cell r="R21">
            <v>14997.635166073755</v>
          </cell>
        </row>
        <row r="22">
          <cell r="Q22">
            <v>250</v>
          </cell>
          <cell r="R22">
            <v>206.94205910323697</v>
          </cell>
        </row>
        <row r="50">
          <cell r="Q50">
            <v>80820.65818640629</v>
          </cell>
          <cell r="R50">
            <v>77876.212391250752</v>
          </cell>
        </row>
        <row r="56">
          <cell r="L56">
            <v>41797.874485130524</v>
          </cell>
        </row>
        <row r="80">
          <cell r="H80">
            <v>24959.47</v>
          </cell>
          <cell r="I80">
            <v>32955.062000000005</v>
          </cell>
          <cell r="L80">
            <v>-7995.5919999999987</v>
          </cell>
        </row>
        <row r="85">
          <cell r="H85">
            <v>23400.329333333335</v>
          </cell>
          <cell r="I85">
            <v>20789.6872</v>
          </cell>
          <cell r="L85">
            <v>2610.6421333333365</v>
          </cell>
          <cell r="Q85">
            <v>103872.2825</v>
          </cell>
          <cell r="R85">
            <v>96441.995702863598</v>
          </cell>
        </row>
        <row r="86">
          <cell r="H86">
            <v>228259.69242979103</v>
          </cell>
          <cell r="I86">
            <v>209805.8220000001</v>
          </cell>
          <cell r="K86">
            <v>-105476.63622874981</v>
          </cell>
          <cell r="M86">
            <v>50609.841180494986</v>
          </cell>
        </row>
        <row r="89">
          <cell r="Q89">
            <v>72772.779534946239</v>
          </cell>
          <cell r="R89">
            <v>70782.446831742462</v>
          </cell>
        </row>
      </sheetData>
      <sheetData sheetId="20">
        <row r="2">
          <cell r="N2">
            <v>6000</v>
          </cell>
        </row>
        <row r="5">
          <cell r="T5">
            <v>6000</v>
          </cell>
          <cell r="U5">
            <v>3716.5</v>
          </cell>
        </row>
        <row r="9">
          <cell r="E9">
            <v>342.69999999999993</v>
          </cell>
          <cell r="F9">
            <v>327.30178393649931</v>
          </cell>
          <cell r="G9">
            <v>117000</v>
          </cell>
          <cell r="H9">
            <v>116999.62154428156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0</v>
          </cell>
          <cell r="F12">
            <v>0</v>
          </cell>
          <cell r="G12">
            <v>0</v>
          </cell>
          <cell r="H12">
            <v>0</v>
          </cell>
        </row>
        <row r="13">
          <cell r="E13">
            <v>0</v>
          </cell>
          <cell r="F13">
            <v>0</v>
          </cell>
          <cell r="G13">
            <v>0</v>
          </cell>
          <cell r="H13">
            <v>0</v>
          </cell>
        </row>
        <row r="14">
          <cell r="E14">
            <v>0</v>
          </cell>
          <cell r="F14">
            <v>0</v>
          </cell>
        </row>
        <row r="15">
          <cell r="E15">
            <v>342.69999999999993</v>
          </cell>
          <cell r="F15">
            <v>327.30178393649931</v>
          </cell>
        </row>
        <row r="16">
          <cell r="E16">
            <v>709.7</v>
          </cell>
          <cell r="F16">
            <v>837.69675770213917</v>
          </cell>
          <cell r="G16">
            <v>18143.333333333336</v>
          </cell>
          <cell r="H16">
            <v>17762.350881701088</v>
          </cell>
        </row>
        <row r="17">
          <cell r="E17">
            <v>1038.3</v>
          </cell>
          <cell r="F17">
            <v>862.63823489842616</v>
          </cell>
          <cell r="G17">
            <v>18433.378210746429</v>
          </cell>
          <cell r="H17">
            <v>18601.625080513219</v>
          </cell>
        </row>
        <row r="19">
          <cell r="E19">
            <v>3.04</v>
          </cell>
          <cell r="F19">
            <v>2.7857554150410344</v>
          </cell>
        </row>
        <row r="20">
          <cell r="Q20">
            <v>74451.600262884676</v>
          </cell>
          <cell r="R20">
            <v>71395.641867348299</v>
          </cell>
        </row>
        <row r="21">
          <cell r="Q21">
            <v>16626.410256410258</v>
          </cell>
          <cell r="R21">
            <v>16635.805462128345</v>
          </cell>
        </row>
        <row r="22">
          <cell r="Q22">
            <v>0</v>
          </cell>
          <cell r="R22">
            <v>386.53114489438985</v>
          </cell>
        </row>
        <row r="50">
          <cell r="Q50">
            <v>101396.64951929494</v>
          </cell>
          <cell r="R50">
            <v>104004.4108704426</v>
          </cell>
        </row>
        <row r="56">
          <cell r="L56">
            <v>-9691.7484215404529</v>
          </cell>
        </row>
        <row r="80">
          <cell r="H80">
            <v>14777.390000000001</v>
          </cell>
          <cell r="I80">
            <v>14206.369999999999</v>
          </cell>
          <cell r="L80">
            <v>571.020000000001</v>
          </cell>
        </row>
        <row r="85">
          <cell r="H85">
            <v>10192.983842236315</v>
          </cell>
          <cell r="I85">
            <v>11146.087640000002</v>
          </cell>
          <cell r="L85">
            <v>-953.10379776368609</v>
          </cell>
          <cell r="Q85">
            <v>126800</v>
          </cell>
          <cell r="R85">
            <v>124585.10749360958</v>
          </cell>
        </row>
        <row r="86">
          <cell r="H86">
            <v>127449.72904199411</v>
          </cell>
          <cell r="I86">
            <v>51135.698000000019</v>
          </cell>
          <cell r="K86">
            <v>-8231.6479999999847</v>
          </cell>
          <cell r="M86">
            <v>-58008.550822690042</v>
          </cell>
        </row>
        <row r="89">
          <cell r="Q89">
            <v>91078.010519294941</v>
          </cell>
          <cell r="R89">
            <v>88417.978474371033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계"/>
      <sheetName val="수도권"/>
      <sheetName val="영남권"/>
      <sheetName val="중부권"/>
      <sheetName val="안양"/>
      <sheetName val="인천"/>
      <sheetName val="파주"/>
      <sheetName val="김포"/>
      <sheetName val="부산"/>
      <sheetName val="서부산"/>
      <sheetName val="김해"/>
      <sheetName val="정관"/>
      <sheetName val="양산"/>
      <sheetName val="창원"/>
      <sheetName val="대구"/>
      <sheetName val="울산"/>
      <sheetName val="아산"/>
      <sheetName val="원주"/>
      <sheetName val="군산"/>
      <sheetName val="전주"/>
      <sheetName val="제주"/>
    </sheetNames>
    <sheetDataSet>
      <sheetData sheetId="0">
        <row r="85">
          <cell r="Q85">
            <v>98307.131955357225</v>
          </cell>
        </row>
        <row r="89">
          <cell r="Q89">
            <v>71503.076454998314</v>
          </cell>
        </row>
        <row r="90">
          <cell r="Q90">
            <v>26804.055500358911</v>
          </cell>
        </row>
      </sheetData>
      <sheetData sheetId="1">
        <row r="5">
          <cell r="T5">
            <v>151045</v>
          </cell>
        </row>
        <row r="85">
          <cell r="Q85">
            <v>95385.129125175445</v>
          </cell>
        </row>
        <row r="89">
          <cell r="Q89">
            <v>72619.448995270286</v>
          </cell>
        </row>
        <row r="90">
          <cell r="Q90">
            <v>22765.680129905159</v>
          </cell>
        </row>
      </sheetData>
      <sheetData sheetId="2">
        <row r="5">
          <cell r="T5">
            <v>145644.5</v>
          </cell>
        </row>
        <row r="85">
          <cell r="Q85">
            <v>99395.408956843297</v>
          </cell>
        </row>
        <row r="89">
          <cell r="Q89">
            <v>71162.687567213245</v>
          </cell>
        </row>
        <row r="90">
          <cell r="Q90">
            <v>28232.721389630053</v>
          </cell>
        </row>
      </sheetData>
      <sheetData sheetId="3">
        <row r="5">
          <cell r="T5">
            <v>67712</v>
          </cell>
        </row>
        <row r="85">
          <cell r="Q85">
            <v>102538.02372387415</v>
          </cell>
        </row>
        <row r="89">
          <cell r="Q89">
            <v>69723.413483282493</v>
          </cell>
        </row>
        <row r="90">
          <cell r="Q90">
            <v>32814.610240591661</v>
          </cell>
        </row>
      </sheetData>
      <sheetData sheetId="4">
        <row r="85">
          <cell r="Q85">
            <v>94943.662179116975</v>
          </cell>
        </row>
        <row r="89">
          <cell r="Q89">
            <v>70931.390393378024</v>
          </cell>
        </row>
      </sheetData>
      <sheetData sheetId="5">
        <row r="85">
          <cell r="Q85">
            <v>99337.859564872429</v>
          </cell>
        </row>
        <row r="89">
          <cell r="Q89">
            <v>75890.570918580372</v>
          </cell>
        </row>
      </sheetData>
      <sheetData sheetId="6">
        <row r="85">
          <cell r="Q85">
            <v>92740.386160490118</v>
          </cell>
        </row>
        <row r="89">
          <cell r="Q89">
            <v>73021.059632567019</v>
          </cell>
        </row>
      </sheetData>
      <sheetData sheetId="7">
        <row r="85">
          <cell r="Q85">
            <v>91314.208433401058</v>
          </cell>
        </row>
        <row r="89">
          <cell r="Q89">
            <v>68746.767042305553</v>
          </cell>
        </row>
      </sheetData>
      <sheetData sheetId="8">
        <row r="85">
          <cell r="Q85">
            <v>101074.25937061536</v>
          </cell>
        </row>
        <row r="89">
          <cell r="Q89">
            <v>71905.299371459609</v>
          </cell>
        </row>
      </sheetData>
      <sheetData sheetId="9">
        <row r="85">
          <cell r="Q85">
            <v>105137.63329383887</v>
          </cell>
        </row>
        <row r="89">
          <cell r="Q89">
            <v>77181.321830568719</v>
          </cell>
        </row>
      </sheetData>
      <sheetData sheetId="10">
        <row r="85">
          <cell r="Q85">
            <v>101325.475694211</v>
          </cell>
        </row>
        <row r="89">
          <cell r="Q89">
            <v>75129.032004303095</v>
          </cell>
        </row>
      </sheetData>
      <sheetData sheetId="11">
        <row r="85">
          <cell r="Q85">
            <v>101040.62319069424</v>
          </cell>
        </row>
        <row r="89">
          <cell r="Q89">
            <v>75177.279031833721</v>
          </cell>
        </row>
      </sheetData>
      <sheetData sheetId="12">
        <row r="85">
          <cell r="Q85">
            <v>95847.989257678011</v>
          </cell>
        </row>
        <row r="89">
          <cell r="Q89">
            <v>68016.333562870117</v>
          </cell>
        </row>
      </sheetData>
      <sheetData sheetId="13">
        <row r="85">
          <cell r="Q85">
            <v>99190.729722857868</v>
          </cell>
        </row>
        <row r="89">
          <cell r="Q89">
            <v>65843.597965929308</v>
          </cell>
        </row>
      </sheetData>
      <sheetData sheetId="14">
        <row r="85">
          <cell r="Q85">
            <v>94819.916245294371</v>
          </cell>
        </row>
        <row r="89">
          <cell r="Q89">
            <v>65452.774641926357</v>
          </cell>
        </row>
      </sheetData>
      <sheetData sheetId="15">
        <row r="85">
          <cell r="Q85">
            <v>93352.208997377442</v>
          </cell>
        </row>
        <row r="89">
          <cell r="Q89">
            <v>71376.176215452899</v>
          </cell>
        </row>
      </sheetData>
      <sheetData sheetId="16">
        <row r="85">
          <cell r="Q85">
            <v>98295.775533673543</v>
          </cell>
        </row>
        <row r="89">
          <cell r="Q89">
            <v>69105.829908019557</v>
          </cell>
        </row>
      </sheetData>
      <sheetData sheetId="17">
        <row r="85">
          <cell r="Q85">
            <v>104400.09828814809</v>
          </cell>
        </row>
        <row r="89">
          <cell r="Q89">
            <v>68394.861987058728</v>
          </cell>
        </row>
      </sheetData>
      <sheetData sheetId="18">
        <row r="85">
          <cell r="Q85">
            <v>100362.5231591193</v>
          </cell>
        </row>
        <row r="89">
          <cell r="Q89">
            <v>61353.884786074355</v>
          </cell>
        </row>
      </sheetData>
      <sheetData sheetId="19">
        <row r="85">
          <cell r="Q85">
            <v>101338.26343788569</v>
          </cell>
        </row>
        <row r="89">
          <cell r="Q89">
            <v>69906.240285993961</v>
          </cell>
        </row>
      </sheetData>
      <sheetData sheetId="20">
        <row r="85">
          <cell r="Q85">
            <v>119517.93464736322</v>
          </cell>
        </row>
        <row r="89">
          <cell r="Q89">
            <v>83709.68986568987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월별"/>
      <sheetName val="1월"/>
      <sheetName val="2월"/>
      <sheetName val="3월"/>
      <sheetName val="4월"/>
      <sheetName val="5월"/>
    </sheetNames>
    <sheetDataSet>
      <sheetData sheetId="0">
        <row r="2">
          <cell r="E2" t="str">
            <v>1월</v>
          </cell>
          <cell r="F2" t="str">
            <v>2월</v>
          </cell>
          <cell r="G2" t="str">
            <v>3월</v>
          </cell>
          <cell r="H2" t="str">
            <v>4월</v>
          </cell>
          <cell r="I2" t="str">
            <v>5월</v>
          </cell>
          <cell r="J2" t="str">
            <v>6월</v>
          </cell>
          <cell r="K2" t="str">
            <v>7월</v>
          </cell>
          <cell r="L2" t="str">
            <v>8월</v>
          </cell>
          <cell r="M2" t="str">
            <v>9월</v>
          </cell>
          <cell r="N2" t="str">
            <v>10월</v>
          </cell>
          <cell r="O2" t="str">
            <v>11월</v>
          </cell>
          <cell r="P2" t="str">
            <v>12월</v>
          </cell>
          <cell r="Q2" t="str">
            <v>합계</v>
          </cell>
        </row>
        <row r="3">
          <cell r="E3">
            <v>6425.0929999999998</v>
          </cell>
          <cell r="F3">
            <v>6645.402</v>
          </cell>
          <cell r="G3">
            <v>8665.0679999999993</v>
          </cell>
          <cell r="H3">
            <v>8574.9830000000002</v>
          </cell>
          <cell r="I3">
            <v>9787.4410000000007</v>
          </cell>
          <cell r="Q3">
            <v>40097.987000000001</v>
          </cell>
        </row>
        <row r="4"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Q4">
            <v>0</v>
          </cell>
        </row>
        <row r="5">
          <cell r="E5">
            <v>6425.0929999999998</v>
          </cell>
          <cell r="F5">
            <v>6645.402</v>
          </cell>
          <cell r="G5">
            <v>8665.0679999999993</v>
          </cell>
          <cell r="H5">
            <v>8574.9830000000002</v>
          </cell>
          <cell r="I5">
            <v>9787.4410000000007</v>
          </cell>
          <cell r="Q5">
            <v>40097.987000000001</v>
          </cell>
        </row>
        <row r="6">
          <cell r="E6">
            <v>5915781.3609999996</v>
          </cell>
          <cell r="F6">
            <v>5888695.9620000003</v>
          </cell>
          <cell r="G6">
            <v>7569201.3870000001</v>
          </cell>
          <cell r="H6">
            <v>7314828.4340000004</v>
          </cell>
          <cell r="I6">
            <v>7941424.9759999998</v>
          </cell>
          <cell r="Q6">
            <v>34629932.120000005</v>
          </cell>
        </row>
        <row r="7">
          <cell r="E7">
            <v>1492175.8060000008</v>
          </cell>
          <cell r="F7">
            <v>876962.01299999934</v>
          </cell>
          <cell r="G7">
            <v>1190716.3990000002</v>
          </cell>
          <cell r="H7">
            <v>1507211.0580000002</v>
          </cell>
          <cell r="I7">
            <v>1833395.909</v>
          </cell>
          <cell r="Q7">
            <v>6900461.1850000005</v>
          </cell>
        </row>
        <row r="8">
          <cell r="E8">
            <v>7407957.1670000004</v>
          </cell>
          <cell r="F8">
            <v>6765657.9749999996</v>
          </cell>
          <cell r="G8">
            <v>8759917.7860000003</v>
          </cell>
          <cell r="H8">
            <v>8822039.4920000006</v>
          </cell>
          <cell r="I8">
            <v>9774820.8849999998</v>
          </cell>
          <cell r="Q8">
            <v>41530393.305000007</v>
          </cell>
        </row>
        <row r="9">
          <cell r="E9">
            <v>5751185.5190000003</v>
          </cell>
          <cell r="F9">
            <v>5728934.7309999997</v>
          </cell>
          <cell r="G9">
            <v>7426923.1069999998</v>
          </cell>
          <cell r="H9">
            <v>7182086.8200000003</v>
          </cell>
          <cell r="I9">
            <v>7737494.4589999998</v>
          </cell>
          <cell r="Q9">
            <v>33826624.636</v>
          </cell>
        </row>
        <row r="10">
          <cell r="E10">
            <v>1459339.4409999996</v>
          </cell>
          <cell r="F10">
            <v>863642.56600000057</v>
          </cell>
          <cell r="G10">
            <v>1169699.1210000003</v>
          </cell>
          <cell r="H10">
            <v>1476998.9679999985</v>
          </cell>
          <cell r="I10">
            <v>1782403.8720000004</v>
          </cell>
          <cell r="Q10">
            <v>6752083.9679999994</v>
          </cell>
        </row>
        <row r="11">
          <cell r="E11">
            <v>7210524.96</v>
          </cell>
          <cell r="F11">
            <v>6592577.2970000003</v>
          </cell>
          <cell r="G11">
            <v>8596622.2280000001</v>
          </cell>
          <cell r="H11">
            <v>8659085.7879999988</v>
          </cell>
          <cell r="I11">
            <v>9519898.3310000002</v>
          </cell>
          <cell r="Q11">
            <v>40578708.604000002</v>
          </cell>
        </row>
        <row r="12">
          <cell r="E12">
            <v>164595.84199999925</v>
          </cell>
          <cell r="F12">
            <v>159761.23100000061</v>
          </cell>
          <cell r="G12">
            <v>142278.28000000026</v>
          </cell>
          <cell r="H12">
            <v>132741.61400000006</v>
          </cell>
          <cell r="I12">
            <v>203930.51699999999</v>
          </cell>
          <cell r="Q12">
            <v>803307.48400000483</v>
          </cell>
        </row>
        <row r="13">
          <cell r="E13">
            <v>32836.365000001155</v>
          </cell>
          <cell r="F13">
            <v>13319.446999998763</v>
          </cell>
          <cell r="G13">
            <v>21017.277999999933</v>
          </cell>
          <cell r="H13">
            <v>30212.090000001714</v>
          </cell>
          <cell r="I13">
            <v>50992.036999999546</v>
          </cell>
          <cell r="Q13">
            <v>148377.21700000111</v>
          </cell>
        </row>
        <row r="14">
          <cell r="E14">
            <v>197432.2070000004</v>
          </cell>
          <cell r="F14">
            <v>173080.67799999937</v>
          </cell>
          <cell r="G14">
            <v>163295.55800000019</v>
          </cell>
          <cell r="H14">
            <v>162953.70400000177</v>
          </cell>
          <cell r="I14">
            <v>254922.55399999954</v>
          </cell>
          <cell r="Q14">
            <v>951684.70100000501</v>
          </cell>
        </row>
        <row r="15">
          <cell r="E15">
            <v>66207.56</v>
          </cell>
          <cell r="F15">
            <v>66285.86</v>
          </cell>
          <cell r="G15">
            <v>65749.929999999993</v>
          </cell>
          <cell r="H15">
            <v>67760.67</v>
          </cell>
          <cell r="I15">
            <v>67398.19</v>
          </cell>
          <cell r="Q15">
            <v>333402.20999999996</v>
          </cell>
          <cell r="S15">
            <v>0</v>
          </cell>
        </row>
        <row r="16">
          <cell r="E16">
            <v>14873.76</v>
          </cell>
          <cell r="F16">
            <v>14873.76</v>
          </cell>
          <cell r="G16">
            <v>14860.963</v>
          </cell>
          <cell r="H16">
            <v>15208.86</v>
          </cell>
          <cell r="I16">
            <v>15041.31</v>
          </cell>
          <cell r="Q16">
            <v>74858.653000000006</v>
          </cell>
          <cell r="S16">
            <v>0</v>
          </cell>
        </row>
        <row r="17">
          <cell r="E17">
            <v>7310.9949999999999</v>
          </cell>
          <cell r="F17">
            <v>7310.9949999999999</v>
          </cell>
          <cell r="G17">
            <v>7310.9949999999999</v>
          </cell>
          <cell r="H17">
            <v>7310.9949999999999</v>
          </cell>
          <cell r="I17">
            <v>7310.9949999999999</v>
          </cell>
          <cell r="Q17">
            <v>36554.974999999999</v>
          </cell>
          <cell r="S17">
            <v>0</v>
          </cell>
        </row>
        <row r="18">
          <cell r="E18">
            <v>88392.314999999988</v>
          </cell>
          <cell r="F18">
            <v>88470.614999999991</v>
          </cell>
          <cell r="G18">
            <v>87921.887999999992</v>
          </cell>
          <cell r="H18">
            <v>90280.524999999994</v>
          </cell>
          <cell r="I18">
            <v>89750.494999999995</v>
          </cell>
          <cell r="Q18">
            <v>444815.83799999993</v>
          </cell>
          <cell r="S18">
            <v>0</v>
          </cell>
        </row>
        <row r="19">
          <cell r="E19">
            <v>10121.891</v>
          </cell>
          <cell r="F19">
            <v>9805.2829999999994</v>
          </cell>
          <cell r="G19">
            <v>17707.691999999999</v>
          </cell>
          <cell r="H19">
            <v>11119.776</v>
          </cell>
          <cell r="I19">
            <v>11156.752</v>
          </cell>
          <cell r="Q19">
            <v>59911.393999999993</v>
          </cell>
          <cell r="S19">
            <v>0</v>
          </cell>
        </row>
        <row r="20">
          <cell r="E20">
            <v>1311.06</v>
          </cell>
          <cell r="F20">
            <v>1355.9369999999999</v>
          </cell>
          <cell r="G20">
            <v>1375.4739999999999</v>
          </cell>
          <cell r="H20">
            <v>1243.2840000000001</v>
          </cell>
          <cell r="I20">
            <v>2969.5909999999999</v>
          </cell>
          <cell r="Q20">
            <v>8255.3459999999995</v>
          </cell>
          <cell r="S20">
            <v>0</v>
          </cell>
        </row>
        <row r="21">
          <cell r="E21">
            <v>2954.1509999999998</v>
          </cell>
          <cell r="F21">
            <v>2198.643</v>
          </cell>
          <cell r="G21">
            <v>2313.0590000000002</v>
          </cell>
          <cell r="H21">
            <v>9080.5509999999995</v>
          </cell>
          <cell r="I21">
            <v>3170.076</v>
          </cell>
          <cell r="Q21">
            <v>19716.48</v>
          </cell>
          <cell r="S21">
            <v>0</v>
          </cell>
        </row>
        <row r="22">
          <cell r="E22">
            <v>800</v>
          </cell>
          <cell r="F22">
            <v>450</v>
          </cell>
          <cell r="G22">
            <v>0</v>
          </cell>
          <cell r="H22">
            <v>0</v>
          </cell>
          <cell r="I22">
            <v>0</v>
          </cell>
          <cell r="Q22">
            <v>1250</v>
          </cell>
          <cell r="S22">
            <v>0</v>
          </cell>
        </row>
        <row r="23">
          <cell r="E23">
            <v>1555.0309999999999</v>
          </cell>
          <cell r="F23">
            <v>1525.067</v>
          </cell>
          <cell r="G23">
            <v>1632.8409999999999</v>
          </cell>
          <cell r="H23">
            <v>1763.1579999999999</v>
          </cell>
          <cell r="I23">
            <v>1704.309</v>
          </cell>
          <cell r="Q23">
            <v>8180.4059999999999</v>
          </cell>
          <cell r="S23">
            <v>0</v>
          </cell>
        </row>
        <row r="24">
          <cell r="E24">
            <v>289.08999999999997</v>
          </cell>
          <cell r="F24">
            <v>255.51</v>
          </cell>
          <cell r="G24">
            <v>165.68</v>
          </cell>
          <cell r="H24">
            <v>362.03</v>
          </cell>
          <cell r="I24">
            <v>547.33000000000004</v>
          </cell>
          <cell r="Q24">
            <v>1619.6399999999999</v>
          </cell>
          <cell r="S24">
            <v>0</v>
          </cell>
        </row>
        <row r="25">
          <cell r="E25">
            <v>175.22900000000001</v>
          </cell>
          <cell r="F25">
            <v>286.774</v>
          </cell>
          <cell r="G25">
            <v>182.274</v>
          </cell>
          <cell r="H25">
            <v>391.274</v>
          </cell>
          <cell r="I25">
            <v>338.63900000000001</v>
          </cell>
          <cell r="Q25">
            <v>1374.19</v>
          </cell>
          <cell r="S25">
            <v>0</v>
          </cell>
        </row>
        <row r="26">
          <cell r="E26">
            <v>3221.82</v>
          </cell>
          <cell r="F26">
            <v>3221.82</v>
          </cell>
          <cell r="G26">
            <v>3221.82</v>
          </cell>
          <cell r="H26">
            <v>3221.82</v>
          </cell>
          <cell r="I26">
            <v>3221.82</v>
          </cell>
          <cell r="Q26">
            <v>16109.1</v>
          </cell>
          <cell r="S26">
            <v>0</v>
          </cell>
        </row>
        <row r="27"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Q27">
            <v>0</v>
          </cell>
          <cell r="S27">
            <v>0</v>
          </cell>
        </row>
        <row r="28">
          <cell r="E28">
            <v>1050.8399999999999</v>
          </cell>
          <cell r="F28">
            <v>138.52000000000001</v>
          </cell>
          <cell r="G28">
            <v>94.89</v>
          </cell>
          <cell r="H28">
            <v>32284.75</v>
          </cell>
          <cell r="I28">
            <v>257.06</v>
          </cell>
          <cell r="Q28">
            <v>33826.06</v>
          </cell>
          <cell r="S28">
            <v>0</v>
          </cell>
        </row>
        <row r="29">
          <cell r="E29">
            <v>62.219000000000001</v>
          </cell>
          <cell r="F29">
            <v>64.25</v>
          </cell>
          <cell r="G29">
            <v>106</v>
          </cell>
          <cell r="H29">
            <v>189.15</v>
          </cell>
          <cell r="I29">
            <v>261.8</v>
          </cell>
          <cell r="Q29">
            <v>683.4190000000001</v>
          </cell>
          <cell r="S29">
            <v>0</v>
          </cell>
        </row>
        <row r="30">
          <cell r="E30">
            <v>6297.65</v>
          </cell>
          <cell r="F30">
            <v>5545.7610000000004</v>
          </cell>
          <cell r="G30">
            <v>5779.4780000000001</v>
          </cell>
          <cell r="H30">
            <v>6166.1530000000002</v>
          </cell>
          <cell r="I30">
            <v>5995.0280000000002</v>
          </cell>
          <cell r="Q30">
            <v>29784.07</v>
          </cell>
          <cell r="S30">
            <v>0</v>
          </cell>
        </row>
        <row r="31">
          <cell r="E31">
            <v>7875.04</v>
          </cell>
          <cell r="F31">
            <v>12385.5</v>
          </cell>
          <cell r="G31">
            <v>5449.3</v>
          </cell>
          <cell r="H31">
            <v>6952</v>
          </cell>
          <cell r="I31">
            <v>7672.69</v>
          </cell>
          <cell r="Q31">
            <v>40334.53</v>
          </cell>
          <cell r="S31">
            <v>0</v>
          </cell>
        </row>
        <row r="32"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Q32">
            <v>0</v>
          </cell>
          <cell r="S32">
            <v>0</v>
          </cell>
        </row>
        <row r="33">
          <cell r="E33">
            <v>-6631.1459999999997</v>
          </cell>
          <cell r="F33">
            <v>-18.065999999999999</v>
          </cell>
          <cell r="G33">
            <v>139.43100000000001</v>
          </cell>
          <cell r="H33">
            <v>531.52599999999995</v>
          </cell>
          <cell r="I33">
            <v>-41.448</v>
          </cell>
          <cell r="Q33">
            <v>-6019.7030000000004</v>
          </cell>
          <cell r="S33">
            <v>0</v>
          </cell>
        </row>
        <row r="34"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Q34">
            <v>0</v>
          </cell>
          <cell r="S34">
            <v>0</v>
          </cell>
        </row>
        <row r="35"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Q35">
            <v>0</v>
          </cell>
          <cell r="S35">
            <v>0</v>
          </cell>
        </row>
        <row r="36">
          <cell r="E36">
            <v>29082.875</v>
          </cell>
          <cell r="F36">
            <v>37214.999000000003</v>
          </cell>
          <cell r="G36">
            <v>38167.938999999998</v>
          </cell>
          <cell r="H36">
            <v>73305.471999999994</v>
          </cell>
          <cell r="I36">
            <v>37253.647000000012</v>
          </cell>
          <cell r="Q36">
            <v>215024.93199999997</v>
          </cell>
          <cell r="S36">
            <v>0</v>
          </cell>
        </row>
        <row r="37">
          <cell r="E37">
            <v>117475.18999999999</v>
          </cell>
          <cell r="F37">
            <v>125685.614</v>
          </cell>
          <cell r="G37">
            <v>126089.82699999999</v>
          </cell>
          <cell r="H37">
            <v>163585.99699999997</v>
          </cell>
          <cell r="I37">
            <v>127004.14200000001</v>
          </cell>
          <cell r="Q37">
            <v>659840.7699999999</v>
          </cell>
          <cell r="S37">
            <v>0</v>
          </cell>
        </row>
        <row r="38">
          <cell r="E38">
            <v>79957.017000000415</v>
          </cell>
          <cell r="F38">
            <v>47395.063999999373</v>
          </cell>
          <cell r="G38">
            <v>37205.731000000203</v>
          </cell>
          <cell r="H38">
            <v>-632.29299999820068</v>
          </cell>
          <cell r="I38">
            <v>127918.41199999953</v>
          </cell>
          <cell r="Q38">
            <v>291843.9310000051</v>
          </cell>
          <cell r="S38">
            <v>0</v>
          </cell>
        </row>
        <row r="39">
          <cell r="E39">
            <v>4689.8059999999996</v>
          </cell>
          <cell r="F39">
            <v>5550.3850000000002</v>
          </cell>
          <cell r="G39">
            <v>5550.3850000000002</v>
          </cell>
          <cell r="H39">
            <v>5550.375</v>
          </cell>
          <cell r="I39">
            <v>5550.3850000000002</v>
          </cell>
          <cell r="Q39">
            <v>26891.336000000003</v>
          </cell>
          <cell r="S39">
            <v>0</v>
          </cell>
        </row>
        <row r="40">
          <cell r="E40">
            <v>75267.211000000418</v>
          </cell>
          <cell r="F40">
            <v>41844.678999999371</v>
          </cell>
          <cell r="G40">
            <v>31655.346000000201</v>
          </cell>
          <cell r="H40">
            <v>-6182.6679999982007</v>
          </cell>
          <cell r="I40">
            <v>122368.02699999954</v>
          </cell>
          <cell r="Q40">
            <v>264952.59500000509</v>
          </cell>
          <cell r="S40">
            <v>0</v>
          </cell>
        </row>
        <row r="41">
          <cell r="E41">
            <v>1.0160319411036954E-2</v>
          </cell>
          <cell r="F41">
            <v>6.1848646731213711E-3</v>
          </cell>
          <cell r="G41">
            <v>3.6136578873595606E-3</v>
          </cell>
          <cell r="H41">
            <v>-7.0082071221793621E-4</v>
          </cell>
          <cell r="I41">
            <v>1.2518697625219916E-2</v>
          </cell>
          <cell r="Q41">
            <v>6.3797275661270081E-3</v>
          </cell>
        </row>
        <row r="43">
          <cell r="E43">
            <v>920730.85338998202</v>
          </cell>
          <cell r="F43">
            <v>886130.8859870329</v>
          </cell>
          <cell r="G43">
            <v>873530.5235919673</v>
          </cell>
          <cell r="H43">
            <v>853042.90795678552</v>
          </cell>
          <cell r="I43">
            <v>811389.30758305453</v>
          </cell>
          <cell r="Q43">
            <v>863632.68360578804</v>
          </cell>
        </row>
        <row r="44">
          <cell r="E44">
            <v>2.6651369945751794E-2</v>
          </cell>
          <cell r="F44">
            <v>2.5582238806566245E-2</v>
          </cell>
          <cell r="G44">
            <v>1.8641220384622476E-2</v>
          </cell>
          <cell r="H44">
            <v>1.847120545626342E-2</v>
          </cell>
          <cell r="I44">
            <v>2.607951153265552E-2</v>
          </cell>
          <cell r="Q44">
            <v>2.2915378961398565E-2</v>
          </cell>
        </row>
        <row r="46">
          <cell r="E46">
            <v>1152972.7533904957</v>
          </cell>
          <cell r="F46">
            <v>1018096.1174357849</v>
          </cell>
          <cell r="G46">
            <v>1010946.2252344702</v>
          </cell>
          <cell r="H46">
            <v>1028811.309830002</v>
          </cell>
          <cell r="I46">
            <v>998710.58073300251</v>
          </cell>
        </row>
        <row r="47">
          <cell r="E47">
            <v>1122244.4500025136</v>
          </cell>
          <cell r="F47">
            <v>992050.9394315047</v>
          </cell>
          <cell r="G47">
            <v>992100.95385287225</v>
          </cell>
          <cell r="H47">
            <v>1009807.9247504045</v>
          </cell>
          <cell r="I47">
            <v>972664.69662499102</v>
          </cell>
        </row>
        <row r="49">
          <cell r="E49">
            <v>122164.99599999998</v>
          </cell>
          <cell r="F49">
            <v>131235.99900000001</v>
          </cell>
          <cell r="G49">
            <v>131640.212</v>
          </cell>
          <cell r="H49">
            <v>169136.37199999997</v>
          </cell>
          <cell r="I49">
            <v>132554.527</v>
          </cell>
        </row>
        <row r="50">
          <cell r="E50">
            <v>152164.99599999998</v>
          </cell>
          <cell r="F50">
            <v>161235.99900000001</v>
          </cell>
          <cell r="G50">
            <v>161640.212</v>
          </cell>
          <cell r="H50">
            <v>199136.37199999997</v>
          </cell>
          <cell r="I50">
            <v>162554.527</v>
          </cell>
        </row>
        <row r="52">
          <cell r="E52">
            <v>0.79857121573986001</v>
          </cell>
          <cell r="F52">
            <v>0.87038038040934229</v>
          </cell>
          <cell r="G52">
            <v>0.86407219472961383</v>
          </cell>
          <cell r="H52">
            <v>0.82915389810182005</v>
          </cell>
          <cell r="I52">
            <v>0.81243687934850584</v>
          </cell>
        </row>
        <row r="53">
          <cell r="E53">
            <v>0.20142878426013996</v>
          </cell>
          <cell r="F53">
            <v>0.12961961959065768</v>
          </cell>
          <cell r="G53">
            <v>0.13592780527038614</v>
          </cell>
          <cell r="H53">
            <v>0.17084610189818</v>
          </cell>
          <cell r="I53">
            <v>0.18756312065149416</v>
          </cell>
        </row>
        <row r="55">
          <cell r="E55">
            <v>2.2005694548837273E-2</v>
          </cell>
          <cell r="F55">
            <v>1.5188168703492932E-2</v>
          </cell>
          <cell r="G55">
            <v>1.7650951996336706E-2</v>
          </cell>
          <cell r="H55">
            <v>2.0045029420160843E-2</v>
          </cell>
          <cell r="I55">
            <v>2.7812889049050216E-2</v>
          </cell>
        </row>
        <row r="57">
          <cell r="E57">
            <v>2.2005694548837322E-2</v>
          </cell>
          <cell r="F57">
            <v>1.5188168703492945E-2</v>
          </cell>
          <cell r="G57">
            <v>1.7650951996336726E-2</v>
          </cell>
          <cell r="H57">
            <v>2.0045029420160815E-2</v>
          </cell>
          <cell r="I57">
            <v>2.7812889049050205E-2</v>
          </cell>
        </row>
        <row r="58">
          <cell r="E58">
            <v>2.6651369945751794E-2</v>
          </cell>
          <cell r="F58">
            <v>2.5582238806566245E-2</v>
          </cell>
          <cell r="G58">
            <v>1.8641220384622476E-2</v>
          </cell>
          <cell r="H58">
            <v>1.847120545626342E-2</v>
          </cell>
          <cell r="I58">
            <v>2.607951153265552E-2</v>
          </cell>
        </row>
        <row r="59">
          <cell r="E59">
            <v>2.7823178707229314E-2</v>
          </cell>
          <cell r="F59">
            <v>2.7130154457106714E-2</v>
          </cell>
          <cell r="G59">
            <v>1.8797000201944851E-2</v>
          </cell>
          <cell r="H59">
            <v>1.8146921038230335E-2</v>
          </cell>
          <cell r="I59">
            <v>2.5679335587291203E-2</v>
          </cell>
        </row>
      </sheetData>
      <sheetData sheetId="1"/>
      <sheetData sheetId="2"/>
      <sheetData sheetId="3"/>
      <sheetData sheetId="4"/>
      <sheetData sheetId="5">
        <row r="8">
          <cell r="G8">
            <v>9787.4410000000007</v>
          </cell>
        </row>
        <row r="9">
          <cell r="G9">
            <v>7941424.9759999998</v>
          </cell>
          <cell r="J9">
            <v>1833395.909</v>
          </cell>
        </row>
        <row r="10">
          <cell r="F10">
            <v>977631.57894736843</v>
          </cell>
          <cell r="G10">
            <v>811389.30758305453</v>
          </cell>
        </row>
        <row r="11">
          <cell r="G11">
            <v>7737494.4589999998</v>
          </cell>
          <cell r="J11">
            <v>1782403.8720000004</v>
          </cell>
        </row>
        <row r="15">
          <cell r="F15">
            <v>2.329542395693136E-2</v>
          </cell>
          <cell r="G15">
            <v>2.5679335587291203E-2</v>
          </cell>
        </row>
        <row r="19">
          <cell r="M19">
            <v>89750.494999999995</v>
          </cell>
        </row>
        <row r="37">
          <cell r="M37">
            <v>37253.647000000012</v>
          </cell>
        </row>
        <row r="40">
          <cell r="M40">
            <v>5550.3850000000002</v>
          </cell>
        </row>
        <row r="41">
          <cell r="M41">
            <v>122368.02699999954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월별"/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10월"/>
      <sheetName val="11월"/>
      <sheetName val="12월"/>
    </sheetNames>
    <sheetDataSet>
      <sheetData sheetId="0">
        <row r="2">
          <cell r="E2" t="str">
            <v>1월</v>
          </cell>
          <cell r="F2" t="str">
            <v>2월</v>
          </cell>
          <cell r="G2" t="str">
            <v>3월</v>
          </cell>
          <cell r="H2" t="str">
            <v>4월</v>
          </cell>
          <cell r="I2" t="str">
            <v>5월</v>
          </cell>
          <cell r="J2" t="str">
            <v>6월</v>
          </cell>
          <cell r="K2" t="str">
            <v>7월</v>
          </cell>
          <cell r="L2" t="str">
            <v>8월</v>
          </cell>
          <cell r="M2" t="str">
            <v>9월</v>
          </cell>
          <cell r="N2" t="str">
            <v>10월</v>
          </cell>
          <cell r="O2" t="str">
            <v>11월</v>
          </cell>
          <cell r="P2" t="str">
            <v>12월</v>
          </cell>
          <cell r="Q2" t="str">
            <v>합계</v>
          </cell>
        </row>
        <row r="3">
          <cell r="E3">
            <v>6946.7870000000003</v>
          </cell>
          <cell r="F3">
            <v>8382.34</v>
          </cell>
          <cell r="G3">
            <v>9838.5779999999995</v>
          </cell>
          <cell r="H3">
            <v>9357.5969999999998</v>
          </cell>
          <cell r="I3">
            <v>7344.996000000001</v>
          </cell>
          <cell r="J3">
            <v>7070.5</v>
          </cell>
          <cell r="K3">
            <v>6748.1729999999998</v>
          </cell>
          <cell r="L3">
            <v>6876.2449999999999</v>
          </cell>
          <cell r="M3">
            <v>6990.5029999999997</v>
          </cell>
          <cell r="N3">
            <v>9070.0450000000001</v>
          </cell>
          <cell r="O3">
            <v>10109.272999999999</v>
          </cell>
          <cell r="P3">
            <v>7811.91</v>
          </cell>
          <cell r="Q3">
            <v>96546.947000000015</v>
          </cell>
        </row>
        <row r="4"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</row>
        <row r="5">
          <cell r="E5">
            <v>6946.7870000000003</v>
          </cell>
          <cell r="F5">
            <v>8382.34</v>
          </cell>
          <cell r="G5">
            <v>9838.5779999999995</v>
          </cell>
          <cell r="H5">
            <v>9357.5969999999998</v>
          </cell>
          <cell r="I5">
            <v>7344.996000000001</v>
          </cell>
          <cell r="J5">
            <v>7070.5</v>
          </cell>
          <cell r="K5">
            <v>6748.1729999999998</v>
          </cell>
          <cell r="L5">
            <v>6876.2449999999999</v>
          </cell>
          <cell r="M5">
            <v>6990.5029999999997</v>
          </cell>
          <cell r="N5">
            <v>9070.0450000000001</v>
          </cell>
          <cell r="O5">
            <v>10109.272999999999</v>
          </cell>
          <cell r="P5">
            <v>7811.91</v>
          </cell>
          <cell r="Q5">
            <v>96546.947000000015</v>
          </cell>
        </row>
        <row r="6">
          <cell r="E6">
            <v>7633878.892</v>
          </cell>
          <cell r="F6">
            <v>8612745.1600000001</v>
          </cell>
          <cell r="G6">
            <v>10143312.152000001</v>
          </cell>
          <cell r="H6">
            <v>9809673.1050000004</v>
          </cell>
          <cell r="I6">
            <v>7820346.875</v>
          </cell>
          <cell r="J6">
            <v>7380909.7199999997</v>
          </cell>
          <cell r="K6">
            <v>6918593.4670000002</v>
          </cell>
          <cell r="L6">
            <v>6585336.0700000003</v>
          </cell>
          <cell r="M6">
            <v>7043799.8650000002</v>
          </cell>
          <cell r="N6">
            <v>8745728.6989999991</v>
          </cell>
          <cell r="O6">
            <v>9960126.6539999992</v>
          </cell>
          <cell r="P6">
            <v>7431793.6210000003</v>
          </cell>
          <cell r="Q6">
            <v>98086244.280000001</v>
          </cell>
        </row>
        <row r="7">
          <cell r="E7">
            <v>1179755.3999999994</v>
          </cell>
          <cell r="F7">
            <v>1176725.8440000005</v>
          </cell>
          <cell r="G7">
            <v>1216657.1129999999</v>
          </cell>
          <cell r="H7">
            <v>1598941.902999999</v>
          </cell>
          <cell r="I7">
            <v>1208776.7170000002</v>
          </cell>
          <cell r="J7">
            <v>1566179.6950000012</v>
          </cell>
          <cell r="K7">
            <v>1264884.152999999</v>
          </cell>
          <cell r="L7">
            <v>1514746.9619999994</v>
          </cell>
          <cell r="M7">
            <v>2351420.6799999997</v>
          </cell>
          <cell r="N7">
            <v>2568331.477</v>
          </cell>
          <cell r="O7">
            <v>2444753.5610000007</v>
          </cell>
          <cell r="P7">
            <v>2190959.5439999988</v>
          </cell>
          <cell r="Q7">
            <v>20282133.048999999</v>
          </cell>
        </row>
        <row r="8">
          <cell r="E8">
            <v>8813634.2919999994</v>
          </cell>
          <cell r="F8">
            <v>9789471.0040000007</v>
          </cell>
          <cell r="G8">
            <v>11359969.265000001</v>
          </cell>
          <cell r="H8">
            <v>11408615.007999999</v>
          </cell>
          <cell r="I8">
            <v>9029123.5920000002</v>
          </cell>
          <cell r="J8">
            <v>8947089.415000001</v>
          </cell>
          <cell r="K8">
            <v>8183477.6199999992</v>
          </cell>
          <cell r="L8">
            <v>8100083.0319999997</v>
          </cell>
          <cell r="M8">
            <v>9395220.5449999999</v>
          </cell>
          <cell r="N8">
            <v>11314060.175999999</v>
          </cell>
          <cell r="O8">
            <v>12404880.215</v>
          </cell>
          <cell r="P8">
            <v>9622753.1649999991</v>
          </cell>
          <cell r="Q8">
            <v>118368377.329</v>
          </cell>
        </row>
        <row r="9">
          <cell r="E9">
            <v>7485107.7220000001</v>
          </cell>
          <cell r="F9">
            <v>8443501.5480000004</v>
          </cell>
          <cell r="G9">
            <v>9963629.7699999996</v>
          </cell>
          <cell r="H9">
            <v>9601536.9480000008</v>
          </cell>
          <cell r="I9">
            <v>7676800.0590000004</v>
          </cell>
          <cell r="J9">
            <v>7205136.1809999999</v>
          </cell>
          <cell r="K9">
            <v>6747251.2889999999</v>
          </cell>
          <cell r="L9">
            <v>6439298.2439999999</v>
          </cell>
          <cell r="M9">
            <v>6942139.2149999999</v>
          </cell>
          <cell r="N9">
            <v>8609681.6109999996</v>
          </cell>
          <cell r="O9">
            <v>9798823.2119999994</v>
          </cell>
          <cell r="P9">
            <v>7281578.4900000002</v>
          </cell>
          <cell r="Q9">
            <v>96194484.28899999</v>
          </cell>
        </row>
        <row r="10">
          <cell r="E10">
            <v>1158746.892</v>
          </cell>
          <cell r="F10">
            <v>1146964.875</v>
          </cell>
          <cell r="G10">
            <v>1190045.8399999999</v>
          </cell>
          <cell r="H10">
            <v>1569971.4459999986</v>
          </cell>
          <cell r="I10">
            <v>1185012.4639999997</v>
          </cell>
          <cell r="J10">
            <v>1532762.3289999999</v>
          </cell>
          <cell r="K10">
            <v>1239279.3109999998</v>
          </cell>
          <cell r="L10">
            <v>1437906.8529999992</v>
          </cell>
          <cell r="M10">
            <v>2295822.2249999996</v>
          </cell>
          <cell r="N10">
            <v>2499384.3090000004</v>
          </cell>
          <cell r="O10">
            <v>2389967.6060000006</v>
          </cell>
          <cell r="P10">
            <v>2141540.9169999994</v>
          </cell>
          <cell r="Q10">
            <v>19787405.066999998</v>
          </cell>
        </row>
        <row r="11">
          <cell r="E11">
            <v>8643854.6140000001</v>
          </cell>
          <cell r="F11">
            <v>9590466.4230000004</v>
          </cell>
          <cell r="G11">
            <v>11153675.609999999</v>
          </cell>
          <cell r="H11">
            <v>11171508.393999999</v>
          </cell>
          <cell r="I11">
            <v>8861812.523</v>
          </cell>
          <cell r="J11">
            <v>8737898.5099999998</v>
          </cell>
          <cell r="K11">
            <v>7986530.5999999996</v>
          </cell>
          <cell r="L11">
            <v>7877205.0969999991</v>
          </cell>
          <cell r="M11">
            <v>9237961.4399999995</v>
          </cell>
          <cell r="N11">
            <v>11109065.92</v>
          </cell>
          <cell r="O11">
            <v>12188790.818</v>
          </cell>
          <cell r="P11">
            <v>9423119.4069999997</v>
          </cell>
          <cell r="Q11">
            <v>115981889.35599999</v>
          </cell>
          <cell r="S11"/>
        </row>
        <row r="12">
          <cell r="E12">
            <v>148771.16999999993</v>
          </cell>
          <cell r="F12">
            <v>169243.61199999973</v>
          </cell>
          <cell r="G12">
            <v>179682.38200000115</v>
          </cell>
          <cell r="H12">
            <v>208136.15699999966</v>
          </cell>
          <cell r="I12">
            <v>143546.81599999964</v>
          </cell>
          <cell r="J12">
            <v>175773.53899999987</v>
          </cell>
          <cell r="K12">
            <v>171342.17800000031</v>
          </cell>
          <cell r="L12">
            <v>146037.82600000035</v>
          </cell>
          <cell r="M12">
            <v>101660.65000000037</v>
          </cell>
          <cell r="N12">
            <v>136047.08799999952</v>
          </cell>
          <cell r="O12">
            <v>161303.44199999981</v>
          </cell>
          <cell r="P12">
            <v>150215.13100000005</v>
          </cell>
          <cell r="Q12">
            <v>1891759.9910000116</v>
          </cell>
        </row>
        <row r="13">
          <cell r="E13">
            <v>21008.507999999449</v>
          </cell>
          <cell r="F13">
            <v>29760.969000000507</v>
          </cell>
          <cell r="G13">
            <v>26611.273000000045</v>
          </cell>
          <cell r="H13">
            <v>28970.457000000402</v>
          </cell>
          <cell r="I13">
            <v>23764.253000000492</v>
          </cell>
          <cell r="J13">
            <v>33417.366000001319</v>
          </cell>
          <cell r="K13">
            <v>25604.841999999247</v>
          </cell>
          <cell r="L13">
            <v>76840.109000000171</v>
          </cell>
          <cell r="M13">
            <v>55598.455000000075</v>
          </cell>
          <cell r="N13">
            <v>68947.167999999598</v>
          </cell>
          <cell r="O13">
            <v>54785.955000000075</v>
          </cell>
          <cell r="P13">
            <v>49418.626999999397</v>
          </cell>
          <cell r="Q13">
            <v>494727.98200000077</v>
          </cell>
        </row>
        <row r="14">
          <cell r="E14">
            <v>169779.67799999937</v>
          </cell>
          <cell r="F14">
            <v>199004.58100000024</v>
          </cell>
          <cell r="G14">
            <v>206293.65500000119</v>
          </cell>
          <cell r="H14">
            <v>237106.61400000006</v>
          </cell>
          <cell r="I14">
            <v>167311.06900000013</v>
          </cell>
          <cell r="J14">
            <v>209190.90500000119</v>
          </cell>
          <cell r="K14">
            <v>196947.01999999955</v>
          </cell>
          <cell r="L14">
            <v>222877.93500000052</v>
          </cell>
          <cell r="M14">
            <v>157259.10500000045</v>
          </cell>
          <cell r="N14">
            <v>204994.25599999912</v>
          </cell>
          <cell r="O14">
            <v>216089.39699999988</v>
          </cell>
          <cell r="P14">
            <v>199633.75799999945</v>
          </cell>
          <cell r="Q14">
            <v>2386487.9730000049</v>
          </cell>
        </row>
        <row r="15">
          <cell r="E15">
            <v>68018.86</v>
          </cell>
          <cell r="F15">
            <v>57872.959999999999</v>
          </cell>
          <cell r="G15">
            <v>57872.959999999999</v>
          </cell>
          <cell r="H15">
            <v>60494.26</v>
          </cell>
          <cell r="I15">
            <v>59183.61</v>
          </cell>
          <cell r="J15">
            <v>59247.61</v>
          </cell>
          <cell r="K15">
            <v>59829.86</v>
          </cell>
          <cell r="L15">
            <v>59213.61</v>
          </cell>
          <cell r="M15">
            <v>73707.69</v>
          </cell>
          <cell r="N15">
            <v>64536.09</v>
          </cell>
          <cell r="O15">
            <v>62124.85</v>
          </cell>
          <cell r="P15">
            <v>66718.539999999994</v>
          </cell>
          <cell r="Q15">
            <v>748820.89999999991</v>
          </cell>
          <cell r="S15">
            <v>14494.080000000002</v>
          </cell>
        </row>
        <row r="16">
          <cell r="E16">
            <v>13203.15</v>
          </cell>
          <cell r="F16">
            <v>13203.15</v>
          </cell>
          <cell r="G16">
            <v>13547.645</v>
          </cell>
          <cell r="H16">
            <v>13640.01</v>
          </cell>
          <cell r="I16">
            <v>13421.58</v>
          </cell>
          <cell r="J16">
            <v>15399.922</v>
          </cell>
          <cell r="K16">
            <v>13421.58</v>
          </cell>
          <cell r="L16">
            <v>13421.58</v>
          </cell>
          <cell r="M16">
            <v>20552.3</v>
          </cell>
          <cell r="N16">
            <v>14225.32</v>
          </cell>
          <cell r="O16">
            <v>13823.45</v>
          </cell>
          <cell r="P16">
            <v>173422.27499999999</v>
          </cell>
          <cell r="Q16">
            <v>331281.96200000006</v>
          </cell>
          <cell r="S16">
            <v>7130.7199999999993</v>
          </cell>
        </row>
        <row r="17">
          <cell r="E17">
            <v>10023.587</v>
          </cell>
          <cell r="F17">
            <v>10023.587</v>
          </cell>
          <cell r="G17">
            <v>10023.587</v>
          </cell>
          <cell r="H17">
            <v>10023.587</v>
          </cell>
          <cell r="I17">
            <v>10023.587</v>
          </cell>
          <cell r="J17">
            <v>-17665.399000000001</v>
          </cell>
          <cell r="K17">
            <v>5431.1440000000002</v>
          </cell>
          <cell r="L17">
            <v>5431.1440000000002</v>
          </cell>
          <cell r="M17">
            <v>5431.1440000000002</v>
          </cell>
          <cell r="N17">
            <v>5431.1440000000002</v>
          </cell>
          <cell r="O17">
            <v>5431.1440000000002</v>
          </cell>
          <cell r="P17">
            <v>5431.1440000000002</v>
          </cell>
          <cell r="Q17">
            <v>65039.399999999994</v>
          </cell>
          <cell r="S17">
            <v>0</v>
          </cell>
        </row>
        <row r="18">
          <cell r="E18">
            <v>91245.596999999994</v>
          </cell>
          <cell r="F18">
            <v>81099.697</v>
          </cell>
          <cell r="G18">
            <v>81444.191999999995</v>
          </cell>
          <cell r="H18">
            <v>84157.857000000004</v>
          </cell>
          <cell r="I18">
            <v>82628.777000000002</v>
          </cell>
          <cell r="J18">
            <v>56982.133000000002</v>
          </cell>
          <cell r="K18">
            <v>78682.584000000003</v>
          </cell>
          <cell r="L18">
            <v>78066.334000000003</v>
          </cell>
          <cell r="M18">
            <v>99691.134000000005</v>
          </cell>
          <cell r="N18">
            <v>84192.554000000004</v>
          </cell>
          <cell r="O18">
            <v>81379.444000000003</v>
          </cell>
          <cell r="P18">
            <v>245571.959</v>
          </cell>
          <cell r="Q18">
            <v>1145142.2619999999</v>
          </cell>
          <cell r="S18">
            <v>21624.800000000003</v>
          </cell>
        </row>
        <row r="19">
          <cell r="E19">
            <v>8853.2999999999993</v>
          </cell>
          <cell r="F19">
            <v>8215.0580000000009</v>
          </cell>
          <cell r="G19">
            <v>10573.141</v>
          </cell>
          <cell r="H19">
            <v>9315.3089999999993</v>
          </cell>
          <cell r="I19">
            <v>12068.662</v>
          </cell>
          <cell r="J19">
            <v>11560.502</v>
          </cell>
          <cell r="K19">
            <v>8576.44</v>
          </cell>
          <cell r="L19">
            <v>9188.5049999999992</v>
          </cell>
          <cell r="M19">
            <v>17894.521000000001</v>
          </cell>
          <cell r="N19">
            <v>8445.65</v>
          </cell>
          <cell r="O19">
            <v>9103.768</v>
          </cell>
          <cell r="P19">
            <v>16197.186</v>
          </cell>
          <cell r="Q19">
            <v>129992.04199999999</v>
          </cell>
          <cell r="S19">
            <v>8706.0160000000014</v>
          </cell>
        </row>
        <row r="20">
          <cell r="E20">
            <v>1489.835</v>
          </cell>
          <cell r="F20">
            <v>333.82299999999998</v>
          </cell>
          <cell r="G20">
            <v>2674.819</v>
          </cell>
          <cell r="H20">
            <v>244.21</v>
          </cell>
          <cell r="I20">
            <v>2198.2269999999999</v>
          </cell>
          <cell r="J20">
            <v>1556.777</v>
          </cell>
          <cell r="K20">
            <v>1645.8869999999999</v>
          </cell>
          <cell r="L20">
            <v>1973.6420000000001</v>
          </cell>
          <cell r="M20">
            <v>1353.9110000000001</v>
          </cell>
          <cell r="N20">
            <v>1449.5989999999999</v>
          </cell>
          <cell r="O20">
            <v>1575.578</v>
          </cell>
          <cell r="P20">
            <v>1484.79</v>
          </cell>
          <cell r="Q20">
            <v>17981.098000000002</v>
          </cell>
          <cell r="S20">
            <v>-619.73099999999999</v>
          </cell>
        </row>
        <row r="21">
          <cell r="E21">
            <v>6183.6850000000004</v>
          </cell>
          <cell r="F21">
            <v>2137.9989999999998</v>
          </cell>
          <cell r="G21">
            <v>1577.913</v>
          </cell>
          <cell r="H21">
            <v>2325.3049999999998</v>
          </cell>
          <cell r="I21">
            <v>2338.663</v>
          </cell>
          <cell r="J21">
            <v>1551.461</v>
          </cell>
          <cell r="K21">
            <v>1657.126</v>
          </cell>
          <cell r="L21">
            <v>2356.9940000000001</v>
          </cell>
          <cell r="M21">
            <v>2277.34</v>
          </cell>
          <cell r="N21">
            <v>1340.874</v>
          </cell>
          <cell r="O21">
            <v>1966.6559999999999</v>
          </cell>
          <cell r="P21">
            <v>2623.8960000000002</v>
          </cell>
          <cell r="Q21">
            <v>28337.912</v>
          </cell>
          <cell r="S21">
            <v>-79.653999999999996</v>
          </cell>
        </row>
        <row r="22"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S22">
            <v>0</v>
          </cell>
        </row>
        <row r="23">
          <cell r="E23">
            <v>1216.431</v>
          </cell>
          <cell r="F23">
            <v>1185.2560000000001</v>
          </cell>
          <cell r="G23">
            <v>1398.5619999999999</v>
          </cell>
          <cell r="H23">
            <v>1688.877</v>
          </cell>
          <cell r="I23">
            <v>1356.771</v>
          </cell>
          <cell r="J23">
            <v>1328.327</v>
          </cell>
          <cell r="K23">
            <v>1450.317</v>
          </cell>
          <cell r="L23">
            <v>1408.7639999999999</v>
          </cell>
          <cell r="M23">
            <v>1723.355</v>
          </cell>
          <cell r="N23">
            <v>1506.6369999999999</v>
          </cell>
          <cell r="O23">
            <v>1543.3969999999999</v>
          </cell>
          <cell r="P23">
            <v>1743.175</v>
          </cell>
          <cell r="Q23">
            <v>17549.868999999999</v>
          </cell>
          <cell r="S23">
            <v>314.59100000000012</v>
          </cell>
        </row>
        <row r="24">
          <cell r="E24">
            <v>425.12700000000001</v>
          </cell>
          <cell r="F24">
            <v>414.267</v>
          </cell>
          <cell r="G24">
            <v>581.41099999999994</v>
          </cell>
          <cell r="H24">
            <v>354.17</v>
          </cell>
          <cell r="I24">
            <v>122.072</v>
          </cell>
          <cell r="J24">
            <v>809.43100000000004</v>
          </cell>
          <cell r="K24">
            <v>212.411</v>
          </cell>
          <cell r="L24">
            <v>622.27599999999995</v>
          </cell>
          <cell r="M24">
            <v>784.721</v>
          </cell>
          <cell r="N24">
            <v>369.101</v>
          </cell>
          <cell r="O24">
            <v>230.227</v>
          </cell>
          <cell r="P24">
            <v>757.14300000000003</v>
          </cell>
          <cell r="Q24">
            <v>5682.357</v>
          </cell>
          <cell r="S24">
            <v>162.44500000000005</v>
          </cell>
        </row>
        <row r="25">
          <cell r="E25">
            <v>175.22900000000001</v>
          </cell>
          <cell r="F25">
            <v>70.728999999999999</v>
          </cell>
          <cell r="G25">
            <v>279.72899999999998</v>
          </cell>
          <cell r="H25">
            <v>175.22900000000001</v>
          </cell>
          <cell r="I25">
            <v>175.22900000000001</v>
          </cell>
          <cell r="J25">
            <v>175.22900000000001</v>
          </cell>
          <cell r="K25">
            <v>175.22900000000001</v>
          </cell>
          <cell r="L25">
            <v>175.22900000000001</v>
          </cell>
          <cell r="M25">
            <v>175.22900000000001</v>
          </cell>
          <cell r="N25">
            <v>175.22900000000001</v>
          </cell>
          <cell r="O25">
            <v>175.22900000000001</v>
          </cell>
          <cell r="P25">
            <v>249.68299999999999</v>
          </cell>
          <cell r="Q25">
            <v>2177.2020000000002</v>
          </cell>
          <cell r="S25">
            <v>0</v>
          </cell>
        </row>
        <row r="26">
          <cell r="E26">
            <v>2820.68</v>
          </cell>
          <cell r="F26">
            <v>2879</v>
          </cell>
          <cell r="G26">
            <v>2849.84</v>
          </cell>
          <cell r="H26">
            <v>2849.84</v>
          </cell>
          <cell r="I26">
            <v>2849.84</v>
          </cell>
          <cell r="J26">
            <v>2849.84</v>
          </cell>
          <cell r="K26">
            <v>3087.45</v>
          </cell>
          <cell r="L26">
            <v>3087.45</v>
          </cell>
          <cell r="M26">
            <v>3087.45</v>
          </cell>
          <cell r="N26">
            <v>3087.45</v>
          </cell>
          <cell r="O26">
            <v>3087.45</v>
          </cell>
          <cell r="P26">
            <v>3087.45</v>
          </cell>
          <cell r="Q26">
            <v>35623.740000000005</v>
          </cell>
          <cell r="S26">
            <v>0</v>
          </cell>
        </row>
        <row r="27"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S27">
            <v>0</v>
          </cell>
        </row>
        <row r="28">
          <cell r="E28">
            <v>-35000</v>
          </cell>
          <cell r="F28">
            <v>5901.9</v>
          </cell>
          <cell r="G28">
            <v>36192.639999999999</v>
          </cell>
          <cell r="H28">
            <v>1357.86</v>
          </cell>
          <cell r="I28">
            <v>-4991.3</v>
          </cell>
          <cell r="J28">
            <v>-2603.0500000000002</v>
          </cell>
          <cell r="K28">
            <v>0</v>
          </cell>
          <cell r="L28">
            <v>95.32</v>
          </cell>
          <cell r="M28">
            <v>534.14</v>
          </cell>
          <cell r="N28">
            <v>157.91999999999999</v>
          </cell>
          <cell r="O28">
            <v>987.95</v>
          </cell>
          <cell r="P28">
            <v>37</v>
          </cell>
          <cell r="Q28">
            <v>2670.380000000001</v>
          </cell>
          <cell r="S28">
            <v>438.82</v>
          </cell>
        </row>
        <row r="29">
          <cell r="E29">
            <v>211.9</v>
          </cell>
          <cell r="F29">
            <v>164.1</v>
          </cell>
          <cell r="G29">
            <v>34</v>
          </cell>
          <cell r="H29">
            <v>136.55000000000001</v>
          </cell>
          <cell r="I29">
            <v>178.85</v>
          </cell>
          <cell r="J29">
            <v>34</v>
          </cell>
          <cell r="K29">
            <v>50.2</v>
          </cell>
          <cell r="L29">
            <v>135.82</v>
          </cell>
          <cell r="M29">
            <v>127.5</v>
          </cell>
          <cell r="N29">
            <v>89.9</v>
          </cell>
          <cell r="O29">
            <v>109.6</v>
          </cell>
          <cell r="P29">
            <v>753.62</v>
          </cell>
          <cell r="Q29">
            <v>2026.04</v>
          </cell>
          <cell r="S29">
            <v>-8.3199999999999932</v>
          </cell>
        </row>
        <row r="30">
          <cell r="E30">
            <v>5344.1390000000001</v>
          </cell>
          <cell r="F30">
            <v>5827.9459999999999</v>
          </cell>
          <cell r="G30">
            <v>5358.2640000000001</v>
          </cell>
          <cell r="H30">
            <v>6770.1710000000003</v>
          </cell>
          <cell r="I30">
            <v>5796.6880000000001</v>
          </cell>
          <cell r="J30">
            <v>6551.1279999999997</v>
          </cell>
          <cell r="K30">
            <v>6267.8890000000001</v>
          </cell>
          <cell r="L30">
            <v>8607.7019999999993</v>
          </cell>
          <cell r="M30">
            <v>9684.8060000000005</v>
          </cell>
          <cell r="N30">
            <v>5261.9049999999997</v>
          </cell>
          <cell r="O30">
            <v>5983.1509999999998</v>
          </cell>
          <cell r="P30">
            <v>5539.7560000000003</v>
          </cell>
          <cell r="Q30">
            <v>76993.544999999984</v>
          </cell>
          <cell r="S30">
            <v>1077.1040000000012</v>
          </cell>
        </row>
        <row r="31">
          <cell r="E31">
            <v>9096.84</v>
          </cell>
          <cell r="F31">
            <v>10403.799999999999</v>
          </cell>
          <cell r="G31">
            <v>4857.93</v>
          </cell>
          <cell r="H31">
            <v>7289.1</v>
          </cell>
          <cell r="I31">
            <v>4829.8</v>
          </cell>
          <cell r="J31">
            <v>7006.57</v>
          </cell>
          <cell r="K31">
            <v>4568.26</v>
          </cell>
          <cell r="L31">
            <v>10804.71</v>
          </cell>
          <cell r="M31">
            <v>14963.21</v>
          </cell>
          <cell r="N31">
            <v>8082</v>
          </cell>
          <cell r="O31">
            <v>6982.91</v>
          </cell>
          <cell r="P31">
            <v>4112</v>
          </cell>
          <cell r="Q31">
            <v>92997.13</v>
          </cell>
          <cell r="S31">
            <v>4158.5</v>
          </cell>
        </row>
        <row r="32"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S32">
            <v>0</v>
          </cell>
        </row>
        <row r="33">
          <cell r="E33">
            <v>453.71100000000001</v>
          </cell>
          <cell r="F33">
            <v>266.036</v>
          </cell>
          <cell r="G33">
            <v>1015.593</v>
          </cell>
          <cell r="H33">
            <v>1165.703</v>
          </cell>
          <cell r="I33">
            <v>691.78899999999999</v>
          </cell>
          <cell r="J33">
            <v>1562.796</v>
          </cell>
          <cell r="K33">
            <v>-17.216999999999999</v>
          </cell>
          <cell r="L33">
            <v>226.33</v>
          </cell>
          <cell r="M33">
            <v>1618.807</v>
          </cell>
          <cell r="N33">
            <v>605.9</v>
          </cell>
          <cell r="O33">
            <v>454.50200000000001</v>
          </cell>
          <cell r="P33">
            <v>-209.75200000000001</v>
          </cell>
          <cell r="Q33">
            <v>7834.1980000000003</v>
          </cell>
          <cell r="S33">
            <v>1392.4770000000001</v>
          </cell>
        </row>
        <row r="34"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S34">
            <v>0</v>
          </cell>
        </row>
        <row r="35"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S35">
            <v>0</v>
          </cell>
        </row>
        <row r="36">
          <cell r="E36">
            <v>1270.8770000000011</v>
          </cell>
          <cell r="F36">
            <v>37799.913999999997</v>
          </cell>
          <cell r="G36">
            <v>67393.84199999999</v>
          </cell>
          <cell r="H36">
            <v>33672.324000000001</v>
          </cell>
          <cell r="I36">
            <v>27615.291000000001</v>
          </cell>
          <cell r="J36">
            <v>32383.010999999999</v>
          </cell>
          <cell r="K36">
            <v>27673.992000000002</v>
          </cell>
          <cell r="L36">
            <v>38682.741999999998</v>
          </cell>
          <cell r="M36">
            <v>54224.99</v>
          </cell>
          <cell r="N36">
            <v>30572.165000000001</v>
          </cell>
          <cell r="O36">
            <v>32200.418000000001</v>
          </cell>
          <cell r="P36">
            <v>36375.947</v>
          </cell>
          <cell r="Q36">
            <v>419865.51299999992</v>
          </cell>
          <cell r="S36">
            <v>15542.248</v>
          </cell>
        </row>
        <row r="37">
          <cell r="E37">
            <v>92516.474000000002</v>
          </cell>
          <cell r="F37">
            <v>118899.611</v>
          </cell>
          <cell r="G37">
            <v>148838.03399999999</v>
          </cell>
          <cell r="H37">
            <v>117830.18100000001</v>
          </cell>
          <cell r="I37">
            <v>110244.068</v>
          </cell>
          <cell r="J37">
            <v>89365.144</v>
          </cell>
          <cell r="K37">
            <v>106356.576</v>
          </cell>
          <cell r="L37">
            <v>116749.076</v>
          </cell>
          <cell r="M37">
            <v>153916.12400000001</v>
          </cell>
          <cell r="N37">
            <v>114764.71900000001</v>
          </cell>
          <cell r="O37">
            <v>113579.86200000001</v>
          </cell>
          <cell r="P37">
            <v>281947.90600000002</v>
          </cell>
          <cell r="Q37">
            <v>1565007.7749999999</v>
          </cell>
          <cell r="S37">
            <v>37167.04800000001</v>
          </cell>
        </row>
        <row r="38">
          <cell r="E38">
            <v>77263.203999999372</v>
          </cell>
          <cell r="F38">
            <v>80104.970000000234</v>
          </cell>
          <cell r="G38">
            <v>57455.621000001207</v>
          </cell>
          <cell r="H38">
            <v>119276.43300000005</v>
          </cell>
          <cell r="I38">
            <v>57067.001000000135</v>
          </cell>
          <cell r="J38">
            <v>119825.76100000119</v>
          </cell>
          <cell r="K38">
            <v>90590.443999999552</v>
          </cell>
          <cell r="L38">
            <v>106128.85900000052</v>
          </cell>
          <cell r="M38">
            <v>3342.9810000004363</v>
          </cell>
          <cell r="N38">
            <v>90229.536999999109</v>
          </cell>
          <cell r="O38">
            <v>102509.53499999987</v>
          </cell>
          <cell r="P38">
            <v>-82314.148000000569</v>
          </cell>
          <cell r="Q38">
            <v>821480.19800000498</v>
          </cell>
          <cell r="S38">
            <v>-102785.87800000008</v>
          </cell>
        </row>
        <row r="39">
          <cell r="E39">
            <v>2864.27</v>
          </cell>
          <cell r="F39">
            <v>2877.7269999999999</v>
          </cell>
          <cell r="G39">
            <v>2877.7240000000002</v>
          </cell>
          <cell r="H39">
            <v>2877.7269999999999</v>
          </cell>
          <cell r="I39">
            <v>2800.7159999999999</v>
          </cell>
          <cell r="J39">
            <v>2800.7190000000001</v>
          </cell>
          <cell r="K39">
            <v>2800.721</v>
          </cell>
          <cell r="L39">
            <v>1478.7239999999999</v>
          </cell>
          <cell r="M39">
            <v>4908.1000000000004</v>
          </cell>
          <cell r="N39">
            <v>4908.1000000000004</v>
          </cell>
          <cell r="O39">
            <v>4319.4059999999999</v>
          </cell>
          <cell r="P39">
            <v>4319.4089999999997</v>
          </cell>
          <cell r="Q39">
            <v>39833.343000000001</v>
          </cell>
          <cell r="S39">
            <v>3429.3760000000002</v>
          </cell>
        </row>
        <row r="40">
          <cell r="E40">
            <v>74398.933999999368</v>
          </cell>
          <cell r="F40">
            <v>77227.243000000235</v>
          </cell>
          <cell r="G40">
            <v>54577.897000001205</v>
          </cell>
          <cell r="H40">
            <v>116398.70600000005</v>
          </cell>
          <cell r="I40">
            <v>54266.285000000134</v>
          </cell>
          <cell r="J40">
            <v>117025.04200000119</v>
          </cell>
          <cell r="K40">
            <v>87789.722999999547</v>
          </cell>
          <cell r="L40">
            <v>104650.13500000052</v>
          </cell>
          <cell r="M40">
            <v>-1565.118999999564</v>
          </cell>
          <cell r="N40">
            <v>85321.436999999103</v>
          </cell>
          <cell r="O40">
            <v>98190.12899999987</v>
          </cell>
          <cell r="P40">
            <v>-86633.557000000568</v>
          </cell>
          <cell r="Q40">
            <v>781646.85500000499</v>
          </cell>
          <cell r="S40">
            <v>-106215.25400000009</v>
          </cell>
        </row>
        <row r="41">
          <cell r="E41">
            <v>8.4413457076985988E-3</v>
          </cell>
          <cell r="F41">
            <v>7.8888065523096199E-3</v>
          </cell>
          <cell r="G41">
            <v>4.8044053400879694E-3</v>
          </cell>
          <cell r="H41">
            <v>1.0202702599603758E-2</v>
          </cell>
          <cell r="I41">
            <v>6.0101386858943031E-3</v>
          </cell>
          <cell r="J41">
            <v>1.307967726396095E-2</v>
          </cell>
          <cell r="K41">
            <v>1.0727679243045275E-2</v>
          </cell>
          <cell r="L41">
            <v>1.2919637315638881E-2</v>
          </cell>
          <cell r="M41">
            <v>-1.6658672273877568E-4</v>
          </cell>
          <cell r="N41">
            <v>7.5411864240379047E-3</v>
          </cell>
          <cell r="O41">
            <v>7.9154435430394739E-3</v>
          </cell>
          <cell r="P41">
            <v>-9.0029906737195808E-3</v>
          </cell>
          <cell r="Q41">
            <v>6.6035107740596123E-3</v>
          </cell>
        </row>
        <row r="43">
          <cell r="E43">
            <v>1098907.8680546847</v>
          </cell>
          <cell r="F43">
            <v>1027486.9738044508</v>
          </cell>
          <cell r="G43">
            <v>1030973.3939193247</v>
          </cell>
          <cell r="H43">
            <v>1048311.1321207784</v>
          </cell>
          <cell r="I43">
            <v>1064717.6492676102</v>
          </cell>
          <cell r="J43">
            <v>1043902.0889611768</v>
          </cell>
          <cell r="K43">
            <v>1025254.3120930659</v>
          </cell>
          <cell r="L43">
            <v>957693.63511625899</v>
          </cell>
          <cell r="M43">
            <v>1007624.1816933632</v>
          </cell>
          <cell r="N43">
            <v>964243.14311560732</v>
          </cell>
          <cell r="O43">
            <v>985246.58044154115</v>
          </cell>
          <cell r="P43">
            <v>951341.4287927025</v>
          </cell>
          <cell r="Q43">
            <v>1015943.5106736206</v>
          </cell>
        </row>
        <row r="44">
          <cell r="E44">
            <v>1.9263299607757241E-2</v>
          </cell>
          <cell r="F44">
            <v>2.0328430506478493E-2</v>
          </cell>
          <cell r="G44">
            <v>1.815970186077798E-2</v>
          </cell>
          <cell r="H44">
            <v>2.0783119934692784E-2</v>
          </cell>
          <cell r="I44">
            <v>1.8530156032889104E-2</v>
          </cell>
          <cell r="J44">
            <v>2.338088905753952E-2</v>
          </cell>
          <cell r="K44">
            <v>2.4066421287530761E-2</v>
          </cell>
          <cell r="L44">
            <v>2.751551238666371E-2</v>
          </cell>
          <cell r="M44">
            <v>1.6738202604907604E-2</v>
          </cell>
          <cell r="N44">
            <v>1.8118540365804674E-2</v>
          </cell>
          <cell r="O44">
            <v>1.7419708473984639E-2</v>
          </cell>
          <cell r="P44">
            <v>2.0746012557623313E-2</v>
          </cell>
          <cell r="Q44">
            <v>2.0161533230846448E-2</v>
          </cell>
        </row>
        <row r="46">
          <cell r="E46">
            <v>1268735.3580871271</v>
          </cell>
          <cell r="F46">
            <v>1167868.5192917492</v>
          </cell>
          <cell r="G46">
            <v>1154635.2801187327</v>
          </cell>
          <cell r="H46">
            <v>1219182.1263514552</v>
          </cell>
          <cell r="I46">
            <v>1229289.1094835177</v>
          </cell>
          <cell r="J46">
            <v>1265411.1328760344</v>
          </cell>
          <cell r="K46">
            <v>1212695.2910069139</v>
          </cell>
          <cell r="L46">
            <v>1177980.5739906009</v>
          </cell>
          <cell r="M46">
            <v>1343997.7845657172</v>
          </cell>
          <cell r="N46">
            <v>1247409.4865019964</v>
          </cell>
          <cell r="O46">
            <v>1227079.3572396354</v>
          </cell>
          <cell r="P46">
            <v>1231805.4310661538</v>
          </cell>
          <cell r="Q46"/>
          <cell r="R46"/>
          <cell r="S46"/>
          <cell r="T46"/>
        </row>
        <row r="47">
          <cell r="E47">
            <v>1244295.3287613394</v>
          </cell>
          <cell r="F47">
            <v>1144127.5852566229</v>
          </cell>
          <cell r="G47">
            <v>1133667.4476738407</v>
          </cell>
          <cell r="H47">
            <v>1193843.7179972592</v>
          </cell>
          <cell r="I47">
            <v>1206510.1904752566</v>
          </cell>
          <cell r="J47">
            <v>1235824.6955660842</v>
          </cell>
          <cell r="K47">
            <v>1183510.0552401368</v>
          </cell>
          <cell r="L47">
            <v>1145567.8349157134</v>
          </cell>
          <cell r="M47">
            <v>1321501.6773471094</v>
          </cell>
          <cell r="N47">
            <v>1224808.2473681222</v>
          </cell>
          <cell r="O47">
            <v>1205703.9925620765</v>
          </cell>
          <cell r="P47">
            <v>1206250.380124707</v>
          </cell>
          <cell r="Q47"/>
          <cell r="R47"/>
          <cell r="S47"/>
          <cell r="T47"/>
        </row>
        <row r="48">
          <cell r="E48"/>
          <cell r="F48"/>
          <cell r="G48"/>
          <cell r="H48"/>
          <cell r="I48"/>
          <cell r="J48"/>
          <cell r="K48"/>
          <cell r="L48"/>
          <cell r="M48"/>
          <cell r="N48"/>
          <cell r="O48"/>
          <cell r="P48"/>
          <cell r="Q48"/>
          <cell r="R48"/>
          <cell r="S48"/>
          <cell r="T48"/>
        </row>
        <row r="49">
          <cell r="E49">
            <v>95380.744000000006</v>
          </cell>
          <cell r="F49">
            <v>121777.338</v>
          </cell>
          <cell r="G49">
            <v>151715.75799999997</v>
          </cell>
          <cell r="H49">
            <v>120707.90800000001</v>
          </cell>
          <cell r="I49">
            <v>113044.784</v>
          </cell>
          <cell r="J49">
            <v>92165.862999999998</v>
          </cell>
          <cell r="K49">
            <v>109157.29700000001</v>
          </cell>
          <cell r="L49">
            <v>118227.8</v>
          </cell>
          <cell r="M49">
            <v>158824.22400000002</v>
          </cell>
          <cell r="N49">
            <v>119672.81900000002</v>
          </cell>
          <cell r="O49">
            <v>117899.26800000001</v>
          </cell>
          <cell r="P49">
            <v>286267.315</v>
          </cell>
          <cell r="Q49"/>
          <cell r="R49"/>
          <cell r="S49"/>
          <cell r="T49"/>
        </row>
        <row r="50">
          <cell r="E50">
            <v>125380.74400000001</v>
          </cell>
          <cell r="F50">
            <v>151777.33799999999</v>
          </cell>
          <cell r="G50">
            <v>181715.75799999997</v>
          </cell>
          <cell r="H50">
            <v>150707.908</v>
          </cell>
          <cell r="I50">
            <v>143044.78399999999</v>
          </cell>
          <cell r="J50">
            <v>122165.863</v>
          </cell>
          <cell r="K50">
            <v>139157.29700000002</v>
          </cell>
          <cell r="L50">
            <v>148227.79999999999</v>
          </cell>
          <cell r="M50">
            <v>188824.22400000002</v>
          </cell>
          <cell r="N50">
            <v>149672.81900000002</v>
          </cell>
          <cell r="O50">
            <v>147899.26800000001</v>
          </cell>
          <cell r="P50">
            <v>316267.315</v>
          </cell>
          <cell r="Q50"/>
          <cell r="R50"/>
          <cell r="S50"/>
          <cell r="T50"/>
        </row>
        <row r="51">
          <cell r="E51"/>
          <cell r="F51"/>
          <cell r="G51"/>
          <cell r="H51"/>
          <cell r="I51"/>
          <cell r="J51"/>
          <cell r="K51"/>
          <cell r="L51"/>
          <cell r="M51"/>
          <cell r="N51"/>
          <cell r="O51"/>
          <cell r="P51"/>
          <cell r="Q51"/>
          <cell r="R51"/>
          <cell r="S51"/>
          <cell r="T51"/>
        </row>
        <row r="52">
          <cell r="E52">
            <v>0.86614427591228227</v>
          </cell>
          <cell r="F52">
            <v>0.87979678947726725</v>
          </cell>
          <cell r="G52">
            <v>0.89289961225964642</v>
          </cell>
          <cell r="H52">
            <v>0.85984785165607025</v>
          </cell>
          <cell r="I52">
            <v>0.86612469032199291</v>
          </cell>
          <cell r="J52">
            <v>0.82495092846906559</v>
          </cell>
          <cell r="K52">
            <v>0.84543439699661582</v>
          </cell>
          <cell r="L52">
            <v>0.81299611917360903</v>
          </cell>
          <cell r="M52">
            <v>0.74972160911630847</v>
          </cell>
          <cell r="N52">
            <v>0.772996480746312</v>
          </cell>
          <cell r="O52">
            <v>0.80292001868395302</v>
          </cell>
          <cell r="P52">
            <v>0.77231468931688019</v>
          </cell>
          <cell r="Q52"/>
          <cell r="R52"/>
          <cell r="S52"/>
          <cell r="T52"/>
        </row>
        <row r="53">
          <cell r="E53">
            <v>0.13385572408771773</v>
          </cell>
          <cell r="F53">
            <v>0.12020321052273281</v>
          </cell>
          <cell r="G53">
            <v>0.10710038774035362</v>
          </cell>
          <cell r="H53">
            <v>0.14015214834392972</v>
          </cell>
          <cell r="I53">
            <v>0.13387530967800715</v>
          </cell>
          <cell r="J53">
            <v>0.17504907153093441</v>
          </cell>
          <cell r="K53">
            <v>0.15456560300338418</v>
          </cell>
          <cell r="L53">
            <v>0.18700388082639094</v>
          </cell>
          <cell r="M53">
            <v>0.25027839088369158</v>
          </cell>
          <cell r="N53">
            <v>0.22700351925368795</v>
          </cell>
          <cell r="O53">
            <v>0.19707998131604698</v>
          </cell>
          <cell r="P53">
            <v>0.22768531068311976</v>
          </cell>
          <cell r="Q53"/>
          <cell r="R53"/>
          <cell r="S53"/>
          <cell r="T53"/>
        </row>
        <row r="54">
          <cell r="E54"/>
          <cell r="F54"/>
          <cell r="G54"/>
          <cell r="H54"/>
          <cell r="I54"/>
          <cell r="J54"/>
          <cell r="K54"/>
          <cell r="L54"/>
          <cell r="M54"/>
          <cell r="N54"/>
          <cell r="O54"/>
          <cell r="P54"/>
          <cell r="Q54"/>
          <cell r="R54"/>
          <cell r="S54"/>
        </row>
        <row r="55">
          <cell r="E55">
            <v>1.7807511624866823E-2</v>
          </cell>
          <cell r="F55">
            <v>2.5291336254530727E-2</v>
          </cell>
          <cell r="G55">
            <v>2.1872450927757803E-2</v>
          </cell>
          <cell r="H55">
            <v>1.8118517593193939E-2</v>
          </cell>
          <cell r="I55">
            <v>1.9659754085088355E-2</v>
          </cell>
          <cell r="J55">
            <v>2.1336865818581074E-2</v>
          </cell>
          <cell r="K55">
            <v>2.0242835629864397E-2</v>
          </cell>
          <cell r="L55">
            <v>5.0728016578124868E-2</v>
          </cell>
          <cell r="M55">
            <v>2.3644622790337966E-2</v>
          </cell>
          <cell r="N55">
            <v>2.684512050622645E-2</v>
          </cell>
          <cell r="O55">
            <v>2.2409602290379915E-2</v>
          </cell>
          <cell r="P55">
            <v>2.2555700371252208E-2</v>
          </cell>
          <cell r="Q55"/>
          <cell r="R55"/>
          <cell r="S55"/>
        </row>
        <row r="56">
          <cell r="E56"/>
          <cell r="F56"/>
          <cell r="G56"/>
          <cell r="H56"/>
          <cell r="I56"/>
          <cell r="J56"/>
          <cell r="K56"/>
          <cell r="L56"/>
          <cell r="M56"/>
          <cell r="N56"/>
          <cell r="O56"/>
          <cell r="P56"/>
          <cell r="Q56"/>
          <cell r="R56"/>
          <cell r="S56"/>
        </row>
        <row r="57">
          <cell r="E57">
            <v>1.7807511624866865E-2</v>
          </cell>
          <cell r="F57">
            <v>2.5291336254530748E-2</v>
          </cell>
          <cell r="G57">
            <v>2.1872450927757858E-2</v>
          </cell>
          <cell r="H57">
            <v>1.811851759319389E-2</v>
          </cell>
          <cell r="I57">
            <v>1.9659754085088396E-2</v>
          </cell>
          <cell r="J57">
            <v>2.1336865818581113E-2</v>
          </cell>
          <cell r="K57">
            <v>2.0242835629864411E-2</v>
          </cell>
          <cell r="L57">
            <v>5.072801657812482E-2</v>
          </cell>
          <cell r="M57">
            <v>2.3644622790338E-2</v>
          </cell>
          <cell r="N57">
            <v>2.6845120506226464E-2</v>
          </cell>
          <cell r="O57">
            <v>2.2409602290379919E-2</v>
          </cell>
          <cell r="P57">
            <v>2.2555700371252232E-2</v>
          </cell>
          <cell r="Q57"/>
          <cell r="R57"/>
          <cell r="S57"/>
        </row>
        <row r="58">
          <cell r="E58">
            <v>1.9263299607757241E-2</v>
          </cell>
          <cell r="F58">
            <v>2.0328430506478493E-2</v>
          </cell>
          <cell r="G58">
            <v>1.815970186077798E-2</v>
          </cell>
          <cell r="H58">
            <v>2.0783119934692784E-2</v>
          </cell>
          <cell r="I58">
            <v>1.8530156032889104E-2</v>
          </cell>
          <cell r="J58">
            <v>2.338088905753952E-2</v>
          </cell>
          <cell r="K58">
            <v>2.4066421287530761E-2</v>
          </cell>
          <cell r="L58">
            <v>2.751551238666371E-2</v>
          </cell>
          <cell r="M58">
            <v>1.6738202604907604E-2</v>
          </cell>
          <cell r="N58">
            <v>1.8118540365804674E-2</v>
          </cell>
          <cell r="O58">
            <v>1.7419708473984639E-2</v>
          </cell>
          <cell r="P58">
            <v>2.0746012557623313E-2</v>
          </cell>
          <cell r="Q58"/>
          <cell r="R58"/>
          <cell r="S58"/>
        </row>
        <row r="59">
          <cell r="E59">
            <v>1.9488280087323125E-2</v>
          </cell>
          <cell r="F59">
            <v>1.9650368013442967E-2</v>
          </cell>
          <cell r="G59">
            <v>1.7714369754910125E-2</v>
          </cell>
          <cell r="H59">
            <v>2.1217440660067709E-2</v>
          </cell>
          <cell r="I59">
            <v>1.8355556127425569E-2</v>
          </cell>
          <cell r="J59">
            <v>2.3814617122833455E-2</v>
          </cell>
          <cell r="K59">
            <v>2.4765464081284817E-2</v>
          </cell>
          <cell r="L59">
            <v>2.2176214614966543E-2</v>
          </cell>
          <cell r="M59">
            <v>1.4432643168234078E-2</v>
          </cell>
          <cell r="N59">
            <v>1.555583218760895E-2</v>
          </cell>
          <cell r="O59">
            <v>1.6194918759915581E-2</v>
          </cell>
          <cell r="P59">
            <v>2.0212500327718673E-2</v>
          </cell>
        </row>
      </sheetData>
      <sheetData sheetId="1">
        <row r="8">
          <cell r="G8">
            <v>6946.7870000000003</v>
          </cell>
        </row>
      </sheetData>
      <sheetData sheetId="2">
        <row r="8">
          <cell r="G8">
            <v>8382.34</v>
          </cell>
        </row>
      </sheetData>
      <sheetData sheetId="3">
        <row r="8">
          <cell r="G8">
            <v>9838.5779999999995</v>
          </cell>
        </row>
      </sheetData>
      <sheetData sheetId="4">
        <row r="8">
          <cell r="G8">
            <v>9357.5969999999998</v>
          </cell>
        </row>
      </sheetData>
      <sheetData sheetId="5">
        <row r="8">
          <cell r="G8">
            <v>7344.996000000001</v>
          </cell>
        </row>
        <row r="10">
          <cell r="G10">
            <v>1064717.6492676102</v>
          </cell>
        </row>
        <row r="15">
          <cell r="G15">
            <v>1.8355556127425569E-2</v>
          </cell>
        </row>
      </sheetData>
      <sheetData sheetId="6">
        <row r="8">
          <cell r="G8">
            <v>7070.5</v>
          </cell>
        </row>
      </sheetData>
      <sheetData sheetId="7">
        <row r="8">
          <cell r="G8">
            <v>6748.1729999999998</v>
          </cell>
        </row>
      </sheetData>
      <sheetData sheetId="8">
        <row r="8">
          <cell r="G8">
            <v>6876.2449999999999</v>
          </cell>
        </row>
      </sheetData>
      <sheetData sheetId="9">
        <row r="8">
          <cell r="G8">
            <v>6990.5029999999997</v>
          </cell>
        </row>
      </sheetData>
      <sheetData sheetId="10">
        <row r="8">
          <cell r="G8">
            <v>9070.0450000000001</v>
          </cell>
        </row>
      </sheetData>
      <sheetData sheetId="11">
        <row r="8">
          <cell r="G8">
            <v>10109.272999999999</v>
          </cell>
        </row>
      </sheetData>
      <sheetData sheetId="12">
        <row r="8">
          <cell r="G8">
            <v>7811.91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부산모래장(당월)"/>
      <sheetName val="서부산크라샤(당월)"/>
      <sheetName val="부산크라샤(당월)"/>
      <sheetName val="부산모래장(누계)"/>
      <sheetName val="서부산크라샤(누계)"/>
      <sheetName val="부산크라샤(누계)"/>
    </sheetNames>
    <sheetDataSet>
      <sheetData sheetId="0">
        <row r="47">
          <cell r="Q47">
            <v>9500</v>
          </cell>
          <cell r="R47">
            <v>9975</v>
          </cell>
        </row>
        <row r="48">
          <cell r="Q48">
            <v>18519.294299382029</v>
          </cell>
          <cell r="R48">
            <v>15938</v>
          </cell>
        </row>
        <row r="53">
          <cell r="R53">
            <v>282090</v>
          </cell>
        </row>
        <row r="54">
          <cell r="R54">
            <v>466472</v>
          </cell>
        </row>
        <row r="64">
          <cell r="R64">
            <v>5890</v>
          </cell>
        </row>
        <row r="65">
          <cell r="R65">
            <v>3344</v>
          </cell>
        </row>
        <row r="66">
          <cell r="R66">
            <v>2816</v>
          </cell>
        </row>
        <row r="76">
          <cell r="R76">
            <v>188480</v>
          </cell>
        </row>
        <row r="77">
          <cell r="R77">
            <v>93632</v>
          </cell>
        </row>
        <row r="78">
          <cell r="R78">
            <v>77440</v>
          </cell>
        </row>
        <row r="79">
          <cell r="R79">
            <v>106920</v>
          </cell>
        </row>
        <row r="80">
          <cell r="R80">
            <v>0</v>
          </cell>
        </row>
        <row r="81">
          <cell r="I81">
            <v>42923.393042632073</v>
          </cell>
        </row>
        <row r="82">
          <cell r="R82">
            <v>42756.127</v>
          </cell>
        </row>
      </sheetData>
      <sheetData sheetId="1">
        <row r="59">
          <cell r="F59">
            <v>7072</v>
          </cell>
          <cell r="I59">
            <v>3392</v>
          </cell>
          <cell r="N59">
            <v>32300</v>
          </cell>
          <cell r="O59">
            <v>10464</v>
          </cell>
        </row>
        <row r="60">
          <cell r="F60">
            <v>224</v>
          </cell>
          <cell r="I60">
            <v>0</v>
          </cell>
        </row>
        <row r="61">
          <cell r="F61">
            <v>13230</v>
          </cell>
          <cell r="I61">
            <v>0</v>
          </cell>
        </row>
        <row r="62">
          <cell r="F62">
            <v>1392</v>
          </cell>
          <cell r="I62">
            <v>0</v>
          </cell>
        </row>
        <row r="63">
          <cell r="F63">
            <v>0</v>
          </cell>
          <cell r="I63">
            <v>0</v>
          </cell>
        </row>
        <row r="64">
          <cell r="F64">
            <v>0</v>
          </cell>
          <cell r="I64">
            <v>112</v>
          </cell>
        </row>
        <row r="65">
          <cell r="F65">
            <v>1152</v>
          </cell>
          <cell r="I65">
            <v>0</v>
          </cell>
        </row>
        <row r="66">
          <cell r="F66">
            <v>15998</v>
          </cell>
          <cell r="I66">
            <v>112</v>
          </cell>
          <cell r="N66">
            <v>18926.029226666666</v>
          </cell>
          <cell r="O66">
            <v>16110</v>
          </cell>
        </row>
        <row r="71">
          <cell r="F71">
            <v>81328</v>
          </cell>
          <cell r="I71">
            <v>30528</v>
          </cell>
        </row>
        <row r="72">
          <cell r="F72">
            <v>256966</v>
          </cell>
          <cell r="I72">
            <v>1008</v>
          </cell>
        </row>
        <row r="86">
          <cell r="F86">
            <v>-10613.977256264929</v>
          </cell>
          <cell r="I86">
            <v>11382.210830151547</v>
          </cell>
        </row>
        <row r="87">
          <cell r="F87">
            <v>47341.986308843341</v>
          </cell>
          <cell r="I87">
            <v>375.82823495783413</v>
          </cell>
        </row>
      </sheetData>
      <sheetData sheetId="2">
        <row r="59">
          <cell r="F59">
            <v>8272</v>
          </cell>
          <cell r="I59">
            <v>9728</v>
          </cell>
          <cell r="N59">
            <v>21000</v>
          </cell>
          <cell r="O59">
            <v>18000</v>
          </cell>
        </row>
        <row r="60">
          <cell r="F60">
            <v>14800</v>
          </cell>
          <cell r="I60">
            <v>9980</v>
          </cell>
        </row>
        <row r="61">
          <cell r="F61">
            <v>0</v>
          </cell>
          <cell r="I61">
            <v>4048</v>
          </cell>
        </row>
        <row r="62">
          <cell r="F62">
            <v>0</v>
          </cell>
          <cell r="I62">
            <v>0</v>
          </cell>
        </row>
        <row r="63">
          <cell r="F63">
            <v>0</v>
          </cell>
          <cell r="I63">
            <v>0</v>
          </cell>
        </row>
        <row r="64">
          <cell r="F64">
            <v>0</v>
          </cell>
          <cell r="I64">
            <v>0</v>
          </cell>
        </row>
        <row r="65">
          <cell r="F65">
            <v>0</v>
          </cell>
          <cell r="I65">
            <v>0</v>
          </cell>
        </row>
        <row r="66">
          <cell r="F66">
            <v>14800</v>
          </cell>
          <cell r="I66">
            <v>14028</v>
          </cell>
          <cell r="N66">
            <v>20810.091372023955</v>
          </cell>
          <cell r="O66">
            <v>28828</v>
          </cell>
        </row>
        <row r="71">
          <cell r="F71">
            <v>107536</v>
          </cell>
          <cell r="I71">
            <v>175360</v>
          </cell>
        </row>
        <row r="72">
          <cell r="F72">
            <v>259000</v>
          </cell>
          <cell r="I72">
            <v>315490</v>
          </cell>
        </row>
        <row r="86">
          <cell r="F86">
            <v>-28830.203565203537</v>
          </cell>
          <cell r="I86">
            <v>13979.23489200421</v>
          </cell>
        </row>
        <row r="87">
          <cell r="F87">
            <v>13588.885663358342</v>
          </cell>
          <cell r="I87">
            <v>81431.718969840978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부산골재(당월)"/>
      <sheetName val="부산골재(누계)"/>
      <sheetName val="서부산골재(당월)"/>
      <sheetName val="서부산골재(누계)"/>
      <sheetName val="부산크라샤(당월)"/>
      <sheetName val="부산크라샤(누계)"/>
    </sheetNames>
    <sheetDataSet>
      <sheetData sheetId="0">
        <row r="47">
          <cell r="R47">
            <v>9942</v>
          </cell>
        </row>
        <row r="48">
          <cell r="R48">
            <v>21084</v>
          </cell>
        </row>
      </sheetData>
      <sheetData sheetId="1"/>
      <sheetData sheetId="2">
        <row r="59">
          <cell r="O59">
            <v>15648</v>
          </cell>
        </row>
        <row r="66">
          <cell r="O66">
            <v>20884</v>
          </cell>
        </row>
      </sheetData>
      <sheetData sheetId="3"/>
      <sheetData sheetId="4">
        <row r="59">
          <cell r="O59">
            <v>0</v>
          </cell>
        </row>
        <row r="66">
          <cell r="O66">
            <v>0</v>
          </cell>
        </row>
      </sheetData>
      <sheetData sheetId="5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계"/>
      <sheetName val="수도권"/>
      <sheetName val="영남권"/>
      <sheetName val="중부권"/>
      <sheetName val="안양"/>
      <sheetName val="인천"/>
      <sheetName val="파주"/>
      <sheetName val="김포"/>
      <sheetName val="부산"/>
      <sheetName val="서부산"/>
      <sheetName val="김해"/>
      <sheetName val="정관"/>
      <sheetName val="양산"/>
      <sheetName val="창원"/>
      <sheetName val="대구"/>
      <sheetName val="울산"/>
      <sheetName val="아산"/>
      <sheetName val="원주"/>
      <sheetName val="군산"/>
      <sheetName val="전주"/>
      <sheetName val="제주"/>
    </sheetNames>
    <sheetDataSet>
      <sheetData sheetId="0">
        <row r="85">
          <cell r="Q85">
            <v>101385.2400717565</v>
          </cell>
          <cell r="R85">
            <v>101469.01630776732</v>
          </cell>
        </row>
        <row r="89">
          <cell r="Q89">
            <v>76803.982651777886</v>
          </cell>
          <cell r="R89">
            <v>79238.722008520563</v>
          </cell>
        </row>
      </sheetData>
      <sheetData sheetId="1">
        <row r="85">
          <cell r="Q85">
            <v>98890.541438790635</v>
          </cell>
          <cell r="R85">
            <v>99645.836605806544</v>
          </cell>
        </row>
        <row r="89">
          <cell r="Q89">
            <v>78421.442696560014</v>
          </cell>
          <cell r="R89">
            <v>81200.926995184156</v>
          </cell>
        </row>
      </sheetData>
      <sheetData sheetId="2">
        <row r="85">
          <cell r="Q85">
            <v>101898.24230733946</v>
          </cell>
          <cell r="R85">
            <v>101514.23636685316</v>
          </cell>
        </row>
        <row r="89">
          <cell r="Q89">
            <v>75590.454808807248</v>
          </cell>
          <cell r="R89">
            <v>78843.798267227539</v>
          </cell>
        </row>
      </sheetData>
      <sheetData sheetId="3">
        <row r="85">
          <cell r="Q85">
            <v>105749.34812578617</v>
          </cell>
          <cell r="R85">
            <v>105157.87152941449</v>
          </cell>
        </row>
        <row r="89">
          <cell r="Q89">
            <v>76188.77421427751</v>
          </cell>
          <cell r="R89">
            <v>76173.542190545471</v>
          </cell>
        </row>
      </sheetData>
      <sheetData sheetId="4">
        <row r="85">
          <cell r="Q85">
            <v>99449.375742574266</v>
          </cell>
          <cell r="R85">
            <v>99203.365320518889</v>
          </cell>
        </row>
        <row r="89">
          <cell r="Q89">
            <v>79340.078100937419</v>
          </cell>
          <cell r="R89">
            <v>81339.683440943685</v>
          </cell>
        </row>
      </sheetData>
      <sheetData sheetId="5">
        <row r="85">
          <cell r="Q85">
            <v>100920.345</v>
          </cell>
          <cell r="R85">
            <v>100511.71276588352</v>
          </cell>
        </row>
        <row r="89">
          <cell r="Q89">
            <v>81598.630528992595</v>
          </cell>
          <cell r="R89">
            <v>82210.920798338295</v>
          </cell>
        </row>
      </sheetData>
      <sheetData sheetId="6">
        <row r="85">
          <cell r="Q85">
            <v>97757.280468831901</v>
          </cell>
          <cell r="R85">
            <v>99613.276503638961</v>
          </cell>
        </row>
        <row r="89">
          <cell r="Q89">
            <v>76694.358372689923</v>
          </cell>
          <cell r="R89">
            <v>82206.609111665952</v>
          </cell>
        </row>
      </sheetData>
      <sheetData sheetId="7">
        <row r="85">
          <cell r="Q85">
            <v>94646.816793893129</v>
          </cell>
          <cell r="R85">
            <v>99202.657520399764</v>
          </cell>
        </row>
        <row r="89">
          <cell r="Q89">
            <v>71555.623540634813</v>
          </cell>
          <cell r="R89">
            <v>76358.731962878752</v>
          </cell>
        </row>
      </sheetData>
      <sheetData sheetId="8">
        <row r="85">
          <cell r="Q85">
            <v>107600.10504569892</v>
          </cell>
          <cell r="R85">
            <v>106661.60796687393</v>
          </cell>
        </row>
        <row r="89">
          <cell r="Q89">
            <v>78742.47238427955</v>
          </cell>
          <cell r="R89">
            <v>83541.954751448851</v>
          </cell>
        </row>
      </sheetData>
      <sheetData sheetId="9">
        <row r="85">
          <cell r="Q85">
            <v>103524.45551724138</v>
          </cell>
          <cell r="R85">
            <v>101341.58458092448</v>
          </cell>
        </row>
        <row r="89">
          <cell r="Q89">
            <v>77503.933824408654</v>
          </cell>
          <cell r="R89">
            <v>79342.202799798499</v>
          </cell>
        </row>
      </sheetData>
      <sheetData sheetId="10">
        <row r="85">
          <cell r="Q85">
            <v>100999.97894736844</v>
          </cell>
          <cell r="R85">
            <v>98145.406427797847</v>
          </cell>
        </row>
        <row r="89">
          <cell r="Q89">
            <v>76485.712629946502</v>
          </cell>
          <cell r="R89">
            <v>79751.01912780854</v>
          </cell>
        </row>
      </sheetData>
      <sheetData sheetId="11">
        <row r="85">
          <cell r="Q85">
            <v>104000</v>
          </cell>
          <cell r="R85">
            <v>102462.441428773</v>
          </cell>
        </row>
        <row r="89">
          <cell r="Q89">
            <v>78480.533381535002</v>
          </cell>
          <cell r="R89">
            <v>82233.76815725342</v>
          </cell>
        </row>
      </sheetData>
      <sheetData sheetId="12">
        <row r="85">
          <cell r="Q85">
            <v>96527.504560747664</v>
          </cell>
          <cell r="R85">
            <v>93793.093100336118</v>
          </cell>
        </row>
        <row r="89">
          <cell r="Q89">
            <v>71179.418090082632</v>
          </cell>
          <cell r="R89">
            <v>72858.368679010426</v>
          </cell>
        </row>
      </sheetData>
      <sheetData sheetId="13">
        <row r="85">
          <cell r="Q85">
            <v>100050.46341463416</v>
          </cell>
          <cell r="R85">
            <v>102035.60773815426</v>
          </cell>
        </row>
        <row r="89">
          <cell r="Q89">
            <v>72148.996556159284</v>
          </cell>
          <cell r="R89">
            <v>75019.240554294913</v>
          </cell>
        </row>
      </sheetData>
      <sheetData sheetId="14">
        <row r="85">
          <cell r="Q85">
            <v>97791.31578947368</v>
          </cell>
          <cell r="R85">
            <v>100684.82790613391</v>
          </cell>
        </row>
        <row r="89">
          <cell r="Q89">
            <v>70357.877583853668</v>
          </cell>
          <cell r="R89">
            <v>74578.545833408833</v>
          </cell>
        </row>
      </sheetData>
      <sheetData sheetId="15">
        <row r="85">
          <cell r="Q85">
            <v>98907.392941176469</v>
          </cell>
          <cell r="R85">
            <v>103447.10429280736</v>
          </cell>
        </row>
        <row r="89">
          <cell r="Q89">
            <v>78396.575389151301</v>
          </cell>
          <cell r="R89">
            <v>80952.083216826475</v>
          </cell>
        </row>
      </sheetData>
      <sheetData sheetId="16">
        <row r="85">
          <cell r="Q85">
            <v>100999.91941747573</v>
          </cell>
          <cell r="R85">
            <v>101935.93301870086</v>
          </cell>
        </row>
        <row r="89">
          <cell r="Q89">
            <v>76585.888892937583</v>
          </cell>
          <cell r="R89">
            <v>78459.870519047647</v>
          </cell>
        </row>
      </sheetData>
      <sheetData sheetId="17">
        <row r="85">
          <cell r="Q85">
            <v>107900</v>
          </cell>
          <cell r="R85">
            <v>111428.10068194562</v>
          </cell>
        </row>
        <row r="89">
          <cell r="Q89">
            <v>73817.112688143156</v>
          </cell>
          <cell r="R89">
            <v>73028.892317710706</v>
          </cell>
        </row>
      </sheetData>
      <sheetData sheetId="18">
        <row r="85">
          <cell r="Q85">
            <v>109110.96396721313</v>
          </cell>
          <cell r="R85">
            <v>110136.00500551065</v>
          </cell>
        </row>
        <row r="89">
          <cell r="Q89">
            <v>69719.176369854671</v>
          </cell>
          <cell r="R89">
            <v>70761.154300013775</v>
          </cell>
        </row>
      </sheetData>
      <sheetData sheetId="19">
        <row r="85">
          <cell r="Q85">
            <v>102704.34691071429</v>
          </cell>
          <cell r="R85">
            <v>96333.025805562167</v>
          </cell>
        </row>
        <row r="89">
          <cell r="Q89">
            <v>74069.225706135127</v>
          </cell>
          <cell r="R89">
            <v>71532.534705078884</v>
          </cell>
        </row>
      </sheetData>
      <sheetData sheetId="20">
        <row r="85">
          <cell r="Q85">
            <v>126725</v>
          </cell>
          <cell r="R85">
            <v>127828.50272637884</v>
          </cell>
        </row>
        <row r="89">
          <cell r="Q89">
            <v>90122.364921037602</v>
          </cell>
          <cell r="R89">
            <v>88722.121239175074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계"/>
      <sheetName val="수도권"/>
      <sheetName val="영남권"/>
      <sheetName val="중부권"/>
      <sheetName val="안양"/>
      <sheetName val="인천"/>
      <sheetName val="파주"/>
      <sheetName val="김포"/>
      <sheetName val="부산"/>
      <sheetName val="서부산"/>
      <sheetName val="김해"/>
      <sheetName val="정관"/>
      <sheetName val="양산"/>
      <sheetName val="창원"/>
      <sheetName val="대구"/>
      <sheetName val="울산"/>
      <sheetName val="아산"/>
      <sheetName val="원주"/>
      <sheetName val="군산"/>
      <sheetName val="전주"/>
      <sheetName val="제주"/>
    </sheetNames>
    <sheetDataSet>
      <sheetData sheetId="0">
        <row r="85">
          <cell r="Q85">
            <v>94817.862192344444</v>
          </cell>
        </row>
        <row r="89">
          <cell r="Q89">
            <v>71149.862942409309</v>
          </cell>
        </row>
      </sheetData>
      <sheetData sheetId="1">
        <row r="85">
          <cell r="Q85">
            <v>91214.223097956055</v>
          </cell>
        </row>
        <row r="89">
          <cell r="Q89">
            <v>72739.255858652949</v>
          </cell>
        </row>
      </sheetData>
      <sheetData sheetId="2">
        <row r="85">
          <cell r="Q85">
            <v>96476.720646601912</v>
          </cell>
        </row>
        <row r="89">
          <cell r="Q89">
            <v>70634.767173048123</v>
          </cell>
        </row>
      </sheetData>
      <sheetData sheetId="3">
        <row r="85">
          <cell r="Q85">
            <v>98475.30525607802</v>
          </cell>
        </row>
        <row r="89">
          <cell r="Q89">
            <v>68974.064129604172</v>
          </cell>
        </row>
      </sheetData>
      <sheetData sheetId="4">
        <row r="85">
          <cell r="Q85">
            <v>91346.275930990494</v>
          </cell>
        </row>
        <row r="89">
          <cell r="Q89">
            <v>72646.211433845834</v>
          </cell>
        </row>
      </sheetData>
      <sheetData sheetId="5">
        <row r="85">
          <cell r="Q85">
            <v>93314.80620417255</v>
          </cell>
        </row>
        <row r="89">
          <cell r="Q89">
            <v>75063.122555166483</v>
          </cell>
        </row>
      </sheetData>
      <sheetData sheetId="6">
        <row r="85">
          <cell r="Q85">
            <v>89960.425859235998</v>
          </cell>
        </row>
        <row r="89">
          <cell r="Q89">
            <v>73151.924141452837</v>
          </cell>
        </row>
      </sheetData>
      <sheetData sheetId="7">
        <row r="85">
          <cell r="Q85">
            <v>87815.031373504578</v>
          </cell>
        </row>
        <row r="89">
          <cell r="Q89">
            <v>67102.292185447775</v>
          </cell>
        </row>
      </sheetData>
      <sheetData sheetId="8">
        <row r="85">
          <cell r="Q85">
            <v>101294.26735147029</v>
          </cell>
        </row>
        <row r="89">
          <cell r="Q89">
            <v>72839.146203093667</v>
          </cell>
        </row>
      </sheetData>
      <sheetData sheetId="9">
        <row r="85">
          <cell r="Q85">
            <v>98463.634945970261</v>
          </cell>
        </row>
        <row r="89">
          <cell r="Q89">
            <v>72571.448287564446</v>
          </cell>
        </row>
      </sheetData>
      <sheetData sheetId="10">
        <row r="85">
          <cell r="Q85">
            <v>96204.349093028344</v>
          </cell>
        </row>
        <row r="89">
          <cell r="Q89">
            <v>73278.852203686169</v>
          </cell>
        </row>
      </sheetData>
      <sheetData sheetId="11">
        <row r="85">
          <cell r="Q85">
            <v>99230.702590506524</v>
          </cell>
        </row>
        <row r="89">
          <cell r="Q89">
            <v>73977.792853402105</v>
          </cell>
        </row>
      </sheetData>
      <sheetData sheetId="12">
        <row r="85">
          <cell r="Q85">
            <v>93666.996347475855</v>
          </cell>
        </row>
        <row r="89">
          <cell r="Q89">
            <v>67613.572350972681</v>
          </cell>
        </row>
      </sheetData>
      <sheetData sheetId="13">
        <row r="85">
          <cell r="Q85">
            <v>93856.112069303432</v>
          </cell>
        </row>
        <row r="89">
          <cell r="Q89">
            <v>66518.157226294541</v>
          </cell>
        </row>
      </sheetData>
      <sheetData sheetId="14">
        <row r="85">
          <cell r="Q85">
            <v>91851.777851901279</v>
          </cell>
        </row>
        <row r="89">
          <cell r="Q89">
            <v>66108.886873904092</v>
          </cell>
        </row>
      </sheetData>
      <sheetData sheetId="15">
        <row r="85">
          <cell r="Q85">
            <v>93897.44946254653</v>
          </cell>
        </row>
        <row r="89">
          <cell r="Q89">
            <v>72812.394041124615</v>
          </cell>
        </row>
      </sheetData>
      <sheetData sheetId="16">
        <row r="85">
          <cell r="Q85">
            <v>94630.713929250531</v>
          </cell>
        </row>
        <row r="89">
          <cell r="Q89">
            <v>68111.87852948725</v>
          </cell>
        </row>
      </sheetData>
      <sheetData sheetId="17">
        <row r="85">
          <cell r="Q85">
            <v>100920.66434742539</v>
          </cell>
        </row>
        <row r="89">
          <cell r="Q89">
            <v>66254.139622728413</v>
          </cell>
        </row>
      </sheetData>
      <sheetData sheetId="18">
        <row r="85">
          <cell r="Q85">
            <v>96092.708147228128</v>
          </cell>
        </row>
        <row r="89">
          <cell r="Q89">
            <v>63332.933928699349</v>
          </cell>
        </row>
      </sheetData>
      <sheetData sheetId="19">
        <row r="85">
          <cell r="Q85">
            <v>93937.212757554458</v>
          </cell>
        </row>
        <row r="89">
          <cell r="Q89">
            <v>67789.552849835774</v>
          </cell>
        </row>
      </sheetData>
      <sheetData sheetId="20">
        <row r="85">
          <cell r="Q85">
            <v>118556.18123557724</v>
          </cell>
        </row>
        <row r="89">
          <cell r="Q89">
            <v>81217.30871978795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작성시참고"/>
      <sheetName val="손익"/>
      <sheetName val="판매계획"/>
      <sheetName val="매입계획"/>
      <sheetName val="비율"/>
      <sheetName val="판매4"/>
      <sheetName val="판매6"/>
      <sheetName val="판매"/>
      <sheetName val="인원수"/>
      <sheetName val="계정통제"/>
      <sheetName val="본사산출"/>
    </sheetNames>
    <sheetDataSet>
      <sheetData sheetId="0" refreshError="1"/>
      <sheetData sheetId="1">
        <row r="5">
          <cell r="E5"/>
          <cell r="G5" t="str">
            <v>1월</v>
          </cell>
          <cell r="H5" t="str">
            <v>2월</v>
          </cell>
          <cell r="I5" t="str">
            <v>3월</v>
          </cell>
          <cell r="J5" t="str">
            <v>4월</v>
          </cell>
          <cell r="K5" t="str">
            <v>5월</v>
          </cell>
          <cell r="L5" t="str">
            <v>6월</v>
          </cell>
          <cell r="M5" t="str">
            <v>7월</v>
          </cell>
          <cell r="N5" t="str">
            <v>8월</v>
          </cell>
          <cell r="O5" t="str">
            <v>9월</v>
          </cell>
          <cell r="P5" t="str">
            <v>10월</v>
          </cell>
          <cell r="Q5" t="str">
            <v>11월</v>
          </cell>
          <cell r="R5" t="str">
            <v>12월</v>
          </cell>
          <cell r="S5" t="str">
            <v>금액</v>
          </cell>
          <cell r="T5" t="str">
            <v>단위당</v>
          </cell>
          <cell r="V5" t="str">
            <v>2월누계</v>
          </cell>
          <cell r="W5" t="str">
            <v>3월누계</v>
          </cell>
          <cell r="X5" t="str">
            <v>4월누계</v>
          </cell>
          <cell r="Y5" t="str">
            <v>5월누계</v>
          </cell>
          <cell r="Z5" t="str">
            <v>6월누계</v>
          </cell>
          <cell r="AA5" t="str">
            <v>7월누계</v>
          </cell>
          <cell r="AB5" t="str">
            <v>8월누계</v>
          </cell>
          <cell r="AC5" t="str">
            <v>9월누계</v>
          </cell>
          <cell r="AD5" t="str">
            <v>10월누계</v>
          </cell>
          <cell r="AE5" t="str">
            <v>11월누계</v>
          </cell>
          <cell r="AF5" t="str">
            <v>12월누계</v>
          </cell>
        </row>
        <row r="6">
          <cell r="G6">
            <v>6900</v>
          </cell>
          <cell r="H6">
            <v>6400</v>
          </cell>
          <cell r="I6">
            <v>7300</v>
          </cell>
          <cell r="J6">
            <v>7300</v>
          </cell>
          <cell r="K6">
            <v>7600</v>
          </cell>
          <cell r="L6">
            <v>6100</v>
          </cell>
          <cell r="M6">
            <v>7100</v>
          </cell>
          <cell r="N6">
            <v>8100</v>
          </cell>
          <cell r="O6">
            <v>6500</v>
          </cell>
          <cell r="P6">
            <v>8900</v>
          </cell>
          <cell r="Q6">
            <v>9200</v>
          </cell>
          <cell r="R6">
            <v>8600</v>
          </cell>
          <cell r="S6">
            <v>90000</v>
          </cell>
          <cell r="T6"/>
          <cell r="U6"/>
          <cell r="V6">
            <v>13300</v>
          </cell>
          <cell r="W6">
            <v>20600</v>
          </cell>
          <cell r="X6">
            <v>27900</v>
          </cell>
          <cell r="Y6">
            <v>35500</v>
          </cell>
          <cell r="Z6">
            <v>41600</v>
          </cell>
          <cell r="AA6">
            <v>48700</v>
          </cell>
          <cell r="AB6">
            <v>56800</v>
          </cell>
          <cell r="AC6">
            <v>63300</v>
          </cell>
          <cell r="AD6">
            <v>72200</v>
          </cell>
          <cell r="AE6">
            <v>81400</v>
          </cell>
          <cell r="AF6">
            <v>90000</v>
          </cell>
        </row>
        <row r="7">
          <cell r="G7">
            <v>8447943.157894738</v>
          </cell>
          <cell r="H7">
            <v>7830197.8947368432</v>
          </cell>
          <cell r="I7">
            <v>8929315.7894736845</v>
          </cell>
          <cell r="J7">
            <v>8929315.7894736845</v>
          </cell>
          <cell r="K7">
            <v>9285688.4210526329</v>
          </cell>
          <cell r="L7">
            <v>7443825.2631578958</v>
          </cell>
          <cell r="M7">
            <v>8684490.5263157897</v>
          </cell>
          <cell r="N7">
            <v>9915846.3157894723</v>
          </cell>
          <cell r="O7">
            <v>7946920.0000000009</v>
          </cell>
          <cell r="P7">
            <v>10873416.842105264</v>
          </cell>
          <cell r="Q7">
            <v>11242202.105263157</v>
          </cell>
          <cell r="R7">
            <v>10504631.578947367</v>
          </cell>
          <cell r="S7">
            <v>110033793.68421054</v>
          </cell>
          <cell r="T7">
            <v>1222597.7076023393</v>
          </cell>
          <cell r="U7"/>
          <cell r="V7">
            <v>16278141.052631581</v>
          </cell>
          <cell r="W7">
            <v>25207456.842105266</v>
          </cell>
          <cell r="X7">
            <v>34136772.631578952</v>
          </cell>
          <cell r="Y7">
            <v>43422461.052631587</v>
          </cell>
          <cell r="Z7">
            <v>50866286.315789483</v>
          </cell>
          <cell r="AA7">
            <v>59550776.842105269</v>
          </cell>
          <cell r="AB7">
            <v>69466623.157894745</v>
          </cell>
          <cell r="AC7">
            <v>77413543.157894745</v>
          </cell>
          <cell r="AD7">
            <v>88286960.000000015</v>
          </cell>
          <cell r="AE7">
            <v>99529162.105263174</v>
          </cell>
          <cell r="AF7">
            <v>110033793.68421054</v>
          </cell>
        </row>
        <row r="8">
          <cell r="G8">
            <v>1224339.5881006867</v>
          </cell>
          <cell r="H8">
            <v>1223468.4210526319</v>
          </cell>
          <cell r="I8">
            <v>1223193.9437635185</v>
          </cell>
          <cell r="J8">
            <v>1223193.9437635185</v>
          </cell>
          <cell r="K8">
            <v>1221801.1080332412</v>
          </cell>
          <cell r="L8">
            <v>1220299.2234685076</v>
          </cell>
          <cell r="M8">
            <v>1223167.6797627872</v>
          </cell>
          <cell r="N8">
            <v>1224178.5575048733</v>
          </cell>
          <cell r="O8">
            <v>1222603.076923077</v>
          </cell>
          <cell r="P8">
            <v>1221732.2294500296</v>
          </cell>
          <cell r="Q8">
            <v>1221978.4897025169</v>
          </cell>
          <cell r="R8">
            <v>1221468.788249694</v>
          </cell>
          <cell r="S8">
            <v>14671425.049775083</v>
          </cell>
          <cell r="T8">
            <v>163015.8338863898</v>
          </cell>
          <cell r="U8"/>
          <cell r="V8"/>
          <cell r="W8"/>
          <cell r="X8"/>
          <cell r="Y8"/>
          <cell r="Z8"/>
          <cell r="AA8"/>
          <cell r="AB8"/>
          <cell r="AC8"/>
          <cell r="AD8"/>
          <cell r="AE8"/>
          <cell r="AF8"/>
        </row>
        <row r="9">
          <cell r="G9">
            <v>8231946.9948631572</v>
          </cell>
          <cell r="H9">
            <v>7629616.4119578954</v>
          </cell>
          <cell r="I9">
            <v>8700442.2863157876</v>
          </cell>
          <cell r="J9">
            <v>8700442.2863157876</v>
          </cell>
          <cell r="K9">
            <v>9048062.5777684227</v>
          </cell>
          <cell r="L9">
            <v>7254031.1205052622</v>
          </cell>
          <cell r="M9">
            <v>8462695.4458105247</v>
          </cell>
          <cell r="N9">
            <v>9662374.0809263159</v>
          </cell>
          <cell r="O9">
            <v>7743493.0223999992</v>
          </cell>
          <cell r="P9">
            <v>10595361.504336843</v>
          </cell>
          <cell r="Q9">
            <v>10954962.716042105</v>
          </cell>
          <cell r="R9">
            <v>10235760.29263158</v>
          </cell>
          <cell r="S9">
            <v>107219188.73987368</v>
          </cell>
          <cell r="T9">
            <v>1191324.3193319298</v>
          </cell>
          <cell r="U9"/>
          <cell r="V9">
            <v>15861563.406821053</v>
          </cell>
          <cell r="W9">
            <v>24562005.693136841</v>
          </cell>
          <cell r="X9">
            <v>33262447.979452629</v>
          </cell>
          <cell r="Y9">
            <v>42310510.557221055</v>
          </cell>
          <cell r="Z9">
            <v>49564541.677726313</v>
          </cell>
          <cell r="AA9">
            <v>58027237.12353684</v>
          </cell>
          <cell r="AB9">
            <v>67689611.204463154</v>
          </cell>
          <cell r="AC9">
            <v>75433104.226863146</v>
          </cell>
          <cell r="AD9">
            <v>86028465.731199995</v>
          </cell>
          <cell r="AE9">
            <v>96983428.447242096</v>
          </cell>
          <cell r="AF9">
            <v>107219188.73987368</v>
          </cell>
        </row>
        <row r="10">
          <cell r="G10">
            <v>1193035.7963569793</v>
          </cell>
          <cell r="H10">
            <v>1192127.5643684212</v>
          </cell>
          <cell r="I10">
            <v>1191841.4090843543</v>
          </cell>
          <cell r="J10">
            <v>1191841.4090843543</v>
          </cell>
          <cell r="K10">
            <v>1190534.5497063713</v>
          </cell>
          <cell r="L10">
            <v>1189185.4295910266</v>
          </cell>
          <cell r="M10">
            <v>1191928.9360296514</v>
          </cell>
          <cell r="N10">
            <v>1192885.6890032489</v>
          </cell>
          <cell r="O10">
            <v>1191306.6188307691</v>
          </cell>
          <cell r="P10">
            <v>1190490.0566670611</v>
          </cell>
          <cell r="Q10">
            <v>1190756.8169610985</v>
          </cell>
          <cell r="R10">
            <v>1190204.6851897184</v>
          </cell>
          <cell r="S10">
            <v>14296138.960873054</v>
          </cell>
          <cell r="T10">
            <v>158845.98845414503</v>
          </cell>
          <cell r="U10"/>
          <cell r="V10"/>
          <cell r="W10"/>
          <cell r="X10"/>
          <cell r="Y10"/>
          <cell r="Z10"/>
          <cell r="AA10"/>
          <cell r="AB10"/>
          <cell r="AC10"/>
          <cell r="AD10"/>
          <cell r="AE10"/>
          <cell r="AF10"/>
        </row>
        <row r="11">
          <cell r="G11">
            <v>215996.16303158086</v>
          </cell>
          <cell r="H11">
            <v>200581.4827789478</v>
          </cell>
          <cell r="I11">
            <v>228873.50315789692</v>
          </cell>
          <cell r="J11">
            <v>228873.50315789692</v>
          </cell>
          <cell r="K11">
            <v>237625.84328421019</v>
          </cell>
          <cell r="L11">
            <v>189794.1426526336</v>
          </cell>
          <cell r="M11">
            <v>221795.08050526492</v>
          </cell>
          <cell r="N11">
            <v>253472.23486315645</v>
          </cell>
          <cell r="O11">
            <v>203426.97760000173</v>
          </cell>
          <cell r="P11">
            <v>278055.33776842058</v>
          </cell>
          <cell r="Q11">
            <v>287239.38922105171</v>
          </cell>
          <cell r="R11">
            <v>268871.28631578758</v>
          </cell>
          <cell r="S11">
            <v>2814604.9443368493</v>
          </cell>
          <cell r="T11">
            <v>31273.388270409439</v>
          </cell>
          <cell r="U11"/>
          <cell r="V11">
            <v>416577.64581052773</v>
          </cell>
          <cell r="W11">
            <v>645451.14896842465</v>
          </cell>
          <cell r="X11">
            <v>874324.65212632343</v>
          </cell>
          <cell r="Y11">
            <v>1111950.4954105318</v>
          </cell>
          <cell r="Z11">
            <v>1301744.63806317</v>
          </cell>
          <cell r="AA11">
            <v>1523539.7185684294</v>
          </cell>
          <cell r="AB11">
            <v>1777011.9534315914</v>
          </cell>
          <cell r="AC11">
            <v>1980438.9310315996</v>
          </cell>
          <cell r="AD11">
            <v>2258494.2688000202</v>
          </cell>
          <cell r="AE11">
            <v>2545733.6580210775</v>
          </cell>
          <cell r="AF11">
            <v>2814604.9443368614</v>
          </cell>
        </row>
        <row r="12">
          <cell r="G12">
            <v>31303.79174370737</v>
          </cell>
          <cell r="H12">
            <v>31340.856684210594</v>
          </cell>
          <cell r="I12">
            <v>31352.534679163964</v>
          </cell>
          <cell r="J12">
            <v>31352.534679163964</v>
          </cell>
          <cell r="K12">
            <v>31266.558326869763</v>
          </cell>
          <cell r="L12">
            <v>31113.793877480919</v>
          </cell>
          <cell r="M12">
            <v>31238.743733135907</v>
          </cell>
          <cell r="N12">
            <v>31292.868501624253</v>
          </cell>
          <cell r="O12">
            <v>31296.458092307959</v>
          </cell>
          <cell r="P12">
            <v>31242.172782968606</v>
          </cell>
          <cell r="Q12">
            <v>31221.672741418664</v>
          </cell>
          <cell r="R12">
            <v>31264.103059975303</v>
          </cell>
          <cell r="S12">
            <v>375286.08890202729</v>
          </cell>
          <cell r="T12">
            <v>4169.8454322447478</v>
          </cell>
          <cell r="U12"/>
          <cell r="V12">
            <v>31321.627504550957</v>
          </cell>
          <cell r="W12">
            <v>31332.580047010902</v>
          </cell>
          <cell r="X12">
            <v>31337.801151481126</v>
          </cell>
          <cell r="Y12">
            <v>31322.549166493853</v>
          </cell>
          <cell r="Z12">
            <v>31291.93841498005</v>
          </cell>
          <cell r="AA12">
            <v>31284.18313282196</v>
          </cell>
          <cell r="AB12">
            <v>31285.421715344921</v>
          </cell>
          <cell r="AC12">
            <v>31286.554992600311</v>
          </cell>
          <cell r="AD12">
            <v>31281.084055401941</v>
          </cell>
          <cell r="AE12">
            <v>31274.369263158198</v>
          </cell>
          <cell r="AF12">
            <v>31273.38827040957</v>
          </cell>
        </row>
        <row r="13">
          <cell r="G13">
            <v>2.5567899664396886E-2</v>
          </cell>
          <cell r="H13">
            <v>2.5616400182397806E-2</v>
          </cell>
          <cell r="I13">
            <v>2.5631695479703408E-2</v>
          </cell>
          <cell r="J13">
            <v>2.5631695479703408E-2</v>
          </cell>
          <cell r="K13">
            <v>2.5590546711158412E-2</v>
          </cell>
          <cell r="L13">
            <v>2.5496856245671353E-2</v>
          </cell>
          <cell r="M13">
            <v>2.5539216127092347E-2</v>
          </cell>
          <cell r="N13">
            <v>2.5562339995078443E-2</v>
          </cell>
          <cell r="O13">
            <v>2.5598216365585874E-2</v>
          </cell>
          <cell r="P13">
            <v>2.5572029639450915E-2</v>
          </cell>
          <cell r="Q13">
            <v>2.55501001077518E-2</v>
          </cell>
          <cell r="R13">
            <v>2.5595498927791074E-2</v>
          </cell>
          <cell r="S13">
            <v>2.5579459274253261E-2</v>
          </cell>
          <cell r="T13"/>
          <cell r="U13"/>
          <cell r="V13">
            <v>2.5591229641248398E-2</v>
          </cell>
          <cell r="W13">
            <v>2.5605563980984212E-2</v>
          </cell>
          <cell r="X13">
            <v>2.5612399319715148E-2</v>
          </cell>
          <cell r="Y13">
            <v>2.5607726242479818E-2</v>
          </cell>
          <cell r="Z13">
            <v>2.5591501411792537E-2</v>
          </cell>
          <cell r="AA13">
            <v>2.5583876472476397E-2</v>
          </cell>
          <cell r="AB13">
            <v>2.5580802299724821E-2</v>
          </cell>
          <cell r="AC13">
            <v>2.5582589948017792E-2</v>
          </cell>
          <cell r="AD13">
            <v>2.5581289341030881E-2</v>
          </cell>
          <cell r="AE13">
            <v>2.5577766397035278E-2</v>
          </cell>
          <cell r="AF13">
            <v>2.5579459274253372E-2</v>
          </cell>
        </row>
        <row r="14">
          <cell r="G14">
            <v>116337.58</v>
          </cell>
          <cell r="H14">
            <v>124492.19</v>
          </cell>
          <cell r="I14">
            <v>129557.48000000001</v>
          </cell>
          <cell r="J14">
            <v>116595.95999999999</v>
          </cell>
          <cell r="K14">
            <v>119169.95999999999</v>
          </cell>
          <cell r="L14">
            <v>119422.94</v>
          </cell>
          <cell r="M14">
            <v>116595.95999999999</v>
          </cell>
          <cell r="N14">
            <v>116595.95999999999</v>
          </cell>
          <cell r="O14">
            <v>137627.18</v>
          </cell>
          <cell r="P14">
            <v>117362.95999999999</v>
          </cell>
          <cell r="Q14">
            <v>116595.95999999999</v>
          </cell>
          <cell r="R14">
            <v>124922.94</v>
          </cell>
          <cell r="S14">
            <v>1455277.0699999996</v>
          </cell>
          <cell r="T14">
            <v>16169.745222222218</v>
          </cell>
          <cell r="U14"/>
          <cell r="V14">
            <v>240829.77000000002</v>
          </cell>
          <cell r="W14">
            <v>370387.25</v>
          </cell>
          <cell r="X14">
            <v>486983.20999999996</v>
          </cell>
          <cell r="Y14">
            <v>606153.17000000004</v>
          </cell>
          <cell r="Z14">
            <v>725576.11</v>
          </cell>
          <cell r="AA14">
            <v>842172.07</v>
          </cell>
          <cell r="AB14">
            <v>958768.02999999991</v>
          </cell>
          <cell r="AC14">
            <v>1096395.21</v>
          </cell>
          <cell r="AD14">
            <v>1213758.17</v>
          </cell>
          <cell r="AE14">
            <v>1330354.1299999999</v>
          </cell>
          <cell r="AF14">
            <v>1455277.0699999998</v>
          </cell>
        </row>
        <row r="15">
          <cell r="G15">
            <v>82217.06</v>
          </cell>
          <cell r="H15">
            <v>82217.06</v>
          </cell>
          <cell r="I15">
            <v>83504.47</v>
          </cell>
          <cell r="J15">
            <v>83504.47</v>
          </cell>
          <cell r="K15">
            <v>83504.47</v>
          </cell>
          <cell r="L15">
            <v>83504.47</v>
          </cell>
          <cell r="M15">
            <v>83504.47</v>
          </cell>
          <cell r="N15">
            <v>83504.47</v>
          </cell>
          <cell r="O15">
            <v>83504.47</v>
          </cell>
          <cell r="P15">
            <v>83504.47</v>
          </cell>
          <cell r="Q15">
            <v>83504.47</v>
          </cell>
          <cell r="R15">
            <v>83504.47</v>
          </cell>
          <cell r="S15">
            <v>999478.81999999983</v>
          </cell>
          <cell r="T15">
            <v>11105.320222222221</v>
          </cell>
          <cell r="U15"/>
          <cell r="V15">
            <v>164434.12</v>
          </cell>
          <cell r="W15">
            <v>247938.59</v>
          </cell>
          <cell r="X15">
            <v>331443.06</v>
          </cell>
          <cell r="Y15">
            <v>414947.53</v>
          </cell>
          <cell r="Z15">
            <v>498452</v>
          </cell>
          <cell r="AA15">
            <v>581956.47</v>
          </cell>
          <cell r="AB15">
            <v>665460.93999999994</v>
          </cell>
          <cell r="AC15">
            <v>748965.40999999992</v>
          </cell>
          <cell r="AD15">
            <v>832469.87999999989</v>
          </cell>
          <cell r="AE15">
            <v>915974.34999999986</v>
          </cell>
          <cell r="AF15">
            <v>999478.81999999983</v>
          </cell>
        </row>
        <row r="16">
          <cell r="G16">
            <v>34120.520000000004</v>
          </cell>
          <cell r="H16">
            <v>42275.130000000005</v>
          </cell>
          <cell r="I16">
            <v>46053.01</v>
          </cell>
          <cell r="J16">
            <v>33091.49</v>
          </cell>
          <cell r="K16">
            <v>35665.49</v>
          </cell>
          <cell r="L16">
            <v>35918.47</v>
          </cell>
          <cell r="M16">
            <v>33091.49</v>
          </cell>
          <cell r="N16">
            <v>33091.49</v>
          </cell>
          <cell r="O16">
            <v>54122.71</v>
          </cell>
          <cell r="P16">
            <v>33858.49</v>
          </cell>
          <cell r="Q16">
            <v>33091.49</v>
          </cell>
          <cell r="R16">
            <v>41418.47</v>
          </cell>
          <cell r="S16">
            <v>455798.25</v>
          </cell>
          <cell r="T16">
            <v>5064.4250000000002</v>
          </cell>
          <cell r="U16"/>
          <cell r="V16">
            <v>76395.650000000009</v>
          </cell>
          <cell r="W16">
            <v>122448.66</v>
          </cell>
          <cell r="X16">
            <v>155540.15</v>
          </cell>
          <cell r="Y16">
            <v>191205.63999999998</v>
          </cell>
          <cell r="Z16">
            <v>227124.11</v>
          </cell>
          <cell r="AA16">
            <v>260215.59999999998</v>
          </cell>
          <cell r="AB16">
            <v>293307.08999999997</v>
          </cell>
          <cell r="AC16">
            <v>347429.8</v>
          </cell>
          <cell r="AD16">
            <v>381288.29</v>
          </cell>
          <cell r="AE16">
            <v>414379.77999999997</v>
          </cell>
          <cell r="AF16">
            <v>455798.25</v>
          </cell>
        </row>
        <row r="17">
          <cell r="G17">
            <v>99658.583031580856</v>
          </cell>
          <cell r="H17">
            <v>76089.292778947798</v>
          </cell>
          <cell r="I17">
            <v>99316.023157896911</v>
          </cell>
          <cell r="J17">
            <v>112277.54315789693</v>
          </cell>
          <cell r="K17">
            <v>118455.8832842102</v>
          </cell>
          <cell r="L17">
            <v>70371.202652633598</v>
          </cell>
          <cell r="M17">
            <v>105199.12050526493</v>
          </cell>
          <cell r="N17">
            <v>136876.27486315646</v>
          </cell>
          <cell r="O17">
            <v>65799.797600001737</v>
          </cell>
          <cell r="P17">
            <v>160692.37776842059</v>
          </cell>
          <cell r="Q17">
            <v>170643.42922105172</v>
          </cell>
          <cell r="R17">
            <v>143948.34631578758</v>
          </cell>
          <cell r="S17">
            <v>1359327.8743368497</v>
          </cell>
          <cell r="T17">
            <v>15103.643048187218</v>
          </cell>
          <cell r="U17"/>
          <cell r="V17">
            <v>175747.87581052771</v>
          </cell>
          <cell r="W17">
            <v>275063.89896842465</v>
          </cell>
          <cell r="X17">
            <v>387341.44212632347</v>
          </cell>
          <cell r="Y17">
            <v>505797.32541053172</v>
          </cell>
          <cell r="Z17">
            <v>576168.52806317003</v>
          </cell>
          <cell r="AA17">
            <v>681367.6485684294</v>
          </cell>
          <cell r="AB17">
            <v>818243.92343159148</v>
          </cell>
          <cell r="AC17">
            <v>884043.72103159968</v>
          </cell>
          <cell r="AD17">
            <v>1044736.0988000203</v>
          </cell>
          <cell r="AE17">
            <v>1215379.5280210776</v>
          </cell>
          <cell r="AF17">
            <v>1359327.8743368615</v>
          </cell>
        </row>
        <row r="18">
          <cell r="G18">
            <v>1.1796786646042749E-2</v>
          </cell>
          <cell r="H18">
            <v>9.7174163158880167E-3</v>
          </cell>
          <cell r="I18">
            <v>1.1122467331144846E-2</v>
          </cell>
          <cell r="J18">
            <v>1.2574036556110516E-2</v>
          </cell>
          <cell r="K18">
            <v>1.2756822963782145E-2</v>
          </cell>
          <cell r="L18">
            <v>9.453634410378409E-3</v>
          </cell>
          <cell r="M18">
            <v>1.2113447551873076E-2</v>
          </cell>
          <cell r="N18">
            <v>1.3803791477203703E-2</v>
          </cell>
          <cell r="O18">
            <v>8.2799119155599569E-3</v>
          </cell>
          <cell r="P18">
            <v>1.4778462014458007E-2</v>
          </cell>
          <cell r="Q18">
            <v>1.5178825965169509E-2</v>
          </cell>
          <cell r="R18">
            <v>1.3703321742789969E-2</v>
          </cell>
          <cell r="S18">
            <v>1.2353730875062145E-2</v>
          </cell>
          <cell r="T18"/>
          <cell r="U18"/>
          <cell r="V18"/>
          <cell r="W18"/>
          <cell r="X18"/>
          <cell r="Y18"/>
          <cell r="Z18"/>
          <cell r="AA18"/>
          <cell r="AB18"/>
          <cell r="AC18"/>
          <cell r="AD18"/>
          <cell r="AE18"/>
          <cell r="AF18"/>
        </row>
        <row r="19">
          <cell r="G19">
            <v>4908.0999999999995</v>
          </cell>
          <cell r="H19">
            <v>4908.0999999999995</v>
          </cell>
          <cell r="I19">
            <v>4908.0999999999995</v>
          </cell>
          <cell r="J19">
            <v>4908.0999999999995</v>
          </cell>
          <cell r="K19">
            <v>4908.0999999999995</v>
          </cell>
          <cell r="L19">
            <v>4908.0999999999995</v>
          </cell>
          <cell r="M19">
            <v>4908.0999999999995</v>
          </cell>
          <cell r="N19">
            <v>4908.0999999999995</v>
          </cell>
          <cell r="O19">
            <v>4908.0999999999995</v>
          </cell>
          <cell r="P19">
            <v>4908.0999999999995</v>
          </cell>
          <cell r="Q19">
            <v>4908.0999999999995</v>
          </cell>
          <cell r="R19">
            <v>4908.0999999999995</v>
          </cell>
          <cell r="S19">
            <v>58897.19999999999</v>
          </cell>
          <cell r="T19">
            <v>654.41333333333318</v>
          </cell>
          <cell r="U19"/>
          <cell r="V19">
            <v>9816.1999999999989</v>
          </cell>
          <cell r="W19">
            <v>14724.3</v>
          </cell>
          <cell r="X19">
            <v>19632.399999999998</v>
          </cell>
          <cell r="Y19">
            <v>24540.499999999996</v>
          </cell>
          <cell r="Z19">
            <v>29448.599999999995</v>
          </cell>
          <cell r="AA19">
            <v>34356.699999999997</v>
          </cell>
          <cell r="AB19">
            <v>39264.799999999996</v>
          </cell>
          <cell r="AC19">
            <v>44172.899999999994</v>
          </cell>
          <cell r="AD19">
            <v>49080.999999999993</v>
          </cell>
          <cell r="AE19">
            <v>53989.099999999991</v>
          </cell>
          <cell r="AF19">
            <v>58897.19999999999</v>
          </cell>
        </row>
        <row r="20">
          <cell r="G20">
            <v>4908.0999999999995</v>
          </cell>
          <cell r="H20">
            <v>4908.0999999999995</v>
          </cell>
          <cell r="I20">
            <v>4908.0999999999995</v>
          </cell>
          <cell r="J20">
            <v>4908.0999999999995</v>
          </cell>
          <cell r="K20">
            <v>4908.0999999999995</v>
          </cell>
          <cell r="L20">
            <v>4908.0999999999995</v>
          </cell>
          <cell r="M20">
            <v>4908.0999999999995</v>
          </cell>
          <cell r="N20">
            <v>4908.0999999999995</v>
          </cell>
          <cell r="O20">
            <v>4908.0999999999995</v>
          </cell>
          <cell r="P20">
            <v>4908.0999999999995</v>
          </cell>
          <cell r="Q20">
            <v>4908.0999999999995</v>
          </cell>
          <cell r="R20">
            <v>4908.0999999999995</v>
          </cell>
          <cell r="S20">
            <v>58897.19999999999</v>
          </cell>
          <cell r="T20">
            <v>654.41333333333318</v>
          </cell>
          <cell r="U20"/>
          <cell r="V20">
            <v>9816.1999999999989</v>
          </cell>
          <cell r="W20">
            <v>14724.3</v>
          </cell>
          <cell r="X20">
            <v>19632.399999999998</v>
          </cell>
          <cell r="Y20">
            <v>24540.499999999996</v>
          </cell>
          <cell r="Z20">
            <v>29448.599999999995</v>
          </cell>
          <cell r="AA20">
            <v>34356.699999999997</v>
          </cell>
          <cell r="AB20">
            <v>39264.799999999996</v>
          </cell>
          <cell r="AC20">
            <v>44172.899999999994</v>
          </cell>
          <cell r="AD20">
            <v>49080.999999999993</v>
          </cell>
          <cell r="AE20">
            <v>53989.099999999991</v>
          </cell>
          <cell r="AF20">
            <v>58897.19999999999</v>
          </cell>
        </row>
        <row r="21">
          <cell r="G21">
            <v>94750.48303158085</v>
          </cell>
          <cell r="H21">
            <v>71181.192778947792</v>
          </cell>
          <cell r="I21">
            <v>94407.923157896905</v>
          </cell>
          <cell r="J21">
            <v>107369.44315789692</v>
          </cell>
          <cell r="K21">
            <v>113547.78328421019</v>
          </cell>
          <cell r="L21">
            <v>65463.102652633599</v>
          </cell>
          <cell r="M21">
            <v>100291.02050526493</v>
          </cell>
          <cell r="N21">
            <v>131968.17486315646</v>
          </cell>
          <cell r="O21">
            <v>60891.697600001738</v>
          </cell>
          <cell r="P21">
            <v>155784.27776842058</v>
          </cell>
          <cell r="Q21">
            <v>165735.32922105171</v>
          </cell>
          <cell r="R21">
            <v>139040.24631578758</v>
          </cell>
          <cell r="S21">
            <v>1300430.674336849</v>
          </cell>
          <cell r="T21">
            <v>14449.229714853878</v>
          </cell>
          <cell r="U21"/>
          <cell r="V21">
            <v>165931.6758105277</v>
          </cell>
          <cell r="W21">
            <v>260339.59896842466</v>
          </cell>
          <cell r="X21">
            <v>367709.04212632345</v>
          </cell>
          <cell r="Y21">
            <v>481256.82541053172</v>
          </cell>
          <cell r="Z21">
            <v>546719.92806317005</v>
          </cell>
          <cell r="AA21">
            <v>647010.94856842945</v>
          </cell>
          <cell r="AB21">
            <v>778979.12343159143</v>
          </cell>
          <cell r="AC21">
            <v>839870.82103159965</v>
          </cell>
          <cell r="AD21">
            <v>995655.09880002029</v>
          </cell>
          <cell r="AE21">
            <v>1161390.4280210775</v>
          </cell>
          <cell r="AF21">
            <v>1300430.6743368616</v>
          </cell>
        </row>
        <row r="22">
          <cell r="G22">
            <v>1.1215804990713629E-2</v>
          </cell>
          <cell r="H22">
            <v>9.0905994632387317E-3</v>
          </cell>
          <cell r="I22">
            <v>1.0572805955545843E-2</v>
          </cell>
          <cell r="J22">
            <v>1.2024375180511511E-2</v>
          </cell>
          <cell r="K22">
            <v>1.2228256876116282E-2</v>
          </cell>
          <cell r="L22">
            <v>8.7942825547818095E-3</v>
          </cell>
          <cell r="M22">
            <v>1.1548290622387408E-2</v>
          </cell>
          <cell r="N22">
            <v>1.3308816076850371E-2</v>
          </cell>
          <cell r="O22">
            <v>7.6623015709232929E-3</v>
          </cell>
          <cell r="P22">
            <v>1.4327076762584438E-2</v>
          </cell>
          <cell r="Q22">
            <v>1.4742247797116274E-2</v>
          </cell>
          <cell r="R22">
            <v>1.3236089744874262E-2</v>
          </cell>
          <cell r="S22">
            <v>1.1818466225648786E-2</v>
          </cell>
          <cell r="T22"/>
          <cell r="U22"/>
          <cell r="V22"/>
          <cell r="W22"/>
          <cell r="X22"/>
          <cell r="Y22"/>
          <cell r="Z22"/>
          <cell r="AA22"/>
          <cell r="AB22"/>
          <cell r="AC22"/>
          <cell r="AD22"/>
          <cell r="AE22"/>
          <cell r="AF22"/>
        </row>
        <row r="23">
          <cell r="S23"/>
        </row>
        <row r="24">
          <cell r="G24">
            <v>6900</v>
          </cell>
          <cell r="H24">
            <v>6400</v>
          </cell>
          <cell r="I24">
            <v>7300</v>
          </cell>
          <cell r="J24">
            <v>7300</v>
          </cell>
          <cell r="K24">
            <v>7600</v>
          </cell>
          <cell r="L24">
            <v>6100</v>
          </cell>
          <cell r="M24">
            <v>7100</v>
          </cell>
          <cell r="N24">
            <v>8100</v>
          </cell>
          <cell r="O24">
            <v>6500</v>
          </cell>
          <cell r="P24">
            <v>8900</v>
          </cell>
          <cell r="Q24">
            <v>9200</v>
          </cell>
          <cell r="R24">
            <v>8600</v>
          </cell>
          <cell r="S24">
            <v>90000</v>
          </cell>
          <cell r="T24"/>
          <cell r="U24"/>
          <cell r="V24">
            <v>13300</v>
          </cell>
          <cell r="W24">
            <v>20600</v>
          </cell>
          <cell r="X24">
            <v>27900</v>
          </cell>
          <cell r="Y24">
            <v>35500</v>
          </cell>
          <cell r="Z24">
            <v>41600</v>
          </cell>
          <cell r="AA24">
            <v>48700</v>
          </cell>
          <cell r="AB24">
            <v>56800</v>
          </cell>
          <cell r="AC24">
            <v>63300</v>
          </cell>
          <cell r="AD24">
            <v>72200</v>
          </cell>
          <cell r="AE24">
            <v>81400</v>
          </cell>
          <cell r="AF24">
            <v>90000</v>
          </cell>
        </row>
        <row r="25">
          <cell r="G25">
            <v>976086.95652173914</v>
          </cell>
          <cell r="H25">
            <v>978125</v>
          </cell>
          <cell r="I25">
            <v>978767.12328767125</v>
          </cell>
          <cell r="J25">
            <v>978767.12328767125</v>
          </cell>
          <cell r="K25">
            <v>977631.57894736843</v>
          </cell>
          <cell r="L25">
            <v>974590.16393442615</v>
          </cell>
          <cell r="M25">
            <v>975352.11267605633</v>
          </cell>
          <cell r="N25">
            <v>975925.92592592596</v>
          </cell>
          <cell r="O25">
            <v>977692.30769230775</v>
          </cell>
          <cell r="P25">
            <v>976966.29213483143</v>
          </cell>
          <cell r="Q25">
            <v>976086.95652173914</v>
          </cell>
          <cell r="R25">
            <v>977906.97674418602</v>
          </cell>
          <cell r="S25">
            <v>977000</v>
          </cell>
          <cell r="T25"/>
          <cell r="U25"/>
          <cell r="V25">
            <v>977067.66917293239</v>
          </cell>
          <cell r="W25">
            <v>977669.90291262139</v>
          </cell>
          <cell r="X25">
            <v>977956.98924731184</v>
          </cell>
          <cell r="Y25">
            <v>977887.32394366199</v>
          </cell>
          <cell r="Z25">
            <v>977403.84615384624</v>
          </cell>
          <cell r="AA25">
            <v>977104.72279260785</v>
          </cell>
          <cell r="AB25">
            <v>976936.61971830984</v>
          </cell>
          <cell r="AC25">
            <v>977014.21800947865</v>
          </cell>
          <cell r="AD25">
            <v>977008.31024930743</v>
          </cell>
          <cell r="AE25">
            <v>976904.17690417694</v>
          </cell>
          <cell r="AF25">
            <v>977000</v>
          </cell>
        </row>
        <row r="26">
          <cell r="G26">
            <v>6735000</v>
          </cell>
          <cell r="H26">
            <v>6260000</v>
          </cell>
          <cell r="I26">
            <v>7145000</v>
          </cell>
          <cell r="J26">
            <v>7145000</v>
          </cell>
          <cell r="K26">
            <v>7430000</v>
          </cell>
          <cell r="L26">
            <v>5945000</v>
          </cell>
          <cell r="M26">
            <v>6925000</v>
          </cell>
          <cell r="N26">
            <v>7905000</v>
          </cell>
          <cell r="O26">
            <v>6355000</v>
          </cell>
          <cell r="P26">
            <v>8695000</v>
          </cell>
          <cell r="Q26">
            <v>8980000</v>
          </cell>
          <cell r="R26">
            <v>8410000</v>
          </cell>
          <cell r="S26">
            <v>87930000</v>
          </cell>
          <cell r="T26"/>
          <cell r="U26"/>
          <cell r="V26">
            <v>12995000</v>
          </cell>
          <cell r="W26">
            <v>20140000</v>
          </cell>
          <cell r="X26">
            <v>27285000</v>
          </cell>
          <cell r="Y26">
            <v>34715000</v>
          </cell>
          <cell r="Z26">
            <v>40660000</v>
          </cell>
          <cell r="AA26">
            <v>47585000</v>
          </cell>
          <cell r="AB26">
            <v>55490000</v>
          </cell>
          <cell r="AC26">
            <v>61845000</v>
          </cell>
          <cell r="AD26">
            <v>70540000</v>
          </cell>
          <cell r="AE26">
            <v>79520000</v>
          </cell>
          <cell r="AF26">
            <v>87930000</v>
          </cell>
        </row>
        <row r="27">
          <cell r="G27">
            <v>1712943.157894738</v>
          </cell>
          <cell r="H27">
            <v>1570197.8947368432</v>
          </cell>
          <cell r="I27">
            <v>1784315.7894736845</v>
          </cell>
          <cell r="J27">
            <v>1784315.7894736845</v>
          </cell>
          <cell r="K27">
            <v>1855688.4210526329</v>
          </cell>
          <cell r="L27">
            <v>1498825.2631578958</v>
          </cell>
          <cell r="M27">
            <v>1759490.5263157897</v>
          </cell>
          <cell r="N27">
            <v>2010846.3157894723</v>
          </cell>
          <cell r="O27">
            <v>1591920.0000000009</v>
          </cell>
          <cell r="P27">
            <v>2178416.8421052638</v>
          </cell>
          <cell r="Q27">
            <v>2262202.1052631568</v>
          </cell>
          <cell r="R27">
            <v>2094631.5789473671</v>
          </cell>
          <cell r="S27">
            <v>22103793.684210531</v>
          </cell>
          <cell r="T27"/>
          <cell r="U27"/>
          <cell r="V27">
            <v>3283141.0526315812</v>
          </cell>
          <cell r="W27">
            <v>5067456.8421052657</v>
          </cell>
          <cell r="X27">
            <v>6851772.6315789502</v>
          </cell>
          <cell r="Y27">
            <v>8707461.0526315831</v>
          </cell>
          <cell r="Z27">
            <v>10206286.31578948</v>
          </cell>
          <cell r="AA27">
            <v>11965776.842105269</v>
          </cell>
          <cell r="AB27">
            <v>13976623.157894742</v>
          </cell>
          <cell r="AC27">
            <v>15568543.157894742</v>
          </cell>
          <cell r="AD27">
            <v>17746960.000000007</v>
          </cell>
          <cell r="AE27">
            <v>20009162.105263166</v>
          </cell>
          <cell r="AF27">
            <v>22103793.684210531</v>
          </cell>
        </row>
        <row r="28">
          <cell r="G28">
            <v>8447943.157894738</v>
          </cell>
          <cell r="H28">
            <v>7830197.8947368432</v>
          </cell>
          <cell r="I28">
            <v>8929315.7894736845</v>
          </cell>
          <cell r="J28">
            <v>8929315.7894736845</v>
          </cell>
          <cell r="K28">
            <v>9285688.4210526329</v>
          </cell>
          <cell r="L28">
            <v>7443825.2631578958</v>
          </cell>
          <cell r="M28">
            <v>8684490.5263157897</v>
          </cell>
          <cell r="N28">
            <v>9915846.3157894723</v>
          </cell>
          <cell r="O28">
            <v>7946920.0000000009</v>
          </cell>
          <cell r="P28">
            <v>10873416.842105264</v>
          </cell>
          <cell r="Q28">
            <v>11242202.105263157</v>
          </cell>
          <cell r="R28">
            <v>10504631.578947367</v>
          </cell>
          <cell r="S28">
            <v>110033793.68421054</v>
          </cell>
          <cell r="T28"/>
          <cell r="U28"/>
          <cell r="V28">
            <v>16278141.052631581</v>
          </cell>
          <cell r="W28">
            <v>25207456.842105266</v>
          </cell>
          <cell r="X28">
            <v>34136772.631578952</v>
          </cell>
          <cell r="Y28">
            <v>43422461.052631587</v>
          </cell>
          <cell r="Z28">
            <v>50866286.315789476</v>
          </cell>
          <cell r="AA28">
            <v>59550776.842105269</v>
          </cell>
          <cell r="AB28">
            <v>69466623.157894745</v>
          </cell>
          <cell r="AC28">
            <v>77413543.157894745</v>
          </cell>
          <cell r="AD28">
            <v>88286960</v>
          </cell>
          <cell r="AE28">
            <v>99529162.105263174</v>
          </cell>
          <cell r="AF28">
            <v>110033793.68421054</v>
          </cell>
        </row>
        <row r="29">
          <cell r="G29">
            <v>6578580</v>
          </cell>
          <cell r="H29">
            <v>6114030</v>
          </cell>
          <cell r="I29">
            <v>6978185</v>
          </cell>
          <cell r="J29">
            <v>6978185</v>
          </cell>
          <cell r="K29">
            <v>7256915</v>
          </cell>
          <cell r="L29">
            <v>5807335</v>
          </cell>
          <cell r="M29">
            <v>6764400</v>
          </cell>
          <cell r="N29">
            <v>7721465</v>
          </cell>
          <cell r="O29">
            <v>6206940</v>
          </cell>
          <cell r="P29">
            <v>8492710</v>
          </cell>
          <cell r="Q29">
            <v>8771440</v>
          </cell>
          <cell r="R29">
            <v>8213980</v>
          </cell>
          <cell r="S29">
            <v>85884165</v>
          </cell>
          <cell r="T29"/>
          <cell r="U29"/>
          <cell r="V29">
            <v>12692610</v>
          </cell>
          <cell r="W29">
            <v>19670795</v>
          </cell>
          <cell r="X29">
            <v>26648980</v>
          </cell>
          <cell r="Y29">
            <v>33905895</v>
          </cell>
          <cell r="Z29">
            <v>39713230</v>
          </cell>
          <cell r="AA29">
            <v>46477630</v>
          </cell>
          <cell r="AB29">
            <v>54199095</v>
          </cell>
          <cell r="AC29">
            <v>60406035</v>
          </cell>
          <cell r="AD29">
            <v>68898745</v>
          </cell>
          <cell r="AE29">
            <v>77670185</v>
          </cell>
          <cell r="AF29">
            <v>85884165</v>
          </cell>
        </row>
        <row r="30">
          <cell r="G30">
            <v>1653366.9948631572</v>
          </cell>
          <cell r="H30">
            <v>1515586.4119578954</v>
          </cell>
          <cell r="I30">
            <v>1722257.2863157876</v>
          </cell>
          <cell r="J30">
            <v>1722257.2863157876</v>
          </cell>
          <cell r="K30">
            <v>1791147.5777684227</v>
          </cell>
          <cell r="L30">
            <v>1446696.1205052622</v>
          </cell>
          <cell r="M30">
            <v>1698295.4458105247</v>
          </cell>
          <cell r="N30">
            <v>1940909.0809263159</v>
          </cell>
          <cell r="O30">
            <v>1536553.0223999992</v>
          </cell>
          <cell r="P30">
            <v>2102651.5043368433</v>
          </cell>
          <cell r="Q30">
            <v>2183522.7160421051</v>
          </cell>
          <cell r="R30">
            <v>2021780.2926315796</v>
          </cell>
          <cell r="S30">
            <v>21335023.739873677</v>
          </cell>
          <cell r="T30"/>
          <cell r="U30"/>
          <cell r="V30">
            <v>3168953.4068210525</v>
          </cell>
          <cell r="W30">
            <v>4891210.6931368401</v>
          </cell>
          <cell r="X30">
            <v>6613467.9794526277</v>
          </cell>
          <cell r="Y30">
            <v>8404615.5572210513</v>
          </cell>
          <cell r="Z30">
            <v>9851311.6777263135</v>
          </cell>
          <cell r="AA30">
            <v>11549607.123536838</v>
          </cell>
          <cell r="AB30">
            <v>13490516.204463154</v>
          </cell>
          <cell r="AC30">
            <v>15027069.226863153</v>
          </cell>
          <cell r="AD30">
            <v>17129720.731199995</v>
          </cell>
          <cell r="AE30">
            <v>19313243.4472421</v>
          </cell>
          <cell r="AF30">
            <v>21335023.739873677</v>
          </cell>
        </row>
        <row r="31">
          <cell r="G31">
            <v>8231946.9948631572</v>
          </cell>
          <cell r="H31">
            <v>7629616.4119578954</v>
          </cell>
          <cell r="I31">
            <v>8700442.2863157876</v>
          </cell>
          <cell r="J31">
            <v>8700442.2863157876</v>
          </cell>
          <cell r="K31">
            <v>9048062.5777684227</v>
          </cell>
          <cell r="L31">
            <v>7254031.1205052622</v>
          </cell>
          <cell r="M31">
            <v>8462695.4458105247</v>
          </cell>
          <cell r="N31">
            <v>9662374.0809263159</v>
          </cell>
          <cell r="O31">
            <v>7743493.0223999992</v>
          </cell>
          <cell r="P31">
            <v>10595361.504336843</v>
          </cell>
          <cell r="Q31">
            <v>10954962.716042105</v>
          </cell>
          <cell r="R31">
            <v>10235760.29263158</v>
          </cell>
          <cell r="S31">
            <v>107219188.73987368</v>
          </cell>
          <cell r="T31"/>
          <cell r="U31"/>
          <cell r="V31">
            <v>15861563.406821053</v>
          </cell>
          <cell r="W31">
            <v>24562005.693136841</v>
          </cell>
          <cell r="X31">
            <v>33262447.979452629</v>
          </cell>
          <cell r="Y31">
            <v>42310510.557221055</v>
          </cell>
          <cell r="Z31">
            <v>49564541.677726313</v>
          </cell>
          <cell r="AA31">
            <v>58027237.12353684</v>
          </cell>
          <cell r="AB31">
            <v>67689611.204463154</v>
          </cell>
          <cell r="AC31">
            <v>75433104.226863146</v>
          </cell>
          <cell r="AD31">
            <v>86028465.731199995</v>
          </cell>
          <cell r="AE31">
            <v>96983428.447242096</v>
          </cell>
          <cell r="AF31">
            <v>107219188.73987368</v>
          </cell>
        </row>
        <row r="32">
          <cell r="G32">
            <v>156420</v>
          </cell>
          <cell r="H32">
            <v>145970</v>
          </cell>
          <cell r="I32">
            <v>166815</v>
          </cell>
          <cell r="J32">
            <v>166815</v>
          </cell>
          <cell r="K32">
            <v>173085</v>
          </cell>
          <cell r="L32">
            <v>137665</v>
          </cell>
          <cell r="M32">
            <v>160600</v>
          </cell>
          <cell r="N32">
            <v>183535</v>
          </cell>
          <cell r="O32">
            <v>148060</v>
          </cell>
          <cell r="P32">
            <v>202290</v>
          </cell>
          <cell r="Q32">
            <v>208560</v>
          </cell>
          <cell r="R32">
            <v>196020</v>
          </cell>
          <cell r="S32">
            <v>2045835</v>
          </cell>
          <cell r="T32"/>
          <cell r="U32"/>
          <cell r="V32">
            <v>302390</v>
          </cell>
          <cell r="W32">
            <v>469205</v>
          </cell>
          <cell r="X32">
            <v>636020</v>
          </cell>
          <cell r="Y32">
            <v>809105</v>
          </cell>
          <cell r="Z32">
            <v>946770</v>
          </cell>
          <cell r="AA32">
            <v>1107370</v>
          </cell>
          <cell r="AB32">
            <v>1290905</v>
          </cell>
          <cell r="AC32">
            <v>1438965</v>
          </cell>
          <cell r="AD32">
            <v>1641255</v>
          </cell>
          <cell r="AE32">
            <v>1849815</v>
          </cell>
          <cell r="AF32">
            <v>2045835</v>
          </cell>
        </row>
        <row r="33">
          <cell r="G33">
            <v>2.3224944320712693E-2</v>
          </cell>
          <cell r="H33">
            <v>2.3317891373801917E-2</v>
          </cell>
          <cell r="I33">
            <v>2.3347095871238628E-2</v>
          </cell>
          <cell r="J33">
            <v>2.3347095871238628E-2</v>
          </cell>
          <cell r="K33">
            <v>2.329542395693136E-2</v>
          </cell>
          <cell r="L33">
            <v>2.3156433978132884E-2</v>
          </cell>
          <cell r="M33">
            <v>2.3191335740072202E-2</v>
          </cell>
          <cell r="N33">
            <v>2.3217583807716637E-2</v>
          </cell>
          <cell r="O33">
            <v>2.3298190401258852E-2</v>
          </cell>
          <cell r="P33">
            <v>2.3265094882116158E-2</v>
          </cell>
          <cell r="Q33">
            <v>2.3224944320712693E-2</v>
          </cell>
          <cell r="R33">
            <v>2.330796670630202E-2</v>
          </cell>
          <cell r="S33">
            <v>2.3266632548618219E-2</v>
          </cell>
          <cell r="T33"/>
          <cell r="U33"/>
          <cell r="V33">
            <v>2.3269719122739514E-2</v>
          </cell>
          <cell r="W33">
            <v>2.3297169811320753E-2</v>
          </cell>
          <cell r="X33">
            <v>2.3310243723657687E-2</v>
          </cell>
          <cell r="Y33">
            <v>2.3307071870949159E-2</v>
          </cell>
          <cell r="Z33">
            <v>2.3285046728971963E-2</v>
          </cell>
          <cell r="AA33">
            <v>2.3271409057476097E-2</v>
          </cell>
          <cell r="AB33">
            <v>2.3263741214633267E-2</v>
          </cell>
          <cell r="AC33">
            <v>2.3267281105990783E-2</v>
          </cell>
          <cell r="AD33">
            <v>2.3267011624610149E-2</v>
          </cell>
          <cell r="AE33">
            <v>2.326226106639839E-2</v>
          </cell>
          <cell r="AF33">
            <v>2.3266632548618219E-2</v>
          </cell>
        </row>
        <row r="34">
          <cell r="G34">
            <v>59576.163031580858</v>
          </cell>
          <cell r="H34">
            <v>54611.4827789478</v>
          </cell>
          <cell r="I34">
            <v>62058.503157896921</v>
          </cell>
          <cell r="J34">
            <v>62058.503157896921</v>
          </cell>
          <cell r="K34">
            <v>64540.84328421019</v>
          </cell>
          <cell r="L34">
            <v>52129.1426526336</v>
          </cell>
          <cell r="M34">
            <v>61195.080505264923</v>
          </cell>
          <cell r="N34">
            <v>69937.234863156453</v>
          </cell>
          <cell r="O34">
            <v>55366.97760000173</v>
          </cell>
          <cell r="P34">
            <v>75765.337768420577</v>
          </cell>
          <cell r="Q34">
            <v>78679.389221051708</v>
          </cell>
          <cell r="R34">
            <v>72851.286315787584</v>
          </cell>
          <cell r="S34">
            <v>768769.94433685392</v>
          </cell>
          <cell r="T34"/>
          <cell r="U34"/>
          <cell r="V34">
            <v>114187.64581052866</v>
          </cell>
          <cell r="W34">
            <v>176246.14896842558</v>
          </cell>
          <cell r="X34">
            <v>238304.6521263225</v>
          </cell>
          <cell r="Y34">
            <v>302845.49541053176</v>
          </cell>
          <cell r="Z34">
            <v>354974.63806316629</v>
          </cell>
          <cell r="AA34">
            <v>416169.71856843121</v>
          </cell>
          <cell r="AB34">
            <v>486106.95343158767</v>
          </cell>
          <cell r="AC34">
            <v>541473.93103158846</v>
          </cell>
          <cell r="AD34">
            <v>617239.26880001277</v>
          </cell>
          <cell r="AE34">
            <v>695918.65802106634</v>
          </cell>
          <cell r="AF34">
            <v>768769.94433685392</v>
          </cell>
        </row>
        <row r="35">
          <cell r="G35">
            <v>3.4780000000001095E-2</v>
          </cell>
          <cell r="H35">
            <v>3.4780000000000248E-2</v>
          </cell>
          <cell r="I35">
            <v>3.478000000000122E-2</v>
          </cell>
          <cell r="J35">
            <v>3.478000000000122E-2</v>
          </cell>
          <cell r="K35">
            <v>3.4779999999999797E-2</v>
          </cell>
          <cell r="L35">
            <v>3.4780000000001324E-2</v>
          </cell>
          <cell r="M35">
            <v>3.4780000000000998E-2</v>
          </cell>
          <cell r="N35">
            <v>3.4779999999999305E-2</v>
          </cell>
          <cell r="O35">
            <v>3.4780000000001067E-2</v>
          </cell>
          <cell r="P35">
            <v>3.4779999999999769E-2</v>
          </cell>
          <cell r="Q35">
            <v>3.477999999999961E-2</v>
          </cell>
          <cell r="R35">
            <v>3.4779999999999117E-2</v>
          </cell>
          <cell r="S35">
            <v>3.4780000000000526E-2</v>
          </cell>
          <cell r="T35"/>
          <cell r="U35"/>
          <cell r="V35">
            <v>3.4780000000000692E-2</v>
          </cell>
          <cell r="W35">
            <v>3.4780000000000873E-2</v>
          </cell>
          <cell r="X35">
            <v>3.4780000000000963E-2</v>
          </cell>
          <cell r="Y35">
            <v>3.4780000000000609E-2</v>
          </cell>
          <cell r="Z35">
            <v>3.4780000000000803E-2</v>
          </cell>
          <cell r="AA35">
            <v>3.4780000000000831E-2</v>
          </cell>
          <cell r="AB35">
            <v>3.4780000000000609E-2</v>
          </cell>
          <cell r="AC35">
            <v>3.4780000000000602E-2</v>
          </cell>
          <cell r="AD35">
            <v>3.4780000000000706E-2</v>
          </cell>
          <cell r="AE35">
            <v>3.4780000000000671E-2</v>
          </cell>
          <cell r="AF35">
            <v>3.4780000000000526E-2</v>
          </cell>
        </row>
        <row r="36">
          <cell r="G36">
            <v>215996.16303158086</v>
          </cell>
          <cell r="H36">
            <v>200581.4827789478</v>
          </cell>
          <cell r="I36">
            <v>228873.50315789692</v>
          </cell>
          <cell r="J36">
            <v>228873.50315789692</v>
          </cell>
          <cell r="K36">
            <v>237625.84328421019</v>
          </cell>
          <cell r="L36">
            <v>189794.1426526336</v>
          </cell>
          <cell r="M36">
            <v>221795.08050526492</v>
          </cell>
          <cell r="N36">
            <v>253472.23486315645</v>
          </cell>
          <cell r="O36">
            <v>203426.97760000173</v>
          </cell>
          <cell r="P36">
            <v>278055.33776842058</v>
          </cell>
          <cell r="Q36">
            <v>287239.38922105171</v>
          </cell>
          <cell r="R36">
            <v>268871.28631578758</v>
          </cell>
          <cell r="S36">
            <v>2814604.9443368539</v>
          </cell>
          <cell r="T36"/>
          <cell r="U36"/>
          <cell r="V36">
            <v>416577.64581052866</v>
          </cell>
          <cell r="W36">
            <v>645451.14896842558</v>
          </cell>
          <cell r="X36">
            <v>874324.6521263225</v>
          </cell>
          <cell r="Y36">
            <v>1111950.4954105318</v>
          </cell>
          <cell r="Z36">
            <v>1301744.6380631663</v>
          </cell>
          <cell r="AA36">
            <v>1523539.7185684312</v>
          </cell>
          <cell r="AB36">
            <v>1777011.9534315877</v>
          </cell>
          <cell r="AC36">
            <v>1980438.9310315885</v>
          </cell>
          <cell r="AD36">
            <v>2258494.2688000128</v>
          </cell>
          <cell r="AE36">
            <v>2545733.6580210663</v>
          </cell>
          <cell r="AF36">
            <v>2814604.9443368539</v>
          </cell>
        </row>
        <row r="37">
          <cell r="G37">
            <v>2.5567899664396886E-2</v>
          </cell>
          <cell r="H37">
            <v>2.5616400182397806E-2</v>
          </cell>
          <cell r="I37">
            <v>2.5631695479703408E-2</v>
          </cell>
          <cell r="J37">
            <v>2.5631695479703408E-2</v>
          </cell>
          <cell r="K37">
            <v>2.5590546711158412E-2</v>
          </cell>
          <cell r="L37">
            <v>2.5496856245671353E-2</v>
          </cell>
          <cell r="M37">
            <v>2.5539216127092347E-2</v>
          </cell>
          <cell r="N37">
            <v>2.5562339995078443E-2</v>
          </cell>
          <cell r="O37">
            <v>2.5598216365585874E-2</v>
          </cell>
          <cell r="P37">
            <v>2.5572029639450915E-2</v>
          </cell>
          <cell r="Q37">
            <v>2.55501001077518E-2</v>
          </cell>
          <cell r="R37">
            <v>2.5595498927791074E-2</v>
          </cell>
          <cell r="S37">
            <v>2.5579459274253303E-2</v>
          </cell>
          <cell r="T37"/>
          <cell r="U37"/>
          <cell r="V37">
            <v>2.5591229641248457E-2</v>
          </cell>
          <cell r="W37">
            <v>2.560556398098425E-2</v>
          </cell>
          <cell r="X37">
            <v>2.561239931971512E-2</v>
          </cell>
          <cell r="Y37">
            <v>2.5607726242479818E-2</v>
          </cell>
          <cell r="Z37">
            <v>2.5591501411792467E-2</v>
          </cell>
          <cell r="AA37">
            <v>2.5583876472476428E-2</v>
          </cell>
          <cell r="AB37">
            <v>2.5580802299724766E-2</v>
          </cell>
          <cell r="AC37">
            <v>2.5582589948017646E-2</v>
          </cell>
          <cell r="AD37">
            <v>2.5581289341030801E-2</v>
          </cell>
          <cell r="AE37">
            <v>2.5577766397035167E-2</v>
          </cell>
          <cell r="AF37">
            <v>2.5579459274253303E-2</v>
          </cell>
        </row>
      </sheetData>
      <sheetData sheetId="2" refreshError="1"/>
      <sheetData sheetId="3" refreshError="1"/>
      <sheetData sheetId="4" refreshError="1"/>
      <sheetData sheetId="5">
        <row r="4">
          <cell r="E4" t="str">
            <v>계정</v>
          </cell>
          <cell r="G4" t="str">
            <v>1월</v>
          </cell>
          <cell r="H4" t="str">
            <v>2월</v>
          </cell>
          <cell r="I4" t="str">
            <v>3월</v>
          </cell>
          <cell r="J4" t="str">
            <v>4월</v>
          </cell>
          <cell r="K4" t="str">
            <v>5월</v>
          </cell>
          <cell r="L4" t="str">
            <v>6월</v>
          </cell>
          <cell r="M4" t="str">
            <v>7월</v>
          </cell>
          <cell r="N4" t="str">
            <v>8월</v>
          </cell>
          <cell r="O4" t="str">
            <v>9월</v>
          </cell>
          <cell r="P4" t="str">
            <v>10월</v>
          </cell>
          <cell r="Q4" t="str">
            <v>11월</v>
          </cell>
          <cell r="R4" t="str">
            <v>12월</v>
          </cell>
          <cell r="S4" t="str">
            <v>합계</v>
          </cell>
        </row>
        <row r="5"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</row>
        <row r="6">
          <cell r="G6">
            <v>62176.27</v>
          </cell>
          <cell r="H6">
            <v>62176.27</v>
          </cell>
          <cell r="I6">
            <v>63213.82</v>
          </cell>
          <cell r="J6">
            <v>63213.82</v>
          </cell>
          <cell r="K6">
            <v>63213.82</v>
          </cell>
          <cell r="L6">
            <v>63213.82</v>
          </cell>
          <cell r="M6">
            <v>63213.82</v>
          </cell>
          <cell r="N6">
            <v>63213.82</v>
          </cell>
          <cell r="O6">
            <v>63213.82</v>
          </cell>
          <cell r="P6">
            <v>63213.82</v>
          </cell>
          <cell r="Q6">
            <v>63213.82</v>
          </cell>
          <cell r="R6">
            <v>63213.82</v>
          </cell>
          <cell r="S6">
            <v>756490.73999999987</v>
          </cell>
        </row>
        <row r="7"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</row>
        <row r="8">
          <cell r="G8">
            <v>14150.15</v>
          </cell>
          <cell r="H8">
            <v>14150.15</v>
          </cell>
          <cell r="I8">
            <v>14400.01</v>
          </cell>
          <cell r="J8">
            <v>14400.01</v>
          </cell>
          <cell r="K8">
            <v>14400.01</v>
          </cell>
          <cell r="L8">
            <v>14400.01</v>
          </cell>
          <cell r="M8">
            <v>14400.01</v>
          </cell>
          <cell r="N8">
            <v>14400.01</v>
          </cell>
          <cell r="O8">
            <v>14400.01</v>
          </cell>
          <cell r="P8">
            <v>14400.01</v>
          </cell>
          <cell r="Q8">
            <v>14400.01</v>
          </cell>
          <cell r="R8">
            <v>14400.01</v>
          </cell>
          <cell r="S8">
            <v>172300.4</v>
          </cell>
        </row>
        <row r="9">
          <cell r="G9">
            <v>5890.64</v>
          </cell>
          <cell r="H9">
            <v>5890.64</v>
          </cell>
          <cell r="I9">
            <v>5890.64</v>
          </cell>
          <cell r="J9">
            <v>5890.64</v>
          </cell>
          <cell r="K9">
            <v>5890.64</v>
          </cell>
          <cell r="L9">
            <v>5890.64</v>
          </cell>
          <cell r="M9">
            <v>5890.64</v>
          </cell>
          <cell r="N9">
            <v>5890.64</v>
          </cell>
          <cell r="O9">
            <v>5890.64</v>
          </cell>
          <cell r="P9">
            <v>5890.64</v>
          </cell>
          <cell r="Q9">
            <v>5890.64</v>
          </cell>
          <cell r="R9">
            <v>5890.64</v>
          </cell>
          <cell r="S9">
            <v>70687.680000000008</v>
          </cell>
        </row>
        <row r="10">
          <cell r="G10">
            <v>82217.06</v>
          </cell>
          <cell r="H10">
            <v>82217.06</v>
          </cell>
          <cell r="I10">
            <v>83504.47</v>
          </cell>
          <cell r="J10">
            <v>83504.47</v>
          </cell>
          <cell r="K10">
            <v>83504.47</v>
          </cell>
          <cell r="L10">
            <v>83504.47</v>
          </cell>
          <cell r="M10">
            <v>83504.47</v>
          </cell>
          <cell r="N10">
            <v>83504.47</v>
          </cell>
          <cell r="O10">
            <v>83504.47</v>
          </cell>
          <cell r="P10">
            <v>83504.47</v>
          </cell>
          <cell r="Q10">
            <v>83504.47</v>
          </cell>
          <cell r="R10">
            <v>83504.47</v>
          </cell>
          <cell r="S10">
            <v>999478.82</v>
          </cell>
        </row>
        <row r="11">
          <cell r="G11">
            <v>10419.07</v>
          </cell>
          <cell r="H11">
            <v>10573.68</v>
          </cell>
          <cell r="I11">
            <v>22317.5</v>
          </cell>
          <cell r="J11">
            <v>9355.98</v>
          </cell>
          <cell r="K11">
            <v>11929.98</v>
          </cell>
          <cell r="L11">
            <v>12182.96</v>
          </cell>
          <cell r="M11">
            <v>9355.98</v>
          </cell>
          <cell r="N11">
            <v>9355.98</v>
          </cell>
          <cell r="O11">
            <v>21937.200000000001</v>
          </cell>
          <cell r="P11">
            <v>10122.98</v>
          </cell>
          <cell r="Q11">
            <v>9355.98</v>
          </cell>
          <cell r="R11">
            <v>17682.96</v>
          </cell>
          <cell r="S11">
            <v>154590.24999999997</v>
          </cell>
        </row>
        <row r="12">
          <cell r="G12">
            <v>1500</v>
          </cell>
          <cell r="H12">
            <v>1500</v>
          </cell>
          <cell r="I12">
            <v>1500</v>
          </cell>
          <cell r="J12">
            <v>1500</v>
          </cell>
          <cell r="K12">
            <v>1500</v>
          </cell>
          <cell r="L12">
            <v>1500</v>
          </cell>
          <cell r="M12">
            <v>1500</v>
          </cell>
          <cell r="N12">
            <v>1500</v>
          </cell>
          <cell r="O12">
            <v>1500</v>
          </cell>
          <cell r="P12">
            <v>1500</v>
          </cell>
          <cell r="Q12">
            <v>1500</v>
          </cell>
          <cell r="R12">
            <v>1500</v>
          </cell>
          <cell r="S12">
            <v>18000</v>
          </cell>
        </row>
        <row r="13">
          <cell r="G13">
            <v>2250</v>
          </cell>
          <cell r="H13">
            <v>2250</v>
          </cell>
          <cell r="I13">
            <v>2250</v>
          </cell>
          <cell r="J13">
            <v>2250</v>
          </cell>
          <cell r="K13">
            <v>2250</v>
          </cell>
          <cell r="L13">
            <v>2250</v>
          </cell>
          <cell r="M13">
            <v>2250</v>
          </cell>
          <cell r="N13">
            <v>2250</v>
          </cell>
          <cell r="O13">
            <v>2250</v>
          </cell>
          <cell r="P13">
            <v>2250</v>
          </cell>
          <cell r="Q13">
            <v>2250</v>
          </cell>
          <cell r="R13">
            <v>2250</v>
          </cell>
          <cell r="S13">
            <v>27000</v>
          </cell>
        </row>
        <row r="14"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</row>
        <row r="15">
          <cell r="G15">
            <v>1690</v>
          </cell>
          <cell r="H15">
            <v>1690</v>
          </cell>
          <cell r="I15">
            <v>1690</v>
          </cell>
          <cell r="J15">
            <v>1690</v>
          </cell>
          <cell r="K15">
            <v>1690</v>
          </cell>
          <cell r="L15">
            <v>1690</v>
          </cell>
          <cell r="M15">
            <v>1690</v>
          </cell>
          <cell r="N15">
            <v>1690</v>
          </cell>
          <cell r="O15">
            <v>1690</v>
          </cell>
          <cell r="P15">
            <v>1690</v>
          </cell>
          <cell r="Q15">
            <v>1690</v>
          </cell>
          <cell r="R15">
            <v>1690</v>
          </cell>
          <cell r="S15">
            <v>20280</v>
          </cell>
        </row>
        <row r="16">
          <cell r="G16">
            <v>500</v>
          </cell>
          <cell r="H16">
            <v>500</v>
          </cell>
          <cell r="I16">
            <v>500</v>
          </cell>
          <cell r="J16">
            <v>500</v>
          </cell>
          <cell r="K16">
            <v>500</v>
          </cell>
          <cell r="L16">
            <v>500</v>
          </cell>
          <cell r="M16">
            <v>500</v>
          </cell>
          <cell r="N16">
            <v>500</v>
          </cell>
          <cell r="O16">
            <v>500</v>
          </cell>
          <cell r="P16">
            <v>500</v>
          </cell>
          <cell r="Q16">
            <v>500</v>
          </cell>
          <cell r="R16">
            <v>500</v>
          </cell>
          <cell r="S16">
            <v>6000</v>
          </cell>
        </row>
        <row r="17">
          <cell r="G17">
            <v>404</v>
          </cell>
          <cell r="H17">
            <v>404</v>
          </cell>
          <cell r="I17">
            <v>404</v>
          </cell>
          <cell r="J17">
            <v>404</v>
          </cell>
          <cell r="K17">
            <v>404</v>
          </cell>
          <cell r="L17">
            <v>404</v>
          </cell>
          <cell r="M17">
            <v>404</v>
          </cell>
          <cell r="N17">
            <v>404</v>
          </cell>
          <cell r="O17">
            <v>404</v>
          </cell>
          <cell r="P17">
            <v>404</v>
          </cell>
          <cell r="Q17">
            <v>404</v>
          </cell>
          <cell r="R17">
            <v>404</v>
          </cell>
          <cell r="S17">
            <v>4848</v>
          </cell>
        </row>
        <row r="18">
          <cell r="G18">
            <v>3087.45</v>
          </cell>
          <cell r="H18">
            <v>3087.45</v>
          </cell>
          <cell r="I18">
            <v>3121.51</v>
          </cell>
          <cell r="J18">
            <v>3121.51</v>
          </cell>
          <cell r="K18">
            <v>3121.51</v>
          </cell>
          <cell r="L18">
            <v>3121.51</v>
          </cell>
          <cell r="M18">
            <v>3121.51</v>
          </cell>
          <cell r="N18">
            <v>3121.51</v>
          </cell>
          <cell r="O18">
            <v>3121.51</v>
          </cell>
          <cell r="P18">
            <v>3121.51</v>
          </cell>
          <cell r="Q18">
            <v>3121.51</v>
          </cell>
          <cell r="R18">
            <v>3121.51</v>
          </cell>
          <cell r="S18">
            <v>37390.000000000015</v>
          </cell>
        </row>
        <row r="19"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</row>
        <row r="20">
          <cell r="G20">
            <v>1000</v>
          </cell>
          <cell r="H20">
            <v>1000</v>
          </cell>
          <cell r="I20">
            <v>1000</v>
          </cell>
          <cell r="J20">
            <v>1000</v>
          </cell>
          <cell r="K20">
            <v>1000</v>
          </cell>
          <cell r="L20">
            <v>1000</v>
          </cell>
          <cell r="M20">
            <v>1000</v>
          </cell>
          <cell r="N20">
            <v>1000</v>
          </cell>
          <cell r="O20">
            <v>1000</v>
          </cell>
          <cell r="P20">
            <v>1000</v>
          </cell>
          <cell r="Q20">
            <v>1000</v>
          </cell>
          <cell r="R20">
            <v>1000</v>
          </cell>
          <cell r="S20">
            <v>12000</v>
          </cell>
        </row>
        <row r="21">
          <cell r="G21">
            <v>640</v>
          </cell>
          <cell r="H21">
            <v>640</v>
          </cell>
          <cell r="I21">
            <v>640</v>
          </cell>
          <cell r="J21">
            <v>640</v>
          </cell>
          <cell r="K21">
            <v>640</v>
          </cell>
          <cell r="L21">
            <v>640</v>
          </cell>
          <cell r="M21">
            <v>640</v>
          </cell>
          <cell r="N21">
            <v>640</v>
          </cell>
          <cell r="O21">
            <v>640</v>
          </cell>
          <cell r="P21">
            <v>640</v>
          </cell>
          <cell r="Q21">
            <v>640</v>
          </cell>
          <cell r="R21">
            <v>640</v>
          </cell>
          <cell r="S21">
            <v>7680</v>
          </cell>
        </row>
        <row r="22">
          <cell r="G22">
            <v>6370</v>
          </cell>
          <cell r="H22">
            <v>6370</v>
          </cell>
          <cell r="I22">
            <v>6370</v>
          </cell>
          <cell r="J22">
            <v>6370</v>
          </cell>
          <cell r="K22">
            <v>6370</v>
          </cell>
          <cell r="L22">
            <v>6370</v>
          </cell>
          <cell r="M22">
            <v>6370</v>
          </cell>
          <cell r="N22">
            <v>6370</v>
          </cell>
          <cell r="O22">
            <v>6370</v>
          </cell>
          <cell r="P22">
            <v>6370</v>
          </cell>
          <cell r="Q22">
            <v>6370</v>
          </cell>
          <cell r="R22">
            <v>6370</v>
          </cell>
          <cell r="S22">
            <v>76440</v>
          </cell>
        </row>
        <row r="23">
          <cell r="G23">
            <v>6000</v>
          </cell>
          <cell r="H23">
            <v>14000</v>
          </cell>
          <cell r="I23">
            <v>6000</v>
          </cell>
          <cell r="J23">
            <v>6000</v>
          </cell>
          <cell r="K23">
            <v>6000</v>
          </cell>
          <cell r="L23">
            <v>6000</v>
          </cell>
          <cell r="M23">
            <v>6000</v>
          </cell>
          <cell r="N23">
            <v>6000</v>
          </cell>
          <cell r="O23">
            <v>14000</v>
          </cell>
          <cell r="P23">
            <v>6000</v>
          </cell>
          <cell r="Q23">
            <v>6000</v>
          </cell>
          <cell r="R23">
            <v>6000</v>
          </cell>
          <cell r="S23">
            <v>88000</v>
          </cell>
        </row>
        <row r="24"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</row>
        <row r="25"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</row>
        <row r="26"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</row>
        <row r="27"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</row>
        <row r="28">
          <cell r="G28">
            <v>260</v>
          </cell>
          <cell r="H28">
            <v>260</v>
          </cell>
          <cell r="I28">
            <v>260</v>
          </cell>
          <cell r="J28">
            <v>260</v>
          </cell>
          <cell r="K28">
            <v>260</v>
          </cell>
          <cell r="L28">
            <v>260</v>
          </cell>
          <cell r="M28">
            <v>260</v>
          </cell>
          <cell r="N28">
            <v>260</v>
          </cell>
          <cell r="O28">
            <v>710</v>
          </cell>
          <cell r="P28">
            <v>260</v>
          </cell>
          <cell r="Q28">
            <v>260</v>
          </cell>
          <cell r="R28">
            <v>260</v>
          </cell>
          <cell r="S28">
            <v>3570</v>
          </cell>
        </row>
        <row r="29"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</row>
        <row r="30"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</row>
        <row r="31"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</row>
        <row r="32">
          <cell r="G32"/>
          <cell r="H32"/>
          <cell r="I32"/>
          <cell r="J32"/>
          <cell r="K32"/>
          <cell r="L32"/>
          <cell r="M32"/>
          <cell r="N32"/>
          <cell r="O32"/>
          <cell r="P32"/>
          <cell r="Q32"/>
          <cell r="R32"/>
          <cell r="S32"/>
        </row>
        <row r="33"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</row>
        <row r="34">
          <cell r="G34">
            <v>34120.520000000004</v>
          </cell>
          <cell r="H34">
            <v>42275.130000000005</v>
          </cell>
          <cell r="I34">
            <v>46053.01</v>
          </cell>
          <cell r="J34">
            <v>33091.49</v>
          </cell>
          <cell r="K34">
            <v>35665.49</v>
          </cell>
          <cell r="L34">
            <v>35918.47</v>
          </cell>
          <cell r="M34">
            <v>33091.49</v>
          </cell>
          <cell r="N34">
            <v>33091.49</v>
          </cell>
          <cell r="O34">
            <v>54122.71</v>
          </cell>
          <cell r="P34">
            <v>33858.49</v>
          </cell>
          <cell r="Q34">
            <v>33091.49</v>
          </cell>
          <cell r="R34">
            <v>41418.47</v>
          </cell>
          <cell r="S34">
            <v>455798.25</v>
          </cell>
        </row>
        <row r="35">
          <cell r="G35">
            <v>116337.58</v>
          </cell>
          <cell r="H35">
            <v>124492.19</v>
          </cell>
          <cell r="I35">
            <v>129557.48000000001</v>
          </cell>
          <cell r="J35">
            <v>116595.95999999999</v>
          </cell>
          <cell r="K35">
            <v>119169.95999999999</v>
          </cell>
          <cell r="L35">
            <v>119422.94</v>
          </cell>
          <cell r="M35">
            <v>116595.95999999999</v>
          </cell>
          <cell r="N35">
            <v>116595.95999999999</v>
          </cell>
          <cell r="O35">
            <v>137627.18</v>
          </cell>
          <cell r="P35">
            <v>117362.95999999999</v>
          </cell>
          <cell r="Q35">
            <v>116595.95999999999</v>
          </cell>
          <cell r="R35">
            <v>124922.94</v>
          </cell>
          <cell r="S35">
            <v>1455277.0699999998</v>
          </cell>
        </row>
        <row r="36">
          <cell r="G36"/>
          <cell r="H36"/>
          <cell r="I36"/>
          <cell r="J36"/>
          <cell r="K36"/>
          <cell r="L36"/>
          <cell r="M36"/>
          <cell r="N36"/>
          <cell r="O36"/>
          <cell r="P36"/>
          <cell r="Q36"/>
          <cell r="R36"/>
          <cell r="S36"/>
        </row>
        <row r="37">
          <cell r="G37">
            <v>4908.0999999999995</v>
          </cell>
          <cell r="H37">
            <v>4908.0999999999995</v>
          </cell>
          <cell r="I37">
            <v>4908.0999999999995</v>
          </cell>
          <cell r="J37">
            <v>4908.0999999999995</v>
          </cell>
          <cell r="K37">
            <v>4908.0999999999995</v>
          </cell>
          <cell r="L37">
            <v>4908.0999999999995</v>
          </cell>
          <cell r="M37">
            <v>4908.0999999999995</v>
          </cell>
          <cell r="N37">
            <v>4908.0999999999995</v>
          </cell>
          <cell r="O37">
            <v>4908.0999999999995</v>
          </cell>
          <cell r="P37">
            <v>4908.0999999999995</v>
          </cell>
          <cell r="Q37">
            <v>4908.0999999999995</v>
          </cell>
          <cell r="R37">
            <v>4908.0999999999995</v>
          </cell>
          <cell r="S37">
            <v>58897.19999999999</v>
          </cell>
        </row>
        <row r="38">
          <cell r="G38">
            <v>121245.68000000001</v>
          </cell>
          <cell r="H38">
            <v>129400.29000000001</v>
          </cell>
          <cell r="I38">
            <v>134465.58000000002</v>
          </cell>
          <cell r="J38">
            <v>121504.06</v>
          </cell>
          <cell r="K38">
            <v>124078.06</v>
          </cell>
          <cell r="L38">
            <v>124331.04000000001</v>
          </cell>
          <cell r="M38">
            <v>121504.06</v>
          </cell>
          <cell r="N38">
            <v>121504.06</v>
          </cell>
          <cell r="O38">
            <v>142535.28</v>
          </cell>
          <cell r="P38">
            <v>122271.06</v>
          </cell>
          <cell r="Q38">
            <v>121504.06</v>
          </cell>
          <cell r="R38">
            <v>129831.04000000001</v>
          </cell>
          <cell r="S38">
            <v>1514174.2699999998</v>
          </cell>
        </row>
        <row r="39">
          <cell r="G39"/>
          <cell r="H39"/>
          <cell r="I39"/>
          <cell r="J39"/>
          <cell r="K39"/>
          <cell r="L39"/>
          <cell r="M39"/>
          <cell r="N39"/>
          <cell r="O39"/>
          <cell r="P39"/>
          <cell r="Q39"/>
          <cell r="R39"/>
          <cell r="S39"/>
        </row>
        <row r="40">
          <cell r="G40"/>
          <cell r="H40"/>
          <cell r="I40"/>
          <cell r="J40"/>
          <cell r="K40"/>
          <cell r="L40"/>
          <cell r="M40"/>
          <cell r="N40"/>
          <cell r="O40"/>
          <cell r="P40"/>
          <cell r="Q40"/>
          <cell r="R40"/>
          <cell r="S40"/>
        </row>
        <row r="41">
          <cell r="G41"/>
          <cell r="H41"/>
          <cell r="I41"/>
          <cell r="J41"/>
          <cell r="K41"/>
          <cell r="L41"/>
          <cell r="M41"/>
          <cell r="N41"/>
          <cell r="O41"/>
          <cell r="P41"/>
          <cell r="Q41"/>
          <cell r="R41"/>
          <cell r="S41"/>
        </row>
        <row r="42">
          <cell r="G42"/>
          <cell r="H42"/>
          <cell r="I42"/>
          <cell r="J42"/>
          <cell r="K42"/>
          <cell r="L42"/>
          <cell r="M42"/>
          <cell r="N42"/>
          <cell r="O42"/>
          <cell r="P42"/>
          <cell r="Q42"/>
          <cell r="R42"/>
          <cell r="S42"/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손익요약"/>
      <sheetName val="손익"/>
      <sheetName val="판매계획"/>
      <sheetName val="원가"/>
      <sheetName val="제조4"/>
      <sheetName val="제조6"/>
      <sheetName val="제조4_원본"/>
      <sheetName val="제조6_원본"/>
      <sheetName val="판매4"/>
      <sheetName val="판매6"/>
      <sheetName val="본사산출"/>
      <sheetName val="제조"/>
      <sheetName val="판매"/>
      <sheetName val="인원수"/>
      <sheetName val="계정통제"/>
    </sheetNames>
    <sheetDataSet>
      <sheetData sheetId="0">
        <row r="5">
          <cell r="G5" t="str">
            <v>1월</v>
          </cell>
          <cell r="H5" t="str">
            <v>2월</v>
          </cell>
          <cell r="I5" t="str">
            <v>3월</v>
          </cell>
          <cell r="J5" t="str">
            <v>4월</v>
          </cell>
          <cell r="K5" t="str">
            <v>5월</v>
          </cell>
          <cell r="L5" t="str">
            <v>6월</v>
          </cell>
          <cell r="M5" t="str">
            <v>7월</v>
          </cell>
          <cell r="N5" t="str">
            <v>8월</v>
          </cell>
          <cell r="O5" t="str">
            <v>9월</v>
          </cell>
          <cell r="P5" t="str">
            <v>10월</v>
          </cell>
          <cell r="Q5" t="str">
            <v>11월</v>
          </cell>
          <cell r="R5" t="str">
            <v>12월</v>
          </cell>
          <cell r="S5" t="str">
            <v>합계</v>
          </cell>
        </row>
        <row r="6"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3300</v>
          </cell>
          <cell r="L6">
            <v>3300</v>
          </cell>
          <cell r="M6">
            <v>3300</v>
          </cell>
          <cell r="N6">
            <v>3300</v>
          </cell>
          <cell r="O6">
            <v>3300</v>
          </cell>
          <cell r="P6">
            <v>3300</v>
          </cell>
          <cell r="Q6">
            <v>3300</v>
          </cell>
          <cell r="R6">
            <v>3300</v>
          </cell>
          <cell r="S6">
            <v>26400</v>
          </cell>
        </row>
        <row r="7">
          <cell r="G7">
            <v>11456.2</v>
          </cell>
          <cell r="H7">
            <v>10301.799999999999</v>
          </cell>
          <cell r="I7">
            <v>0</v>
          </cell>
          <cell r="J7">
            <v>0</v>
          </cell>
          <cell r="K7">
            <v>16581.599999999999</v>
          </cell>
          <cell r="L7">
            <v>15916.6</v>
          </cell>
          <cell r="M7">
            <v>16335.6</v>
          </cell>
          <cell r="N7">
            <v>16282.333333333332</v>
          </cell>
          <cell r="O7">
            <v>12472.133333333333</v>
          </cell>
          <cell r="P7">
            <v>16598.866666666665</v>
          </cell>
          <cell r="Q7">
            <v>16653.733333333334</v>
          </cell>
          <cell r="R7">
            <v>16515.466666666667</v>
          </cell>
          <cell r="S7">
            <v>149114.33333333334</v>
          </cell>
        </row>
        <row r="8">
          <cell r="G8">
            <v>11456.2</v>
          </cell>
          <cell r="H8">
            <v>10301.799999999999</v>
          </cell>
          <cell r="I8">
            <v>0</v>
          </cell>
          <cell r="J8">
            <v>0</v>
          </cell>
          <cell r="K8">
            <v>19881.599999999999</v>
          </cell>
          <cell r="L8">
            <v>19216.599999999999</v>
          </cell>
          <cell r="M8">
            <v>19635.599999999999</v>
          </cell>
          <cell r="N8">
            <v>19582.333333333332</v>
          </cell>
          <cell r="O8">
            <v>15772.133333333333</v>
          </cell>
          <cell r="P8">
            <v>19898.866666666665</v>
          </cell>
          <cell r="Q8">
            <v>19953.733333333334</v>
          </cell>
          <cell r="R8">
            <v>19815.466666666667</v>
          </cell>
          <cell r="S8">
            <v>175514.33333333331</v>
          </cell>
          <cell r="U8"/>
        </row>
        <row r="9"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7000</v>
          </cell>
          <cell r="L9">
            <v>7000</v>
          </cell>
          <cell r="M9">
            <v>7000</v>
          </cell>
          <cell r="N9">
            <v>7000</v>
          </cell>
          <cell r="O9">
            <v>7000</v>
          </cell>
          <cell r="P9">
            <v>7000</v>
          </cell>
          <cell r="Q9">
            <v>7000</v>
          </cell>
          <cell r="R9">
            <v>6311</v>
          </cell>
          <cell r="S9">
            <v>55311</v>
          </cell>
          <cell r="U9"/>
        </row>
        <row r="10">
          <cell r="G10">
            <v>915.60000000000014</v>
          </cell>
          <cell r="H10">
            <v>836</v>
          </cell>
          <cell r="I10">
            <v>0</v>
          </cell>
          <cell r="J10">
            <v>0</v>
          </cell>
          <cell r="K10">
            <v>2344.4292266666662</v>
          </cell>
          <cell r="L10">
            <v>2021.0734933333333</v>
          </cell>
          <cell r="M10">
            <v>1975.5641599999999</v>
          </cell>
          <cell r="N10">
            <v>1994.6633333333334</v>
          </cell>
          <cell r="O10">
            <v>1897.4966666666667</v>
          </cell>
          <cell r="P10">
            <v>2454.0966666666664</v>
          </cell>
          <cell r="Q10">
            <v>2421.83</v>
          </cell>
          <cell r="R10">
            <v>2313.2966666666671</v>
          </cell>
          <cell r="S10">
            <v>19174.050213333336</v>
          </cell>
          <cell r="U10"/>
        </row>
        <row r="11">
          <cell r="G11">
            <v>915.60000000000014</v>
          </cell>
          <cell r="H11">
            <v>836</v>
          </cell>
          <cell r="I11">
            <v>0</v>
          </cell>
          <cell r="J11">
            <v>0</v>
          </cell>
          <cell r="K11">
            <v>9344.4292266666671</v>
          </cell>
          <cell r="L11">
            <v>9021.0734933333333</v>
          </cell>
          <cell r="M11">
            <v>8975.5641599999999</v>
          </cell>
          <cell r="N11">
            <v>8994.6633333333339</v>
          </cell>
          <cell r="O11">
            <v>8897.496666666666</v>
          </cell>
          <cell r="P11">
            <v>9454.0966666666664</v>
          </cell>
          <cell r="Q11">
            <v>9421.83</v>
          </cell>
          <cell r="R11">
            <v>8624.2966666666671</v>
          </cell>
          <cell r="S11">
            <v>74485.050213333321</v>
          </cell>
          <cell r="U11"/>
        </row>
        <row r="12"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22000</v>
          </cell>
          <cell r="L12">
            <v>22000</v>
          </cell>
          <cell r="M12">
            <v>22000</v>
          </cell>
          <cell r="N12">
            <v>22000</v>
          </cell>
          <cell r="O12">
            <v>22000</v>
          </cell>
          <cell r="P12">
            <v>22000</v>
          </cell>
          <cell r="Q12">
            <v>22000</v>
          </cell>
          <cell r="R12">
            <v>22000</v>
          </cell>
          <cell r="S12">
            <v>176000</v>
          </cell>
          <cell r="U12"/>
        </row>
        <row r="13">
          <cell r="G13"/>
          <cell r="H13"/>
          <cell r="I13"/>
          <cell r="J13"/>
          <cell r="K13"/>
          <cell r="L13"/>
          <cell r="M13"/>
          <cell r="N13"/>
          <cell r="O13"/>
          <cell r="P13"/>
          <cell r="Q13"/>
          <cell r="R13"/>
          <cell r="S13">
            <v>0</v>
          </cell>
          <cell r="U13"/>
        </row>
        <row r="14"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22000</v>
          </cell>
          <cell r="L14">
            <v>22000</v>
          </cell>
          <cell r="M14">
            <v>22000</v>
          </cell>
          <cell r="N14">
            <v>22000</v>
          </cell>
          <cell r="O14">
            <v>22000</v>
          </cell>
          <cell r="P14">
            <v>22000</v>
          </cell>
          <cell r="Q14">
            <v>22000</v>
          </cell>
          <cell r="R14">
            <v>22000</v>
          </cell>
          <cell r="S14">
            <v>176000</v>
          </cell>
          <cell r="U14"/>
        </row>
        <row r="15"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32300</v>
          </cell>
          <cell r="L15">
            <v>32300</v>
          </cell>
          <cell r="M15">
            <v>32300</v>
          </cell>
          <cell r="N15">
            <v>32300</v>
          </cell>
          <cell r="O15">
            <v>32300</v>
          </cell>
          <cell r="P15">
            <v>32300</v>
          </cell>
          <cell r="Q15">
            <v>32300</v>
          </cell>
          <cell r="R15">
            <v>31611</v>
          </cell>
          <cell r="S15">
            <v>257711</v>
          </cell>
        </row>
        <row r="16">
          <cell r="G16">
            <v>12371.800000000001</v>
          </cell>
          <cell r="H16">
            <v>11137.8</v>
          </cell>
          <cell r="I16">
            <v>0</v>
          </cell>
          <cell r="J16">
            <v>0</v>
          </cell>
          <cell r="K16">
            <v>18926.029226666666</v>
          </cell>
          <cell r="L16">
            <v>17937.673493333336</v>
          </cell>
          <cell r="M16">
            <v>18311.16416</v>
          </cell>
          <cell r="N16">
            <v>18276.996666666666</v>
          </cell>
          <cell r="O16">
            <v>14369.63</v>
          </cell>
          <cell r="P16">
            <v>19052.963333333333</v>
          </cell>
          <cell r="Q16">
            <v>19075.563333333332</v>
          </cell>
          <cell r="R16">
            <v>18828.763333333336</v>
          </cell>
          <cell r="S16">
            <v>168288.38354666668</v>
          </cell>
        </row>
        <row r="17">
          <cell r="G17">
            <v>12371.800000000001</v>
          </cell>
          <cell r="H17">
            <v>11137.8</v>
          </cell>
          <cell r="I17">
            <v>0</v>
          </cell>
          <cell r="J17">
            <v>0</v>
          </cell>
          <cell r="K17">
            <v>51226.029226666666</v>
          </cell>
          <cell r="L17">
            <v>50237.673493333336</v>
          </cell>
          <cell r="M17">
            <v>50611.16416</v>
          </cell>
          <cell r="N17">
            <v>50576.996666666666</v>
          </cell>
          <cell r="O17">
            <v>46669.63</v>
          </cell>
          <cell r="P17">
            <v>51352.963333333333</v>
          </cell>
          <cell r="Q17">
            <v>51375.563333333332</v>
          </cell>
          <cell r="R17">
            <v>50439.763333333336</v>
          </cell>
          <cell r="S17">
            <v>425999.38354666671</v>
          </cell>
        </row>
        <row r="18"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37950</v>
          </cell>
          <cell r="L18">
            <v>37950</v>
          </cell>
          <cell r="M18">
            <v>37950</v>
          </cell>
          <cell r="N18">
            <v>37950</v>
          </cell>
          <cell r="O18">
            <v>37950</v>
          </cell>
          <cell r="P18">
            <v>37950</v>
          </cell>
          <cell r="Q18">
            <v>37950</v>
          </cell>
          <cell r="R18">
            <v>37950</v>
          </cell>
          <cell r="S18">
            <v>303600</v>
          </cell>
          <cell r="U18"/>
        </row>
        <row r="19">
          <cell r="G19">
            <v>183299.20000000001</v>
          </cell>
          <cell r="H19">
            <v>164828.79999999999</v>
          </cell>
          <cell r="I19">
            <v>0</v>
          </cell>
          <cell r="J19">
            <v>0</v>
          </cell>
          <cell r="K19">
            <v>251304</v>
          </cell>
          <cell r="L19">
            <v>241006</v>
          </cell>
          <cell r="M19">
            <v>248708.80000000002</v>
          </cell>
          <cell r="N19">
            <v>248207.33333333331</v>
          </cell>
          <cell r="O19">
            <v>186904.53333333333</v>
          </cell>
          <cell r="P19">
            <v>251258.26666666666</v>
          </cell>
          <cell r="Q19">
            <v>251806.93333333335</v>
          </cell>
          <cell r="R19">
            <v>249935.46666666667</v>
          </cell>
          <cell r="S19">
            <v>2277259.333333333</v>
          </cell>
          <cell r="U19"/>
        </row>
        <row r="20">
          <cell r="G20">
            <v>183299.20000000001</v>
          </cell>
          <cell r="H20">
            <v>164828.79999999999</v>
          </cell>
          <cell r="I20">
            <v>0</v>
          </cell>
          <cell r="J20">
            <v>0</v>
          </cell>
          <cell r="K20">
            <v>289254</v>
          </cell>
          <cell r="L20">
            <v>278956</v>
          </cell>
          <cell r="M20">
            <v>286658.80000000005</v>
          </cell>
          <cell r="N20">
            <v>286157.33333333331</v>
          </cell>
          <cell r="O20">
            <v>224854.53333333333</v>
          </cell>
          <cell r="P20">
            <v>289208.26666666666</v>
          </cell>
          <cell r="Q20">
            <v>289756.93333333335</v>
          </cell>
          <cell r="R20">
            <v>287885.46666666667</v>
          </cell>
          <cell r="S20">
            <v>2580859.333333333</v>
          </cell>
          <cell r="U20"/>
        </row>
        <row r="21"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105000</v>
          </cell>
          <cell r="L21">
            <v>105000</v>
          </cell>
          <cell r="M21">
            <v>105000</v>
          </cell>
          <cell r="N21">
            <v>105000</v>
          </cell>
          <cell r="O21">
            <v>105000</v>
          </cell>
          <cell r="P21">
            <v>105000</v>
          </cell>
          <cell r="Q21">
            <v>105000</v>
          </cell>
          <cell r="R21">
            <v>94665</v>
          </cell>
          <cell r="S21">
            <v>829665</v>
          </cell>
          <cell r="U21"/>
        </row>
        <row r="22">
          <cell r="G22">
            <v>9613.8000000000011</v>
          </cell>
          <cell r="H22">
            <v>8778</v>
          </cell>
          <cell r="I22">
            <v>0</v>
          </cell>
          <cell r="J22">
            <v>0</v>
          </cell>
          <cell r="K22">
            <v>43671.905066666659</v>
          </cell>
          <cell r="L22">
            <v>37292.76906666666</v>
          </cell>
          <cell r="M22">
            <v>36864.929066666664</v>
          </cell>
          <cell r="N22">
            <v>37151.416666666664</v>
          </cell>
          <cell r="O22">
            <v>33773.583333333336</v>
          </cell>
          <cell r="P22">
            <v>45341.183333333334</v>
          </cell>
          <cell r="Q22">
            <v>44857.183333333334</v>
          </cell>
          <cell r="R22">
            <v>42695.316666666673</v>
          </cell>
          <cell r="S22">
            <v>340040.08653333335</v>
          </cell>
          <cell r="U22"/>
        </row>
        <row r="23">
          <cell r="G23">
            <v>9613.8000000000011</v>
          </cell>
          <cell r="H23">
            <v>8778</v>
          </cell>
          <cell r="I23">
            <v>0</v>
          </cell>
          <cell r="J23">
            <v>0</v>
          </cell>
          <cell r="K23">
            <v>148671.90506666666</v>
          </cell>
          <cell r="L23">
            <v>142292.76906666666</v>
          </cell>
          <cell r="M23">
            <v>141864.92906666666</v>
          </cell>
          <cell r="N23">
            <v>142151.41666666666</v>
          </cell>
          <cell r="O23">
            <v>138773.58333333334</v>
          </cell>
          <cell r="P23">
            <v>150341.18333333335</v>
          </cell>
          <cell r="Q23">
            <v>149857.18333333335</v>
          </cell>
          <cell r="R23">
            <v>137360.31666666668</v>
          </cell>
          <cell r="S23">
            <v>1169705.0865333334</v>
          </cell>
        </row>
        <row r="24"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198000</v>
          </cell>
          <cell r="L24">
            <v>198000</v>
          </cell>
          <cell r="M24">
            <v>198000</v>
          </cell>
          <cell r="N24">
            <v>198000</v>
          </cell>
          <cell r="O24">
            <v>198000</v>
          </cell>
          <cell r="P24">
            <v>198000</v>
          </cell>
          <cell r="Q24">
            <v>198000</v>
          </cell>
          <cell r="R24">
            <v>198000</v>
          </cell>
          <cell r="S24">
            <v>1584000</v>
          </cell>
          <cell r="U24"/>
        </row>
        <row r="25">
          <cell r="G25"/>
          <cell r="H25"/>
          <cell r="I25"/>
          <cell r="J25"/>
          <cell r="K25"/>
          <cell r="L25"/>
          <cell r="M25"/>
          <cell r="N25"/>
          <cell r="O25"/>
          <cell r="P25"/>
          <cell r="Q25"/>
          <cell r="R25"/>
          <cell r="S25">
            <v>0</v>
          </cell>
          <cell r="U25"/>
        </row>
        <row r="26"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198000</v>
          </cell>
          <cell r="L26">
            <v>198000</v>
          </cell>
          <cell r="M26">
            <v>198000</v>
          </cell>
          <cell r="N26">
            <v>198000</v>
          </cell>
          <cell r="O26">
            <v>198000</v>
          </cell>
          <cell r="P26">
            <v>198000</v>
          </cell>
          <cell r="Q26">
            <v>198000</v>
          </cell>
          <cell r="R26">
            <v>198000</v>
          </cell>
          <cell r="S26">
            <v>1584000</v>
          </cell>
          <cell r="U26"/>
        </row>
        <row r="27"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340950</v>
          </cell>
          <cell r="L27">
            <v>340950</v>
          </cell>
          <cell r="M27">
            <v>340950</v>
          </cell>
          <cell r="N27">
            <v>340950</v>
          </cell>
          <cell r="O27">
            <v>340950</v>
          </cell>
          <cell r="P27">
            <v>340950</v>
          </cell>
          <cell r="Q27">
            <v>340950</v>
          </cell>
          <cell r="R27">
            <v>330615</v>
          </cell>
          <cell r="S27">
            <v>2717265</v>
          </cell>
        </row>
        <row r="28">
          <cell r="G28">
            <v>192913</v>
          </cell>
          <cell r="H28">
            <v>173606.8</v>
          </cell>
          <cell r="I28">
            <v>0</v>
          </cell>
          <cell r="J28">
            <v>0</v>
          </cell>
          <cell r="K28">
            <v>294975.90506666666</v>
          </cell>
          <cell r="L28">
            <v>278298.76906666666</v>
          </cell>
          <cell r="M28">
            <v>285573.72906666668</v>
          </cell>
          <cell r="N28">
            <v>285358.75</v>
          </cell>
          <cell r="O28">
            <v>220678.11666666667</v>
          </cell>
          <cell r="P28">
            <v>296599.45</v>
          </cell>
          <cell r="Q28">
            <v>296664.1166666667</v>
          </cell>
          <cell r="R28">
            <v>292630.78333333333</v>
          </cell>
          <cell r="S28">
            <v>2617299.4198666667</v>
          </cell>
          <cell r="U28">
            <v>814305.97734126251</v>
          </cell>
        </row>
        <row r="29">
          <cell r="G29">
            <v>192913</v>
          </cell>
          <cell r="H29">
            <v>173606.8</v>
          </cell>
          <cell r="I29">
            <v>0</v>
          </cell>
          <cell r="J29">
            <v>0</v>
          </cell>
          <cell r="K29">
            <v>635925.90506666666</v>
          </cell>
          <cell r="L29">
            <v>619248.76906666672</v>
          </cell>
          <cell r="M29">
            <v>626523.72906666668</v>
          </cell>
          <cell r="N29">
            <v>626308.75</v>
          </cell>
          <cell r="O29">
            <v>561628.1166666667</v>
          </cell>
          <cell r="P29">
            <v>637549.44999999995</v>
          </cell>
          <cell r="Q29">
            <v>637614.1166666667</v>
          </cell>
          <cell r="R29">
            <v>623245.78333333333</v>
          </cell>
          <cell r="S29">
            <v>5334564.4198666662</v>
          </cell>
        </row>
        <row r="30"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33679.403189772958</v>
          </cell>
          <cell r="L30">
            <v>32212.10621767243</v>
          </cell>
          <cell r="M30">
            <v>36788.620455554446</v>
          </cell>
          <cell r="N30">
            <v>31237.513971272445</v>
          </cell>
          <cell r="O30">
            <v>36652.559748170279</v>
          </cell>
          <cell r="P30">
            <v>31401.992510785971</v>
          </cell>
          <cell r="Q30">
            <v>34972.707128142429</v>
          </cell>
          <cell r="R30">
            <v>33343.426670849432</v>
          </cell>
          <cell r="S30">
            <v>270288.32989222038</v>
          </cell>
          <cell r="U30"/>
        </row>
        <row r="31">
          <cell r="G31">
            <v>102483.09749801969</v>
          </cell>
          <cell r="H31">
            <v>72595.243094506994</v>
          </cell>
          <cell r="I31">
            <v>0</v>
          </cell>
          <cell r="J31">
            <v>0</v>
          </cell>
          <cell r="K31">
            <v>169229.81573683006</v>
          </cell>
          <cell r="L31">
            <v>155365.82115885001</v>
          </cell>
          <cell r="M31">
            <v>182110.36009507734</v>
          </cell>
          <cell r="N31">
            <v>154127.15605603484</v>
          </cell>
          <cell r="O31">
            <v>138525.94308701399</v>
          </cell>
          <cell r="P31">
            <v>157950.75356187925</v>
          </cell>
          <cell r="Q31">
            <v>176492.76922934849</v>
          </cell>
          <cell r="R31">
            <v>166873.40961662368</v>
          </cell>
          <cell r="S31">
            <v>1475754.3691341844</v>
          </cell>
          <cell r="U31"/>
        </row>
        <row r="32">
          <cell r="G32">
            <v>102483.09749801969</v>
          </cell>
          <cell r="H32">
            <v>72595.243094506994</v>
          </cell>
          <cell r="I32">
            <v>0</v>
          </cell>
          <cell r="J32">
            <v>0</v>
          </cell>
          <cell r="K32">
            <v>202909.21892660303</v>
          </cell>
          <cell r="L32">
            <v>187577.92737652245</v>
          </cell>
          <cell r="M32">
            <v>218898.98055063179</v>
          </cell>
          <cell r="N32">
            <v>185364.67002730729</v>
          </cell>
          <cell r="O32">
            <v>175178.50283518428</v>
          </cell>
          <cell r="P32">
            <v>189352.74607266521</v>
          </cell>
          <cell r="Q32">
            <v>211465.47635749093</v>
          </cell>
          <cell r="R32">
            <v>200216.83628747312</v>
          </cell>
          <cell r="S32">
            <v>1746042.6990264049</v>
          </cell>
          <cell r="U32"/>
        </row>
        <row r="33"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71441.158281336582</v>
          </cell>
          <cell r="L33">
            <v>68328.710158699061</v>
          </cell>
          <cell r="M33">
            <v>78036.467632994274</v>
          </cell>
          <cell r="N33">
            <v>66261.393272396104</v>
          </cell>
          <cell r="O33">
            <v>77747.854011270305</v>
          </cell>
          <cell r="P33">
            <v>66610.287144091446</v>
          </cell>
          <cell r="Q33">
            <v>74184.530271817261</v>
          </cell>
          <cell r="R33">
            <v>63766.77749082751</v>
          </cell>
          <cell r="S33">
            <v>566377.17826343246</v>
          </cell>
          <cell r="U33"/>
        </row>
        <row r="34">
          <cell r="G34">
            <v>8190.6325019803116</v>
          </cell>
          <cell r="H34">
            <v>5891.1669054930062</v>
          </cell>
          <cell r="I34">
            <v>0</v>
          </cell>
          <cell r="J34">
            <v>0</v>
          </cell>
          <cell r="K34">
            <v>23926.96278024069</v>
          </cell>
          <cell r="L34">
            <v>19728.192133628967</v>
          </cell>
          <cell r="M34">
            <v>22023.721232677646</v>
          </cell>
          <cell r="N34">
            <v>18881.310225146928</v>
          </cell>
          <cell r="O34">
            <v>21075.18483241029</v>
          </cell>
          <cell r="P34">
            <v>23352.583378003481</v>
          </cell>
          <cell r="Q34">
            <v>25666.045849742175</v>
          </cell>
          <cell r="R34">
            <v>23373.708416036498</v>
          </cell>
          <cell r="S34">
            <v>192109.50825535998</v>
          </cell>
          <cell r="U34"/>
        </row>
        <row r="35">
          <cell r="G35">
            <v>8190.6325019803116</v>
          </cell>
          <cell r="H35">
            <v>5891.1669054930062</v>
          </cell>
          <cell r="I35">
            <v>0</v>
          </cell>
          <cell r="J35">
            <v>0</v>
          </cell>
          <cell r="K35">
            <v>95368.121061577272</v>
          </cell>
          <cell r="L35">
            <v>88056.902292328028</v>
          </cell>
          <cell r="M35">
            <v>100060.18886567192</v>
          </cell>
          <cell r="N35">
            <v>85142.703497543029</v>
          </cell>
          <cell r="O35">
            <v>98823.038843680595</v>
          </cell>
          <cell r="P35">
            <v>89962.87052209492</v>
          </cell>
          <cell r="Q35">
            <v>99850.576121559439</v>
          </cell>
          <cell r="R35">
            <v>87140.485906864007</v>
          </cell>
          <cell r="S35">
            <v>758486.68651879265</v>
          </cell>
          <cell r="U35"/>
        </row>
        <row r="36"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156329.35459848633</v>
          </cell>
          <cell r="L36">
            <v>146547.37478448282</v>
          </cell>
          <cell r="M36">
            <v>177057.46970369629</v>
          </cell>
          <cell r="N36">
            <v>140050.09314181635</v>
          </cell>
          <cell r="O36">
            <v>176150.39832113523</v>
          </cell>
          <cell r="P36">
            <v>141146.61673857315</v>
          </cell>
          <cell r="Q36">
            <v>164951.38085428294</v>
          </cell>
          <cell r="R36">
            <v>154089.5111389962</v>
          </cell>
          <cell r="S36">
            <v>1256322.1992814692</v>
          </cell>
          <cell r="U36"/>
        </row>
        <row r="37">
          <cell r="G37"/>
          <cell r="H37"/>
          <cell r="I37"/>
          <cell r="J37"/>
          <cell r="K37"/>
          <cell r="L37"/>
          <cell r="M37"/>
          <cell r="N37"/>
          <cell r="O37"/>
          <cell r="P37"/>
          <cell r="Q37"/>
          <cell r="R37"/>
          <cell r="S37">
            <v>0</v>
          </cell>
          <cell r="U37"/>
        </row>
        <row r="38"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156329.35459848633</v>
          </cell>
          <cell r="L38">
            <v>146547.37478448282</v>
          </cell>
          <cell r="M38">
            <v>177057.46970369629</v>
          </cell>
          <cell r="N38">
            <v>140050.09314181635</v>
          </cell>
          <cell r="O38">
            <v>176150.39832113523</v>
          </cell>
          <cell r="P38">
            <v>141146.61673857315</v>
          </cell>
          <cell r="Q38">
            <v>164951.38085428294</v>
          </cell>
          <cell r="R38">
            <v>154089.5111389962</v>
          </cell>
          <cell r="S38">
            <v>1256322.1992814692</v>
          </cell>
          <cell r="U38"/>
        </row>
        <row r="39"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261449.91606959587</v>
          </cell>
          <cell r="L39">
            <v>247088.1911608543</v>
          </cell>
          <cell r="M39">
            <v>291882.557792245</v>
          </cell>
          <cell r="N39">
            <v>237549.00038548489</v>
          </cell>
          <cell r="O39">
            <v>290550.81208057585</v>
          </cell>
          <cell r="P39">
            <v>239158.89639345056</v>
          </cell>
          <cell r="Q39">
            <v>274108.61825424264</v>
          </cell>
          <cell r="R39">
            <v>251199.71530067315</v>
          </cell>
          <cell r="S39">
            <v>2092987.7074371225</v>
          </cell>
          <cell r="U39"/>
        </row>
        <row r="40">
          <cell r="G40">
            <v>110673.73000000001</v>
          </cell>
          <cell r="H40">
            <v>78486.41</v>
          </cell>
          <cell r="I40">
            <v>0</v>
          </cell>
          <cell r="J40">
            <v>0</v>
          </cell>
          <cell r="K40">
            <v>193156.77851707075</v>
          </cell>
          <cell r="L40">
            <v>175094.01329247898</v>
          </cell>
          <cell r="M40">
            <v>204134.08132775498</v>
          </cell>
          <cell r="N40">
            <v>173008.46628118178</v>
          </cell>
          <cell r="O40">
            <v>159601.12791942427</v>
          </cell>
          <cell r="P40">
            <v>181303.33693988272</v>
          </cell>
          <cell r="Q40">
            <v>202158.81507909065</v>
          </cell>
          <cell r="R40">
            <v>190247.11803266019</v>
          </cell>
          <cell r="S40">
            <v>1667863.8773895442</v>
          </cell>
          <cell r="U40"/>
        </row>
        <row r="41">
          <cell r="G41">
            <v>110673.73000000001</v>
          </cell>
          <cell r="H41">
            <v>78486.41</v>
          </cell>
          <cell r="I41">
            <v>0</v>
          </cell>
          <cell r="J41">
            <v>0</v>
          </cell>
          <cell r="K41">
            <v>454606.69458666665</v>
          </cell>
          <cell r="L41">
            <v>422182.20445333328</v>
          </cell>
          <cell r="M41">
            <v>496016.63911999995</v>
          </cell>
          <cell r="N41">
            <v>410557.46666666667</v>
          </cell>
          <cell r="O41">
            <v>450151.94000000012</v>
          </cell>
          <cell r="P41">
            <v>420462.23333333328</v>
          </cell>
          <cell r="Q41">
            <v>476267.43333333329</v>
          </cell>
          <cell r="R41">
            <v>441446.83333333337</v>
          </cell>
          <cell r="S41">
            <v>3760851.5848266664</v>
          </cell>
          <cell r="U41"/>
        </row>
        <row r="42">
          <cell r="G42">
            <v>0</v>
          </cell>
          <cell r="H42">
            <v>0</v>
          </cell>
          <cell r="I42">
            <v>38227.43</v>
          </cell>
          <cell r="J42">
            <v>38227.43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76454.86</v>
          </cell>
          <cell r="U42"/>
        </row>
        <row r="43">
          <cell r="G43">
            <v>0</v>
          </cell>
          <cell r="H43">
            <v>0</v>
          </cell>
          <cell r="I43">
            <v>41897.1</v>
          </cell>
          <cell r="J43">
            <v>44590.06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86487.16</v>
          </cell>
          <cell r="U43"/>
        </row>
        <row r="44">
          <cell r="G44">
            <v>0</v>
          </cell>
          <cell r="H44">
            <v>0</v>
          </cell>
          <cell r="I44">
            <v>80124.53</v>
          </cell>
          <cell r="J44">
            <v>82817.489999999991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162942.01999999999</v>
          </cell>
          <cell r="T44">
            <v>1410770.8150399998</v>
          </cell>
          <cell r="U44"/>
        </row>
        <row r="45"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4270.5968102270417</v>
          </cell>
          <cell r="L45">
            <v>5737.8937823275701</v>
          </cell>
          <cell r="M45">
            <v>1161.3795444455536</v>
          </cell>
          <cell r="N45">
            <v>6712.4860287275551</v>
          </cell>
          <cell r="O45">
            <v>1297.4402518297211</v>
          </cell>
          <cell r="P45">
            <v>6548.0074892140292</v>
          </cell>
          <cell r="Q45">
            <v>2977.2928718575713</v>
          </cell>
          <cell r="R45">
            <v>4606.5733291505676</v>
          </cell>
          <cell r="S45">
            <v>33311.67010777961</v>
          </cell>
        </row>
        <row r="46">
          <cell r="G46">
            <v>80816.10250198032</v>
          </cell>
          <cell r="H46">
            <v>92233.556905492995</v>
          </cell>
          <cell r="I46">
            <v>0</v>
          </cell>
          <cell r="J46">
            <v>0</v>
          </cell>
          <cell r="K46">
            <v>82074.18426316994</v>
          </cell>
          <cell r="L46">
            <v>85640.178841149987</v>
          </cell>
          <cell r="M46">
            <v>66598.439904922678</v>
          </cell>
          <cell r="N46">
            <v>94080.17727729847</v>
          </cell>
          <cell r="O46">
            <v>48378.590246319334</v>
          </cell>
          <cell r="P46">
            <v>93307.513104787417</v>
          </cell>
          <cell r="Q46">
            <v>75314.164103984862</v>
          </cell>
          <cell r="R46">
            <v>83062.057050042989</v>
          </cell>
          <cell r="S46">
            <v>801504.96419914905</v>
          </cell>
        </row>
        <row r="47">
          <cell r="G47">
            <v>80816.10250198032</v>
          </cell>
          <cell r="H47">
            <v>92233.556905492995</v>
          </cell>
          <cell r="I47">
            <v>0</v>
          </cell>
          <cell r="J47">
            <v>0</v>
          </cell>
          <cell r="K47">
            <v>86344.781073396982</v>
          </cell>
          <cell r="L47">
            <v>91378.07262347755</v>
          </cell>
          <cell r="M47">
            <v>67759.819449368224</v>
          </cell>
          <cell r="N47">
            <v>100792.66330602602</v>
          </cell>
          <cell r="O47">
            <v>49676.030498149055</v>
          </cell>
          <cell r="P47">
            <v>99855.520594001442</v>
          </cell>
          <cell r="Q47">
            <v>78291.456975842433</v>
          </cell>
          <cell r="R47">
            <v>87668.63037919355</v>
          </cell>
          <cell r="S47">
            <v>834816.63430692861</v>
          </cell>
        </row>
        <row r="48"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33558.841718663418</v>
          </cell>
          <cell r="L48">
            <v>36671.289841300939</v>
          </cell>
          <cell r="M48">
            <v>26963.532367005726</v>
          </cell>
          <cell r="N48">
            <v>38738.606727603896</v>
          </cell>
          <cell r="O48">
            <v>27252.145988729695</v>
          </cell>
          <cell r="P48">
            <v>38389.712855908554</v>
          </cell>
          <cell r="Q48">
            <v>30815.469728182739</v>
          </cell>
          <cell r="R48">
            <v>30898.22250917249</v>
          </cell>
          <cell r="S48">
            <v>263287.82173656748</v>
          </cell>
        </row>
        <row r="49">
          <cell r="G49">
            <v>1423.1674980196894</v>
          </cell>
          <cell r="H49">
            <v>2886.8330945069938</v>
          </cell>
          <cell r="I49">
            <v>0</v>
          </cell>
          <cell r="J49">
            <v>0</v>
          </cell>
          <cell r="K49">
            <v>19744.942286425969</v>
          </cell>
          <cell r="L49">
            <v>17564.576933037693</v>
          </cell>
          <cell r="M49">
            <v>14841.207833989018</v>
          </cell>
          <cell r="N49">
            <v>18270.106441519736</v>
          </cell>
          <cell r="O49">
            <v>12698.398500923046</v>
          </cell>
          <cell r="P49">
            <v>21988.599955329853</v>
          </cell>
          <cell r="Q49">
            <v>19191.137483591159</v>
          </cell>
          <cell r="R49">
            <v>19321.608250630175</v>
          </cell>
          <cell r="S49">
            <v>147930.57827797331</v>
          </cell>
        </row>
        <row r="50">
          <cell r="G50">
            <v>1423.1674980196894</v>
          </cell>
          <cell r="H50">
            <v>2886.8330945069938</v>
          </cell>
          <cell r="I50">
            <v>0</v>
          </cell>
          <cell r="J50">
            <v>0</v>
          </cell>
          <cell r="K50">
            <v>53303.784005089386</v>
          </cell>
          <cell r="L50">
            <v>54235.866774338632</v>
          </cell>
          <cell r="M50">
            <v>41804.74020099474</v>
          </cell>
          <cell r="N50">
            <v>57008.713169123628</v>
          </cell>
          <cell r="O50">
            <v>39950.544489652741</v>
          </cell>
          <cell r="P50">
            <v>60378.312811238407</v>
          </cell>
          <cell r="Q50">
            <v>50006.607211773895</v>
          </cell>
          <cell r="R50">
            <v>50219.830759802666</v>
          </cell>
          <cell r="S50">
            <v>411218.40001454082</v>
          </cell>
        </row>
        <row r="51"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41670.64540151367</v>
          </cell>
          <cell r="L51">
            <v>51452.625215517182</v>
          </cell>
          <cell r="M51">
            <v>20942.53029630371</v>
          </cell>
          <cell r="N51">
            <v>57949.906858183647</v>
          </cell>
          <cell r="O51">
            <v>21849.601678864768</v>
          </cell>
          <cell r="P51">
            <v>56853.383261426847</v>
          </cell>
          <cell r="Q51">
            <v>33048.619145717064</v>
          </cell>
          <cell r="R51">
            <v>43910.488861003803</v>
          </cell>
          <cell r="S51">
            <v>327677.80071853066</v>
          </cell>
          <cell r="U51"/>
        </row>
        <row r="52"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U52"/>
        </row>
        <row r="53"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41670.64540151367</v>
          </cell>
          <cell r="L53">
            <v>51452.625215517182</v>
          </cell>
          <cell r="M53">
            <v>20942.53029630371</v>
          </cell>
          <cell r="N53">
            <v>57949.906858183647</v>
          </cell>
          <cell r="O53">
            <v>21849.601678864768</v>
          </cell>
          <cell r="P53">
            <v>56853.383261426847</v>
          </cell>
          <cell r="Q53">
            <v>33048.619145717064</v>
          </cell>
          <cell r="R53">
            <v>43910.488861003803</v>
          </cell>
          <cell r="S53">
            <v>327677.80071853066</v>
          </cell>
          <cell r="U53"/>
        </row>
        <row r="54"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79500.083930404129</v>
          </cell>
          <cell r="L54">
            <v>93861.808839145699</v>
          </cell>
          <cell r="M54">
            <v>49067.44220775499</v>
          </cell>
          <cell r="N54">
            <v>103400.99961451509</v>
          </cell>
          <cell r="O54">
            <v>50399.187919424185</v>
          </cell>
          <cell r="P54">
            <v>101791.10360654943</v>
          </cell>
          <cell r="Q54">
            <v>66841.381745757375</v>
          </cell>
          <cell r="R54">
            <v>79415.284699326861</v>
          </cell>
          <cell r="S54">
            <v>624277.29256287776</v>
          </cell>
        </row>
        <row r="55">
          <cell r="G55">
            <v>82239.27</v>
          </cell>
          <cell r="H55">
            <v>95120.389999999985</v>
          </cell>
          <cell r="I55">
            <v>0</v>
          </cell>
          <cell r="J55">
            <v>0</v>
          </cell>
          <cell r="K55">
            <v>101819.12654959591</v>
          </cell>
          <cell r="L55">
            <v>103204.75577418768</v>
          </cell>
          <cell r="M55">
            <v>81439.647738911692</v>
          </cell>
          <cell r="N55">
            <v>112350.2837188182</v>
          </cell>
          <cell r="O55">
            <v>61076.98874724238</v>
          </cell>
          <cell r="P55">
            <v>115296.11306011726</v>
          </cell>
          <cell r="Q55">
            <v>94505.301587576017</v>
          </cell>
          <cell r="R55">
            <v>102383.66530067316</v>
          </cell>
          <cell r="S55">
            <v>949435.54247712228</v>
          </cell>
        </row>
        <row r="56">
          <cell r="G56">
            <v>0</v>
          </cell>
          <cell r="H56">
            <v>0</v>
          </cell>
          <cell r="I56">
            <v>-80124.53</v>
          </cell>
          <cell r="J56">
            <v>-82817.489999999991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-162942.01999999999</v>
          </cell>
        </row>
        <row r="57">
          <cell r="G57">
            <v>82239.27</v>
          </cell>
          <cell r="H57">
            <v>95120.389999999985</v>
          </cell>
          <cell r="I57">
            <v>-80124.53</v>
          </cell>
          <cell r="J57">
            <v>-82817.489999999991</v>
          </cell>
          <cell r="K57">
            <v>181319.21048000004</v>
          </cell>
          <cell r="L57">
            <v>197066.56461333338</v>
          </cell>
          <cell r="M57">
            <v>130507.08994666667</v>
          </cell>
          <cell r="N57">
            <v>215751.2833333333</v>
          </cell>
          <cell r="O57">
            <v>111476.17666666656</v>
          </cell>
          <cell r="P57">
            <v>217087.21666666667</v>
          </cell>
          <cell r="Q57">
            <v>161346.68333333341</v>
          </cell>
          <cell r="R57">
            <v>181798.95</v>
          </cell>
          <cell r="S57">
            <v>1410770.8150399998</v>
          </cell>
        </row>
        <row r="58"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793.99831909725128</v>
          </cell>
          <cell r="L58">
            <v>809.61912190056853</v>
          </cell>
          <cell r="M58">
            <v>807.26683749400922</v>
          </cell>
          <cell r="N58">
            <v>807.81218984994439</v>
          </cell>
          <cell r="O58">
            <v>2348.5661753335808</v>
          </cell>
          <cell r="P58">
            <v>2134.3795434330341</v>
          </cell>
          <cell r="Q58">
            <v>2140.1315586547666</v>
          </cell>
          <cell r="R58">
            <v>2179.8370406046706</v>
          </cell>
          <cell r="S58">
            <v>12021.610786367826</v>
          </cell>
          <cell r="U58"/>
        </row>
        <row r="59">
          <cell r="G59">
            <v>11348.805700137051</v>
          </cell>
          <cell r="H59">
            <v>11335.904110580386</v>
          </cell>
          <cell r="I59">
            <v>0</v>
          </cell>
          <cell r="J59">
            <v>0</v>
          </cell>
          <cell r="K59">
            <v>3989.6250084675708</v>
          </cell>
          <cell r="L59">
            <v>3904.9647623159358</v>
          </cell>
          <cell r="M59">
            <v>3996.1176213839808</v>
          </cell>
          <cell r="N59">
            <v>3985.7779835959832</v>
          </cell>
          <cell r="O59">
            <v>8876.2516608839796</v>
          </cell>
          <cell r="P59">
            <v>10735.84286591085</v>
          </cell>
          <cell r="Q59">
            <v>10800.357659420457</v>
          </cell>
          <cell r="R59">
            <v>10909.401812991442</v>
          </cell>
          <cell r="S59">
            <v>79883.049185687647</v>
          </cell>
          <cell r="U59"/>
        </row>
        <row r="60">
          <cell r="G60">
            <v>11348.805700137051</v>
          </cell>
          <cell r="H60">
            <v>11335.904110580386</v>
          </cell>
          <cell r="I60">
            <v>0</v>
          </cell>
          <cell r="J60">
            <v>0</v>
          </cell>
          <cell r="K60">
            <v>4783.6233275648219</v>
          </cell>
          <cell r="L60">
            <v>4714.583884216504</v>
          </cell>
          <cell r="M60">
            <v>4803.3844588779903</v>
          </cell>
          <cell r="N60">
            <v>4793.5901734459276</v>
          </cell>
          <cell r="O60">
            <v>11224.81783621756</v>
          </cell>
          <cell r="P60">
            <v>12870.222409343885</v>
          </cell>
          <cell r="Q60">
            <v>12940.489218075223</v>
          </cell>
          <cell r="R60">
            <v>13089.238853596113</v>
          </cell>
          <cell r="S60">
            <v>91904.659972055451</v>
          </cell>
          <cell r="U60"/>
        </row>
        <row r="61"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1684.2388586911393</v>
          </cell>
          <cell r="L61">
            <v>1717.3738949405997</v>
          </cell>
          <cell r="M61">
            <v>1712.3842007448677</v>
          </cell>
          <cell r="N61">
            <v>1713.5410087726093</v>
          </cell>
          <cell r="O61">
            <v>4981.8070385863848</v>
          </cell>
          <cell r="P61">
            <v>4527.4717587973446</v>
          </cell>
          <cell r="Q61">
            <v>4539.67300320708</v>
          </cell>
          <cell r="R61">
            <v>4168.7732009866895</v>
          </cell>
          <cell r="S61">
            <v>25045.262964726713</v>
          </cell>
          <cell r="U61"/>
        </row>
        <row r="62">
          <cell r="G62">
            <v>907.01685541850577</v>
          </cell>
          <cell r="H62">
            <v>919.91844497516956</v>
          </cell>
          <cell r="I62">
            <v>0</v>
          </cell>
          <cell r="J62">
            <v>0</v>
          </cell>
          <cell r="K62">
            <v>564.08268642903101</v>
          </cell>
          <cell r="L62">
            <v>495.84840817243872</v>
          </cell>
          <cell r="M62">
            <v>483.27497930597229</v>
          </cell>
          <cell r="N62">
            <v>488.27677433739075</v>
          </cell>
          <cell r="O62">
            <v>1350.4231785277429</v>
          </cell>
          <cell r="P62">
            <v>1587.2647645274333</v>
          </cell>
          <cell r="Q62">
            <v>1570.6166099081431</v>
          </cell>
          <cell r="R62">
            <v>1528.0635636082777</v>
          </cell>
          <cell r="S62">
            <v>9894.7862652101048</v>
          </cell>
          <cell r="U62"/>
        </row>
        <row r="63">
          <cell r="G63">
            <v>907.01685541850577</v>
          </cell>
          <cell r="H63">
            <v>919.91844497516956</v>
          </cell>
          <cell r="I63">
            <v>0</v>
          </cell>
          <cell r="J63">
            <v>0</v>
          </cell>
          <cell r="K63">
            <v>2248.3215451201704</v>
          </cell>
          <cell r="L63">
            <v>2213.2223031130384</v>
          </cell>
          <cell r="M63">
            <v>2195.65918005084</v>
          </cell>
          <cell r="N63">
            <v>2201.8177831100002</v>
          </cell>
          <cell r="O63">
            <v>6332.2302171141273</v>
          </cell>
          <cell r="P63">
            <v>6114.7365233247783</v>
          </cell>
          <cell r="Q63">
            <v>6110.2896131152229</v>
          </cell>
          <cell r="R63">
            <v>5696.8367645949675</v>
          </cell>
          <cell r="S63">
            <v>34940.04922993682</v>
          </cell>
          <cell r="U63"/>
        </row>
        <row r="64"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5293.3221273150093</v>
          </cell>
          <cell r="L64">
            <v>5397.4608126704561</v>
          </cell>
          <cell r="M64">
            <v>5381.7789166267285</v>
          </cell>
          <cell r="N64">
            <v>5385.4145989996296</v>
          </cell>
          <cell r="O64">
            <v>15657.107835557206</v>
          </cell>
          <cell r="P64">
            <v>14229.196956220227</v>
          </cell>
          <cell r="Q64">
            <v>14267.543724365112</v>
          </cell>
          <cell r="R64">
            <v>14532.246937364471</v>
          </cell>
          <cell r="S64">
            <v>80144.071909118837</v>
          </cell>
          <cell r="U64"/>
        </row>
        <row r="65">
          <cell r="G65"/>
          <cell r="H65"/>
          <cell r="I65"/>
          <cell r="J65"/>
          <cell r="K65"/>
          <cell r="L65"/>
          <cell r="M65"/>
          <cell r="N65"/>
          <cell r="O65"/>
          <cell r="P65"/>
          <cell r="Q65"/>
          <cell r="R65"/>
          <cell r="S65">
            <v>0</v>
          </cell>
          <cell r="U65"/>
        </row>
        <row r="66"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5293.3221273150093</v>
          </cell>
          <cell r="L66">
            <v>5397.4608126704561</v>
          </cell>
          <cell r="M66">
            <v>5381.7789166267285</v>
          </cell>
          <cell r="N66">
            <v>5385.4145989996296</v>
          </cell>
          <cell r="O66">
            <v>15657.107835557206</v>
          </cell>
          <cell r="P66">
            <v>14229.196956220227</v>
          </cell>
          <cell r="Q66">
            <v>14267.543724365112</v>
          </cell>
          <cell r="R66">
            <v>14532.246937364471</v>
          </cell>
          <cell r="S66">
            <v>80144.071909118837</v>
          </cell>
          <cell r="U66"/>
        </row>
        <row r="67"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7771.5593051033993</v>
          </cell>
          <cell r="L67">
            <v>7924.4538295116245</v>
          </cell>
          <cell r="M67">
            <v>7901.4299548656054</v>
          </cell>
          <cell r="N67">
            <v>7906.767797622183</v>
          </cell>
          <cell r="O67">
            <v>22987.481049477174</v>
          </cell>
          <cell r="P67">
            <v>20891.048258450606</v>
          </cell>
          <cell r="Q67">
            <v>20947.348286226959</v>
          </cell>
          <cell r="R67">
            <v>20880.85717895583</v>
          </cell>
          <cell r="S67">
            <v>117210.94566021339</v>
          </cell>
          <cell r="U67"/>
        </row>
        <row r="68">
          <cell r="G68">
            <v>12255.822555555556</v>
          </cell>
          <cell r="H68">
            <v>12255.822555555556</v>
          </cell>
          <cell r="I68">
            <v>0</v>
          </cell>
          <cell r="J68">
            <v>0</v>
          </cell>
          <cell r="K68">
            <v>4553.7076948966014</v>
          </cell>
          <cell r="L68">
            <v>4400.8131704883745</v>
          </cell>
          <cell r="M68">
            <v>4479.3926006899528</v>
          </cell>
          <cell r="N68">
            <v>4474.0547579333743</v>
          </cell>
          <cell r="O68">
            <v>10226.674839411722</v>
          </cell>
          <cell r="P68">
            <v>12323.107630438284</v>
          </cell>
          <cell r="Q68">
            <v>12370.974269328601</v>
          </cell>
          <cell r="R68">
            <v>12437.465376599719</v>
          </cell>
          <cell r="S68">
            <v>89777.83545089775</v>
          </cell>
          <cell r="U68"/>
        </row>
        <row r="69">
          <cell r="G69">
            <v>0</v>
          </cell>
          <cell r="H69">
            <v>0</v>
          </cell>
          <cell r="I69">
            <v>12255.822555555556</v>
          </cell>
          <cell r="J69">
            <v>12255.822555555556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24511.645111111113</v>
          </cell>
          <cell r="U69"/>
        </row>
        <row r="70">
          <cell r="G70">
            <v>12255.822555555556</v>
          </cell>
          <cell r="H70">
            <v>12255.822555555556</v>
          </cell>
          <cell r="I70">
            <v>12255.822555555556</v>
          </cell>
          <cell r="J70">
            <v>12255.822555555556</v>
          </cell>
          <cell r="K70">
            <v>12325.267</v>
          </cell>
          <cell r="L70">
            <v>12325.267</v>
          </cell>
          <cell r="M70">
            <v>12380.822555555558</v>
          </cell>
          <cell r="N70">
            <v>12380.822555555558</v>
          </cell>
          <cell r="O70">
            <v>33214.155888888898</v>
          </cell>
          <cell r="P70">
            <v>33214.15588888889</v>
          </cell>
          <cell r="Q70">
            <v>33318.322555555562</v>
          </cell>
          <cell r="R70">
            <v>33318.322555555547</v>
          </cell>
          <cell r="S70">
            <v>231500.42622222225</v>
          </cell>
          <cell r="T70">
            <v>1179270.3888177776</v>
          </cell>
          <cell r="U70"/>
        </row>
        <row r="71"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615.80834369209754</v>
          </cell>
          <cell r="L71">
            <v>614.32687455750545</v>
          </cell>
          <cell r="M71">
            <v>602.79821088901463</v>
          </cell>
          <cell r="N71">
            <v>602.25936241054126</v>
          </cell>
          <cell r="O71">
            <v>702.06304359986075</v>
          </cell>
          <cell r="P71">
            <v>587.64650140677611</v>
          </cell>
          <cell r="Q71">
            <v>581.2421254163105</v>
          </cell>
          <cell r="R71">
            <v>625.09061859389863</v>
          </cell>
          <cell r="S71">
            <v>4931.2350805660044</v>
          </cell>
          <cell r="U71"/>
        </row>
        <row r="72">
          <cell r="G72">
            <v>4049.524864517994</v>
          </cell>
          <cell r="H72">
            <v>4457.2279153007412</v>
          </cell>
          <cell r="I72">
            <v>0</v>
          </cell>
          <cell r="J72">
            <v>0</v>
          </cell>
          <cell r="K72">
            <v>4077.8682477786269</v>
          </cell>
          <cell r="L72">
            <v>3901.3560666562889</v>
          </cell>
          <cell r="M72">
            <v>3950.4932719987823</v>
          </cell>
          <cell r="N72">
            <v>3939.0036974691434</v>
          </cell>
          <cell r="O72">
            <v>3457.6749811491859</v>
          </cell>
          <cell r="P72">
            <v>3890.6730265137667</v>
          </cell>
          <cell r="Q72">
            <v>3856.6744960534879</v>
          </cell>
          <cell r="R72">
            <v>4116.7935564485215</v>
          </cell>
          <cell r="S72">
            <v>39697.290123886538</v>
          </cell>
          <cell r="U72"/>
        </row>
        <row r="73">
          <cell r="G73">
            <v>4049.524864517994</v>
          </cell>
          <cell r="H73">
            <v>4457.2279153007412</v>
          </cell>
          <cell r="I73">
            <v>0</v>
          </cell>
          <cell r="J73">
            <v>0</v>
          </cell>
          <cell r="K73">
            <v>4693.6765914707248</v>
          </cell>
          <cell r="L73">
            <v>4515.682941213794</v>
          </cell>
          <cell r="M73">
            <v>4553.2914828877965</v>
          </cell>
          <cell r="N73">
            <v>4541.263059879685</v>
          </cell>
          <cell r="O73">
            <v>4159.7380247490464</v>
          </cell>
          <cell r="P73">
            <v>4478.3195279205429</v>
          </cell>
          <cell r="Q73">
            <v>4437.916621469798</v>
          </cell>
          <cell r="R73">
            <v>4741.8841750424199</v>
          </cell>
          <cell r="S73">
            <v>44628.525204452548</v>
          </cell>
          <cell r="U73"/>
        </row>
        <row r="74"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1703.8175517172663</v>
          </cell>
          <cell r="L74">
            <v>1699.7186252579202</v>
          </cell>
          <cell r="M74">
            <v>1667.8211368470763</v>
          </cell>
          <cell r="N74">
            <v>1666.3302517287702</v>
          </cell>
          <cell r="O74">
            <v>1942.4669190509978</v>
          </cell>
          <cell r="P74">
            <v>1625.8994110068904</v>
          </cell>
          <cell r="Q74">
            <v>1608.1797936419657</v>
          </cell>
          <cell r="R74">
            <v>1559.2675470142665</v>
          </cell>
          <cell r="S74">
            <v>13473.501236265154</v>
          </cell>
          <cell r="U74"/>
        </row>
        <row r="75">
          <cell r="G75">
            <v>212.39220979962323</v>
          </cell>
          <cell r="H75">
            <v>237.3708152975081</v>
          </cell>
          <cell r="I75">
            <v>0</v>
          </cell>
          <cell r="J75">
            <v>0</v>
          </cell>
          <cell r="K75">
            <v>708.65674637635095</v>
          </cell>
          <cell r="L75">
            <v>603.68775400053096</v>
          </cell>
          <cell r="M75">
            <v>585.56293243576022</v>
          </cell>
          <cell r="N75">
            <v>589.5859951071152</v>
          </cell>
          <cell r="O75">
            <v>624.80065107440134</v>
          </cell>
          <cell r="P75">
            <v>702.09717405735341</v>
          </cell>
          <cell r="Q75">
            <v>687.03253177485544</v>
          </cell>
          <cell r="R75">
            <v>703.25275115228089</v>
          </cell>
          <cell r="S75">
            <v>5654.4395610757801</v>
          </cell>
          <cell r="U75"/>
        </row>
        <row r="76">
          <cell r="G76">
            <v>212.39220979962323</v>
          </cell>
          <cell r="H76">
            <v>237.3708152975081</v>
          </cell>
          <cell r="I76">
            <v>0</v>
          </cell>
          <cell r="J76">
            <v>0</v>
          </cell>
          <cell r="K76">
            <v>2412.4742980936171</v>
          </cell>
          <cell r="L76">
            <v>2303.4063792584511</v>
          </cell>
          <cell r="M76">
            <v>2253.3840692828367</v>
          </cell>
          <cell r="N76">
            <v>2255.9162468358854</v>
          </cell>
          <cell r="O76">
            <v>2567.2675701253993</v>
          </cell>
          <cell r="P76">
            <v>2327.9965850642438</v>
          </cell>
          <cell r="Q76">
            <v>2295.2123254168209</v>
          </cell>
          <cell r="R76">
            <v>2262.5202981665475</v>
          </cell>
          <cell r="S76">
            <v>19127.940797340932</v>
          </cell>
          <cell r="U76"/>
        </row>
        <row r="77"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3212.9130975239877</v>
          </cell>
          <cell r="L77">
            <v>3205.183693343507</v>
          </cell>
          <cell r="M77">
            <v>3145.0341437687725</v>
          </cell>
          <cell r="N77">
            <v>3142.222760402824</v>
          </cell>
          <cell r="O77">
            <v>3662.9376187818816</v>
          </cell>
          <cell r="P77">
            <v>3065.9817464701359</v>
          </cell>
          <cell r="Q77">
            <v>3032.5676108677067</v>
          </cell>
          <cell r="R77">
            <v>3261.3423578812099</v>
          </cell>
          <cell r="S77">
            <v>25728.183029040028</v>
          </cell>
          <cell r="U77"/>
        </row>
        <row r="78"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U78"/>
        </row>
        <row r="79"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3212.9130975239877</v>
          </cell>
          <cell r="L79">
            <v>3205.183693343507</v>
          </cell>
          <cell r="M79">
            <v>3145.0341437687725</v>
          </cell>
          <cell r="N79">
            <v>3142.222760402824</v>
          </cell>
          <cell r="O79">
            <v>3662.9376187818816</v>
          </cell>
          <cell r="P79">
            <v>3065.9817464701359</v>
          </cell>
          <cell r="Q79">
            <v>3032.5676108677067</v>
          </cell>
          <cell r="R79">
            <v>3261.3423578812099</v>
          </cell>
          <cell r="S79">
            <v>25728.183029040028</v>
          </cell>
          <cell r="U79"/>
        </row>
        <row r="80"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5532.5389929333514</v>
          </cell>
          <cell r="L80">
            <v>5519.2291931589325</v>
          </cell>
          <cell r="M80">
            <v>5415.6534915048633</v>
          </cell>
          <cell r="N80">
            <v>5410.8123745421353</v>
          </cell>
          <cell r="O80">
            <v>6307.4675814327402</v>
          </cell>
          <cell r="P80">
            <v>5279.5276588838024</v>
          </cell>
          <cell r="Q80">
            <v>5221.9895299259824</v>
          </cell>
          <cell r="R80">
            <v>5445.700523489375</v>
          </cell>
          <cell r="S80">
            <v>44132.919345871182</v>
          </cell>
          <cell r="U80"/>
        </row>
        <row r="81">
          <cell r="G81">
            <v>4261.9170743176173</v>
          </cell>
          <cell r="H81">
            <v>4694.5987305982489</v>
          </cell>
          <cell r="I81">
            <v>0</v>
          </cell>
          <cell r="J81">
            <v>0</v>
          </cell>
          <cell r="K81">
            <v>4786.5249941549782</v>
          </cell>
          <cell r="L81">
            <v>4505.0438206568197</v>
          </cell>
          <cell r="M81">
            <v>4536.0562044345425</v>
          </cell>
          <cell r="N81">
            <v>4528.589692576259</v>
          </cell>
          <cell r="O81">
            <v>4082.4756322235871</v>
          </cell>
          <cell r="P81">
            <v>4592.7702005711199</v>
          </cell>
          <cell r="Q81">
            <v>4543.7070278283436</v>
          </cell>
          <cell r="R81">
            <v>4820.0463076008027</v>
          </cell>
          <cell r="S81">
            <v>45351.729684962316</v>
          </cell>
          <cell r="U81"/>
        </row>
        <row r="82">
          <cell r="G82">
            <v>4261.9170743176173</v>
          </cell>
          <cell r="H82">
            <v>4694.5987305982489</v>
          </cell>
          <cell r="I82">
            <v>0</v>
          </cell>
          <cell r="J82">
            <v>0</v>
          </cell>
          <cell r="K82">
            <v>10319.06398708833</v>
          </cell>
          <cell r="L82">
            <v>10024.273013815753</v>
          </cell>
          <cell r="M82">
            <v>9951.7096959394057</v>
          </cell>
          <cell r="N82">
            <v>9939.4020671183935</v>
          </cell>
          <cell r="O82">
            <v>10389.943213656326</v>
          </cell>
          <cell r="P82">
            <v>9872.2978594549222</v>
          </cell>
          <cell r="Q82">
            <v>9765.6965577543269</v>
          </cell>
          <cell r="R82">
            <v>10265.746831090179</v>
          </cell>
          <cell r="S82">
            <v>89484.649030833505</v>
          </cell>
          <cell r="U82"/>
        </row>
        <row r="83"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2860.7901474376931</v>
          </cell>
          <cell r="L83">
            <v>4313.9477858694963</v>
          </cell>
          <cell r="M83">
            <v>-248.68550393747023</v>
          </cell>
          <cell r="N83">
            <v>5302.4144764670691</v>
          </cell>
          <cell r="O83">
            <v>-1753.1889671037204</v>
          </cell>
          <cell r="P83">
            <v>3825.9814443742189</v>
          </cell>
          <cell r="Q83">
            <v>255.91918778649415</v>
          </cell>
          <cell r="R83">
            <v>1801.6456699519983</v>
          </cell>
          <cell r="S83">
            <v>16358.824240845777</v>
          </cell>
        </row>
        <row r="84">
          <cell r="G84">
            <v>65417.771937325277</v>
          </cell>
          <cell r="H84">
            <v>76440.424879611863</v>
          </cell>
          <cell r="I84">
            <v>0</v>
          </cell>
          <cell r="J84">
            <v>0</v>
          </cell>
          <cell r="K84">
            <v>74006.691006923749</v>
          </cell>
          <cell r="L84">
            <v>77833.858012177763</v>
          </cell>
          <cell r="M84">
            <v>58651.829011539914</v>
          </cell>
          <cell r="N84">
            <v>86155.395596233342</v>
          </cell>
          <cell r="O84">
            <v>36044.663604286172</v>
          </cell>
          <cell r="P84">
            <v>78680.997212362796</v>
          </cell>
          <cell r="Q84">
            <v>60657.13194851092</v>
          </cell>
          <cell r="R84">
            <v>68035.861680603019</v>
          </cell>
          <cell r="S84">
            <v>681924.62488957471</v>
          </cell>
        </row>
        <row r="85">
          <cell r="G85">
            <v>65417.771937325277</v>
          </cell>
          <cell r="H85">
            <v>76440.424879611863</v>
          </cell>
          <cell r="I85">
            <v>0</v>
          </cell>
          <cell r="J85">
            <v>0</v>
          </cell>
          <cell r="K85">
            <v>76867.481154361449</v>
          </cell>
          <cell r="L85">
            <v>82147.805798047266</v>
          </cell>
          <cell r="M85">
            <v>58403.143507602443</v>
          </cell>
          <cell r="N85">
            <v>91457.810072700406</v>
          </cell>
          <cell r="O85">
            <v>34291.474637182451</v>
          </cell>
          <cell r="P85">
            <v>82506.978656737017</v>
          </cell>
          <cell r="Q85">
            <v>60913.051136297414</v>
          </cell>
          <cell r="R85">
            <v>69837.50735055501</v>
          </cell>
          <cell r="S85">
            <v>698283.44913042057</v>
          </cell>
        </row>
        <row r="86"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30170.78530825501</v>
          </cell>
          <cell r="L86">
            <v>33254.197321102423</v>
          </cell>
          <cell r="M86">
            <v>23583.32702941378</v>
          </cell>
          <cell r="N86">
            <v>35358.73546710251</v>
          </cell>
          <cell r="O86">
            <v>20327.872031092313</v>
          </cell>
          <cell r="P86">
            <v>32236.341686104322</v>
          </cell>
          <cell r="Q86">
            <v>24667.616931333694</v>
          </cell>
          <cell r="R86">
            <v>25170.181761171534</v>
          </cell>
          <cell r="S86">
            <v>224769.05753557559</v>
          </cell>
        </row>
        <row r="87">
          <cell r="G87">
            <v>303.75843280156045</v>
          </cell>
          <cell r="H87">
            <v>1729.5438342343159</v>
          </cell>
          <cell r="I87">
            <v>0</v>
          </cell>
          <cell r="J87">
            <v>0</v>
          </cell>
          <cell r="K87">
            <v>18472.202853620587</v>
          </cell>
          <cell r="L87">
            <v>16465.040770864725</v>
          </cell>
          <cell r="M87">
            <v>13772.369922247286</v>
          </cell>
          <cell r="N87">
            <v>17192.24367207523</v>
          </cell>
          <cell r="O87">
            <v>10723.174671320901</v>
          </cell>
          <cell r="P87">
            <v>19699.238016745065</v>
          </cell>
          <cell r="Q87">
            <v>16933.488341908163</v>
          </cell>
          <cell r="R87">
            <v>17090.291935869616</v>
          </cell>
          <cell r="S87">
            <v>132381.35245168745</v>
          </cell>
        </row>
        <row r="88">
          <cell r="G88">
            <v>303.75843280156045</v>
          </cell>
          <cell r="H88">
            <v>1729.5438342343159</v>
          </cell>
          <cell r="I88">
            <v>0</v>
          </cell>
          <cell r="J88">
            <v>0</v>
          </cell>
          <cell r="K88">
            <v>48642.988161875597</v>
          </cell>
          <cell r="L88">
            <v>49719.238091967149</v>
          </cell>
          <cell r="M88">
            <v>37355.69695166107</v>
          </cell>
          <cell r="N88">
            <v>52550.97913917774</v>
          </cell>
          <cell r="O88">
            <v>31051.046702413216</v>
          </cell>
          <cell r="P88">
            <v>51935.579702849383</v>
          </cell>
          <cell r="Q88">
            <v>41601.105273241861</v>
          </cell>
          <cell r="R88">
            <v>42260.473697041147</v>
          </cell>
          <cell r="S88">
            <v>357150.40998726303</v>
          </cell>
        </row>
        <row r="89"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33164.410176674668</v>
          </cell>
          <cell r="L89">
            <v>42849.980709503223</v>
          </cell>
          <cell r="M89">
            <v>12415.717235908209</v>
          </cell>
          <cell r="N89">
            <v>49422.269498781192</v>
          </cell>
          <cell r="O89">
            <v>2529.5562245256806</v>
          </cell>
          <cell r="P89">
            <v>39558.204558736485</v>
          </cell>
          <cell r="Q89">
            <v>15748.507810484247</v>
          </cell>
          <cell r="R89">
            <v>26116.899565758122</v>
          </cell>
          <cell r="S89">
            <v>221805.54578037179</v>
          </cell>
          <cell r="U89"/>
        </row>
        <row r="90"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U90"/>
        </row>
        <row r="91"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33164.410176674668</v>
          </cell>
          <cell r="L91">
            <v>42849.980709503223</v>
          </cell>
          <cell r="M91">
            <v>12415.717235908209</v>
          </cell>
          <cell r="N91">
            <v>49422.269498781192</v>
          </cell>
          <cell r="O91">
            <v>2529.5562245256806</v>
          </cell>
          <cell r="P91">
            <v>39558.204558736485</v>
          </cell>
          <cell r="Q91">
            <v>15748.507810484247</v>
          </cell>
          <cell r="R91">
            <v>26116.899565758122</v>
          </cell>
          <cell r="S91">
            <v>221805.54578037179</v>
          </cell>
          <cell r="U91"/>
        </row>
        <row r="92"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66195.985632367374</v>
          </cell>
          <cell r="L92">
            <v>80418.125816475134</v>
          </cell>
          <cell r="M92">
            <v>35750.358761384516</v>
          </cell>
          <cell r="N92">
            <v>90083.419442350772</v>
          </cell>
          <cell r="O92">
            <v>21104.239288514273</v>
          </cell>
          <cell r="P92">
            <v>75620.527689215029</v>
          </cell>
          <cell r="Q92">
            <v>40672.043929604435</v>
          </cell>
          <cell r="R92">
            <v>53088.726996881654</v>
          </cell>
          <cell r="S92">
            <v>462933.42755679321</v>
          </cell>
        </row>
        <row r="93">
          <cell r="G93">
            <v>65721.530370126842</v>
          </cell>
          <cell r="H93">
            <v>78169.968713846174</v>
          </cell>
          <cell r="I93">
            <v>0</v>
          </cell>
          <cell r="J93">
            <v>0</v>
          </cell>
          <cell r="K93">
            <v>92478.89386054434</v>
          </cell>
          <cell r="L93">
            <v>94298.898783042489</v>
          </cell>
          <cell r="M93">
            <v>72424.198933787207</v>
          </cell>
          <cell r="N93">
            <v>103347.63926830857</v>
          </cell>
          <cell r="O93">
            <v>46767.838275607071</v>
          </cell>
          <cell r="P93">
            <v>98380.235229107857</v>
          </cell>
          <cell r="Q93">
            <v>77590.620290419087</v>
          </cell>
          <cell r="R93">
            <v>85126.153616472642</v>
          </cell>
          <cell r="S93">
            <v>814305.97734126227</v>
          </cell>
          <cell r="U93">
            <v>-602519.07835086714</v>
          </cell>
        </row>
        <row r="94">
          <cell r="G94">
            <v>0</v>
          </cell>
          <cell r="H94">
            <v>0</v>
          </cell>
          <cell r="I94">
            <v>-92380.352555555553</v>
          </cell>
          <cell r="J94">
            <v>-95073.312555555545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-187453.6651111111</v>
          </cell>
        </row>
        <row r="95">
          <cell r="G95">
            <v>65721.530370126842</v>
          </cell>
          <cell r="H95">
            <v>78169.968713846174</v>
          </cell>
          <cell r="I95">
            <v>-92380.352555555553</v>
          </cell>
          <cell r="J95">
            <v>-95073.312555555545</v>
          </cell>
          <cell r="K95">
            <v>158674.87949291171</v>
          </cell>
          <cell r="L95">
            <v>174717.02459951764</v>
          </cell>
          <cell r="M95">
            <v>108174.55769517172</v>
          </cell>
          <cell r="N95">
            <v>193431.05871065933</v>
          </cell>
          <cell r="O95">
            <v>67872.07756412134</v>
          </cell>
          <cell r="P95">
            <v>174000.76291832287</v>
          </cell>
          <cell r="Q95">
            <v>118262.66422002352</v>
          </cell>
          <cell r="R95">
            <v>138214.8806133543</v>
          </cell>
          <cell r="S95">
            <v>1089785.7397869446</v>
          </cell>
        </row>
        <row r="97">
          <cell r="R97">
            <v>-4820.0463076007873</v>
          </cell>
          <cell r="T97"/>
        </row>
        <row r="98">
          <cell r="T98"/>
        </row>
        <row r="99">
          <cell r="T99"/>
        </row>
        <row r="100">
          <cell r="T100"/>
        </row>
        <row r="101">
          <cell r="T101"/>
        </row>
        <row r="102">
          <cell r="T102"/>
        </row>
        <row r="103">
          <cell r="T103"/>
        </row>
        <row r="104">
          <cell r="T104"/>
        </row>
        <row r="105">
          <cell r="T105"/>
        </row>
        <row r="106">
          <cell r="T106"/>
        </row>
      </sheetData>
      <sheetData sheetId="1">
        <row r="5">
          <cell r="G5" t="str">
            <v>1월</v>
          </cell>
          <cell r="H5" t="str">
            <v>2월</v>
          </cell>
          <cell r="I5" t="str">
            <v>3월</v>
          </cell>
          <cell r="J5" t="str">
            <v>4월</v>
          </cell>
          <cell r="K5" t="str">
            <v>5월</v>
          </cell>
          <cell r="L5" t="str">
            <v>6월</v>
          </cell>
          <cell r="M5" t="str">
            <v>7월</v>
          </cell>
          <cell r="N5" t="str">
            <v>8월</v>
          </cell>
          <cell r="O5" t="str">
            <v>9월</v>
          </cell>
          <cell r="P5" t="str">
            <v>10월</v>
          </cell>
          <cell r="Q5" t="str">
            <v>11월</v>
          </cell>
          <cell r="R5" t="str">
            <v>12월</v>
          </cell>
          <cell r="S5" t="str">
            <v>합계</v>
          </cell>
          <cell r="U5"/>
        </row>
        <row r="6"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3300</v>
          </cell>
          <cell r="L6">
            <v>3300</v>
          </cell>
          <cell r="M6">
            <v>3300</v>
          </cell>
          <cell r="N6">
            <v>3300</v>
          </cell>
          <cell r="O6">
            <v>3300</v>
          </cell>
          <cell r="P6">
            <v>3300</v>
          </cell>
          <cell r="Q6">
            <v>3300</v>
          </cell>
          <cell r="R6">
            <v>3300</v>
          </cell>
          <cell r="S6">
            <v>26400</v>
          </cell>
          <cell r="U6"/>
        </row>
        <row r="7"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U7"/>
        </row>
        <row r="8">
          <cell r="G8">
            <v>11456.2</v>
          </cell>
          <cell r="H8">
            <v>10301.799999999999</v>
          </cell>
          <cell r="I8">
            <v>0</v>
          </cell>
          <cell r="J8">
            <v>0</v>
          </cell>
          <cell r="K8">
            <v>14248</v>
          </cell>
          <cell r="L8">
            <v>13640</v>
          </cell>
          <cell r="M8">
            <v>14225.466666666667</v>
          </cell>
          <cell r="N8">
            <v>14230.666666666666</v>
          </cell>
          <cell r="O8">
            <v>10363.866666666667</v>
          </cell>
          <cell r="P8">
            <v>14211.6</v>
          </cell>
          <cell r="Q8">
            <v>14211.6</v>
          </cell>
          <cell r="R8">
            <v>14130.133333333333</v>
          </cell>
          <cell r="S8">
            <v>131019.33333333334</v>
          </cell>
          <cell r="U8"/>
        </row>
        <row r="9"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1328</v>
          </cell>
          <cell r="L9">
            <v>1328</v>
          </cell>
          <cell r="M9">
            <v>1217.3333333333333</v>
          </cell>
          <cell r="N9">
            <v>1328</v>
          </cell>
          <cell r="O9">
            <v>1328</v>
          </cell>
          <cell r="P9">
            <v>1438.6666666666667</v>
          </cell>
          <cell r="Q9">
            <v>1549.3333333333333</v>
          </cell>
          <cell r="R9">
            <v>1549.3333333333333</v>
          </cell>
          <cell r="S9">
            <v>11066.666666666668</v>
          </cell>
          <cell r="U9"/>
        </row>
        <row r="10"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U10"/>
        </row>
        <row r="11"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U11"/>
        </row>
        <row r="12"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1005.6</v>
          </cell>
          <cell r="L12">
            <v>948.6</v>
          </cell>
          <cell r="M12">
            <v>892.8</v>
          </cell>
          <cell r="N12">
            <v>723.66666666666663</v>
          </cell>
          <cell r="O12">
            <v>780.26666666666665</v>
          </cell>
          <cell r="P12">
            <v>948.6</v>
          </cell>
          <cell r="Q12">
            <v>892.8</v>
          </cell>
          <cell r="R12">
            <v>836</v>
          </cell>
          <cell r="S12">
            <v>7028.3333333333339</v>
          </cell>
          <cell r="U12"/>
        </row>
        <row r="13">
          <cell r="G13">
            <v>11456.2</v>
          </cell>
          <cell r="H13">
            <v>10301.799999999999</v>
          </cell>
          <cell r="I13">
            <v>0</v>
          </cell>
          <cell r="J13">
            <v>0</v>
          </cell>
          <cell r="K13">
            <v>16581.599999999999</v>
          </cell>
          <cell r="L13">
            <v>15916.6</v>
          </cell>
          <cell r="M13">
            <v>16335.6</v>
          </cell>
          <cell r="N13">
            <v>16282.333333333332</v>
          </cell>
          <cell r="O13">
            <v>12472.133333333333</v>
          </cell>
          <cell r="P13">
            <v>16598.866666666665</v>
          </cell>
          <cell r="Q13">
            <v>16653.733333333334</v>
          </cell>
          <cell r="R13">
            <v>16515.466666666667</v>
          </cell>
          <cell r="S13">
            <v>149114.33333333334</v>
          </cell>
          <cell r="U13"/>
        </row>
        <row r="14">
          <cell r="G14">
            <v>11456.2</v>
          </cell>
          <cell r="H14">
            <v>10301.799999999999</v>
          </cell>
          <cell r="I14">
            <v>0</v>
          </cell>
          <cell r="J14">
            <v>0</v>
          </cell>
          <cell r="K14">
            <v>19881.599999999999</v>
          </cell>
          <cell r="L14">
            <v>19216.599999999999</v>
          </cell>
          <cell r="M14">
            <v>19635.599999999999</v>
          </cell>
          <cell r="N14">
            <v>19582.333333333332</v>
          </cell>
          <cell r="O14">
            <v>15772.133333333333</v>
          </cell>
          <cell r="P14">
            <v>19898.866666666665</v>
          </cell>
          <cell r="Q14">
            <v>19953.733333333334</v>
          </cell>
          <cell r="R14">
            <v>19815.466666666667</v>
          </cell>
          <cell r="S14">
            <v>175514.33333333334</v>
          </cell>
          <cell r="U14"/>
        </row>
        <row r="15"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7000</v>
          </cell>
          <cell r="L15">
            <v>7000</v>
          </cell>
          <cell r="M15">
            <v>7000</v>
          </cell>
          <cell r="N15">
            <v>7000</v>
          </cell>
          <cell r="O15">
            <v>7000</v>
          </cell>
          <cell r="P15">
            <v>7000</v>
          </cell>
          <cell r="Q15">
            <v>7000</v>
          </cell>
          <cell r="R15">
            <v>6311</v>
          </cell>
          <cell r="S15">
            <v>55311</v>
          </cell>
          <cell r="U15"/>
        </row>
        <row r="16"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U16"/>
        </row>
        <row r="17">
          <cell r="G17">
            <v>915.60000000000014</v>
          </cell>
          <cell r="H17">
            <v>836</v>
          </cell>
          <cell r="I17">
            <v>0</v>
          </cell>
          <cell r="J17">
            <v>0</v>
          </cell>
          <cell r="K17">
            <v>1215.0666666666666</v>
          </cell>
          <cell r="L17">
            <v>996.66666666666663</v>
          </cell>
          <cell r="M17">
            <v>1033.0666666666666</v>
          </cell>
          <cell r="N17">
            <v>1033.0666666666666</v>
          </cell>
          <cell r="O17">
            <v>758.73333333333335</v>
          </cell>
          <cell r="P17">
            <v>1218.5333333333333</v>
          </cell>
          <cell r="Q17">
            <v>1218.5333333333333</v>
          </cell>
          <cell r="R17">
            <v>1142.2666666666669</v>
          </cell>
          <cell r="S17">
            <v>10367.533333333333</v>
          </cell>
          <cell r="U17"/>
        </row>
        <row r="18"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U18"/>
        </row>
        <row r="19"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U19"/>
        </row>
        <row r="20"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548.56255999999996</v>
          </cell>
          <cell r="L20">
            <v>475.87349333333333</v>
          </cell>
          <cell r="M20">
            <v>426.23082666666664</v>
          </cell>
          <cell r="N20">
            <v>542.13</v>
          </cell>
          <cell r="O20">
            <v>687.03</v>
          </cell>
          <cell r="P20">
            <v>687.03</v>
          </cell>
          <cell r="Q20">
            <v>687.03</v>
          </cell>
          <cell r="R20">
            <v>687.03</v>
          </cell>
          <cell r="S20">
            <v>4740.9168799999989</v>
          </cell>
          <cell r="U20"/>
        </row>
        <row r="21"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580.79999999999995</v>
          </cell>
          <cell r="L21">
            <v>548.5333333333333</v>
          </cell>
          <cell r="M21">
            <v>516.26666666666665</v>
          </cell>
          <cell r="N21">
            <v>419.46666666666664</v>
          </cell>
          <cell r="O21">
            <v>451.73333333333335</v>
          </cell>
          <cell r="P21">
            <v>548.5333333333333</v>
          </cell>
          <cell r="Q21">
            <v>516.26666666666665</v>
          </cell>
          <cell r="R21">
            <v>484</v>
          </cell>
          <cell r="S21">
            <v>4065.6000000000004</v>
          </cell>
          <cell r="U21"/>
        </row>
        <row r="22">
          <cell r="G22">
            <v>915.60000000000014</v>
          </cell>
          <cell r="H22">
            <v>836</v>
          </cell>
          <cell r="I22">
            <v>0</v>
          </cell>
          <cell r="J22">
            <v>0</v>
          </cell>
          <cell r="K22">
            <v>2344.4292266666662</v>
          </cell>
          <cell r="L22">
            <v>2021.0734933333333</v>
          </cell>
          <cell r="M22">
            <v>1975.5641599999999</v>
          </cell>
          <cell r="N22">
            <v>1994.6633333333334</v>
          </cell>
          <cell r="O22">
            <v>1897.4966666666667</v>
          </cell>
          <cell r="P22">
            <v>2454.0966666666664</v>
          </cell>
          <cell r="Q22">
            <v>2421.83</v>
          </cell>
          <cell r="R22">
            <v>2313.2966666666671</v>
          </cell>
          <cell r="S22">
            <v>19174.050213333332</v>
          </cell>
          <cell r="U22"/>
        </row>
        <row r="23">
          <cell r="G23">
            <v>915.60000000000014</v>
          </cell>
          <cell r="H23">
            <v>836</v>
          </cell>
          <cell r="I23">
            <v>0</v>
          </cell>
          <cell r="J23">
            <v>0</v>
          </cell>
          <cell r="K23">
            <v>9344.4292266666671</v>
          </cell>
          <cell r="L23">
            <v>9021.0734933333333</v>
          </cell>
          <cell r="M23">
            <v>8975.5641599999999</v>
          </cell>
          <cell r="N23">
            <v>8994.6633333333339</v>
          </cell>
          <cell r="O23">
            <v>8897.496666666666</v>
          </cell>
          <cell r="P23">
            <v>9454.0966666666664</v>
          </cell>
          <cell r="Q23">
            <v>9421.83</v>
          </cell>
          <cell r="R23">
            <v>8624.2966666666671</v>
          </cell>
          <cell r="S23">
            <v>74485.050213333336</v>
          </cell>
          <cell r="U23"/>
        </row>
        <row r="24"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22000</v>
          </cell>
          <cell r="L24">
            <v>22000</v>
          </cell>
          <cell r="M24">
            <v>22000</v>
          </cell>
          <cell r="N24">
            <v>22000</v>
          </cell>
          <cell r="O24">
            <v>22000</v>
          </cell>
          <cell r="P24">
            <v>22000</v>
          </cell>
          <cell r="Q24">
            <v>22000</v>
          </cell>
          <cell r="R24">
            <v>22000</v>
          </cell>
          <cell r="S24">
            <v>176000</v>
          </cell>
          <cell r="U24"/>
        </row>
        <row r="25"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32300</v>
          </cell>
          <cell r="L25">
            <v>32300</v>
          </cell>
          <cell r="M25">
            <v>32300</v>
          </cell>
          <cell r="N25">
            <v>32300</v>
          </cell>
          <cell r="O25">
            <v>32300</v>
          </cell>
          <cell r="P25">
            <v>32300</v>
          </cell>
          <cell r="Q25">
            <v>32300</v>
          </cell>
          <cell r="R25">
            <v>31611</v>
          </cell>
          <cell r="S25">
            <v>257711</v>
          </cell>
          <cell r="U25"/>
        </row>
        <row r="26"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U26"/>
        </row>
        <row r="27">
          <cell r="G27">
            <v>12371.800000000001</v>
          </cell>
          <cell r="H27">
            <v>11137.8</v>
          </cell>
          <cell r="I27">
            <v>0</v>
          </cell>
          <cell r="J27">
            <v>0</v>
          </cell>
          <cell r="K27">
            <v>15463.066666666666</v>
          </cell>
          <cell r="L27">
            <v>14636.666666666666</v>
          </cell>
          <cell r="M27">
            <v>15258.533333333333</v>
          </cell>
          <cell r="N27">
            <v>15263.733333333334</v>
          </cell>
          <cell r="O27">
            <v>11122.6</v>
          </cell>
          <cell r="P27">
            <v>15430.133333333333</v>
          </cell>
          <cell r="Q27">
            <v>15430.133333333333</v>
          </cell>
          <cell r="R27">
            <v>15272.4</v>
          </cell>
          <cell r="S27">
            <v>141386.86666666667</v>
          </cell>
          <cell r="U27"/>
        </row>
        <row r="28"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1328</v>
          </cell>
          <cell r="L28">
            <v>1328</v>
          </cell>
          <cell r="M28">
            <v>1217.3333333333333</v>
          </cell>
          <cell r="N28">
            <v>1328</v>
          </cell>
          <cell r="O28">
            <v>1328</v>
          </cell>
          <cell r="P28">
            <v>1438.6666666666667</v>
          </cell>
          <cell r="Q28">
            <v>1549.3333333333333</v>
          </cell>
          <cell r="R28">
            <v>1549.3333333333333</v>
          </cell>
          <cell r="S28">
            <v>11066.666666666668</v>
          </cell>
          <cell r="U28"/>
        </row>
        <row r="29"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U29"/>
        </row>
        <row r="30"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548.56255999999996</v>
          </cell>
          <cell r="L30">
            <v>475.87349333333333</v>
          </cell>
          <cell r="M30">
            <v>426.23082666666664</v>
          </cell>
          <cell r="N30">
            <v>542.13</v>
          </cell>
          <cell r="O30">
            <v>687.03</v>
          </cell>
          <cell r="P30">
            <v>687.03</v>
          </cell>
          <cell r="Q30">
            <v>687.03</v>
          </cell>
          <cell r="R30">
            <v>687.03</v>
          </cell>
          <cell r="S30">
            <v>4740.9168799999989</v>
          </cell>
          <cell r="U30"/>
        </row>
        <row r="31"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1586.4</v>
          </cell>
          <cell r="L31">
            <v>1497.1333333333332</v>
          </cell>
          <cell r="M31">
            <v>1409.0666666666666</v>
          </cell>
          <cell r="N31">
            <v>1143.1333333333332</v>
          </cell>
          <cell r="O31">
            <v>1232</v>
          </cell>
          <cell r="P31">
            <v>1497.1333333333332</v>
          </cell>
          <cell r="Q31">
            <v>1409.0666666666666</v>
          </cell>
          <cell r="R31">
            <v>1320</v>
          </cell>
          <cell r="S31">
            <v>11093.933333333334</v>
          </cell>
          <cell r="U31"/>
        </row>
        <row r="32">
          <cell r="G32">
            <v>12371.800000000001</v>
          </cell>
          <cell r="H32">
            <v>11137.8</v>
          </cell>
          <cell r="I32">
            <v>0</v>
          </cell>
          <cell r="J32">
            <v>0</v>
          </cell>
          <cell r="K32">
            <v>18926.029226666666</v>
          </cell>
          <cell r="L32">
            <v>17937.673493333336</v>
          </cell>
          <cell r="M32">
            <v>18311.164159999997</v>
          </cell>
          <cell r="N32">
            <v>18276.996666666666</v>
          </cell>
          <cell r="O32">
            <v>14369.630000000001</v>
          </cell>
          <cell r="P32">
            <v>19052.963333333333</v>
          </cell>
          <cell r="Q32">
            <v>19075.563333333332</v>
          </cell>
          <cell r="R32">
            <v>18828.763333333332</v>
          </cell>
          <cell r="S32">
            <v>168288.38354666665</v>
          </cell>
          <cell r="U32"/>
        </row>
        <row r="33">
          <cell r="G33">
            <v>12371.800000000001</v>
          </cell>
          <cell r="H33">
            <v>11137.8</v>
          </cell>
          <cell r="I33">
            <v>0</v>
          </cell>
          <cell r="J33">
            <v>0</v>
          </cell>
          <cell r="K33">
            <v>51226.029226666666</v>
          </cell>
          <cell r="L33">
            <v>50237.673493333336</v>
          </cell>
          <cell r="M33">
            <v>50611.16416</v>
          </cell>
          <cell r="N33">
            <v>50576.996666666666</v>
          </cell>
          <cell r="O33">
            <v>46669.630000000005</v>
          </cell>
          <cell r="P33">
            <v>51352.963333333333</v>
          </cell>
          <cell r="Q33">
            <v>51375.563333333332</v>
          </cell>
          <cell r="R33">
            <v>50439.763333333336</v>
          </cell>
          <cell r="S33">
            <v>425999.38354666665</v>
          </cell>
          <cell r="U33"/>
        </row>
        <row r="34"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11500</v>
          </cell>
          <cell r="L34">
            <v>11500</v>
          </cell>
          <cell r="M34">
            <v>11500</v>
          </cell>
          <cell r="N34">
            <v>11500</v>
          </cell>
          <cell r="O34">
            <v>11500</v>
          </cell>
          <cell r="P34">
            <v>11500</v>
          </cell>
          <cell r="Q34">
            <v>11500</v>
          </cell>
          <cell r="R34">
            <v>11500</v>
          </cell>
          <cell r="S34">
            <v>11500</v>
          </cell>
        </row>
        <row r="35"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</row>
        <row r="36">
          <cell r="G36">
            <v>16000</v>
          </cell>
          <cell r="H36">
            <v>16000</v>
          </cell>
          <cell r="I36">
            <v>0</v>
          </cell>
          <cell r="J36">
            <v>0</v>
          </cell>
          <cell r="K36">
            <v>16000</v>
          </cell>
          <cell r="L36">
            <v>16000</v>
          </cell>
          <cell r="M36">
            <v>16000</v>
          </cell>
          <cell r="N36">
            <v>16000</v>
          </cell>
          <cell r="O36">
            <v>16000</v>
          </cell>
          <cell r="P36">
            <v>16000</v>
          </cell>
          <cell r="Q36">
            <v>16000</v>
          </cell>
          <cell r="R36">
            <v>16000</v>
          </cell>
          <cell r="S36">
            <v>16000</v>
          </cell>
        </row>
        <row r="37"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10000</v>
          </cell>
          <cell r="L37">
            <v>10000</v>
          </cell>
          <cell r="M37">
            <v>10000</v>
          </cell>
          <cell r="N37">
            <v>10000</v>
          </cell>
          <cell r="O37">
            <v>10000</v>
          </cell>
          <cell r="P37">
            <v>10000</v>
          </cell>
          <cell r="Q37">
            <v>10000</v>
          </cell>
          <cell r="R37">
            <v>10000</v>
          </cell>
          <cell r="S37">
            <v>9999.9999999999982</v>
          </cell>
        </row>
        <row r="38"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</row>
        <row r="39"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</row>
        <row r="40"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10000</v>
          </cell>
          <cell r="L40">
            <v>10000</v>
          </cell>
          <cell r="M40">
            <v>10000</v>
          </cell>
          <cell r="N40">
            <v>10000</v>
          </cell>
          <cell r="O40">
            <v>10000</v>
          </cell>
          <cell r="P40">
            <v>10000</v>
          </cell>
          <cell r="Q40">
            <v>10000</v>
          </cell>
          <cell r="R40">
            <v>10000</v>
          </cell>
          <cell r="S40">
            <v>9999.9999999999982</v>
          </cell>
        </row>
        <row r="41">
          <cell r="G41">
            <v>16000</v>
          </cell>
          <cell r="H41">
            <v>16000</v>
          </cell>
          <cell r="I41">
            <v>0</v>
          </cell>
          <cell r="J41">
            <v>0</v>
          </cell>
          <cell r="K41">
            <v>15155.59415255464</v>
          </cell>
          <cell r="L41">
            <v>15141.801641053993</v>
          </cell>
          <cell r="M41">
            <v>15224.956536643895</v>
          </cell>
          <cell r="N41">
            <v>15243.965852560033</v>
          </cell>
          <cell r="O41">
            <v>14985.770945360857</v>
          </cell>
          <cell r="P41">
            <v>15137.073615467723</v>
          </cell>
          <cell r="Q41">
            <v>15120.149235806988</v>
          </cell>
          <cell r="R41">
            <v>15133.418371465939</v>
          </cell>
          <cell r="S41">
            <v>15271.900979785087</v>
          </cell>
        </row>
        <row r="42">
          <cell r="G42">
            <v>16000</v>
          </cell>
          <cell r="H42">
            <v>16000</v>
          </cell>
          <cell r="I42">
            <v>0</v>
          </cell>
          <cell r="J42">
            <v>0</v>
          </cell>
          <cell r="K42">
            <v>14548.829068083054</v>
          </cell>
          <cell r="L42">
            <v>14516.407689185393</v>
          </cell>
          <cell r="M42">
            <v>14598.932551080694</v>
          </cell>
          <cell r="N42">
            <v>14613.0355592626</v>
          </cell>
          <cell r="O42">
            <v>14256.443854562054</v>
          </cell>
          <cell r="P42">
            <v>14533.906453633877</v>
          </cell>
          <cell r="Q42">
            <v>14521.439596934242</v>
          </cell>
          <cell r="R42">
            <v>14528.321311298918</v>
          </cell>
          <cell r="S42">
            <v>14704.550245658949</v>
          </cell>
        </row>
        <row r="43"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15000</v>
          </cell>
          <cell r="L43">
            <v>15000</v>
          </cell>
          <cell r="M43">
            <v>15000</v>
          </cell>
          <cell r="N43">
            <v>15000</v>
          </cell>
          <cell r="O43">
            <v>15000</v>
          </cell>
          <cell r="P43">
            <v>15000</v>
          </cell>
          <cell r="Q43">
            <v>15000</v>
          </cell>
          <cell r="R43">
            <v>15000</v>
          </cell>
          <cell r="S43">
            <v>15000</v>
          </cell>
        </row>
        <row r="44"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3500</v>
          </cell>
          <cell r="U44">
            <v>3500</v>
          </cell>
        </row>
        <row r="45">
          <cell r="G45">
            <v>10500</v>
          </cell>
          <cell r="H45">
            <v>10500</v>
          </cell>
          <cell r="I45">
            <v>0</v>
          </cell>
          <cell r="J45">
            <v>0</v>
          </cell>
          <cell r="K45">
            <v>22000</v>
          </cell>
          <cell r="L45">
            <v>22000</v>
          </cell>
          <cell r="M45">
            <v>22000</v>
          </cell>
          <cell r="N45">
            <v>22000</v>
          </cell>
          <cell r="O45">
            <v>22000</v>
          </cell>
          <cell r="P45">
            <v>22000</v>
          </cell>
          <cell r="Q45">
            <v>22000</v>
          </cell>
          <cell r="R45">
            <v>22000</v>
          </cell>
          <cell r="S45">
            <v>20057.069183926746</v>
          </cell>
          <cell r="U45">
            <v>22000</v>
          </cell>
        </row>
        <row r="46"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3500</v>
          </cell>
          <cell r="U46">
            <v>3500</v>
          </cell>
        </row>
        <row r="47"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8000</v>
          </cell>
          <cell r="U47">
            <v>8000</v>
          </cell>
        </row>
        <row r="48"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15000</v>
          </cell>
          <cell r="L48">
            <v>15000</v>
          </cell>
          <cell r="M48">
            <v>15000</v>
          </cell>
          <cell r="N48">
            <v>15000</v>
          </cell>
          <cell r="O48">
            <v>15000</v>
          </cell>
          <cell r="P48">
            <v>15000</v>
          </cell>
          <cell r="Q48">
            <v>15000</v>
          </cell>
          <cell r="R48">
            <v>15000</v>
          </cell>
          <cell r="S48">
            <v>15000.000000000002</v>
          </cell>
          <cell r="T48">
            <v>5000</v>
          </cell>
          <cell r="U48">
            <v>20000</v>
          </cell>
        </row>
        <row r="49"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15000</v>
          </cell>
          <cell r="L49">
            <v>15000</v>
          </cell>
          <cell r="M49">
            <v>15000</v>
          </cell>
          <cell r="N49">
            <v>15000</v>
          </cell>
          <cell r="O49">
            <v>15000</v>
          </cell>
          <cell r="P49">
            <v>15000</v>
          </cell>
          <cell r="Q49">
            <v>15000</v>
          </cell>
          <cell r="R49">
            <v>15000</v>
          </cell>
          <cell r="S49">
            <v>14999.999999999998</v>
          </cell>
          <cell r="T49">
            <v>7000</v>
          </cell>
          <cell r="U49">
            <v>22000</v>
          </cell>
        </row>
        <row r="50">
          <cell r="G50">
            <v>10500</v>
          </cell>
          <cell r="H50">
            <v>10500</v>
          </cell>
          <cell r="I50">
            <v>0</v>
          </cell>
          <cell r="J50">
            <v>0</v>
          </cell>
          <cell r="K50">
            <v>18627.947719607568</v>
          </cell>
          <cell r="L50">
            <v>18451.960895870303</v>
          </cell>
          <cell r="M50">
            <v>18660.456497989246</v>
          </cell>
          <cell r="N50">
            <v>18625.407128019931</v>
          </cell>
          <cell r="O50">
            <v>17799.021166484261</v>
          </cell>
          <cell r="P50">
            <v>18475.712040682996</v>
          </cell>
          <cell r="Q50">
            <v>18522.019850003235</v>
          </cell>
          <cell r="R50">
            <v>18456.481298694936</v>
          </cell>
          <cell r="S50">
            <v>17734.390113199701</v>
          </cell>
        </row>
        <row r="51">
          <cell r="G51">
            <v>10500</v>
          </cell>
          <cell r="H51">
            <v>10500</v>
          </cell>
          <cell r="I51">
            <v>0</v>
          </cell>
          <cell r="J51">
            <v>0</v>
          </cell>
          <cell r="K51">
            <v>15910.217891360788</v>
          </cell>
          <cell r="L51">
            <v>15773.374329764909</v>
          </cell>
          <cell r="M51">
            <v>15805.683803018648</v>
          </cell>
          <cell r="N51">
            <v>15803.973022521872</v>
          </cell>
          <cell r="O51">
            <v>15596.924453282554</v>
          </cell>
          <cell r="P51">
            <v>15902.226160158438</v>
          </cell>
          <cell r="Q51">
            <v>15905.315987799966</v>
          </cell>
          <cell r="R51">
            <v>15927.132608688091</v>
          </cell>
          <cell r="S51">
            <v>15703.890689247974</v>
          </cell>
        </row>
        <row r="52"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9000</v>
          </cell>
          <cell r="L52">
            <v>9000</v>
          </cell>
          <cell r="M52">
            <v>9000</v>
          </cell>
          <cell r="N52">
            <v>9000</v>
          </cell>
          <cell r="O52">
            <v>9000</v>
          </cell>
          <cell r="P52">
            <v>9000</v>
          </cell>
          <cell r="Q52">
            <v>9000</v>
          </cell>
          <cell r="R52">
            <v>9000</v>
          </cell>
          <cell r="S52">
            <v>72000</v>
          </cell>
        </row>
        <row r="53"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10555.727554179568</v>
          </cell>
          <cell r="L53">
            <v>10555.727554179568</v>
          </cell>
          <cell r="M53">
            <v>10555.727554179568</v>
          </cell>
          <cell r="N53">
            <v>10555.727554179568</v>
          </cell>
          <cell r="O53">
            <v>10555.727554179568</v>
          </cell>
          <cell r="P53">
            <v>10555.727554179568</v>
          </cell>
          <cell r="Q53">
            <v>10555.727554179568</v>
          </cell>
          <cell r="R53">
            <v>10458.859257853279</v>
          </cell>
          <cell r="S53">
            <v>10543.845625526268</v>
          </cell>
        </row>
        <row r="54"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</row>
        <row r="55">
          <cell r="G55">
            <v>15592.961412243973</v>
          </cell>
          <cell r="H55">
            <v>15587.171613783692</v>
          </cell>
          <cell r="I55">
            <v>0</v>
          </cell>
          <cell r="J55">
            <v>0</v>
          </cell>
          <cell r="K55">
            <v>16471.471808093265</v>
          </cell>
          <cell r="L55">
            <v>16408.562969710772</v>
          </cell>
          <cell r="M55">
            <v>16406.225150516872</v>
          </cell>
          <cell r="N55">
            <v>16406.086759027934</v>
          </cell>
          <cell r="O55">
            <v>16409.292791253843</v>
          </cell>
          <cell r="P55">
            <v>16473.826106492925</v>
          </cell>
          <cell r="Q55">
            <v>16473.826106492925</v>
          </cell>
          <cell r="R55">
            <v>16448.75723527409</v>
          </cell>
          <cell r="S55">
            <v>16297.494392454177</v>
          </cell>
        </row>
        <row r="56"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10000</v>
          </cell>
          <cell r="L56">
            <v>10000</v>
          </cell>
          <cell r="M56">
            <v>10000</v>
          </cell>
          <cell r="N56">
            <v>10000</v>
          </cell>
          <cell r="O56">
            <v>10000</v>
          </cell>
          <cell r="P56">
            <v>10000</v>
          </cell>
          <cell r="Q56">
            <v>10000</v>
          </cell>
          <cell r="R56">
            <v>10000</v>
          </cell>
          <cell r="S56">
            <v>9999.9999999999982</v>
          </cell>
        </row>
        <row r="57"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</row>
        <row r="58"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15000</v>
          </cell>
          <cell r="L58">
            <v>15000.000000000002</v>
          </cell>
          <cell r="M58">
            <v>15000</v>
          </cell>
          <cell r="N58">
            <v>15000</v>
          </cell>
          <cell r="O58">
            <v>15000.000000000002</v>
          </cell>
          <cell r="P58">
            <v>15000.000000000002</v>
          </cell>
          <cell r="Q58">
            <v>15000.000000000002</v>
          </cell>
          <cell r="R58">
            <v>15000.000000000002</v>
          </cell>
          <cell r="S58">
            <v>15000.000000000002</v>
          </cell>
        </row>
        <row r="59"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11830.559757942512</v>
          </cell>
          <cell r="L59">
            <v>11831.945495836488</v>
          </cell>
          <cell r="M59">
            <v>11831.945495836488</v>
          </cell>
          <cell r="N59">
            <v>11834.723275208493</v>
          </cell>
          <cell r="O59">
            <v>11833.333333333334</v>
          </cell>
          <cell r="P59">
            <v>11831.945495836488</v>
          </cell>
          <cell r="Q59">
            <v>11831.945495836488</v>
          </cell>
          <cell r="R59">
            <v>11833.333333333334</v>
          </cell>
          <cell r="S59">
            <v>11832.352817455787</v>
          </cell>
        </row>
        <row r="60">
          <cell r="G60">
            <v>15592.961412243973</v>
          </cell>
          <cell r="H60">
            <v>15587.171613783692</v>
          </cell>
          <cell r="I60">
            <v>0</v>
          </cell>
          <cell r="J60">
            <v>0</v>
          </cell>
          <cell r="K60">
            <v>15585.725961526432</v>
          </cell>
          <cell r="L60">
            <v>15514.763894554017</v>
          </cell>
          <cell r="M60">
            <v>15595.60749777401</v>
          </cell>
          <cell r="N60">
            <v>15613.000057084508</v>
          </cell>
          <cell r="O60">
            <v>15357.258096879785</v>
          </cell>
          <cell r="P60">
            <v>15567.103384967764</v>
          </cell>
          <cell r="Q60">
            <v>15552.050101097935</v>
          </cell>
          <cell r="R60">
            <v>15541.688965587933</v>
          </cell>
          <cell r="S60">
            <v>15552.466336102665</v>
          </cell>
        </row>
        <row r="61">
          <cell r="G61">
            <v>15592.961412243973</v>
          </cell>
          <cell r="H61">
            <v>15587.171613783692</v>
          </cell>
          <cell r="I61">
            <v>0</v>
          </cell>
          <cell r="J61">
            <v>0</v>
          </cell>
          <cell r="K61">
            <v>12414.11670330332</v>
          </cell>
          <cell r="L61">
            <v>12326.382294531266</v>
          </cell>
          <cell r="M61">
            <v>12379.160595595094</v>
          </cell>
          <cell r="N61">
            <v>12383.272856784235</v>
          </cell>
          <cell r="O61">
            <v>12034.124047408703</v>
          </cell>
          <cell r="P61">
            <v>12415.046934324919</v>
          </cell>
          <cell r="Q61">
            <v>12410.84428660604</v>
          </cell>
          <cell r="R61">
            <v>12356.239247487878</v>
          </cell>
          <cell r="S61">
            <v>12522.469810762728</v>
          </cell>
        </row>
        <row r="62"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37950</v>
          </cell>
          <cell r="L62">
            <v>37950</v>
          </cell>
          <cell r="M62">
            <v>37950</v>
          </cell>
          <cell r="N62">
            <v>37950</v>
          </cell>
          <cell r="O62">
            <v>37950</v>
          </cell>
          <cell r="P62">
            <v>37950</v>
          </cell>
          <cell r="Q62">
            <v>37950</v>
          </cell>
          <cell r="R62">
            <v>37950</v>
          </cell>
          <cell r="S62">
            <v>303600</v>
          </cell>
        </row>
        <row r="63"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</row>
        <row r="64">
          <cell r="G64">
            <v>183299.20000000001</v>
          </cell>
          <cell r="H64">
            <v>164828.79999999999</v>
          </cell>
          <cell r="I64">
            <v>0</v>
          </cell>
          <cell r="J64">
            <v>0</v>
          </cell>
          <cell r="K64">
            <v>227968</v>
          </cell>
          <cell r="L64">
            <v>218240</v>
          </cell>
          <cell r="M64">
            <v>227607.46666666667</v>
          </cell>
          <cell r="N64">
            <v>227690.66666666666</v>
          </cell>
          <cell r="O64">
            <v>165821.86666666667</v>
          </cell>
          <cell r="P64">
            <v>227385.60000000001</v>
          </cell>
          <cell r="Q64">
            <v>227385.60000000001</v>
          </cell>
          <cell r="R64">
            <v>226082.13333333333</v>
          </cell>
          <cell r="S64">
            <v>2096309.3333333335</v>
          </cell>
        </row>
        <row r="65"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13280</v>
          </cell>
          <cell r="L65">
            <v>13280</v>
          </cell>
          <cell r="M65">
            <v>12173.333333333332</v>
          </cell>
          <cell r="N65">
            <v>13280</v>
          </cell>
          <cell r="O65">
            <v>13280</v>
          </cell>
          <cell r="P65">
            <v>14386.666666666668</v>
          </cell>
          <cell r="Q65">
            <v>15493.333333333332</v>
          </cell>
          <cell r="R65">
            <v>15493.333333333332</v>
          </cell>
          <cell r="S65">
            <v>110666.66666666666</v>
          </cell>
        </row>
        <row r="66"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</row>
        <row r="67"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</row>
        <row r="68"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10056</v>
          </cell>
          <cell r="L68">
            <v>9486</v>
          </cell>
          <cell r="M68">
            <v>8928</v>
          </cell>
          <cell r="N68">
            <v>7236.6666666666661</v>
          </cell>
          <cell r="O68">
            <v>7802.666666666667</v>
          </cell>
          <cell r="P68">
            <v>9486</v>
          </cell>
          <cell r="Q68">
            <v>8928</v>
          </cell>
          <cell r="R68">
            <v>8360</v>
          </cell>
          <cell r="S68">
            <v>70283.333333333328</v>
          </cell>
        </row>
        <row r="69">
          <cell r="G69">
            <v>183299.20000000001</v>
          </cell>
          <cell r="H69">
            <v>164828.79999999999</v>
          </cell>
          <cell r="I69">
            <v>0</v>
          </cell>
          <cell r="J69">
            <v>0</v>
          </cell>
          <cell r="K69">
            <v>251304</v>
          </cell>
          <cell r="L69">
            <v>241006</v>
          </cell>
          <cell r="M69">
            <v>248708.80000000002</v>
          </cell>
          <cell r="N69">
            <v>248207.33333333331</v>
          </cell>
          <cell r="O69">
            <v>186904.53333333333</v>
          </cell>
          <cell r="P69">
            <v>251258.26666666666</v>
          </cell>
          <cell r="Q69">
            <v>251806.93333333335</v>
          </cell>
          <cell r="R69">
            <v>249935.46666666667</v>
          </cell>
          <cell r="S69">
            <v>2277259.3333333335</v>
          </cell>
        </row>
        <row r="70">
          <cell r="G70">
            <v>183299.20000000001</v>
          </cell>
          <cell r="H70">
            <v>164828.79999999999</v>
          </cell>
          <cell r="I70">
            <v>0</v>
          </cell>
          <cell r="J70">
            <v>0</v>
          </cell>
          <cell r="K70">
            <v>289254</v>
          </cell>
          <cell r="L70">
            <v>278956</v>
          </cell>
          <cell r="M70">
            <v>286658.80000000005</v>
          </cell>
          <cell r="N70">
            <v>286157.33333333331</v>
          </cell>
          <cell r="O70">
            <v>224854.53333333333</v>
          </cell>
          <cell r="P70">
            <v>289208.26666666666</v>
          </cell>
          <cell r="Q70">
            <v>289756.93333333335</v>
          </cell>
          <cell r="R70">
            <v>287885.46666666667</v>
          </cell>
          <cell r="S70">
            <v>2580859.3333333335</v>
          </cell>
        </row>
        <row r="71"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105000</v>
          </cell>
          <cell r="L71">
            <v>105000</v>
          </cell>
          <cell r="M71">
            <v>105000</v>
          </cell>
          <cell r="N71">
            <v>105000</v>
          </cell>
          <cell r="O71">
            <v>105000</v>
          </cell>
          <cell r="P71">
            <v>105000</v>
          </cell>
          <cell r="Q71">
            <v>105000</v>
          </cell>
          <cell r="R71">
            <v>94665</v>
          </cell>
          <cell r="S71">
            <v>829665</v>
          </cell>
        </row>
        <row r="72"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73">
          <cell r="G73">
            <v>9613.8000000000011</v>
          </cell>
          <cell r="H73">
            <v>8778</v>
          </cell>
          <cell r="I73">
            <v>0</v>
          </cell>
          <cell r="J73">
            <v>0</v>
          </cell>
          <cell r="K73">
            <v>26731.466666666664</v>
          </cell>
          <cell r="L73">
            <v>21926.666666666664</v>
          </cell>
          <cell r="M73">
            <v>22727.466666666664</v>
          </cell>
          <cell r="N73">
            <v>22727.466666666664</v>
          </cell>
          <cell r="O73">
            <v>16692.133333333335</v>
          </cell>
          <cell r="P73">
            <v>26807.733333333334</v>
          </cell>
          <cell r="Q73">
            <v>26807.733333333334</v>
          </cell>
          <cell r="R73">
            <v>25129.866666666672</v>
          </cell>
          <cell r="S73">
            <v>207942.33333333331</v>
          </cell>
        </row>
        <row r="74"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</row>
        <row r="75"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</row>
        <row r="76"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8228.4383999999991</v>
          </cell>
          <cell r="L76">
            <v>7138.1024000000007</v>
          </cell>
          <cell r="M76">
            <v>6393.4623999999994</v>
          </cell>
          <cell r="N76">
            <v>8131.95</v>
          </cell>
          <cell r="O76">
            <v>10305.450000000001</v>
          </cell>
          <cell r="P76">
            <v>10305.450000000001</v>
          </cell>
          <cell r="Q76">
            <v>10305.450000000001</v>
          </cell>
          <cell r="R76">
            <v>10305.450000000001</v>
          </cell>
          <cell r="S76">
            <v>71113.753199999992</v>
          </cell>
        </row>
        <row r="77"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8712</v>
          </cell>
          <cell r="L77">
            <v>8228</v>
          </cell>
          <cell r="M77">
            <v>7744</v>
          </cell>
          <cell r="N77">
            <v>6292</v>
          </cell>
          <cell r="O77">
            <v>6776</v>
          </cell>
          <cell r="P77">
            <v>8228</v>
          </cell>
          <cell r="Q77">
            <v>7744</v>
          </cell>
          <cell r="R77">
            <v>7260</v>
          </cell>
          <cell r="S77">
            <v>60984</v>
          </cell>
        </row>
        <row r="78">
          <cell r="G78">
            <v>9613.8000000000011</v>
          </cell>
          <cell r="H78">
            <v>8778</v>
          </cell>
          <cell r="I78">
            <v>0</v>
          </cell>
          <cell r="J78">
            <v>0</v>
          </cell>
          <cell r="K78">
            <v>43671.905066666659</v>
          </cell>
          <cell r="L78">
            <v>37292.76906666666</v>
          </cell>
          <cell r="M78">
            <v>36864.929066666664</v>
          </cell>
          <cell r="N78">
            <v>37151.416666666664</v>
          </cell>
          <cell r="O78">
            <v>33773.583333333336</v>
          </cell>
          <cell r="P78">
            <v>45341.183333333334</v>
          </cell>
          <cell r="Q78">
            <v>44857.183333333334</v>
          </cell>
          <cell r="R78">
            <v>42695.316666666673</v>
          </cell>
          <cell r="S78">
            <v>340040.08653333329</v>
          </cell>
        </row>
        <row r="79">
          <cell r="G79">
            <v>9613.8000000000011</v>
          </cell>
          <cell r="H79">
            <v>8778</v>
          </cell>
          <cell r="I79">
            <v>0</v>
          </cell>
          <cell r="J79">
            <v>0</v>
          </cell>
          <cell r="K79">
            <v>148671.90506666666</v>
          </cell>
          <cell r="L79">
            <v>142292.76906666666</v>
          </cell>
          <cell r="M79">
            <v>141864.92906666666</v>
          </cell>
          <cell r="N79">
            <v>142151.41666666666</v>
          </cell>
          <cell r="O79">
            <v>138773.58333333334</v>
          </cell>
          <cell r="P79">
            <v>150341.18333333335</v>
          </cell>
          <cell r="Q79">
            <v>149857.18333333335</v>
          </cell>
          <cell r="R79">
            <v>137360.31666666668</v>
          </cell>
          <cell r="S79">
            <v>1169705.0865333332</v>
          </cell>
        </row>
        <row r="80"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198000</v>
          </cell>
          <cell r="L80">
            <v>198000</v>
          </cell>
          <cell r="M80">
            <v>198000</v>
          </cell>
          <cell r="N80">
            <v>198000</v>
          </cell>
          <cell r="O80">
            <v>198000</v>
          </cell>
          <cell r="P80">
            <v>198000</v>
          </cell>
          <cell r="Q80">
            <v>198000</v>
          </cell>
          <cell r="R80">
            <v>198000</v>
          </cell>
          <cell r="S80">
            <v>1584000</v>
          </cell>
        </row>
        <row r="81"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340950</v>
          </cell>
          <cell r="L81">
            <v>340950</v>
          </cell>
          <cell r="M81">
            <v>340950</v>
          </cell>
          <cell r="N81">
            <v>340950</v>
          </cell>
          <cell r="O81">
            <v>340950</v>
          </cell>
          <cell r="P81">
            <v>340950</v>
          </cell>
          <cell r="Q81">
            <v>340950</v>
          </cell>
          <cell r="R81">
            <v>330615</v>
          </cell>
          <cell r="S81">
            <v>2717265</v>
          </cell>
        </row>
        <row r="82"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</row>
        <row r="83">
          <cell r="G83">
            <v>192913</v>
          </cell>
          <cell r="H83">
            <v>173606.8</v>
          </cell>
          <cell r="I83">
            <v>0</v>
          </cell>
          <cell r="J83">
            <v>0</v>
          </cell>
          <cell r="K83">
            <v>254699.46666666667</v>
          </cell>
          <cell r="L83">
            <v>240166.66666666666</v>
          </cell>
          <cell r="M83">
            <v>250334.93333333335</v>
          </cell>
          <cell r="N83">
            <v>250418.13333333333</v>
          </cell>
          <cell r="O83">
            <v>182514</v>
          </cell>
          <cell r="P83">
            <v>254193.33333333334</v>
          </cell>
          <cell r="Q83">
            <v>254193.33333333334</v>
          </cell>
          <cell r="R83">
            <v>251212</v>
          </cell>
          <cell r="S83">
            <v>2304251.6666666665</v>
          </cell>
        </row>
        <row r="84"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13280</v>
          </cell>
          <cell r="L84">
            <v>13280</v>
          </cell>
          <cell r="M84">
            <v>12173.333333333332</v>
          </cell>
          <cell r="N84">
            <v>13280</v>
          </cell>
          <cell r="O84">
            <v>13280</v>
          </cell>
          <cell r="P84">
            <v>14386.666666666668</v>
          </cell>
          <cell r="Q84">
            <v>15493.333333333332</v>
          </cell>
          <cell r="R84">
            <v>15493.333333333332</v>
          </cell>
          <cell r="S84">
            <v>110666.66666666666</v>
          </cell>
        </row>
        <row r="85"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</row>
        <row r="86"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8228.4383999999991</v>
          </cell>
          <cell r="L86">
            <v>7138.1024000000007</v>
          </cell>
          <cell r="M86">
            <v>6393.4623999999994</v>
          </cell>
          <cell r="N86">
            <v>8131.95</v>
          </cell>
          <cell r="O86">
            <v>10305.450000000001</v>
          </cell>
          <cell r="P86">
            <v>10305.450000000001</v>
          </cell>
          <cell r="Q86">
            <v>10305.450000000001</v>
          </cell>
          <cell r="R86">
            <v>10305.450000000001</v>
          </cell>
          <cell r="S86">
            <v>71113.753199999992</v>
          </cell>
        </row>
        <row r="87"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18768</v>
          </cell>
          <cell r="L87">
            <v>17714</v>
          </cell>
          <cell r="M87">
            <v>16672</v>
          </cell>
          <cell r="N87">
            <v>13528.666666666666</v>
          </cell>
          <cell r="O87">
            <v>14578.666666666668</v>
          </cell>
          <cell r="P87">
            <v>17714</v>
          </cell>
          <cell r="Q87">
            <v>16672</v>
          </cell>
          <cell r="R87">
            <v>15620</v>
          </cell>
          <cell r="S87">
            <v>131267.33333333334</v>
          </cell>
        </row>
        <row r="88">
          <cell r="G88">
            <v>192913</v>
          </cell>
          <cell r="H88">
            <v>173606.8</v>
          </cell>
          <cell r="I88">
            <v>0</v>
          </cell>
          <cell r="J88">
            <v>0</v>
          </cell>
          <cell r="K88">
            <v>294975.90506666666</v>
          </cell>
          <cell r="L88">
            <v>278298.76906666666</v>
          </cell>
          <cell r="M88">
            <v>285573.72906666668</v>
          </cell>
          <cell r="N88">
            <v>285358.75</v>
          </cell>
          <cell r="O88">
            <v>220678.11666666667</v>
          </cell>
          <cell r="P88">
            <v>296599.45</v>
          </cell>
          <cell r="Q88">
            <v>296664.1166666667</v>
          </cell>
          <cell r="R88">
            <v>292630.78333333333</v>
          </cell>
          <cell r="S88">
            <v>2617299.4198666667</v>
          </cell>
        </row>
        <row r="89">
          <cell r="G89">
            <v>192913</v>
          </cell>
          <cell r="H89">
            <v>173606.8</v>
          </cell>
          <cell r="I89">
            <v>0</v>
          </cell>
          <cell r="J89">
            <v>0</v>
          </cell>
          <cell r="K89">
            <v>635925.90506666666</v>
          </cell>
          <cell r="L89">
            <v>619248.76906666672</v>
          </cell>
          <cell r="M89">
            <v>626523.72906666668</v>
          </cell>
          <cell r="N89">
            <v>626308.75</v>
          </cell>
          <cell r="O89">
            <v>561628.1166666667</v>
          </cell>
          <cell r="P89">
            <v>637549.44999999995</v>
          </cell>
          <cell r="Q89">
            <v>637614.1166666667</v>
          </cell>
          <cell r="R89">
            <v>623245.78333333333</v>
          </cell>
          <cell r="S89">
            <v>5334564.4198666662</v>
          </cell>
        </row>
        <row r="90"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33679.403189772958</v>
          </cell>
          <cell r="L90">
            <v>32212.10621767243</v>
          </cell>
          <cell r="M90">
            <v>36788.620455554446</v>
          </cell>
          <cell r="N90">
            <v>31237.513971272445</v>
          </cell>
          <cell r="O90">
            <v>36652.559748170279</v>
          </cell>
          <cell r="P90">
            <v>31401.992510785971</v>
          </cell>
          <cell r="Q90">
            <v>34972.707128142429</v>
          </cell>
          <cell r="R90">
            <v>33343.426670849432</v>
          </cell>
          <cell r="S90">
            <v>270288.32989222038</v>
          </cell>
        </row>
        <row r="91"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</row>
        <row r="92">
          <cell r="G92">
            <v>102483.09749801969</v>
          </cell>
          <cell r="H92">
            <v>72595.243094506994</v>
          </cell>
          <cell r="I92">
            <v>0</v>
          </cell>
          <cell r="J92">
            <v>0</v>
          </cell>
          <cell r="K92">
            <v>145413.37474178334</v>
          </cell>
          <cell r="L92">
            <v>133143.37236637939</v>
          </cell>
          <cell r="M92">
            <v>158586.45272822463</v>
          </cell>
          <cell r="N92">
            <v>134706.25721833971</v>
          </cell>
          <cell r="O92">
            <v>115109.77037032436</v>
          </cell>
          <cell r="P92">
            <v>135234.10811099573</v>
          </cell>
          <cell r="Q92">
            <v>150611.55291585124</v>
          </cell>
          <cell r="R92">
            <v>142771.83777252282</v>
          </cell>
          <cell r="S92">
            <v>1290655.0668169481</v>
          </cell>
        </row>
        <row r="93"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13553.408313944996</v>
          </cell>
          <cell r="L93">
            <v>12962.932441536057</v>
          </cell>
          <cell r="M93">
            <v>13570.913323604529</v>
          </cell>
          <cell r="N93">
            <v>12570.732895106003</v>
          </cell>
          <cell r="O93">
            <v>14749.878589566708</v>
          </cell>
          <cell r="P93">
            <v>13689.999967328511</v>
          </cell>
          <cell r="Q93">
            <v>16419.509366828894</v>
          </cell>
          <cell r="R93">
            <v>15654.570420819005</v>
          </cell>
          <cell r="S93">
            <v>113171.9453187347</v>
          </cell>
        </row>
        <row r="94"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</row>
        <row r="95"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</row>
        <row r="96"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10263.032681101722</v>
          </cell>
          <cell r="L96">
            <v>9259.5163509345675</v>
          </cell>
          <cell r="M96">
            <v>9952.9940432481853</v>
          </cell>
          <cell r="N96">
            <v>6850.1659425891394</v>
          </cell>
          <cell r="O96">
            <v>8666.2941271229301</v>
          </cell>
          <cell r="P96">
            <v>9026.645483555023</v>
          </cell>
          <cell r="Q96">
            <v>9461.7069466683533</v>
          </cell>
          <cell r="R96">
            <v>8447.0014232818558</v>
          </cell>
          <cell r="S96">
            <v>71927.356998501768</v>
          </cell>
        </row>
        <row r="97">
          <cell r="G97">
            <v>102483.09749801969</v>
          </cell>
          <cell r="H97">
            <v>72595.243094506994</v>
          </cell>
          <cell r="I97">
            <v>0</v>
          </cell>
          <cell r="J97">
            <v>0</v>
          </cell>
          <cell r="K97">
            <v>169229.81573683006</v>
          </cell>
          <cell r="L97">
            <v>155365.82115885001</v>
          </cell>
          <cell r="M97">
            <v>182110.36009507734</v>
          </cell>
          <cell r="N97">
            <v>154127.15605603484</v>
          </cell>
          <cell r="O97">
            <v>138525.94308701399</v>
          </cell>
          <cell r="P97">
            <v>157950.75356187925</v>
          </cell>
          <cell r="Q97">
            <v>176492.76922934849</v>
          </cell>
          <cell r="R97">
            <v>166873.40961662368</v>
          </cell>
          <cell r="S97">
            <v>1475754.3691341847</v>
          </cell>
        </row>
        <row r="98">
          <cell r="G98">
            <v>102483.09749801969</v>
          </cell>
          <cell r="H98">
            <v>72595.243094506994</v>
          </cell>
          <cell r="I98">
            <v>0</v>
          </cell>
          <cell r="J98">
            <v>0</v>
          </cell>
          <cell r="K98">
            <v>202909.21892660303</v>
          </cell>
          <cell r="L98">
            <v>187577.92737652245</v>
          </cell>
          <cell r="M98">
            <v>218898.98055063179</v>
          </cell>
          <cell r="N98">
            <v>185364.67002730729</v>
          </cell>
          <cell r="O98">
            <v>175178.50283518428</v>
          </cell>
          <cell r="P98">
            <v>189352.74607266521</v>
          </cell>
          <cell r="Q98">
            <v>211465.47635749093</v>
          </cell>
          <cell r="R98">
            <v>200216.83628747312</v>
          </cell>
          <cell r="S98">
            <v>1746042.6990264051</v>
          </cell>
        </row>
        <row r="99">
          <cell r="G99">
            <v>8945.6449344476951</v>
          </cell>
          <cell r="H99">
            <v>7046.8503654222559</v>
          </cell>
          <cell r="I99">
            <v>0</v>
          </cell>
          <cell r="J99">
            <v>0</v>
          </cell>
          <cell r="K99">
            <v>10205.879754476653</v>
          </cell>
          <cell r="L99">
            <v>9761.2443083855851</v>
          </cell>
          <cell r="M99">
            <v>11148.06680471347</v>
          </cell>
          <cell r="N99">
            <v>9465.9133246280144</v>
          </cell>
          <cell r="O99">
            <v>11106.836287324328</v>
          </cell>
          <cell r="P99">
            <v>9515.755306298779</v>
          </cell>
          <cell r="Q99">
            <v>10597.790038831041</v>
          </cell>
          <cell r="R99">
            <v>10104.068688136191</v>
          </cell>
          <cell r="S99">
            <v>9948.1487686270921</v>
          </cell>
        </row>
        <row r="100"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71441.158281336582</v>
          </cell>
          <cell r="L100">
            <v>68328.710158699061</v>
          </cell>
          <cell r="M100">
            <v>78036.467632994274</v>
          </cell>
          <cell r="N100">
            <v>66261.393272396104</v>
          </cell>
          <cell r="O100">
            <v>77747.854011270305</v>
          </cell>
          <cell r="P100">
            <v>66610.287144091446</v>
          </cell>
          <cell r="Q100">
            <v>74184.530271817261</v>
          </cell>
          <cell r="R100">
            <v>63766.77749082751</v>
          </cell>
          <cell r="S100">
            <v>566377.17826343246</v>
          </cell>
        </row>
        <row r="101"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</row>
        <row r="102">
          <cell r="G102">
            <v>8190.6325019803116</v>
          </cell>
          <cell r="H102">
            <v>5891.1669054930062</v>
          </cell>
          <cell r="I102">
            <v>0</v>
          </cell>
          <cell r="J102">
            <v>0</v>
          </cell>
          <cell r="K102">
            <v>12400.824293672764</v>
          </cell>
          <cell r="L102">
            <v>9728.7068273576297</v>
          </cell>
          <cell r="M102">
            <v>11516.69621372266</v>
          </cell>
          <cell r="N102">
            <v>9778.9195252290465</v>
          </cell>
          <cell r="O102">
            <v>8427.1269190692146</v>
          </cell>
          <cell r="P102">
            <v>11595.265032568606</v>
          </cell>
          <cell r="Q102">
            <v>12913.760421983581</v>
          </cell>
          <cell r="R102">
            <v>11541.54086016837</v>
          </cell>
          <cell r="S102">
            <v>101984.6395012452</v>
          </cell>
        </row>
        <row r="103"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</row>
        <row r="104"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</row>
        <row r="105"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5598.5635251678841</v>
          </cell>
          <cell r="L105">
            <v>4645.1174283115643</v>
          </cell>
          <cell r="M105">
            <v>4751.6497299082466</v>
          </cell>
          <cell r="N105">
            <v>5131.7555906805856</v>
          </cell>
          <cell r="O105">
            <v>7630.7297344804338</v>
          </cell>
          <cell r="P105">
            <v>6537.6093680864496</v>
          </cell>
          <cell r="Q105">
            <v>7280.9996903780884</v>
          </cell>
          <cell r="R105">
            <v>6941.798310810208</v>
          </cell>
          <cell r="S105">
            <v>48518.223377823466</v>
          </cell>
        </row>
        <row r="106"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5927.5749614000397</v>
          </cell>
          <cell r="L106">
            <v>5354.3678779597712</v>
          </cell>
          <cell r="M106">
            <v>5755.3752890467395</v>
          </cell>
          <cell r="N106">
            <v>3970.6351092372975</v>
          </cell>
          <cell r="O106">
            <v>5017.3281788606437</v>
          </cell>
          <cell r="P106">
            <v>5219.708977348424</v>
          </cell>
          <cell r="Q106">
            <v>5471.2857373805045</v>
          </cell>
          <cell r="R106">
            <v>4890.3692450579174</v>
          </cell>
          <cell r="S106">
            <v>41606.645376291337</v>
          </cell>
        </row>
        <row r="107">
          <cell r="G107">
            <v>8190.6325019803116</v>
          </cell>
          <cell r="H107">
            <v>5891.1669054930062</v>
          </cell>
          <cell r="I107">
            <v>0</v>
          </cell>
          <cell r="J107">
            <v>0</v>
          </cell>
          <cell r="K107">
            <v>23926.96278024069</v>
          </cell>
          <cell r="L107">
            <v>19728.192133628967</v>
          </cell>
          <cell r="M107">
            <v>22023.721232677646</v>
          </cell>
          <cell r="N107">
            <v>18881.310225146928</v>
          </cell>
          <cell r="O107">
            <v>21075.18483241029</v>
          </cell>
          <cell r="P107">
            <v>23352.583378003481</v>
          </cell>
          <cell r="Q107">
            <v>25666.045849742175</v>
          </cell>
          <cell r="R107">
            <v>23373.708416036498</v>
          </cell>
          <cell r="S107">
            <v>192109.50825535998</v>
          </cell>
        </row>
        <row r="108">
          <cell r="G108">
            <v>8190.6325019803116</v>
          </cell>
          <cell r="H108">
            <v>5891.1669054930062</v>
          </cell>
          <cell r="I108">
            <v>0</v>
          </cell>
          <cell r="J108">
            <v>0</v>
          </cell>
          <cell r="K108">
            <v>95368.121061577272</v>
          </cell>
          <cell r="L108">
            <v>88056.902292328028</v>
          </cell>
          <cell r="M108">
            <v>100060.18886567192</v>
          </cell>
          <cell r="N108">
            <v>85142.703497543029</v>
          </cell>
          <cell r="O108">
            <v>98823.038843680595</v>
          </cell>
          <cell r="P108">
            <v>89962.87052209492</v>
          </cell>
          <cell r="Q108">
            <v>99850.576121559439</v>
          </cell>
          <cell r="R108">
            <v>87140.485906864007</v>
          </cell>
          <cell r="S108">
            <v>758486.68651879241</v>
          </cell>
        </row>
        <row r="109">
          <cell r="G109">
            <v>8945.6449344476951</v>
          </cell>
          <cell r="H109">
            <v>7046.8503654222559</v>
          </cell>
          <cell r="I109">
            <v>0</v>
          </cell>
          <cell r="J109">
            <v>0</v>
          </cell>
          <cell r="K109">
            <v>10205.879754476653</v>
          </cell>
          <cell r="L109">
            <v>9761.2443083855815</v>
          </cell>
          <cell r="M109">
            <v>11148.066804713468</v>
          </cell>
          <cell r="N109">
            <v>9465.9133246280144</v>
          </cell>
          <cell r="O109">
            <v>11106.83628732433</v>
          </cell>
          <cell r="P109">
            <v>9515.755306298779</v>
          </cell>
          <cell r="Q109">
            <v>10597.790038831039</v>
          </cell>
          <cell r="R109">
            <v>10104.068688136193</v>
          </cell>
          <cell r="S109">
            <v>10183.072768916762</v>
          </cell>
        </row>
        <row r="110"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156329.35459848633</v>
          </cell>
          <cell r="L110">
            <v>146547.37478448282</v>
          </cell>
          <cell r="M110">
            <v>177057.46970369629</v>
          </cell>
          <cell r="N110">
            <v>140050.09314181635</v>
          </cell>
          <cell r="O110">
            <v>176150.39832113523</v>
          </cell>
          <cell r="P110">
            <v>141146.61673857315</v>
          </cell>
          <cell r="Q110">
            <v>164951.38085428294</v>
          </cell>
          <cell r="R110">
            <v>154089.5111389962</v>
          </cell>
          <cell r="S110">
            <v>1256322.1992814692</v>
          </cell>
        </row>
        <row r="111"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7105.8797544766521</v>
          </cell>
          <cell r="L111">
            <v>6661.2443083855824</v>
          </cell>
          <cell r="M111">
            <v>8048.0668047134677</v>
          </cell>
          <cell r="N111">
            <v>6365.9133246280153</v>
          </cell>
          <cell r="O111">
            <v>8006.8362873243277</v>
          </cell>
          <cell r="P111">
            <v>6415.7553062987799</v>
          </cell>
          <cell r="Q111">
            <v>7497.7900388310427</v>
          </cell>
          <cell r="R111">
            <v>7004.0686881361908</v>
          </cell>
          <cell r="S111">
            <v>7138.1943140992571</v>
          </cell>
        </row>
        <row r="112"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261449.91606959587</v>
          </cell>
          <cell r="L112">
            <v>247088.1911608543</v>
          </cell>
          <cell r="M112">
            <v>291882.557792245</v>
          </cell>
          <cell r="N112">
            <v>237549.00038548489</v>
          </cell>
          <cell r="O112">
            <v>290550.81208057585</v>
          </cell>
          <cell r="P112">
            <v>239158.89639345056</v>
          </cell>
          <cell r="Q112">
            <v>274108.61825424264</v>
          </cell>
          <cell r="R112">
            <v>251199.71530067315</v>
          </cell>
          <cell r="S112">
            <v>2092987.7074371225</v>
          </cell>
        </row>
        <row r="113"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</row>
        <row r="114">
          <cell r="G114">
            <v>110673.73000000001</v>
          </cell>
          <cell r="H114">
            <v>78486.41</v>
          </cell>
          <cell r="I114">
            <v>0</v>
          </cell>
          <cell r="J114">
            <v>0</v>
          </cell>
          <cell r="K114">
            <v>157814.19903545611</v>
          </cell>
          <cell r="L114">
            <v>142872.07919373701</v>
          </cell>
          <cell r="M114">
            <v>170103.14894194729</v>
          </cell>
          <cell r="N114">
            <v>144485.17674356877</v>
          </cell>
          <cell r="O114">
            <v>123536.89728939357</v>
          </cell>
          <cell r="P114">
            <v>146829.37314356433</v>
          </cell>
          <cell r="Q114">
            <v>163525.31333783481</v>
          </cell>
          <cell r="R114">
            <v>154313.37863269119</v>
          </cell>
          <cell r="S114">
            <v>1392639.7063181931</v>
          </cell>
        </row>
        <row r="115"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13553.408313944996</v>
          </cell>
          <cell r="L115">
            <v>12962.932441536057</v>
          </cell>
          <cell r="M115">
            <v>13570.913323604529</v>
          </cell>
          <cell r="N115">
            <v>12570.732895106003</v>
          </cell>
          <cell r="O115">
            <v>14749.878589566708</v>
          </cell>
          <cell r="P115">
            <v>13689.999967328511</v>
          </cell>
          <cell r="Q115">
            <v>16419.509366828894</v>
          </cell>
          <cell r="R115">
            <v>15654.570420819005</v>
          </cell>
          <cell r="S115">
            <v>113171.9453187347</v>
          </cell>
        </row>
        <row r="116"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</row>
        <row r="117"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5598.5635251678841</v>
          </cell>
          <cell r="L117">
            <v>4645.1174283115643</v>
          </cell>
          <cell r="M117">
            <v>4751.6497299082466</v>
          </cell>
          <cell r="N117">
            <v>5131.7555906805856</v>
          </cell>
          <cell r="O117">
            <v>7630.7297344804338</v>
          </cell>
          <cell r="P117">
            <v>6537.6093680864496</v>
          </cell>
          <cell r="Q117">
            <v>7280.9996903780884</v>
          </cell>
          <cell r="R117">
            <v>6941.798310810208</v>
          </cell>
          <cell r="S117">
            <v>48518.223377823466</v>
          </cell>
        </row>
        <row r="118"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16190.607642501762</v>
          </cell>
          <cell r="L118">
            <v>14613.884228894338</v>
          </cell>
          <cell r="M118">
            <v>15708.369332294926</v>
          </cell>
          <cell r="N118">
            <v>10820.801051826436</v>
          </cell>
          <cell r="O118">
            <v>13683.622305983574</v>
          </cell>
          <cell r="P118">
            <v>14246.354460903447</v>
          </cell>
          <cell r="Q118">
            <v>14932.992684048859</v>
          </cell>
          <cell r="R118">
            <v>13337.370668339772</v>
          </cell>
          <cell r="S118">
            <v>113534.00237479311</v>
          </cell>
        </row>
        <row r="119">
          <cell r="G119">
            <v>110673.73000000001</v>
          </cell>
          <cell r="H119">
            <v>78486.41</v>
          </cell>
          <cell r="I119">
            <v>0</v>
          </cell>
          <cell r="J119">
            <v>0</v>
          </cell>
          <cell r="K119">
            <v>193156.77851707075</v>
          </cell>
          <cell r="L119">
            <v>175094.01329247895</v>
          </cell>
          <cell r="M119">
            <v>204134.081327755</v>
          </cell>
          <cell r="N119">
            <v>173008.46628118178</v>
          </cell>
          <cell r="O119">
            <v>159601.12791942427</v>
          </cell>
          <cell r="P119">
            <v>181303.33693988272</v>
          </cell>
          <cell r="Q119">
            <v>202158.81507909065</v>
          </cell>
          <cell r="R119">
            <v>190247.11803266019</v>
          </cell>
          <cell r="S119">
            <v>1667863.8773895444</v>
          </cell>
        </row>
        <row r="120">
          <cell r="G120">
            <v>110673.73000000001</v>
          </cell>
          <cell r="H120">
            <v>78486.41</v>
          </cell>
          <cell r="I120">
            <v>0</v>
          </cell>
          <cell r="J120">
            <v>0</v>
          </cell>
          <cell r="K120">
            <v>454606.69458666665</v>
          </cell>
          <cell r="L120">
            <v>422182.20445333328</v>
          </cell>
          <cell r="M120">
            <v>496016.63912000001</v>
          </cell>
          <cell r="N120">
            <v>410557.46666666667</v>
          </cell>
          <cell r="O120">
            <v>450151.94000000012</v>
          </cell>
          <cell r="P120">
            <v>420462.23333333328</v>
          </cell>
          <cell r="Q120">
            <v>476267.43333333329</v>
          </cell>
          <cell r="R120">
            <v>441446.83333333337</v>
          </cell>
          <cell r="S120">
            <v>3760851.5848266669</v>
          </cell>
        </row>
        <row r="121">
          <cell r="G121">
            <v>8945.6449344476951</v>
          </cell>
          <cell r="H121">
            <v>7046.8503654222568</v>
          </cell>
          <cell r="I121" t="e">
            <v>#DIV/0!</v>
          </cell>
          <cell r="J121" t="e">
            <v>#DIV/0!</v>
          </cell>
          <cell r="K121">
            <v>8874.5253428702727</v>
          </cell>
          <cell r="L121">
            <v>8403.6973668646879</v>
          </cell>
          <cell r="M121">
            <v>9800.538030540336</v>
          </cell>
          <cell r="N121">
            <v>8117.4742219766713</v>
          </cell>
          <cell r="O121">
            <v>9645.5005107175712</v>
          </cell>
          <cell r="P121">
            <v>8187.6917326874154</v>
          </cell>
          <cell r="Q121">
            <v>9270.3106775341766</v>
          </cell>
          <cell r="R121">
            <v>8751.9608372468574</v>
          </cell>
          <cell r="S121">
            <v>8828.3028804305286</v>
          </cell>
        </row>
        <row r="122"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4270.5968102270417</v>
          </cell>
          <cell r="L122">
            <v>5737.8937823275701</v>
          </cell>
          <cell r="M122">
            <v>1161.3795444455536</v>
          </cell>
          <cell r="N122">
            <v>6712.4860287275551</v>
          </cell>
          <cell r="O122">
            <v>1297.4402518297211</v>
          </cell>
          <cell r="P122">
            <v>6548.0074892140292</v>
          </cell>
          <cell r="Q122">
            <v>2977.2928718575713</v>
          </cell>
          <cell r="R122">
            <v>4606.5733291505676</v>
          </cell>
          <cell r="S122">
            <v>33311.67010777961</v>
          </cell>
        </row>
        <row r="123"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</row>
        <row r="124">
          <cell r="G124">
            <v>80816.10250198032</v>
          </cell>
          <cell r="H124">
            <v>92233.556905492995</v>
          </cell>
          <cell r="I124">
            <v>0</v>
          </cell>
          <cell r="J124">
            <v>0</v>
          </cell>
          <cell r="K124">
            <v>82554.625258216663</v>
          </cell>
          <cell r="L124">
            <v>85096.627633620607</v>
          </cell>
          <cell r="M124">
            <v>69021.013938442047</v>
          </cell>
          <cell r="N124">
            <v>92984.409448326944</v>
          </cell>
          <cell r="O124">
            <v>50712.096296342308</v>
          </cell>
          <cell r="P124">
            <v>92151.491889004275</v>
          </cell>
          <cell r="Q124">
            <v>76774.047084148769</v>
          </cell>
          <cell r="R124">
            <v>83310.295560810511</v>
          </cell>
          <cell r="S124">
            <v>805654.26651638537</v>
          </cell>
        </row>
        <row r="125"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-273.40831394499583</v>
          </cell>
          <cell r="L125">
            <v>317.06755846394299</v>
          </cell>
          <cell r="M125">
            <v>-1397.5799902711969</v>
          </cell>
          <cell r="N125">
            <v>709.26710489399738</v>
          </cell>
          <cell r="O125">
            <v>-1469.8785895667079</v>
          </cell>
          <cell r="P125">
            <v>696.66669933815683</v>
          </cell>
          <cell r="Q125">
            <v>-926.17603349556157</v>
          </cell>
          <cell r="R125">
            <v>-161.23708748567333</v>
          </cell>
          <cell r="S125">
            <v>-2505.2786520680384</v>
          </cell>
        </row>
        <row r="126"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</row>
        <row r="127"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</row>
        <row r="128"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-207.03268110172212</v>
          </cell>
          <cell r="L128">
            <v>226.48364906543247</v>
          </cell>
          <cell r="M128">
            <v>-1024.9940432481853</v>
          </cell>
          <cell r="N128">
            <v>386.50072407752668</v>
          </cell>
          <cell r="O128">
            <v>-863.62746045626318</v>
          </cell>
          <cell r="P128">
            <v>459.35451644497698</v>
          </cell>
          <cell r="Q128">
            <v>-533.70694666835334</v>
          </cell>
          <cell r="R128">
            <v>-87.00142328185575</v>
          </cell>
          <cell r="S128">
            <v>-1644.0236651684436</v>
          </cell>
        </row>
        <row r="129">
          <cell r="G129">
            <v>80816.10250198032</v>
          </cell>
          <cell r="H129">
            <v>92233.556905492995</v>
          </cell>
          <cell r="I129">
            <v>0</v>
          </cell>
          <cell r="J129">
            <v>0</v>
          </cell>
          <cell r="K129">
            <v>82074.18426316994</v>
          </cell>
          <cell r="L129">
            <v>85640.178841149973</v>
          </cell>
          <cell r="M129">
            <v>66598.439904922663</v>
          </cell>
          <cell r="N129">
            <v>94080.17727729847</v>
          </cell>
          <cell r="O129">
            <v>48378.590246319334</v>
          </cell>
          <cell r="P129">
            <v>93307.513104787402</v>
          </cell>
          <cell r="Q129">
            <v>75314.164103984862</v>
          </cell>
          <cell r="R129">
            <v>83062.057050042989</v>
          </cell>
          <cell r="S129">
            <v>801504.96419914893</v>
          </cell>
        </row>
        <row r="130">
          <cell r="G130">
            <v>80816.10250198032</v>
          </cell>
          <cell r="H130">
            <v>92233.556905492995</v>
          </cell>
          <cell r="I130">
            <v>0</v>
          </cell>
          <cell r="J130">
            <v>0</v>
          </cell>
          <cell r="K130">
            <v>86344.781073396982</v>
          </cell>
          <cell r="L130">
            <v>91378.07262347755</v>
          </cell>
          <cell r="M130">
            <v>67759.819449368224</v>
          </cell>
          <cell r="N130">
            <v>100792.66330602602</v>
          </cell>
          <cell r="O130">
            <v>49676.030498149055</v>
          </cell>
          <cell r="P130">
            <v>99855.520594001428</v>
          </cell>
          <cell r="Q130">
            <v>78291.456975842433</v>
          </cell>
          <cell r="R130">
            <v>87668.63037919355</v>
          </cell>
          <cell r="S130">
            <v>834816.63430692849</v>
          </cell>
        </row>
        <row r="131"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33558.841718663418</v>
          </cell>
          <cell r="L131">
            <v>36671.289841300939</v>
          </cell>
          <cell r="M131">
            <v>26963.532367005726</v>
          </cell>
          <cell r="N131">
            <v>38738.606727603896</v>
          </cell>
          <cell r="O131">
            <v>27252.145988729695</v>
          </cell>
          <cell r="P131">
            <v>38389.712855908554</v>
          </cell>
          <cell r="Q131">
            <v>30815.469728182739</v>
          </cell>
          <cell r="R131">
            <v>30898.22250917249</v>
          </cell>
          <cell r="S131">
            <v>263287.82173656748</v>
          </cell>
        </row>
        <row r="132"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</row>
        <row r="133">
          <cell r="G133">
            <v>1423.1674980196894</v>
          </cell>
          <cell r="H133">
            <v>2886.8330945069938</v>
          </cell>
          <cell r="I133">
            <v>0</v>
          </cell>
          <cell r="J133">
            <v>0</v>
          </cell>
          <cell r="K133">
            <v>14330.6423729939</v>
          </cell>
          <cell r="L133">
            <v>12197.959839309035</v>
          </cell>
          <cell r="M133">
            <v>11210.770452944003</v>
          </cell>
          <cell r="N133">
            <v>12948.547141437617</v>
          </cell>
          <cell r="O133">
            <v>8265.0064142641204</v>
          </cell>
          <cell r="P133">
            <v>15212.468300764727</v>
          </cell>
          <cell r="Q133">
            <v>13893.972911349752</v>
          </cell>
          <cell r="R133">
            <v>13588.325806498302</v>
          </cell>
          <cell r="S133">
            <v>105957.69383208815</v>
          </cell>
        </row>
        <row r="134"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</row>
        <row r="135"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</row>
        <row r="136"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2629.874874832115</v>
          </cell>
          <cell r="L136">
            <v>2492.9849716884364</v>
          </cell>
          <cell r="M136">
            <v>1641.8126700917528</v>
          </cell>
          <cell r="N136">
            <v>3000.1944093194143</v>
          </cell>
          <cell r="O136">
            <v>2674.720265519567</v>
          </cell>
          <cell r="P136">
            <v>3767.8406319135511</v>
          </cell>
          <cell r="Q136">
            <v>3024.4503096219123</v>
          </cell>
          <cell r="R136">
            <v>3363.6516891897927</v>
          </cell>
          <cell r="S136">
            <v>22595.529822176541</v>
          </cell>
        </row>
        <row r="137"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2784.4250385999603</v>
          </cell>
          <cell r="L137">
            <v>2873.6321220402288</v>
          </cell>
          <cell r="M137">
            <v>1988.6247109532605</v>
          </cell>
          <cell r="N137">
            <v>2321.3648907627025</v>
          </cell>
          <cell r="O137">
            <v>1758.6718211393563</v>
          </cell>
          <cell r="P137">
            <v>3008.291022651576</v>
          </cell>
          <cell r="Q137">
            <v>2272.7142626194955</v>
          </cell>
          <cell r="R137">
            <v>2369.6307549420826</v>
          </cell>
          <cell r="S137">
            <v>19377.354623708663</v>
          </cell>
        </row>
        <row r="138">
          <cell r="G138">
            <v>1423.1674980196894</v>
          </cell>
          <cell r="H138">
            <v>2886.8330945069938</v>
          </cell>
          <cell r="I138">
            <v>0</v>
          </cell>
          <cell r="J138">
            <v>0</v>
          </cell>
          <cell r="K138">
            <v>19744.942286425976</v>
          </cell>
          <cell r="L138">
            <v>17564.576933037701</v>
          </cell>
          <cell r="M138">
            <v>14841.207833989018</v>
          </cell>
          <cell r="N138">
            <v>18270.106441519732</v>
          </cell>
          <cell r="O138">
            <v>12698.398500923044</v>
          </cell>
          <cell r="P138">
            <v>21988.599955329853</v>
          </cell>
          <cell r="Q138">
            <v>19191.137483591159</v>
          </cell>
          <cell r="R138">
            <v>19321.608250630175</v>
          </cell>
          <cell r="S138">
            <v>147930.57827797334</v>
          </cell>
        </row>
        <row r="139">
          <cell r="G139">
            <v>1423.1674980196894</v>
          </cell>
          <cell r="H139">
            <v>2886.8330945069938</v>
          </cell>
          <cell r="I139">
            <v>0</v>
          </cell>
          <cell r="J139">
            <v>0</v>
          </cell>
          <cell r="K139">
            <v>53303.784005089394</v>
          </cell>
          <cell r="L139">
            <v>54235.86677433864</v>
          </cell>
          <cell r="M139">
            <v>41804.74020099474</v>
          </cell>
          <cell r="N139">
            <v>57008.713169123628</v>
          </cell>
          <cell r="O139">
            <v>39950.544489652741</v>
          </cell>
          <cell r="P139">
            <v>60378.312811238407</v>
          </cell>
          <cell r="Q139">
            <v>50006.607211773895</v>
          </cell>
          <cell r="R139">
            <v>50219.830759802666</v>
          </cell>
          <cell r="S139">
            <v>411218.40001454082</v>
          </cell>
        </row>
        <row r="140"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41670.64540151367</v>
          </cell>
          <cell r="L140">
            <v>51452.625215517182</v>
          </cell>
          <cell r="M140">
            <v>20942.53029630371</v>
          </cell>
          <cell r="N140">
            <v>57949.906858183647</v>
          </cell>
          <cell r="O140">
            <v>21849.601678864768</v>
          </cell>
          <cell r="P140">
            <v>56853.383261426847</v>
          </cell>
          <cell r="Q140">
            <v>33048.619145717064</v>
          </cell>
          <cell r="R140">
            <v>43910.488861003803</v>
          </cell>
          <cell r="S140">
            <v>327677.80071853066</v>
          </cell>
        </row>
        <row r="141"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79500.083930404129</v>
          </cell>
          <cell r="L141">
            <v>93861.808839145699</v>
          </cell>
          <cell r="M141">
            <v>49067.44220775499</v>
          </cell>
          <cell r="N141">
            <v>103400.99961451509</v>
          </cell>
          <cell r="O141">
            <v>50399.187919424185</v>
          </cell>
          <cell r="P141">
            <v>101791.10360654943</v>
          </cell>
          <cell r="Q141">
            <v>66841.381745757375</v>
          </cell>
          <cell r="R141">
            <v>79415.284699326861</v>
          </cell>
          <cell r="S141">
            <v>624277.29256287776</v>
          </cell>
        </row>
        <row r="142"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</row>
        <row r="143">
          <cell r="G143">
            <v>82239.27</v>
          </cell>
          <cell r="H143">
            <v>95120.389999999985</v>
          </cell>
          <cell r="I143">
            <v>0</v>
          </cell>
          <cell r="J143">
            <v>0</v>
          </cell>
          <cell r="K143">
            <v>96885.267631210561</v>
          </cell>
          <cell r="L143">
            <v>97294.587472929648</v>
          </cell>
          <cell r="M143">
            <v>80231.784391386056</v>
          </cell>
          <cell r="N143">
            <v>105932.95658976457</v>
          </cell>
          <cell r="O143">
            <v>58977.102710606428</v>
          </cell>
          <cell r="P143">
            <v>107363.960189769</v>
          </cell>
          <cell r="Q143">
            <v>90668.019995498529</v>
          </cell>
          <cell r="R143">
            <v>96898.621367308806</v>
          </cell>
          <cell r="S143">
            <v>911611.96034847363</v>
          </cell>
        </row>
        <row r="144"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-273.40831394499583</v>
          </cell>
          <cell r="L144">
            <v>317.06755846394299</v>
          </cell>
          <cell r="M144">
            <v>-1397.5799902711969</v>
          </cell>
          <cell r="N144">
            <v>709.26710489399738</v>
          </cell>
          <cell r="O144">
            <v>-1469.8785895667079</v>
          </cell>
          <cell r="P144">
            <v>696.66669933815683</v>
          </cell>
          <cell r="Q144">
            <v>-926.17603349556157</v>
          </cell>
          <cell r="R144">
            <v>-161.23708748567333</v>
          </cell>
          <cell r="S144">
            <v>-2505.2786520680384</v>
          </cell>
        </row>
        <row r="145"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</row>
        <row r="146"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2629.874874832115</v>
          </cell>
          <cell r="L146">
            <v>2492.9849716884364</v>
          </cell>
          <cell r="M146">
            <v>1641.8126700917528</v>
          </cell>
          <cell r="N146">
            <v>3000.1944093194143</v>
          </cell>
          <cell r="O146">
            <v>2674.720265519567</v>
          </cell>
          <cell r="P146">
            <v>3767.8406319135511</v>
          </cell>
          <cell r="Q146">
            <v>3024.4503096219123</v>
          </cell>
          <cell r="R146">
            <v>3363.6516891897927</v>
          </cell>
          <cell r="S146">
            <v>22595.529822176541</v>
          </cell>
        </row>
        <row r="147"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2577.3923574982382</v>
          </cell>
          <cell r="L147">
            <v>3100.1157711056612</v>
          </cell>
          <cell r="M147">
            <v>963.63066770507521</v>
          </cell>
          <cell r="N147">
            <v>2707.8656148402292</v>
          </cell>
          <cell r="O147">
            <v>895.04436068309315</v>
          </cell>
          <cell r="P147">
            <v>3467.645539096553</v>
          </cell>
          <cell r="Q147">
            <v>1739.0073159511421</v>
          </cell>
          <cell r="R147">
            <v>2282.6293316602269</v>
          </cell>
          <cell r="S147">
            <v>17733.33095854022</v>
          </cell>
        </row>
        <row r="148">
          <cell r="G148">
            <v>82239.27</v>
          </cell>
          <cell r="H148">
            <v>95120.389999999985</v>
          </cell>
          <cell r="I148">
            <v>0</v>
          </cell>
          <cell r="J148">
            <v>0</v>
          </cell>
          <cell r="K148">
            <v>101819.12654959591</v>
          </cell>
          <cell r="L148">
            <v>103204.75577418768</v>
          </cell>
          <cell r="M148">
            <v>81439.647738911677</v>
          </cell>
          <cell r="N148">
            <v>112350.2837188182</v>
          </cell>
          <cell r="O148">
            <v>61076.98874724238</v>
          </cell>
          <cell r="P148">
            <v>115296.11306011726</v>
          </cell>
          <cell r="Q148">
            <v>94505.301587576017</v>
          </cell>
          <cell r="R148">
            <v>102383.66530067315</v>
          </cell>
          <cell r="S148">
            <v>949435.54247712239</v>
          </cell>
        </row>
        <row r="149">
          <cell r="G149">
            <v>82239.27</v>
          </cell>
          <cell r="H149">
            <v>95120.389999999985</v>
          </cell>
          <cell r="I149">
            <v>0</v>
          </cell>
          <cell r="J149">
            <v>0</v>
          </cell>
          <cell r="K149">
            <v>181319.21048000004</v>
          </cell>
          <cell r="L149">
            <v>197066.56461333338</v>
          </cell>
          <cell r="M149">
            <v>130507.08994666667</v>
          </cell>
          <cell r="N149">
            <v>215751.2833333333</v>
          </cell>
          <cell r="O149">
            <v>111476.17666666656</v>
          </cell>
          <cell r="P149">
            <v>217087.21666666667</v>
          </cell>
          <cell r="Q149">
            <v>161346.68333333341</v>
          </cell>
          <cell r="R149">
            <v>181798.95</v>
          </cell>
          <cell r="S149">
            <v>1573712.8350400003</v>
          </cell>
          <cell r="T149">
            <v>1573712.8350399998</v>
          </cell>
        </row>
        <row r="150">
          <cell r="G150">
            <v>0</v>
          </cell>
          <cell r="H150">
            <v>0</v>
          </cell>
          <cell r="I150">
            <v>38227.43</v>
          </cell>
          <cell r="J150">
            <v>38227.43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76454.86</v>
          </cell>
        </row>
        <row r="151">
          <cell r="G151"/>
          <cell r="H151"/>
          <cell r="I151">
            <v>41897.1</v>
          </cell>
          <cell r="J151">
            <v>44590.06</v>
          </cell>
          <cell r="K151"/>
          <cell r="L151"/>
          <cell r="M151"/>
          <cell r="N151"/>
          <cell r="O151"/>
          <cell r="P151"/>
          <cell r="Q151"/>
          <cell r="R151"/>
          <cell r="S151">
            <v>86487.16</v>
          </cell>
          <cell r="T151"/>
        </row>
        <row r="152">
          <cell r="G152">
            <v>0</v>
          </cell>
          <cell r="H152">
            <v>0</v>
          </cell>
          <cell r="I152">
            <v>80124.53</v>
          </cell>
          <cell r="J152">
            <v>82817.489999999991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162942.01999999999</v>
          </cell>
        </row>
        <row r="153"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4270.5968102270417</v>
          </cell>
          <cell r="L153">
            <v>5737.8937823275701</v>
          </cell>
          <cell r="M153">
            <v>1161.3795444455536</v>
          </cell>
          <cell r="N153">
            <v>6712.4860287275551</v>
          </cell>
          <cell r="O153">
            <v>1297.4402518297211</v>
          </cell>
          <cell r="P153">
            <v>6548.0074892140292</v>
          </cell>
          <cell r="Q153">
            <v>2977.2928718575713</v>
          </cell>
          <cell r="R153">
            <v>4606.5733291505676</v>
          </cell>
          <cell r="S153">
            <v>33311.67010777961</v>
          </cell>
        </row>
        <row r="154"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</row>
        <row r="155">
          <cell r="G155">
            <v>80816.10250198032</v>
          </cell>
          <cell r="H155">
            <v>92233.556905492995</v>
          </cell>
          <cell r="I155">
            <v>0</v>
          </cell>
          <cell r="J155">
            <v>0</v>
          </cell>
          <cell r="K155">
            <v>82554.625258216663</v>
          </cell>
          <cell r="L155">
            <v>85096.627633620607</v>
          </cell>
          <cell r="M155">
            <v>69021.013938442047</v>
          </cell>
          <cell r="N155">
            <v>92984.409448326944</v>
          </cell>
          <cell r="O155">
            <v>50712.096296342308</v>
          </cell>
          <cell r="P155">
            <v>92151.491889004275</v>
          </cell>
          <cell r="Q155">
            <v>76774.047084148769</v>
          </cell>
          <cell r="R155">
            <v>83310.295560810511</v>
          </cell>
          <cell r="S155">
            <v>805654.26651638537</v>
          </cell>
        </row>
        <row r="156"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-273.40831394499583</v>
          </cell>
          <cell r="L156">
            <v>317.06755846394299</v>
          </cell>
          <cell r="M156">
            <v>-1397.5799902711969</v>
          </cell>
          <cell r="N156">
            <v>709.26710489399738</v>
          </cell>
          <cell r="O156">
            <v>-1469.8785895667079</v>
          </cell>
          <cell r="P156">
            <v>696.66669933815683</v>
          </cell>
          <cell r="Q156">
            <v>-926.17603349556157</v>
          </cell>
          <cell r="R156">
            <v>-161.23708748567333</v>
          </cell>
          <cell r="S156">
            <v>-2505.2786520680384</v>
          </cell>
        </row>
        <row r="157"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</row>
        <row r="158"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</row>
        <row r="159"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-207.03268110172212</v>
          </cell>
          <cell r="L159">
            <v>226.48364906543247</v>
          </cell>
          <cell r="M159">
            <v>-1024.9940432481853</v>
          </cell>
          <cell r="N159">
            <v>386.50072407752668</v>
          </cell>
          <cell r="O159">
            <v>-863.62746045626318</v>
          </cell>
          <cell r="P159">
            <v>459.35451644497698</v>
          </cell>
          <cell r="Q159">
            <v>-533.70694666835334</v>
          </cell>
          <cell r="R159">
            <v>-87.00142328185575</v>
          </cell>
          <cell r="S159">
            <v>-1644.0236651684436</v>
          </cell>
        </row>
        <row r="160">
          <cell r="G160">
            <v>80816.10250198032</v>
          </cell>
          <cell r="H160">
            <v>92233.556905492995</v>
          </cell>
          <cell r="I160">
            <v>0</v>
          </cell>
          <cell r="J160">
            <v>0</v>
          </cell>
          <cell r="K160">
            <v>82074.18426316994</v>
          </cell>
          <cell r="L160">
            <v>85640.178841149973</v>
          </cell>
          <cell r="M160">
            <v>66598.439904922663</v>
          </cell>
          <cell r="N160">
            <v>94080.17727729847</v>
          </cell>
          <cell r="O160">
            <v>48378.590246319334</v>
          </cell>
          <cell r="P160">
            <v>93307.513104787402</v>
          </cell>
          <cell r="Q160">
            <v>75314.164103984862</v>
          </cell>
          <cell r="R160">
            <v>83062.057050042989</v>
          </cell>
          <cell r="S160">
            <v>801504.96419914893</v>
          </cell>
        </row>
        <row r="161">
          <cell r="G161">
            <v>80816.10250198032</v>
          </cell>
          <cell r="H161">
            <v>92233.556905492995</v>
          </cell>
          <cell r="I161">
            <v>0</v>
          </cell>
          <cell r="J161">
            <v>0</v>
          </cell>
          <cell r="K161">
            <v>86344.781073396982</v>
          </cell>
          <cell r="L161">
            <v>91378.07262347755</v>
          </cell>
          <cell r="M161">
            <v>67759.819449368224</v>
          </cell>
          <cell r="N161">
            <v>100792.66330602602</v>
          </cell>
          <cell r="O161">
            <v>49676.030498149055</v>
          </cell>
          <cell r="P161">
            <v>99855.520594001428</v>
          </cell>
          <cell r="Q161">
            <v>78291.456975842433</v>
          </cell>
          <cell r="R161">
            <v>87668.63037919355</v>
          </cell>
          <cell r="S161">
            <v>834816.63430692849</v>
          </cell>
        </row>
        <row r="162"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33558.841718663418</v>
          </cell>
          <cell r="L162">
            <v>36671.289841300939</v>
          </cell>
          <cell r="M162">
            <v>26963.532367005726</v>
          </cell>
          <cell r="N162">
            <v>38738.606727603896</v>
          </cell>
          <cell r="O162">
            <v>27252.145988729695</v>
          </cell>
          <cell r="P162">
            <v>38389.712855908554</v>
          </cell>
          <cell r="Q162">
            <v>30815.469728182739</v>
          </cell>
          <cell r="R162">
            <v>30898.22250917249</v>
          </cell>
          <cell r="S162">
            <v>263287.82173656748</v>
          </cell>
        </row>
        <row r="163"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</row>
        <row r="164">
          <cell r="G164">
            <v>1423.1674980196894</v>
          </cell>
          <cell r="H164">
            <v>2886.8330945069938</v>
          </cell>
          <cell r="I164">
            <v>0</v>
          </cell>
          <cell r="J164">
            <v>0</v>
          </cell>
          <cell r="K164">
            <v>14330.6423729939</v>
          </cell>
          <cell r="L164">
            <v>12197.959839309035</v>
          </cell>
          <cell r="M164">
            <v>11210.770452944003</v>
          </cell>
          <cell r="N164">
            <v>12948.547141437617</v>
          </cell>
          <cell r="O164">
            <v>8265.0064142641204</v>
          </cell>
          <cell r="P164">
            <v>15212.468300764727</v>
          </cell>
          <cell r="Q164">
            <v>13893.972911349752</v>
          </cell>
          <cell r="R164">
            <v>13588.325806498302</v>
          </cell>
          <cell r="S164">
            <v>105957.69383208815</v>
          </cell>
        </row>
        <row r="165"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</row>
        <row r="166"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</row>
        <row r="167"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2629.874874832115</v>
          </cell>
          <cell r="L167">
            <v>2492.9849716884364</v>
          </cell>
          <cell r="M167">
            <v>1641.8126700917528</v>
          </cell>
          <cell r="N167">
            <v>3000.1944093194143</v>
          </cell>
          <cell r="O167">
            <v>2674.720265519567</v>
          </cell>
          <cell r="P167">
            <v>3767.8406319135511</v>
          </cell>
          <cell r="Q167">
            <v>3024.4503096219123</v>
          </cell>
          <cell r="R167">
            <v>3363.6516891897927</v>
          </cell>
          <cell r="S167">
            <v>22595.529822176541</v>
          </cell>
        </row>
        <row r="168"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2784.4250385999603</v>
          </cell>
          <cell r="L168">
            <v>2873.6321220402288</v>
          </cell>
          <cell r="M168">
            <v>1988.6247109532605</v>
          </cell>
          <cell r="N168">
            <v>2321.3648907627025</v>
          </cell>
          <cell r="O168">
            <v>1758.6718211393563</v>
          </cell>
          <cell r="P168">
            <v>3008.291022651576</v>
          </cell>
          <cell r="Q168">
            <v>2272.7142626194955</v>
          </cell>
          <cell r="R168">
            <v>2369.6307549420826</v>
          </cell>
          <cell r="S168">
            <v>19377.354623708663</v>
          </cell>
        </row>
        <row r="169">
          <cell r="G169">
            <v>1423.1674980196894</v>
          </cell>
          <cell r="H169">
            <v>2886.8330945069938</v>
          </cell>
          <cell r="I169">
            <v>0</v>
          </cell>
          <cell r="J169">
            <v>0</v>
          </cell>
          <cell r="K169">
            <v>19744.942286425976</v>
          </cell>
          <cell r="L169">
            <v>17564.576933037701</v>
          </cell>
          <cell r="M169">
            <v>14841.207833989018</v>
          </cell>
          <cell r="N169">
            <v>18270.106441519732</v>
          </cell>
          <cell r="O169">
            <v>12698.398500923044</v>
          </cell>
          <cell r="P169">
            <v>21988.599955329853</v>
          </cell>
          <cell r="Q169">
            <v>19191.137483591159</v>
          </cell>
          <cell r="R169">
            <v>19321.608250630175</v>
          </cell>
          <cell r="S169">
            <v>147930.57827797334</v>
          </cell>
        </row>
        <row r="170">
          <cell r="G170">
            <v>1423.1674980196894</v>
          </cell>
          <cell r="H170">
            <v>2886.8330945069938</v>
          </cell>
          <cell r="I170">
            <v>0</v>
          </cell>
          <cell r="J170">
            <v>0</v>
          </cell>
          <cell r="K170">
            <v>53303.784005089394</v>
          </cell>
          <cell r="L170">
            <v>54235.86677433864</v>
          </cell>
          <cell r="M170">
            <v>41804.74020099474</v>
          </cell>
          <cell r="N170">
            <v>57008.713169123628</v>
          </cell>
          <cell r="O170">
            <v>39950.544489652741</v>
          </cell>
          <cell r="P170">
            <v>60378.312811238407</v>
          </cell>
          <cell r="Q170">
            <v>50006.607211773895</v>
          </cell>
          <cell r="R170">
            <v>50219.830759802666</v>
          </cell>
          <cell r="S170">
            <v>411218.40001454082</v>
          </cell>
        </row>
        <row r="171"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41670.64540151367</v>
          </cell>
          <cell r="L171">
            <v>51452.625215517182</v>
          </cell>
          <cell r="M171">
            <v>20942.53029630371</v>
          </cell>
          <cell r="N171">
            <v>57949.906858183647</v>
          </cell>
          <cell r="O171">
            <v>21849.601678864768</v>
          </cell>
          <cell r="P171">
            <v>56853.383261426847</v>
          </cell>
          <cell r="Q171">
            <v>33048.619145717064</v>
          </cell>
          <cell r="R171">
            <v>43910.488861003803</v>
          </cell>
          <cell r="S171">
            <v>327677.80071853066</v>
          </cell>
        </row>
        <row r="172">
          <cell r="G172">
            <v>0</v>
          </cell>
          <cell r="H172">
            <v>0</v>
          </cell>
          <cell r="I172">
            <v>-80124.53</v>
          </cell>
          <cell r="J172">
            <v>-82817.489999999991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-162942.01999999999</v>
          </cell>
          <cell r="T172"/>
        </row>
        <row r="173"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79500.083930404129</v>
          </cell>
          <cell r="L173">
            <v>93861.808839145699</v>
          </cell>
          <cell r="M173">
            <v>49067.44220775499</v>
          </cell>
          <cell r="N173">
            <v>103400.99961451509</v>
          </cell>
          <cell r="O173">
            <v>50399.187919424185</v>
          </cell>
          <cell r="P173">
            <v>101791.10360654943</v>
          </cell>
          <cell r="Q173">
            <v>66841.381745757375</v>
          </cell>
          <cell r="R173">
            <v>79415.284699326861</v>
          </cell>
          <cell r="S173">
            <v>624277.29256287776</v>
          </cell>
        </row>
        <row r="174"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</row>
        <row r="175">
          <cell r="G175">
            <v>82239.27</v>
          </cell>
          <cell r="H175">
            <v>95120.389999999985</v>
          </cell>
          <cell r="I175">
            <v>0</v>
          </cell>
          <cell r="J175">
            <v>0</v>
          </cell>
          <cell r="K175">
            <v>96885.267631210561</v>
          </cell>
          <cell r="L175">
            <v>97294.587472929648</v>
          </cell>
          <cell r="M175">
            <v>80231.784391386056</v>
          </cell>
          <cell r="N175">
            <v>105932.95658976457</v>
          </cell>
          <cell r="O175">
            <v>58977.102710606428</v>
          </cell>
          <cell r="P175">
            <v>107363.960189769</v>
          </cell>
          <cell r="Q175">
            <v>90668.019995498529</v>
          </cell>
          <cell r="R175">
            <v>96898.621367308806</v>
          </cell>
          <cell r="S175">
            <v>911611.96034847363</v>
          </cell>
        </row>
        <row r="176"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-273.40831394499583</v>
          </cell>
          <cell r="L176">
            <v>317.06755846394299</v>
          </cell>
          <cell r="M176">
            <v>-1397.5799902711969</v>
          </cell>
          <cell r="N176">
            <v>709.26710489399738</v>
          </cell>
          <cell r="O176">
            <v>-1469.8785895667079</v>
          </cell>
          <cell r="P176">
            <v>696.66669933815683</v>
          </cell>
          <cell r="Q176">
            <v>-926.17603349556157</v>
          </cell>
          <cell r="R176">
            <v>-161.23708748567333</v>
          </cell>
          <cell r="S176">
            <v>-2505.2786520680384</v>
          </cell>
        </row>
        <row r="177"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</row>
        <row r="178"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2629.874874832115</v>
          </cell>
          <cell r="L178">
            <v>2492.9849716884364</v>
          </cell>
          <cell r="M178">
            <v>1641.8126700917528</v>
          </cell>
          <cell r="N178">
            <v>3000.1944093194143</v>
          </cell>
          <cell r="O178">
            <v>2674.720265519567</v>
          </cell>
          <cell r="P178">
            <v>3767.8406319135511</v>
          </cell>
          <cell r="Q178">
            <v>3024.4503096219123</v>
          </cell>
          <cell r="R178">
            <v>3363.6516891897927</v>
          </cell>
          <cell r="S178">
            <v>22595.529822176541</v>
          </cell>
        </row>
        <row r="179"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2577.3923574982382</v>
          </cell>
          <cell r="L179">
            <v>3100.1157711056612</v>
          </cell>
          <cell r="M179">
            <v>963.63066770507521</v>
          </cell>
          <cell r="N179">
            <v>2707.8656148402292</v>
          </cell>
          <cell r="O179">
            <v>895.04436068309315</v>
          </cell>
          <cell r="P179">
            <v>3467.645539096553</v>
          </cell>
          <cell r="Q179">
            <v>1739.0073159511421</v>
          </cell>
          <cell r="R179">
            <v>2282.6293316602269</v>
          </cell>
          <cell r="S179">
            <v>17733.33095854022</v>
          </cell>
        </row>
        <row r="180">
          <cell r="G180">
            <v>82239.27</v>
          </cell>
          <cell r="H180">
            <v>95120.389999999985</v>
          </cell>
          <cell r="I180">
            <v>0</v>
          </cell>
          <cell r="J180">
            <v>0</v>
          </cell>
          <cell r="K180">
            <v>101819.12654959591</v>
          </cell>
          <cell r="L180">
            <v>103204.75577418768</v>
          </cell>
          <cell r="M180">
            <v>81439.647738911677</v>
          </cell>
          <cell r="N180">
            <v>112350.2837188182</v>
          </cell>
          <cell r="O180">
            <v>61076.98874724238</v>
          </cell>
          <cell r="P180">
            <v>115296.11306011726</v>
          </cell>
          <cell r="Q180">
            <v>94505.301587576017</v>
          </cell>
          <cell r="R180">
            <v>102383.66530067315</v>
          </cell>
          <cell r="S180">
            <v>949435.54247712239</v>
          </cell>
        </row>
        <row r="181">
          <cell r="G181">
            <v>0</v>
          </cell>
          <cell r="H181">
            <v>0</v>
          </cell>
          <cell r="I181">
            <v>-80124.53</v>
          </cell>
          <cell r="J181">
            <v>-82817.489999999991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-162942.01999999999</v>
          </cell>
          <cell r="T181"/>
        </row>
        <row r="182">
          <cell r="G182">
            <v>82239.27</v>
          </cell>
          <cell r="H182">
            <v>95120.389999999985</v>
          </cell>
          <cell r="I182">
            <v>-80124.53</v>
          </cell>
          <cell r="J182">
            <v>-82817.489999999991</v>
          </cell>
          <cell r="K182">
            <v>181319.21048000004</v>
          </cell>
          <cell r="L182">
            <v>197066.56461333338</v>
          </cell>
          <cell r="M182">
            <v>130507.08994666667</v>
          </cell>
          <cell r="N182">
            <v>215751.2833333333</v>
          </cell>
          <cell r="O182">
            <v>111476.17666666656</v>
          </cell>
          <cell r="P182">
            <v>217087.21666666667</v>
          </cell>
          <cell r="Q182">
            <v>161346.68333333341</v>
          </cell>
          <cell r="R182">
            <v>181798.95</v>
          </cell>
          <cell r="S182">
            <v>1410770.8150399998</v>
          </cell>
        </row>
        <row r="183"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793.99831909725128</v>
          </cell>
          <cell r="L183">
            <v>809.61912190056853</v>
          </cell>
          <cell r="M183">
            <v>807.26683749400922</v>
          </cell>
          <cell r="N183">
            <v>807.81218984994439</v>
          </cell>
          <cell r="O183">
            <v>2348.5661753335808</v>
          </cell>
          <cell r="P183">
            <v>2134.3795434330341</v>
          </cell>
          <cell r="Q183">
            <v>2140.1315586547666</v>
          </cell>
          <cell r="R183">
            <v>2179.8370406046706</v>
          </cell>
          <cell r="S183">
            <v>12021.610786367826</v>
          </cell>
        </row>
        <row r="184"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</row>
        <row r="185">
          <cell r="G185">
            <v>11348.805700137051</v>
          </cell>
          <cell r="H185">
            <v>11335.904110580386</v>
          </cell>
          <cell r="I185">
            <v>0</v>
          </cell>
          <cell r="J185">
            <v>0</v>
          </cell>
          <cell r="K185">
            <v>3428.1478940901929</v>
          </cell>
          <cell r="L185">
            <v>3346.425703855683</v>
          </cell>
          <cell r="M185">
            <v>3479.9234811746801</v>
          </cell>
          <cell r="N185">
            <v>3483.547273643821</v>
          </cell>
          <cell r="O185">
            <v>7375.8262724244005</v>
          </cell>
          <cell r="P185">
            <v>9191.8025210463347</v>
          </cell>
          <cell r="Q185">
            <v>9216.5738360539635</v>
          </cell>
          <cell r="R185">
            <v>9333.7539480856813</v>
          </cell>
          <cell r="S185">
            <v>71540.710741092204</v>
          </cell>
        </row>
        <row r="186"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319.52417204883324</v>
          </cell>
          <cell r="L186">
            <v>325.81036178301667</v>
          </cell>
          <cell r="M186">
            <v>297.79176672001222</v>
          </cell>
          <cell r="N186">
            <v>325.0832085214322</v>
          </cell>
          <cell r="O186">
            <v>945.11996389181684</v>
          </cell>
          <cell r="P186">
            <v>930.50324337949246</v>
          </cell>
          <cell r="Q186">
            <v>1004.7809580431672</v>
          </cell>
          <cell r="R186">
            <v>1023.42248128591</v>
          </cell>
          <cell r="S186">
            <v>5172.0361556736807</v>
          </cell>
        </row>
        <row r="187"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</row>
        <row r="188"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</row>
        <row r="189"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241.9529423285442</v>
          </cell>
          <cell r="L189">
            <v>232.72869667723614</v>
          </cell>
          <cell r="M189">
            <v>218.40237348928829</v>
          </cell>
          <cell r="N189">
            <v>177.14750143073022</v>
          </cell>
          <cell r="O189">
            <v>555.3054245677622</v>
          </cell>
          <cell r="P189">
            <v>613.53710148502307</v>
          </cell>
          <cell r="Q189">
            <v>579.00286532332598</v>
          </cell>
          <cell r="R189">
            <v>552.22538361984994</v>
          </cell>
          <cell r="S189">
            <v>3170.30228892176</v>
          </cell>
        </row>
        <row r="190">
          <cell r="G190">
            <v>11348.805700137051</v>
          </cell>
          <cell r="H190">
            <v>11335.904110580386</v>
          </cell>
          <cell r="I190">
            <v>0</v>
          </cell>
          <cell r="J190">
            <v>0</v>
          </cell>
          <cell r="K190">
            <v>3989.6250084675708</v>
          </cell>
          <cell r="L190">
            <v>3904.9647623159358</v>
          </cell>
          <cell r="M190">
            <v>3996.1176213839808</v>
          </cell>
          <cell r="N190">
            <v>3985.7779835959832</v>
          </cell>
          <cell r="O190">
            <v>8876.2516608839796</v>
          </cell>
          <cell r="P190">
            <v>10735.84286591085</v>
          </cell>
          <cell r="Q190">
            <v>10800.357659420457</v>
          </cell>
          <cell r="R190">
            <v>10909.401812991442</v>
          </cell>
          <cell r="S190">
            <v>79883.049185687632</v>
          </cell>
        </row>
        <row r="191">
          <cell r="G191">
            <v>11348.805700137051</v>
          </cell>
          <cell r="H191">
            <v>11335.904110580386</v>
          </cell>
          <cell r="I191">
            <v>0</v>
          </cell>
          <cell r="J191">
            <v>0</v>
          </cell>
          <cell r="K191">
            <v>4783.6233275648219</v>
          </cell>
          <cell r="L191">
            <v>4714.583884216504</v>
          </cell>
          <cell r="M191">
            <v>4803.3844588779903</v>
          </cell>
          <cell r="N191">
            <v>4793.5901734459276</v>
          </cell>
          <cell r="O191">
            <v>11224.81783621756</v>
          </cell>
          <cell r="P191">
            <v>12870.222409343885</v>
          </cell>
          <cell r="Q191">
            <v>12940.489218075223</v>
          </cell>
          <cell r="R191">
            <v>13089.238853596113</v>
          </cell>
          <cell r="S191">
            <v>91904.659972055466</v>
          </cell>
        </row>
        <row r="192">
          <cell r="G192">
            <v>990.62566122597809</v>
          </cell>
          <cell r="H192">
            <v>1100.3809150420691</v>
          </cell>
          <cell r="I192">
            <v>0</v>
          </cell>
          <cell r="J192">
            <v>0</v>
          </cell>
          <cell r="K192">
            <v>240.60555124159129</v>
          </cell>
          <cell r="L192">
            <v>245.33912784865711</v>
          </cell>
          <cell r="M192">
            <v>244.62631439212399</v>
          </cell>
          <cell r="N192">
            <v>244.79157268180134</v>
          </cell>
          <cell r="O192">
            <v>711.68671979805481</v>
          </cell>
          <cell r="P192">
            <v>646.78167982819207</v>
          </cell>
          <cell r="Q192">
            <v>648.52471474386869</v>
          </cell>
          <cell r="R192">
            <v>660.55667897111232</v>
          </cell>
          <cell r="S192">
            <v>523.63051054931202</v>
          </cell>
        </row>
        <row r="193"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1684.2388586911393</v>
          </cell>
          <cell r="L193">
            <v>1717.3738949405997</v>
          </cell>
          <cell r="M193">
            <v>1712.3842007448677</v>
          </cell>
          <cell r="N193">
            <v>1713.5410087726093</v>
          </cell>
          <cell r="O193">
            <v>4981.8070385863848</v>
          </cell>
          <cell r="P193">
            <v>4527.4717587973446</v>
          </cell>
          <cell r="Q193">
            <v>4539.67300320708</v>
          </cell>
          <cell r="R193">
            <v>4168.7732009866895</v>
          </cell>
          <cell r="S193">
            <v>25045.262964726713</v>
          </cell>
        </row>
        <row r="194"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</row>
        <row r="195">
          <cell r="G195">
            <v>907.01685541850577</v>
          </cell>
          <cell r="H195">
            <v>919.91844497516956</v>
          </cell>
          <cell r="I195">
            <v>0</v>
          </cell>
          <cell r="J195">
            <v>0</v>
          </cell>
          <cell r="K195">
            <v>292.35178512861626</v>
          </cell>
          <cell r="L195">
            <v>244.52133075582825</v>
          </cell>
          <cell r="M195">
            <v>252.71529118802351</v>
          </cell>
          <cell r="N195">
            <v>252.88601401847953</v>
          </cell>
          <cell r="O195">
            <v>539.98043720144415</v>
          </cell>
          <cell r="P195">
            <v>788.12503625997954</v>
          </cell>
          <cell r="Q195">
            <v>790.24898240589528</v>
          </cell>
          <cell r="R195">
            <v>754.53187583273598</v>
          </cell>
          <cell r="S195">
            <v>5742.2960531846784</v>
          </cell>
        </row>
        <row r="196"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</row>
        <row r="197"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</row>
        <row r="198"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131.9871971392985</v>
          </cell>
          <cell r="L198">
            <v>116.75038782069375</v>
          </cell>
          <cell r="M198">
            <v>104.2672762077749</v>
          </cell>
          <cell r="N198">
            <v>132.70885529798494</v>
          </cell>
          <cell r="O198">
            <v>488.95012710285761</v>
          </cell>
          <cell r="P198">
            <v>444.35841749236278</v>
          </cell>
          <cell r="Q198">
            <v>445.55593477048001</v>
          </cell>
          <cell r="R198">
            <v>453.82225515352332</v>
          </cell>
          <cell r="S198">
            <v>2318.400450984976</v>
          </cell>
        </row>
        <row r="199"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139.74370416111626</v>
          </cell>
          <cell r="L199">
            <v>134.57668959591672</v>
          </cell>
          <cell r="M199">
            <v>126.29241191017387</v>
          </cell>
          <cell r="N199">
            <v>102.68190502092625</v>
          </cell>
          <cell r="O199">
            <v>321.49261422344136</v>
          </cell>
          <cell r="P199">
            <v>354.78131077509096</v>
          </cell>
          <cell r="Q199">
            <v>334.81169273176789</v>
          </cell>
          <cell r="R199">
            <v>319.70943262201837</v>
          </cell>
          <cell r="S199">
            <v>1834.0897610404515</v>
          </cell>
        </row>
        <row r="200">
          <cell r="G200">
            <v>907.01685541850577</v>
          </cell>
          <cell r="H200">
            <v>919.91844497516956</v>
          </cell>
          <cell r="I200">
            <v>0</v>
          </cell>
          <cell r="J200">
            <v>0</v>
          </cell>
          <cell r="K200">
            <v>564.08268642903101</v>
          </cell>
          <cell r="L200">
            <v>495.84840817243872</v>
          </cell>
          <cell r="M200">
            <v>483.27497930597229</v>
          </cell>
          <cell r="N200">
            <v>488.27677433739075</v>
          </cell>
          <cell r="O200">
            <v>1350.4231785277429</v>
          </cell>
          <cell r="P200">
            <v>1587.2647645274333</v>
          </cell>
          <cell r="Q200">
            <v>1570.6166099081431</v>
          </cell>
          <cell r="R200">
            <v>1528.0635636082777</v>
          </cell>
          <cell r="S200">
            <v>9894.7862652101066</v>
          </cell>
        </row>
        <row r="201">
          <cell r="G201">
            <v>907.01685541850577</v>
          </cell>
          <cell r="H201">
            <v>919.91844497516956</v>
          </cell>
          <cell r="I201">
            <v>0</v>
          </cell>
          <cell r="J201">
            <v>0</v>
          </cell>
          <cell r="K201">
            <v>2248.3215451201704</v>
          </cell>
          <cell r="L201">
            <v>2213.2223031130384</v>
          </cell>
          <cell r="M201">
            <v>2195.65918005084</v>
          </cell>
          <cell r="N201">
            <v>2201.8177831100002</v>
          </cell>
          <cell r="O201">
            <v>6332.2302171141273</v>
          </cell>
          <cell r="P201">
            <v>6114.7365233247783</v>
          </cell>
          <cell r="Q201">
            <v>6110.2896131152229</v>
          </cell>
          <cell r="R201">
            <v>5696.8367645949675</v>
          </cell>
          <cell r="S201">
            <v>34940.04922993682</v>
          </cell>
        </row>
        <row r="202">
          <cell r="G202">
            <v>990.62566122597809</v>
          </cell>
          <cell r="H202">
            <v>1100.3809150420689</v>
          </cell>
          <cell r="I202">
            <v>0</v>
          </cell>
          <cell r="J202">
            <v>0</v>
          </cell>
          <cell r="K202">
            <v>240.60555124159134</v>
          </cell>
          <cell r="L202">
            <v>245.33912784865711</v>
          </cell>
          <cell r="M202">
            <v>244.62631439212396</v>
          </cell>
          <cell r="N202">
            <v>244.79157268180131</v>
          </cell>
          <cell r="O202">
            <v>711.68671979805492</v>
          </cell>
          <cell r="P202">
            <v>646.78167982819207</v>
          </cell>
          <cell r="Q202">
            <v>648.52471474386857</v>
          </cell>
          <cell r="R202">
            <v>660.55667897111232</v>
          </cell>
          <cell r="S202">
            <v>469.08808049218862</v>
          </cell>
        </row>
        <row r="203"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5293.3221273150093</v>
          </cell>
          <cell r="L203">
            <v>5397.4608126704561</v>
          </cell>
          <cell r="M203">
            <v>5381.7789166267285</v>
          </cell>
          <cell r="N203">
            <v>5385.4145989996296</v>
          </cell>
          <cell r="O203">
            <v>15657.107835557206</v>
          </cell>
          <cell r="P203">
            <v>14229.196956220227</v>
          </cell>
          <cell r="Q203">
            <v>14267.543724365112</v>
          </cell>
          <cell r="R203">
            <v>14532.246937364471</v>
          </cell>
          <cell r="S203">
            <v>80144.071909118837</v>
          </cell>
        </row>
        <row r="204"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240.60555124159131</v>
          </cell>
          <cell r="L204">
            <v>245.33912784865711</v>
          </cell>
          <cell r="M204">
            <v>244.62631439212399</v>
          </cell>
          <cell r="N204">
            <v>244.79157268180134</v>
          </cell>
          <cell r="O204">
            <v>711.68671979805481</v>
          </cell>
          <cell r="P204">
            <v>646.78167982819207</v>
          </cell>
          <cell r="Q204">
            <v>648.52471474386869</v>
          </cell>
          <cell r="R204">
            <v>660.55667897111232</v>
          </cell>
          <cell r="S204">
            <v>455.36404493817525</v>
          </cell>
        </row>
        <row r="205">
          <cell r="G205">
            <v>0</v>
          </cell>
          <cell r="H205">
            <v>0</v>
          </cell>
          <cell r="I205">
            <v>12255.822555555556</v>
          </cell>
          <cell r="J205">
            <v>12255.822555555556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24511.645111111113</v>
          </cell>
          <cell r="T205"/>
        </row>
        <row r="206"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7771.5593051033993</v>
          </cell>
          <cell r="L206">
            <v>7924.4538295116245</v>
          </cell>
          <cell r="M206">
            <v>7901.4299548656054</v>
          </cell>
          <cell r="N206">
            <v>7906.767797622183</v>
          </cell>
          <cell r="O206">
            <v>22987.481049477174</v>
          </cell>
          <cell r="P206">
            <v>20891.048258450606</v>
          </cell>
          <cell r="Q206">
            <v>20947.348286226959</v>
          </cell>
          <cell r="R206">
            <v>20880.85717895583</v>
          </cell>
          <cell r="S206">
            <v>117210.94566021339</v>
          </cell>
        </row>
        <row r="207"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</row>
        <row r="208">
          <cell r="G208">
            <v>12255.822555555556</v>
          </cell>
          <cell r="H208">
            <v>12255.822555555556</v>
          </cell>
          <cell r="I208">
            <v>0</v>
          </cell>
          <cell r="J208">
            <v>0</v>
          </cell>
          <cell r="K208">
            <v>3720.4996792188094</v>
          </cell>
          <cell r="L208">
            <v>3590.9470346115113</v>
          </cell>
          <cell r="M208">
            <v>3732.6387723627035</v>
          </cell>
          <cell r="N208">
            <v>3736.4332876623007</v>
          </cell>
          <cell r="O208">
            <v>7915.8067096258446</v>
          </cell>
          <cell r="P208">
            <v>9979.9275573063151</v>
          </cell>
          <cell r="Q208">
            <v>10006.822818459859</v>
          </cell>
          <cell r="R208">
            <v>10088.285823918417</v>
          </cell>
          <cell r="S208">
            <v>77283.006794276866</v>
          </cell>
        </row>
        <row r="209"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319.52417204883324</v>
          </cell>
          <cell r="L209">
            <v>325.81036178301667</v>
          </cell>
          <cell r="M209">
            <v>297.79176672001222</v>
          </cell>
          <cell r="N209">
            <v>325.0832085214322</v>
          </cell>
          <cell r="O209">
            <v>945.11996389181684</v>
          </cell>
          <cell r="P209">
            <v>930.50324337949246</v>
          </cell>
          <cell r="Q209">
            <v>1004.7809580431672</v>
          </cell>
          <cell r="R209">
            <v>1023.42248128591</v>
          </cell>
          <cell r="S209">
            <v>5172.0361556736807</v>
          </cell>
        </row>
        <row r="210"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</row>
        <row r="211"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131.9871971392985</v>
          </cell>
          <cell r="L211">
            <v>116.75038782069375</v>
          </cell>
          <cell r="M211">
            <v>104.2672762077749</v>
          </cell>
          <cell r="N211">
            <v>132.70885529798494</v>
          </cell>
          <cell r="O211">
            <v>488.95012710285761</v>
          </cell>
          <cell r="P211">
            <v>444.35841749236278</v>
          </cell>
          <cell r="Q211">
            <v>445.55593477048001</v>
          </cell>
          <cell r="R211">
            <v>453.82225515352332</v>
          </cell>
          <cell r="S211">
            <v>2318.400450984976</v>
          </cell>
        </row>
        <row r="212"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381.69664648966045</v>
          </cell>
          <cell r="L212">
            <v>367.30538627315286</v>
          </cell>
          <cell r="M212">
            <v>344.69478539946215</v>
          </cell>
          <cell r="N212">
            <v>279.8294064516565</v>
          </cell>
          <cell r="O212">
            <v>876.79803879120357</v>
          </cell>
          <cell r="P212">
            <v>968.31841226011397</v>
          </cell>
          <cell r="Q212">
            <v>913.81455805509381</v>
          </cell>
          <cell r="R212">
            <v>871.93481624186825</v>
          </cell>
          <cell r="S212">
            <v>5004.3920499622118</v>
          </cell>
        </row>
        <row r="213">
          <cell r="G213">
            <v>12255.822555555556</v>
          </cell>
          <cell r="H213">
            <v>12255.822555555556</v>
          </cell>
          <cell r="I213">
            <v>0</v>
          </cell>
          <cell r="J213">
            <v>0</v>
          </cell>
          <cell r="K213">
            <v>4553.7076948966014</v>
          </cell>
          <cell r="L213">
            <v>4400.8131704883745</v>
          </cell>
          <cell r="M213">
            <v>4479.3926006899528</v>
          </cell>
          <cell r="N213">
            <v>4474.0547579333743</v>
          </cell>
          <cell r="O213">
            <v>10226.674839411722</v>
          </cell>
          <cell r="P213">
            <v>12323.107630438286</v>
          </cell>
          <cell r="Q213">
            <v>12370.974269328601</v>
          </cell>
          <cell r="R213">
            <v>12437.465376599719</v>
          </cell>
          <cell r="S213">
            <v>89777.835450897735</v>
          </cell>
        </row>
        <row r="214">
          <cell r="G214">
            <v>0</v>
          </cell>
          <cell r="H214">
            <v>0</v>
          </cell>
          <cell r="I214">
            <v>12255.822555555556</v>
          </cell>
          <cell r="J214">
            <v>12255.822555555556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24511.645111111113</v>
          </cell>
          <cell r="T214"/>
        </row>
        <row r="215">
          <cell r="G215">
            <v>12255.822555555556</v>
          </cell>
          <cell r="H215">
            <v>12255.822555555556</v>
          </cell>
          <cell r="I215">
            <v>12255.822555555556</v>
          </cell>
          <cell r="J215">
            <v>12255.822555555556</v>
          </cell>
          <cell r="K215">
            <v>12325.267</v>
          </cell>
          <cell r="L215">
            <v>12325.267</v>
          </cell>
          <cell r="M215">
            <v>12380.822555555558</v>
          </cell>
          <cell r="N215">
            <v>12380.822555555558</v>
          </cell>
          <cell r="O215">
            <v>33214.155888888898</v>
          </cell>
          <cell r="P215">
            <v>33214.15588888889</v>
          </cell>
          <cell r="Q215">
            <v>33318.322555555562</v>
          </cell>
          <cell r="R215">
            <v>33318.322555555547</v>
          </cell>
          <cell r="S215">
            <v>231500.42622222225</v>
          </cell>
        </row>
        <row r="216">
          <cell r="G216">
            <v>990.62566122597809</v>
          </cell>
          <cell r="H216">
            <v>1100.3809150420691</v>
          </cell>
          <cell r="I216" t="e">
            <v>#DIV/0!</v>
          </cell>
          <cell r="J216" t="e">
            <v>#DIV/0!</v>
          </cell>
          <cell r="K216">
            <v>240.60555124159131</v>
          </cell>
          <cell r="L216">
            <v>245.33912784865711</v>
          </cell>
          <cell r="M216">
            <v>244.62631439212399</v>
          </cell>
          <cell r="N216">
            <v>244.79157268180134</v>
          </cell>
          <cell r="O216">
            <v>711.68671979805492</v>
          </cell>
          <cell r="P216">
            <v>646.78167982819207</v>
          </cell>
          <cell r="Q216">
            <v>648.5247147438688</v>
          </cell>
          <cell r="R216">
            <v>660.55667897111221</v>
          </cell>
          <cell r="S216">
            <v>543.42901695035482</v>
          </cell>
        </row>
        <row r="217"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3476.5984911297905</v>
          </cell>
          <cell r="L217">
            <v>4928.2746604270014</v>
          </cell>
          <cell r="M217">
            <v>354.1127069515444</v>
          </cell>
          <cell r="N217">
            <v>5904.6738388776103</v>
          </cell>
          <cell r="O217">
            <v>-1051.1259235038597</v>
          </cell>
          <cell r="P217">
            <v>4413.6279457809951</v>
          </cell>
          <cell r="Q217">
            <v>837.16131320280465</v>
          </cell>
          <cell r="R217">
            <v>2426.736288545897</v>
          </cell>
          <cell r="S217">
            <v>21290.059321411783</v>
          </cell>
        </row>
        <row r="218"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</row>
        <row r="219">
          <cell r="G219">
            <v>69467.296801843273</v>
          </cell>
          <cell r="H219">
            <v>80897.652794912603</v>
          </cell>
          <cell r="I219">
            <v>0</v>
          </cell>
          <cell r="J219">
            <v>0</v>
          </cell>
          <cell r="K219">
            <v>79126.477364126476</v>
          </cell>
          <cell r="L219">
            <v>81750.201929764924</v>
          </cell>
          <cell r="M219">
            <v>65541.090457267361</v>
          </cell>
          <cell r="N219">
            <v>89500.86217468312</v>
          </cell>
          <cell r="O219">
            <v>43336.27002391791</v>
          </cell>
          <cell r="P219">
            <v>82959.689367957937</v>
          </cell>
          <cell r="Q219">
            <v>67557.473248094801</v>
          </cell>
          <cell r="R219">
            <v>73976.541612724832</v>
          </cell>
          <cell r="S219">
            <v>734113.55577529315</v>
          </cell>
        </row>
        <row r="220"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-592.932485993829</v>
          </cell>
          <cell r="L220">
            <v>-8.7428033190736869</v>
          </cell>
          <cell r="M220">
            <v>-1695.3717569912092</v>
          </cell>
          <cell r="N220">
            <v>384.18389637256519</v>
          </cell>
          <cell r="O220">
            <v>-2414.9985534585248</v>
          </cell>
          <cell r="P220">
            <v>-233.83654404133563</v>
          </cell>
          <cell r="Q220">
            <v>-1930.9569915387287</v>
          </cell>
          <cell r="R220">
            <v>-1184.6595687715833</v>
          </cell>
          <cell r="S220">
            <v>-7677.3148077417191</v>
          </cell>
        </row>
        <row r="221"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</row>
        <row r="222"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</row>
        <row r="223"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-448.98562343026629</v>
          </cell>
          <cell r="L223">
            <v>-6.2450476118036704</v>
          </cell>
          <cell r="M223">
            <v>-1243.3964167374736</v>
          </cell>
          <cell r="N223">
            <v>209.35322264679647</v>
          </cell>
          <cell r="O223">
            <v>-1418.9328850240254</v>
          </cell>
          <cell r="P223">
            <v>-154.18258504004609</v>
          </cell>
          <cell r="Q223">
            <v>-1112.7098119916793</v>
          </cell>
          <cell r="R223">
            <v>-639.22680690170569</v>
          </cell>
          <cell r="S223">
            <v>-4814.3259540902036</v>
          </cell>
        </row>
        <row r="224">
          <cell r="G224">
            <v>69467.296801843273</v>
          </cell>
          <cell r="H224">
            <v>80897.652794912603</v>
          </cell>
          <cell r="I224">
            <v>0</v>
          </cell>
          <cell r="J224">
            <v>0</v>
          </cell>
          <cell r="K224">
            <v>78084.55925470237</v>
          </cell>
          <cell r="L224">
            <v>81735.214078834033</v>
          </cell>
          <cell r="M224">
            <v>62602.322283538677</v>
          </cell>
          <cell r="N224">
            <v>90094.399293702474</v>
          </cell>
          <cell r="O224">
            <v>39502.338585435355</v>
          </cell>
          <cell r="P224">
            <v>82571.670238876555</v>
          </cell>
          <cell r="Q224">
            <v>64513.806444564398</v>
          </cell>
          <cell r="R224">
            <v>72152.655237051542</v>
          </cell>
          <cell r="S224">
            <v>721621.91501346126</v>
          </cell>
        </row>
        <row r="225">
          <cell r="G225">
            <v>69467.296801843273</v>
          </cell>
          <cell r="H225">
            <v>80897.652794912603</v>
          </cell>
          <cell r="I225">
            <v>0</v>
          </cell>
          <cell r="J225">
            <v>0</v>
          </cell>
          <cell r="K225">
            <v>81561.157745832155</v>
          </cell>
          <cell r="L225">
            <v>86663.48873926104</v>
          </cell>
          <cell r="M225">
            <v>62956.434990490219</v>
          </cell>
          <cell r="N225">
            <v>95999.073132580088</v>
          </cell>
          <cell r="O225">
            <v>38451.212661931495</v>
          </cell>
          <cell r="P225">
            <v>86985.298184657557</v>
          </cell>
          <cell r="Q225">
            <v>65350.967757767205</v>
          </cell>
          <cell r="R225">
            <v>74579.391525597443</v>
          </cell>
          <cell r="S225">
            <v>742911.97433487303</v>
          </cell>
        </row>
        <row r="226"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31874.602859972278</v>
          </cell>
          <cell r="L226">
            <v>34953.915946360343</v>
          </cell>
          <cell r="M226">
            <v>25251.148166260857</v>
          </cell>
          <cell r="N226">
            <v>37025.065718831283</v>
          </cell>
          <cell r="O226">
            <v>22270.338950143312</v>
          </cell>
          <cell r="P226">
            <v>33862.241097111211</v>
          </cell>
          <cell r="Q226">
            <v>26275.796724975658</v>
          </cell>
          <cell r="R226">
            <v>26729.449308185802</v>
          </cell>
          <cell r="S226">
            <v>238242.55877184076</v>
          </cell>
        </row>
        <row r="227"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</row>
        <row r="228">
          <cell r="G228">
            <v>516.15064260118368</v>
          </cell>
          <cell r="H228">
            <v>1966.9146495318241</v>
          </cell>
          <cell r="I228">
            <v>0</v>
          </cell>
          <cell r="J228">
            <v>0</v>
          </cell>
          <cell r="K228">
            <v>14038.290587865284</v>
          </cell>
          <cell r="L228">
            <v>11953.438508553207</v>
          </cell>
          <cell r="M228">
            <v>10958.055161755979</v>
          </cell>
          <cell r="N228">
            <v>12695.661127419138</v>
          </cell>
          <cell r="O228">
            <v>7725.0259770626762</v>
          </cell>
          <cell r="P228">
            <v>14424.343264504747</v>
          </cell>
          <cell r="Q228">
            <v>13103.723928943857</v>
          </cell>
          <cell r="R228">
            <v>12833.793930665566</v>
          </cell>
          <cell r="S228">
            <v>100215.39777890345</v>
          </cell>
        </row>
        <row r="229"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</row>
        <row r="230"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</row>
        <row r="231"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2497.8876776928164</v>
          </cell>
          <cell r="L231">
            <v>2376.2345838677425</v>
          </cell>
          <cell r="M231">
            <v>1537.5453938839778</v>
          </cell>
          <cell r="N231">
            <v>2867.4855540214294</v>
          </cell>
          <cell r="O231">
            <v>2185.7701384167094</v>
          </cell>
          <cell r="P231">
            <v>3323.4822144211885</v>
          </cell>
          <cell r="Q231">
            <v>2578.8943748514321</v>
          </cell>
          <cell r="R231">
            <v>2909.8294340362695</v>
          </cell>
          <cell r="S231">
            <v>20277.129371191564</v>
          </cell>
        </row>
        <row r="232"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2644.6813344388443</v>
          </cell>
          <cell r="L232">
            <v>2739.0554324443119</v>
          </cell>
          <cell r="M232">
            <v>1862.3322990430868</v>
          </cell>
          <cell r="N232">
            <v>2218.6829857417761</v>
          </cell>
          <cell r="O232">
            <v>1437.1792069159151</v>
          </cell>
          <cell r="P232">
            <v>2653.5097118764852</v>
          </cell>
          <cell r="Q232">
            <v>1937.9025698877276</v>
          </cell>
          <cell r="R232">
            <v>2049.9213223200641</v>
          </cell>
          <cell r="S232">
            <v>17543.264862668209</v>
          </cell>
        </row>
        <row r="233">
          <cell r="G233">
            <v>516.15064260118368</v>
          </cell>
          <cell r="H233">
            <v>1966.9146495318241</v>
          </cell>
          <cell r="I233">
            <v>0</v>
          </cell>
          <cell r="J233">
            <v>0</v>
          </cell>
          <cell r="K233">
            <v>19180.859599996944</v>
          </cell>
          <cell r="L233">
            <v>17068.728524865262</v>
          </cell>
          <cell r="M233">
            <v>14357.932854683044</v>
          </cell>
          <cell r="N233">
            <v>17781.829667182345</v>
          </cell>
          <cell r="O233">
            <v>11347.975322395299</v>
          </cell>
          <cell r="P233">
            <v>20401.335190802423</v>
          </cell>
          <cell r="Q233">
            <v>17620.520873683017</v>
          </cell>
          <cell r="R233">
            <v>17793.544687021902</v>
          </cell>
          <cell r="S233">
            <v>138035.79201276324</v>
          </cell>
        </row>
        <row r="234">
          <cell r="G234">
            <v>516.15064260118368</v>
          </cell>
          <cell r="H234">
            <v>1966.9146495318241</v>
          </cell>
          <cell r="I234">
            <v>0</v>
          </cell>
          <cell r="J234">
            <v>0</v>
          </cell>
          <cell r="K234">
            <v>51055.462459969218</v>
          </cell>
          <cell r="L234">
            <v>52022.644471225605</v>
          </cell>
          <cell r="M234">
            <v>39609.081020943901</v>
          </cell>
          <cell r="N234">
            <v>54806.895386013624</v>
          </cell>
          <cell r="O234">
            <v>33618.314272538613</v>
          </cell>
          <cell r="P234">
            <v>54263.576287913631</v>
          </cell>
          <cell r="Q234">
            <v>43896.317598658672</v>
          </cell>
          <cell r="R234">
            <v>44522.993995207704</v>
          </cell>
          <cell r="S234">
            <v>376278.35078460397</v>
          </cell>
        </row>
        <row r="235"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36377.323274198658</v>
          </cell>
          <cell r="L235">
            <v>46055.164402846727</v>
          </cell>
          <cell r="M235">
            <v>15560.751379676982</v>
          </cell>
          <cell r="N235">
            <v>52564.492259184015</v>
          </cell>
          <cell r="O235">
            <v>6192.4938433075622</v>
          </cell>
          <cell r="P235">
            <v>42624.186305206618</v>
          </cell>
          <cell r="Q235">
            <v>18781.075421351954</v>
          </cell>
          <cell r="R235">
            <v>29378.241923639333</v>
          </cell>
          <cell r="S235">
            <v>247533.72880941187</v>
          </cell>
        </row>
        <row r="236">
          <cell r="G236">
            <v>0</v>
          </cell>
          <cell r="H236">
            <v>0</v>
          </cell>
          <cell r="I236">
            <v>-92380.352555555553</v>
          </cell>
          <cell r="J236">
            <v>-95073.312555555545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-187453.6651111111</v>
          </cell>
          <cell r="T236"/>
        </row>
        <row r="237"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71728.524625300721</v>
          </cell>
          <cell r="L237">
            <v>85937.355009634077</v>
          </cell>
          <cell r="M237">
            <v>41166.012252889384</v>
          </cell>
          <cell r="N237">
            <v>95494.231816892905</v>
          </cell>
          <cell r="O237">
            <v>27411.706869947015</v>
          </cell>
          <cell r="P237">
            <v>80900.055348098831</v>
          </cell>
          <cell r="Q237">
            <v>45894.033459530416</v>
          </cell>
          <cell r="R237">
            <v>58534.427520371028</v>
          </cell>
          <cell r="S237">
            <v>507066.3469026644</v>
          </cell>
        </row>
        <row r="238"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</row>
        <row r="239">
          <cell r="G239">
            <v>69983.44744444445</v>
          </cell>
          <cell r="H239">
            <v>82864.56744444443</v>
          </cell>
          <cell r="I239">
            <v>0</v>
          </cell>
          <cell r="J239">
            <v>0</v>
          </cell>
          <cell r="K239">
            <v>93164.767951991758</v>
          </cell>
          <cell r="L239">
            <v>93703.640438318136</v>
          </cell>
          <cell r="M239">
            <v>76499.145619023344</v>
          </cell>
          <cell r="N239">
            <v>102196.52330210226</v>
          </cell>
          <cell r="O239">
            <v>51061.296000980583</v>
          </cell>
          <cell r="P239">
            <v>97384.03263246268</v>
          </cell>
          <cell r="Q239">
            <v>80661.197177038659</v>
          </cell>
          <cell r="R239">
            <v>86810.335543390393</v>
          </cell>
          <cell r="S239">
            <v>834328.95355419663</v>
          </cell>
          <cell r="T239">
            <v>0.97053623405570744</v>
          </cell>
        </row>
        <row r="240"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-592.932485993829</v>
          </cell>
          <cell r="L240">
            <v>-8.7428033190736869</v>
          </cell>
          <cell r="M240">
            <v>-1695.3717569912092</v>
          </cell>
          <cell r="N240">
            <v>384.18389637256519</v>
          </cell>
          <cell r="O240">
            <v>-2414.9985534585248</v>
          </cell>
          <cell r="P240">
            <v>-233.83654404133563</v>
          </cell>
          <cell r="Q240">
            <v>-1930.9569915387287</v>
          </cell>
          <cell r="R240">
            <v>-1184.6595687715833</v>
          </cell>
          <cell r="S240">
            <v>-7677.3148077417191</v>
          </cell>
          <cell r="T240">
            <v>-8.9306647808690166E-3</v>
          </cell>
        </row>
        <row r="241"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/>
        </row>
        <row r="242"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2497.8876776928164</v>
          </cell>
          <cell r="L242">
            <v>2376.2345838677425</v>
          </cell>
          <cell r="M242">
            <v>1537.5453938839778</v>
          </cell>
          <cell r="N242">
            <v>2867.4855540214294</v>
          </cell>
          <cell r="O242">
            <v>2185.7701384167094</v>
          </cell>
          <cell r="P242">
            <v>3323.4822144211885</v>
          </cell>
          <cell r="Q242">
            <v>2578.8943748514321</v>
          </cell>
          <cell r="R242">
            <v>2909.8294340362695</v>
          </cell>
          <cell r="S242">
            <v>20277.129371191564</v>
          </cell>
          <cell r="T242">
            <v>2.3587445567533304E-2</v>
          </cell>
        </row>
        <row r="243"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2195.6957110085777</v>
          </cell>
          <cell r="L243">
            <v>2732.8103848325081</v>
          </cell>
          <cell r="M243">
            <v>618.93588230561318</v>
          </cell>
          <cell r="N243">
            <v>2428.0362083885725</v>
          </cell>
          <cell r="O243">
            <v>18.246321891889693</v>
          </cell>
          <cell r="P243">
            <v>2499.3271268364392</v>
          </cell>
          <cell r="Q243">
            <v>825.19275789604831</v>
          </cell>
          <cell r="R243">
            <v>1410.6945154183584</v>
          </cell>
          <cell r="S243">
            <v>12728.938908578004</v>
          </cell>
          <cell r="T243">
            <v>1.4806985157628206E-2</v>
          </cell>
        </row>
        <row r="244">
          <cell r="G244">
            <v>69983.44744444445</v>
          </cell>
          <cell r="H244">
            <v>82864.56744444443</v>
          </cell>
          <cell r="I244">
            <v>0</v>
          </cell>
          <cell r="J244">
            <v>0</v>
          </cell>
          <cell r="K244">
            <v>97265.418854699325</v>
          </cell>
          <cell r="L244">
            <v>98803.94260369931</v>
          </cell>
          <cell r="M244">
            <v>76960.255138221721</v>
          </cell>
          <cell r="N244">
            <v>107876.22896088482</v>
          </cell>
          <cell r="O244">
            <v>50850.313907830656</v>
          </cell>
          <cell r="P244">
            <v>102973.00542967897</v>
          </cell>
          <cell r="Q244">
            <v>82134.327318247408</v>
          </cell>
          <cell r="R244">
            <v>89946.199924073429</v>
          </cell>
          <cell r="S244">
            <v>859657.70702622458</v>
          </cell>
        </row>
        <row r="245">
          <cell r="G245">
            <v>0</v>
          </cell>
          <cell r="H245">
            <v>0</v>
          </cell>
          <cell r="I245">
            <v>-92380.352555555553</v>
          </cell>
          <cell r="J245">
            <v>-95073.312555555545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-187453.6651111111</v>
          </cell>
          <cell r="T245"/>
        </row>
        <row r="246">
          <cell r="G246">
            <v>69983.44744444445</v>
          </cell>
          <cell r="H246">
            <v>82864.56744444443</v>
          </cell>
          <cell r="I246">
            <v>-92380.352555555553</v>
          </cell>
          <cell r="J246">
            <v>-95073.312555555545</v>
          </cell>
          <cell r="K246">
            <v>168993.94348000005</v>
          </cell>
          <cell r="L246">
            <v>184741.29761333339</v>
          </cell>
          <cell r="M246">
            <v>118126.26739111111</v>
          </cell>
          <cell r="N246">
            <v>203370.46077777771</v>
          </cell>
          <cell r="O246">
            <v>78262.020777777667</v>
          </cell>
          <cell r="P246">
            <v>183873.06077777781</v>
          </cell>
          <cell r="Q246">
            <v>128028.36077777782</v>
          </cell>
          <cell r="R246">
            <v>148480.62744444446</v>
          </cell>
          <cell r="S246">
            <v>1179270.3888177779</v>
          </cell>
        </row>
      </sheetData>
      <sheetData sheetId="2"/>
      <sheetData sheetId="3">
        <row r="4">
          <cell r="G4" t="str">
            <v>1월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손익요약"/>
      <sheetName val="손익"/>
      <sheetName val="판매계획"/>
      <sheetName val="원가"/>
      <sheetName val="제조4"/>
      <sheetName val="제조6"/>
      <sheetName val="판매6"/>
      <sheetName val="판매4"/>
      <sheetName val="본사산출"/>
      <sheetName val="제조"/>
      <sheetName val="판매"/>
      <sheetName val="인원수"/>
      <sheetName val="계정통제"/>
    </sheetNames>
    <sheetDataSet>
      <sheetData sheetId="0">
        <row r="5">
          <cell r="G5" t="str">
            <v>1월</v>
          </cell>
          <cell r="H5" t="str">
            <v>2월</v>
          </cell>
          <cell r="I5" t="str">
            <v>3월</v>
          </cell>
          <cell r="J5" t="str">
            <v>4월</v>
          </cell>
          <cell r="K5" t="str">
            <v>5월</v>
          </cell>
          <cell r="L5" t="str">
            <v>6월</v>
          </cell>
          <cell r="M5" t="str">
            <v>7월</v>
          </cell>
          <cell r="N5" t="str">
            <v>8월</v>
          </cell>
          <cell r="O5" t="str">
            <v>9월</v>
          </cell>
          <cell r="P5" t="str">
            <v>10월</v>
          </cell>
          <cell r="Q5" t="str">
            <v>11월</v>
          </cell>
          <cell r="R5" t="str">
            <v>12월</v>
          </cell>
          <cell r="S5" t="str">
            <v>합계</v>
          </cell>
          <cell r="V5" t="str">
            <v>2월누계</v>
          </cell>
          <cell r="W5" t="str">
            <v>3월누계</v>
          </cell>
          <cell r="X5" t="str">
            <v>4월누계</v>
          </cell>
          <cell r="Y5" t="str">
            <v>5월누계</v>
          </cell>
          <cell r="Z5" t="str">
            <v>6월누계</v>
          </cell>
          <cell r="AA5" t="str">
            <v>7월누계</v>
          </cell>
          <cell r="AB5" t="str">
            <v>8월누계</v>
          </cell>
          <cell r="AC5" t="str">
            <v>9월누계</v>
          </cell>
          <cell r="AD5" t="str">
            <v>10월누계</v>
          </cell>
          <cell r="AE5" t="str">
            <v>11월누계</v>
          </cell>
          <cell r="AF5" t="str">
            <v>12월누계</v>
          </cell>
        </row>
        <row r="6">
          <cell r="G6">
            <v>6000</v>
          </cell>
          <cell r="H6">
            <v>6000</v>
          </cell>
          <cell r="I6">
            <v>6000</v>
          </cell>
          <cell r="J6">
            <v>6000</v>
          </cell>
          <cell r="K6">
            <v>6000</v>
          </cell>
          <cell r="L6">
            <v>6000</v>
          </cell>
          <cell r="M6">
            <v>5000</v>
          </cell>
          <cell r="N6">
            <v>5000</v>
          </cell>
          <cell r="O6">
            <v>5000</v>
          </cell>
          <cell r="P6">
            <v>5000</v>
          </cell>
          <cell r="Q6">
            <v>5000</v>
          </cell>
          <cell r="R6">
            <v>3406</v>
          </cell>
          <cell r="S6">
            <v>64406</v>
          </cell>
          <cell r="V6">
            <v>12000</v>
          </cell>
          <cell r="W6">
            <v>18000</v>
          </cell>
          <cell r="X6">
            <v>24000</v>
          </cell>
          <cell r="Y6">
            <v>30000</v>
          </cell>
          <cell r="Z6">
            <v>36000</v>
          </cell>
          <cell r="AA6">
            <v>41000</v>
          </cell>
          <cell r="AB6">
            <v>46000</v>
          </cell>
          <cell r="AC6">
            <v>51000</v>
          </cell>
          <cell r="AD6">
            <v>56000</v>
          </cell>
          <cell r="AE6">
            <v>61000</v>
          </cell>
          <cell r="AF6">
            <v>64406</v>
          </cell>
        </row>
        <row r="7">
          <cell r="G7">
            <v>9859.7553407028245</v>
          </cell>
          <cell r="H7">
            <v>8773.1544311774724</v>
          </cell>
          <cell r="I7">
            <v>10355.137027505783</v>
          </cell>
          <cell r="J7">
            <v>10863.361164706679</v>
          </cell>
          <cell r="K7">
            <v>10809.035882592707</v>
          </cell>
          <cell r="L7">
            <v>10640.559098179559</v>
          </cell>
          <cell r="M7">
            <v>12004.659668437012</v>
          </cell>
          <cell r="N7">
            <v>11885.30135375616</v>
          </cell>
          <cell r="O7">
            <v>11321.063847794539</v>
          </cell>
          <cell r="P7">
            <v>13075.643242034368</v>
          </cell>
          <cell r="Q7">
            <v>12959.425726877136</v>
          </cell>
          <cell r="R7">
            <v>13017.869549930658</v>
          </cell>
          <cell r="S7">
            <v>135564.9663336949</v>
          </cell>
          <cell r="V7">
            <v>18632.909771880295</v>
          </cell>
          <cell r="W7">
            <v>28988.04679938608</v>
          </cell>
          <cell r="X7">
            <v>39851.407964092759</v>
          </cell>
          <cell r="Y7">
            <v>50660.443846685463</v>
          </cell>
          <cell r="Z7">
            <v>61301.002944865024</v>
          </cell>
          <cell r="AA7">
            <v>73305.662613302033</v>
          </cell>
          <cell r="AB7">
            <v>85190.963967058196</v>
          </cell>
          <cell r="AC7">
            <v>96512.027814852743</v>
          </cell>
          <cell r="AD7">
            <v>109587.67105688711</v>
          </cell>
          <cell r="AE7">
            <v>122547.09678376424</v>
          </cell>
          <cell r="AF7">
            <v>135564.9663336949</v>
          </cell>
        </row>
        <row r="8">
          <cell r="G8">
            <v>15859.755340702824</v>
          </cell>
          <cell r="H8">
            <v>14773.154431177472</v>
          </cell>
          <cell r="I8">
            <v>16355.137027505783</v>
          </cell>
          <cell r="J8">
            <v>16863.361164706679</v>
          </cell>
          <cell r="K8">
            <v>16809.035882592707</v>
          </cell>
          <cell r="L8">
            <v>16640.559098179561</v>
          </cell>
          <cell r="M8">
            <v>17004.659668437012</v>
          </cell>
          <cell r="N8">
            <v>16885.30135375616</v>
          </cell>
          <cell r="O8">
            <v>16321.063847794539</v>
          </cell>
          <cell r="P8">
            <v>18075.64324203437</v>
          </cell>
          <cell r="Q8">
            <v>17959.425726877136</v>
          </cell>
          <cell r="R8">
            <v>16423.869549930656</v>
          </cell>
          <cell r="S8">
            <v>199970.9663336949</v>
          </cell>
          <cell r="U8"/>
          <cell r="V8">
            <v>30632.909771880295</v>
          </cell>
          <cell r="W8">
            <v>46988.04679938608</v>
          </cell>
          <cell r="X8">
            <v>63851.407964092759</v>
          </cell>
          <cell r="Y8">
            <v>80660.443846685463</v>
          </cell>
          <cell r="Z8">
            <v>97301.002944865031</v>
          </cell>
          <cell r="AA8">
            <v>114305.66261330203</v>
          </cell>
          <cell r="AB8">
            <v>131190.9639670582</v>
          </cell>
          <cell r="AC8">
            <v>147512.02781485274</v>
          </cell>
          <cell r="AD8">
            <v>165587.67105688711</v>
          </cell>
          <cell r="AE8">
            <v>183547.09678376425</v>
          </cell>
          <cell r="AF8">
            <v>199970.9663336949</v>
          </cell>
        </row>
        <row r="9">
          <cell r="G9">
            <v>15000</v>
          </cell>
          <cell r="H9">
            <v>15000</v>
          </cell>
          <cell r="I9">
            <v>16000</v>
          </cell>
          <cell r="J9">
            <v>15000</v>
          </cell>
          <cell r="K9">
            <v>15000</v>
          </cell>
          <cell r="L9">
            <v>15000</v>
          </cell>
          <cell r="M9">
            <v>15000</v>
          </cell>
          <cell r="N9">
            <v>15000</v>
          </cell>
          <cell r="O9">
            <v>15000</v>
          </cell>
          <cell r="P9">
            <v>14000</v>
          </cell>
          <cell r="Q9">
            <v>14000</v>
          </cell>
          <cell r="R9">
            <v>14000</v>
          </cell>
          <cell r="S9">
            <v>178000</v>
          </cell>
          <cell r="U9"/>
          <cell r="V9">
            <v>30000</v>
          </cell>
          <cell r="W9">
            <v>46000</v>
          </cell>
          <cell r="X9">
            <v>61000</v>
          </cell>
          <cell r="Y9">
            <v>76000</v>
          </cell>
          <cell r="Z9">
            <v>91000</v>
          </cell>
          <cell r="AA9">
            <v>106000</v>
          </cell>
          <cell r="AB9">
            <v>121000</v>
          </cell>
          <cell r="AC9">
            <v>136000</v>
          </cell>
          <cell r="AD9">
            <v>150000</v>
          </cell>
          <cell r="AE9">
            <v>164000</v>
          </cell>
          <cell r="AF9">
            <v>178000</v>
          </cell>
        </row>
        <row r="10">
          <cell r="G10">
            <v>8810.5446248949956</v>
          </cell>
          <cell r="H10">
            <v>7883.2289551615359</v>
          </cell>
          <cell r="I10">
            <v>9415.1908075191022</v>
          </cell>
          <cell r="J10">
            <v>9970.614085331119</v>
          </cell>
          <cell r="K10">
            <v>10001.05548943125</v>
          </cell>
          <cell r="L10">
            <v>10004.586446333693</v>
          </cell>
          <cell r="M10">
            <v>10794.850064192431</v>
          </cell>
          <cell r="N10">
            <v>10823.463365458369</v>
          </cell>
          <cell r="O10">
            <v>9795.2459202058471</v>
          </cell>
          <cell r="P10">
            <v>11490.084829884816</v>
          </cell>
          <cell r="Q10">
            <v>11530.90965901488</v>
          </cell>
          <cell r="R10">
            <v>11509.136509370845</v>
          </cell>
          <cell r="S10">
            <v>122028.9107567989</v>
          </cell>
          <cell r="U10"/>
          <cell r="V10">
            <v>16693.773580056532</v>
          </cell>
          <cell r="W10">
            <v>26108.964387575634</v>
          </cell>
          <cell r="X10">
            <v>36079.578472906753</v>
          </cell>
          <cell r="Y10">
            <v>46080.633962338004</v>
          </cell>
          <cell r="Z10">
            <v>56085.220408671696</v>
          </cell>
          <cell r="AA10">
            <v>66880.070472864129</v>
          </cell>
          <cell r="AB10">
            <v>77703.533838322503</v>
          </cell>
          <cell r="AC10">
            <v>87498.779758528355</v>
          </cell>
          <cell r="AD10">
            <v>98988.864588413169</v>
          </cell>
          <cell r="AE10">
            <v>110519.77424742805</v>
          </cell>
          <cell r="AF10">
            <v>122028.9107567989</v>
          </cell>
        </row>
        <row r="11">
          <cell r="G11">
            <v>23810.544624894996</v>
          </cell>
          <cell r="H11">
            <v>22883.228955161536</v>
          </cell>
          <cell r="I11">
            <v>25415.190807519102</v>
          </cell>
          <cell r="J11">
            <v>24970.614085331119</v>
          </cell>
          <cell r="K11">
            <v>25001.055489431252</v>
          </cell>
          <cell r="L11">
            <v>25004.586446333691</v>
          </cell>
          <cell r="M11">
            <v>25794.850064192433</v>
          </cell>
          <cell r="N11">
            <v>25823.463365458367</v>
          </cell>
          <cell r="O11">
            <v>24795.245920205845</v>
          </cell>
          <cell r="P11">
            <v>25490.084829884814</v>
          </cell>
          <cell r="Q11">
            <v>25530.90965901488</v>
          </cell>
          <cell r="R11">
            <v>25509.136509370845</v>
          </cell>
          <cell r="S11">
            <v>300028.91075679893</v>
          </cell>
          <cell r="U11"/>
          <cell r="V11">
            <v>46693.773580056528</v>
          </cell>
          <cell r="W11">
            <v>72108.96438757563</v>
          </cell>
          <cell r="X11">
            <v>97079.578472906753</v>
          </cell>
          <cell r="Y11">
            <v>122080.633962338</v>
          </cell>
          <cell r="Z11">
            <v>147085.22040867171</v>
          </cell>
          <cell r="AA11">
            <v>172880.07047286414</v>
          </cell>
          <cell r="AB11">
            <v>198703.5338383225</v>
          </cell>
          <cell r="AC11">
            <v>223498.77975852834</v>
          </cell>
          <cell r="AD11">
            <v>248988.86458841315</v>
          </cell>
          <cell r="AE11">
            <v>274519.77424742805</v>
          </cell>
          <cell r="AF11">
            <v>300028.91075679893</v>
          </cell>
        </row>
        <row r="12">
          <cell r="G12">
            <v>21000</v>
          </cell>
          <cell r="H12">
            <v>21000</v>
          </cell>
          <cell r="I12">
            <v>22000</v>
          </cell>
          <cell r="J12">
            <v>21000</v>
          </cell>
          <cell r="K12">
            <v>21000</v>
          </cell>
          <cell r="L12">
            <v>21000</v>
          </cell>
          <cell r="M12">
            <v>20000</v>
          </cell>
          <cell r="N12">
            <v>20000</v>
          </cell>
          <cell r="O12">
            <v>20000</v>
          </cell>
          <cell r="P12">
            <v>19000</v>
          </cell>
          <cell r="Q12">
            <v>19000</v>
          </cell>
          <cell r="R12">
            <v>17406</v>
          </cell>
          <cell r="S12">
            <v>242406</v>
          </cell>
          <cell r="V12">
            <v>42000</v>
          </cell>
          <cell r="W12">
            <v>64000</v>
          </cell>
          <cell r="X12">
            <v>85000</v>
          </cell>
          <cell r="Y12">
            <v>106000</v>
          </cell>
          <cell r="Z12">
            <v>127000</v>
          </cell>
          <cell r="AA12">
            <v>147000</v>
          </cell>
          <cell r="AB12">
            <v>167000</v>
          </cell>
          <cell r="AC12">
            <v>187000</v>
          </cell>
          <cell r="AD12">
            <v>206000</v>
          </cell>
          <cell r="AE12">
            <v>225000</v>
          </cell>
          <cell r="AF12">
            <v>242406</v>
          </cell>
        </row>
        <row r="13">
          <cell r="G13">
            <v>18670.29996559782</v>
          </cell>
          <cell r="H13">
            <v>16656.38338633901</v>
          </cell>
          <cell r="I13">
            <v>19770.327835024887</v>
          </cell>
          <cell r="J13">
            <v>20833.975250037798</v>
          </cell>
          <cell r="K13">
            <v>20810.091372023955</v>
          </cell>
          <cell r="L13">
            <v>20645.145544513252</v>
          </cell>
          <cell r="M13">
            <v>22799.509732629442</v>
          </cell>
          <cell r="N13">
            <v>22708.76471921453</v>
          </cell>
          <cell r="O13">
            <v>21116.309768000385</v>
          </cell>
          <cell r="P13">
            <v>24565.728071919184</v>
          </cell>
          <cell r="Q13">
            <v>24490.335385892016</v>
          </cell>
          <cell r="R13">
            <v>24527.0060593015</v>
          </cell>
          <cell r="S13">
            <v>257593.87709049374</v>
          </cell>
          <cell r="V13">
            <v>35326.683351936823</v>
          </cell>
          <cell r="W13">
            <v>55097.01118696171</v>
          </cell>
          <cell r="X13">
            <v>75930.986436999519</v>
          </cell>
          <cell r="Y13">
            <v>96741.077809023467</v>
          </cell>
          <cell r="Z13">
            <v>117386.22335353671</v>
          </cell>
          <cell r="AA13">
            <v>140185.73308616615</v>
          </cell>
          <cell r="AB13">
            <v>162894.4978053807</v>
          </cell>
          <cell r="AC13">
            <v>184010.80757338111</v>
          </cell>
          <cell r="AD13">
            <v>208576.53564530029</v>
          </cell>
          <cell r="AE13">
            <v>233066.87103119231</v>
          </cell>
          <cell r="AF13">
            <v>257593.8770904938</v>
          </cell>
        </row>
        <row r="14">
          <cell r="G14">
            <v>39670.29996559782</v>
          </cell>
          <cell r="H14">
            <v>37656.38338633901</v>
          </cell>
          <cell r="I14">
            <v>41770.327835024887</v>
          </cell>
          <cell r="J14">
            <v>41833.975250037794</v>
          </cell>
          <cell r="K14">
            <v>41810.091372023955</v>
          </cell>
          <cell r="L14">
            <v>41645.145544513252</v>
          </cell>
          <cell r="M14">
            <v>42799.509732629442</v>
          </cell>
          <cell r="N14">
            <v>42708.76471921453</v>
          </cell>
          <cell r="O14">
            <v>41116.309768000385</v>
          </cell>
          <cell r="P14">
            <v>43565.728071919184</v>
          </cell>
          <cell r="Q14">
            <v>43490.335385892016</v>
          </cell>
          <cell r="R14">
            <v>41933.0060593015</v>
          </cell>
          <cell r="S14">
            <v>499999.87709049374</v>
          </cell>
          <cell r="V14">
            <v>77326.683351936823</v>
          </cell>
          <cell r="W14">
            <v>119097.01118696171</v>
          </cell>
          <cell r="X14">
            <v>160930.98643699952</v>
          </cell>
          <cell r="Y14">
            <v>202741.07780902347</v>
          </cell>
          <cell r="Z14">
            <v>244386.22335353671</v>
          </cell>
          <cell r="AA14">
            <v>287185.73308616615</v>
          </cell>
          <cell r="AB14">
            <v>329894.49780538073</v>
          </cell>
          <cell r="AC14">
            <v>371010.80757338111</v>
          </cell>
          <cell r="AD14">
            <v>414576.53564530029</v>
          </cell>
          <cell r="AE14">
            <v>458066.87103119231</v>
          </cell>
          <cell r="AF14">
            <v>499999.8770904938</v>
          </cell>
        </row>
        <row r="15">
          <cell r="G15">
            <v>72000</v>
          </cell>
          <cell r="H15">
            <v>72000</v>
          </cell>
          <cell r="I15">
            <v>72000</v>
          </cell>
          <cell r="J15">
            <v>72000</v>
          </cell>
          <cell r="K15">
            <v>72000</v>
          </cell>
          <cell r="L15">
            <v>72000</v>
          </cell>
          <cell r="M15">
            <v>60000</v>
          </cell>
          <cell r="N15">
            <v>60000</v>
          </cell>
          <cell r="O15">
            <v>60000</v>
          </cell>
          <cell r="P15">
            <v>60000</v>
          </cell>
          <cell r="Q15">
            <v>60000</v>
          </cell>
          <cell r="R15">
            <v>40872</v>
          </cell>
          <cell r="S15">
            <v>772872</v>
          </cell>
          <cell r="U15"/>
          <cell r="V15">
            <v>144000</v>
          </cell>
          <cell r="W15">
            <v>216000</v>
          </cell>
          <cell r="X15">
            <v>288000</v>
          </cell>
          <cell r="Y15">
            <v>360000</v>
          </cell>
          <cell r="Z15">
            <v>432000</v>
          </cell>
          <cell r="AA15">
            <v>492000</v>
          </cell>
          <cell r="AB15">
            <v>552000</v>
          </cell>
          <cell r="AC15">
            <v>612000</v>
          </cell>
          <cell r="AD15">
            <v>672000</v>
          </cell>
          <cell r="AE15">
            <v>732000</v>
          </cell>
          <cell r="AF15">
            <v>772872</v>
          </cell>
        </row>
        <row r="16">
          <cell r="G16">
            <v>157756.08545124519</v>
          </cell>
          <cell r="H16">
            <v>140370.47089883956</v>
          </cell>
          <cell r="I16">
            <v>165682.19244009253</v>
          </cell>
          <cell r="J16">
            <v>173813.77863530687</v>
          </cell>
          <cell r="K16">
            <v>172944.57412148331</v>
          </cell>
          <cell r="L16">
            <v>170248.94557087295</v>
          </cell>
          <cell r="M16">
            <v>192074.5546949922</v>
          </cell>
          <cell r="N16">
            <v>190164.82166009856</v>
          </cell>
          <cell r="O16">
            <v>181137.02156471263</v>
          </cell>
          <cell r="P16">
            <v>209210.29187254989</v>
          </cell>
          <cell r="Q16">
            <v>207350.81163003418</v>
          </cell>
          <cell r="R16">
            <v>208285.91279889052</v>
          </cell>
          <cell r="S16">
            <v>2169039.4613391184</v>
          </cell>
          <cell r="U16"/>
          <cell r="V16">
            <v>298126.55635008472</v>
          </cell>
          <cell r="W16">
            <v>463808.74879017728</v>
          </cell>
          <cell r="X16">
            <v>637622.52742548415</v>
          </cell>
          <cell r="Y16">
            <v>810567.1015469674</v>
          </cell>
          <cell r="Z16">
            <v>980816.04711784038</v>
          </cell>
          <cell r="AA16">
            <v>1172890.6018128325</v>
          </cell>
          <cell r="AB16">
            <v>1363055.4234729311</v>
          </cell>
          <cell r="AC16">
            <v>1544192.4450376439</v>
          </cell>
          <cell r="AD16">
            <v>1753402.7369101937</v>
          </cell>
          <cell r="AE16">
            <v>1960753.5485402278</v>
          </cell>
          <cell r="AF16">
            <v>2169039.4613391184</v>
          </cell>
        </row>
        <row r="17">
          <cell r="G17">
            <v>229756.08545124519</v>
          </cell>
          <cell r="H17">
            <v>212370.47089883956</v>
          </cell>
          <cell r="I17">
            <v>237682.19244009253</v>
          </cell>
          <cell r="J17">
            <v>245813.77863530687</v>
          </cell>
          <cell r="K17">
            <v>244944.57412148331</v>
          </cell>
          <cell r="L17">
            <v>242248.94557087295</v>
          </cell>
          <cell r="M17">
            <v>252074.5546949922</v>
          </cell>
          <cell r="N17">
            <v>250164.82166009856</v>
          </cell>
          <cell r="O17">
            <v>241137.02156471263</v>
          </cell>
          <cell r="P17">
            <v>269210.29187254992</v>
          </cell>
          <cell r="Q17">
            <v>267350.81163003418</v>
          </cell>
          <cell r="R17">
            <v>249157.91279889052</v>
          </cell>
          <cell r="S17">
            <v>2941911.4613391184</v>
          </cell>
          <cell r="U17"/>
          <cell r="V17">
            <v>442126.55635008472</v>
          </cell>
          <cell r="W17">
            <v>679808.74879017728</v>
          </cell>
          <cell r="X17">
            <v>925622.52742548415</v>
          </cell>
          <cell r="Y17">
            <v>1170567.1015469674</v>
          </cell>
          <cell r="Z17">
            <v>1412816.0471178405</v>
          </cell>
          <cell r="AA17">
            <v>1664890.6018128325</v>
          </cell>
          <cell r="AB17">
            <v>1915055.4234729311</v>
          </cell>
          <cell r="AC17">
            <v>2156192.4450376439</v>
          </cell>
          <cell r="AD17">
            <v>2425402.7369101937</v>
          </cell>
          <cell r="AE17">
            <v>2692753.548540228</v>
          </cell>
          <cell r="AF17">
            <v>2941911.4613391184</v>
          </cell>
        </row>
        <row r="18">
          <cell r="G18">
            <v>285000</v>
          </cell>
          <cell r="H18">
            <v>285000</v>
          </cell>
          <cell r="I18">
            <v>304000</v>
          </cell>
          <cell r="J18">
            <v>285000</v>
          </cell>
          <cell r="K18">
            <v>285000</v>
          </cell>
          <cell r="L18">
            <v>285000</v>
          </cell>
          <cell r="M18">
            <v>285000</v>
          </cell>
          <cell r="N18">
            <v>285000</v>
          </cell>
          <cell r="O18">
            <v>285000</v>
          </cell>
          <cell r="P18">
            <v>266000</v>
          </cell>
          <cell r="Q18">
            <v>266000</v>
          </cell>
          <cell r="R18">
            <v>266000</v>
          </cell>
          <cell r="S18">
            <v>3382000</v>
          </cell>
          <cell r="U18"/>
          <cell r="V18">
            <v>570000</v>
          </cell>
          <cell r="W18">
            <v>874000</v>
          </cell>
          <cell r="X18">
            <v>1159000</v>
          </cell>
          <cell r="Y18">
            <v>1444000</v>
          </cell>
          <cell r="Z18">
            <v>1729000</v>
          </cell>
          <cell r="AA18">
            <v>2014000</v>
          </cell>
          <cell r="AB18">
            <v>2299000</v>
          </cell>
          <cell r="AC18">
            <v>2584000</v>
          </cell>
          <cell r="AD18">
            <v>2850000</v>
          </cell>
          <cell r="AE18">
            <v>3116000</v>
          </cell>
          <cell r="AF18">
            <v>3382000</v>
          </cell>
        </row>
        <row r="19">
          <cell r="G19">
            <v>194650.76637258488</v>
          </cell>
          <cell r="H19">
            <v>174106.42596871531</v>
          </cell>
          <cell r="I19">
            <v>207773.74986326191</v>
          </cell>
          <cell r="J19">
            <v>219823.22073680931</v>
          </cell>
          <cell r="K19">
            <v>220533.43754724131</v>
          </cell>
          <cell r="L19">
            <v>220892.58503986849</v>
          </cell>
          <cell r="M19">
            <v>238682.01599255495</v>
          </cell>
          <cell r="N19">
            <v>239338.10901844571</v>
          </cell>
          <cell r="O19">
            <v>218302.08842279902</v>
          </cell>
          <cell r="P19">
            <v>254805.26721638301</v>
          </cell>
          <cell r="Q19">
            <v>255744.23828637449</v>
          </cell>
          <cell r="R19">
            <v>255219.301005852</v>
          </cell>
          <cell r="S19">
            <v>2699871.2054708907</v>
          </cell>
          <cell r="U19"/>
          <cell r="V19">
            <v>368757.19234130019</v>
          </cell>
          <cell r="W19">
            <v>576530.94220456213</v>
          </cell>
          <cell r="X19">
            <v>796354.16294137144</v>
          </cell>
          <cell r="Y19">
            <v>1016887.6004886128</v>
          </cell>
          <cell r="Z19">
            <v>1237780.1855284814</v>
          </cell>
          <cell r="AA19">
            <v>1476462.2015210362</v>
          </cell>
          <cell r="AB19">
            <v>1715800.3105394819</v>
          </cell>
          <cell r="AC19">
            <v>1934102.3989622809</v>
          </cell>
          <cell r="AD19">
            <v>2188907.6661786642</v>
          </cell>
          <cell r="AE19">
            <v>2444651.9044650388</v>
          </cell>
          <cell r="AF19">
            <v>2699871.2054708907</v>
          </cell>
        </row>
        <row r="20">
          <cell r="G20">
            <v>479650.76637258485</v>
          </cell>
          <cell r="H20">
            <v>459106.42596871534</v>
          </cell>
          <cell r="I20">
            <v>511773.74986326194</v>
          </cell>
          <cell r="J20">
            <v>504823.22073680931</v>
          </cell>
          <cell r="K20">
            <v>505533.43754724134</v>
          </cell>
          <cell r="L20">
            <v>505892.58503986849</v>
          </cell>
          <cell r="M20">
            <v>523682.01599255495</v>
          </cell>
          <cell r="N20">
            <v>524338.10901844571</v>
          </cell>
          <cell r="O20">
            <v>503302.08842279902</v>
          </cell>
          <cell r="P20">
            <v>520805.26721638301</v>
          </cell>
          <cell r="Q20">
            <v>521744.23828637449</v>
          </cell>
          <cell r="R20">
            <v>521219.301005852</v>
          </cell>
          <cell r="S20">
            <v>6081871.2054708889</v>
          </cell>
          <cell r="V20">
            <v>938757.19234130019</v>
          </cell>
          <cell r="W20">
            <v>1450530.942204562</v>
          </cell>
          <cell r="X20">
            <v>1955354.1629413716</v>
          </cell>
          <cell r="Y20">
            <v>2460887.6004886129</v>
          </cell>
          <cell r="Z20">
            <v>2966780.1855284814</v>
          </cell>
          <cell r="AA20">
            <v>3490462.2015210362</v>
          </cell>
          <cell r="AB20">
            <v>4014800.3105394822</v>
          </cell>
          <cell r="AC20">
            <v>4518102.3989622807</v>
          </cell>
          <cell r="AD20">
            <v>5038907.6661786642</v>
          </cell>
          <cell r="AE20">
            <v>5560651.9044650383</v>
          </cell>
          <cell r="AF20">
            <v>6081871.2054708907</v>
          </cell>
        </row>
        <row r="21">
          <cell r="G21">
            <v>357000</v>
          </cell>
          <cell r="H21">
            <v>357000</v>
          </cell>
          <cell r="I21">
            <v>376000</v>
          </cell>
          <cell r="J21">
            <v>357000</v>
          </cell>
          <cell r="K21">
            <v>357000</v>
          </cell>
          <cell r="L21">
            <v>357000</v>
          </cell>
          <cell r="M21">
            <v>345000</v>
          </cell>
          <cell r="N21">
            <v>345000</v>
          </cell>
          <cell r="O21">
            <v>345000</v>
          </cell>
          <cell r="P21">
            <v>326000</v>
          </cell>
          <cell r="Q21">
            <v>326000</v>
          </cell>
          <cell r="R21">
            <v>306872</v>
          </cell>
          <cell r="S21">
            <v>4154872</v>
          </cell>
          <cell r="V21">
            <v>714000</v>
          </cell>
          <cell r="W21">
            <v>1090000</v>
          </cell>
          <cell r="X21">
            <v>1447000</v>
          </cell>
          <cell r="Y21">
            <v>1804000</v>
          </cell>
          <cell r="Z21">
            <v>2161000</v>
          </cell>
          <cell r="AA21">
            <v>2506000</v>
          </cell>
          <cell r="AB21">
            <v>2851000</v>
          </cell>
          <cell r="AC21">
            <v>3196000</v>
          </cell>
          <cell r="AD21">
            <v>3522000</v>
          </cell>
          <cell r="AE21">
            <v>3848000</v>
          </cell>
          <cell r="AF21">
            <v>4154872</v>
          </cell>
        </row>
        <row r="22">
          <cell r="G22">
            <v>352406.85182383005</v>
          </cell>
          <cell r="H22">
            <v>314476.89686755487</v>
          </cell>
          <cell r="I22">
            <v>373455.94230335444</v>
          </cell>
          <cell r="J22">
            <v>393636.99937211617</v>
          </cell>
          <cell r="K22">
            <v>393478.01166872459</v>
          </cell>
          <cell r="L22">
            <v>391141.53061074147</v>
          </cell>
          <cell r="M22">
            <v>430756.57068754715</v>
          </cell>
          <cell r="N22">
            <v>429502.93067854427</v>
          </cell>
          <cell r="O22">
            <v>399439.10998751165</v>
          </cell>
          <cell r="P22">
            <v>464015.55908893293</v>
          </cell>
          <cell r="Q22">
            <v>463095.04991640867</v>
          </cell>
          <cell r="R22">
            <v>463505.21380474255</v>
          </cell>
          <cell r="S22">
            <v>4868910.6668100087</v>
          </cell>
          <cell r="V22">
            <v>666883.74869138491</v>
          </cell>
          <cell r="W22">
            <v>1040339.6909947394</v>
          </cell>
          <cell r="X22">
            <v>1433976.6903668556</v>
          </cell>
          <cell r="Y22">
            <v>1827454.7020355803</v>
          </cell>
          <cell r="Z22">
            <v>2218596.2326463219</v>
          </cell>
          <cell r="AA22">
            <v>2649352.8033338687</v>
          </cell>
          <cell r="AB22">
            <v>3078855.7340124128</v>
          </cell>
          <cell r="AC22">
            <v>3478294.8439999251</v>
          </cell>
          <cell r="AD22">
            <v>3942310.4030888579</v>
          </cell>
          <cell r="AE22">
            <v>4405405.4530052664</v>
          </cell>
          <cell r="AF22">
            <v>4868910.6668100096</v>
          </cell>
        </row>
        <row r="23">
          <cell r="G23">
            <v>709406.85182383005</v>
          </cell>
          <cell r="H23">
            <v>671476.89686755487</v>
          </cell>
          <cell r="I23">
            <v>749455.94230335439</v>
          </cell>
          <cell r="J23">
            <v>750636.99937211617</v>
          </cell>
          <cell r="K23">
            <v>750478.01166872459</v>
          </cell>
          <cell r="L23">
            <v>748141.53061074147</v>
          </cell>
          <cell r="M23">
            <v>775756.57068754709</v>
          </cell>
          <cell r="N23">
            <v>774502.93067854433</v>
          </cell>
          <cell r="O23">
            <v>744439.10998751165</v>
          </cell>
          <cell r="P23">
            <v>790015.55908893293</v>
          </cell>
          <cell r="Q23">
            <v>789095.04991640872</v>
          </cell>
          <cell r="R23">
            <v>770377.21380474255</v>
          </cell>
          <cell r="S23">
            <v>9023782.6668100096</v>
          </cell>
          <cell r="V23">
            <v>1380883.7486913849</v>
          </cell>
          <cell r="W23">
            <v>2130339.6909947395</v>
          </cell>
          <cell r="X23">
            <v>2880976.6903668558</v>
          </cell>
          <cell r="Y23">
            <v>3631454.7020355803</v>
          </cell>
          <cell r="Z23">
            <v>4379596.2326463219</v>
          </cell>
          <cell r="AA23">
            <v>5155352.8033338692</v>
          </cell>
          <cell r="AB23">
            <v>5929855.7340124128</v>
          </cell>
          <cell r="AC23">
            <v>6674294.8439999251</v>
          </cell>
          <cell r="AD23">
            <v>7464310.4030888584</v>
          </cell>
          <cell r="AE23">
            <v>8253405.4530052664</v>
          </cell>
          <cell r="AF23">
            <v>9023782.6668100096</v>
          </cell>
        </row>
        <row r="24">
          <cell r="G24">
            <v>104775.03124906031</v>
          </cell>
          <cell r="H24">
            <v>95295.473954837333</v>
          </cell>
          <cell r="I24">
            <v>91563.084306560297</v>
          </cell>
          <cell r="J24">
            <v>87000.224548306564</v>
          </cell>
          <cell r="K24">
            <v>97212.562428041681</v>
          </cell>
          <cell r="L24">
            <v>90703.546439333411</v>
          </cell>
          <cell r="M24">
            <v>77332.772298527168</v>
          </cell>
          <cell r="N24">
            <v>72936.519837368818</v>
          </cell>
          <cell r="O24">
            <v>79856.211814888607</v>
          </cell>
          <cell r="P24">
            <v>71421.792317589046</v>
          </cell>
          <cell r="Q24">
            <v>74452.947069168877</v>
          </cell>
          <cell r="R24">
            <v>48992.802610919891</v>
          </cell>
          <cell r="S24">
            <v>991542.96887460211</v>
          </cell>
          <cell r="U24"/>
          <cell r="V24">
            <v>200070.50520389766</v>
          </cell>
          <cell r="W24">
            <v>291633.58951045794</v>
          </cell>
          <cell r="X24">
            <v>378633.81405876449</v>
          </cell>
          <cell r="Y24">
            <v>475846.3764868062</v>
          </cell>
          <cell r="Z24">
            <v>566549.92292613955</v>
          </cell>
          <cell r="AA24">
            <v>643882.69522466674</v>
          </cell>
          <cell r="AB24">
            <v>716819.2150620356</v>
          </cell>
          <cell r="AC24">
            <v>796675.42687692423</v>
          </cell>
          <cell r="AD24">
            <v>868097.21919451328</v>
          </cell>
          <cell r="AE24">
            <v>942550.16626368219</v>
          </cell>
          <cell r="AF24">
            <v>991542.96887460211</v>
          </cell>
        </row>
        <row r="25">
          <cell r="G25">
            <v>172176.02898837128</v>
          </cell>
          <cell r="H25">
            <v>139340.31826633977</v>
          </cell>
          <cell r="I25">
            <v>158024.71410924935</v>
          </cell>
          <cell r="J25">
            <v>157519.14344647239</v>
          </cell>
          <cell r="K25">
            <v>175129.01258724771</v>
          </cell>
          <cell r="L25">
            <v>160856.07438370021</v>
          </cell>
          <cell r="M25">
            <v>185670.72253211043</v>
          </cell>
          <cell r="N25">
            <v>173374.50359226853</v>
          </cell>
          <cell r="O25">
            <v>180811.45451987171</v>
          </cell>
          <cell r="P25">
            <v>186777.17521029309</v>
          </cell>
          <cell r="Q25">
            <v>192973.48753800176</v>
          </cell>
          <cell r="R25">
            <v>187252.47013342843</v>
          </cell>
          <cell r="S25">
            <v>2069905.1053073548</v>
          </cell>
          <cell r="U25"/>
          <cell r="V25">
            <v>311516.34725471109</v>
          </cell>
          <cell r="W25">
            <v>469541.06136396044</v>
          </cell>
          <cell r="X25">
            <v>627060.20481043286</v>
          </cell>
          <cell r="Y25">
            <v>802189.21739768051</v>
          </cell>
          <cell r="Z25">
            <v>963045.29178138077</v>
          </cell>
          <cell r="AA25">
            <v>1148716.0143134913</v>
          </cell>
          <cell r="AB25">
            <v>1322090.5179057599</v>
          </cell>
          <cell r="AC25">
            <v>1502901.9724256315</v>
          </cell>
          <cell r="AD25">
            <v>1689679.1476359246</v>
          </cell>
          <cell r="AE25">
            <v>1882652.6351739264</v>
          </cell>
          <cell r="AF25">
            <v>2069905.1053073548</v>
          </cell>
        </row>
        <row r="26">
          <cell r="G26">
            <v>276951.06023743161</v>
          </cell>
          <cell r="H26">
            <v>234635.79222117711</v>
          </cell>
          <cell r="I26">
            <v>249587.79841580964</v>
          </cell>
          <cell r="J26">
            <v>244519.36799477896</v>
          </cell>
          <cell r="K26">
            <v>272341.57501528936</v>
          </cell>
          <cell r="L26">
            <v>251559.62082303362</v>
          </cell>
          <cell r="M26">
            <v>263003.49483063759</v>
          </cell>
          <cell r="N26">
            <v>246311.02342963737</v>
          </cell>
          <cell r="O26">
            <v>260667.66633476032</v>
          </cell>
          <cell r="P26">
            <v>258198.96752788214</v>
          </cell>
          <cell r="Q26">
            <v>267426.43460717064</v>
          </cell>
          <cell r="R26">
            <v>236245.27274434833</v>
          </cell>
          <cell r="S26">
            <v>3061448.0741819567</v>
          </cell>
          <cell r="U26"/>
          <cell r="V26">
            <v>511586.85245860874</v>
          </cell>
          <cell r="W26">
            <v>761174.65087441844</v>
          </cell>
          <cell r="X26">
            <v>1005694.0188691973</v>
          </cell>
          <cell r="Y26">
            <v>1278035.5938844867</v>
          </cell>
          <cell r="Z26">
            <v>1529595.2147075203</v>
          </cell>
          <cell r="AA26">
            <v>1792598.709538158</v>
          </cell>
          <cell r="AB26">
            <v>2038909.7329677953</v>
          </cell>
          <cell r="AC26">
            <v>2299577.3993025557</v>
          </cell>
          <cell r="AD26">
            <v>2557776.3668304379</v>
          </cell>
          <cell r="AE26">
            <v>2825202.8014376084</v>
          </cell>
          <cell r="AF26">
            <v>3061448.0741819572</v>
          </cell>
        </row>
        <row r="27">
          <cell r="G27">
            <v>261937.5781226508</v>
          </cell>
          <cell r="H27">
            <v>238238.68488709343</v>
          </cell>
          <cell r="I27">
            <v>244168.22481749408</v>
          </cell>
          <cell r="J27">
            <v>217500.56137076643</v>
          </cell>
          <cell r="K27">
            <v>243031.40607010422</v>
          </cell>
          <cell r="L27">
            <v>226758.8660983335</v>
          </cell>
          <cell r="M27">
            <v>231998.31689558155</v>
          </cell>
          <cell r="N27">
            <v>218809.55951210644</v>
          </cell>
          <cell r="O27">
            <v>239568.63544466591</v>
          </cell>
          <cell r="P27">
            <v>199981.01848924937</v>
          </cell>
          <cell r="Q27">
            <v>208468.25179367285</v>
          </cell>
          <cell r="R27">
            <v>201379.69364441533</v>
          </cell>
          <cell r="S27">
            <v>2731840.7971461336</v>
          </cell>
          <cell r="U27"/>
          <cell r="V27">
            <v>500176.26300974423</v>
          </cell>
          <cell r="W27">
            <v>744344.48782723828</v>
          </cell>
          <cell r="X27">
            <v>961845.04919800465</v>
          </cell>
          <cell r="Y27">
            <v>1204876.4552681088</v>
          </cell>
          <cell r="Z27">
            <v>1431635.3213664424</v>
          </cell>
          <cell r="AA27">
            <v>1663633.6382620239</v>
          </cell>
          <cell r="AB27">
            <v>1882443.1977741304</v>
          </cell>
          <cell r="AC27">
            <v>2122011.8332187962</v>
          </cell>
          <cell r="AD27">
            <v>2321992.8517080457</v>
          </cell>
          <cell r="AE27">
            <v>2530461.1035017185</v>
          </cell>
          <cell r="AF27">
            <v>2731840.7971461336</v>
          </cell>
        </row>
        <row r="28">
          <cell r="G28">
            <v>153854.18139910226</v>
          </cell>
          <cell r="H28">
            <v>125206.00659610266</v>
          </cell>
          <cell r="I28">
            <v>143680.65161187047</v>
          </cell>
          <cell r="J28">
            <v>144574.27738471929</v>
          </cell>
          <cell r="K28">
            <v>162038.03851877406</v>
          </cell>
          <cell r="L28">
            <v>151241.91189022563</v>
          </cell>
          <cell r="M28">
            <v>166959.13640218694</v>
          </cell>
          <cell r="N28">
            <v>157885.1500927578</v>
          </cell>
          <cell r="O28">
            <v>156442.24659657638</v>
          </cell>
          <cell r="P28">
            <v>164128.49048630279</v>
          </cell>
          <cell r="Q28">
            <v>171702.0413004006</v>
          </cell>
          <cell r="R28">
            <v>165550.45602634683</v>
          </cell>
          <cell r="S28">
            <v>1863262.588305366</v>
          </cell>
          <cell r="U28"/>
          <cell r="V28">
            <v>279060.18799520493</v>
          </cell>
          <cell r="W28">
            <v>422740.83960707544</v>
          </cell>
          <cell r="X28">
            <v>567315.11699179467</v>
          </cell>
          <cell r="Y28">
            <v>729353.15551056876</v>
          </cell>
          <cell r="Z28">
            <v>880595.06740079436</v>
          </cell>
          <cell r="AA28">
            <v>1047554.2038029813</v>
          </cell>
          <cell r="AB28">
            <v>1205439.3538957392</v>
          </cell>
          <cell r="AC28">
            <v>1361881.6004923156</v>
          </cell>
          <cell r="AD28">
            <v>1526010.0909786185</v>
          </cell>
          <cell r="AE28">
            <v>1697712.1322790191</v>
          </cell>
          <cell r="AF28">
            <v>1863262.588305366</v>
          </cell>
        </row>
        <row r="29">
          <cell r="G29">
            <v>415791.75952175306</v>
          </cell>
          <cell r="H29">
            <v>363444.6914831961</v>
          </cell>
          <cell r="I29">
            <v>387848.87642936455</v>
          </cell>
          <cell r="J29">
            <v>362074.83875548572</v>
          </cell>
          <cell r="K29">
            <v>405069.44458887831</v>
          </cell>
          <cell r="L29">
            <v>378000.7779885591</v>
          </cell>
          <cell r="M29">
            <v>398957.45329776849</v>
          </cell>
          <cell r="N29">
            <v>376694.70960486424</v>
          </cell>
          <cell r="O29">
            <v>396010.88204124232</v>
          </cell>
          <cell r="P29">
            <v>364109.50897555216</v>
          </cell>
          <cell r="Q29">
            <v>380170.29309407342</v>
          </cell>
          <cell r="R29">
            <v>366930.14967076213</v>
          </cell>
          <cell r="S29">
            <v>4595103.3854514994</v>
          </cell>
          <cell r="U29"/>
          <cell r="V29">
            <v>779236.45100494917</v>
          </cell>
          <cell r="W29">
            <v>1167085.3274343137</v>
          </cell>
          <cell r="X29">
            <v>1529160.1661897993</v>
          </cell>
          <cell r="Y29">
            <v>1934229.6107786775</v>
          </cell>
          <cell r="Z29">
            <v>2312230.3887672368</v>
          </cell>
          <cell r="AA29">
            <v>2711187.8420650051</v>
          </cell>
          <cell r="AB29">
            <v>3087882.5516698696</v>
          </cell>
          <cell r="AC29">
            <v>3483893.4337111115</v>
          </cell>
          <cell r="AD29">
            <v>3848002.9426866639</v>
          </cell>
          <cell r="AE29">
            <v>4228173.2357807374</v>
          </cell>
          <cell r="AF29">
            <v>4595103.3854514994</v>
          </cell>
        </row>
        <row r="30">
          <cell r="G30">
            <v>366712.60937171109</v>
          </cell>
          <cell r="H30">
            <v>333534.1588419308</v>
          </cell>
          <cell r="I30">
            <v>335731.30912405439</v>
          </cell>
          <cell r="J30">
            <v>304500.78591907298</v>
          </cell>
          <cell r="K30">
            <v>340243.96849814593</v>
          </cell>
          <cell r="L30">
            <v>317462.41253766691</v>
          </cell>
          <cell r="M30">
            <v>309331.08919410873</v>
          </cell>
          <cell r="N30">
            <v>291746.07934947527</v>
          </cell>
          <cell r="O30">
            <v>319424.84725955455</v>
          </cell>
          <cell r="P30">
            <v>271402.81080683845</v>
          </cell>
          <cell r="Q30">
            <v>282921.1988628417</v>
          </cell>
          <cell r="R30">
            <v>250372.49625533522</v>
          </cell>
          <cell r="S30">
            <v>3723383.7660207367</v>
          </cell>
          <cell r="U30"/>
          <cell r="V30">
            <v>700246.76821364183</v>
          </cell>
          <cell r="W30">
            <v>1035978.0773376962</v>
          </cell>
          <cell r="X30">
            <v>1340478.8632567693</v>
          </cell>
          <cell r="Y30">
            <v>1680722.831754915</v>
          </cell>
          <cell r="Z30">
            <v>1998185.2442925819</v>
          </cell>
          <cell r="AA30">
            <v>2307516.3334866907</v>
          </cell>
          <cell r="AB30">
            <v>2599262.4128361661</v>
          </cell>
          <cell r="AC30">
            <v>2918687.2600957202</v>
          </cell>
          <cell r="AD30">
            <v>3190090.070902559</v>
          </cell>
          <cell r="AE30">
            <v>3473011.2697654008</v>
          </cell>
          <cell r="AF30">
            <v>3723383.7660207357</v>
          </cell>
        </row>
        <row r="31">
          <cell r="G31">
            <v>326030.21038747358</v>
          </cell>
          <cell r="H31">
            <v>264546.32486244245</v>
          </cell>
          <cell r="I31">
            <v>301705.3657211198</v>
          </cell>
          <cell r="J31">
            <v>302093.4208311917</v>
          </cell>
          <cell r="K31">
            <v>337167.05110602174</v>
          </cell>
          <cell r="L31">
            <v>312097.98627392587</v>
          </cell>
          <cell r="M31">
            <v>352629.85893429734</v>
          </cell>
          <cell r="N31">
            <v>331259.65368502634</v>
          </cell>
          <cell r="O31">
            <v>337253.70111644809</v>
          </cell>
          <cell r="P31">
            <v>350905.66569659591</v>
          </cell>
          <cell r="Q31">
            <v>364675.52883840236</v>
          </cell>
          <cell r="R31">
            <v>352802.92615977523</v>
          </cell>
          <cell r="S31">
            <v>3933167.6936127204</v>
          </cell>
          <cell r="U31"/>
          <cell r="V31">
            <v>590576.53524991602</v>
          </cell>
          <cell r="W31">
            <v>892281.90097103594</v>
          </cell>
          <cell r="X31">
            <v>1194375.3218022275</v>
          </cell>
          <cell r="Y31">
            <v>1531542.3729082493</v>
          </cell>
          <cell r="Z31">
            <v>1843640.3591821752</v>
          </cell>
          <cell r="AA31">
            <v>2196270.2181164725</v>
          </cell>
          <cell r="AB31">
            <v>2527529.8718014993</v>
          </cell>
          <cell r="AC31">
            <v>2864783.5729179471</v>
          </cell>
          <cell r="AD31">
            <v>3215689.2386145433</v>
          </cell>
          <cell r="AE31">
            <v>3580364.7674529455</v>
          </cell>
          <cell r="AF31">
            <v>3933167.6936127208</v>
          </cell>
        </row>
        <row r="32">
          <cell r="G32">
            <v>692742.81975918473</v>
          </cell>
          <cell r="H32">
            <v>598080.48370437324</v>
          </cell>
          <cell r="I32">
            <v>637436.67484517419</v>
          </cell>
          <cell r="J32">
            <v>606594.20675026462</v>
          </cell>
          <cell r="K32">
            <v>677411.01960416767</v>
          </cell>
          <cell r="L32">
            <v>629560.39881159272</v>
          </cell>
          <cell r="M32">
            <v>661960.94812840607</v>
          </cell>
          <cell r="N32">
            <v>623005.73303450155</v>
          </cell>
          <cell r="O32">
            <v>656678.54837600258</v>
          </cell>
          <cell r="P32">
            <v>622308.47650343436</v>
          </cell>
          <cell r="Q32">
            <v>647596.72770124406</v>
          </cell>
          <cell r="R32">
            <v>603175.42241511052</v>
          </cell>
          <cell r="S32">
            <v>7656551.4596334565</v>
          </cell>
          <cell r="U32"/>
          <cell r="V32">
            <v>1290823.3034635577</v>
          </cell>
          <cell r="W32">
            <v>1928259.9783087322</v>
          </cell>
          <cell r="X32">
            <v>2534854.185058997</v>
          </cell>
          <cell r="Y32">
            <v>3212265.204663164</v>
          </cell>
          <cell r="Z32">
            <v>3841825.6034747572</v>
          </cell>
          <cell r="AA32">
            <v>4503786.5516031627</v>
          </cell>
          <cell r="AB32">
            <v>5126792.2846376654</v>
          </cell>
          <cell r="AC32">
            <v>5783470.8330136668</v>
          </cell>
          <cell r="AD32">
            <v>6405779.3095171023</v>
          </cell>
          <cell r="AE32">
            <v>7053376.0372183463</v>
          </cell>
          <cell r="AF32">
            <v>7656551.4596334565</v>
          </cell>
        </row>
        <row r="33">
          <cell r="G33">
            <v>-32775.03124906031</v>
          </cell>
          <cell r="H33">
            <v>-23295.473954837333</v>
          </cell>
          <cell r="I33">
            <v>-19563.084306560297</v>
          </cell>
          <cell r="J33">
            <v>-15000.224548306564</v>
          </cell>
          <cell r="K33">
            <v>-25212.562428041681</v>
          </cell>
          <cell r="L33">
            <v>-18703.546439333411</v>
          </cell>
          <cell r="M33">
            <v>-17332.772298527168</v>
          </cell>
          <cell r="N33">
            <v>-12936.519837368818</v>
          </cell>
          <cell r="O33">
            <v>-19856.211814888607</v>
          </cell>
          <cell r="P33">
            <v>-11421.792317589046</v>
          </cell>
          <cell r="Q33">
            <v>-14452.947069168877</v>
          </cell>
          <cell r="R33">
            <v>-8120.8026109198909</v>
          </cell>
          <cell r="S33">
            <v>-218670.96887460203</v>
          </cell>
          <cell r="V33">
            <v>-56070.505203897657</v>
          </cell>
          <cell r="W33">
            <v>-75633.589510457939</v>
          </cell>
          <cell r="X33">
            <v>-90633.814058764488</v>
          </cell>
          <cell r="Y33">
            <v>-115846.3764868062</v>
          </cell>
          <cell r="Z33">
            <v>-134549.92292613955</v>
          </cell>
          <cell r="AA33">
            <v>-151882.69522466674</v>
          </cell>
          <cell r="AB33">
            <v>-164819.2150620356</v>
          </cell>
          <cell r="AC33">
            <v>-184675.42687692423</v>
          </cell>
          <cell r="AD33">
            <v>-196097.21919451328</v>
          </cell>
          <cell r="AE33">
            <v>-210550.16626368219</v>
          </cell>
          <cell r="AF33">
            <v>-218670.96887460211</v>
          </cell>
        </row>
        <row r="34">
          <cell r="G34">
            <v>-14419.943537126092</v>
          </cell>
          <cell r="H34">
            <v>1030.1526324997831</v>
          </cell>
          <cell r="I34">
            <v>7657.4783308431797</v>
          </cell>
          <cell r="J34">
            <v>16294.63518883448</v>
          </cell>
          <cell r="K34">
            <v>-2184.4384657643968</v>
          </cell>
          <cell r="L34">
            <v>9392.8711871727428</v>
          </cell>
          <cell r="M34">
            <v>6403.8321628817648</v>
          </cell>
          <cell r="N34">
            <v>16790.318067830027</v>
          </cell>
          <cell r="O34">
            <v>325.56704484092188</v>
          </cell>
          <cell r="P34">
            <v>22433.116662256798</v>
          </cell>
          <cell r="Q34">
            <v>14377.324092032417</v>
          </cell>
          <cell r="R34">
            <v>21033.442665462091</v>
          </cell>
          <cell r="S34">
            <v>99134.356031763717</v>
          </cell>
          <cell r="V34">
            <v>-13389.790904626367</v>
          </cell>
          <cell r="W34">
            <v>-5732.3125737831579</v>
          </cell>
          <cell r="X34">
            <v>10562.322615051293</v>
          </cell>
          <cell r="Y34">
            <v>8377.884149286896</v>
          </cell>
          <cell r="Z34">
            <v>17770.75533645961</v>
          </cell>
          <cell r="AA34">
            <v>24174.587499341229</v>
          </cell>
          <cell r="AB34">
            <v>40964.905567171285</v>
          </cell>
          <cell r="AC34">
            <v>41290.472612012411</v>
          </cell>
          <cell r="AD34">
            <v>63723.589274269063</v>
          </cell>
          <cell r="AE34">
            <v>78100.913366301451</v>
          </cell>
          <cell r="AF34">
            <v>99134.3560317636</v>
          </cell>
        </row>
        <row r="35">
          <cell r="G35">
            <v>-47194.974786186402</v>
          </cell>
          <cell r="H35">
            <v>-22265.32132233755</v>
          </cell>
          <cell r="I35">
            <v>-11905.605975717117</v>
          </cell>
          <cell r="J35">
            <v>1294.4106405279163</v>
          </cell>
          <cell r="K35">
            <v>-27397.000893806078</v>
          </cell>
          <cell r="L35">
            <v>-9310.6752521606686</v>
          </cell>
          <cell r="M35">
            <v>-10928.940135645404</v>
          </cell>
          <cell r="N35">
            <v>3853.7982304612087</v>
          </cell>
          <cell r="O35">
            <v>-19530.644770047686</v>
          </cell>
          <cell r="P35">
            <v>11011.324344667752</v>
          </cell>
          <cell r="Q35">
            <v>-75.622977136459667</v>
          </cell>
          <cell r="R35">
            <v>12912.6400545422</v>
          </cell>
          <cell r="S35">
            <v>-119536.61284283828</v>
          </cell>
          <cell r="V35">
            <v>-69460.296108524024</v>
          </cell>
          <cell r="W35">
            <v>-81365.902084241097</v>
          </cell>
          <cell r="X35">
            <v>-80071.491443713196</v>
          </cell>
          <cell r="Y35">
            <v>-107468.4923375193</v>
          </cell>
          <cell r="Z35">
            <v>-116779.16758967994</v>
          </cell>
          <cell r="AA35">
            <v>-127708.10772532551</v>
          </cell>
          <cell r="AB35">
            <v>-123854.30949486431</v>
          </cell>
          <cell r="AC35">
            <v>-143384.95426491182</v>
          </cell>
          <cell r="AD35">
            <v>-132373.62992024422</v>
          </cell>
          <cell r="AE35">
            <v>-132449.25289738073</v>
          </cell>
          <cell r="AF35">
            <v>-119536.61284283851</v>
          </cell>
        </row>
        <row r="36">
          <cell r="G36">
            <v>23062.421877349203</v>
          </cell>
          <cell r="H36">
            <v>46761.315112906566</v>
          </cell>
          <cell r="I36">
            <v>59831.775182505924</v>
          </cell>
          <cell r="J36">
            <v>67499.438629233569</v>
          </cell>
          <cell r="K36">
            <v>41968.593929895782</v>
          </cell>
          <cell r="L36">
            <v>58241.133901666501</v>
          </cell>
          <cell r="M36">
            <v>53001.683104418451</v>
          </cell>
          <cell r="N36">
            <v>66190.44048789356</v>
          </cell>
          <cell r="O36">
            <v>45431.36455533409</v>
          </cell>
          <cell r="P36">
            <v>66018.981510750629</v>
          </cell>
          <cell r="Q36">
            <v>57531.748206327145</v>
          </cell>
          <cell r="R36">
            <v>64620.306355584675</v>
          </cell>
          <cell r="S36">
            <v>650159.20285386592</v>
          </cell>
          <cell r="V36">
            <v>69823.736990255769</v>
          </cell>
          <cell r="W36">
            <v>129655.51217276172</v>
          </cell>
          <cell r="X36">
            <v>197154.95080199535</v>
          </cell>
          <cell r="Y36">
            <v>239123.54473189125</v>
          </cell>
          <cell r="Z36">
            <v>297364.67863355763</v>
          </cell>
          <cell r="AA36">
            <v>350366.36173797608</v>
          </cell>
          <cell r="AB36">
            <v>416556.80222586961</v>
          </cell>
          <cell r="AC36">
            <v>461988.16678120382</v>
          </cell>
          <cell r="AD36">
            <v>528007.14829195431</v>
          </cell>
          <cell r="AE36">
            <v>585538.89649828151</v>
          </cell>
          <cell r="AF36">
            <v>650159.20285386639</v>
          </cell>
        </row>
        <row r="37">
          <cell r="G37">
            <v>40796.584973482619</v>
          </cell>
          <cell r="H37">
            <v>48900.419372612654</v>
          </cell>
          <cell r="I37">
            <v>64093.098251391435</v>
          </cell>
          <cell r="J37">
            <v>75248.94335209002</v>
          </cell>
          <cell r="K37">
            <v>58495.399028467247</v>
          </cell>
          <cell r="L37">
            <v>69650.673149642855</v>
          </cell>
          <cell r="M37">
            <v>71722.879590368015</v>
          </cell>
          <cell r="N37">
            <v>81452.958925687912</v>
          </cell>
          <cell r="O37">
            <v>61859.841826222633</v>
          </cell>
          <cell r="P37">
            <v>90676.776730080222</v>
          </cell>
          <cell r="Q37">
            <v>84042.196985973889</v>
          </cell>
          <cell r="R37">
            <v>89668.844979505171</v>
          </cell>
          <cell r="S37">
            <v>836608.61716552463</v>
          </cell>
          <cell r="V37">
            <v>89697.004346095258</v>
          </cell>
          <cell r="W37">
            <v>153790.10259748669</v>
          </cell>
          <cell r="X37">
            <v>229039.04594957677</v>
          </cell>
          <cell r="Y37">
            <v>287534.44497804402</v>
          </cell>
          <cell r="Z37">
            <v>357185.11812768702</v>
          </cell>
          <cell r="AA37">
            <v>428907.99771805492</v>
          </cell>
          <cell r="AB37">
            <v>510360.95664374274</v>
          </cell>
          <cell r="AC37">
            <v>572220.79846996535</v>
          </cell>
          <cell r="AD37">
            <v>662897.57520004571</v>
          </cell>
          <cell r="AE37">
            <v>746939.77218601969</v>
          </cell>
          <cell r="AF37">
            <v>836608.61716552475</v>
          </cell>
        </row>
        <row r="38">
          <cell r="G38">
            <v>63859.006850831822</v>
          </cell>
          <cell r="H38">
            <v>95661.73448551922</v>
          </cell>
          <cell r="I38">
            <v>123924.87343389736</v>
          </cell>
          <cell r="J38">
            <v>142748.38198132359</v>
          </cell>
          <cell r="K38">
            <v>100463.99295836303</v>
          </cell>
          <cell r="L38">
            <v>127891.80705130936</v>
          </cell>
          <cell r="M38">
            <v>124724.56269478647</v>
          </cell>
          <cell r="N38">
            <v>147643.39941358147</v>
          </cell>
          <cell r="O38">
            <v>107291.20638155672</v>
          </cell>
          <cell r="P38">
            <v>156695.75824083085</v>
          </cell>
          <cell r="Q38">
            <v>141573.94519230103</v>
          </cell>
          <cell r="R38">
            <v>154289.15133508985</v>
          </cell>
          <cell r="S38">
            <v>1486767.8200193907</v>
          </cell>
          <cell r="V38">
            <v>159520.74133635103</v>
          </cell>
          <cell r="W38">
            <v>283445.61477024842</v>
          </cell>
          <cell r="X38">
            <v>426193.99675157212</v>
          </cell>
          <cell r="Y38">
            <v>526657.98970993527</v>
          </cell>
          <cell r="Z38">
            <v>654549.79676124465</v>
          </cell>
          <cell r="AA38">
            <v>779274.359456031</v>
          </cell>
          <cell r="AB38">
            <v>926917.75886961236</v>
          </cell>
          <cell r="AC38">
            <v>1034208.9652511692</v>
          </cell>
          <cell r="AD38">
            <v>1190904.723492</v>
          </cell>
          <cell r="AE38">
            <v>1332478.6686843012</v>
          </cell>
          <cell r="AF38">
            <v>1486767.8200193911</v>
          </cell>
        </row>
        <row r="39">
          <cell r="G39">
            <v>-9712.6093717111071</v>
          </cell>
          <cell r="H39">
            <v>23465.841158069234</v>
          </cell>
          <cell r="I39">
            <v>40268.690875945627</v>
          </cell>
          <cell r="J39">
            <v>52499.214080927006</v>
          </cell>
          <cell r="K39">
            <v>16756.0315018541</v>
          </cell>
          <cell r="L39">
            <v>39537.587462333089</v>
          </cell>
          <cell r="M39">
            <v>35668.910805891283</v>
          </cell>
          <cell r="N39">
            <v>53253.920650524742</v>
          </cell>
          <cell r="O39">
            <v>25575.152740445483</v>
          </cell>
          <cell r="P39">
            <v>54597.189193161583</v>
          </cell>
          <cell r="Q39">
            <v>43078.801137158269</v>
          </cell>
          <cell r="R39">
            <v>56499.503744664784</v>
          </cell>
          <cell r="S39">
            <v>431488.2339792641</v>
          </cell>
          <cell r="V39">
            <v>13753.231786358112</v>
          </cell>
          <cell r="W39">
            <v>54021.922662303783</v>
          </cell>
          <cell r="X39">
            <v>106521.13674323086</v>
          </cell>
          <cell r="Y39">
            <v>123277.16824508505</v>
          </cell>
          <cell r="Z39">
            <v>162814.75570741808</v>
          </cell>
          <cell r="AA39">
            <v>198483.66651330935</v>
          </cell>
          <cell r="AB39">
            <v>251737.58716383402</v>
          </cell>
          <cell r="AC39">
            <v>277312.73990427959</v>
          </cell>
          <cell r="AD39">
            <v>331909.92909744103</v>
          </cell>
          <cell r="AE39">
            <v>374988.73023459932</v>
          </cell>
          <cell r="AF39">
            <v>431488.23397926427</v>
          </cell>
        </row>
        <row r="40">
          <cell r="G40">
            <v>26376.641436356527</v>
          </cell>
          <cell r="H40">
            <v>49930.572005112437</v>
          </cell>
          <cell r="I40">
            <v>71750.576582234615</v>
          </cell>
          <cell r="J40">
            <v>91543.5785409245</v>
          </cell>
          <cell r="K40">
            <v>56310.96056270285</v>
          </cell>
          <cell r="L40">
            <v>79043.544336815597</v>
          </cell>
          <cell r="M40">
            <v>78126.71175324978</v>
          </cell>
          <cell r="N40">
            <v>98243.276993517939</v>
          </cell>
          <cell r="O40">
            <v>62185.408871063555</v>
          </cell>
          <cell r="P40">
            <v>113109.89339233702</v>
          </cell>
          <cell r="Q40">
            <v>98419.521078006306</v>
          </cell>
          <cell r="R40">
            <v>110702.28764496726</v>
          </cell>
          <cell r="S40">
            <v>935742.97319728835</v>
          </cell>
          <cell r="V40">
            <v>76307.213441468892</v>
          </cell>
          <cell r="W40">
            <v>148057.79002370354</v>
          </cell>
          <cell r="X40">
            <v>239601.36856462806</v>
          </cell>
          <cell r="Y40">
            <v>295912.32912733092</v>
          </cell>
          <cell r="Z40">
            <v>374955.87346414663</v>
          </cell>
          <cell r="AA40">
            <v>453082.58521739615</v>
          </cell>
          <cell r="AB40">
            <v>551325.86221091403</v>
          </cell>
          <cell r="AC40">
            <v>613511.27108197776</v>
          </cell>
          <cell r="AD40">
            <v>726621.16447431478</v>
          </cell>
          <cell r="AE40">
            <v>825040.68555232114</v>
          </cell>
          <cell r="AF40">
            <v>935742.97319728835</v>
          </cell>
        </row>
        <row r="41">
          <cell r="G41">
            <v>16664.03206464542</v>
          </cell>
          <cell r="H41">
            <v>73396.413163181671</v>
          </cell>
          <cell r="I41">
            <v>112019.26745818024</v>
          </cell>
          <cell r="J41">
            <v>144042.79262185149</v>
          </cell>
          <cell r="K41">
            <v>73066.992064556951</v>
          </cell>
          <cell r="L41">
            <v>118581.13179914869</v>
          </cell>
          <cell r="M41">
            <v>113795.62255914106</v>
          </cell>
          <cell r="N41">
            <v>151497.19764404267</v>
          </cell>
          <cell r="O41">
            <v>87760.561611509038</v>
          </cell>
          <cell r="P41">
            <v>167707.0825854986</v>
          </cell>
          <cell r="Q41">
            <v>141498.32221516458</v>
          </cell>
          <cell r="R41">
            <v>167201.79138963204</v>
          </cell>
          <cell r="S41">
            <v>1367231.2071765524</v>
          </cell>
          <cell r="V41">
            <v>90060.445227827004</v>
          </cell>
          <cell r="W41">
            <v>202079.71268600732</v>
          </cell>
          <cell r="X41">
            <v>346122.50530785893</v>
          </cell>
          <cell r="Y41">
            <v>419189.49737241596</v>
          </cell>
          <cell r="Z41">
            <v>537770.62917156471</v>
          </cell>
          <cell r="AA41">
            <v>651566.25173070549</v>
          </cell>
          <cell r="AB41">
            <v>803063.44937474804</v>
          </cell>
          <cell r="AC41">
            <v>890824.01098625734</v>
          </cell>
          <cell r="AD41">
            <v>1058531.0935717558</v>
          </cell>
          <cell r="AE41">
            <v>1200029.4157869206</v>
          </cell>
          <cell r="AF41">
            <v>1367231.2071765526</v>
          </cell>
        </row>
        <row r="42">
          <cell r="G42">
            <v>8546.8631434775489</v>
          </cell>
          <cell r="H42">
            <v>9059.2862968289937</v>
          </cell>
          <cell r="I42">
            <v>8167.0404730209075</v>
          </cell>
          <cell r="J42">
            <v>8154.6149023858734</v>
          </cell>
          <cell r="K42">
            <v>8159.2731994904007</v>
          </cell>
          <cell r="L42">
            <v>8191.5900050190912</v>
          </cell>
          <cell r="M42">
            <v>6642.2092241071095</v>
          </cell>
          <cell r="N42">
            <v>6656.3221905932414</v>
          </cell>
          <cell r="O42">
            <v>6914.1248311778872</v>
          </cell>
          <cell r="P42">
            <v>6525.3884398312539</v>
          </cell>
          <cell r="Q42">
            <v>6536.7005292296044</v>
          </cell>
          <cell r="R42">
            <v>4618.1707686494565</v>
          </cell>
          <cell r="S42">
            <v>88171.584003811382</v>
          </cell>
          <cell r="U42"/>
          <cell r="V42">
            <v>17606.149440306544</v>
          </cell>
          <cell r="W42">
            <v>25773.189913327453</v>
          </cell>
          <cell r="X42">
            <v>33927.804815713323</v>
          </cell>
          <cell r="Y42">
            <v>42087.078015203726</v>
          </cell>
          <cell r="Z42">
            <v>50278.668020222816</v>
          </cell>
          <cell r="AA42">
            <v>56920.877244329924</v>
          </cell>
          <cell r="AB42">
            <v>63577.199434923168</v>
          </cell>
          <cell r="AC42">
            <v>70491.324266101059</v>
          </cell>
          <cell r="AD42">
            <v>77016.71270593231</v>
          </cell>
          <cell r="AE42">
            <v>83553.413235161919</v>
          </cell>
          <cell r="AF42">
            <v>88171.584003811382</v>
          </cell>
        </row>
        <row r="43">
          <cell r="G43">
            <v>14044.996587526482</v>
          </cell>
          <cell r="H43">
            <v>13246.419619721775</v>
          </cell>
          <cell r="I43">
            <v>14095.137201219524</v>
          </cell>
          <cell r="J43">
            <v>14764.421140619508</v>
          </cell>
          <cell r="K43">
            <v>14698.979464861459</v>
          </cell>
          <cell r="L43">
            <v>14527.182926077105</v>
          </cell>
          <cell r="M43">
            <v>15947.492236391785</v>
          </cell>
          <cell r="N43">
            <v>15822.479028579004</v>
          </cell>
          <cell r="O43">
            <v>15655.049733077301</v>
          </cell>
          <cell r="P43">
            <v>17064.730250985744</v>
          </cell>
          <cell r="Q43">
            <v>16942.377001477907</v>
          </cell>
          <cell r="R43">
            <v>17650.83518073447</v>
          </cell>
          <cell r="S43">
            <v>184460.10037127204</v>
          </cell>
          <cell r="U43"/>
          <cell r="V43">
            <v>27291.416207248258</v>
          </cell>
          <cell r="W43">
            <v>41386.553408467778</v>
          </cell>
          <cell r="X43">
            <v>56150.974549087288</v>
          </cell>
          <cell r="Y43">
            <v>70849.954013948751</v>
          </cell>
          <cell r="Z43">
            <v>85377.136940025855</v>
          </cell>
          <cell r="AA43">
            <v>101324.62917641764</v>
          </cell>
          <cell r="AB43">
            <v>117147.10820499665</v>
          </cell>
          <cell r="AC43">
            <v>132802.15793807394</v>
          </cell>
          <cell r="AD43">
            <v>149866.88818905968</v>
          </cell>
          <cell r="AE43">
            <v>166809.26519053758</v>
          </cell>
          <cell r="AF43">
            <v>184460.10037127204</v>
          </cell>
        </row>
        <row r="44">
          <cell r="G44">
            <v>22591.859731004031</v>
          </cell>
          <cell r="H44">
            <v>22305.705916550767</v>
          </cell>
          <cell r="I44">
            <v>22262.177674240433</v>
          </cell>
          <cell r="J44">
            <v>22919.036043005381</v>
          </cell>
          <cell r="K44">
            <v>22858.252664351858</v>
          </cell>
          <cell r="L44">
            <v>22718.772931096195</v>
          </cell>
          <cell r="M44">
            <v>22589.701460498894</v>
          </cell>
          <cell r="N44">
            <v>22478.801219172245</v>
          </cell>
          <cell r="O44">
            <v>22569.17456425519</v>
          </cell>
          <cell r="P44">
            <v>23590.118690816998</v>
          </cell>
          <cell r="Q44">
            <v>23479.077530707513</v>
          </cell>
          <cell r="R44">
            <v>22269.005949383925</v>
          </cell>
          <cell r="S44">
            <v>272631.68437508348</v>
          </cell>
          <cell r="U44"/>
          <cell r="V44">
            <v>44897.565647554802</v>
          </cell>
          <cell r="W44">
            <v>67159.743321795235</v>
          </cell>
          <cell r="X44">
            <v>90078.779364800605</v>
          </cell>
          <cell r="Y44">
            <v>112937.03202915247</v>
          </cell>
          <cell r="Z44">
            <v>135655.80496024867</v>
          </cell>
          <cell r="AA44">
            <v>158245.50642074755</v>
          </cell>
          <cell r="AB44">
            <v>180724.3076399198</v>
          </cell>
          <cell r="AC44">
            <v>203293.482204175</v>
          </cell>
          <cell r="AD44">
            <v>226883.60089499201</v>
          </cell>
          <cell r="AE44">
            <v>250362.6784256995</v>
          </cell>
          <cell r="AF44">
            <v>272631.68437508342</v>
          </cell>
        </row>
        <row r="45">
          <cell r="G45">
            <v>21367.157858693874</v>
          </cell>
          <cell r="H45">
            <v>22648.215742072494</v>
          </cell>
          <cell r="I45">
            <v>21778.774594722421</v>
          </cell>
          <cell r="J45">
            <v>20386.537255964686</v>
          </cell>
          <cell r="K45">
            <v>20398.182998726003</v>
          </cell>
          <cell r="L45">
            <v>20478.975012547729</v>
          </cell>
          <cell r="M45">
            <v>19926.62767232133</v>
          </cell>
          <cell r="N45">
            <v>19968.966571779729</v>
          </cell>
          <cell r="O45">
            <v>20742.374493533662</v>
          </cell>
          <cell r="P45">
            <v>18271.087631527509</v>
          </cell>
          <cell r="Q45">
            <v>18302.761481842896</v>
          </cell>
          <cell r="R45">
            <v>18982.498755458717</v>
          </cell>
          <cell r="S45">
            <v>243252.16006919101</v>
          </cell>
          <cell r="U45"/>
          <cell r="V45">
            <v>44015.373600766368</v>
          </cell>
          <cell r="W45">
            <v>65794.148195488786</v>
          </cell>
          <cell r="X45">
            <v>86180.685451453464</v>
          </cell>
          <cell r="Y45">
            <v>106578.86845017946</v>
          </cell>
          <cell r="Z45">
            <v>127057.84346272719</v>
          </cell>
          <cell r="AA45">
            <v>146984.47113504852</v>
          </cell>
          <cell r="AB45">
            <v>166953.43770682823</v>
          </cell>
          <cell r="AC45">
            <v>187695.81220036189</v>
          </cell>
          <cell r="AD45">
            <v>205966.8998318894</v>
          </cell>
          <cell r="AE45">
            <v>224269.6613137323</v>
          </cell>
          <cell r="AF45">
            <v>243252.16006919101</v>
          </cell>
        </row>
        <row r="46">
          <cell r="G46">
            <v>12550.419854746546</v>
          </cell>
          <cell r="H46">
            <v>11902.738008043412</v>
          </cell>
          <cell r="I46">
            <v>12815.707397703818</v>
          </cell>
          <cell r="J46">
            <v>13551.086367696607</v>
          </cell>
          <cell r="K46">
            <v>13600.224003588792</v>
          </cell>
          <cell r="L46">
            <v>13658.911723022758</v>
          </cell>
          <cell r="M46">
            <v>14340.330533846442</v>
          </cell>
          <cell r="N46">
            <v>14408.891875714711</v>
          </cell>
          <cell r="O46">
            <v>13545.110608877831</v>
          </cell>
          <cell r="P46">
            <v>14995.453344322166</v>
          </cell>
          <cell r="Q46">
            <v>15074.820654116265</v>
          </cell>
          <cell r="R46">
            <v>15605.154961824039</v>
          </cell>
          <cell r="S46">
            <v>166048.84933350337</v>
          </cell>
          <cell r="U46"/>
          <cell r="V46">
            <v>24453.157862789958</v>
          </cell>
          <cell r="W46">
            <v>37268.865260493774</v>
          </cell>
          <cell r="X46">
            <v>50819.951628190378</v>
          </cell>
          <cell r="Y46">
            <v>64420.175631779173</v>
          </cell>
          <cell r="Z46">
            <v>78079.08735480193</v>
          </cell>
          <cell r="AA46">
            <v>92419.417888648371</v>
          </cell>
          <cell r="AB46">
            <v>106828.30976436308</v>
          </cell>
          <cell r="AC46">
            <v>120373.42037324091</v>
          </cell>
          <cell r="AD46">
            <v>135368.87371756308</v>
          </cell>
          <cell r="AE46">
            <v>150443.69437167933</v>
          </cell>
          <cell r="AF46">
            <v>166048.84933350337</v>
          </cell>
        </row>
        <row r="47">
          <cell r="G47">
            <v>33917.57771344042</v>
          </cell>
          <cell r="H47">
            <v>34550.953750115907</v>
          </cell>
          <cell r="I47">
            <v>34594.481992426241</v>
          </cell>
          <cell r="J47">
            <v>33937.623623661289</v>
          </cell>
          <cell r="K47">
            <v>33998.407002314794</v>
          </cell>
          <cell r="L47">
            <v>34137.886735570486</v>
          </cell>
          <cell r="M47">
            <v>34266.958206167772</v>
          </cell>
          <cell r="N47">
            <v>34377.858447494436</v>
          </cell>
          <cell r="O47">
            <v>34287.485102411491</v>
          </cell>
          <cell r="P47">
            <v>33266.540975849675</v>
          </cell>
          <cell r="Q47">
            <v>33377.582135959165</v>
          </cell>
          <cell r="R47">
            <v>34587.653717282752</v>
          </cell>
          <cell r="S47">
            <v>409301.00940269441</v>
          </cell>
          <cell r="U47"/>
          <cell r="V47">
            <v>68468.531463556326</v>
          </cell>
          <cell r="W47">
            <v>103063.01345598255</v>
          </cell>
          <cell r="X47">
            <v>137000.63707964384</v>
          </cell>
          <cell r="Y47">
            <v>170999.04408195865</v>
          </cell>
          <cell r="Z47">
            <v>205136.93081752912</v>
          </cell>
          <cell r="AA47">
            <v>239403.88902369689</v>
          </cell>
          <cell r="AB47">
            <v>273781.74747119134</v>
          </cell>
          <cell r="AC47">
            <v>308069.23257360281</v>
          </cell>
          <cell r="AD47">
            <v>341335.77354945248</v>
          </cell>
          <cell r="AE47">
            <v>374713.3556854116</v>
          </cell>
          <cell r="AF47">
            <v>409301.00940269441</v>
          </cell>
        </row>
        <row r="48">
          <cell r="G48">
            <v>29914.021002171423</v>
          </cell>
          <cell r="H48">
            <v>31707.50203890149</v>
          </cell>
          <cell r="I48">
            <v>29945.81506774333</v>
          </cell>
          <cell r="J48">
            <v>28541.15215835056</v>
          </cell>
          <cell r="K48">
            <v>28557.456198216401</v>
          </cell>
          <cell r="L48">
            <v>28670.56501756682</v>
          </cell>
          <cell r="M48">
            <v>26568.836896428438</v>
          </cell>
          <cell r="N48">
            <v>26625.288762372969</v>
          </cell>
          <cell r="O48">
            <v>27656.499324711549</v>
          </cell>
          <cell r="P48">
            <v>24796.476071358764</v>
          </cell>
          <cell r="Q48">
            <v>24839.462011072501</v>
          </cell>
          <cell r="R48">
            <v>23600.669524108172</v>
          </cell>
          <cell r="S48">
            <v>331423.74407300242</v>
          </cell>
          <cell r="U48"/>
          <cell r="V48">
            <v>61621.523041072913</v>
          </cell>
          <cell r="W48">
            <v>91567.338108816242</v>
          </cell>
          <cell r="X48">
            <v>120108.49026716678</v>
          </cell>
          <cell r="Y48">
            <v>148665.9464653832</v>
          </cell>
          <cell r="Z48">
            <v>177336.51148295001</v>
          </cell>
          <cell r="AA48">
            <v>203905.34837937844</v>
          </cell>
          <cell r="AB48">
            <v>230530.63714175142</v>
          </cell>
          <cell r="AC48">
            <v>258187.13646646295</v>
          </cell>
          <cell r="AD48">
            <v>282983.6125378217</v>
          </cell>
          <cell r="AE48">
            <v>307823.07454889419</v>
          </cell>
          <cell r="AF48">
            <v>331423.74407300237</v>
          </cell>
        </row>
        <row r="49">
          <cell r="G49">
            <v>26595.416442273028</v>
          </cell>
          <cell r="H49">
            <v>25149.157627765187</v>
          </cell>
          <cell r="I49">
            <v>26910.844598923344</v>
          </cell>
          <cell r="J49">
            <v>28315.507508316114</v>
          </cell>
          <cell r="K49">
            <v>28299.203468450251</v>
          </cell>
          <cell r="L49">
            <v>28186.094649099861</v>
          </cell>
          <cell r="M49">
            <v>30287.822770238228</v>
          </cell>
          <cell r="N49">
            <v>30231.370904293715</v>
          </cell>
          <cell r="O49">
            <v>29200.160341955132</v>
          </cell>
          <cell r="P49">
            <v>32060.18359530791</v>
          </cell>
          <cell r="Q49">
            <v>32017.197655594173</v>
          </cell>
          <cell r="R49">
            <v>33255.990142558512</v>
          </cell>
          <cell r="S49">
            <v>350508.94970477547</v>
          </cell>
          <cell r="U49"/>
          <cell r="V49">
            <v>51744.574070038216</v>
          </cell>
          <cell r="W49">
            <v>78655.41866896156</v>
          </cell>
          <cell r="X49">
            <v>106970.92617727767</v>
          </cell>
          <cell r="Y49">
            <v>135270.12964572792</v>
          </cell>
          <cell r="Z49">
            <v>163456.22429482779</v>
          </cell>
          <cell r="AA49">
            <v>193744.047065066</v>
          </cell>
          <cell r="AB49">
            <v>223975.41796935973</v>
          </cell>
          <cell r="AC49">
            <v>253175.57831131486</v>
          </cell>
          <cell r="AD49">
            <v>285235.76190662279</v>
          </cell>
          <cell r="AE49">
            <v>317252.95956221689</v>
          </cell>
          <cell r="AF49">
            <v>350508.94970477541</v>
          </cell>
        </row>
        <row r="50">
          <cell r="G50">
            <v>56509.437444444455</v>
          </cell>
          <cell r="H50">
            <v>56856.659666666674</v>
          </cell>
          <cell r="I50">
            <v>56856.659666666674</v>
          </cell>
          <cell r="J50">
            <v>56856.659666666674</v>
          </cell>
          <cell r="K50">
            <v>56856.659666666652</v>
          </cell>
          <cell r="L50">
            <v>56856.659666666681</v>
          </cell>
          <cell r="M50">
            <v>56856.659666666666</v>
          </cell>
          <cell r="N50">
            <v>56856.659666666688</v>
          </cell>
          <cell r="O50">
            <v>56856.659666666681</v>
          </cell>
          <cell r="P50">
            <v>56856.659666666674</v>
          </cell>
          <cell r="Q50">
            <v>56856.659666666674</v>
          </cell>
          <cell r="R50">
            <v>56856.659666666688</v>
          </cell>
          <cell r="S50">
            <v>681932.69377777784</v>
          </cell>
          <cell r="U50"/>
          <cell r="V50">
            <v>113366.09711111113</v>
          </cell>
          <cell r="W50">
            <v>170222.7567777778</v>
          </cell>
          <cell r="X50">
            <v>227079.41644444445</v>
          </cell>
          <cell r="Y50">
            <v>283936.07611111109</v>
          </cell>
          <cell r="Z50">
            <v>340792.73577777779</v>
          </cell>
          <cell r="AA50">
            <v>397649.39544444444</v>
          </cell>
          <cell r="AB50">
            <v>454506.05511111114</v>
          </cell>
          <cell r="AC50">
            <v>511362.71477777779</v>
          </cell>
          <cell r="AD50">
            <v>568219.37444444443</v>
          </cell>
          <cell r="AE50">
            <v>625076.03411111108</v>
          </cell>
          <cell r="AF50">
            <v>681932.69377777772</v>
          </cell>
        </row>
        <row r="51">
          <cell r="G51">
            <v>1590.6550069247196</v>
          </cell>
          <cell r="H51">
            <v>1946.9923332673256</v>
          </cell>
          <cell r="I51">
            <v>1970.9064077879304</v>
          </cell>
          <cell r="J51">
            <v>1958.6121261937501</v>
          </cell>
          <cell r="K51">
            <v>1168.3320354632681</v>
          </cell>
          <cell r="L51">
            <v>1165.5213430340023</v>
          </cell>
          <cell r="M51">
            <v>953.04064962690097</v>
          </cell>
          <cell r="N51">
            <v>952.18871527358317</v>
          </cell>
          <cell r="O51">
            <v>1109.9810966005703</v>
          </cell>
          <cell r="P51">
            <v>929.08537771822307</v>
          </cell>
          <cell r="Q51">
            <v>918.9598820811234</v>
          </cell>
          <cell r="R51">
            <v>673.22012551172133</v>
          </cell>
          <cell r="S51">
            <v>15337.49509948312</v>
          </cell>
          <cell r="U51"/>
          <cell r="V51">
            <v>3537.6473401920452</v>
          </cell>
          <cell r="W51">
            <v>5508.5537479799759</v>
          </cell>
          <cell r="X51">
            <v>7467.1658741737265</v>
          </cell>
          <cell r="Y51">
            <v>8635.4979096369952</v>
          </cell>
          <cell r="Z51">
            <v>9801.019252670998</v>
          </cell>
          <cell r="AA51">
            <v>10754.059902297899</v>
          </cell>
          <cell r="AB51">
            <v>11706.248617571482</v>
          </cell>
          <cell r="AC51">
            <v>12816.229714172052</v>
          </cell>
          <cell r="AD51">
            <v>13745.315091890276</v>
          </cell>
          <cell r="AE51">
            <v>14664.274973971398</v>
          </cell>
          <cell r="AF51">
            <v>15337.49509948312</v>
          </cell>
        </row>
        <row r="52">
          <cell r="G52">
            <v>3485.2153777203766</v>
          </cell>
          <cell r="H52">
            <v>3795.8365369050675</v>
          </cell>
          <cell r="I52">
            <v>4535.3346491184921</v>
          </cell>
          <cell r="J52">
            <v>4728.2468685370577</v>
          </cell>
          <cell r="K52">
            <v>2806.3428653566757</v>
          </cell>
          <cell r="L52">
            <v>2755.955273498425</v>
          </cell>
          <cell r="M52">
            <v>3050.9143063885508</v>
          </cell>
          <cell r="N52">
            <v>3017.8799537793216</v>
          </cell>
          <cell r="O52">
            <v>3350.9778305226814</v>
          </cell>
          <cell r="P52">
            <v>3239.5703841157956</v>
          </cell>
          <cell r="Q52">
            <v>3175.7846234160243</v>
          </cell>
          <cell r="R52">
            <v>3430.7660099039081</v>
          </cell>
          <cell r="S52">
            <v>41372.824679262376</v>
          </cell>
          <cell r="U52"/>
          <cell r="V52">
            <v>7281.0519146254446</v>
          </cell>
          <cell r="W52">
            <v>11816.386563743938</v>
          </cell>
          <cell r="X52">
            <v>16544.633432280996</v>
          </cell>
          <cell r="Y52">
            <v>19350.976297637673</v>
          </cell>
          <cell r="Z52">
            <v>22106.931571136098</v>
          </cell>
          <cell r="AA52">
            <v>25157.845877524647</v>
          </cell>
          <cell r="AB52">
            <v>28175.725831303967</v>
          </cell>
          <cell r="AC52">
            <v>31526.70366182665</v>
          </cell>
          <cell r="AD52">
            <v>34766.274045942446</v>
          </cell>
          <cell r="AE52">
            <v>37942.05866935847</v>
          </cell>
          <cell r="AF52">
            <v>41372.824679262376</v>
          </cell>
        </row>
        <row r="53">
          <cell r="G53">
            <v>5075.8703846450962</v>
          </cell>
          <cell r="H53">
            <v>5742.8288701723932</v>
          </cell>
          <cell r="I53">
            <v>6506.2410569064223</v>
          </cell>
          <cell r="J53">
            <v>6686.8589947308083</v>
          </cell>
          <cell r="K53">
            <v>3974.674900819944</v>
          </cell>
          <cell r="L53">
            <v>3921.4766165324272</v>
          </cell>
          <cell r="M53">
            <v>4003.9549560154519</v>
          </cell>
          <cell r="N53">
            <v>3970.0686690529046</v>
          </cell>
          <cell r="O53">
            <v>4460.9589271232517</v>
          </cell>
          <cell r="P53">
            <v>4168.6557618340184</v>
          </cell>
          <cell r="Q53">
            <v>4094.7445054971477</v>
          </cell>
          <cell r="R53">
            <v>4103.9861354156292</v>
          </cell>
          <cell r="S53">
            <v>56710.319778745492</v>
          </cell>
          <cell r="U53"/>
          <cell r="V53">
            <v>10818.699254817489</v>
          </cell>
          <cell r="W53">
            <v>17324.940311723913</v>
          </cell>
          <cell r="X53">
            <v>24011.799306454723</v>
          </cell>
          <cell r="Y53">
            <v>27986.474207274667</v>
          </cell>
          <cell r="Z53">
            <v>31907.950823807096</v>
          </cell>
          <cell r="AA53">
            <v>35911.905779822548</v>
          </cell>
          <cell r="AB53">
            <v>39881.974448875451</v>
          </cell>
          <cell r="AC53">
            <v>44342.933375998706</v>
          </cell>
          <cell r="AD53">
            <v>48511.589137832721</v>
          </cell>
          <cell r="AE53">
            <v>52606.333643329868</v>
          </cell>
          <cell r="AF53">
            <v>56710.319778745499</v>
          </cell>
        </row>
        <row r="54">
          <cell r="G54">
            <v>6296.3427357436813</v>
          </cell>
          <cell r="H54">
            <v>7706.8446525164973</v>
          </cell>
          <cell r="I54">
            <v>8321.6048328823745</v>
          </cell>
          <cell r="J54">
            <v>7752.8396661835941</v>
          </cell>
          <cell r="K54">
            <v>4624.6476403754359</v>
          </cell>
          <cell r="L54">
            <v>4613.5219828429263</v>
          </cell>
          <cell r="M54">
            <v>4526.9430857277794</v>
          </cell>
          <cell r="N54">
            <v>4522.8963975495199</v>
          </cell>
          <cell r="O54">
            <v>5272.4102088527088</v>
          </cell>
          <cell r="P54">
            <v>4118.9451745507895</v>
          </cell>
          <cell r="Q54">
            <v>4074.0554772263135</v>
          </cell>
          <cell r="R54">
            <v>4381.3993292747564</v>
          </cell>
          <cell r="S54">
            <v>66212.451183726371</v>
          </cell>
          <cell r="U54"/>
          <cell r="V54">
            <v>14003.187388260179</v>
          </cell>
          <cell r="W54">
            <v>22324.792221142554</v>
          </cell>
          <cell r="X54">
            <v>30077.631887326148</v>
          </cell>
          <cell r="Y54">
            <v>34702.279527701583</v>
          </cell>
          <cell r="Z54">
            <v>39315.801510544508</v>
          </cell>
          <cell r="AA54">
            <v>43842.744596272285</v>
          </cell>
          <cell r="AB54">
            <v>48365.640993821806</v>
          </cell>
          <cell r="AC54">
            <v>53638.051202674513</v>
          </cell>
          <cell r="AD54">
            <v>57756.996377225303</v>
          </cell>
          <cell r="AE54">
            <v>61831.051854451616</v>
          </cell>
          <cell r="AF54">
            <v>66212.451183726371</v>
          </cell>
        </row>
        <row r="55">
          <cell r="G55">
            <v>4300.3085573928611</v>
          </cell>
          <cell r="H55">
            <v>4708.109396300888</v>
          </cell>
          <cell r="I55">
            <v>5687.536319105966</v>
          </cell>
          <cell r="J55">
            <v>5979.8392465844463</v>
          </cell>
          <cell r="K55">
            <v>3578.5594441288881</v>
          </cell>
          <cell r="L55">
            <v>3575.76419974889</v>
          </cell>
          <cell r="M55">
            <v>3791.227726263382</v>
          </cell>
          <cell r="N55">
            <v>3798.2507757047101</v>
          </cell>
          <cell r="O55">
            <v>4038.5198582955518</v>
          </cell>
          <cell r="P55">
            <v>3945.5974656054332</v>
          </cell>
          <cell r="Q55">
            <v>3916.978250976224</v>
          </cell>
          <cell r="R55">
            <v>4203.8258430263622</v>
          </cell>
          <cell r="S55">
            <v>51524.5170831336</v>
          </cell>
          <cell r="U55"/>
          <cell r="V55">
            <v>9008.4179536937481</v>
          </cell>
          <cell r="W55">
            <v>14695.954272799714</v>
          </cell>
          <cell r="X55">
            <v>20675.793519384162</v>
          </cell>
          <cell r="Y55">
            <v>24254.352963513051</v>
          </cell>
          <cell r="Z55">
            <v>27830.117163261941</v>
          </cell>
          <cell r="AA55">
            <v>31621.344889525324</v>
          </cell>
          <cell r="AB55">
            <v>35419.595665230037</v>
          </cell>
          <cell r="AC55">
            <v>39458.115523525586</v>
          </cell>
          <cell r="AD55">
            <v>43403.712989131018</v>
          </cell>
          <cell r="AE55">
            <v>47320.69124010724</v>
          </cell>
          <cell r="AF55">
            <v>51524.5170831336</v>
          </cell>
        </row>
        <row r="56">
          <cell r="G56">
            <v>10596.651293136543</v>
          </cell>
          <cell r="H56">
            <v>12414.954048817384</v>
          </cell>
          <cell r="I56">
            <v>14009.14115198834</v>
          </cell>
          <cell r="J56">
            <v>13732.67891276804</v>
          </cell>
          <cell r="K56">
            <v>8203.2070845043236</v>
          </cell>
          <cell r="L56">
            <v>8189.2861825918162</v>
          </cell>
          <cell r="M56">
            <v>8318.1708119911618</v>
          </cell>
          <cell r="N56">
            <v>8321.1471732542304</v>
          </cell>
          <cell r="O56">
            <v>9310.9300671482597</v>
          </cell>
          <cell r="P56">
            <v>8064.5426401562227</v>
          </cell>
          <cell r="Q56">
            <v>7991.0337282025375</v>
          </cell>
          <cell r="R56">
            <v>8585.2251723011177</v>
          </cell>
          <cell r="S56">
            <v>117736.96826685999</v>
          </cell>
          <cell r="U56"/>
          <cell r="V56">
            <v>23011.605341953928</v>
          </cell>
          <cell r="W56">
            <v>37020.746493942264</v>
          </cell>
          <cell r="X56">
            <v>50753.42540671031</v>
          </cell>
          <cell r="Y56">
            <v>58956.632491214637</v>
          </cell>
          <cell r="Z56">
            <v>67145.918673806445</v>
          </cell>
          <cell r="AA56">
            <v>75464.089485797609</v>
          </cell>
          <cell r="AB56">
            <v>83785.23665905185</v>
          </cell>
          <cell r="AC56">
            <v>93096.166726200099</v>
          </cell>
          <cell r="AD56">
            <v>101160.70936635631</v>
          </cell>
          <cell r="AE56">
            <v>109151.74309455886</v>
          </cell>
          <cell r="AF56">
            <v>117736.96826685997</v>
          </cell>
        </row>
        <row r="57">
          <cell r="G57">
            <v>7886.9977426684009</v>
          </cell>
          <cell r="H57">
            <v>9653.8369857838225</v>
          </cell>
          <cell r="I57">
            <v>10292.511240670305</v>
          </cell>
          <cell r="J57">
            <v>9711.4517923773437</v>
          </cell>
          <cell r="K57">
            <v>5792.9796758387038</v>
          </cell>
          <cell r="L57">
            <v>5779.0433258769281</v>
          </cell>
          <cell r="M57">
            <v>5479.98373535468</v>
          </cell>
          <cell r="N57">
            <v>5475.0851128231034</v>
          </cell>
          <cell r="O57">
            <v>6382.3913054532786</v>
          </cell>
          <cell r="P57">
            <v>5048.0305522690123</v>
          </cell>
          <cell r="Q57">
            <v>4993.0153593074374</v>
          </cell>
          <cell r="R57">
            <v>5054.6194547864779</v>
          </cell>
          <cell r="S57">
            <v>81549.946283209487</v>
          </cell>
          <cell r="U57"/>
          <cell r="V57">
            <v>17540.834728452224</v>
          </cell>
          <cell r="W57">
            <v>27833.345969122529</v>
          </cell>
          <cell r="X57">
            <v>37544.797761499874</v>
          </cell>
          <cell r="Y57">
            <v>43337.777437338576</v>
          </cell>
          <cell r="Z57">
            <v>49116.82076321551</v>
          </cell>
          <cell r="AA57">
            <v>54596.804498570185</v>
          </cell>
          <cell r="AB57">
            <v>60071.889611393286</v>
          </cell>
          <cell r="AC57">
            <v>66454.280916846561</v>
          </cell>
          <cell r="AD57">
            <v>71502.311469115579</v>
          </cell>
          <cell r="AE57">
            <v>76495.326828423014</v>
          </cell>
          <cell r="AF57">
            <v>81549.946283209487</v>
          </cell>
        </row>
        <row r="58">
          <cell r="G58">
            <v>7785.5239351132377</v>
          </cell>
          <cell r="H58">
            <v>8503.945933205956</v>
          </cell>
          <cell r="I58">
            <v>10222.870968224459</v>
          </cell>
          <cell r="J58">
            <v>10708.086115121503</v>
          </cell>
          <cell r="K58">
            <v>6384.9023094855638</v>
          </cell>
          <cell r="L58">
            <v>6331.7194732473145</v>
          </cell>
          <cell r="M58">
            <v>6842.1420326519328</v>
          </cell>
          <cell r="N58">
            <v>6816.1307294840317</v>
          </cell>
          <cell r="O58">
            <v>7389.4976888182337</v>
          </cell>
          <cell r="P58">
            <v>7185.1678497212288</v>
          </cell>
          <cell r="Q58">
            <v>7092.7628743922487</v>
          </cell>
          <cell r="R58">
            <v>7634.5918529302708</v>
          </cell>
          <cell r="S58">
            <v>92897.341762395983</v>
          </cell>
          <cell r="U58"/>
          <cell r="V58">
            <v>16289.469868319193</v>
          </cell>
          <cell r="W58">
            <v>26512.340836543652</v>
          </cell>
          <cell r="X58">
            <v>37220.426951665155</v>
          </cell>
          <cell r="Y58">
            <v>43605.32926115072</v>
          </cell>
          <cell r="Z58">
            <v>49937.048734398035</v>
          </cell>
          <cell r="AA58">
            <v>56779.190767049971</v>
          </cell>
          <cell r="AB58">
            <v>63595.321496534001</v>
          </cell>
          <cell r="AC58">
            <v>70984.819185352244</v>
          </cell>
          <cell r="AD58">
            <v>78169.987035073456</v>
          </cell>
          <cell r="AE58">
            <v>85262.749909465711</v>
          </cell>
          <cell r="AF58">
            <v>92897.341762395983</v>
          </cell>
        </row>
        <row r="59">
          <cell r="G59">
            <v>15672.521677781639</v>
          </cell>
          <cell r="H59">
            <v>18157.782918989778</v>
          </cell>
          <cell r="I59">
            <v>20515.382208894764</v>
          </cell>
          <cell r="J59">
            <v>20419.537907498845</v>
          </cell>
          <cell r="K59">
            <v>12177.881985324268</v>
          </cell>
          <cell r="L59">
            <v>12110.762799124243</v>
          </cell>
          <cell r="M59">
            <v>12322.125768006612</v>
          </cell>
          <cell r="N59">
            <v>12291.215842307134</v>
          </cell>
          <cell r="O59">
            <v>13771.888994271512</v>
          </cell>
          <cell r="P59">
            <v>12233.198401990241</v>
          </cell>
          <cell r="Q59">
            <v>12085.778233699686</v>
          </cell>
          <cell r="R59">
            <v>12689.211307716749</v>
          </cell>
          <cell r="S59">
            <v>174447.28804560547</v>
          </cell>
          <cell r="U59"/>
          <cell r="V59">
            <v>33830.304596771413</v>
          </cell>
          <cell r="W59">
            <v>54345.686805666177</v>
          </cell>
          <cell r="X59">
            <v>74765.224713165022</v>
          </cell>
          <cell r="Y59">
            <v>86943.106698489297</v>
          </cell>
          <cell r="Z59">
            <v>99053.869497613545</v>
          </cell>
          <cell r="AA59">
            <v>111375.99526562015</v>
          </cell>
          <cell r="AB59">
            <v>123667.21110792729</v>
          </cell>
          <cell r="AC59">
            <v>137439.1001021988</v>
          </cell>
          <cell r="AD59">
            <v>149672.29850418904</v>
          </cell>
          <cell r="AE59">
            <v>161758.07673788874</v>
          </cell>
          <cell r="AF59">
            <v>174447.28804560547</v>
          </cell>
        </row>
        <row r="60">
          <cell r="G60">
            <v>-42912.549399462572</v>
          </cell>
          <cell r="H60">
            <v>-34301.752584933653</v>
          </cell>
          <cell r="I60">
            <v>-29701.031187369135</v>
          </cell>
          <cell r="J60">
            <v>-25113.451576886189</v>
          </cell>
          <cell r="K60">
            <v>-34540.167662995351</v>
          </cell>
          <cell r="L60">
            <v>-28060.657787386503</v>
          </cell>
          <cell r="M60">
            <v>-24928.022172261179</v>
          </cell>
          <cell r="N60">
            <v>-20545.030743235642</v>
          </cell>
          <cell r="O60">
            <v>-27880.317742667066</v>
          </cell>
          <cell r="P60">
            <v>-18876.266135138525</v>
          </cell>
          <cell r="Q60">
            <v>-21908.607480479604</v>
          </cell>
          <cell r="R60">
            <v>-13412.193505081068</v>
          </cell>
          <cell r="S60">
            <v>-322180.04797789641</v>
          </cell>
          <cell r="V60">
            <v>-73676.654644204202</v>
          </cell>
          <cell r="W60">
            <v>-101406.7794237854</v>
          </cell>
          <cell r="X60">
            <v>-124561.6188744778</v>
          </cell>
          <cell r="Y60">
            <v>-157933.45450200993</v>
          </cell>
          <cell r="Z60">
            <v>-184828.59094636235</v>
          </cell>
          <cell r="AA60">
            <v>-208803.57246899666</v>
          </cell>
          <cell r="AB60">
            <v>-228396.41449695878</v>
          </cell>
          <cell r="AC60">
            <v>-255166.75114302529</v>
          </cell>
          <cell r="AD60">
            <v>-273113.9319004456</v>
          </cell>
          <cell r="AE60">
            <v>-294103.5794988441</v>
          </cell>
          <cell r="AF60">
            <v>-306842.55287841347</v>
          </cell>
        </row>
        <row r="61">
          <cell r="G61">
            <v>-31950.155502372952</v>
          </cell>
          <cell r="H61">
            <v>-16012.10352412706</v>
          </cell>
          <cell r="I61">
            <v>-10972.993519494838</v>
          </cell>
          <cell r="J61">
            <v>-3198.0328203220861</v>
          </cell>
          <cell r="K61">
            <v>-19689.760795982533</v>
          </cell>
          <cell r="L61">
            <v>-7890.2670124027863</v>
          </cell>
          <cell r="M61">
            <v>-12594.574379898571</v>
          </cell>
          <cell r="N61">
            <v>-2050.0409145282988</v>
          </cell>
          <cell r="O61">
            <v>-18680.460518759061</v>
          </cell>
          <cell r="P61">
            <v>2128.8160271552588</v>
          </cell>
          <cell r="Q61">
            <v>-5740.8375328615148</v>
          </cell>
          <cell r="R61">
            <v>-48.15852517628673</v>
          </cell>
          <cell r="S61">
            <v>-126698.56901877074</v>
          </cell>
          <cell r="V61">
            <v>-40681.207111874624</v>
          </cell>
          <cell r="W61">
            <v>-47118.865982250936</v>
          </cell>
          <cell r="X61">
            <v>-45588.651934035996</v>
          </cell>
          <cell r="Y61">
            <v>-62472.069864661855</v>
          </cell>
          <cell r="Z61">
            <v>-67606.381603566246</v>
          </cell>
          <cell r="AA61">
            <v>-77150.041677076413</v>
          </cell>
          <cell r="AB61">
            <v>-76182.202637825365</v>
          </cell>
          <cell r="AC61">
            <v>-91511.685326061532</v>
          </cell>
          <cell r="AD61">
            <v>-86143.298914790619</v>
          </cell>
          <cell r="AE61">
            <v>-88708.351824236132</v>
          </cell>
          <cell r="AF61">
            <v>-85325.744339508441</v>
          </cell>
        </row>
        <row r="62">
          <cell r="G62">
            <v>-74862.704901835532</v>
          </cell>
          <cell r="H62">
            <v>-50313.856109060711</v>
          </cell>
          <cell r="I62">
            <v>-40674.024706863973</v>
          </cell>
          <cell r="J62">
            <v>-28311.484397208274</v>
          </cell>
          <cell r="K62">
            <v>-54229.928458977884</v>
          </cell>
          <cell r="L62">
            <v>-35950.924799789289</v>
          </cell>
          <cell r="M62">
            <v>-37522.596552159754</v>
          </cell>
          <cell r="N62">
            <v>-22595.07165776394</v>
          </cell>
          <cell r="O62">
            <v>-46560.778261426123</v>
          </cell>
          <cell r="P62">
            <v>-16747.450107983266</v>
          </cell>
          <cell r="Q62">
            <v>-27649.445013341119</v>
          </cell>
          <cell r="R62">
            <v>-13460.352030257354</v>
          </cell>
          <cell r="S62">
            <v>-448878.61699666717</v>
          </cell>
          <cell r="V62">
            <v>-114357.86175607883</v>
          </cell>
          <cell r="W62">
            <v>-148525.64540603635</v>
          </cell>
          <cell r="X62">
            <v>-170150.2708085138</v>
          </cell>
          <cell r="Y62">
            <v>-220405.5243666718</v>
          </cell>
          <cell r="Z62">
            <v>-252434.97254992859</v>
          </cell>
          <cell r="AA62">
            <v>-285953.61414607306</v>
          </cell>
          <cell r="AB62">
            <v>-304578.61713478412</v>
          </cell>
          <cell r="AC62">
            <v>-346678.4364690868</v>
          </cell>
          <cell r="AD62">
            <v>-359257.23081523622</v>
          </cell>
          <cell r="AE62">
            <v>-382811.93132308021</v>
          </cell>
          <cell r="AF62">
            <v>-392168.29721792194</v>
          </cell>
        </row>
        <row r="63">
          <cell r="G63">
            <v>-4601.0787170883523</v>
          </cell>
          <cell r="H63">
            <v>16406.254718317574</v>
          </cell>
          <cell r="I63">
            <v>29731.395754901132</v>
          </cell>
          <cell r="J63">
            <v>39360.06170708529</v>
          </cell>
          <cell r="K63">
            <v>16945.763290794344</v>
          </cell>
          <cell r="L63">
            <v>33148.636906275846</v>
          </cell>
          <cell r="M63">
            <v>28548.11234636934</v>
          </cell>
          <cell r="N63">
            <v>41698.577518564307</v>
          </cell>
          <cell r="O63">
            <v>19416.579852947718</v>
          </cell>
          <cell r="P63">
            <v>43628.94870467233</v>
          </cell>
          <cell r="Q63">
            <v>35154.931247257933</v>
          </cell>
          <cell r="R63">
            <v>41256.408270851207</v>
          </cell>
          <cell r="S63">
            <v>340694.59160094865</v>
          </cell>
          <cell r="V63">
            <v>25808.363389489401</v>
          </cell>
          <cell r="W63">
            <v>63861.363977272937</v>
          </cell>
          <cell r="X63">
            <v>110974.26535054189</v>
          </cell>
          <cell r="Y63">
            <v>132544.67628171179</v>
          </cell>
          <cell r="Z63">
            <v>170306.83517083043</v>
          </cell>
          <cell r="AA63">
            <v>203381.89060292757</v>
          </cell>
          <cell r="AB63">
            <v>249603.36451904138</v>
          </cell>
          <cell r="AC63">
            <v>274292.35458084196</v>
          </cell>
          <cell r="AD63">
            <v>322040.24846006487</v>
          </cell>
          <cell r="AE63">
            <v>361269.23518454924</v>
          </cell>
          <cell r="AF63">
            <v>406907.04278467537</v>
          </cell>
        </row>
        <row r="64">
          <cell r="G64">
            <v>23945.856561343211</v>
          </cell>
          <cell r="H64">
            <v>32289.571968268356</v>
          </cell>
          <cell r="I64">
            <v>45589.854534581653</v>
          </cell>
          <cell r="J64">
            <v>55718.017737808965</v>
          </cell>
          <cell r="K64">
            <v>41316.615580749567</v>
          </cell>
          <cell r="L64">
            <v>52415.997226871208</v>
          </cell>
          <cell r="M64">
            <v>53591.321330258193</v>
          </cell>
          <cell r="N64">
            <v>63245.816274268494</v>
          </cell>
          <cell r="O64">
            <v>44276.211359049252</v>
          </cell>
          <cell r="P64">
            <v>71735.725920152632</v>
          </cell>
          <cell r="Q64">
            <v>65050.398080881401</v>
          </cell>
          <cell r="R64">
            <v>69859.864174654766</v>
          </cell>
          <cell r="S64">
            <v>619035.25074888766</v>
          </cell>
          <cell r="V64">
            <v>65243.8464833053</v>
          </cell>
          <cell r="W64">
            <v>116521.23733699293</v>
          </cell>
          <cell r="X64">
            <v>178219.09432138639</v>
          </cell>
          <cell r="Y64">
            <v>223114.26934626483</v>
          </cell>
          <cell r="Z64">
            <v>279106.03077288507</v>
          </cell>
          <cell r="AA64">
            <v>336488.57982940658</v>
          </cell>
          <cell r="AB64">
            <v>403532.64687937964</v>
          </cell>
          <cell r="AC64">
            <v>451847.37809672445</v>
          </cell>
          <cell r="AD64">
            <v>527528.7014824826</v>
          </cell>
          <cell r="AE64">
            <v>596496.07781434036</v>
          </cell>
          <cell r="AF64">
            <v>670559.76783202135</v>
          </cell>
        </row>
        <row r="65">
          <cell r="G65">
            <v>19344.777844254859</v>
          </cell>
          <cell r="H65">
            <v>48695.826686585933</v>
          </cell>
          <cell r="I65">
            <v>75321.250289482792</v>
          </cell>
          <cell r="J65">
            <v>95078.079444894247</v>
          </cell>
          <cell r="K65">
            <v>58262.378871543915</v>
          </cell>
          <cell r="L65">
            <v>85564.634133147047</v>
          </cell>
          <cell r="M65">
            <v>82139.433676627537</v>
          </cell>
          <cell r="N65">
            <v>104944.39379283279</v>
          </cell>
          <cell r="O65">
            <v>63692.79121199697</v>
          </cell>
          <cell r="P65">
            <v>115364.67462482495</v>
          </cell>
          <cell r="Q65">
            <v>100205.32932813934</v>
          </cell>
          <cell r="R65">
            <v>111116.27244550598</v>
          </cell>
          <cell r="S65">
            <v>959729.84234983637</v>
          </cell>
          <cell r="V65">
            <v>91052.209872794701</v>
          </cell>
          <cell r="W65">
            <v>180382.60131426586</v>
          </cell>
          <cell r="X65">
            <v>289193.35967192828</v>
          </cell>
          <cell r="Y65">
            <v>355658.94562797662</v>
          </cell>
          <cell r="Z65">
            <v>449412.8659437155</v>
          </cell>
          <cell r="AA65">
            <v>539870.47043233411</v>
          </cell>
          <cell r="AB65">
            <v>653136.01139842102</v>
          </cell>
          <cell r="AC65">
            <v>726139.73267756635</v>
          </cell>
          <cell r="AD65">
            <v>849568.94994254748</v>
          </cell>
          <cell r="AE65">
            <v>957765.3129988896</v>
          </cell>
          <cell r="AF65">
            <v>1077466.8106166967</v>
          </cell>
        </row>
        <row r="66">
          <cell r="G66">
            <v>-47513.628116550928</v>
          </cell>
          <cell r="H66">
            <v>-17895.497866616079</v>
          </cell>
          <cell r="I66">
            <v>30.364567531996727</v>
          </cell>
          <cell r="J66">
            <v>14246.6101301991</v>
          </cell>
          <cell r="K66">
            <v>-17594.404372201006</v>
          </cell>
          <cell r="L66">
            <v>5087.9791188893432</v>
          </cell>
          <cell r="M66">
            <v>3620.0901741081616</v>
          </cell>
          <cell r="N66">
            <v>21153.546775328665</v>
          </cell>
          <cell r="O66">
            <v>-8463.7378897193485</v>
          </cell>
          <cell r="P66">
            <v>24752.682569533805</v>
          </cell>
          <cell r="Q66">
            <v>13246.323766778329</v>
          </cell>
          <cell r="R66">
            <v>27844.214765770139</v>
          </cell>
          <cell r="S66">
            <v>18514.543623052181</v>
          </cell>
          <cell r="V66">
            <v>-47868.291254714801</v>
          </cell>
          <cell r="W66">
            <v>-37545.415446512459</v>
          </cell>
          <cell r="X66">
            <v>-13587.353523935919</v>
          </cell>
          <cell r="Y66">
            <v>-25388.778220298147</v>
          </cell>
          <cell r="Z66">
            <v>-14521.755775531929</v>
          </cell>
          <cell r="AA66">
            <v>-5421.6818660690915</v>
          </cell>
          <cell r="AB66">
            <v>21206.950022082601</v>
          </cell>
          <cell r="AC66">
            <v>19125.603437816666</v>
          </cell>
          <cell r="AD66">
            <v>48926.31655961927</v>
          </cell>
          <cell r="AE66">
            <v>67165.655685705133</v>
          </cell>
          <cell r="AF66">
            <v>100064.48990626191</v>
          </cell>
        </row>
        <row r="67">
          <cell r="G67">
            <v>-8004.2989410297414</v>
          </cell>
          <cell r="H67">
            <v>16277.468444141296</v>
          </cell>
          <cell r="I67">
            <v>34616.861015086819</v>
          </cell>
          <cell r="J67">
            <v>52519.98491748688</v>
          </cell>
          <cell r="K67">
            <v>21626.854784767034</v>
          </cell>
          <cell r="L67">
            <v>44525.730214468422</v>
          </cell>
          <cell r="M67">
            <v>40996.746950359622</v>
          </cell>
          <cell r="N67">
            <v>61195.775359740197</v>
          </cell>
          <cell r="O67">
            <v>25595.750840290191</v>
          </cell>
          <cell r="P67">
            <v>73864.541947307895</v>
          </cell>
          <cell r="Q67">
            <v>59309.560548019886</v>
          </cell>
          <cell r="R67">
            <v>69811.705649478477</v>
          </cell>
          <cell r="S67">
            <v>492336.68173011695</v>
          </cell>
          <cell r="V67">
            <v>24562.639371430676</v>
          </cell>
          <cell r="W67">
            <v>69402.37135474199</v>
          </cell>
          <cell r="X67">
            <v>132630.4423873504</v>
          </cell>
          <cell r="Y67">
            <v>160642.19948160299</v>
          </cell>
          <cell r="Z67">
            <v>211499.64916931884</v>
          </cell>
          <cell r="AA67">
            <v>259338.53815233015</v>
          </cell>
          <cell r="AB67">
            <v>327350.44424155424</v>
          </cell>
          <cell r="AC67">
            <v>360335.69277066295</v>
          </cell>
          <cell r="AD67">
            <v>441385.40256769198</v>
          </cell>
          <cell r="AE67">
            <v>507787.72599010426</v>
          </cell>
          <cell r="AF67">
            <v>585234.02349251288</v>
          </cell>
        </row>
        <row r="68">
          <cell r="G68">
            <v>-55517.927057580673</v>
          </cell>
          <cell r="H68">
            <v>-1618.0294224747831</v>
          </cell>
          <cell r="I68">
            <v>34647.225582618819</v>
          </cell>
          <cell r="J68">
            <v>66766.595047685987</v>
          </cell>
          <cell r="K68">
            <v>4032.4504125660278</v>
          </cell>
          <cell r="L68">
            <v>49613.709333357765</v>
          </cell>
          <cell r="M68">
            <v>44616.837124467784</v>
          </cell>
          <cell r="N68">
            <v>82349.322135068855</v>
          </cell>
          <cell r="O68">
            <v>17132.012950570843</v>
          </cell>
          <cell r="P68">
            <v>98617.224516841699</v>
          </cell>
          <cell r="Q68">
            <v>72555.884314798212</v>
          </cell>
          <cell r="R68">
            <v>97655.92041524862</v>
          </cell>
          <cell r="S68">
            <v>510851.2253531692</v>
          </cell>
          <cell r="V68">
            <v>-23305.651883284125</v>
          </cell>
          <cell r="W68">
            <v>31856.955908229531</v>
          </cell>
          <cell r="X68">
            <v>119043.08886341448</v>
          </cell>
          <cell r="Y68">
            <v>135253.42126130484</v>
          </cell>
          <cell r="Z68">
            <v>196977.89339378692</v>
          </cell>
          <cell r="AA68">
            <v>253916.85628626106</v>
          </cell>
          <cell r="AB68">
            <v>348557.39426363684</v>
          </cell>
          <cell r="AC68">
            <v>379461.29620847962</v>
          </cell>
          <cell r="AD68">
            <v>490311.71912731125</v>
          </cell>
          <cell r="AE68">
            <v>574953.38167580939</v>
          </cell>
          <cell r="AF68">
            <v>685298.51339877478</v>
          </cell>
        </row>
        <row r="71">
          <cell r="G71">
            <v>39670.29996559782</v>
          </cell>
          <cell r="H71">
            <v>37656.38338633901</v>
          </cell>
          <cell r="I71">
            <v>41770.327835024887</v>
          </cell>
          <cell r="J71">
            <v>41833.975250037794</v>
          </cell>
          <cell r="K71">
            <v>41810.091372023955</v>
          </cell>
          <cell r="L71">
            <v>41645.145544513252</v>
          </cell>
          <cell r="M71">
            <v>42799.509732629442</v>
          </cell>
          <cell r="N71">
            <v>42708.76471921453</v>
          </cell>
          <cell r="O71">
            <v>41116.309768000385</v>
          </cell>
          <cell r="P71">
            <v>43565.728071919184</v>
          </cell>
          <cell r="Q71">
            <v>43490.335385892016</v>
          </cell>
          <cell r="R71">
            <v>41933.0060593015</v>
          </cell>
          <cell r="S71">
            <v>499999.87709049374</v>
          </cell>
          <cell r="T71">
            <v>170105.37928511307</v>
          </cell>
        </row>
        <row r="72">
          <cell r="G72">
            <v>709406.85182383005</v>
          </cell>
          <cell r="H72">
            <v>671476.89686755487</v>
          </cell>
          <cell r="I72">
            <v>749455.94230335439</v>
          </cell>
          <cell r="J72">
            <v>750636.99937211617</v>
          </cell>
          <cell r="K72">
            <v>750478.01166872459</v>
          </cell>
          <cell r="L72">
            <v>748141.53061074147</v>
          </cell>
          <cell r="M72">
            <v>775756.57068754709</v>
          </cell>
          <cell r="N72">
            <v>774502.93067854433</v>
          </cell>
          <cell r="O72">
            <v>744439.10998751165</v>
          </cell>
          <cell r="P72">
            <v>790015.55908893293</v>
          </cell>
          <cell r="Q72">
            <v>789095.04991640872</v>
          </cell>
          <cell r="R72">
            <v>770377.21380474255</v>
          </cell>
          <cell r="S72">
            <v>9023782.6668100096</v>
          </cell>
          <cell r="T72">
            <v>3093926.9327975959</v>
          </cell>
        </row>
        <row r="73">
          <cell r="G73">
            <v>277692.09975918476</v>
          </cell>
          <cell r="H73">
            <v>263594.68370437308</v>
          </cell>
          <cell r="I73">
            <v>292392.29484517418</v>
          </cell>
          <cell r="J73">
            <v>292837.82675026462</v>
          </cell>
          <cell r="K73">
            <v>292670.63960416772</v>
          </cell>
          <cell r="L73">
            <v>291516.01881159277</v>
          </cell>
          <cell r="M73">
            <v>299596.56812840613</v>
          </cell>
          <cell r="N73">
            <v>298961.35303450166</v>
          </cell>
          <cell r="O73">
            <v>287814.16837600269</v>
          </cell>
          <cell r="P73">
            <v>304960.0965034343</v>
          </cell>
          <cell r="Q73">
            <v>304432.34770124411</v>
          </cell>
          <cell r="R73">
            <v>293531.04241511051</v>
          </cell>
          <cell r="S73">
            <v>3499999.1396334567</v>
          </cell>
          <cell r="T73">
            <v>1190737.6549957916</v>
          </cell>
        </row>
        <row r="74">
          <cell r="G74">
            <v>27000</v>
          </cell>
          <cell r="H74">
            <v>27000</v>
          </cell>
          <cell r="I74">
            <v>27000</v>
          </cell>
          <cell r="J74">
            <v>27000</v>
          </cell>
          <cell r="K74">
            <v>27000</v>
          </cell>
          <cell r="L74">
            <v>27000</v>
          </cell>
          <cell r="M74">
            <v>27000</v>
          </cell>
          <cell r="N74">
            <v>27000</v>
          </cell>
          <cell r="O74">
            <v>27000</v>
          </cell>
          <cell r="P74">
            <v>27000</v>
          </cell>
          <cell r="Q74">
            <v>27000</v>
          </cell>
          <cell r="R74">
            <v>27000</v>
          </cell>
          <cell r="S74">
            <v>324000</v>
          </cell>
          <cell r="T74">
            <v>108000</v>
          </cell>
        </row>
        <row r="75">
          <cell r="G75">
            <v>37374.29</v>
          </cell>
          <cell r="H75">
            <v>37374.29</v>
          </cell>
          <cell r="I75">
            <v>37607.31</v>
          </cell>
          <cell r="J75">
            <v>37607.31</v>
          </cell>
          <cell r="K75">
            <v>37607.31</v>
          </cell>
          <cell r="L75">
            <v>37607.31</v>
          </cell>
          <cell r="M75">
            <v>37607.31</v>
          </cell>
          <cell r="N75">
            <v>37607.31</v>
          </cell>
          <cell r="O75">
            <v>37607.31</v>
          </cell>
          <cell r="P75">
            <v>37607.31</v>
          </cell>
          <cell r="Q75">
            <v>37607.31</v>
          </cell>
          <cell r="R75">
            <v>37607.31</v>
          </cell>
          <cell r="S75">
            <v>450821.68</v>
          </cell>
          <cell r="T75">
            <v>150429.24</v>
          </cell>
        </row>
        <row r="76">
          <cell r="G76">
            <v>357185.86744444445</v>
          </cell>
          <cell r="H76">
            <v>276968.16966666665</v>
          </cell>
          <cell r="I76">
            <v>287293.72966666671</v>
          </cell>
          <cell r="J76">
            <v>256005.72966666671</v>
          </cell>
          <cell r="K76">
            <v>326989.72966666671</v>
          </cell>
          <cell r="L76">
            <v>280293.72966666671</v>
          </cell>
          <cell r="M76">
            <v>304613.72966666671</v>
          </cell>
          <cell r="N76">
            <v>266293.72966666671</v>
          </cell>
          <cell r="O76">
            <v>311113.72966666671</v>
          </cell>
          <cell r="P76">
            <v>259597.72966666671</v>
          </cell>
          <cell r="Q76">
            <v>285413.72966666671</v>
          </cell>
          <cell r="R76">
            <v>251893.72966666671</v>
          </cell>
          <cell r="S76">
            <v>3463663.3337777774</v>
          </cell>
          <cell r="T76">
            <v>1108018.9186666668</v>
          </cell>
        </row>
        <row r="77">
          <cell r="G77">
            <v>50000</v>
          </cell>
          <cell r="H77">
            <v>50000</v>
          </cell>
          <cell r="I77">
            <v>50000</v>
          </cell>
          <cell r="J77">
            <v>50000</v>
          </cell>
          <cell r="K77">
            <v>50000</v>
          </cell>
          <cell r="L77">
            <v>50000</v>
          </cell>
          <cell r="M77">
            <v>50000</v>
          </cell>
          <cell r="N77">
            <v>50000</v>
          </cell>
          <cell r="O77">
            <v>50000</v>
          </cell>
          <cell r="P77">
            <v>50000</v>
          </cell>
          <cell r="Q77">
            <v>50000</v>
          </cell>
          <cell r="R77">
            <v>50000</v>
          </cell>
          <cell r="S77">
            <v>600000</v>
          </cell>
          <cell r="T77">
            <v>200000</v>
          </cell>
        </row>
        <row r="78">
          <cell r="S78">
            <v>0</v>
          </cell>
          <cell r="T78">
            <v>0</v>
          </cell>
        </row>
        <row r="79">
          <cell r="G79">
            <v>749252.25720362924</v>
          </cell>
          <cell r="H79">
            <v>654937.14337103977</v>
          </cell>
          <cell r="I79">
            <v>694293.33451184095</v>
          </cell>
          <cell r="J79">
            <v>663450.86641693139</v>
          </cell>
          <cell r="K79">
            <v>734267.67927083443</v>
          </cell>
          <cell r="L79">
            <v>686417.05847825948</v>
          </cell>
          <cell r="M79">
            <v>718817.60779507284</v>
          </cell>
          <cell r="N79">
            <v>679862.39270116831</v>
          </cell>
          <cell r="O79">
            <v>713535.20804266934</v>
          </cell>
          <cell r="P79">
            <v>679165.136170101</v>
          </cell>
          <cell r="Q79">
            <v>704453.38736791082</v>
          </cell>
          <cell r="R79">
            <v>660032.08208177728</v>
          </cell>
          <cell r="S79">
            <v>8338484.1534112347</v>
          </cell>
          <cell r="T79">
            <v>2757185.8136624582</v>
          </cell>
        </row>
        <row r="80">
          <cell r="G80">
            <v>-39845.405379799195</v>
          </cell>
          <cell r="H80">
            <v>16539.753496515099</v>
          </cell>
          <cell r="I80">
            <v>55162.607791513437</v>
          </cell>
          <cell r="J80">
            <v>87186.132955184788</v>
          </cell>
          <cell r="K80">
            <v>16210.332397890161</v>
          </cell>
          <cell r="L80">
            <v>61724.472132481984</v>
          </cell>
          <cell r="M80">
            <v>56938.962892474257</v>
          </cell>
          <cell r="N80">
            <v>94640.537977376021</v>
          </cell>
          <cell r="O80">
            <v>30903.901944842306</v>
          </cell>
          <cell r="P80">
            <v>110850.42291883193</v>
          </cell>
          <cell r="Q80">
            <v>84641.662548497901</v>
          </cell>
          <cell r="R80">
            <v>110345.13172296528</v>
          </cell>
          <cell r="S80">
            <v>685298.51339877397</v>
          </cell>
          <cell r="T80">
            <v>336741.11913513741</v>
          </cell>
        </row>
      </sheetData>
      <sheetData sheetId="1">
        <row r="5">
          <cell r="G5" t="str">
            <v>1월</v>
          </cell>
          <cell r="H5" t="str">
            <v>2월</v>
          </cell>
          <cell r="I5" t="str">
            <v>3월</v>
          </cell>
          <cell r="J5" t="str">
            <v>4월</v>
          </cell>
          <cell r="K5" t="str">
            <v>5월</v>
          </cell>
          <cell r="L5" t="str">
            <v>6월</v>
          </cell>
          <cell r="M5" t="str">
            <v>7월</v>
          </cell>
          <cell r="N5" t="str">
            <v>8월</v>
          </cell>
          <cell r="O5" t="str">
            <v>9월</v>
          </cell>
          <cell r="P5" t="str">
            <v>10월</v>
          </cell>
          <cell r="Q5" t="str">
            <v>11월</v>
          </cell>
          <cell r="R5" t="str">
            <v>12월</v>
          </cell>
          <cell r="S5" t="str">
            <v>합계</v>
          </cell>
          <cell r="U5"/>
          <cell r="V5" t="str">
            <v>2월누계</v>
          </cell>
          <cell r="W5" t="str">
            <v>3월누계</v>
          </cell>
          <cell r="X5" t="str">
            <v>4월누계</v>
          </cell>
          <cell r="Y5" t="str">
            <v>5월누계</v>
          </cell>
          <cell r="Z5" t="str">
            <v>6월누계</v>
          </cell>
          <cell r="AA5" t="str">
            <v>7월누계</v>
          </cell>
          <cell r="AB5" t="str">
            <v>8월누계</v>
          </cell>
        </row>
        <row r="6">
          <cell r="G6">
            <v>6000</v>
          </cell>
          <cell r="H6">
            <v>6000</v>
          </cell>
          <cell r="I6">
            <v>6000</v>
          </cell>
          <cell r="J6">
            <v>6000</v>
          </cell>
          <cell r="K6">
            <v>6000</v>
          </cell>
          <cell r="L6">
            <v>6000</v>
          </cell>
          <cell r="M6">
            <v>5000</v>
          </cell>
          <cell r="N6">
            <v>5000</v>
          </cell>
          <cell r="O6">
            <v>5000</v>
          </cell>
          <cell r="P6">
            <v>5000</v>
          </cell>
          <cell r="Q6">
            <v>5000</v>
          </cell>
          <cell r="R6">
            <v>3406</v>
          </cell>
          <cell r="S6">
            <v>64406</v>
          </cell>
          <cell r="U6"/>
          <cell r="V6">
            <v>12000</v>
          </cell>
          <cell r="W6">
            <v>18000</v>
          </cell>
          <cell r="X6">
            <v>24000</v>
          </cell>
          <cell r="Y6">
            <v>30000</v>
          </cell>
          <cell r="Z6">
            <v>36000</v>
          </cell>
          <cell r="AA6">
            <v>41000</v>
          </cell>
          <cell r="AB6">
            <v>46000</v>
          </cell>
        </row>
        <row r="7">
          <cell r="G7">
            <v>9859.7553407028245</v>
          </cell>
          <cell r="H7">
            <v>8773.1544311774724</v>
          </cell>
          <cell r="I7">
            <v>10355.137027505783</v>
          </cell>
          <cell r="J7">
            <v>10863.361164706679</v>
          </cell>
          <cell r="K7">
            <v>10809.035882592707</v>
          </cell>
          <cell r="L7">
            <v>10640.559098179559</v>
          </cell>
          <cell r="M7">
            <v>12004.659668437012</v>
          </cell>
          <cell r="N7">
            <v>11885.30135375616</v>
          </cell>
          <cell r="O7">
            <v>11321.063847794539</v>
          </cell>
          <cell r="P7">
            <v>13075.643242034368</v>
          </cell>
          <cell r="Q7">
            <v>12959.425726877136</v>
          </cell>
          <cell r="R7">
            <v>13017.869549930658</v>
          </cell>
          <cell r="S7">
            <v>135564.9663336949</v>
          </cell>
          <cell r="U7"/>
          <cell r="V7">
            <v>18632.909771880295</v>
          </cell>
          <cell r="W7">
            <v>28988.04679938608</v>
          </cell>
          <cell r="X7">
            <v>39851.407964092759</v>
          </cell>
          <cell r="Y7">
            <v>50660.443846685463</v>
          </cell>
          <cell r="Z7">
            <v>61301.002944865024</v>
          </cell>
          <cell r="AA7">
            <v>73305.662613302033</v>
          </cell>
          <cell r="AB7">
            <v>85190.963967058196</v>
          </cell>
        </row>
        <row r="8"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U8"/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</row>
        <row r="9">
          <cell r="G9"/>
          <cell r="H9"/>
          <cell r="I9"/>
          <cell r="J9"/>
          <cell r="K9"/>
          <cell r="L9"/>
          <cell r="M9"/>
          <cell r="N9"/>
          <cell r="O9"/>
          <cell r="P9"/>
          <cell r="Q9"/>
          <cell r="R9"/>
          <cell r="S9">
            <v>0</v>
          </cell>
          <cell r="U9"/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</row>
        <row r="10"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U10"/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</row>
        <row r="11"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U11"/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</row>
        <row r="12"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U12"/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</row>
        <row r="13">
          <cell r="G13">
            <v>9859.7553407028245</v>
          </cell>
          <cell r="H13">
            <v>8773.1544311774724</v>
          </cell>
          <cell r="I13">
            <v>10355.137027505783</v>
          </cell>
          <cell r="J13">
            <v>10863.361164706679</v>
          </cell>
          <cell r="K13">
            <v>10809.035882592707</v>
          </cell>
          <cell r="L13">
            <v>10640.559098179559</v>
          </cell>
          <cell r="M13">
            <v>12004.659668437012</v>
          </cell>
          <cell r="N13">
            <v>11885.30135375616</v>
          </cell>
          <cell r="O13">
            <v>11321.063847794539</v>
          </cell>
          <cell r="P13">
            <v>13075.643242034368</v>
          </cell>
          <cell r="Q13">
            <v>12959.425726877136</v>
          </cell>
          <cell r="R13">
            <v>13017.869549930658</v>
          </cell>
          <cell r="S13">
            <v>135564.9663336949</v>
          </cell>
          <cell r="U13"/>
          <cell r="V13">
            <v>18632.909771880295</v>
          </cell>
          <cell r="W13">
            <v>28988.04679938608</v>
          </cell>
          <cell r="X13">
            <v>39851.407964092759</v>
          </cell>
          <cell r="Y13">
            <v>50660.443846685463</v>
          </cell>
          <cell r="Z13">
            <v>61301.002944865024</v>
          </cell>
          <cell r="AA13">
            <v>73305.662613302033</v>
          </cell>
          <cell r="AB13">
            <v>85190.963967058196</v>
          </cell>
        </row>
        <row r="14">
          <cell r="G14">
            <v>15859.755340702824</v>
          </cell>
          <cell r="H14">
            <v>14773.154431177472</v>
          </cell>
          <cell r="I14">
            <v>16355.137027505783</v>
          </cell>
          <cell r="J14">
            <v>16863.361164706679</v>
          </cell>
          <cell r="K14">
            <v>16809.035882592707</v>
          </cell>
          <cell r="L14">
            <v>16640.559098179561</v>
          </cell>
          <cell r="M14">
            <v>17004.659668437012</v>
          </cell>
          <cell r="N14">
            <v>16885.30135375616</v>
          </cell>
          <cell r="O14">
            <v>16321.063847794539</v>
          </cell>
          <cell r="P14">
            <v>18075.64324203437</v>
          </cell>
          <cell r="Q14">
            <v>17959.425726877136</v>
          </cell>
          <cell r="R14">
            <v>16423.869549930656</v>
          </cell>
          <cell r="S14">
            <v>199970.9663336949</v>
          </cell>
          <cell r="U14"/>
          <cell r="V14">
            <v>30632.909771880295</v>
          </cell>
          <cell r="W14">
            <v>46988.04679938608</v>
          </cell>
          <cell r="X14">
            <v>63851.407964092759</v>
          </cell>
          <cell r="Y14">
            <v>80660.443846685463</v>
          </cell>
          <cell r="Z14">
            <v>97301.002944865031</v>
          </cell>
          <cell r="AA14">
            <v>114305.66261330205</v>
          </cell>
          <cell r="AB14">
            <v>131190.9639670582</v>
          </cell>
        </row>
        <row r="15">
          <cell r="G15">
            <v>15000</v>
          </cell>
          <cell r="H15">
            <v>15000</v>
          </cell>
          <cell r="I15">
            <v>16000</v>
          </cell>
          <cell r="J15">
            <v>15000</v>
          </cell>
          <cell r="K15">
            <v>15000</v>
          </cell>
          <cell r="L15">
            <v>15000</v>
          </cell>
          <cell r="M15">
            <v>15000</v>
          </cell>
          <cell r="N15">
            <v>15000</v>
          </cell>
          <cell r="O15">
            <v>15000</v>
          </cell>
          <cell r="P15">
            <v>14000</v>
          </cell>
          <cell r="Q15">
            <v>14000</v>
          </cell>
          <cell r="R15">
            <v>14000</v>
          </cell>
          <cell r="S15">
            <v>178000</v>
          </cell>
          <cell r="U15"/>
          <cell r="V15">
            <v>30000</v>
          </cell>
          <cell r="W15">
            <v>46000</v>
          </cell>
          <cell r="X15">
            <v>61000</v>
          </cell>
          <cell r="Y15">
            <v>76000</v>
          </cell>
          <cell r="Z15">
            <v>91000</v>
          </cell>
          <cell r="AA15">
            <v>106000</v>
          </cell>
          <cell r="AB15">
            <v>121000</v>
          </cell>
        </row>
        <row r="16">
          <cell r="G16">
            <v>6812.6046248949951</v>
          </cell>
          <cell r="H16">
            <v>6081.2689551615358</v>
          </cell>
          <cell r="I16">
            <v>7221.2811300997464</v>
          </cell>
          <cell r="J16">
            <v>7595.3882788795063</v>
          </cell>
          <cell r="K16">
            <v>7628.3458120118939</v>
          </cell>
          <cell r="L16">
            <v>7701.3606398820802</v>
          </cell>
          <cell r="M16">
            <v>8394.9661932246891</v>
          </cell>
          <cell r="N16">
            <v>8423.0762686841754</v>
          </cell>
          <cell r="O16">
            <v>8048.1039847219763</v>
          </cell>
          <cell r="P16">
            <v>9123.4138621428792</v>
          </cell>
          <cell r="Q16">
            <v>9164.2386912729435</v>
          </cell>
          <cell r="R16">
            <v>9136.4268319514886</v>
          </cell>
          <cell r="S16">
            <v>95330.475272927899</v>
          </cell>
          <cell r="U16"/>
          <cell r="V16">
            <v>12893.87358005653</v>
          </cell>
          <cell r="W16">
            <v>20115.154710156276</v>
          </cell>
          <cell r="X16">
            <v>27710.542989035781</v>
          </cell>
          <cell r="Y16">
            <v>35338.888801047673</v>
          </cell>
          <cell r="Z16">
            <v>43040.249440929751</v>
          </cell>
          <cell r="AA16">
            <v>51435.21563415444</v>
          </cell>
          <cell r="AB16">
            <v>59858.291902838617</v>
          </cell>
        </row>
        <row r="17">
          <cell r="G17">
            <v>1997.9400000000005</v>
          </cell>
          <cell r="H17">
            <v>1801.96</v>
          </cell>
          <cell r="I17">
            <v>2193.9096774193549</v>
          </cell>
          <cell r="J17">
            <v>2375.2258064516132</v>
          </cell>
          <cell r="K17">
            <v>2372.7096774193556</v>
          </cell>
          <cell r="L17">
            <v>2303.2258064516132</v>
          </cell>
          <cell r="M17">
            <v>2399.883870967742</v>
          </cell>
          <cell r="N17">
            <v>2400.3870967741937</v>
          </cell>
          <cell r="O17">
            <v>1747.1419354838713</v>
          </cell>
          <cell r="P17">
            <v>2366.6709677419362</v>
          </cell>
          <cell r="Q17">
            <v>2366.6709677419362</v>
          </cell>
          <cell r="R17">
            <v>2372.7096774193556</v>
          </cell>
          <cell r="S17">
            <v>26698.435483870973</v>
          </cell>
          <cell r="U17"/>
          <cell r="V17">
            <v>3799.9000000000005</v>
          </cell>
          <cell r="W17">
            <v>5993.8096774193555</v>
          </cell>
          <cell r="X17">
            <v>8369.0354838709682</v>
          </cell>
          <cell r="Y17">
            <v>10741.745161290324</v>
          </cell>
          <cell r="Z17">
            <v>13044.970967741938</v>
          </cell>
          <cell r="AA17">
            <v>15444.85483870968</v>
          </cell>
          <cell r="AB17">
            <v>17845.241935483875</v>
          </cell>
        </row>
        <row r="18"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U18"/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</row>
        <row r="19"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U19"/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</row>
        <row r="20"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U20"/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</row>
        <row r="21"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U21"/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</row>
        <row r="22">
          <cell r="G22">
            <v>8810.5446248949956</v>
          </cell>
          <cell r="H22">
            <v>7883.2289551615359</v>
          </cell>
          <cell r="I22">
            <v>9415.1908075191022</v>
          </cell>
          <cell r="J22">
            <v>9970.614085331119</v>
          </cell>
          <cell r="K22">
            <v>10001.05548943125</v>
          </cell>
          <cell r="L22">
            <v>10004.586446333693</v>
          </cell>
          <cell r="M22">
            <v>10794.850064192431</v>
          </cell>
          <cell r="N22">
            <v>10823.463365458369</v>
          </cell>
          <cell r="O22">
            <v>9795.2459202058471</v>
          </cell>
          <cell r="P22">
            <v>11490.084829884816</v>
          </cell>
          <cell r="Q22">
            <v>11530.90965901488</v>
          </cell>
          <cell r="R22">
            <v>11509.136509370845</v>
          </cell>
          <cell r="S22">
            <v>122028.91075679887</v>
          </cell>
          <cell r="U22"/>
          <cell r="V22">
            <v>16693.773580056532</v>
          </cell>
          <cell r="W22">
            <v>26108.964387575634</v>
          </cell>
          <cell r="X22">
            <v>36079.578472906753</v>
          </cell>
          <cell r="Y22">
            <v>46080.633962338004</v>
          </cell>
          <cell r="Z22">
            <v>56085.220408671696</v>
          </cell>
          <cell r="AA22">
            <v>66880.070472864129</v>
          </cell>
          <cell r="AB22">
            <v>77703.533838322503</v>
          </cell>
        </row>
        <row r="23">
          <cell r="G23">
            <v>23810.544624894996</v>
          </cell>
          <cell r="H23">
            <v>22883.228955161536</v>
          </cell>
          <cell r="I23">
            <v>25415.190807519102</v>
          </cell>
          <cell r="J23">
            <v>24970.614085331119</v>
          </cell>
          <cell r="K23">
            <v>25001.055489431252</v>
          </cell>
          <cell r="L23">
            <v>25004.586446333691</v>
          </cell>
          <cell r="M23">
            <v>25794.850064192433</v>
          </cell>
          <cell r="N23">
            <v>25823.463365458367</v>
          </cell>
          <cell r="O23">
            <v>24795.245920205845</v>
          </cell>
          <cell r="P23">
            <v>25490.084829884814</v>
          </cell>
          <cell r="Q23">
            <v>25530.90965901488</v>
          </cell>
          <cell r="R23">
            <v>25509.136509370845</v>
          </cell>
          <cell r="S23">
            <v>300028.91075679887</v>
          </cell>
          <cell r="U23"/>
          <cell r="V23">
            <v>46693.773580056528</v>
          </cell>
          <cell r="W23">
            <v>72108.96438757563</v>
          </cell>
          <cell r="X23">
            <v>97079.578472906753</v>
          </cell>
          <cell r="Y23">
            <v>122080.633962338</v>
          </cell>
          <cell r="Z23">
            <v>147085.22040867171</v>
          </cell>
          <cell r="AA23">
            <v>172880.07047286414</v>
          </cell>
          <cell r="AB23">
            <v>198703.5338383225</v>
          </cell>
        </row>
        <row r="24">
          <cell r="G24">
            <v>21000</v>
          </cell>
          <cell r="H24">
            <v>21000</v>
          </cell>
          <cell r="I24">
            <v>22000</v>
          </cell>
          <cell r="J24">
            <v>21000</v>
          </cell>
          <cell r="K24">
            <v>21000</v>
          </cell>
          <cell r="L24">
            <v>21000</v>
          </cell>
          <cell r="M24">
            <v>20000</v>
          </cell>
          <cell r="N24">
            <v>20000</v>
          </cell>
          <cell r="O24">
            <v>20000</v>
          </cell>
          <cell r="P24">
            <v>19000</v>
          </cell>
          <cell r="Q24">
            <v>19000</v>
          </cell>
          <cell r="R24">
            <v>17406</v>
          </cell>
          <cell r="S24">
            <v>242406</v>
          </cell>
          <cell r="U24"/>
          <cell r="V24">
            <v>42000</v>
          </cell>
          <cell r="W24">
            <v>64000</v>
          </cell>
          <cell r="X24">
            <v>85000</v>
          </cell>
          <cell r="Y24">
            <v>106000</v>
          </cell>
          <cell r="Z24">
            <v>127000</v>
          </cell>
          <cell r="AA24">
            <v>147000</v>
          </cell>
          <cell r="AB24">
            <v>167000</v>
          </cell>
        </row>
        <row r="25">
          <cell r="G25">
            <v>16672.359965597818</v>
          </cell>
          <cell r="H25">
            <v>14854.423386339007</v>
          </cell>
          <cell r="I25">
            <v>17576.418157605531</v>
          </cell>
          <cell r="J25">
            <v>18458.749443586184</v>
          </cell>
          <cell r="K25">
            <v>18437.381694604599</v>
          </cell>
          <cell r="L25">
            <v>18341.919738061639</v>
          </cell>
          <cell r="M25">
            <v>20399.625861661701</v>
          </cell>
          <cell r="N25">
            <v>20308.377622440334</v>
          </cell>
          <cell r="O25">
            <v>19369.167832516516</v>
          </cell>
          <cell r="P25">
            <v>22199.057104177249</v>
          </cell>
          <cell r="Q25">
            <v>22123.664418150081</v>
          </cell>
          <cell r="R25">
            <v>22154.296381882144</v>
          </cell>
          <cell r="S25">
            <v>230895.44160662283</v>
          </cell>
          <cell r="U25"/>
          <cell r="V25">
            <v>31526.783351936825</v>
          </cell>
          <cell r="W25">
            <v>49103.201509542356</v>
          </cell>
          <cell r="X25">
            <v>67561.950953128544</v>
          </cell>
          <cell r="Y25">
            <v>85999.332647733143</v>
          </cell>
          <cell r="Z25">
            <v>104341.25238579478</v>
          </cell>
          <cell r="AA25">
            <v>124740.87824745648</v>
          </cell>
          <cell r="AB25">
            <v>145049.25586989682</v>
          </cell>
        </row>
        <row r="26">
          <cell r="G26">
            <v>1997.9400000000005</v>
          </cell>
          <cell r="H26">
            <v>1801.96</v>
          </cell>
          <cell r="I26">
            <v>2193.9096774193549</v>
          </cell>
          <cell r="J26">
            <v>2375.2258064516132</v>
          </cell>
          <cell r="K26">
            <v>2372.7096774193556</v>
          </cell>
          <cell r="L26">
            <v>2303.2258064516132</v>
          </cell>
          <cell r="M26">
            <v>2399.883870967742</v>
          </cell>
          <cell r="N26">
            <v>2400.3870967741937</v>
          </cell>
          <cell r="O26">
            <v>1747.1419354838713</v>
          </cell>
          <cell r="P26">
            <v>2366.6709677419362</v>
          </cell>
          <cell r="Q26">
            <v>2366.6709677419362</v>
          </cell>
          <cell r="R26">
            <v>2372.7096774193556</v>
          </cell>
          <cell r="S26">
            <v>26698.435483870973</v>
          </cell>
          <cell r="U26"/>
          <cell r="V26">
            <v>3799.9000000000005</v>
          </cell>
          <cell r="W26">
            <v>5993.8096774193555</v>
          </cell>
          <cell r="X26">
            <v>8369.0354838709682</v>
          </cell>
          <cell r="Y26">
            <v>10741.745161290324</v>
          </cell>
          <cell r="Z26">
            <v>13044.970967741938</v>
          </cell>
          <cell r="AA26">
            <v>15444.85483870968</v>
          </cell>
          <cell r="AB26">
            <v>17845.241935483875</v>
          </cell>
        </row>
        <row r="27"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U27"/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</row>
        <row r="28"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U28"/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</row>
        <row r="29"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U29"/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</row>
        <row r="30"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U30"/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</row>
        <row r="31">
          <cell r="G31">
            <v>18670.29996559782</v>
          </cell>
          <cell r="H31">
            <v>16656.383386339006</v>
          </cell>
          <cell r="I31">
            <v>19770.327835024887</v>
          </cell>
          <cell r="J31">
            <v>20833.975250037798</v>
          </cell>
          <cell r="K31">
            <v>20810.091372023955</v>
          </cell>
          <cell r="L31">
            <v>20645.145544513252</v>
          </cell>
          <cell r="M31">
            <v>22799.509732629442</v>
          </cell>
          <cell r="N31">
            <v>22708.764719214527</v>
          </cell>
          <cell r="O31">
            <v>21116.309768000388</v>
          </cell>
          <cell r="P31">
            <v>24565.728071919184</v>
          </cell>
          <cell r="Q31">
            <v>24490.335385892016</v>
          </cell>
          <cell r="R31">
            <v>24527.0060593015</v>
          </cell>
          <cell r="S31">
            <v>257593.8770904938</v>
          </cell>
          <cell r="U31"/>
          <cell r="V31">
            <v>35326.683351936823</v>
          </cell>
          <cell r="W31">
            <v>55097.01118696171</v>
          </cell>
          <cell r="X31">
            <v>75930.986436999505</v>
          </cell>
          <cell r="Y31">
            <v>96741.077809023467</v>
          </cell>
          <cell r="Z31">
            <v>117386.22335353671</v>
          </cell>
          <cell r="AA31">
            <v>140185.73308616615</v>
          </cell>
          <cell r="AB31">
            <v>162894.49780538067</v>
          </cell>
        </row>
        <row r="32">
          <cell r="G32">
            <v>39670.29996559782</v>
          </cell>
          <cell r="H32">
            <v>37656.383386339003</v>
          </cell>
          <cell r="I32">
            <v>41770.327835024887</v>
          </cell>
          <cell r="J32">
            <v>41833.975250037794</v>
          </cell>
          <cell r="K32">
            <v>41810.091372023955</v>
          </cell>
          <cell r="L32">
            <v>41645.145544513252</v>
          </cell>
          <cell r="M32">
            <v>42799.509732629442</v>
          </cell>
          <cell r="N32">
            <v>42708.764719214523</v>
          </cell>
          <cell r="O32">
            <v>41116.309768000385</v>
          </cell>
          <cell r="P32">
            <v>43565.728071919184</v>
          </cell>
          <cell r="Q32">
            <v>43490.335385892016</v>
          </cell>
          <cell r="R32">
            <v>41933.0060593015</v>
          </cell>
          <cell r="S32">
            <v>499999.8770904938</v>
          </cell>
          <cell r="U32"/>
          <cell r="V32">
            <v>77326.683351936823</v>
          </cell>
          <cell r="W32">
            <v>119097.01118696171</v>
          </cell>
          <cell r="X32">
            <v>160930.98643699952</v>
          </cell>
          <cell r="Y32">
            <v>202741.07780902347</v>
          </cell>
          <cell r="Z32">
            <v>244386.22335353671</v>
          </cell>
          <cell r="AA32">
            <v>287185.73308616615</v>
          </cell>
          <cell r="AB32">
            <v>329894.49780538067</v>
          </cell>
        </row>
        <row r="33">
          <cell r="G33">
            <v>12000</v>
          </cell>
          <cell r="H33">
            <v>12000</v>
          </cell>
          <cell r="I33">
            <v>12000</v>
          </cell>
          <cell r="J33">
            <v>12000</v>
          </cell>
          <cell r="K33">
            <v>12000</v>
          </cell>
          <cell r="L33">
            <v>12000</v>
          </cell>
          <cell r="M33">
            <v>12000</v>
          </cell>
          <cell r="N33">
            <v>12000</v>
          </cell>
          <cell r="O33">
            <v>12000</v>
          </cell>
          <cell r="P33">
            <v>12000</v>
          </cell>
          <cell r="Q33">
            <v>12000</v>
          </cell>
          <cell r="R33">
            <v>12000</v>
          </cell>
          <cell r="S33">
            <v>12000</v>
          </cell>
          <cell r="V33">
            <v>12000</v>
          </cell>
          <cell r="W33">
            <v>12000</v>
          </cell>
          <cell r="X33">
            <v>12000</v>
          </cell>
          <cell r="Y33">
            <v>12000</v>
          </cell>
          <cell r="Z33">
            <v>12000</v>
          </cell>
          <cell r="AA33">
            <v>12000</v>
          </cell>
          <cell r="AB33">
            <v>12000</v>
          </cell>
        </row>
        <row r="34">
          <cell r="G34">
            <v>16000</v>
          </cell>
          <cell r="H34">
            <v>16000</v>
          </cell>
          <cell r="I34">
            <v>16000</v>
          </cell>
          <cell r="J34">
            <v>16000</v>
          </cell>
          <cell r="K34">
            <v>16000</v>
          </cell>
          <cell r="L34">
            <v>16000</v>
          </cell>
          <cell r="M34">
            <v>16000</v>
          </cell>
          <cell r="N34">
            <v>16000</v>
          </cell>
          <cell r="O34">
            <v>16000</v>
          </cell>
          <cell r="P34">
            <v>16000</v>
          </cell>
          <cell r="Q34">
            <v>16000</v>
          </cell>
          <cell r="R34">
            <v>16000</v>
          </cell>
          <cell r="S34">
            <v>16000</v>
          </cell>
          <cell r="V34">
            <v>16000</v>
          </cell>
          <cell r="W34">
            <v>16000</v>
          </cell>
          <cell r="X34">
            <v>16000</v>
          </cell>
          <cell r="Y34">
            <v>16000</v>
          </cell>
          <cell r="Z34">
            <v>16000</v>
          </cell>
          <cell r="AA34">
            <v>16000</v>
          </cell>
          <cell r="AB34">
            <v>16000</v>
          </cell>
        </row>
        <row r="35"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V35" t="e">
            <v>#DIV/0!</v>
          </cell>
          <cell r="W35" t="e">
            <v>#DIV/0!</v>
          </cell>
          <cell r="X35" t="e">
            <v>#DIV/0!</v>
          </cell>
          <cell r="Y35" t="e">
            <v>#DIV/0!</v>
          </cell>
          <cell r="Z35" t="e">
            <v>#DIV/0!</v>
          </cell>
          <cell r="AA35" t="e">
            <v>#DIV/0!</v>
          </cell>
          <cell r="AB35" t="e">
            <v>#DIV/0!</v>
          </cell>
        </row>
        <row r="36"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V36"/>
          <cell r="W36"/>
          <cell r="X36"/>
          <cell r="Y36"/>
          <cell r="Z36"/>
          <cell r="AA36"/>
          <cell r="AB36"/>
        </row>
        <row r="37"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V37"/>
          <cell r="W37"/>
          <cell r="X37"/>
          <cell r="Y37"/>
          <cell r="Z37"/>
          <cell r="AA37"/>
          <cell r="AB37"/>
        </row>
        <row r="38"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V38"/>
          <cell r="W38"/>
          <cell r="X38"/>
          <cell r="Y38"/>
          <cell r="Z38"/>
          <cell r="AA38"/>
          <cell r="AB38"/>
        </row>
        <row r="39"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V39"/>
          <cell r="W39"/>
          <cell r="X39"/>
          <cell r="Y39"/>
          <cell r="Z39"/>
          <cell r="AA39"/>
          <cell r="AB39"/>
        </row>
        <row r="40">
          <cell r="G40">
            <v>16000</v>
          </cell>
          <cell r="H40">
            <v>16000</v>
          </cell>
          <cell r="I40">
            <v>16000</v>
          </cell>
          <cell r="J40">
            <v>16000</v>
          </cell>
          <cell r="K40">
            <v>16000</v>
          </cell>
          <cell r="L40">
            <v>16000</v>
          </cell>
          <cell r="M40">
            <v>16000</v>
          </cell>
          <cell r="N40">
            <v>16000</v>
          </cell>
          <cell r="O40">
            <v>16000</v>
          </cell>
          <cell r="P40">
            <v>16000</v>
          </cell>
          <cell r="Q40">
            <v>16000</v>
          </cell>
          <cell r="R40">
            <v>16000</v>
          </cell>
          <cell r="S40">
            <v>16000</v>
          </cell>
          <cell r="V40">
            <v>16000</v>
          </cell>
          <cell r="W40">
            <v>16000</v>
          </cell>
          <cell r="X40">
            <v>16000</v>
          </cell>
          <cell r="Y40">
            <v>16000</v>
          </cell>
          <cell r="Z40">
            <v>16000</v>
          </cell>
          <cell r="AA40">
            <v>16000</v>
          </cell>
          <cell r="AB40">
            <v>16000</v>
          </cell>
        </row>
        <row r="41">
          <cell r="G41">
            <v>14486.735798603029</v>
          </cell>
          <cell r="H41">
            <v>14375.431590334556</v>
          </cell>
          <cell r="I41">
            <v>14532.57114510033</v>
          </cell>
          <cell r="J41">
            <v>14576.796181639662</v>
          </cell>
          <cell r="K41">
            <v>14572.196515752923</v>
          </cell>
          <cell r="L41">
            <v>14557.74076709805</v>
          </cell>
          <cell r="M41">
            <v>14823.85179180488</v>
          </cell>
          <cell r="N41">
            <v>14815.53787042415</v>
          </cell>
          <cell r="O41">
            <v>14774.58968444005</v>
          </cell>
          <cell r="P41">
            <v>14893.53868450498</v>
          </cell>
          <cell r="Q41">
            <v>14886.378645723118</v>
          </cell>
          <cell r="R41">
            <v>15170.475632518799</v>
          </cell>
          <cell r="S41">
            <v>14711.692978619214</v>
          </cell>
          <cell r="V41">
            <v>14433.057768346187</v>
          </cell>
          <cell r="W41">
            <v>14467.69540544212</v>
          </cell>
          <cell r="X41">
            <v>14496.509269553049</v>
          </cell>
          <cell r="Y41">
            <v>14512.281928077549</v>
          </cell>
          <cell r="Z41">
            <v>14520.056364870186</v>
          </cell>
          <cell r="AA41">
            <v>14565.250432475817</v>
          </cell>
          <cell r="AB41">
            <v>14597.464379892795</v>
          </cell>
        </row>
        <row r="42">
          <cell r="G42">
            <v>19000</v>
          </cell>
          <cell r="H42">
            <v>19000</v>
          </cell>
          <cell r="I42">
            <v>19000</v>
          </cell>
          <cell r="J42">
            <v>19000</v>
          </cell>
          <cell r="K42">
            <v>19000</v>
          </cell>
          <cell r="L42">
            <v>19000</v>
          </cell>
          <cell r="M42">
            <v>19000</v>
          </cell>
          <cell r="N42">
            <v>19000</v>
          </cell>
          <cell r="O42">
            <v>19000</v>
          </cell>
          <cell r="P42">
            <v>19000</v>
          </cell>
          <cell r="Q42">
            <v>19000</v>
          </cell>
          <cell r="R42">
            <v>19000</v>
          </cell>
          <cell r="S42">
            <v>19000</v>
          </cell>
          <cell r="V42">
            <v>19000</v>
          </cell>
          <cell r="W42">
            <v>19000</v>
          </cell>
          <cell r="X42">
            <v>19000</v>
          </cell>
          <cell r="Y42">
            <v>19000</v>
          </cell>
          <cell r="Z42">
            <v>19000</v>
          </cell>
          <cell r="AA42">
            <v>19000</v>
          </cell>
          <cell r="AB42">
            <v>19000</v>
          </cell>
        </row>
        <row r="43">
          <cell r="G43">
            <v>23000</v>
          </cell>
          <cell r="H43">
            <v>23000</v>
          </cell>
          <cell r="I43">
            <v>23000</v>
          </cell>
          <cell r="J43">
            <v>23000</v>
          </cell>
          <cell r="K43">
            <v>23000</v>
          </cell>
          <cell r="L43">
            <v>23000</v>
          </cell>
          <cell r="M43">
            <v>23000</v>
          </cell>
          <cell r="N43">
            <v>23000</v>
          </cell>
          <cell r="O43">
            <v>23000</v>
          </cell>
          <cell r="P43">
            <v>23000</v>
          </cell>
          <cell r="Q43">
            <v>23000</v>
          </cell>
          <cell r="R43">
            <v>23000</v>
          </cell>
          <cell r="S43">
            <v>23000.000000000004</v>
          </cell>
          <cell r="T43">
            <v>3500</v>
          </cell>
          <cell r="U43">
            <v>26500</v>
          </cell>
          <cell r="V43">
            <v>23000.000000000004</v>
          </cell>
          <cell r="W43">
            <v>23000</v>
          </cell>
          <cell r="X43">
            <v>23000.000000000004</v>
          </cell>
          <cell r="Y43">
            <v>23000.000000000004</v>
          </cell>
          <cell r="Z43">
            <v>23000.000000000007</v>
          </cell>
          <cell r="AA43">
            <v>23000.000000000004</v>
          </cell>
          <cell r="AB43">
            <v>23000.000000000004</v>
          </cell>
        </row>
        <row r="44">
          <cell r="G44">
            <v>19000</v>
          </cell>
          <cell r="H44">
            <v>19000</v>
          </cell>
          <cell r="I44">
            <v>19000</v>
          </cell>
          <cell r="J44">
            <v>19000</v>
          </cell>
          <cell r="K44">
            <v>19000</v>
          </cell>
          <cell r="L44">
            <v>19000</v>
          </cell>
          <cell r="M44">
            <v>19000</v>
          </cell>
          <cell r="N44">
            <v>19000</v>
          </cell>
          <cell r="O44">
            <v>19000</v>
          </cell>
          <cell r="P44">
            <v>19000</v>
          </cell>
          <cell r="Q44">
            <v>19000</v>
          </cell>
          <cell r="R44">
            <v>19000</v>
          </cell>
          <cell r="S44">
            <v>19000</v>
          </cell>
          <cell r="U44">
            <v>19000</v>
          </cell>
          <cell r="V44">
            <v>19000</v>
          </cell>
          <cell r="W44">
            <v>19000</v>
          </cell>
          <cell r="X44">
            <v>19000</v>
          </cell>
          <cell r="Y44">
            <v>19000</v>
          </cell>
          <cell r="Z44">
            <v>19000</v>
          </cell>
          <cell r="AA44">
            <v>18999.999999999996</v>
          </cell>
          <cell r="AB44">
            <v>18999.999999999996</v>
          </cell>
        </row>
        <row r="45"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3500</v>
          </cell>
          <cell r="U45">
            <v>3500</v>
          </cell>
          <cell r="V45" t="e">
            <v>#DIV/0!</v>
          </cell>
          <cell r="W45" t="e">
            <v>#DIV/0!</v>
          </cell>
          <cell r="X45" t="e">
            <v>#DIV/0!</v>
          </cell>
          <cell r="Y45" t="e">
            <v>#DIV/0!</v>
          </cell>
          <cell r="Z45" t="e">
            <v>#DIV/0!</v>
          </cell>
          <cell r="AA45" t="e">
            <v>#DIV/0!</v>
          </cell>
          <cell r="AB45" t="e">
            <v>#DIV/0!</v>
          </cell>
        </row>
        <row r="46"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8000</v>
          </cell>
          <cell r="U46">
            <v>8000</v>
          </cell>
          <cell r="V46" t="e">
            <v>#DIV/0!</v>
          </cell>
          <cell r="W46" t="e">
            <v>#DIV/0!</v>
          </cell>
          <cell r="X46" t="e">
            <v>#DIV/0!</v>
          </cell>
          <cell r="Y46" t="e">
            <v>#DIV/0!</v>
          </cell>
          <cell r="Z46" t="e">
            <v>#DIV/0!</v>
          </cell>
          <cell r="AA46" t="e">
            <v>#DIV/0!</v>
          </cell>
          <cell r="AB46" t="e">
            <v>#DIV/0!</v>
          </cell>
        </row>
        <row r="47"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5000</v>
          </cell>
          <cell r="U47">
            <v>5000</v>
          </cell>
          <cell r="V47" t="e">
            <v>#DIV/0!</v>
          </cell>
          <cell r="W47" t="e">
            <v>#DIV/0!</v>
          </cell>
          <cell r="X47" t="e">
            <v>#DIV/0!</v>
          </cell>
          <cell r="Y47" t="e">
            <v>#DIV/0!</v>
          </cell>
          <cell r="Z47" t="e">
            <v>#DIV/0!</v>
          </cell>
          <cell r="AA47" t="e">
            <v>#DIV/0!</v>
          </cell>
          <cell r="AB47" t="e">
            <v>#DIV/0!</v>
          </cell>
        </row>
        <row r="48"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7000</v>
          </cell>
          <cell r="U48">
            <v>7000</v>
          </cell>
          <cell r="V48" t="e">
            <v>#DIV/0!</v>
          </cell>
          <cell r="W48" t="e">
            <v>#DIV/0!</v>
          </cell>
          <cell r="X48" t="e">
            <v>#DIV/0!</v>
          </cell>
          <cell r="Y48" t="e">
            <v>#DIV/0!</v>
          </cell>
          <cell r="Z48" t="e">
            <v>#DIV/0!</v>
          </cell>
          <cell r="AA48" t="e">
            <v>#DIV/0!</v>
          </cell>
          <cell r="AB48" t="e">
            <v>#DIV/0!</v>
          </cell>
        </row>
        <row r="49">
          <cell r="G49">
            <v>22092.932350922034</v>
          </cell>
          <cell r="H49">
            <v>22085.674151924679</v>
          </cell>
          <cell r="I49">
            <v>22067.927683136375</v>
          </cell>
          <cell r="J49">
            <v>22047.109521590624</v>
          </cell>
          <cell r="K49">
            <v>22051.016293259545</v>
          </cell>
          <cell r="L49">
            <v>22079.132028572491</v>
          </cell>
          <cell r="M49">
            <v>22110.73007713988</v>
          </cell>
          <cell r="N49">
            <v>22112.895007550094</v>
          </cell>
          <cell r="O49">
            <v>22286.534733393546</v>
          </cell>
          <cell r="P49">
            <v>22176.099740678535</v>
          </cell>
          <cell r="Q49">
            <v>22179.016734072953</v>
          </cell>
          <cell r="R49">
            <v>22175.3648328048</v>
          </cell>
          <cell r="S49">
            <v>22124.848847103774</v>
          </cell>
          <cell r="V49">
            <v>22089.504842802082</v>
          </cell>
          <cell r="W49">
            <v>22081.72387254523</v>
          </cell>
          <cell r="X49">
            <v>22072.15817500135</v>
          </cell>
          <cell r="Y49">
            <v>22067.569671886926</v>
          </cell>
          <cell r="Z49">
            <v>22069.632186683899</v>
          </cell>
          <cell r="AA49">
            <v>22076.265636114946</v>
          </cell>
          <cell r="AB49">
            <v>22081.367806379851</v>
          </cell>
        </row>
        <row r="50">
          <cell r="G50">
            <v>20144.468508758444</v>
          </cell>
          <cell r="H50">
            <v>20063.008890410958</v>
          </cell>
          <cell r="I50">
            <v>20136.529909972316</v>
          </cell>
          <cell r="J50">
            <v>20216.692269228795</v>
          </cell>
          <cell r="K50">
            <v>20220.483801611757</v>
          </cell>
          <cell r="L50">
            <v>20231.991683831478</v>
          </cell>
          <cell r="M50">
            <v>20301.804999421696</v>
          </cell>
          <cell r="N50">
            <v>20304.716745307054</v>
          </cell>
          <cell r="O50">
            <v>20298.330173553721</v>
          </cell>
          <cell r="P50">
            <v>20431.68042366756</v>
          </cell>
          <cell r="Q50">
            <v>20435.787257668209</v>
          </cell>
          <cell r="R50">
            <v>20432.651682050502</v>
          </cell>
          <cell r="S50">
            <v>20270.950523167445</v>
          </cell>
          <cell r="V50">
            <v>20104.547573817308</v>
          </cell>
          <cell r="W50">
            <v>20115.819919534006</v>
          </cell>
          <cell r="X50">
            <v>20141.766102611138</v>
          </cell>
          <cell r="Y50">
            <v>20157.886804944006</v>
          </cell>
          <cell r="Z50">
            <v>20170.484684221665</v>
          </cell>
          <cell r="AA50">
            <v>20190.078543893876</v>
          </cell>
          <cell r="AB50">
            <v>20204.976896919063</v>
          </cell>
        </row>
        <row r="51">
          <cell r="G51">
            <v>17000</v>
          </cell>
          <cell r="H51">
            <v>17000</v>
          </cell>
          <cell r="I51">
            <v>17090.909090909088</v>
          </cell>
          <cell r="J51">
            <v>17000</v>
          </cell>
          <cell r="K51">
            <v>17000</v>
          </cell>
          <cell r="L51">
            <v>17000</v>
          </cell>
          <cell r="M51">
            <v>17250</v>
          </cell>
          <cell r="N51">
            <v>17250</v>
          </cell>
          <cell r="O51">
            <v>17250</v>
          </cell>
          <cell r="P51">
            <v>17157.894736842107</v>
          </cell>
          <cell r="Q51">
            <v>17157.894736842107</v>
          </cell>
          <cell r="R51">
            <v>17630.242445133863</v>
          </cell>
          <cell r="S51">
            <v>17140.136795293845</v>
          </cell>
          <cell r="V51">
            <v>17000</v>
          </cell>
          <cell r="W51">
            <v>17031.25</v>
          </cell>
          <cell r="X51">
            <v>17023.529411764706</v>
          </cell>
          <cell r="Y51">
            <v>17018.867924528302</v>
          </cell>
          <cell r="Z51">
            <v>17015.748031496063</v>
          </cell>
          <cell r="AA51">
            <v>17047.619047619046</v>
          </cell>
          <cell r="AB51">
            <v>17071.856287425147</v>
          </cell>
        </row>
        <row r="52">
          <cell r="G52">
            <v>18860.316864119184</v>
          </cell>
          <cell r="H52">
            <v>18865.737806105593</v>
          </cell>
          <cell r="I52">
            <v>18875.953875097417</v>
          </cell>
          <cell r="J52">
            <v>18880.353195900312</v>
          </cell>
          <cell r="K52">
            <v>18896.204112306761</v>
          </cell>
          <cell r="L52">
            <v>18939.142971349174</v>
          </cell>
          <cell r="M52">
            <v>18880.678486511519</v>
          </cell>
          <cell r="N52">
            <v>18903.310888588068</v>
          </cell>
          <cell r="O52">
            <v>18908.577610571221</v>
          </cell>
          <cell r="P52">
            <v>18876.874307557089</v>
          </cell>
          <cell r="Q52">
            <v>18899.595185790411</v>
          </cell>
          <cell r="R52">
            <v>18886.79842145486</v>
          </cell>
          <cell r="S52">
            <v>18890.110442489375</v>
          </cell>
          <cell r="V52">
            <v>18862.871040564016</v>
          </cell>
          <cell r="W52">
            <v>18867.554021782689</v>
          </cell>
          <cell r="X52">
            <v>18871.050912337043</v>
          </cell>
          <cell r="Y52">
            <v>18876.44350242355</v>
          </cell>
          <cell r="Z52">
            <v>18887.465304446789</v>
          </cell>
          <cell r="AA52">
            <v>18886.355415302063</v>
          </cell>
          <cell r="AB52">
            <v>18888.729354776584</v>
          </cell>
        </row>
        <row r="53">
          <cell r="G53">
            <v>19000</v>
          </cell>
          <cell r="H53">
            <v>19000</v>
          </cell>
          <cell r="I53">
            <v>19000</v>
          </cell>
          <cell r="J53">
            <v>19000</v>
          </cell>
          <cell r="K53">
            <v>18999.999999999996</v>
          </cell>
          <cell r="L53">
            <v>19000</v>
          </cell>
          <cell r="M53">
            <v>19000</v>
          </cell>
          <cell r="N53">
            <v>19000</v>
          </cell>
          <cell r="O53">
            <v>19000.000000000004</v>
          </cell>
          <cell r="P53">
            <v>19000</v>
          </cell>
          <cell r="Q53">
            <v>19000</v>
          </cell>
          <cell r="R53">
            <v>18999.999999999996</v>
          </cell>
          <cell r="S53">
            <v>19000</v>
          </cell>
          <cell r="V53">
            <v>19000</v>
          </cell>
          <cell r="W53">
            <v>19000</v>
          </cell>
          <cell r="X53">
            <v>19000</v>
          </cell>
          <cell r="Y53">
            <v>19000</v>
          </cell>
          <cell r="Z53">
            <v>19000</v>
          </cell>
          <cell r="AA53">
            <v>18999.999999999996</v>
          </cell>
          <cell r="AB53">
            <v>18999.999999999996</v>
          </cell>
        </row>
        <row r="54"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V54" t="e">
            <v>#DIV/0!</v>
          </cell>
          <cell r="W54" t="e">
            <v>#DIV/0!</v>
          </cell>
          <cell r="X54" t="e">
            <v>#DIV/0!</v>
          </cell>
          <cell r="Y54" t="e">
            <v>#DIV/0!</v>
          </cell>
          <cell r="Z54" t="e">
            <v>#DIV/0!</v>
          </cell>
          <cell r="AA54" t="e">
            <v>#DIV/0!</v>
          </cell>
          <cell r="AB54" t="e">
            <v>#DIV/0!</v>
          </cell>
        </row>
        <row r="55"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V55" t="e">
            <v>#DIV/0!</v>
          </cell>
          <cell r="W55" t="e">
            <v>#DIV/0!</v>
          </cell>
          <cell r="X55" t="e">
            <v>#DIV/0!</v>
          </cell>
          <cell r="Y55" t="e">
            <v>#DIV/0!</v>
          </cell>
          <cell r="Z55" t="e">
            <v>#DIV/0!</v>
          </cell>
          <cell r="AA55" t="e">
            <v>#DIV/0!</v>
          </cell>
          <cell r="AB55" t="e">
            <v>#DIV/0!</v>
          </cell>
        </row>
        <row r="56"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V56" t="e">
            <v>#DIV/0!</v>
          </cell>
          <cell r="W56" t="e">
            <v>#DIV/0!</v>
          </cell>
          <cell r="X56" t="e">
            <v>#DIV/0!</v>
          </cell>
          <cell r="Y56" t="e">
            <v>#DIV/0!</v>
          </cell>
          <cell r="Z56" t="e">
            <v>#DIV/0!</v>
          </cell>
          <cell r="AA56" t="e">
            <v>#DIV/0!</v>
          </cell>
          <cell r="AB56" t="e">
            <v>#DIV/0!</v>
          </cell>
        </row>
        <row r="57"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V57" t="e">
            <v>#DIV/0!</v>
          </cell>
          <cell r="W57" t="e">
            <v>#DIV/0!</v>
          </cell>
          <cell r="X57" t="e">
            <v>#DIV/0!</v>
          </cell>
          <cell r="Y57" t="e">
            <v>#DIV/0!</v>
          </cell>
          <cell r="Z57" t="e">
            <v>#DIV/0!</v>
          </cell>
          <cell r="AA57" t="e">
            <v>#DIV/0!</v>
          </cell>
          <cell r="AB57" t="e">
            <v>#DIV/0!</v>
          </cell>
        </row>
        <row r="58">
          <cell r="G58">
            <v>18875.264589919832</v>
          </cell>
          <cell r="H58">
            <v>18880.262874201013</v>
          </cell>
          <cell r="I58">
            <v>18889.719250974897</v>
          </cell>
          <cell r="J58">
            <v>18893.993808090079</v>
          </cell>
          <cell r="K58">
            <v>18908.038635414006</v>
          </cell>
          <cell r="L58">
            <v>18945.932338786199</v>
          </cell>
          <cell r="M58">
            <v>18893.238308149728</v>
          </cell>
          <cell r="N58">
            <v>18913.531228544976</v>
          </cell>
          <cell r="O58">
            <v>18916.14180583867</v>
          </cell>
          <cell r="P58">
            <v>18888.736280499012</v>
          </cell>
          <cell r="Q58">
            <v>18909.297999372469</v>
          </cell>
          <cell r="R58">
            <v>18897.749390369037</v>
          </cell>
          <cell r="S58">
            <v>18901.499996055969</v>
          </cell>
          <cell r="V58">
            <v>18877.621260044561</v>
          </cell>
          <cell r="W58">
            <v>18881.962352994709</v>
          </cell>
          <cell r="X58">
            <v>18885.263548586143</v>
          </cell>
          <cell r="Y58">
            <v>18890.162725322924</v>
          </cell>
          <cell r="Z58">
            <v>18899.971131744205</v>
          </cell>
          <cell r="AA58">
            <v>18898.876119622142</v>
          </cell>
          <cell r="AB58">
            <v>18900.919156219123</v>
          </cell>
        </row>
        <row r="59">
          <cell r="G59">
            <v>17882.568380854929</v>
          </cell>
          <cell r="H59">
            <v>17831.688454477375</v>
          </cell>
          <cell r="I59">
            <v>17942.30452926748</v>
          </cell>
          <cell r="J59">
            <v>17943.238596992716</v>
          </cell>
          <cell r="K59">
            <v>17949.685997837496</v>
          </cell>
          <cell r="L59">
            <v>17964.675614137912</v>
          </cell>
          <cell r="M59">
            <v>18125.361143941485</v>
          </cell>
          <cell r="N59">
            <v>18134.519594993064</v>
          </cell>
          <cell r="O59">
            <v>18105.6888176012</v>
          </cell>
          <cell r="P59">
            <v>18133.877110575526</v>
          </cell>
          <cell r="Q59">
            <v>18144.147266622047</v>
          </cell>
          <cell r="R59">
            <v>18371.619070554541</v>
          </cell>
          <cell r="S59">
            <v>18047.569770055798</v>
          </cell>
          <cell r="V59">
            <v>17857.790982791423</v>
          </cell>
          <cell r="W59">
            <v>17887.432016664756</v>
          </cell>
          <cell r="X59">
            <v>17901.938925196897</v>
          </cell>
          <cell r="Y59">
            <v>17911.785521118276</v>
          </cell>
          <cell r="Z59">
            <v>17920.798368043281</v>
          </cell>
          <cell r="AA59">
            <v>17951.28451519239</v>
          </cell>
          <cell r="AB59">
            <v>17975.00647467815</v>
          </cell>
        </row>
        <row r="60">
          <cell r="G60">
            <v>72000</v>
          </cell>
          <cell r="H60">
            <v>72000</v>
          </cell>
          <cell r="I60">
            <v>72000</v>
          </cell>
          <cell r="J60">
            <v>72000</v>
          </cell>
          <cell r="K60">
            <v>72000</v>
          </cell>
          <cell r="L60">
            <v>72000</v>
          </cell>
          <cell r="M60">
            <v>60000</v>
          </cell>
          <cell r="N60">
            <v>60000</v>
          </cell>
          <cell r="O60">
            <v>60000</v>
          </cell>
          <cell r="P60">
            <v>60000</v>
          </cell>
          <cell r="Q60">
            <v>60000</v>
          </cell>
          <cell r="R60">
            <v>40872</v>
          </cell>
          <cell r="S60">
            <v>772872</v>
          </cell>
          <cell r="V60">
            <v>144000</v>
          </cell>
          <cell r="W60">
            <v>216000</v>
          </cell>
          <cell r="X60">
            <v>288000</v>
          </cell>
          <cell r="Y60">
            <v>360000</v>
          </cell>
          <cell r="Z60">
            <v>432000</v>
          </cell>
          <cell r="AA60">
            <v>492000</v>
          </cell>
          <cell r="AB60">
            <v>552000</v>
          </cell>
        </row>
        <row r="61">
          <cell r="G61">
            <v>157756.08545124519</v>
          </cell>
          <cell r="H61">
            <v>140370.47089883956</v>
          </cell>
          <cell r="I61">
            <v>165682.19244009253</v>
          </cell>
          <cell r="J61">
            <v>173813.77863530687</v>
          </cell>
          <cell r="K61">
            <v>172944.57412148331</v>
          </cell>
          <cell r="L61">
            <v>170248.94557087295</v>
          </cell>
          <cell r="M61">
            <v>192074.5546949922</v>
          </cell>
          <cell r="N61">
            <v>190164.82166009856</v>
          </cell>
          <cell r="O61">
            <v>181137.02156471263</v>
          </cell>
          <cell r="P61">
            <v>209210.29187254989</v>
          </cell>
          <cell r="Q61">
            <v>207350.81163003418</v>
          </cell>
          <cell r="R61">
            <v>208285.91279889052</v>
          </cell>
          <cell r="S61">
            <v>2169039.4613391184</v>
          </cell>
          <cell r="V61">
            <v>298126.55635008472</v>
          </cell>
          <cell r="W61">
            <v>463808.74879017728</v>
          </cell>
          <cell r="X61">
            <v>637622.52742548415</v>
          </cell>
          <cell r="Y61">
            <v>810567.1015469674</v>
          </cell>
          <cell r="Z61">
            <v>980816.04711784038</v>
          </cell>
          <cell r="AA61">
            <v>1172890.6018128325</v>
          </cell>
          <cell r="AB61">
            <v>1363055.4234729311</v>
          </cell>
        </row>
        <row r="62"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</row>
        <row r="63"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</row>
        <row r="64"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</row>
        <row r="65"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</row>
        <row r="66"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</row>
        <row r="67">
          <cell r="G67">
            <v>157756.08545124519</v>
          </cell>
          <cell r="H67">
            <v>140370.47089883956</v>
          </cell>
          <cell r="I67">
            <v>165682.19244009253</v>
          </cell>
          <cell r="J67">
            <v>173813.77863530687</v>
          </cell>
          <cell r="K67">
            <v>172944.57412148331</v>
          </cell>
          <cell r="L67">
            <v>170248.94557087295</v>
          </cell>
          <cell r="M67">
            <v>192074.5546949922</v>
          </cell>
          <cell r="N67">
            <v>190164.82166009856</v>
          </cell>
          <cell r="O67">
            <v>181137.02156471263</v>
          </cell>
          <cell r="P67">
            <v>209210.29187254989</v>
          </cell>
          <cell r="Q67">
            <v>207350.81163003418</v>
          </cell>
          <cell r="R67">
            <v>208285.91279889052</v>
          </cell>
          <cell r="S67">
            <v>2169039.4613391184</v>
          </cell>
          <cell r="V67">
            <v>298126.55635008472</v>
          </cell>
          <cell r="W67">
            <v>463808.74879017728</v>
          </cell>
          <cell r="X67">
            <v>637622.52742548415</v>
          </cell>
          <cell r="Y67">
            <v>810567.1015469674</v>
          </cell>
          <cell r="Z67">
            <v>980816.04711784038</v>
          </cell>
          <cell r="AA67">
            <v>1172890.6018128325</v>
          </cell>
          <cell r="AB67">
            <v>1363055.4234729311</v>
          </cell>
        </row>
        <row r="68">
          <cell r="G68">
            <v>229756.08545124519</v>
          </cell>
          <cell r="H68">
            <v>212370.47089883956</v>
          </cell>
          <cell r="I68">
            <v>237682.19244009253</v>
          </cell>
          <cell r="J68">
            <v>245813.77863530687</v>
          </cell>
          <cell r="K68">
            <v>244944.57412148331</v>
          </cell>
          <cell r="L68">
            <v>242248.94557087295</v>
          </cell>
          <cell r="M68">
            <v>252074.5546949922</v>
          </cell>
          <cell r="N68">
            <v>250164.82166009856</v>
          </cell>
          <cell r="O68">
            <v>241137.02156471263</v>
          </cell>
          <cell r="P68">
            <v>269210.29187254992</v>
          </cell>
          <cell r="Q68">
            <v>267350.81163003418</v>
          </cell>
          <cell r="R68">
            <v>249157.91279889052</v>
          </cell>
          <cell r="S68">
            <v>2941911.4613391184</v>
          </cell>
          <cell r="V68">
            <v>442126.55635008472</v>
          </cell>
          <cell r="W68">
            <v>679808.74879017728</v>
          </cell>
          <cell r="X68">
            <v>925622.52742548415</v>
          </cell>
          <cell r="Y68">
            <v>1170567.1015469674</v>
          </cell>
          <cell r="Z68">
            <v>1412816.0471178403</v>
          </cell>
          <cell r="AA68">
            <v>1664890.6018128325</v>
          </cell>
          <cell r="AB68">
            <v>1915055.4234729311</v>
          </cell>
        </row>
        <row r="69">
          <cell r="G69">
            <v>285000</v>
          </cell>
          <cell r="H69">
            <v>285000</v>
          </cell>
          <cell r="I69">
            <v>304000</v>
          </cell>
          <cell r="J69">
            <v>285000</v>
          </cell>
          <cell r="K69">
            <v>285000</v>
          </cell>
          <cell r="L69">
            <v>285000</v>
          </cell>
          <cell r="M69">
            <v>285000</v>
          </cell>
          <cell r="N69">
            <v>285000</v>
          </cell>
          <cell r="O69">
            <v>285000</v>
          </cell>
          <cell r="P69">
            <v>266000</v>
          </cell>
          <cell r="Q69">
            <v>266000</v>
          </cell>
          <cell r="R69">
            <v>266000</v>
          </cell>
          <cell r="S69">
            <v>3382000</v>
          </cell>
          <cell r="V69">
            <v>570000</v>
          </cell>
          <cell r="W69">
            <v>874000</v>
          </cell>
          <cell r="X69">
            <v>1159000</v>
          </cell>
          <cell r="Y69">
            <v>1444000</v>
          </cell>
          <cell r="Z69">
            <v>1729000</v>
          </cell>
          <cell r="AA69">
            <v>2014000</v>
          </cell>
          <cell r="AB69">
            <v>2299000</v>
          </cell>
        </row>
        <row r="70">
          <cell r="G70">
            <v>156689.90637258487</v>
          </cell>
          <cell r="H70">
            <v>139869.18596871532</v>
          </cell>
          <cell r="I70">
            <v>166089.46599229416</v>
          </cell>
          <cell r="J70">
            <v>174693.93041422864</v>
          </cell>
          <cell r="K70">
            <v>175451.95367627355</v>
          </cell>
          <cell r="L70">
            <v>177131.29471728785</v>
          </cell>
          <cell r="M70">
            <v>193084.22244416786</v>
          </cell>
          <cell r="N70">
            <v>193730.75417973605</v>
          </cell>
          <cell r="O70">
            <v>185106.39164860547</v>
          </cell>
          <cell r="P70">
            <v>209838.51882928621</v>
          </cell>
          <cell r="Q70">
            <v>210777.48989927769</v>
          </cell>
          <cell r="R70">
            <v>210137.81713488424</v>
          </cell>
          <cell r="S70">
            <v>2192600.9312773421</v>
          </cell>
          <cell r="V70">
            <v>296559.09234130022</v>
          </cell>
          <cell r="W70">
            <v>462648.55833359435</v>
          </cell>
          <cell r="X70">
            <v>637342.48874782305</v>
          </cell>
          <cell r="Y70">
            <v>812794.44242409663</v>
          </cell>
          <cell r="Z70">
            <v>989925.73714138451</v>
          </cell>
          <cell r="AA70">
            <v>1183009.9595855523</v>
          </cell>
          <cell r="AB70">
            <v>1376740.7137652885</v>
          </cell>
        </row>
        <row r="71">
          <cell r="G71">
            <v>37960.860000000008</v>
          </cell>
          <cell r="H71">
            <v>34237.24</v>
          </cell>
          <cell r="I71">
            <v>41684.283870967745</v>
          </cell>
          <cell r="J71">
            <v>45129.290322580651</v>
          </cell>
          <cell r="K71">
            <v>45081.48387096775</v>
          </cell>
          <cell r="L71">
            <v>43761.290322580651</v>
          </cell>
          <cell r="M71">
            <v>45597.793548387097</v>
          </cell>
          <cell r="N71">
            <v>45607.354838709682</v>
          </cell>
          <cell r="O71">
            <v>33195.696774193559</v>
          </cell>
          <cell r="P71">
            <v>44966.748387096784</v>
          </cell>
          <cell r="Q71">
            <v>44966.748387096784</v>
          </cell>
          <cell r="R71">
            <v>45081.48387096775</v>
          </cell>
          <cell r="S71">
            <v>507270.27419354848</v>
          </cell>
          <cell r="V71">
            <v>72198.100000000006</v>
          </cell>
          <cell r="W71">
            <v>113882.38387096775</v>
          </cell>
          <cell r="X71">
            <v>159011.67419354839</v>
          </cell>
          <cell r="Y71">
            <v>204093.15806451614</v>
          </cell>
          <cell r="Z71">
            <v>247854.44838709681</v>
          </cell>
          <cell r="AA71">
            <v>293452.24193548388</v>
          </cell>
          <cell r="AB71">
            <v>339059.59677419357</v>
          </cell>
        </row>
        <row r="72"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</row>
        <row r="73"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</row>
        <row r="74"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</row>
        <row r="75"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</row>
        <row r="76">
          <cell r="G76">
            <v>194650.76637258488</v>
          </cell>
          <cell r="H76">
            <v>174106.42596871531</v>
          </cell>
          <cell r="I76">
            <v>207773.74986326191</v>
          </cell>
          <cell r="J76">
            <v>219823.22073680931</v>
          </cell>
          <cell r="K76">
            <v>220533.43754724131</v>
          </cell>
          <cell r="L76">
            <v>220892.58503986849</v>
          </cell>
          <cell r="M76">
            <v>238682.01599255495</v>
          </cell>
          <cell r="N76">
            <v>239338.10901844571</v>
          </cell>
          <cell r="O76">
            <v>218302.08842279902</v>
          </cell>
          <cell r="P76">
            <v>254805.26721638301</v>
          </cell>
          <cell r="Q76">
            <v>255744.23828637449</v>
          </cell>
          <cell r="R76">
            <v>255219.301005852</v>
          </cell>
          <cell r="S76">
            <v>2699871.2054708907</v>
          </cell>
          <cell r="V76">
            <v>368757.19234130019</v>
          </cell>
          <cell r="W76">
            <v>576530.94220456213</v>
          </cell>
          <cell r="X76">
            <v>796354.16294137144</v>
          </cell>
          <cell r="Y76">
            <v>1016887.6004886128</v>
          </cell>
          <cell r="Z76">
            <v>1237780.1855284814</v>
          </cell>
          <cell r="AA76">
            <v>1476462.2015210362</v>
          </cell>
          <cell r="AB76">
            <v>1715800.3105394819</v>
          </cell>
        </row>
        <row r="77">
          <cell r="G77">
            <v>479650.76637258485</v>
          </cell>
          <cell r="H77">
            <v>459106.42596871534</v>
          </cell>
          <cell r="I77">
            <v>511773.74986326194</v>
          </cell>
          <cell r="J77">
            <v>504823.22073680931</v>
          </cell>
          <cell r="K77">
            <v>505533.43754724134</v>
          </cell>
          <cell r="L77">
            <v>505892.58503986849</v>
          </cell>
          <cell r="M77">
            <v>523682.01599255495</v>
          </cell>
          <cell r="N77">
            <v>524338.10901844571</v>
          </cell>
          <cell r="O77">
            <v>503302.08842279902</v>
          </cell>
          <cell r="P77">
            <v>520805.26721638301</v>
          </cell>
          <cell r="Q77">
            <v>521744.23828637449</v>
          </cell>
          <cell r="R77">
            <v>521219.301005852</v>
          </cell>
          <cell r="S77">
            <v>6081871.2054708907</v>
          </cell>
          <cell r="V77">
            <v>938757.19234130019</v>
          </cell>
          <cell r="W77">
            <v>1450530.942204562</v>
          </cell>
          <cell r="X77">
            <v>1955354.1629413713</v>
          </cell>
          <cell r="Y77">
            <v>2460887.6004886124</v>
          </cell>
          <cell r="Z77">
            <v>2966780.1855284809</v>
          </cell>
          <cell r="AA77">
            <v>3490462.2015210357</v>
          </cell>
          <cell r="AB77">
            <v>4014800.3105394812</v>
          </cell>
        </row>
        <row r="78">
          <cell r="G78">
            <v>357000</v>
          </cell>
          <cell r="H78">
            <v>357000</v>
          </cell>
          <cell r="I78">
            <v>376000</v>
          </cell>
          <cell r="J78">
            <v>357000</v>
          </cell>
          <cell r="K78">
            <v>357000</v>
          </cell>
          <cell r="L78">
            <v>357000</v>
          </cell>
          <cell r="M78">
            <v>345000</v>
          </cell>
          <cell r="N78">
            <v>345000</v>
          </cell>
          <cell r="O78">
            <v>345000</v>
          </cell>
          <cell r="P78">
            <v>326000</v>
          </cell>
          <cell r="Q78">
            <v>326000</v>
          </cell>
          <cell r="R78">
            <v>306872</v>
          </cell>
          <cell r="S78">
            <v>4154872</v>
          </cell>
          <cell r="V78">
            <v>714000</v>
          </cell>
          <cell r="W78">
            <v>1090000</v>
          </cell>
          <cell r="X78">
            <v>1447000</v>
          </cell>
          <cell r="Y78">
            <v>1804000</v>
          </cell>
          <cell r="Z78">
            <v>2161000</v>
          </cell>
          <cell r="AA78">
            <v>2506000</v>
          </cell>
          <cell r="AB78">
            <v>2851000</v>
          </cell>
        </row>
        <row r="79">
          <cell r="G79">
            <v>314445.99182383006</v>
          </cell>
          <cell r="H79">
            <v>280239.65686755488</v>
          </cell>
          <cell r="I79">
            <v>331771.6584323867</v>
          </cell>
          <cell r="J79">
            <v>348507.70904953551</v>
          </cell>
          <cell r="K79">
            <v>348396.52779775683</v>
          </cell>
          <cell r="L79">
            <v>347380.2402881608</v>
          </cell>
          <cell r="M79">
            <v>385158.77713916008</v>
          </cell>
          <cell r="N79">
            <v>383895.57583983464</v>
          </cell>
          <cell r="O79">
            <v>366243.4132133181</v>
          </cell>
          <cell r="P79">
            <v>419048.81070183613</v>
          </cell>
          <cell r="Q79">
            <v>418128.30152931187</v>
          </cell>
          <cell r="R79">
            <v>418423.7299337748</v>
          </cell>
          <cell r="S79">
            <v>4361640.392616461</v>
          </cell>
          <cell r="V79">
            <v>594685.64869138494</v>
          </cell>
          <cell r="W79">
            <v>926457.30712377164</v>
          </cell>
          <cell r="X79">
            <v>1274965.0161733071</v>
          </cell>
          <cell r="Y79">
            <v>1623361.543971064</v>
          </cell>
          <cell r="Z79">
            <v>1970741.7842592248</v>
          </cell>
          <cell r="AA79">
            <v>2355900.5613983851</v>
          </cell>
          <cell r="AB79">
            <v>2739796.1372382198</v>
          </cell>
        </row>
        <row r="80">
          <cell r="G80">
            <v>37960.860000000008</v>
          </cell>
          <cell r="H80">
            <v>34237.24</v>
          </cell>
          <cell r="I80">
            <v>41684.283870967745</v>
          </cell>
          <cell r="J80">
            <v>45129.290322580651</v>
          </cell>
          <cell r="K80">
            <v>45081.48387096775</v>
          </cell>
          <cell r="L80">
            <v>43761.290322580651</v>
          </cell>
          <cell r="M80">
            <v>45597.793548387097</v>
          </cell>
          <cell r="N80">
            <v>45607.354838709682</v>
          </cell>
          <cell r="O80">
            <v>33195.696774193559</v>
          </cell>
          <cell r="P80">
            <v>44966.748387096784</v>
          </cell>
          <cell r="Q80">
            <v>44966.748387096784</v>
          </cell>
          <cell r="R80">
            <v>45081.48387096775</v>
          </cell>
          <cell r="S80">
            <v>507270.27419354848</v>
          </cell>
          <cell r="V80">
            <v>72198.100000000006</v>
          </cell>
          <cell r="W80">
            <v>113882.38387096775</v>
          </cell>
          <cell r="X80">
            <v>159011.67419354839</v>
          </cell>
          <cell r="Y80">
            <v>204093.15806451614</v>
          </cell>
          <cell r="Z80">
            <v>247854.44838709681</v>
          </cell>
          <cell r="AA80">
            <v>293452.24193548388</v>
          </cell>
          <cell r="AB80">
            <v>339059.59677419357</v>
          </cell>
        </row>
        <row r="81"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</row>
        <row r="82"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</row>
        <row r="83"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</row>
        <row r="84"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</row>
        <row r="85">
          <cell r="G85">
            <v>352406.85182383005</v>
          </cell>
          <cell r="H85">
            <v>314476.89686755487</v>
          </cell>
          <cell r="I85">
            <v>373455.94230335444</v>
          </cell>
          <cell r="J85">
            <v>393636.99937211617</v>
          </cell>
          <cell r="K85">
            <v>393478.01166872459</v>
          </cell>
          <cell r="L85">
            <v>391141.53061074147</v>
          </cell>
          <cell r="M85">
            <v>430756.57068754721</v>
          </cell>
          <cell r="N85">
            <v>429502.93067854433</v>
          </cell>
          <cell r="O85">
            <v>399439.10998751165</v>
          </cell>
          <cell r="P85">
            <v>464015.55908893293</v>
          </cell>
          <cell r="Q85">
            <v>463095.04991640867</v>
          </cell>
          <cell r="R85">
            <v>463505.21380474255</v>
          </cell>
          <cell r="S85">
            <v>4868910.6668100096</v>
          </cell>
          <cell r="V85">
            <v>666883.74869138491</v>
          </cell>
          <cell r="W85">
            <v>1040339.6909947393</v>
          </cell>
          <cell r="X85">
            <v>1433976.6903668554</v>
          </cell>
          <cell r="Y85">
            <v>1827454.7020355798</v>
          </cell>
          <cell r="Z85">
            <v>2218596.2326463214</v>
          </cell>
          <cell r="AA85">
            <v>2649352.8033338687</v>
          </cell>
          <cell r="AB85">
            <v>3078855.7340124128</v>
          </cell>
        </row>
        <row r="86">
          <cell r="G86">
            <v>709406.85182383005</v>
          </cell>
          <cell r="H86">
            <v>671476.89686755487</v>
          </cell>
          <cell r="I86">
            <v>749455.94230335439</v>
          </cell>
          <cell r="J86">
            <v>750636.99937211617</v>
          </cell>
          <cell r="K86">
            <v>750478.01166872459</v>
          </cell>
          <cell r="L86">
            <v>748141.53061074147</v>
          </cell>
          <cell r="M86">
            <v>775756.57068754721</v>
          </cell>
          <cell r="N86">
            <v>774502.93067854433</v>
          </cell>
          <cell r="O86">
            <v>744439.10998751165</v>
          </cell>
          <cell r="P86">
            <v>790015.55908893293</v>
          </cell>
          <cell r="Q86">
            <v>789095.04991640872</v>
          </cell>
          <cell r="R86">
            <v>770377.21380474255</v>
          </cell>
          <cell r="S86">
            <v>9023782.6668100096</v>
          </cell>
          <cell r="V86">
            <v>1380883.7486913849</v>
          </cell>
          <cell r="W86">
            <v>2130339.6909947395</v>
          </cell>
          <cell r="X86">
            <v>2880976.6903668558</v>
          </cell>
          <cell r="Y86">
            <v>3631454.7020355803</v>
          </cell>
          <cell r="Z86">
            <v>4379596.2326463219</v>
          </cell>
          <cell r="AA86">
            <v>5155352.8033338692</v>
          </cell>
          <cell r="AB86">
            <v>5929855.7340124138</v>
          </cell>
        </row>
        <row r="87">
          <cell r="G87">
            <v>104775.03124906031</v>
          </cell>
          <cell r="H87">
            <v>95295.473954837333</v>
          </cell>
          <cell r="I87">
            <v>91563.084306560297</v>
          </cell>
          <cell r="J87">
            <v>87000.224548306564</v>
          </cell>
          <cell r="K87">
            <v>97212.562428041681</v>
          </cell>
          <cell r="L87">
            <v>90703.546439333411</v>
          </cell>
          <cell r="M87">
            <v>77332.772298527168</v>
          </cell>
          <cell r="N87">
            <v>72936.519837368818</v>
          </cell>
          <cell r="O87">
            <v>79856.211814888607</v>
          </cell>
          <cell r="P87">
            <v>71421.792317589046</v>
          </cell>
          <cell r="Q87">
            <v>74452.947069168877</v>
          </cell>
          <cell r="R87">
            <v>48992.802610919891</v>
          </cell>
          <cell r="S87">
            <v>991542.96887460211</v>
          </cell>
          <cell r="V87">
            <v>200070.50520389766</v>
          </cell>
          <cell r="W87">
            <v>291633.58951045794</v>
          </cell>
          <cell r="X87">
            <v>378633.81405876449</v>
          </cell>
          <cell r="Y87">
            <v>475846.3764868062</v>
          </cell>
          <cell r="Z87">
            <v>566549.92292613955</v>
          </cell>
          <cell r="AA87">
            <v>643882.69522466674</v>
          </cell>
          <cell r="AB87">
            <v>716819.2150620356</v>
          </cell>
        </row>
        <row r="88">
          <cell r="G88">
            <v>172176.02898837128</v>
          </cell>
          <cell r="H88">
            <v>139340.31826633977</v>
          </cell>
          <cell r="I88">
            <v>158024.71410924935</v>
          </cell>
          <cell r="J88">
            <v>157519.14344647239</v>
          </cell>
          <cell r="K88">
            <v>175129.01258724771</v>
          </cell>
          <cell r="L88">
            <v>160856.07438370021</v>
          </cell>
          <cell r="M88">
            <v>185670.72253211043</v>
          </cell>
          <cell r="N88">
            <v>173374.50359226853</v>
          </cell>
          <cell r="O88">
            <v>180811.45451987171</v>
          </cell>
          <cell r="P88">
            <v>186777.17521029309</v>
          </cell>
          <cell r="Q88">
            <v>192973.48753800176</v>
          </cell>
          <cell r="R88">
            <v>187252.47013342843</v>
          </cell>
          <cell r="S88">
            <v>2069905.1053073548</v>
          </cell>
          <cell r="V88">
            <v>311516.34725471109</v>
          </cell>
          <cell r="W88">
            <v>469541.06136396044</v>
          </cell>
          <cell r="X88">
            <v>627060.20481043286</v>
          </cell>
          <cell r="Y88">
            <v>802189.21739768051</v>
          </cell>
          <cell r="Z88">
            <v>963045.29178138077</v>
          </cell>
          <cell r="AA88">
            <v>1148716.0143134913</v>
          </cell>
          <cell r="AB88">
            <v>1322090.5179057599</v>
          </cell>
        </row>
        <row r="89"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</row>
        <row r="90"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</row>
        <row r="91"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</row>
        <row r="92"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</row>
        <row r="93"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</row>
        <row r="94">
          <cell r="G94">
            <v>172176.02898837128</v>
          </cell>
          <cell r="H94">
            <v>139340.31826633977</v>
          </cell>
          <cell r="I94">
            <v>158024.71410924935</v>
          </cell>
          <cell r="J94">
            <v>157519.14344647239</v>
          </cell>
          <cell r="K94">
            <v>175129.01258724771</v>
          </cell>
          <cell r="L94">
            <v>160856.07438370021</v>
          </cell>
          <cell r="M94">
            <v>185670.72253211043</v>
          </cell>
          <cell r="N94">
            <v>173374.50359226853</v>
          </cell>
          <cell r="O94">
            <v>180811.45451987171</v>
          </cell>
          <cell r="P94">
            <v>186777.17521029309</v>
          </cell>
          <cell r="Q94">
            <v>192973.48753800176</v>
          </cell>
          <cell r="R94">
            <v>187252.47013342843</v>
          </cell>
          <cell r="S94">
            <v>2069905.1053073548</v>
          </cell>
          <cell r="V94">
            <v>311516.34725471109</v>
          </cell>
          <cell r="W94">
            <v>469541.06136396044</v>
          </cell>
          <cell r="X94">
            <v>627060.20481043286</v>
          </cell>
          <cell r="Y94">
            <v>802189.21739768051</v>
          </cell>
          <cell r="Z94">
            <v>963045.29178138077</v>
          </cell>
          <cell r="AA94">
            <v>1148716.0143134913</v>
          </cell>
          <cell r="AB94">
            <v>1322090.5179057599</v>
          </cell>
        </row>
        <row r="95">
          <cell r="G95">
            <v>276951.06023743161</v>
          </cell>
          <cell r="H95">
            <v>234635.79222117711</v>
          </cell>
          <cell r="I95">
            <v>249587.79841580964</v>
          </cell>
          <cell r="J95">
            <v>244519.36799477896</v>
          </cell>
          <cell r="K95">
            <v>272341.57501528936</v>
          </cell>
          <cell r="L95">
            <v>251559.62082303362</v>
          </cell>
          <cell r="M95">
            <v>263003.49483063759</v>
          </cell>
          <cell r="N95">
            <v>246311.02342963737</v>
          </cell>
          <cell r="O95">
            <v>260667.66633476032</v>
          </cell>
          <cell r="P95">
            <v>258198.96752788214</v>
          </cell>
          <cell r="Q95">
            <v>267426.43460717064</v>
          </cell>
          <cell r="R95">
            <v>236245.27274434833</v>
          </cell>
          <cell r="S95">
            <v>3061448.0741819572</v>
          </cell>
          <cell r="V95">
            <v>511586.85245860869</v>
          </cell>
          <cell r="W95">
            <v>761174.65087441832</v>
          </cell>
          <cell r="X95">
            <v>1005694.0188691972</v>
          </cell>
          <cell r="Y95">
            <v>1278035.5938844867</v>
          </cell>
          <cell r="Z95">
            <v>1529595.2147075203</v>
          </cell>
          <cell r="AA95">
            <v>1792598.709538158</v>
          </cell>
          <cell r="AB95">
            <v>2038909.7329677953</v>
          </cell>
        </row>
        <row r="96">
          <cell r="G96">
            <v>17462.505208176717</v>
          </cell>
          <cell r="H96">
            <v>15882.578992472891</v>
          </cell>
          <cell r="I96">
            <v>15260.514051093382</v>
          </cell>
          <cell r="J96">
            <v>14500.037424717761</v>
          </cell>
          <cell r="K96">
            <v>16202.093738006948</v>
          </cell>
          <cell r="L96">
            <v>15117.257739888903</v>
          </cell>
          <cell r="M96">
            <v>15466.554459705434</v>
          </cell>
          <cell r="N96">
            <v>14587.303967473765</v>
          </cell>
          <cell r="O96">
            <v>15971.242362977722</v>
          </cell>
          <cell r="P96">
            <v>14284.35846351781</v>
          </cell>
          <cell r="Q96">
            <v>14890.589413833775</v>
          </cell>
          <cell r="R96">
            <v>14384.263831743949</v>
          </cell>
          <cell r="S96">
            <v>15309.462820083929</v>
          </cell>
          <cell r="V96">
            <v>33345.08420064961</v>
          </cell>
          <cell r="W96">
            <v>48605.598251742995</v>
          </cell>
          <cell r="X96">
            <v>63105.635676460755</v>
          </cell>
          <cell r="Y96">
            <v>79307.7294144677</v>
          </cell>
          <cell r="Z96">
            <v>94424.987154356597</v>
          </cell>
          <cell r="AA96">
            <v>109891.54161406204</v>
          </cell>
          <cell r="AB96">
            <v>124478.8455815358</v>
          </cell>
        </row>
        <row r="97">
          <cell r="G97">
            <v>261937.5781226508</v>
          </cell>
          <cell r="H97">
            <v>238238.68488709343</v>
          </cell>
          <cell r="I97">
            <v>244168.22481749408</v>
          </cell>
          <cell r="J97">
            <v>217500.56137076643</v>
          </cell>
          <cell r="K97">
            <v>243031.40607010422</v>
          </cell>
          <cell r="L97">
            <v>226758.8660983335</v>
          </cell>
          <cell r="M97">
            <v>231998.31689558155</v>
          </cell>
          <cell r="N97">
            <v>218809.55951210644</v>
          </cell>
          <cell r="O97">
            <v>239568.63544466591</v>
          </cell>
          <cell r="P97">
            <v>199981.01848924937</v>
          </cell>
          <cell r="Q97">
            <v>208468.25179367285</v>
          </cell>
          <cell r="R97">
            <v>201379.69364441533</v>
          </cell>
          <cell r="S97">
            <v>2731840.7971461336</v>
          </cell>
          <cell r="V97">
            <v>500176.26300974423</v>
          </cell>
          <cell r="W97">
            <v>744344.48782723828</v>
          </cell>
          <cell r="X97">
            <v>961845.04919800465</v>
          </cell>
          <cell r="Y97">
            <v>1204876.4552681088</v>
          </cell>
          <cell r="Z97">
            <v>1431635.3213664424</v>
          </cell>
          <cell r="AA97">
            <v>1663633.6382620239</v>
          </cell>
          <cell r="AB97">
            <v>1882443.1977741304</v>
          </cell>
        </row>
        <row r="98">
          <cell r="G98">
            <v>118965.14374347767</v>
          </cell>
          <cell r="H98">
            <v>96586.234554826195</v>
          </cell>
          <cell r="I98">
            <v>110200.46215278267</v>
          </cell>
          <cell r="J98">
            <v>110133.41429901548</v>
          </cell>
          <cell r="K98">
            <v>123595.17391214943</v>
          </cell>
          <cell r="L98">
            <v>116423.45374093312</v>
          </cell>
          <cell r="M98">
            <v>129841.20181489567</v>
          </cell>
          <cell r="N98">
            <v>122869.97387251077</v>
          </cell>
          <cell r="O98">
            <v>128538.21930244147</v>
          </cell>
          <cell r="P98">
            <v>130322.11401787637</v>
          </cell>
          <cell r="Q98">
            <v>136460.91564211479</v>
          </cell>
          <cell r="R98">
            <v>131420.77403021476</v>
          </cell>
          <cell r="S98">
            <v>1455357.0810832381</v>
          </cell>
          <cell r="V98">
            <v>215551.37829830387</v>
          </cell>
          <cell r="W98">
            <v>325751.84045108652</v>
          </cell>
          <cell r="X98">
            <v>435885.254750102</v>
          </cell>
          <cell r="Y98">
            <v>559480.42866225145</v>
          </cell>
          <cell r="Z98">
            <v>675903.88240318454</v>
          </cell>
          <cell r="AA98">
            <v>805745.08421808016</v>
          </cell>
          <cell r="AB98">
            <v>928615.05809059087</v>
          </cell>
        </row>
        <row r="99">
          <cell r="G99">
            <v>34889.037655624605</v>
          </cell>
          <cell r="H99">
            <v>28619.772041276457</v>
          </cell>
          <cell r="I99">
            <v>33480.189459087815</v>
          </cell>
          <cell r="J99">
            <v>34440.863085703822</v>
          </cell>
          <cell r="K99">
            <v>38442.864606624629</v>
          </cell>
          <cell r="L99">
            <v>34818.458149292506</v>
          </cell>
          <cell r="M99">
            <v>37117.934587291275</v>
          </cell>
          <cell r="N99">
            <v>35015.17622024702</v>
          </cell>
          <cell r="O99">
            <v>27904.027294134903</v>
          </cell>
          <cell r="P99">
            <v>33806.376468426424</v>
          </cell>
          <cell r="Q99">
            <v>35241.125658285811</v>
          </cell>
          <cell r="R99">
            <v>34129.681996132087</v>
          </cell>
          <cell r="S99">
            <v>407905.50722212734</v>
          </cell>
          <cell r="V99">
            <v>63508.809696901066</v>
          </cell>
          <cell r="W99">
            <v>96988.999155988888</v>
          </cell>
          <cell r="X99">
            <v>131429.86224169272</v>
          </cell>
          <cell r="Y99">
            <v>169872.72684831737</v>
          </cell>
          <cell r="Z99">
            <v>204691.18499760987</v>
          </cell>
          <cell r="AA99">
            <v>241809.11958490114</v>
          </cell>
          <cell r="AB99">
            <v>276824.29580514814</v>
          </cell>
        </row>
        <row r="100"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</row>
        <row r="101"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</row>
        <row r="102"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</row>
        <row r="103"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</row>
        <row r="104">
          <cell r="G104">
            <v>153854.18139910226</v>
          </cell>
          <cell r="H104">
            <v>125206.00659610266</v>
          </cell>
          <cell r="I104">
            <v>143680.65161187047</v>
          </cell>
          <cell r="J104">
            <v>144574.27738471929</v>
          </cell>
          <cell r="K104">
            <v>162038.03851877406</v>
          </cell>
          <cell r="L104">
            <v>151241.91189022563</v>
          </cell>
          <cell r="M104">
            <v>166959.13640218694</v>
          </cell>
          <cell r="N104">
            <v>157885.1500927578</v>
          </cell>
          <cell r="O104">
            <v>156442.24659657638</v>
          </cell>
          <cell r="P104">
            <v>164128.49048630279</v>
          </cell>
          <cell r="Q104">
            <v>171702.0413004006</v>
          </cell>
          <cell r="R104">
            <v>165550.45602634683</v>
          </cell>
          <cell r="S104">
            <v>1863262.5883053655</v>
          </cell>
          <cell r="V104">
            <v>279060.18799520493</v>
          </cell>
          <cell r="W104">
            <v>422740.83960707544</v>
          </cell>
          <cell r="X104">
            <v>567315.11699179467</v>
          </cell>
          <cell r="Y104">
            <v>729353.15551056876</v>
          </cell>
          <cell r="Z104">
            <v>880595.06740079436</v>
          </cell>
          <cell r="AA104">
            <v>1047554.2038029813</v>
          </cell>
          <cell r="AB104">
            <v>1205439.3538957392</v>
          </cell>
        </row>
        <row r="105">
          <cell r="G105">
            <v>415791.75952175306</v>
          </cell>
          <cell r="H105">
            <v>363444.6914831961</v>
          </cell>
          <cell r="I105">
            <v>387848.87642936455</v>
          </cell>
          <cell r="J105">
            <v>362074.83875548572</v>
          </cell>
          <cell r="K105">
            <v>405069.44458887831</v>
          </cell>
          <cell r="L105">
            <v>378000.7779885591</v>
          </cell>
          <cell r="M105">
            <v>398957.45329776849</v>
          </cell>
          <cell r="N105">
            <v>376694.70960486424</v>
          </cell>
          <cell r="O105">
            <v>396010.88204124232</v>
          </cell>
          <cell r="P105">
            <v>364109.50897555216</v>
          </cell>
          <cell r="Q105">
            <v>380170.29309407342</v>
          </cell>
          <cell r="R105">
            <v>366930.14967076213</v>
          </cell>
          <cell r="S105">
            <v>4595103.3854514994</v>
          </cell>
          <cell r="V105">
            <v>779236.45100494917</v>
          </cell>
          <cell r="W105">
            <v>1167085.3274343137</v>
          </cell>
          <cell r="X105">
            <v>1529160.1661897996</v>
          </cell>
          <cell r="Y105">
            <v>1934229.6107786777</v>
          </cell>
          <cell r="Z105">
            <v>2312230.3887672368</v>
          </cell>
          <cell r="AA105">
            <v>2711187.8420650056</v>
          </cell>
          <cell r="AB105">
            <v>3087882.5516698696</v>
          </cell>
        </row>
        <row r="106">
          <cell r="G106">
            <v>17462.505208176721</v>
          </cell>
          <cell r="H106">
            <v>15882.578992472894</v>
          </cell>
          <cell r="I106">
            <v>15260.51405109338</v>
          </cell>
          <cell r="J106">
            <v>14500.037424717762</v>
          </cell>
          <cell r="K106">
            <v>16202.093738006948</v>
          </cell>
          <cell r="L106">
            <v>15117.257739888901</v>
          </cell>
          <cell r="M106">
            <v>15466.554459705436</v>
          </cell>
          <cell r="N106">
            <v>14587.303967473763</v>
          </cell>
          <cell r="O106">
            <v>15971.242362977728</v>
          </cell>
          <cell r="P106">
            <v>14284.358463517812</v>
          </cell>
          <cell r="Q106">
            <v>14890.589413833775</v>
          </cell>
          <cell r="R106">
            <v>14384.263831743951</v>
          </cell>
          <cell r="S106">
            <v>15315.535339113552</v>
          </cell>
          <cell r="V106">
            <v>33345.084200649617</v>
          </cell>
          <cell r="W106">
            <v>48605.598251742995</v>
          </cell>
          <cell r="X106">
            <v>63105.635676460755</v>
          </cell>
          <cell r="Y106">
            <v>79307.7294144677</v>
          </cell>
          <cell r="Z106">
            <v>94424.987154356597</v>
          </cell>
          <cell r="AA106">
            <v>109891.54161406204</v>
          </cell>
          <cell r="AB106">
            <v>124478.8455815358</v>
          </cell>
        </row>
        <row r="107">
          <cell r="G107">
            <v>366712.60937171109</v>
          </cell>
          <cell r="H107">
            <v>333534.1588419308</v>
          </cell>
          <cell r="I107">
            <v>335731.30912405439</v>
          </cell>
          <cell r="J107">
            <v>304500.78591907298</v>
          </cell>
          <cell r="K107">
            <v>340243.96849814593</v>
          </cell>
          <cell r="L107">
            <v>317462.41253766691</v>
          </cell>
          <cell r="M107">
            <v>309331.08919410873</v>
          </cell>
          <cell r="N107">
            <v>291746.07934947527</v>
          </cell>
          <cell r="O107">
            <v>319424.84725955455</v>
          </cell>
          <cell r="P107">
            <v>271402.81080683845</v>
          </cell>
          <cell r="Q107">
            <v>282921.1988628417</v>
          </cell>
          <cell r="R107">
            <v>250372.49625533522</v>
          </cell>
          <cell r="S107">
            <v>3723383.7660207367</v>
          </cell>
          <cell r="V107">
            <v>700246.76821364183</v>
          </cell>
          <cell r="W107">
            <v>1035978.0773376962</v>
          </cell>
          <cell r="X107">
            <v>1340478.8632567693</v>
          </cell>
          <cell r="Y107">
            <v>1680722.8317549152</v>
          </cell>
          <cell r="Z107">
            <v>1998185.2442925822</v>
          </cell>
          <cell r="AA107">
            <v>2307516.3334866911</v>
          </cell>
          <cell r="AB107">
            <v>2599262.4128361666</v>
          </cell>
        </row>
        <row r="108">
          <cell r="G108">
            <v>291141.17273184896</v>
          </cell>
          <cell r="H108">
            <v>235926.55282116597</v>
          </cell>
          <cell r="I108">
            <v>268225.17626203201</v>
          </cell>
          <cell r="J108">
            <v>267652.55774548789</v>
          </cell>
          <cell r="K108">
            <v>298724.18649939715</v>
          </cell>
          <cell r="L108">
            <v>277279.52812463336</v>
          </cell>
          <cell r="M108">
            <v>315511.92434700613</v>
          </cell>
          <cell r="N108">
            <v>296244.47746477928</v>
          </cell>
          <cell r="O108">
            <v>309349.6738223132</v>
          </cell>
          <cell r="P108">
            <v>317099.28922816948</v>
          </cell>
          <cell r="Q108">
            <v>329434.40318011655</v>
          </cell>
          <cell r="R108">
            <v>318673.24416364322</v>
          </cell>
          <cell r="S108">
            <v>3525262.1863905932</v>
          </cell>
          <cell r="V108">
            <v>527067.7255530149</v>
          </cell>
          <cell r="W108">
            <v>795292.90181504691</v>
          </cell>
          <cell r="X108">
            <v>1062945.4595605349</v>
          </cell>
          <cell r="Y108">
            <v>1361669.6460599322</v>
          </cell>
          <cell r="Z108">
            <v>1638949.1741845654</v>
          </cell>
          <cell r="AA108">
            <v>1954461.0985315717</v>
          </cell>
          <cell r="AB108">
            <v>2250705.575996351</v>
          </cell>
        </row>
        <row r="109">
          <cell r="G109">
            <v>34889.037655624605</v>
          </cell>
          <cell r="H109">
            <v>28619.772041276457</v>
          </cell>
          <cell r="I109">
            <v>33480.189459087815</v>
          </cell>
          <cell r="J109">
            <v>34440.863085703822</v>
          </cell>
          <cell r="K109">
            <v>38442.864606624629</v>
          </cell>
          <cell r="L109">
            <v>34818.458149292506</v>
          </cell>
          <cell r="M109">
            <v>37117.934587291275</v>
          </cell>
          <cell r="N109">
            <v>35015.17622024702</v>
          </cell>
          <cell r="O109">
            <v>27904.027294134903</v>
          </cell>
          <cell r="P109">
            <v>33806.376468426424</v>
          </cell>
          <cell r="Q109">
            <v>35241.125658285811</v>
          </cell>
          <cell r="R109">
            <v>34129.681996132087</v>
          </cell>
          <cell r="S109">
            <v>407905.50722212734</v>
          </cell>
          <cell r="V109">
            <v>63508.809696901066</v>
          </cell>
          <cell r="W109">
            <v>96988.999155988888</v>
          </cell>
          <cell r="X109">
            <v>131429.86224169272</v>
          </cell>
          <cell r="Y109">
            <v>169872.72684831737</v>
          </cell>
          <cell r="Z109">
            <v>204691.18499760987</v>
          </cell>
          <cell r="AA109">
            <v>241809.11958490114</v>
          </cell>
          <cell r="AB109">
            <v>276824.29580514814</v>
          </cell>
        </row>
        <row r="110"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</row>
        <row r="111"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</row>
        <row r="112"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</row>
        <row r="113"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</row>
        <row r="114">
          <cell r="G114">
            <v>326030.21038747358</v>
          </cell>
          <cell r="H114">
            <v>264546.32486244245</v>
          </cell>
          <cell r="I114">
            <v>301705.3657211198</v>
          </cell>
          <cell r="J114">
            <v>302093.4208311917</v>
          </cell>
          <cell r="K114">
            <v>337167.0511060218</v>
          </cell>
          <cell r="L114">
            <v>312097.98627392587</v>
          </cell>
          <cell r="M114">
            <v>352629.8589342974</v>
          </cell>
          <cell r="N114">
            <v>331259.65368502628</v>
          </cell>
          <cell r="O114">
            <v>337253.70111644809</v>
          </cell>
          <cell r="P114">
            <v>350905.66569659591</v>
          </cell>
          <cell r="Q114">
            <v>364675.52883840236</v>
          </cell>
          <cell r="R114">
            <v>352802.92615977529</v>
          </cell>
          <cell r="S114">
            <v>3933167.6936127204</v>
          </cell>
          <cell r="V114">
            <v>590576.53524991602</v>
          </cell>
          <cell r="W114">
            <v>892281.90097103582</v>
          </cell>
          <cell r="X114">
            <v>1194375.3218022275</v>
          </cell>
          <cell r="Y114">
            <v>1531542.3729082493</v>
          </cell>
          <cell r="Z114">
            <v>1843640.3591821752</v>
          </cell>
          <cell r="AA114">
            <v>2196270.2181164725</v>
          </cell>
          <cell r="AB114">
            <v>2527529.8718014988</v>
          </cell>
        </row>
        <row r="115">
          <cell r="G115">
            <v>692742.81975918473</v>
          </cell>
          <cell r="H115">
            <v>598080.48370437324</v>
          </cell>
          <cell r="I115">
            <v>637436.67484517419</v>
          </cell>
          <cell r="J115">
            <v>606594.20675026462</v>
          </cell>
          <cell r="K115">
            <v>677411.01960416767</v>
          </cell>
          <cell r="L115">
            <v>629560.39881159272</v>
          </cell>
          <cell r="M115">
            <v>661960.94812840619</v>
          </cell>
          <cell r="N115">
            <v>623005.73303450155</v>
          </cell>
          <cell r="O115">
            <v>656678.54837600258</v>
          </cell>
          <cell r="P115">
            <v>622308.47650343436</v>
          </cell>
          <cell r="Q115">
            <v>647596.72770124406</v>
          </cell>
          <cell r="R115">
            <v>603175.42241511052</v>
          </cell>
          <cell r="S115">
            <v>7656551.4596334565</v>
          </cell>
          <cell r="V115">
            <v>1290823.303463558</v>
          </cell>
          <cell r="W115">
            <v>1928259.9783087322</v>
          </cell>
          <cell r="X115">
            <v>2534854.185058997</v>
          </cell>
          <cell r="Y115">
            <v>3212265.2046631649</v>
          </cell>
          <cell r="Z115">
            <v>3841825.6034747576</v>
          </cell>
          <cell r="AA115">
            <v>4503786.5516031636</v>
          </cell>
          <cell r="AB115">
            <v>5126792.2846376654</v>
          </cell>
        </row>
        <row r="116">
          <cell r="G116">
            <v>17462.505208176721</v>
          </cell>
          <cell r="H116">
            <v>15882.578992472898</v>
          </cell>
          <cell r="I116">
            <v>15260.51405109338</v>
          </cell>
          <cell r="J116">
            <v>14500.037424717762</v>
          </cell>
          <cell r="K116">
            <v>16202.093738006948</v>
          </cell>
          <cell r="L116">
            <v>15117.257739888901</v>
          </cell>
          <cell r="M116">
            <v>15466.554459705438</v>
          </cell>
          <cell r="N116">
            <v>14587.303967473763</v>
          </cell>
          <cell r="O116">
            <v>15971.242362977724</v>
          </cell>
          <cell r="P116">
            <v>14284.358463517814</v>
          </cell>
          <cell r="Q116">
            <v>14890.589413833775</v>
          </cell>
          <cell r="R116">
            <v>14384.263831743951</v>
          </cell>
          <cell r="S116">
            <v>15313.106683519674</v>
          </cell>
          <cell r="V116">
            <v>33345.084200649617</v>
          </cell>
          <cell r="W116">
            <v>48605.598251742995</v>
          </cell>
          <cell r="X116">
            <v>63105.635676460755</v>
          </cell>
          <cell r="Y116">
            <v>79307.7294144677</v>
          </cell>
          <cell r="Z116">
            <v>94424.987154356597</v>
          </cell>
          <cell r="AA116">
            <v>109891.54161406204</v>
          </cell>
          <cell r="AB116">
            <v>124478.8455815358</v>
          </cell>
        </row>
        <row r="117">
          <cell r="G117">
            <v>-32775.03124906031</v>
          </cell>
          <cell r="H117">
            <v>-23295.473954837333</v>
          </cell>
          <cell r="I117">
            <v>-19563.084306560297</v>
          </cell>
          <cell r="J117">
            <v>-15000.224548306564</v>
          </cell>
          <cell r="K117">
            <v>-25212.562428041681</v>
          </cell>
          <cell r="L117">
            <v>-18703.546439333411</v>
          </cell>
          <cell r="M117">
            <v>-17332.772298527168</v>
          </cell>
          <cell r="N117">
            <v>-12936.519837368818</v>
          </cell>
          <cell r="O117">
            <v>-19856.211814888607</v>
          </cell>
          <cell r="P117">
            <v>-11421.792317589046</v>
          </cell>
          <cell r="Q117">
            <v>-14452.947069168877</v>
          </cell>
          <cell r="R117">
            <v>-8120.8026109198909</v>
          </cell>
          <cell r="S117">
            <v>-218670.96887460203</v>
          </cell>
          <cell r="V117">
            <v>-56070.505203897643</v>
          </cell>
          <cell r="W117">
            <v>-75633.589510457939</v>
          </cell>
          <cell r="X117">
            <v>-90633.814058764503</v>
          </cell>
          <cell r="Y117">
            <v>-115846.37648680618</v>
          </cell>
          <cell r="Z117">
            <v>-134549.92292613961</v>
          </cell>
          <cell r="AA117">
            <v>-151882.69522466679</v>
          </cell>
          <cell r="AB117">
            <v>-164819.2150620356</v>
          </cell>
        </row>
        <row r="118">
          <cell r="G118">
            <v>-14419.943537126092</v>
          </cell>
          <cell r="H118">
            <v>1030.1526324997831</v>
          </cell>
          <cell r="I118">
            <v>7657.4783308431797</v>
          </cell>
          <cell r="J118">
            <v>16294.63518883448</v>
          </cell>
          <cell r="K118">
            <v>-2184.4384657643968</v>
          </cell>
          <cell r="L118">
            <v>9392.8711871727428</v>
          </cell>
          <cell r="M118">
            <v>6403.8321628817648</v>
          </cell>
          <cell r="N118">
            <v>16790.318067830027</v>
          </cell>
          <cell r="O118">
            <v>325.56704484092188</v>
          </cell>
          <cell r="P118">
            <v>22433.116662256798</v>
          </cell>
          <cell r="Q118">
            <v>14377.324092032417</v>
          </cell>
          <cell r="R118">
            <v>21033.442665462091</v>
          </cell>
          <cell r="S118">
            <v>99134.356031763717</v>
          </cell>
          <cell r="V118">
            <v>-13389.790904626308</v>
          </cell>
          <cell r="W118">
            <v>-5732.3125737831288</v>
          </cell>
          <cell r="X118">
            <v>10562.322615051351</v>
          </cell>
          <cell r="Y118">
            <v>8377.8841492869542</v>
          </cell>
          <cell r="Z118">
            <v>17770.755336459697</v>
          </cell>
          <cell r="AA118">
            <v>24174.587499341462</v>
          </cell>
          <cell r="AB118">
            <v>40964.905567171489</v>
          </cell>
        </row>
        <row r="119"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</row>
        <row r="120"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</row>
        <row r="121"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</row>
        <row r="122"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</row>
        <row r="123"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</row>
        <row r="124">
          <cell r="G124">
            <v>-14419.943537126092</v>
          </cell>
          <cell r="H124">
            <v>1030.1526324997831</v>
          </cell>
          <cell r="I124">
            <v>7657.4783308431797</v>
          </cell>
          <cell r="J124">
            <v>16294.63518883448</v>
          </cell>
          <cell r="K124">
            <v>-2184.4384657643968</v>
          </cell>
          <cell r="L124">
            <v>9392.8711871727428</v>
          </cell>
          <cell r="M124">
            <v>6403.8321628817648</v>
          </cell>
          <cell r="N124">
            <v>16790.318067830027</v>
          </cell>
          <cell r="O124">
            <v>325.56704484092188</v>
          </cell>
          <cell r="P124">
            <v>22433.116662256798</v>
          </cell>
          <cell r="Q124">
            <v>14377.324092032417</v>
          </cell>
          <cell r="R124">
            <v>21033.442665462091</v>
          </cell>
          <cell r="S124">
            <v>99134.356031763717</v>
          </cell>
          <cell r="V124">
            <v>-13389.790904626308</v>
          </cell>
          <cell r="W124">
            <v>-5732.3125737831288</v>
          </cell>
          <cell r="X124">
            <v>10562.322615051351</v>
          </cell>
          <cell r="Y124">
            <v>8377.8841492869542</v>
          </cell>
          <cell r="Z124">
            <v>17770.755336459697</v>
          </cell>
          <cell r="AA124">
            <v>24174.587499341462</v>
          </cell>
          <cell r="AB124">
            <v>40964.905567171489</v>
          </cell>
        </row>
        <row r="125">
          <cell r="G125">
            <v>-47194.974786186402</v>
          </cell>
          <cell r="H125">
            <v>-22265.32132233755</v>
          </cell>
          <cell r="I125">
            <v>-11905.605975717117</v>
          </cell>
          <cell r="J125">
            <v>1294.4106405279163</v>
          </cell>
          <cell r="K125">
            <v>-27397.000893806078</v>
          </cell>
          <cell r="L125">
            <v>-9310.6752521606686</v>
          </cell>
          <cell r="M125">
            <v>-10928.940135645404</v>
          </cell>
          <cell r="N125">
            <v>3853.7982304612087</v>
          </cell>
          <cell r="O125">
            <v>-19530.644770047686</v>
          </cell>
          <cell r="P125">
            <v>11011.324344667752</v>
          </cell>
          <cell r="Q125">
            <v>-75.622977136459667</v>
          </cell>
          <cell r="R125">
            <v>12912.6400545422</v>
          </cell>
          <cell r="S125">
            <v>-119536.61284283831</v>
          </cell>
          <cell r="V125">
            <v>-69460.296108523951</v>
          </cell>
          <cell r="W125">
            <v>-81365.902084241068</v>
          </cell>
          <cell r="X125">
            <v>-80071.491443713152</v>
          </cell>
          <cell r="Y125">
            <v>-107468.49233751923</v>
          </cell>
          <cell r="Z125">
            <v>-116779.1675896799</v>
          </cell>
          <cell r="AA125">
            <v>-127708.1077253253</v>
          </cell>
          <cell r="AB125">
            <v>-123854.30949486409</v>
          </cell>
        </row>
        <row r="126">
          <cell r="G126">
            <v>23062.421877349203</v>
          </cell>
          <cell r="H126">
            <v>46761.315112906566</v>
          </cell>
          <cell r="I126">
            <v>59831.775182505924</v>
          </cell>
          <cell r="J126">
            <v>67499.438629233569</v>
          </cell>
          <cell r="K126">
            <v>41968.593929895782</v>
          </cell>
          <cell r="L126">
            <v>58241.133901666501</v>
          </cell>
          <cell r="M126">
            <v>53001.683104418451</v>
          </cell>
          <cell r="N126">
            <v>66190.44048789356</v>
          </cell>
          <cell r="O126">
            <v>45431.36455533409</v>
          </cell>
          <cell r="P126">
            <v>66018.981510750629</v>
          </cell>
          <cell r="Q126">
            <v>57531.748206327145</v>
          </cell>
          <cell r="R126">
            <v>64620.306355584675</v>
          </cell>
          <cell r="S126">
            <v>650159.20285386592</v>
          </cell>
          <cell r="V126">
            <v>69823.736990255769</v>
          </cell>
          <cell r="W126">
            <v>129655.51217276169</v>
          </cell>
          <cell r="X126">
            <v>197154.95080199526</v>
          </cell>
          <cell r="Y126">
            <v>239123.54473189104</v>
          </cell>
          <cell r="Z126">
            <v>297364.67863355752</v>
          </cell>
          <cell r="AA126">
            <v>350366.36173797597</v>
          </cell>
          <cell r="AB126">
            <v>416556.8022258695</v>
          </cell>
        </row>
        <row r="127">
          <cell r="G127">
            <v>37724.762629107194</v>
          </cell>
          <cell r="H127">
            <v>43282.951413889125</v>
          </cell>
          <cell r="I127">
            <v>55889.003839511497</v>
          </cell>
          <cell r="J127">
            <v>64560.516115213162</v>
          </cell>
          <cell r="K127">
            <v>51856.77976412412</v>
          </cell>
          <cell r="L127">
            <v>60707.840976354724</v>
          </cell>
          <cell r="M127">
            <v>63243.020629272185</v>
          </cell>
          <cell r="N127">
            <v>70860.780307225272</v>
          </cell>
          <cell r="O127">
            <v>56568.172346163992</v>
          </cell>
          <cell r="P127">
            <v>79516.40481140984</v>
          </cell>
          <cell r="Q127">
            <v>74316.574257162894</v>
          </cell>
          <cell r="R127">
            <v>78717.043104669487</v>
          </cell>
          <cell r="S127">
            <v>737243.85019410355</v>
          </cell>
          <cell r="V127">
            <v>81007.714042996318</v>
          </cell>
          <cell r="W127">
            <v>136896.71788250783</v>
          </cell>
          <cell r="X127">
            <v>201457.23399772099</v>
          </cell>
          <cell r="Y127">
            <v>253314.01376184513</v>
          </cell>
          <cell r="Z127">
            <v>314021.85473819985</v>
          </cell>
          <cell r="AA127">
            <v>377264.87536747206</v>
          </cell>
          <cell r="AB127">
            <v>448125.65567469737</v>
          </cell>
        </row>
        <row r="128">
          <cell r="G128">
            <v>3071.8223443754032</v>
          </cell>
          <cell r="H128">
            <v>5617.4679587235405</v>
          </cell>
          <cell r="I128">
            <v>8204.0944118799307</v>
          </cell>
          <cell r="J128">
            <v>10688.427236876829</v>
          </cell>
          <cell r="K128">
            <v>6638.6192643431204</v>
          </cell>
          <cell r="L128">
            <v>8942.832173288145</v>
          </cell>
          <cell r="M128">
            <v>8479.8589610958225</v>
          </cell>
          <cell r="N128">
            <v>10592.178618462662</v>
          </cell>
          <cell r="O128">
            <v>5291.6694800586556</v>
          </cell>
          <cell r="P128">
            <v>11160.37191867036</v>
          </cell>
          <cell r="Q128">
            <v>9725.6227288109731</v>
          </cell>
          <cell r="R128">
            <v>10951.801874835663</v>
          </cell>
          <cell r="S128">
            <v>99364.766971421079</v>
          </cell>
          <cell r="V128">
            <v>8689.2903030989437</v>
          </cell>
          <cell r="W128">
            <v>16893.384714978874</v>
          </cell>
          <cell r="X128">
            <v>27581.811951855703</v>
          </cell>
          <cell r="Y128">
            <v>34220.43121619882</v>
          </cell>
          <cell r="Z128">
            <v>43163.263389486965</v>
          </cell>
          <cell r="AA128">
            <v>51643.122350582787</v>
          </cell>
          <cell r="AB128">
            <v>62235.300969045449</v>
          </cell>
        </row>
        <row r="129"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</row>
        <row r="130"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</row>
        <row r="131"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</row>
        <row r="132"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</row>
        <row r="133">
          <cell r="G133">
            <v>40796.584973482597</v>
          </cell>
          <cell r="H133">
            <v>48900.419372612669</v>
          </cell>
          <cell r="I133">
            <v>64093.098251391428</v>
          </cell>
          <cell r="J133">
            <v>75248.943352089991</v>
          </cell>
          <cell r="K133">
            <v>58495.39902846724</v>
          </cell>
          <cell r="L133">
            <v>69650.673149642869</v>
          </cell>
          <cell r="M133">
            <v>71722.879590368015</v>
          </cell>
          <cell r="N133">
            <v>81452.958925687941</v>
          </cell>
          <cell r="O133">
            <v>61859.841826222648</v>
          </cell>
          <cell r="P133">
            <v>90676.776730080193</v>
          </cell>
          <cell r="Q133">
            <v>84042.19698597386</v>
          </cell>
          <cell r="R133">
            <v>89668.844979505142</v>
          </cell>
          <cell r="S133">
            <v>836608.61716552463</v>
          </cell>
          <cell r="V133">
            <v>89697.004346095258</v>
          </cell>
          <cell r="W133">
            <v>153790.10259748669</v>
          </cell>
          <cell r="X133">
            <v>229039.04594957668</v>
          </cell>
          <cell r="Y133">
            <v>287534.4449780439</v>
          </cell>
          <cell r="Z133">
            <v>357185.11812768679</v>
          </cell>
          <cell r="AA133">
            <v>428907.9977180548</v>
          </cell>
          <cell r="AB133">
            <v>510360.95664374274</v>
          </cell>
        </row>
        <row r="134">
          <cell r="G134">
            <v>63859.0068508318</v>
          </cell>
          <cell r="H134">
            <v>95661.734485519235</v>
          </cell>
          <cell r="I134">
            <v>123924.87343389736</v>
          </cell>
          <cell r="J134">
            <v>142748.38198132356</v>
          </cell>
          <cell r="K134">
            <v>100463.99295836303</v>
          </cell>
          <cell r="L134">
            <v>127891.80705130937</v>
          </cell>
          <cell r="M134">
            <v>124724.56269478647</v>
          </cell>
          <cell r="N134">
            <v>147643.3994135815</v>
          </cell>
          <cell r="O134">
            <v>107291.20638155674</v>
          </cell>
          <cell r="P134">
            <v>156695.75824083082</v>
          </cell>
          <cell r="Q134">
            <v>141573.94519230101</v>
          </cell>
          <cell r="R134">
            <v>154289.15133508982</v>
          </cell>
          <cell r="S134">
            <v>1486767.8200193904</v>
          </cell>
          <cell r="V134">
            <v>159520.74133635103</v>
          </cell>
          <cell r="W134">
            <v>283445.61477024842</v>
          </cell>
          <cell r="X134">
            <v>426193.99675157201</v>
          </cell>
          <cell r="Y134">
            <v>526657.98970993503</v>
          </cell>
          <cell r="Z134">
            <v>654549.79676124442</v>
          </cell>
          <cell r="AA134">
            <v>779274.35945603088</v>
          </cell>
          <cell r="AB134">
            <v>926917.75886961236</v>
          </cell>
        </row>
        <row r="135">
          <cell r="G135">
            <v>-9712.6093717111071</v>
          </cell>
          <cell r="H135">
            <v>23465.841158069234</v>
          </cell>
          <cell r="I135">
            <v>40268.690875945627</v>
          </cell>
          <cell r="J135">
            <v>52499.214080927006</v>
          </cell>
          <cell r="K135">
            <v>16756.0315018541</v>
          </cell>
          <cell r="L135">
            <v>39537.587462333089</v>
          </cell>
          <cell r="M135">
            <v>35668.910805891283</v>
          </cell>
          <cell r="N135">
            <v>53253.920650524742</v>
          </cell>
          <cell r="O135">
            <v>25575.152740445483</v>
          </cell>
          <cell r="P135">
            <v>54597.189193161583</v>
          </cell>
          <cell r="Q135">
            <v>43078.801137158269</v>
          </cell>
          <cell r="R135">
            <v>56499.503744664784</v>
          </cell>
          <cell r="S135">
            <v>431488.2339792641</v>
          </cell>
          <cell r="V135">
            <v>13753.231786358127</v>
          </cell>
          <cell r="W135">
            <v>54021.922662303754</v>
          </cell>
          <cell r="X135">
            <v>106521.13674323076</v>
          </cell>
          <cell r="Y135">
            <v>123277.16824508486</v>
          </cell>
          <cell r="Z135">
            <v>162814.75570741796</v>
          </cell>
          <cell r="AA135">
            <v>198483.66651330923</v>
          </cell>
          <cell r="AB135">
            <v>251737.58716383396</v>
          </cell>
        </row>
        <row r="136">
          <cell r="G136">
            <v>23304.819091981102</v>
          </cell>
          <cell r="H136">
            <v>44313.104046388908</v>
          </cell>
          <cell r="I136">
            <v>63546.482170354677</v>
          </cell>
          <cell r="J136">
            <v>80855.151304047642</v>
          </cell>
          <cell r="K136">
            <v>49672.341298359723</v>
          </cell>
          <cell r="L136">
            <v>70100.712163527467</v>
          </cell>
          <cell r="M136">
            <v>69646.85279215395</v>
          </cell>
          <cell r="N136">
            <v>87651.098375055299</v>
          </cell>
          <cell r="O136">
            <v>56893.739391004914</v>
          </cell>
          <cell r="P136">
            <v>101949.52147366664</v>
          </cell>
          <cell r="Q136">
            <v>88693.898349195311</v>
          </cell>
          <cell r="R136">
            <v>99750.485770131578</v>
          </cell>
          <cell r="S136">
            <v>836378.20622586727</v>
          </cell>
          <cell r="V136">
            <v>67617.92313837001</v>
          </cell>
          <cell r="W136">
            <v>131164.40530872467</v>
          </cell>
          <cell r="X136">
            <v>212019.55661277231</v>
          </cell>
          <cell r="Y136">
            <v>261691.89791113202</v>
          </cell>
          <cell r="Z136">
            <v>331792.61007465946</v>
          </cell>
          <cell r="AA136">
            <v>401439.46286681341</v>
          </cell>
          <cell r="AB136">
            <v>489090.56124186871</v>
          </cell>
        </row>
        <row r="137">
          <cell r="G137">
            <v>3071.8223443754032</v>
          </cell>
          <cell r="H137">
            <v>5617.4679587235405</v>
          </cell>
          <cell r="I137">
            <v>8204.0944118799307</v>
          </cell>
          <cell r="J137">
            <v>10688.427236876829</v>
          </cell>
          <cell r="K137">
            <v>6638.6192643431204</v>
          </cell>
          <cell r="L137">
            <v>8942.832173288145</v>
          </cell>
          <cell r="M137">
            <v>8479.8589610958225</v>
          </cell>
          <cell r="N137">
            <v>10592.178618462662</v>
          </cell>
          <cell r="O137">
            <v>5291.6694800586556</v>
          </cell>
          <cell r="P137">
            <v>11160.37191867036</v>
          </cell>
          <cell r="Q137">
            <v>9725.6227288109731</v>
          </cell>
          <cell r="R137">
            <v>10951.801874835663</v>
          </cell>
          <cell r="S137">
            <v>99364.766971421079</v>
          </cell>
          <cell r="V137">
            <v>8689.2903030989437</v>
          </cell>
          <cell r="W137">
            <v>16893.384714978874</v>
          </cell>
          <cell r="X137">
            <v>27581.811951855703</v>
          </cell>
          <cell r="Y137">
            <v>34220.43121619882</v>
          </cell>
          <cell r="Z137">
            <v>43163.263389486965</v>
          </cell>
          <cell r="AA137">
            <v>51643.122350582787</v>
          </cell>
          <cell r="AB137">
            <v>62235.300969045449</v>
          </cell>
        </row>
        <row r="138"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</row>
        <row r="139"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</row>
        <row r="140"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</row>
        <row r="141"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</row>
        <row r="142">
          <cell r="G142">
            <v>26376.641436356505</v>
          </cell>
          <cell r="H142">
            <v>49930.572005112452</v>
          </cell>
          <cell r="I142">
            <v>71750.576582234615</v>
          </cell>
          <cell r="J142">
            <v>91543.578540924471</v>
          </cell>
          <cell r="K142">
            <v>56310.960562702843</v>
          </cell>
          <cell r="L142">
            <v>79043.544336815612</v>
          </cell>
          <cell r="M142">
            <v>78126.71175324978</v>
          </cell>
          <cell r="N142">
            <v>98243.276993517968</v>
          </cell>
          <cell r="O142">
            <v>62185.40887106357</v>
          </cell>
          <cell r="P142">
            <v>113109.89339233699</v>
          </cell>
          <cell r="Q142">
            <v>98419.521078006277</v>
          </cell>
          <cell r="R142">
            <v>110702.28764496723</v>
          </cell>
          <cell r="S142">
            <v>935742.97319728835</v>
          </cell>
          <cell r="V142">
            <v>76307.21344146895</v>
          </cell>
          <cell r="W142">
            <v>148057.79002370356</v>
          </cell>
          <cell r="X142">
            <v>239601.36856462804</v>
          </cell>
          <cell r="Y142">
            <v>295912.32912733086</v>
          </cell>
          <cell r="Z142">
            <v>374955.87346414645</v>
          </cell>
          <cell r="AA142">
            <v>453082.58521739626</v>
          </cell>
          <cell r="AB142">
            <v>551325.86221091426</v>
          </cell>
        </row>
        <row r="143">
          <cell r="G143">
            <v>16664.032064645398</v>
          </cell>
          <cell r="H143">
            <v>73396.413163181685</v>
          </cell>
          <cell r="I143">
            <v>112019.26745818024</v>
          </cell>
          <cell r="J143">
            <v>144042.79262185149</v>
          </cell>
          <cell r="K143">
            <v>73066.992064556951</v>
          </cell>
          <cell r="L143">
            <v>118581.1317991487</v>
          </cell>
          <cell r="M143">
            <v>113795.62255914106</v>
          </cell>
          <cell r="N143">
            <v>151497.19764404272</v>
          </cell>
          <cell r="O143">
            <v>87760.561611509052</v>
          </cell>
          <cell r="P143">
            <v>167707.08258549857</v>
          </cell>
          <cell r="Q143">
            <v>141498.32221516455</v>
          </cell>
          <cell r="R143">
            <v>167201.79138963201</v>
          </cell>
          <cell r="S143">
            <v>1367231.2071765524</v>
          </cell>
          <cell r="V143">
            <v>90060.445227827091</v>
          </cell>
          <cell r="W143">
            <v>202079.71268600732</v>
          </cell>
          <cell r="X143">
            <v>346122.50530785881</v>
          </cell>
          <cell r="Y143">
            <v>419189.49737241573</v>
          </cell>
          <cell r="Z143">
            <v>537770.62917156448</v>
          </cell>
          <cell r="AA143">
            <v>651566.25173070549</v>
          </cell>
          <cell r="AB143">
            <v>803063.44937474816</v>
          </cell>
        </row>
        <row r="144">
          <cell r="G144">
            <v>-32775.03124906031</v>
          </cell>
          <cell r="H144">
            <v>-23295.473954837333</v>
          </cell>
          <cell r="I144">
            <v>-19563.084306560297</v>
          </cell>
          <cell r="J144">
            <v>-15000.224548306564</v>
          </cell>
          <cell r="K144">
            <v>-25212.562428041681</v>
          </cell>
          <cell r="L144">
            <v>-18703.546439333411</v>
          </cell>
          <cell r="M144">
            <v>-17332.772298527168</v>
          </cell>
          <cell r="N144">
            <v>-12936.519837368818</v>
          </cell>
          <cell r="O144">
            <v>-19856.211814888607</v>
          </cell>
          <cell r="P144">
            <v>-11421.792317589046</v>
          </cell>
          <cell r="Q144">
            <v>-14452.947069168877</v>
          </cell>
          <cell r="R144">
            <v>-8120.8026109198909</v>
          </cell>
          <cell r="S144">
            <v>-218670.96887460203</v>
          </cell>
          <cell r="V144">
            <v>-56070.505203897643</v>
          </cell>
          <cell r="W144">
            <v>-75633.589510457939</v>
          </cell>
          <cell r="X144">
            <v>-90633.814058764503</v>
          </cell>
          <cell r="Y144">
            <v>-115846.37648680618</v>
          </cell>
          <cell r="Z144">
            <v>-134549.92292613961</v>
          </cell>
          <cell r="AA144">
            <v>-151882.69522466679</v>
          </cell>
          <cell r="AB144">
            <v>-164819.2150620356</v>
          </cell>
        </row>
        <row r="145">
          <cell r="G145">
            <v>-14419.943537126092</v>
          </cell>
          <cell r="H145">
            <v>1030.1526324997831</v>
          </cell>
          <cell r="I145">
            <v>7657.4783308431797</v>
          </cell>
          <cell r="J145">
            <v>16294.63518883448</v>
          </cell>
          <cell r="K145">
            <v>-2184.4384657643968</v>
          </cell>
          <cell r="L145">
            <v>9392.8711871727428</v>
          </cell>
          <cell r="M145">
            <v>6403.8321628817648</v>
          </cell>
          <cell r="N145">
            <v>16790.318067830027</v>
          </cell>
          <cell r="O145">
            <v>325.56704484092188</v>
          </cell>
          <cell r="P145">
            <v>22433.116662256798</v>
          </cell>
          <cell r="Q145">
            <v>14377.324092032417</v>
          </cell>
          <cell r="R145">
            <v>21033.442665462091</v>
          </cell>
          <cell r="S145">
            <v>99134.356031763717</v>
          </cell>
          <cell r="V145">
            <v>-13389.790904626308</v>
          </cell>
          <cell r="W145">
            <v>-5732.3125737831288</v>
          </cell>
          <cell r="X145">
            <v>10562.322615051351</v>
          </cell>
          <cell r="Y145">
            <v>8377.8841492869542</v>
          </cell>
          <cell r="Z145">
            <v>17770.755336459697</v>
          </cell>
          <cell r="AA145">
            <v>24174.587499341462</v>
          </cell>
          <cell r="AB145">
            <v>40964.905567171489</v>
          </cell>
        </row>
        <row r="146"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</row>
        <row r="147"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</row>
        <row r="148"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</row>
        <row r="149"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</row>
        <row r="150"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</row>
        <row r="151">
          <cell r="G151">
            <v>-14419.943537126092</v>
          </cell>
          <cell r="H151">
            <v>1030.1526324997831</v>
          </cell>
          <cell r="I151">
            <v>7657.4783308431797</v>
          </cell>
          <cell r="J151">
            <v>16294.63518883448</v>
          </cell>
          <cell r="K151">
            <v>-2184.4384657643968</v>
          </cell>
          <cell r="L151">
            <v>9392.8711871727428</v>
          </cell>
          <cell r="M151">
            <v>6403.8321628817648</v>
          </cell>
          <cell r="N151">
            <v>16790.318067830027</v>
          </cell>
          <cell r="O151">
            <v>325.56704484092188</v>
          </cell>
          <cell r="P151">
            <v>22433.116662256798</v>
          </cell>
          <cell r="Q151">
            <v>14377.324092032417</v>
          </cell>
          <cell r="R151">
            <v>21033.442665462091</v>
          </cell>
          <cell r="S151">
            <v>99134.356031763717</v>
          </cell>
          <cell r="V151">
            <v>-13389.790904626308</v>
          </cell>
          <cell r="W151">
            <v>-5732.3125737831288</v>
          </cell>
          <cell r="X151">
            <v>10562.322615051351</v>
          </cell>
          <cell r="Y151">
            <v>8377.8841492869542</v>
          </cell>
          <cell r="Z151">
            <v>17770.755336459697</v>
          </cell>
          <cell r="AA151">
            <v>24174.587499341462</v>
          </cell>
          <cell r="AB151">
            <v>40964.905567171489</v>
          </cell>
        </row>
        <row r="152">
          <cell r="G152">
            <v>-47194.974786186402</v>
          </cell>
          <cell r="H152">
            <v>-22265.32132233755</v>
          </cell>
          <cell r="I152">
            <v>-11905.605975717117</v>
          </cell>
          <cell r="J152">
            <v>1294.4106405279163</v>
          </cell>
          <cell r="K152">
            <v>-27397.000893806078</v>
          </cell>
          <cell r="L152">
            <v>-9310.6752521606686</v>
          </cell>
          <cell r="M152">
            <v>-10928.940135645404</v>
          </cell>
          <cell r="N152">
            <v>3853.7982304612087</v>
          </cell>
          <cell r="O152">
            <v>-19530.644770047686</v>
          </cell>
          <cell r="P152">
            <v>11011.324344667752</v>
          </cell>
          <cell r="Q152">
            <v>-75.622977136459667</v>
          </cell>
          <cell r="R152">
            <v>12912.6400545422</v>
          </cell>
          <cell r="S152">
            <v>-119536.61284283831</v>
          </cell>
          <cell r="V152">
            <v>-69460.296108523951</v>
          </cell>
          <cell r="W152">
            <v>-81365.902084241068</v>
          </cell>
          <cell r="X152">
            <v>-80071.491443713152</v>
          </cell>
          <cell r="Y152">
            <v>-107468.49233751923</v>
          </cell>
          <cell r="Z152">
            <v>-116779.1675896799</v>
          </cell>
          <cell r="AA152">
            <v>-127708.1077253253</v>
          </cell>
          <cell r="AB152">
            <v>-123854.30949486409</v>
          </cell>
        </row>
        <row r="153">
          <cell r="G153">
            <v>23062.421877349203</v>
          </cell>
          <cell r="H153">
            <v>46761.315112906566</v>
          </cell>
          <cell r="I153">
            <v>59831.775182505924</v>
          </cell>
          <cell r="J153">
            <v>67499.438629233569</v>
          </cell>
          <cell r="K153">
            <v>41968.593929895782</v>
          </cell>
          <cell r="L153">
            <v>58241.133901666501</v>
          </cell>
          <cell r="M153">
            <v>53001.683104418451</v>
          </cell>
          <cell r="N153">
            <v>66190.44048789356</v>
          </cell>
          <cell r="O153">
            <v>45431.36455533409</v>
          </cell>
          <cell r="P153">
            <v>66018.981510750629</v>
          </cell>
          <cell r="Q153">
            <v>57531.748206327145</v>
          </cell>
          <cell r="R153">
            <v>64620.306355584675</v>
          </cell>
          <cell r="S153">
            <v>650159.20285386592</v>
          </cell>
          <cell r="V153">
            <v>69823.736990255769</v>
          </cell>
          <cell r="W153">
            <v>129655.51217276169</v>
          </cell>
          <cell r="X153">
            <v>197154.95080199526</v>
          </cell>
          <cell r="Y153">
            <v>239123.54473189104</v>
          </cell>
          <cell r="Z153">
            <v>297364.67863355752</v>
          </cell>
          <cell r="AA153">
            <v>350366.36173797597</v>
          </cell>
          <cell r="AB153">
            <v>416556.8022258695</v>
          </cell>
        </row>
        <row r="154">
          <cell r="G154">
            <v>37724.762629107194</v>
          </cell>
          <cell r="H154">
            <v>43282.951413889125</v>
          </cell>
          <cell r="I154">
            <v>55889.003839511497</v>
          </cell>
          <cell r="J154">
            <v>64560.516115213162</v>
          </cell>
          <cell r="K154">
            <v>51856.77976412412</v>
          </cell>
          <cell r="L154">
            <v>60707.840976354724</v>
          </cell>
          <cell r="M154">
            <v>63243.020629272185</v>
          </cell>
          <cell r="N154">
            <v>70860.780307225272</v>
          </cell>
          <cell r="O154">
            <v>56568.172346163992</v>
          </cell>
          <cell r="P154">
            <v>79516.40481140984</v>
          </cell>
          <cell r="Q154">
            <v>74316.574257162894</v>
          </cell>
          <cell r="R154">
            <v>78717.043104669487</v>
          </cell>
          <cell r="S154">
            <v>737243.85019410355</v>
          </cell>
          <cell r="V154">
            <v>81007.714042996318</v>
          </cell>
          <cell r="W154">
            <v>136896.71788250783</v>
          </cell>
          <cell r="X154">
            <v>201457.23399772099</v>
          </cell>
          <cell r="Y154">
            <v>253314.01376184513</v>
          </cell>
          <cell r="Z154">
            <v>314021.85473819985</v>
          </cell>
          <cell r="AA154">
            <v>377264.87536747206</v>
          </cell>
          <cell r="AB154">
            <v>448125.65567469737</v>
          </cell>
        </row>
        <row r="155">
          <cell r="G155">
            <v>3071.8223443754032</v>
          </cell>
          <cell r="H155">
            <v>5617.4679587235405</v>
          </cell>
          <cell r="I155">
            <v>8204.0944118799307</v>
          </cell>
          <cell r="J155">
            <v>10688.427236876829</v>
          </cell>
          <cell r="K155">
            <v>6638.6192643431204</v>
          </cell>
          <cell r="L155">
            <v>8942.832173288145</v>
          </cell>
          <cell r="M155">
            <v>8479.8589610958225</v>
          </cell>
          <cell r="N155">
            <v>10592.178618462662</v>
          </cell>
          <cell r="O155">
            <v>5291.6694800586556</v>
          </cell>
          <cell r="P155">
            <v>11160.37191867036</v>
          </cell>
          <cell r="Q155">
            <v>9725.6227288109731</v>
          </cell>
          <cell r="R155">
            <v>10951.801874835663</v>
          </cell>
          <cell r="S155">
            <v>99364.766971421079</v>
          </cell>
          <cell r="V155">
            <v>8689.2903030989437</v>
          </cell>
          <cell r="W155">
            <v>16893.384714978874</v>
          </cell>
          <cell r="X155">
            <v>27581.811951855703</v>
          </cell>
          <cell r="Y155">
            <v>34220.43121619882</v>
          </cell>
          <cell r="Z155">
            <v>43163.263389486965</v>
          </cell>
          <cell r="AA155">
            <v>51643.122350582787</v>
          </cell>
          <cell r="AB155">
            <v>62235.300969045449</v>
          </cell>
        </row>
        <row r="156"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</row>
        <row r="157"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</row>
        <row r="158"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</row>
        <row r="159"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</row>
        <row r="160">
          <cell r="G160">
            <v>40796.584973482597</v>
          </cell>
          <cell r="H160">
            <v>48900.419372612669</v>
          </cell>
          <cell r="I160">
            <v>64093.098251391428</v>
          </cell>
          <cell r="J160">
            <v>75248.943352089991</v>
          </cell>
          <cell r="K160">
            <v>58495.39902846724</v>
          </cell>
          <cell r="L160">
            <v>69650.673149642869</v>
          </cell>
          <cell r="M160">
            <v>71722.879590368015</v>
          </cell>
          <cell r="N160">
            <v>81452.958925687941</v>
          </cell>
          <cell r="O160">
            <v>61859.841826222648</v>
          </cell>
          <cell r="P160">
            <v>90676.776730080193</v>
          </cell>
          <cell r="Q160">
            <v>84042.19698597386</v>
          </cell>
          <cell r="R160">
            <v>89668.844979505142</v>
          </cell>
          <cell r="S160">
            <v>836608.61716552463</v>
          </cell>
          <cell r="V160">
            <v>89697.004346095258</v>
          </cell>
          <cell r="W160">
            <v>153790.10259748669</v>
          </cell>
          <cell r="X160">
            <v>229039.04594957668</v>
          </cell>
          <cell r="Y160">
            <v>287534.4449780439</v>
          </cell>
          <cell r="Z160">
            <v>357185.11812768679</v>
          </cell>
          <cell r="AA160">
            <v>428907.9977180548</v>
          </cell>
          <cell r="AB160">
            <v>510360.95664374274</v>
          </cell>
        </row>
        <row r="161">
          <cell r="G161">
            <v>63859.0068508318</v>
          </cell>
          <cell r="H161">
            <v>95661.734485519235</v>
          </cell>
          <cell r="I161">
            <v>123924.87343389736</v>
          </cell>
          <cell r="J161">
            <v>142748.38198132356</v>
          </cell>
          <cell r="K161">
            <v>100463.99295836303</v>
          </cell>
          <cell r="L161">
            <v>127891.80705130937</v>
          </cell>
          <cell r="M161">
            <v>124724.56269478647</v>
          </cell>
          <cell r="N161">
            <v>147643.3994135815</v>
          </cell>
          <cell r="O161">
            <v>107291.20638155674</v>
          </cell>
          <cell r="P161">
            <v>156695.75824083082</v>
          </cell>
          <cell r="Q161">
            <v>141573.94519230101</v>
          </cell>
          <cell r="R161">
            <v>154289.15133508982</v>
          </cell>
          <cell r="S161">
            <v>1486767.8200193904</v>
          </cell>
          <cell r="V161">
            <v>159520.74133635103</v>
          </cell>
          <cell r="W161">
            <v>283445.61477024842</v>
          </cell>
          <cell r="X161">
            <v>426193.99675157201</v>
          </cell>
          <cell r="Y161">
            <v>526657.98970993503</v>
          </cell>
          <cell r="Z161">
            <v>654549.79676124442</v>
          </cell>
          <cell r="AA161">
            <v>779274.35945603088</v>
          </cell>
          <cell r="AB161">
            <v>926917.75886961236</v>
          </cell>
        </row>
        <row r="162">
          <cell r="G162">
            <v>-9712.6093717111071</v>
          </cell>
          <cell r="H162">
            <v>23465.841158069234</v>
          </cell>
          <cell r="I162">
            <v>40268.690875945627</v>
          </cell>
          <cell r="J162">
            <v>52499.214080927006</v>
          </cell>
          <cell r="K162">
            <v>16756.0315018541</v>
          </cell>
          <cell r="L162">
            <v>39537.587462333089</v>
          </cell>
          <cell r="M162">
            <v>35668.910805891283</v>
          </cell>
          <cell r="N162">
            <v>53253.920650524742</v>
          </cell>
          <cell r="O162">
            <v>25575.152740445483</v>
          </cell>
          <cell r="P162">
            <v>54597.189193161583</v>
          </cell>
          <cell r="Q162">
            <v>43078.801137158269</v>
          </cell>
          <cell r="R162">
            <v>56499.503744664784</v>
          </cell>
          <cell r="S162">
            <v>431488.2339792641</v>
          </cell>
          <cell r="V162">
            <v>13753.231786358127</v>
          </cell>
          <cell r="W162">
            <v>54021.922662303754</v>
          </cell>
          <cell r="X162">
            <v>106521.13674323076</v>
          </cell>
          <cell r="Y162">
            <v>123277.16824508486</v>
          </cell>
          <cell r="Z162">
            <v>162814.75570741796</v>
          </cell>
          <cell r="AA162">
            <v>198483.66651330923</v>
          </cell>
          <cell r="AB162">
            <v>251737.58716383396</v>
          </cell>
        </row>
        <row r="163">
          <cell r="G163">
            <v>23304.819091981102</v>
          </cell>
          <cell r="H163">
            <v>44313.104046388908</v>
          </cell>
          <cell r="I163">
            <v>63546.482170354677</v>
          </cell>
          <cell r="J163">
            <v>80855.151304047642</v>
          </cell>
          <cell r="K163">
            <v>49672.341298359723</v>
          </cell>
          <cell r="L163">
            <v>70100.712163527467</v>
          </cell>
          <cell r="M163">
            <v>69646.85279215395</v>
          </cell>
          <cell r="N163">
            <v>87651.098375055299</v>
          </cell>
          <cell r="O163">
            <v>56893.739391004914</v>
          </cell>
          <cell r="P163">
            <v>101949.52147366664</v>
          </cell>
          <cell r="Q163">
            <v>88693.898349195311</v>
          </cell>
          <cell r="R163">
            <v>99750.485770131578</v>
          </cell>
          <cell r="S163">
            <v>836378.20622586727</v>
          </cell>
          <cell r="V163">
            <v>67617.92313837001</v>
          </cell>
          <cell r="W163">
            <v>131164.40530872467</v>
          </cell>
          <cell r="X163">
            <v>212019.55661277231</v>
          </cell>
          <cell r="Y163">
            <v>261691.89791113202</v>
          </cell>
          <cell r="Z163">
            <v>331792.61007465946</v>
          </cell>
          <cell r="AA163">
            <v>401439.46286681341</v>
          </cell>
          <cell r="AB163">
            <v>489090.56124186871</v>
          </cell>
        </row>
        <row r="164">
          <cell r="G164">
            <v>3071.8223443754032</v>
          </cell>
          <cell r="H164">
            <v>5617.4679587235405</v>
          </cell>
          <cell r="I164">
            <v>8204.0944118799307</v>
          </cell>
          <cell r="J164">
            <v>10688.427236876829</v>
          </cell>
          <cell r="K164">
            <v>6638.6192643431204</v>
          </cell>
          <cell r="L164">
            <v>8942.832173288145</v>
          </cell>
          <cell r="M164">
            <v>8479.8589610958225</v>
          </cell>
          <cell r="N164">
            <v>10592.178618462662</v>
          </cell>
          <cell r="O164">
            <v>5291.6694800586556</v>
          </cell>
          <cell r="P164">
            <v>11160.37191867036</v>
          </cell>
          <cell r="Q164">
            <v>9725.6227288109731</v>
          </cell>
          <cell r="R164">
            <v>10951.801874835663</v>
          </cell>
          <cell r="S164">
            <v>99364.766971421079</v>
          </cell>
          <cell r="V164">
            <v>8689.2903030989437</v>
          </cell>
          <cell r="W164">
            <v>16893.384714978874</v>
          </cell>
          <cell r="X164">
            <v>27581.811951855703</v>
          </cell>
          <cell r="Y164">
            <v>34220.43121619882</v>
          </cell>
          <cell r="Z164">
            <v>43163.263389486965</v>
          </cell>
          <cell r="AA164">
            <v>51643.122350582787</v>
          </cell>
          <cell r="AB164">
            <v>62235.300969045449</v>
          </cell>
        </row>
        <row r="165"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</row>
        <row r="166"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</row>
        <row r="167"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</row>
        <row r="168"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</row>
        <row r="169">
          <cell r="G169">
            <v>26376.641436356505</v>
          </cell>
          <cell r="H169">
            <v>49930.572005112452</v>
          </cell>
          <cell r="I169">
            <v>71750.576582234615</v>
          </cell>
          <cell r="J169">
            <v>91543.578540924471</v>
          </cell>
          <cell r="K169">
            <v>56310.960562702843</v>
          </cell>
          <cell r="L169">
            <v>79043.544336815612</v>
          </cell>
          <cell r="M169">
            <v>78126.71175324978</v>
          </cell>
          <cell r="N169">
            <v>98243.276993517968</v>
          </cell>
          <cell r="O169">
            <v>62185.40887106357</v>
          </cell>
          <cell r="P169">
            <v>113109.89339233699</v>
          </cell>
          <cell r="Q169">
            <v>98419.521078006277</v>
          </cell>
          <cell r="R169">
            <v>110702.28764496723</v>
          </cell>
          <cell r="S169">
            <v>935742.97319728835</v>
          </cell>
          <cell r="V169">
            <v>76307.21344146895</v>
          </cell>
          <cell r="W169">
            <v>148057.79002370356</v>
          </cell>
          <cell r="X169">
            <v>239601.36856462804</v>
          </cell>
          <cell r="Y169">
            <v>295912.32912733086</v>
          </cell>
          <cell r="Z169">
            <v>374955.87346414645</v>
          </cell>
          <cell r="AA169">
            <v>453082.58521739626</v>
          </cell>
          <cell r="AB169">
            <v>551325.86221091426</v>
          </cell>
        </row>
        <row r="170">
          <cell r="G170">
            <v>16664.032064645398</v>
          </cell>
          <cell r="H170">
            <v>73396.413163181685</v>
          </cell>
          <cell r="I170">
            <v>112019.26745818024</v>
          </cell>
          <cell r="J170">
            <v>144042.79262185149</v>
          </cell>
          <cell r="K170">
            <v>73066.992064556951</v>
          </cell>
          <cell r="L170">
            <v>118581.1317991487</v>
          </cell>
          <cell r="M170">
            <v>113795.62255914106</v>
          </cell>
          <cell r="N170">
            <v>151497.19764404272</v>
          </cell>
          <cell r="O170">
            <v>87760.561611509052</v>
          </cell>
          <cell r="P170">
            <v>167707.08258549857</v>
          </cell>
          <cell r="Q170">
            <v>141498.32221516455</v>
          </cell>
          <cell r="R170">
            <v>167201.79138963201</v>
          </cell>
          <cell r="S170">
            <v>1367231.2071765524</v>
          </cell>
          <cell r="V170">
            <v>90060.445227827091</v>
          </cell>
          <cell r="W170">
            <v>202079.71268600732</v>
          </cell>
          <cell r="X170">
            <v>346122.50530785881</v>
          </cell>
          <cell r="Y170">
            <v>419189.49737241573</v>
          </cell>
          <cell r="Z170">
            <v>537770.62917156448</v>
          </cell>
          <cell r="AA170">
            <v>651566.25173070549</v>
          </cell>
          <cell r="AB170">
            <v>803063.44937474816</v>
          </cell>
        </row>
        <row r="171">
          <cell r="G171">
            <v>8546.8631434775489</v>
          </cell>
          <cell r="H171">
            <v>9059.2862968289937</v>
          </cell>
          <cell r="I171">
            <v>8167.0404730209075</v>
          </cell>
          <cell r="J171">
            <v>8154.6149023858734</v>
          </cell>
          <cell r="K171">
            <v>8159.2731994904007</v>
          </cell>
          <cell r="L171">
            <v>8191.5900050190912</v>
          </cell>
          <cell r="M171">
            <v>6642.2092241071095</v>
          </cell>
          <cell r="N171">
            <v>6656.3221905932414</v>
          </cell>
          <cell r="O171">
            <v>6914.1248311778872</v>
          </cell>
          <cell r="P171">
            <v>6525.3884398312539</v>
          </cell>
          <cell r="Q171">
            <v>6536.7005292296044</v>
          </cell>
          <cell r="R171">
            <v>4618.1707686494565</v>
          </cell>
          <cell r="S171">
            <v>88171.584003811382</v>
          </cell>
          <cell r="V171">
            <v>17606.149440306544</v>
          </cell>
          <cell r="W171">
            <v>25773.189913327453</v>
          </cell>
          <cell r="X171">
            <v>33927.804815713323</v>
          </cell>
          <cell r="Y171">
            <v>42087.078015203726</v>
          </cell>
          <cell r="Z171">
            <v>50278.668020222816</v>
          </cell>
          <cell r="AA171">
            <v>56920.877244329924</v>
          </cell>
          <cell r="AB171">
            <v>63577.199434923168</v>
          </cell>
        </row>
        <row r="172">
          <cell r="G172">
            <v>14044.996587526482</v>
          </cell>
          <cell r="H172">
            <v>13246.419619721775</v>
          </cell>
          <cell r="I172">
            <v>14095.137201219524</v>
          </cell>
          <cell r="J172">
            <v>14764.421140619508</v>
          </cell>
          <cell r="K172">
            <v>14698.979464861459</v>
          </cell>
          <cell r="L172">
            <v>14527.182926077105</v>
          </cell>
          <cell r="M172">
            <v>15947.492236391785</v>
          </cell>
          <cell r="N172">
            <v>15822.479028579004</v>
          </cell>
          <cell r="O172">
            <v>15655.049733077301</v>
          </cell>
          <cell r="P172">
            <v>17064.730250985744</v>
          </cell>
          <cell r="Q172">
            <v>16942.377001477907</v>
          </cell>
          <cell r="R172">
            <v>17650.83518073447</v>
          </cell>
          <cell r="S172">
            <v>184460.10037127204</v>
          </cell>
          <cell r="V172">
            <v>27291.416207248258</v>
          </cell>
          <cell r="W172">
            <v>41386.553408467778</v>
          </cell>
          <cell r="X172">
            <v>56150.974549087288</v>
          </cell>
          <cell r="Y172">
            <v>70849.954013948751</v>
          </cell>
          <cell r="Z172">
            <v>85377.136940025855</v>
          </cell>
          <cell r="AA172">
            <v>101324.62917641764</v>
          </cell>
          <cell r="AB172">
            <v>117147.10820499665</v>
          </cell>
        </row>
        <row r="173"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</row>
        <row r="174"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</row>
        <row r="175"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</row>
        <row r="176"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</row>
        <row r="177"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</row>
        <row r="178">
          <cell r="G178">
            <v>14044.996587526482</v>
          </cell>
          <cell r="H178">
            <v>13246.419619721775</v>
          </cell>
          <cell r="I178">
            <v>14095.137201219524</v>
          </cell>
          <cell r="J178">
            <v>14764.421140619508</v>
          </cell>
          <cell r="K178">
            <v>14698.979464861459</v>
          </cell>
          <cell r="L178">
            <v>14527.182926077105</v>
          </cell>
          <cell r="M178">
            <v>15947.492236391785</v>
          </cell>
          <cell r="N178">
            <v>15822.479028579004</v>
          </cell>
          <cell r="O178">
            <v>15655.049733077301</v>
          </cell>
          <cell r="P178">
            <v>17064.730250985744</v>
          </cell>
          <cell r="Q178">
            <v>16942.377001477907</v>
          </cell>
          <cell r="R178">
            <v>17650.83518073447</v>
          </cell>
          <cell r="S178">
            <v>184460.10037127204</v>
          </cell>
          <cell r="V178">
            <v>27291.416207248258</v>
          </cell>
          <cell r="W178">
            <v>41386.553408467778</v>
          </cell>
          <cell r="X178">
            <v>56150.974549087288</v>
          </cell>
          <cell r="Y178">
            <v>70849.954013948751</v>
          </cell>
          <cell r="Z178">
            <v>85377.136940025855</v>
          </cell>
          <cell r="AA178">
            <v>101324.62917641764</v>
          </cell>
          <cell r="AB178">
            <v>117147.10820499665</v>
          </cell>
        </row>
        <row r="179">
          <cell r="G179">
            <v>22591.859731004031</v>
          </cell>
          <cell r="H179">
            <v>22305.705916550767</v>
          </cell>
          <cell r="I179">
            <v>22262.177674240433</v>
          </cell>
          <cell r="J179">
            <v>22919.036043005381</v>
          </cell>
          <cell r="K179">
            <v>22858.252664351858</v>
          </cell>
          <cell r="L179">
            <v>22718.772931096195</v>
          </cell>
          <cell r="M179">
            <v>22589.701460498894</v>
          </cell>
          <cell r="N179">
            <v>22478.801219172245</v>
          </cell>
          <cell r="O179">
            <v>22569.17456425519</v>
          </cell>
          <cell r="P179">
            <v>23590.118690816998</v>
          </cell>
          <cell r="Q179">
            <v>23479.077530707513</v>
          </cell>
          <cell r="R179">
            <v>22269.005949383925</v>
          </cell>
          <cell r="S179">
            <v>272631.68437508342</v>
          </cell>
          <cell r="V179">
            <v>44897.565647554802</v>
          </cell>
          <cell r="W179">
            <v>67159.743321795235</v>
          </cell>
          <cell r="X179">
            <v>90078.779364800619</v>
          </cell>
          <cell r="Y179">
            <v>112937.03202915247</v>
          </cell>
          <cell r="Z179">
            <v>135655.80496024867</v>
          </cell>
          <cell r="AA179">
            <v>158245.50642074755</v>
          </cell>
          <cell r="AB179">
            <v>180724.3076399198</v>
          </cell>
        </row>
        <row r="180">
          <cell r="G180">
            <v>1424.4771905795915</v>
          </cell>
          <cell r="H180">
            <v>1509.8810494714992</v>
          </cell>
          <cell r="I180">
            <v>1361.1734121701513</v>
          </cell>
          <cell r="J180">
            <v>1359.102483730979</v>
          </cell>
          <cell r="K180">
            <v>1359.8788665817335</v>
          </cell>
          <cell r="L180">
            <v>1365.2650008365151</v>
          </cell>
          <cell r="M180">
            <v>1328.4418448214219</v>
          </cell>
          <cell r="N180">
            <v>1331.2644381186483</v>
          </cell>
          <cell r="O180">
            <v>1382.8249662355774</v>
          </cell>
          <cell r="P180">
            <v>1305.0776879662508</v>
          </cell>
          <cell r="Q180">
            <v>1307.340105845921</v>
          </cell>
          <cell r="R180">
            <v>1355.892768247051</v>
          </cell>
          <cell r="S180">
            <v>1363.3563380402852</v>
          </cell>
          <cell r="V180">
            <v>2934.3582400510904</v>
          </cell>
          <cell r="W180">
            <v>4295.5316522212415</v>
          </cell>
          <cell r="X180">
            <v>5654.6341359522203</v>
          </cell>
          <cell r="Y180">
            <v>7014.513002533954</v>
          </cell>
          <cell r="Z180">
            <v>8379.7780033704694</v>
          </cell>
          <cell r="AA180">
            <v>9708.2198481918913</v>
          </cell>
          <cell r="AB180">
            <v>11039.48428631054</v>
          </cell>
        </row>
        <row r="181">
          <cell r="G181">
            <v>21367.157858693874</v>
          </cell>
          <cell r="H181">
            <v>22648.215742072494</v>
          </cell>
          <cell r="I181">
            <v>21778.774594722421</v>
          </cell>
          <cell r="J181">
            <v>20386.537255964686</v>
          </cell>
          <cell r="K181">
            <v>20398.182998726003</v>
          </cell>
          <cell r="L181">
            <v>20478.975012547729</v>
          </cell>
          <cell r="M181">
            <v>19926.62767232133</v>
          </cell>
          <cell r="N181">
            <v>19968.966571779729</v>
          </cell>
          <cell r="O181">
            <v>20742.374493533662</v>
          </cell>
          <cell r="P181">
            <v>18271.087631527509</v>
          </cell>
          <cell r="Q181">
            <v>18302.761481842896</v>
          </cell>
          <cell r="R181">
            <v>18982.498755458717</v>
          </cell>
          <cell r="S181">
            <v>243252.16006919101</v>
          </cell>
          <cell r="V181">
            <v>44015.373600766368</v>
          </cell>
          <cell r="W181">
            <v>65794.148195488786</v>
          </cell>
          <cell r="X181">
            <v>86180.685451453464</v>
          </cell>
          <cell r="Y181">
            <v>106578.86845017946</v>
          </cell>
          <cell r="Z181">
            <v>127057.84346272719</v>
          </cell>
          <cell r="AA181">
            <v>146984.47113504852</v>
          </cell>
          <cell r="AB181">
            <v>166953.43770682823</v>
          </cell>
        </row>
        <row r="182">
          <cell r="G182">
            <v>9704.3998965999563</v>
          </cell>
          <cell r="H182">
            <v>9181.9927521377485</v>
          </cell>
          <cell r="I182">
            <v>9829.4158760977989</v>
          </cell>
          <cell r="J182">
            <v>10322.911074726302</v>
          </cell>
          <cell r="K182">
            <v>10373.626256732248</v>
          </cell>
          <cell r="L182">
            <v>10514.398140450914</v>
          </cell>
          <cell r="M182">
            <v>11152.224376940878</v>
          </cell>
          <cell r="N182">
            <v>11213.341896060361</v>
          </cell>
          <cell r="O182">
            <v>11129.119120933585</v>
          </cell>
          <cell r="P182">
            <v>11906.763869564671</v>
          </cell>
          <cell r="Q182">
            <v>11980.776780646054</v>
          </cell>
          <cell r="R182">
            <v>12388.015069061341</v>
          </cell>
          <cell r="S182">
            <v>129696.98510995184</v>
          </cell>
          <cell r="V182">
            <v>18886.392648737703</v>
          </cell>
          <cell r="W182">
            <v>28715.808524835502</v>
          </cell>
          <cell r="X182">
            <v>39038.719599561802</v>
          </cell>
          <cell r="Y182">
            <v>49412.34585629405</v>
          </cell>
          <cell r="Z182">
            <v>59926.743996744961</v>
          </cell>
          <cell r="AA182">
            <v>71078.968373685842</v>
          </cell>
          <cell r="AB182">
            <v>82292.310269746202</v>
          </cell>
        </row>
        <row r="183">
          <cell r="G183">
            <v>2846.0199581465904</v>
          </cell>
          <cell r="H183">
            <v>2720.7452559056633</v>
          </cell>
          <cell r="I183">
            <v>2986.2915216060192</v>
          </cell>
          <cell r="J183">
            <v>3228.1752929703048</v>
          </cell>
          <cell r="K183">
            <v>3226.5977468565438</v>
          </cell>
          <cell r="L183">
            <v>3144.5135825718448</v>
          </cell>
          <cell r="M183">
            <v>3188.1061569055632</v>
          </cell>
          <cell r="N183">
            <v>3195.5499796543509</v>
          </cell>
          <cell r="O183">
            <v>2415.9914879442463</v>
          </cell>
          <cell r="P183">
            <v>3088.6894747574952</v>
          </cell>
          <cell r="Q183">
            <v>3094.0438734702116</v>
          </cell>
          <cell r="R183">
            <v>3217.1398927626979</v>
          </cell>
          <cell r="S183">
            <v>36351.864223551529</v>
          </cell>
          <cell r="V183">
            <v>5566.7652140522532</v>
          </cell>
          <cell r="W183">
            <v>8553.0567356582724</v>
          </cell>
          <cell r="X183">
            <v>11781.232028628578</v>
          </cell>
          <cell r="Y183">
            <v>15007.829775485121</v>
          </cell>
          <cell r="Z183">
            <v>18152.343358056965</v>
          </cell>
          <cell r="AA183">
            <v>21340.449514962529</v>
          </cell>
          <cell r="AB183">
            <v>24535.999494616881</v>
          </cell>
        </row>
        <row r="184"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</row>
        <row r="185"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</row>
        <row r="186"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</row>
        <row r="187"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</row>
        <row r="188">
          <cell r="G188">
            <v>12550.419854746546</v>
          </cell>
          <cell r="H188">
            <v>11902.738008043412</v>
          </cell>
          <cell r="I188">
            <v>12815.707397703818</v>
          </cell>
          <cell r="J188">
            <v>13551.086367696607</v>
          </cell>
          <cell r="K188">
            <v>13600.224003588792</v>
          </cell>
          <cell r="L188">
            <v>13658.911723022758</v>
          </cell>
          <cell r="M188">
            <v>14340.330533846442</v>
          </cell>
          <cell r="N188">
            <v>14408.891875714711</v>
          </cell>
          <cell r="O188">
            <v>13545.110608877831</v>
          </cell>
          <cell r="P188">
            <v>14995.453344322166</v>
          </cell>
          <cell r="Q188">
            <v>15074.820654116265</v>
          </cell>
          <cell r="R188">
            <v>15605.154961824039</v>
          </cell>
          <cell r="S188">
            <v>166048.84933350337</v>
          </cell>
          <cell r="V188">
            <v>24453.157862789958</v>
          </cell>
          <cell r="W188">
            <v>37268.865260493774</v>
          </cell>
          <cell r="X188">
            <v>50819.951628190378</v>
          </cell>
          <cell r="Y188">
            <v>64420.175631779173</v>
          </cell>
          <cell r="Z188">
            <v>78079.08735480193</v>
          </cell>
          <cell r="AA188">
            <v>92419.417888648371</v>
          </cell>
          <cell r="AB188">
            <v>106828.30976436308</v>
          </cell>
        </row>
        <row r="189">
          <cell r="G189">
            <v>33917.57771344042</v>
          </cell>
          <cell r="H189">
            <v>34550.953750115907</v>
          </cell>
          <cell r="I189">
            <v>34594.481992426241</v>
          </cell>
          <cell r="J189">
            <v>33937.623623661289</v>
          </cell>
          <cell r="K189">
            <v>33998.407002314794</v>
          </cell>
          <cell r="L189">
            <v>34137.886735570486</v>
          </cell>
          <cell r="M189">
            <v>34266.958206167772</v>
          </cell>
          <cell r="N189">
            <v>34377.858447494436</v>
          </cell>
          <cell r="O189">
            <v>34287.485102411491</v>
          </cell>
          <cell r="P189">
            <v>33266.540975849675</v>
          </cell>
          <cell r="Q189">
            <v>33377.582135959165</v>
          </cell>
          <cell r="R189">
            <v>34587.653717282752</v>
          </cell>
          <cell r="S189">
            <v>409301.00940269441</v>
          </cell>
          <cell r="V189">
            <v>68468.531463556326</v>
          </cell>
          <cell r="W189">
            <v>103063.01345598257</v>
          </cell>
          <cell r="X189">
            <v>137000.63707964384</v>
          </cell>
          <cell r="Y189">
            <v>170999.04408195865</v>
          </cell>
          <cell r="Z189">
            <v>205136.93081752915</v>
          </cell>
          <cell r="AA189">
            <v>239403.88902369692</v>
          </cell>
          <cell r="AB189">
            <v>273781.74747119134</v>
          </cell>
        </row>
        <row r="190">
          <cell r="G190">
            <v>1424.4771905795917</v>
          </cell>
          <cell r="H190">
            <v>1509.8810494714994</v>
          </cell>
          <cell r="I190">
            <v>1361.1734121701513</v>
          </cell>
          <cell r="J190">
            <v>1359.102483730979</v>
          </cell>
          <cell r="K190">
            <v>1359.8788665817335</v>
          </cell>
          <cell r="L190">
            <v>1365.2650008365151</v>
          </cell>
          <cell r="M190">
            <v>1328.4418448214221</v>
          </cell>
          <cell r="N190">
            <v>1331.2644381186485</v>
          </cell>
          <cell r="O190">
            <v>1382.8249662355777</v>
          </cell>
          <cell r="P190">
            <v>1305.0776879662508</v>
          </cell>
          <cell r="Q190">
            <v>1307.340105845921</v>
          </cell>
          <cell r="R190">
            <v>1355.8927682470512</v>
          </cell>
          <cell r="S190">
            <v>1364.2052306568237</v>
          </cell>
          <cell r="V190">
            <v>2934.3582400510913</v>
          </cell>
          <cell r="W190">
            <v>4295.5316522212424</v>
          </cell>
          <cell r="X190">
            <v>5654.6341359522212</v>
          </cell>
          <cell r="Y190">
            <v>7014.5130025339549</v>
          </cell>
          <cell r="Z190">
            <v>8379.7780033704694</v>
          </cell>
          <cell r="AA190">
            <v>9708.2198481918913</v>
          </cell>
          <cell r="AB190">
            <v>11039.48428631054</v>
          </cell>
        </row>
        <row r="191">
          <cell r="G191">
            <v>29914.021002171423</v>
          </cell>
          <cell r="H191">
            <v>31707.50203890149</v>
          </cell>
          <cell r="I191">
            <v>29945.81506774333</v>
          </cell>
          <cell r="J191">
            <v>28541.15215835056</v>
          </cell>
          <cell r="K191">
            <v>28557.456198216401</v>
          </cell>
          <cell r="L191">
            <v>28670.56501756682</v>
          </cell>
          <cell r="M191">
            <v>26568.836896428438</v>
          </cell>
          <cell r="N191">
            <v>26625.288762372969</v>
          </cell>
          <cell r="O191">
            <v>27656.499324711549</v>
          </cell>
          <cell r="P191">
            <v>24796.476071358764</v>
          </cell>
          <cell r="Q191">
            <v>24839.462011072501</v>
          </cell>
          <cell r="R191">
            <v>23600.669524108172</v>
          </cell>
          <cell r="S191">
            <v>331423.74407300242</v>
          </cell>
          <cell r="V191">
            <v>61621.523041072913</v>
          </cell>
          <cell r="W191">
            <v>91567.338108816242</v>
          </cell>
          <cell r="X191">
            <v>120108.49026716681</v>
          </cell>
          <cell r="Y191">
            <v>148665.94646538323</v>
          </cell>
          <cell r="Z191">
            <v>177336.51148295004</v>
          </cell>
          <cell r="AA191">
            <v>203905.34837937847</v>
          </cell>
          <cell r="AB191">
            <v>230530.63714175145</v>
          </cell>
        </row>
        <row r="192">
          <cell r="G192">
            <v>23749.396484126439</v>
          </cell>
          <cell r="H192">
            <v>22428.412371859522</v>
          </cell>
          <cell r="I192">
            <v>23924.553077317323</v>
          </cell>
          <cell r="J192">
            <v>25087.33221534581</v>
          </cell>
          <cell r="K192">
            <v>25072.605721593707</v>
          </cell>
          <cell r="L192">
            <v>25041.581066528019</v>
          </cell>
          <cell r="M192">
            <v>27099.716613332661</v>
          </cell>
          <cell r="N192">
            <v>27035.820924639367</v>
          </cell>
          <cell r="O192">
            <v>26784.168854010888</v>
          </cell>
          <cell r="P192">
            <v>28971.494120550415</v>
          </cell>
          <cell r="Q192">
            <v>28923.153782123962</v>
          </cell>
          <cell r="R192">
            <v>30038.850249795811</v>
          </cell>
          <cell r="S192">
            <v>314157.08548122388</v>
          </cell>
          <cell r="V192">
            <v>46177.808855985961</v>
          </cell>
          <cell r="W192">
            <v>70102.361933303284</v>
          </cell>
          <cell r="X192">
            <v>95189.694148649098</v>
          </cell>
          <cell r="Y192">
            <v>120262.2998702428</v>
          </cell>
          <cell r="Z192">
            <v>145303.88093677082</v>
          </cell>
          <cell r="AA192">
            <v>172403.59755010347</v>
          </cell>
          <cell r="AB192">
            <v>199439.41847474285</v>
          </cell>
        </row>
        <row r="193">
          <cell r="G193">
            <v>2846.0199581465904</v>
          </cell>
          <cell r="H193">
            <v>2720.7452559056633</v>
          </cell>
          <cell r="I193">
            <v>2986.2915216060192</v>
          </cell>
          <cell r="J193">
            <v>3228.1752929703048</v>
          </cell>
          <cell r="K193">
            <v>3226.5977468565438</v>
          </cell>
          <cell r="L193">
            <v>3144.5135825718448</v>
          </cell>
          <cell r="M193">
            <v>3188.1061569055632</v>
          </cell>
          <cell r="N193">
            <v>3195.5499796543509</v>
          </cell>
          <cell r="O193">
            <v>2415.9914879442463</v>
          </cell>
          <cell r="P193">
            <v>3088.6894747574952</v>
          </cell>
          <cell r="Q193">
            <v>3094.0438734702116</v>
          </cell>
          <cell r="R193">
            <v>3217.1398927626979</v>
          </cell>
          <cell r="S193">
            <v>36351.864223551529</v>
          </cell>
          <cell r="V193">
            <v>5566.7652140522532</v>
          </cell>
          <cell r="W193">
            <v>8553.0567356582724</v>
          </cell>
          <cell r="X193">
            <v>11781.232028628578</v>
          </cell>
          <cell r="Y193">
            <v>15007.829775485121</v>
          </cell>
          <cell r="Z193">
            <v>18152.343358056965</v>
          </cell>
          <cell r="AA193">
            <v>21340.449514962529</v>
          </cell>
          <cell r="AB193">
            <v>24535.999494616881</v>
          </cell>
        </row>
        <row r="194"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</row>
        <row r="195"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</row>
        <row r="196"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</row>
        <row r="197"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</row>
        <row r="198">
          <cell r="G198">
            <v>26595.416442273028</v>
          </cell>
          <cell r="H198">
            <v>25149.157627765184</v>
          </cell>
          <cell r="I198">
            <v>26910.844598923344</v>
          </cell>
          <cell r="J198">
            <v>28315.507508316114</v>
          </cell>
          <cell r="K198">
            <v>28299.203468450251</v>
          </cell>
          <cell r="L198">
            <v>28186.094649099865</v>
          </cell>
          <cell r="M198">
            <v>30287.822770238225</v>
          </cell>
          <cell r="N198">
            <v>30231.370904293719</v>
          </cell>
          <cell r="O198">
            <v>29200.160341955136</v>
          </cell>
          <cell r="P198">
            <v>32060.18359530791</v>
          </cell>
          <cell r="Q198">
            <v>32017.197655594173</v>
          </cell>
          <cell r="R198">
            <v>33255.990142558512</v>
          </cell>
          <cell r="S198">
            <v>350508.94970477541</v>
          </cell>
          <cell r="V198">
            <v>51744.574070038216</v>
          </cell>
          <cell r="W198">
            <v>78655.41866896156</v>
          </cell>
          <cell r="X198">
            <v>106970.92617727767</v>
          </cell>
          <cell r="Y198">
            <v>135270.12964572792</v>
          </cell>
          <cell r="Z198">
            <v>163456.22429482779</v>
          </cell>
          <cell r="AA198">
            <v>193744.047065066</v>
          </cell>
          <cell r="AB198">
            <v>223975.41796935973</v>
          </cell>
        </row>
        <row r="199">
          <cell r="G199">
            <v>56509.437444444455</v>
          </cell>
          <cell r="H199">
            <v>56856.659666666674</v>
          </cell>
          <cell r="I199">
            <v>56856.659666666674</v>
          </cell>
          <cell r="J199">
            <v>56856.659666666674</v>
          </cell>
          <cell r="K199">
            <v>56856.659666666652</v>
          </cell>
          <cell r="L199">
            <v>56856.659666666688</v>
          </cell>
          <cell r="M199">
            <v>56856.659666666659</v>
          </cell>
          <cell r="N199">
            <v>56856.659666666688</v>
          </cell>
          <cell r="O199">
            <v>56856.659666666688</v>
          </cell>
          <cell r="P199">
            <v>56856.659666666674</v>
          </cell>
          <cell r="Q199">
            <v>56856.659666666674</v>
          </cell>
          <cell r="R199">
            <v>56856.659666666688</v>
          </cell>
          <cell r="S199">
            <v>681932.69377777784</v>
          </cell>
          <cell r="V199">
            <v>113366.09711111113</v>
          </cell>
          <cell r="W199">
            <v>170222.7567777778</v>
          </cell>
          <cell r="X199">
            <v>227079.41644444448</v>
          </cell>
          <cell r="Y199">
            <v>283936.07611111115</v>
          </cell>
          <cell r="Z199">
            <v>340792.73577777785</v>
          </cell>
          <cell r="AA199">
            <v>397649.3954444445</v>
          </cell>
          <cell r="AB199">
            <v>454506.0551111112</v>
          </cell>
        </row>
        <row r="200">
          <cell r="G200">
            <v>1424.4771905795917</v>
          </cell>
          <cell r="H200">
            <v>1509.8810494714996</v>
          </cell>
          <cell r="I200">
            <v>1361.1734121701513</v>
          </cell>
          <cell r="J200">
            <v>1359.102483730979</v>
          </cell>
          <cell r="K200">
            <v>1359.8788665817335</v>
          </cell>
          <cell r="L200">
            <v>1365.2650008365154</v>
          </cell>
          <cell r="M200">
            <v>1328.4418448214219</v>
          </cell>
          <cell r="N200">
            <v>1331.2644381186487</v>
          </cell>
          <cell r="O200">
            <v>1382.8249662355779</v>
          </cell>
          <cell r="P200">
            <v>1305.0776879662508</v>
          </cell>
          <cell r="Q200">
            <v>1307.340105845921</v>
          </cell>
          <cell r="R200">
            <v>1355.8927682470514</v>
          </cell>
          <cell r="S200">
            <v>1363.8657228196807</v>
          </cell>
          <cell r="V200">
            <v>2934.3582400510913</v>
          </cell>
          <cell r="W200">
            <v>4295.5316522212424</v>
          </cell>
          <cell r="X200">
            <v>5654.6341359522212</v>
          </cell>
          <cell r="Y200">
            <v>7014.5130025339549</v>
          </cell>
          <cell r="Z200">
            <v>8379.7780033704694</v>
          </cell>
          <cell r="AA200">
            <v>9708.2198481918913</v>
          </cell>
          <cell r="AB200">
            <v>11039.48428631054</v>
          </cell>
        </row>
        <row r="201">
          <cell r="G201">
            <v>-41321.894392537855</v>
          </cell>
          <cell r="H201">
            <v>-32354.760251666325</v>
          </cell>
          <cell r="I201">
            <v>-27730.124779581205</v>
          </cell>
          <cell r="J201">
            <v>-23154.839450692438</v>
          </cell>
          <cell r="K201">
            <v>-33371.835627532084</v>
          </cell>
          <cell r="L201">
            <v>-26895.136444352502</v>
          </cell>
          <cell r="M201">
            <v>-23974.981522634276</v>
          </cell>
          <cell r="N201">
            <v>-19592.842027962059</v>
          </cell>
          <cell r="O201">
            <v>-26770.336646066495</v>
          </cell>
          <cell r="P201">
            <v>-17947.180757420301</v>
          </cell>
          <cell r="Q201">
            <v>-20989.647598398482</v>
          </cell>
          <cell r="R201">
            <v>-12738.973379569346</v>
          </cell>
          <cell r="S201">
            <v>-306842.55287841341</v>
          </cell>
          <cell r="T201">
            <v>-306842.55287841341</v>
          </cell>
          <cell r="V201">
            <v>-73676.654644204187</v>
          </cell>
          <cell r="W201">
            <v>-101406.7794237854</v>
          </cell>
          <cell r="X201">
            <v>-124561.61887447783</v>
          </cell>
          <cell r="Y201">
            <v>-157933.4545020099</v>
          </cell>
          <cell r="Z201">
            <v>-184828.59094636241</v>
          </cell>
          <cell r="AA201">
            <v>-208803.57246899669</v>
          </cell>
          <cell r="AB201">
            <v>-228396.41449695875</v>
          </cell>
        </row>
        <row r="202">
          <cell r="G202">
            <v>-28464.940124652574</v>
          </cell>
          <cell r="H202">
            <v>-12216.266987221992</v>
          </cell>
          <cell r="I202">
            <v>-6437.6588703763446</v>
          </cell>
          <cell r="J202">
            <v>1530.2140482149716</v>
          </cell>
          <cell r="K202">
            <v>-16883.417930625856</v>
          </cell>
          <cell r="L202">
            <v>-5134.3117389043618</v>
          </cell>
          <cell r="M202">
            <v>-9543.6600735100201</v>
          </cell>
          <cell r="N202">
            <v>967.83903925102277</v>
          </cell>
          <cell r="O202">
            <v>-15329.48268823638</v>
          </cell>
          <cell r="P202">
            <v>5368.3864112710544</v>
          </cell>
          <cell r="Q202">
            <v>-2565.0529094454905</v>
          </cell>
          <cell r="R202">
            <v>3382.6074847276213</v>
          </cell>
          <cell r="S202">
            <v>-85325.744339508368</v>
          </cell>
          <cell r="T202">
            <v>-85325.744339508325</v>
          </cell>
          <cell r="V202">
            <v>-40681.207111874566</v>
          </cell>
          <cell r="W202">
            <v>-47118.865982250907</v>
          </cell>
          <cell r="X202">
            <v>-45588.651934035937</v>
          </cell>
          <cell r="Y202">
            <v>-62472.069864661797</v>
          </cell>
          <cell r="Z202">
            <v>-67606.381603566158</v>
          </cell>
          <cell r="AA202">
            <v>-77150.04167707618</v>
          </cell>
          <cell r="AB202">
            <v>-76182.202637825161</v>
          </cell>
        </row>
        <row r="203"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</row>
        <row r="204"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</row>
        <row r="205"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</row>
        <row r="206"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</row>
        <row r="207"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</row>
        <row r="208">
          <cell r="G208">
            <v>-28464.940124652574</v>
          </cell>
          <cell r="H208">
            <v>-12216.266987221992</v>
          </cell>
          <cell r="I208">
            <v>-6437.6588703763446</v>
          </cell>
          <cell r="J208">
            <v>1530.2140482149716</v>
          </cell>
          <cell r="K208">
            <v>-16883.417930625856</v>
          </cell>
          <cell r="L208">
            <v>-5134.3117389043618</v>
          </cell>
          <cell r="M208">
            <v>-9543.6600735100201</v>
          </cell>
          <cell r="N208">
            <v>967.83903925102277</v>
          </cell>
          <cell r="O208">
            <v>-15329.48268823638</v>
          </cell>
          <cell r="P208">
            <v>5368.3864112710544</v>
          </cell>
          <cell r="Q208">
            <v>-2565.0529094454905</v>
          </cell>
          <cell r="R208">
            <v>3382.6074847276213</v>
          </cell>
          <cell r="S208">
            <v>-85325.744339508368</v>
          </cell>
          <cell r="T208">
            <v>-85325.744339508325</v>
          </cell>
          <cell r="V208">
            <v>-40681.207111874566</v>
          </cell>
          <cell r="W208">
            <v>-47118.865982250907</v>
          </cell>
          <cell r="X208">
            <v>-45588.651934035937</v>
          </cell>
          <cell r="Y208">
            <v>-62472.069864661797</v>
          </cell>
          <cell r="Z208">
            <v>-67606.381603566158</v>
          </cell>
          <cell r="AA208">
            <v>-77150.04167707618</v>
          </cell>
          <cell r="AB208">
            <v>-76182.202637825161</v>
          </cell>
        </row>
        <row r="209">
          <cell r="G209">
            <v>-69786.834517190437</v>
          </cell>
          <cell r="H209">
            <v>-44571.027238888317</v>
          </cell>
          <cell r="I209">
            <v>-34167.78364995755</v>
          </cell>
          <cell r="J209">
            <v>-21624.625402477468</v>
          </cell>
          <cell r="K209">
            <v>-50255.253558157943</v>
          </cell>
          <cell r="L209">
            <v>-32029.448183256864</v>
          </cell>
          <cell r="M209">
            <v>-33518.641596144298</v>
          </cell>
          <cell r="N209">
            <v>-18625.002988711036</v>
          </cell>
          <cell r="O209">
            <v>-42099.819334302876</v>
          </cell>
          <cell r="P209">
            <v>-12578.794346149247</v>
          </cell>
          <cell r="Q209">
            <v>-23554.700507843972</v>
          </cell>
          <cell r="R209">
            <v>-9356.3658948417251</v>
          </cell>
          <cell r="S209">
            <v>-392168.29721792176</v>
          </cell>
          <cell r="T209">
            <v>-392168.2972179217</v>
          </cell>
          <cell r="V209">
            <v>-114357.86175607875</v>
          </cell>
          <cell r="W209">
            <v>-148525.64540603629</v>
          </cell>
          <cell r="X209">
            <v>-170150.27080851374</v>
          </cell>
          <cell r="Y209">
            <v>-220405.52436667169</v>
          </cell>
          <cell r="Z209">
            <v>-252434.97254992856</v>
          </cell>
          <cell r="AA209">
            <v>-285953.61414607288</v>
          </cell>
          <cell r="AB209">
            <v>-304578.61713478394</v>
          </cell>
        </row>
        <row r="210">
          <cell r="G210">
            <v>1695.264018655329</v>
          </cell>
          <cell r="H210">
            <v>24113.099370834072</v>
          </cell>
          <cell r="I210">
            <v>38053.000587783506</v>
          </cell>
          <cell r="J210">
            <v>47112.901373268884</v>
          </cell>
          <cell r="K210">
            <v>21570.410931169779</v>
          </cell>
          <cell r="L210">
            <v>37762.158889118771</v>
          </cell>
          <cell r="M210">
            <v>33075.055432097121</v>
          </cell>
          <cell r="N210">
            <v>46221.473916113828</v>
          </cell>
          <cell r="O210">
            <v>24688.990061800429</v>
          </cell>
          <cell r="P210">
            <v>47747.89387922312</v>
          </cell>
          <cell r="Q210">
            <v>39228.986724484246</v>
          </cell>
          <cell r="R210">
            <v>45637.807600125961</v>
          </cell>
          <cell r="S210">
            <v>406907.04278467508</v>
          </cell>
          <cell r="T210">
            <v>406907.04278467491</v>
          </cell>
          <cell r="V210">
            <v>25808.363389489401</v>
          </cell>
          <cell r="W210">
            <v>63861.363977272908</v>
          </cell>
          <cell r="X210">
            <v>110974.2653505418</v>
          </cell>
          <cell r="Y210">
            <v>132544.67628171158</v>
          </cell>
          <cell r="Z210">
            <v>170306.83517083037</v>
          </cell>
          <cell r="AA210">
            <v>203381.89060292748</v>
          </cell>
          <cell r="AB210">
            <v>249603.36451904132</v>
          </cell>
        </row>
        <row r="211">
          <cell r="G211">
            <v>28020.362732507238</v>
          </cell>
          <cell r="H211">
            <v>34100.958661751378</v>
          </cell>
          <cell r="I211">
            <v>46059.587963413695</v>
          </cell>
          <cell r="J211">
            <v>54237.605040486858</v>
          </cell>
          <cell r="K211">
            <v>41483.153507391871</v>
          </cell>
          <cell r="L211">
            <v>50193.442835903814</v>
          </cell>
          <cell r="M211">
            <v>52090.796252331304</v>
          </cell>
          <cell r="N211">
            <v>59647.438411164912</v>
          </cell>
          <cell r="O211">
            <v>45439.053225230411</v>
          </cell>
          <cell r="P211">
            <v>67609.640941845166</v>
          </cell>
          <cell r="Q211">
            <v>62335.79747651684</v>
          </cell>
          <cell r="R211">
            <v>66329.028035608149</v>
          </cell>
          <cell r="S211">
            <v>607546.86508415162</v>
          </cell>
          <cell r="T211">
            <v>607546.86508415174</v>
          </cell>
          <cell r="V211">
            <v>62121.321394258615</v>
          </cell>
          <cell r="W211">
            <v>108180.90935767231</v>
          </cell>
          <cell r="X211">
            <v>162418.51439815917</v>
          </cell>
          <cell r="Y211">
            <v>203901.66790555103</v>
          </cell>
          <cell r="Z211">
            <v>254095.11074145485</v>
          </cell>
          <cell r="AA211">
            <v>306185.90699378616</v>
          </cell>
          <cell r="AB211">
            <v>365833.34540495108</v>
          </cell>
        </row>
        <row r="212">
          <cell r="G212">
            <v>225.80238622881279</v>
          </cell>
          <cell r="H212">
            <v>2896.7227028178772</v>
          </cell>
          <cell r="I212">
            <v>5217.8028902739115</v>
          </cell>
          <cell r="J212">
            <v>7460.2519439065236</v>
          </cell>
          <cell r="K212">
            <v>3412.0215174865766</v>
          </cell>
          <cell r="L212">
            <v>5798.3185907163006</v>
          </cell>
          <cell r="M212">
            <v>5291.7528041902588</v>
          </cell>
          <cell r="N212">
            <v>7396.6286388083108</v>
          </cell>
          <cell r="O212">
            <v>2875.6779921144093</v>
          </cell>
          <cell r="P212">
            <v>8071.682443912865</v>
          </cell>
          <cell r="Q212">
            <v>6631.5788553407619</v>
          </cell>
          <cell r="R212">
            <v>7734.6619820729647</v>
          </cell>
          <cell r="S212">
            <v>63012.902747869579</v>
          </cell>
          <cell r="T212">
            <v>63012.90274786955</v>
          </cell>
          <cell r="V212">
            <v>3122.52508904669</v>
          </cell>
          <cell r="W212">
            <v>8340.327979320602</v>
          </cell>
          <cell r="X212">
            <v>15800.579923227126</v>
          </cell>
          <cell r="Y212">
            <v>19212.601440713701</v>
          </cell>
          <cell r="Z212">
            <v>25010.920031430003</v>
          </cell>
          <cell r="AA212">
            <v>30302.672835620262</v>
          </cell>
          <cell r="AB212">
            <v>37699.301474428576</v>
          </cell>
        </row>
        <row r="213"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</row>
        <row r="214"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</row>
        <row r="215"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</row>
        <row r="216"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</row>
        <row r="217">
          <cell r="G217">
            <v>28246.165118736051</v>
          </cell>
          <cell r="H217">
            <v>36997.681364569253</v>
          </cell>
          <cell r="I217">
            <v>51277.390853687604</v>
          </cell>
          <cell r="J217">
            <v>61697.85698439338</v>
          </cell>
          <cell r="K217">
            <v>44895.175024878445</v>
          </cell>
          <cell r="L217">
            <v>55991.761426620113</v>
          </cell>
          <cell r="M217">
            <v>57382.549056521559</v>
          </cell>
          <cell r="N217">
            <v>67044.067049973222</v>
          </cell>
          <cell r="O217">
            <v>48314.731217344823</v>
          </cell>
          <cell r="P217">
            <v>75681.323385758034</v>
          </cell>
          <cell r="Q217">
            <v>68967.376331857609</v>
          </cell>
          <cell r="R217">
            <v>74063.690017681118</v>
          </cell>
          <cell r="S217">
            <v>670559.76783202123</v>
          </cell>
          <cell r="T217">
            <v>670559.76783202123</v>
          </cell>
          <cell r="V217">
            <v>65243.8464833053</v>
          </cell>
          <cell r="W217">
            <v>116521.2373369929</v>
          </cell>
          <cell r="X217">
            <v>178219.09432138628</v>
          </cell>
          <cell r="Y217">
            <v>223114.26934626471</v>
          </cell>
          <cell r="Z217">
            <v>279106.03077288484</v>
          </cell>
          <cell r="AA217">
            <v>336488.5798294064</v>
          </cell>
          <cell r="AB217">
            <v>403532.64687937964</v>
          </cell>
        </row>
        <row r="218">
          <cell r="G218">
            <v>29941.42913739138</v>
          </cell>
          <cell r="H218">
            <v>61110.780735403328</v>
          </cell>
          <cell r="I218">
            <v>89330.391441471118</v>
          </cell>
          <cell r="J218">
            <v>108810.75835766227</v>
          </cell>
          <cell r="K218">
            <v>66465.58595604822</v>
          </cell>
          <cell r="L218">
            <v>93753.920315738884</v>
          </cell>
          <cell r="M218">
            <v>90457.604488618672</v>
          </cell>
          <cell r="N218">
            <v>113265.54096608705</v>
          </cell>
          <cell r="O218">
            <v>73003.721279145248</v>
          </cell>
          <cell r="P218">
            <v>123429.21726498115</v>
          </cell>
          <cell r="Q218">
            <v>108196.36305634186</v>
          </cell>
          <cell r="R218">
            <v>119701.49761780708</v>
          </cell>
          <cell r="S218">
            <v>1077466.8106166963</v>
          </cell>
          <cell r="T218">
            <v>1077466.810616696</v>
          </cell>
          <cell r="V218">
            <v>91052.209872794716</v>
          </cell>
          <cell r="W218">
            <v>180382.60131426583</v>
          </cell>
          <cell r="X218">
            <v>289193.3596719281</v>
          </cell>
          <cell r="Y218">
            <v>355658.94562797633</v>
          </cell>
          <cell r="Z218">
            <v>449412.86594371521</v>
          </cell>
          <cell r="AA218">
            <v>539870.47043233388</v>
          </cell>
          <cell r="AB218">
            <v>653136.0113984209</v>
          </cell>
        </row>
        <row r="219">
          <cell r="G219">
            <v>-39626.630373882523</v>
          </cell>
          <cell r="H219">
            <v>-8241.6608808322526</v>
          </cell>
          <cell r="I219">
            <v>10322.875808202301</v>
          </cell>
          <cell r="J219">
            <v>23958.061922576446</v>
          </cell>
          <cell r="K219">
            <v>-11801.424696362305</v>
          </cell>
          <cell r="L219">
            <v>10867.022444766269</v>
          </cell>
          <cell r="M219">
            <v>9100.0739094628443</v>
          </cell>
          <cell r="N219">
            <v>26628.631888151769</v>
          </cell>
          <cell r="O219">
            <v>-2081.3465842660662</v>
          </cell>
          <cell r="P219">
            <v>29800.713121802819</v>
          </cell>
          <cell r="Q219">
            <v>18239.339126085764</v>
          </cell>
          <cell r="R219">
            <v>32898.834220556615</v>
          </cell>
          <cell r="S219">
            <v>100064.48990626168</v>
          </cell>
          <cell r="T219">
            <v>100064.48990626168</v>
          </cell>
          <cell r="V219">
            <v>-47868.291254714772</v>
          </cell>
          <cell r="W219">
            <v>-37545.415446512474</v>
          </cell>
          <cell r="X219">
            <v>-13587.353523936028</v>
          </cell>
          <cell r="Y219">
            <v>-25388.778220298333</v>
          </cell>
          <cell r="Z219">
            <v>-14521.755775532063</v>
          </cell>
          <cell r="AA219">
            <v>-5421.6818660692188</v>
          </cell>
          <cell r="AB219">
            <v>21206.95002208255</v>
          </cell>
        </row>
        <row r="220">
          <cell r="G220">
            <v>-444.57739214533649</v>
          </cell>
          <cell r="H220">
            <v>21884.691674529386</v>
          </cell>
          <cell r="I220">
            <v>39621.929093037354</v>
          </cell>
          <cell r="J220">
            <v>55767.819088701828</v>
          </cell>
          <cell r="K220">
            <v>24599.735576766016</v>
          </cell>
          <cell r="L220">
            <v>45059.131096999452</v>
          </cell>
          <cell r="M220">
            <v>42547.136178821282</v>
          </cell>
          <cell r="N220">
            <v>60615.277450415932</v>
          </cell>
          <cell r="O220">
            <v>30109.570536994033</v>
          </cell>
          <cell r="P220">
            <v>72978.027353116224</v>
          </cell>
          <cell r="Q220">
            <v>59770.74456707135</v>
          </cell>
          <cell r="R220">
            <v>69711.635520335767</v>
          </cell>
          <cell r="S220">
            <v>522221.12074464327</v>
          </cell>
          <cell r="T220">
            <v>522221.12074464338</v>
          </cell>
          <cell r="U220">
            <v>0.89232870916863949</v>
          </cell>
          <cell r="V220">
            <v>21440.114282384049</v>
          </cell>
          <cell r="W220">
            <v>61062.043375421403</v>
          </cell>
          <cell r="X220">
            <v>116829.86246412323</v>
          </cell>
          <cell r="Y220">
            <v>141429.59804088925</v>
          </cell>
          <cell r="Z220">
            <v>186488.7291378887</v>
          </cell>
          <cell r="AA220">
            <v>229035.86531670997</v>
          </cell>
          <cell r="AB220">
            <v>289651.14276712592</v>
          </cell>
        </row>
        <row r="221">
          <cell r="G221">
            <v>225.80238622881279</v>
          </cell>
          <cell r="H221">
            <v>2896.7227028178772</v>
          </cell>
          <cell r="I221">
            <v>5217.8028902739115</v>
          </cell>
          <cell r="J221">
            <v>7460.2519439065236</v>
          </cell>
          <cell r="K221">
            <v>3412.0215174865766</v>
          </cell>
          <cell r="L221">
            <v>5798.3185907163006</v>
          </cell>
          <cell r="M221">
            <v>5291.7528041902588</v>
          </cell>
          <cell r="N221">
            <v>7396.6286388083108</v>
          </cell>
          <cell r="O221">
            <v>2875.6779921144093</v>
          </cell>
          <cell r="P221">
            <v>8071.682443912865</v>
          </cell>
          <cell r="Q221">
            <v>6631.5788553407619</v>
          </cell>
          <cell r="R221">
            <v>7734.6619820729647</v>
          </cell>
          <cell r="S221">
            <v>63012.902747869579</v>
          </cell>
          <cell r="T221">
            <v>63012.90274786955</v>
          </cell>
          <cell r="U221">
            <v>0.10767129083136044</v>
          </cell>
          <cell r="V221">
            <v>3122.52508904669</v>
          </cell>
          <cell r="W221">
            <v>8340.327979320602</v>
          </cell>
          <cell r="X221">
            <v>15800.579923227126</v>
          </cell>
          <cell r="Y221">
            <v>19212.601440713701</v>
          </cell>
          <cell r="Z221">
            <v>25010.920031430003</v>
          </cell>
          <cell r="AA221">
            <v>30302.672835620262</v>
          </cell>
          <cell r="AB221">
            <v>37699.301474428576</v>
          </cell>
        </row>
        <row r="222"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</row>
        <row r="223"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</row>
        <row r="224"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</row>
        <row r="225"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</row>
        <row r="226">
          <cell r="G226">
            <v>-218.7750059165237</v>
          </cell>
          <cell r="H226">
            <v>24781.414377347264</v>
          </cell>
          <cell r="I226">
            <v>44839.731983311263</v>
          </cell>
          <cell r="J226">
            <v>63228.07103260835</v>
          </cell>
          <cell r="K226">
            <v>28011.757094252593</v>
          </cell>
          <cell r="L226">
            <v>50857.449687715751</v>
          </cell>
          <cell r="M226">
            <v>47838.888983011537</v>
          </cell>
          <cell r="N226">
            <v>68011.906089224241</v>
          </cell>
          <cell r="O226">
            <v>32985.248529108445</v>
          </cell>
          <cell r="P226">
            <v>81049.709797029092</v>
          </cell>
          <cell r="Q226">
            <v>66402.323422412112</v>
          </cell>
          <cell r="R226">
            <v>77446.297502408735</v>
          </cell>
          <cell r="S226">
            <v>585234.02349251288</v>
          </cell>
          <cell r="T226">
            <v>585234.02349251299</v>
          </cell>
          <cell r="V226">
            <v>24562.639371430741</v>
          </cell>
          <cell r="W226">
            <v>69402.371354742005</v>
          </cell>
          <cell r="X226">
            <v>132630.44238735037</v>
          </cell>
          <cell r="Y226">
            <v>160642.19948160296</v>
          </cell>
          <cell r="Z226">
            <v>211499.64916931873</v>
          </cell>
          <cell r="AA226">
            <v>259338.53815233026</v>
          </cell>
          <cell r="AB226">
            <v>327350.44424155448</v>
          </cell>
        </row>
        <row r="227">
          <cell r="G227">
            <v>-39845.405379799049</v>
          </cell>
          <cell r="H227">
            <v>16539.753496515012</v>
          </cell>
          <cell r="I227">
            <v>55162.607791513568</v>
          </cell>
          <cell r="J227">
            <v>87186.132955184788</v>
          </cell>
          <cell r="K227">
            <v>16210.332397890288</v>
          </cell>
          <cell r="L227">
            <v>61724.47213248202</v>
          </cell>
          <cell r="M227">
            <v>56938.962892474381</v>
          </cell>
          <cell r="N227">
            <v>94640.537977376007</v>
          </cell>
          <cell r="O227">
            <v>30903.901944842379</v>
          </cell>
          <cell r="P227">
            <v>110850.42291883192</v>
          </cell>
          <cell r="Q227">
            <v>84641.662548497872</v>
          </cell>
          <cell r="R227">
            <v>110345.13172296535</v>
          </cell>
          <cell r="S227">
            <v>685298.51339877455</v>
          </cell>
          <cell r="T227">
            <v>685298.51339877455</v>
          </cell>
          <cell r="V227">
            <v>-23305.651883284037</v>
          </cell>
          <cell r="W227">
            <v>31856.955908229531</v>
          </cell>
          <cell r="X227">
            <v>119043.08886341432</v>
          </cell>
          <cell r="Y227">
            <v>135253.42126130461</v>
          </cell>
          <cell r="Z227">
            <v>196977.89339378662</v>
          </cell>
          <cell r="AA227">
            <v>253916.856286261</v>
          </cell>
          <cell r="AB227">
            <v>348557.39426363702</v>
          </cell>
        </row>
        <row r="228">
          <cell r="G228">
            <v>0</v>
          </cell>
          <cell r="H228">
            <v>0</v>
          </cell>
          <cell r="I228">
            <v>0</v>
          </cell>
          <cell r="J228"/>
          <cell r="K228"/>
          <cell r="L228"/>
          <cell r="M228"/>
          <cell r="N228"/>
          <cell r="O228"/>
          <cell r="P228"/>
          <cell r="Q228"/>
          <cell r="R228"/>
          <cell r="S228">
            <v>0</v>
          </cell>
        </row>
        <row r="229">
          <cell r="G229">
            <v>0</v>
          </cell>
          <cell r="H229">
            <v>0</v>
          </cell>
          <cell r="I229">
            <v>0</v>
          </cell>
          <cell r="J229"/>
          <cell r="K229"/>
          <cell r="L229"/>
          <cell r="M229"/>
          <cell r="N229"/>
          <cell r="O229"/>
          <cell r="P229"/>
          <cell r="Q229"/>
          <cell r="R229"/>
          <cell r="S229">
            <v>0</v>
          </cell>
        </row>
        <row r="230"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</row>
        <row r="233">
          <cell r="G233">
            <v>39670.29996559782</v>
          </cell>
        </row>
        <row r="234">
          <cell r="G234">
            <v>709406.85182383005</v>
          </cell>
        </row>
        <row r="235">
          <cell r="G235">
            <v>277692.09975918476</v>
          </cell>
        </row>
        <row r="236">
          <cell r="G236">
            <v>27000</v>
          </cell>
        </row>
      </sheetData>
      <sheetData sheetId="2"/>
      <sheetData sheetId="3">
        <row r="4">
          <cell r="G4" t="str">
            <v>1월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손익계획"/>
      <sheetName val="판매계획"/>
      <sheetName val="이송계획"/>
      <sheetName val="원가계획"/>
      <sheetName val="제조4"/>
      <sheetName val="제조6"/>
      <sheetName val="판매4"/>
      <sheetName val="판매6"/>
      <sheetName val="본사산출"/>
      <sheetName val="제조"/>
      <sheetName val="판매"/>
      <sheetName val="인원수"/>
      <sheetName val="계정통제"/>
    </sheetNames>
    <sheetDataSet>
      <sheetData sheetId="0"/>
      <sheetData sheetId="1">
        <row r="5">
          <cell r="E5" t="str">
            <v>구분</v>
          </cell>
          <cell r="G5" t="str">
            <v>1월</v>
          </cell>
          <cell r="H5" t="str">
            <v>2월</v>
          </cell>
          <cell r="I5" t="str">
            <v>3월</v>
          </cell>
          <cell r="J5" t="str">
            <v>4월</v>
          </cell>
          <cell r="K5" t="str">
            <v>5월</v>
          </cell>
          <cell r="L5" t="str">
            <v>6월</v>
          </cell>
          <cell r="M5" t="str">
            <v>7월</v>
          </cell>
          <cell r="N5" t="str">
            <v>8월</v>
          </cell>
          <cell r="O5" t="str">
            <v>9월</v>
          </cell>
          <cell r="P5" t="str">
            <v>10월</v>
          </cell>
          <cell r="Q5" t="str">
            <v>11월</v>
          </cell>
          <cell r="R5" t="str">
            <v>12월</v>
          </cell>
          <cell r="S5" t="str">
            <v>계</v>
          </cell>
          <cell r="V5" t="str">
            <v>2월누계</v>
          </cell>
          <cell r="W5" t="str">
            <v>3월누계</v>
          </cell>
          <cell r="X5" t="str">
            <v>4월누계</v>
          </cell>
          <cell r="Y5" t="str">
            <v>5월누계</v>
          </cell>
          <cell r="Z5" t="str">
            <v>6월누계</v>
          </cell>
          <cell r="AA5" t="str">
            <v>7월누계</v>
          </cell>
          <cell r="AB5" t="str">
            <v>8월누계</v>
          </cell>
          <cell r="AC5" t="str">
            <v>9월누계</v>
          </cell>
          <cell r="AD5" t="str">
            <v>10월누계</v>
          </cell>
          <cell r="AE5" t="str">
            <v>11월누계</v>
          </cell>
          <cell r="AF5" t="str">
            <v>12월누계</v>
          </cell>
        </row>
        <row r="6">
          <cell r="G6">
            <v>8000</v>
          </cell>
          <cell r="H6">
            <v>6500</v>
          </cell>
          <cell r="I6">
            <v>6000</v>
          </cell>
          <cell r="J6">
            <v>6500</v>
          </cell>
          <cell r="K6">
            <v>9500</v>
          </cell>
          <cell r="L6">
            <v>9500</v>
          </cell>
          <cell r="M6">
            <v>9500</v>
          </cell>
          <cell r="N6">
            <v>9500</v>
          </cell>
          <cell r="O6">
            <v>9500</v>
          </cell>
          <cell r="P6">
            <v>9500</v>
          </cell>
          <cell r="Q6">
            <v>9500</v>
          </cell>
          <cell r="R6">
            <v>8133</v>
          </cell>
          <cell r="S6">
            <v>101633</v>
          </cell>
          <cell r="T6">
            <v>0.33877646783553828</v>
          </cell>
          <cell r="V6">
            <v>14500</v>
          </cell>
          <cell r="W6">
            <v>20500</v>
          </cell>
          <cell r="X6">
            <v>27000</v>
          </cell>
          <cell r="Y6">
            <v>36500</v>
          </cell>
          <cell r="Z6">
            <v>46000</v>
          </cell>
          <cell r="AA6">
            <v>55500</v>
          </cell>
          <cell r="AB6">
            <v>65000</v>
          </cell>
          <cell r="AC6">
            <v>74500</v>
          </cell>
          <cell r="AD6">
            <v>84000</v>
          </cell>
          <cell r="AE6">
            <v>93500</v>
          </cell>
          <cell r="AF6">
            <v>101633</v>
          </cell>
        </row>
        <row r="7">
          <cell r="G7">
            <v>16586.870682990953</v>
          </cell>
          <cell r="H7">
            <v>11567.897800162975</v>
          </cell>
          <cell r="I7">
            <v>8876.6974313291757</v>
          </cell>
          <cell r="J7">
            <v>10696.307872616711</v>
          </cell>
          <cell r="K7">
            <v>18519.294299382029</v>
          </cell>
          <cell r="L7">
            <v>18065.379730358123</v>
          </cell>
          <cell r="M7">
            <v>18249.090710905504</v>
          </cell>
          <cell r="N7">
            <v>18371.513700188385</v>
          </cell>
          <cell r="O7">
            <v>17011.795321480207</v>
          </cell>
          <cell r="P7">
            <v>19754.222470020948</v>
          </cell>
          <cell r="Q7">
            <v>20268.648431551352</v>
          </cell>
          <cell r="R7">
            <v>20399.457621864596</v>
          </cell>
          <cell r="S7">
            <v>198367.17607285097</v>
          </cell>
          <cell r="T7">
            <v>0.66122353216446184</v>
          </cell>
          <cell r="V7">
            <v>28154.76848315393</v>
          </cell>
          <cell r="W7">
            <v>37031.465914483109</v>
          </cell>
          <cell r="X7">
            <v>47727.773787099824</v>
          </cell>
          <cell r="Y7">
            <v>66247.068086481857</v>
          </cell>
          <cell r="Z7">
            <v>84312.44781683998</v>
          </cell>
          <cell r="AA7">
            <v>102561.53852774549</v>
          </cell>
          <cell r="AB7">
            <v>120933.05222793388</v>
          </cell>
          <cell r="AC7">
            <v>137944.84754941409</v>
          </cell>
          <cell r="AD7">
            <v>157699.07001943502</v>
          </cell>
          <cell r="AE7">
            <v>177967.71845098637</v>
          </cell>
          <cell r="AF7">
            <v>198367.17607285097</v>
          </cell>
        </row>
        <row r="8">
          <cell r="G8">
            <v>24586.870682990953</v>
          </cell>
          <cell r="H8">
            <v>18067.897800162973</v>
          </cell>
          <cell r="I8">
            <v>14876.697431329176</v>
          </cell>
          <cell r="J8">
            <v>17196.307872616711</v>
          </cell>
          <cell r="K8">
            <v>28019.294299382029</v>
          </cell>
          <cell r="L8">
            <v>27565.379730358123</v>
          </cell>
          <cell r="M8">
            <v>27749.090710905504</v>
          </cell>
          <cell r="N8">
            <v>27871.513700188385</v>
          </cell>
          <cell r="O8">
            <v>26511.795321480207</v>
          </cell>
          <cell r="P8">
            <v>29254.222470020948</v>
          </cell>
          <cell r="Q8">
            <v>29768.648431551352</v>
          </cell>
          <cell r="R8">
            <v>28532.457621864596</v>
          </cell>
          <cell r="S8">
            <v>300000.17607285094</v>
          </cell>
          <cell r="V8">
            <v>42654.76848315393</v>
          </cell>
          <cell r="W8">
            <v>57531.465914483109</v>
          </cell>
          <cell r="X8">
            <v>74727.773787099824</v>
          </cell>
          <cell r="Y8">
            <v>102747.06808648186</v>
          </cell>
          <cell r="Z8">
            <v>130312.44781683998</v>
          </cell>
          <cell r="AA8">
            <v>158061.53852774549</v>
          </cell>
          <cell r="AB8">
            <v>185933.05222793389</v>
          </cell>
          <cell r="AC8">
            <v>212444.84754941409</v>
          </cell>
          <cell r="AD8">
            <v>241699.07001943502</v>
          </cell>
          <cell r="AE8">
            <v>271467.71845098637</v>
          </cell>
          <cell r="AF8">
            <v>300000.17607285094</v>
          </cell>
        </row>
        <row r="9">
          <cell r="G9">
            <v>228000</v>
          </cell>
          <cell r="H9">
            <v>204750</v>
          </cell>
          <cell r="I9">
            <v>210000</v>
          </cell>
          <cell r="J9">
            <v>204750</v>
          </cell>
          <cell r="K9">
            <v>270750</v>
          </cell>
          <cell r="L9">
            <v>270750</v>
          </cell>
          <cell r="M9">
            <v>270750</v>
          </cell>
          <cell r="N9">
            <v>270750</v>
          </cell>
          <cell r="O9">
            <v>270750</v>
          </cell>
          <cell r="P9">
            <v>270750</v>
          </cell>
          <cell r="Q9">
            <v>270750</v>
          </cell>
          <cell r="R9">
            <v>231790.5</v>
          </cell>
          <cell r="S9">
            <v>2974540.5</v>
          </cell>
          <cell r="V9">
            <v>432750</v>
          </cell>
          <cell r="W9">
            <v>642750</v>
          </cell>
          <cell r="X9">
            <v>847500</v>
          </cell>
          <cell r="Y9">
            <v>1118250</v>
          </cell>
          <cell r="Z9">
            <v>1389000</v>
          </cell>
          <cell r="AA9">
            <v>1659750</v>
          </cell>
          <cell r="AB9">
            <v>1930500</v>
          </cell>
          <cell r="AC9">
            <v>2201250</v>
          </cell>
          <cell r="AD9">
            <v>2472000</v>
          </cell>
          <cell r="AE9">
            <v>2742750</v>
          </cell>
          <cell r="AF9">
            <v>2974540.5</v>
          </cell>
        </row>
        <row r="10">
          <cell r="G10">
            <v>469843.14324381144</v>
          </cell>
          <cell r="H10">
            <v>352682.64248418884</v>
          </cell>
          <cell r="I10">
            <v>312361.52710826986</v>
          </cell>
          <cell r="J10">
            <v>334339.11138622963</v>
          </cell>
          <cell r="K10">
            <v>524932.27333394904</v>
          </cell>
          <cell r="L10">
            <v>512513.75310459413</v>
          </cell>
          <cell r="M10">
            <v>518755.53940989065</v>
          </cell>
          <cell r="N10">
            <v>522185.17484875274</v>
          </cell>
          <cell r="O10">
            <v>483452.99506738409</v>
          </cell>
          <cell r="P10">
            <v>561413.80631466</v>
          </cell>
          <cell r="Q10">
            <v>575611.77016930934</v>
          </cell>
          <cell r="R10">
            <v>579274.17774659046</v>
          </cell>
          <cell r="S10">
            <v>5747365.9142176304</v>
          </cell>
          <cell r="V10">
            <v>822525.78572800034</v>
          </cell>
          <cell r="W10">
            <v>1134887.3128362703</v>
          </cell>
          <cell r="X10">
            <v>1469226.4242225001</v>
          </cell>
          <cell r="Y10">
            <v>1994158.6975564491</v>
          </cell>
          <cell r="Z10">
            <v>2506672.4506610432</v>
          </cell>
          <cell r="AA10">
            <v>3025427.9900709339</v>
          </cell>
          <cell r="AB10">
            <v>3547613.1649196865</v>
          </cell>
          <cell r="AC10">
            <v>4031066.1599870706</v>
          </cell>
          <cell r="AD10">
            <v>4592479.9663017308</v>
          </cell>
          <cell r="AE10">
            <v>5168091.7364710402</v>
          </cell>
          <cell r="AF10">
            <v>5747365.9142176304</v>
          </cell>
        </row>
        <row r="11">
          <cell r="G11">
            <v>697843.14324381144</v>
          </cell>
          <cell r="H11">
            <v>557432.64248418878</v>
          </cell>
          <cell r="I11">
            <v>522361.52710826986</v>
          </cell>
          <cell r="J11">
            <v>539089.11138622963</v>
          </cell>
          <cell r="K11">
            <v>795682.27333394904</v>
          </cell>
          <cell r="L11">
            <v>783263.75310459407</v>
          </cell>
          <cell r="M11">
            <v>789505.53940989065</v>
          </cell>
          <cell r="N11">
            <v>792935.17484875279</v>
          </cell>
          <cell r="O11">
            <v>754202.99506738409</v>
          </cell>
          <cell r="P11">
            <v>832163.80631466</v>
          </cell>
          <cell r="Q11">
            <v>846361.77016930934</v>
          </cell>
          <cell r="R11">
            <v>811064.67774659046</v>
          </cell>
          <cell r="S11">
            <v>8721906.4142176304</v>
          </cell>
          <cell r="V11">
            <v>1255275.7857280003</v>
          </cell>
          <cell r="W11">
            <v>1777637.3128362703</v>
          </cell>
          <cell r="X11">
            <v>2316726.4242225001</v>
          </cell>
          <cell r="Y11">
            <v>3112408.6975564491</v>
          </cell>
          <cell r="Z11">
            <v>3895672.4506610432</v>
          </cell>
          <cell r="AA11">
            <v>4685177.9900709335</v>
          </cell>
          <cell r="AB11">
            <v>5478113.1649196865</v>
          </cell>
          <cell r="AC11">
            <v>6232316.1599870706</v>
          </cell>
          <cell r="AD11">
            <v>7064479.9663017308</v>
          </cell>
          <cell r="AE11">
            <v>7910841.7364710402</v>
          </cell>
          <cell r="AF11">
            <v>8721906.4142176304</v>
          </cell>
        </row>
        <row r="12">
          <cell r="G12">
            <v>205262.36220748385</v>
          </cell>
          <cell r="H12">
            <v>172843.41339529093</v>
          </cell>
          <cell r="I12">
            <v>181503.72331811627</v>
          </cell>
          <cell r="J12">
            <v>173522.01818313726</v>
          </cell>
          <cell r="K12">
            <v>233249.11289745287</v>
          </cell>
          <cell r="L12">
            <v>258348.42218489441</v>
          </cell>
          <cell r="M12">
            <v>236824.74846569018</v>
          </cell>
          <cell r="N12">
            <v>235931.21786972354</v>
          </cell>
          <cell r="O12">
            <v>233442.04475049299</v>
          </cell>
          <cell r="P12">
            <v>234993.66120758065</v>
          </cell>
          <cell r="Q12">
            <v>232918.67769363636</v>
          </cell>
          <cell r="R12">
            <v>199734.18620191864</v>
          </cell>
          <cell r="S12">
            <v>2598573.5883754175</v>
          </cell>
          <cell r="V12">
            <v>378105.77560277481</v>
          </cell>
          <cell r="W12">
            <v>559609.49892089108</v>
          </cell>
          <cell r="X12">
            <v>733131.51710402837</v>
          </cell>
          <cell r="Y12">
            <v>966380.63000148127</v>
          </cell>
          <cell r="Z12">
            <v>1224729.0521863757</v>
          </cell>
          <cell r="AA12">
            <v>1461553.8006520658</v>
          </cell>
          <cell r="AB12">
            <v>1697485.0185217892</v>
          </cell>
          <cell r="AC12">
            <v>1930927.0632722822</v>
          </cell>
          <cell r="AD12">
            <v>2165920.724479863</v>
          </cell>
          <cell r="AE12">
            <v>2398839.4021734991</v>
          </cell>
          <cell r="AF12">
            <v>2598573.5883754175</v>
          </cell>
        </row>
        <row r="13">
          <cell r="G13">
            <v>425582.53225259803</v>
          </cell>
          <cell r="H13">
            <v>300627.05191836326</v>
          </cell>
          <cell r="I13">
            <v>268525.60575910064</v>
          </cell>
          <cell r="J13">
            <v>282750.89297740336</v>
          </cell>
          <cell r="K13">
            <v>454695.68071765418</v>
          </cell>
          <cell r="L13">
            <v>491280.24731673626</v>
          </cell>
          <cell r="M13">
            <v>454930.13866713253</v>
          </cell>
          <cell r="N13">
            <v>456254.06330481649</v>
          </cell>
          <cell r="O13">
            <v>418028.24049717997</v>
          </cell>
          <cell r="P13">
            <v>488643.90131992422</v>
          </cell>
          <cell r="Q13">
            <v>496941.76750675129</v>
          </cell>
          <cell r="R13">
            <v>500979.84348501806</v>
          </cell>
          <cell r="S13">
            <v>5039239.9657226782</v>
          </cell>
          <cell r="V13">
            <v>726209.58417096129</v>
          </cell>
          <cell r="W13">
            <v>994735.18993006193</v>
          </cell>
          <cell r="X13">
            <v>1277486.0829074653</v>
          </cell>
          <cell r="Y13">
            <v>1732181.7636251193</v>
          </cell>
          <cell r="Z13">
            <v>2223462.0109418556</v>
          </cell>
          <cell r="AA13">
            <v>2678392.1496089883</v>
          </cell>
          <cell r="AB13">
            <v>3134646.2129138047</v>
          </cell>
          <cell r="AC13">
            <v>3552674.4534109845</v>
          </cell>
          <cell r="AD13">
            <v>4041318.3547309088</v>
          </cell>
          <cell r="AE13">
            <v>4538260.12223766</v>
          </cell>
          <cell r="AF13">
            <v>5039239.9657226782</v>
          </cell>
        </row>
        <row r="14">
          <cell r="G14">
            <v>630844.89446008182</v>
          </cell>
          <cell r="H14">
            <v>473470.46531365416</v>
          </cell>
          <cell r="I14">
            <v>450029.32907721691</v>
          </cell>
          <cell r="J14">
            <v>456272.91116054065</v>
          </cell>
          <cell r="K14">
            <v>687944.79361510708</v>
          </cell>
          <cell r="L14">
            <v>749628.66950163071</v>
          </cell>
          <cell r="M14">
            <v>691754.88713282277</v>
          </cell>
          <cell r="N14">
            <v>692185.28117454005</v>
          </cell>
          <cell r="O14">
            <v>651470.28524767293</v>
          </cell>
          <cell r="P14">
            <v>723637.56252750487</v>
          </cell>
          <cell r="Q14">
            <v>729860.44520038762</v>
          </cell>
          <cell r="R14">
            <v>700714.02968693664</v>
          </cell>
          <cell r="S14">
            <v>7637813.5540980957</v>
          </cell>
          <cell r="V14">
            <v>1104315.359773736</v>
          </cell>
          <cell r="W14">
            <v>1554344.688850953</v>
          </cell>
          <cell r="X14">
            <v>2010617.6000114935</v>
          </cell>
          <cell r="Y14">
            <v>2698562.3936266005</v>
          </cell>
          <cell r="Z14">
            <v>3448191.0631282311</v>
          </cell>
          <cell r="AA14">
            <v>4139945.9502610541</v>
          </cell>
          <cell r="AB14">
            <v>4832131.2314355941</v>
          </cell>
          <cell r="AC14">
            <v>5483601.5166832665</v>
          </cell>
          <cell r="AD14">
            <v>6207239.0792107712</v>
          </cell>
          <cell r="AE14">
            <v>6937099.5244111586</v>
          </cell>
          <cell r="AF14">
            <v>7637813.5540980957</v>
          </cell>
        </row>
        <row r="15">
          <cell r="G15">
            <v>22737.637792516151</v>
          </cell>
          <cell r="H15">
            <v>31906.586604709068</v>
          </cell>
          <cell r="I15">
            <v>28496.276681883726</v>
          </cell>
          <cell r="J15">
            <v>31227.981816862739</v>
          </cell>
          <cell r="K15">
            <v>37500.887102547131</v>
          </cell>
          <cell r="L15">
            <v>12401.577815105586</v>
          </cell>
          <cell r="M15">
            <v>33925.25153430982</v>
          </cell>
          <cell r="N15">
            <v>34818.782130276464</v>
          </cell>
          <cell r="O15">
            <v>37307.955249507009</v>
          </cell>
          <cell r="P15">
            <v>35756.338792419352</v>
          </cell>
          <cell r="Q15">
            <v>37831.32230636364</v>
          </cell>
          <cell r="R15">
            <v>32056.313798081363</v>
          </cell>
          <cell r="S15">
            <v>375966.91162458202</v>
          </cell>
          <cell r="V15">
            <v>54644.224397225189</v>
          </cell>
          <cell r="W15">
            <v>83140.501079108915</v>
          </cell>
          <cell r="X15">
            <v>114368.48289597163</v>
          </cell>
          <cell r="Y15">
            <v>151869.36999851873</v>
          </cell>
          <cell r="Z15">
            <v>164270.94781362428</v>
          </cell>
          <cell r="AA15">
            <v>198196.19934793422</v>
          </cell>
          <cell r="AB15">
            <v>233014.98147821077</v>
          </cell>
          <cell r="AC15">
            <v>270322.93672771775</v>
          </cell>
          <cell r="AD15">
            <v>306079.27552013705</v>
          </cell>
          <cell r="AE15">
            <v>343910.59782650089</v>
          </cell>
          <cell r="AF15">
            <v>375966.91162458248</v>
          </cell>
        </row>
        <row r="16">
          <cell r="G16">
            <v>44260.610991213412</v>
          </cell>
          <cell r="H16">
            <v>52055.59056582558</v>
          </cell>
          <cell r="I16">
            <v>43835.921349169221</v>
          </cell>
          <cell r="J16">
            <v>51588.218408826273</v>
          </cell>
          <cell r="K16">
            <v>70236.59261629486</v>
          </cell>
          <cell r="L16">
            <v>21233.505787857866</v>
          </cell>
          <cell r="M16">
            <v>63825.400742758124</v>
          </cell>
          <cell r="N16">
            <v>65931.111543936247</v>
          </cell>
          <cell r="O16">
            <v>65424.754570204124</v>
          </cell>
          <cell r="P16">
            <v>72769.904994735785</v>
          </cell>
          <cell r="Q16">
            <v>78670.00266255805</v>
          </cell>
          <cell r="R16">
            <v>78294.334261572396</v>
          </cell>
          <cell r="S16">
            <v>708125.94849495194</v>
          </cell>
          <cell r="V16">
            <v>96316.20155703905</v>
          </cell>
          <cell r="W16">
            <v>140152.12290620839</v>
          </cell>
          <cell r="X16">
            <v>191740.34131503478</v>
          </cell>
          <cell r="Y16">
            <v>261976.93393132975</v>
          </cell>
          <cell r="Z16">
            <v>283210.43971918756</v>
          </cell>
          <cell r="AA16">
            <v>347035.84046194563</v>
          </cell>
          <cell r="AB16">
            <v>412966.95200588182</v>
          </cell>
          <cell r="AC16">
            <v>478391.70657608612</v>
          </cell>
          <cell r="AD16">
            <v>551161.61157082208</v>
          </cell>
          <cell r="AE16">
            <v>629831.61423338018</v>
          </cell>
          <cell r="AF16">
            <v>708125.94849495217</v>
          </cell>
        </row>
        <row r="17">
          <cell r="G17">
            <v>66998.248783729563</v>
          </cell>
          <cell r="H17">
            <v>83962.177170534647</v>
          </cell>
          <cell r="I17">
            <v>72332.198031052947</v>
          </cell>
          <cell r="J17">
            <v>82816.200225689012</v>
          </cell>
          <cell r="K17">
            <v>107737.47971884199</v>
          </cell>
          <cell r="L17">
            <v>33635.083602963452</v>
          </cell>
          <cell r="M17">
            <v>97750.652277067944</v>
          </cell>
          <cell r="N17">
            <v>100749.89367421271</v>
          </cell>
          <cell r="O17">
            <v>102732.70981971113</v>
          </cell>
          <cell r="P17">
            <v>108526.24378715514</v>
          </cell>
          <cell r="Q17">
            <v>116501.32496892169</v>
          </cell>
          <cell r="R17">
            <v>110350.64805965376</v>
          </cell>
          <cell r="S17">
            <v>1084092.8601195342</v>
          </cell>
          <cell r="V17">
            <v>150960.42595426424</v>
          </cell>
          <cell r="W17">
            <v>223292.6239853173</v>
          </cell>
          <cell r="X17">
            <v>306108.8242110064</v>
          </cell>
          <cell r="Y17">
            <v>413846.30392984848</v>
          </cell>
          <cell r="Z17">
            <v>447481.38753281184</v>
          </cell>
          <cell r="AA17">
            <v>545232.03980987985</v>
          </cell>
          <cell r="AB17">
            <v>645981.93348409259</v>
          </cell>
          <cell r="AC17">
            <v>748714.64330380387</v>
          </cell>
          <cell r="AD17">
            <v>857240.88709095912</v>
          </cell>
          <cell r="AE17">
            <v>973742.21205988107</v>
          </cell>
          <cell r="AF17">
            <v>1084092.8601195347</v>
          </cell>
        </row>
        <row r="18"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</row>
        <row r="19"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</row>
        <row r="20">
          <cell r="G20">
            <v>370.4</v>
          </cell>
          <cell r="H20">
            <v>370.4</v>
          </cell>
          <cell r="I20">
            <v>370.4</v>
          </cell>
          <cell r="J20">
            <v>370.4</v>
          </cell>
          <cell r="K20">
            <v>370.4</v>
          </cell>
          <cell r="L20">
            <v>370.4</v>
          </cell>
          <cell r="M20">
            <v>370.4</v>
          </cell>
          <cell r="N20">
            <v>370.4</v>
          </cell>
          <cell r="O20">
            <v>370.4</v>
          </cell>
          <cell r="P20">
            <v>370.4</v>
          </cell>
          <cell r="Q20">
            <v>370.4</v>
          </cell>
          <cell r="R20">
            <v>370.4</v>
          </cell>
          <cell r="S20">
            <v>4444.8</v>
          </cell>
          <cell r="V20">
            <v>740.8</v>
          </cell>
          <cell r="W20">
            <v>1111.1999999999998</v>
          </cell>
          <cell r="X20">
            <v>1481.6</v>
          </cell>
          <cell r="Y20">
            <v>1852</v>
          </cell>
          <cell r="Z20">
            <v>2222.4</v>
          </cell>
          <cell r="AA20">
            <v>2592.8000000000002</v>
          </cell>
          <cell r="AB20">
            <v>2963.2000000000003</v>
          </cell>
          <cell r="AC20">
            <v>3333.6000000000004</v>
          </cell>
          <cell r="AD20">
            <v>3704.0000000000005</v>
          </cell>
          <cell r="AE20">
            <v>4074.4000000000005</v>
          </cell>
          <cell r="AF20">
            <v>4444.8</v>
          </cell>
        </row>
        <row r="21">
          <cell r="G21">
            <v>370.4</v>
          </cell>
          <cell r="H21">
            <v>370.4</v>
          </cell>
          <cell r="I21">
            <v>370.4</v>
          </cell>
          <cell r="J21">
            <v>370.4</v>
          </cell>
          <cell r="K21">
            <v>370.4</v>
          </cell>
          <cell r="L21">
            <v>370.4</v>
          </cell>
          <cell r="M21">
            <v>370.4</v>
          </cell>
          <cell r="N21">
            <v>370.4</v>
          </cell>
          <cell r="O21">
            <v>370.4</v>
          </cell>
          <cell r="P21">
            <v>370.4</v>
          </cell>
          <cell r="Q21">
            <v>370.4</v>
          </cell>
          <cell r="R21">
            <v>370.4</v>
          </cell>
          <cell r="S21">
            <v>4444.8</v>
          </cell>
          <cell r="V21">
            <v>740.8</v>
          </cell>
          <cell r="W21">
            <v>1111.1999999999998</v>
          </cell>
          <cell r="X21">
            <v>1481.6</v>
          </cell>
          <cell r="Y21">
            <v>1852</v>
          </cell>
          <cell r="Z21">
            <v>2222.4</v>
          </cell>
          <cell r="AA21">
            <v>2592.8000000000002</v>
          </cell>
          <cell r="AB21">
            <v>2963.2000000000003</v>
          </cell>
          <cell r="AC21">
            <v>3333.6000000000004</v>
          </cell>
          <cell r="AD21">
            <v>3704.0000000000005</v>
          </cell>
          <cell r="AE21">
            <v>4074.4000000000005</v>
          </cell>
          <cell r="AF21">
            <v>4444.8</v>
          </cell>
        </row>
        <row r="22">
          <cell r="G22">
            <v>11189.509211935736</v>
          </cell>
          <cell r="H22">
            <v>12371.718778372971</v>
          </cell>
          <cell r="I22">
            <v>13571.285580370557</v>
          </cell>
          <cell r="J22">
            <v>13130.021666103545</v>
          </cell>
          <cell r="K22">
            <v>11777.516203125402</v>
          </cell>
          <cell r="L22">
            <v>11596.739324401755</v>
          </cell>
          <cell r="M22">
            <v>11892.198416484352</v>
          </cell>
          <cell r="N22">
            <v>11839.963059088555</v>
          </cell>
          <cell r="O22">
            <v>12057.596222165741</v>
          </cell>
          <cell r="P22">
            <v>11280.343989633808</v>
          </cell>
          <cell r="Q22">
            <v>11085.410658461449</v>
          </cell>
          <cell r="R22">
            <v>9591.5293637943923</v>
          </cell>
          <cell r="S22">
            <v>141383.83247393827</v>
          </cell>
          <cell r="V22">
            <v>23561.227990308707</v>
          </cell>
          <cell r="W22">
            <v>37132.513570679264</v>
          </cell>
          <cell r="X22">
            <v>50262.535236782809</v>
          </cell>
          <cell r="Y22">
            <v>62040.051439908209</v>
          </cell>
          <cell r="Z22">
            <v>73636.790764309961</v>
          </cell>
          <cell r="AA22">
            <v>85528.989180794306</v>
          </cell>
          <cell r="AB22">
            <v>97368.952239882856</v>
          </cell>
          <cell r="AC22">
            <v>109426.54846204859</v>
          </cell>
          <cell r="AD22">
            <v>120706.8924516824</v>
          </cell>
          <cell r="AE22">
            <v>131792.30311014387</v>
          </cell>
          <cell r="AF22">
            <v>141383.83247393827</v>
          </cell>
        </row>
        <row r="23">
          <cell r="G23">
            <v>23199.867788064257</v>
          </cell>
          <cell r="H23">
            <v>22017.658221627025</v>
          </cell>
          <cell r="I23">
            <v>20078.032641851667</v>
          </cell>
          <cell r="J23">
            <v>21606.577556118667</v>
          </cell>
          <cell r="K23">
            <v>22959.083019096815</v>
          </cell>
          <cell r="L23">
            <v>22052.578897820465</v>
          </cell>
          <cell r="M23">
            <v>22844.400805737867</v>
          </cell>
          <cell r="N23">
            <v>22896.636163133662</v>
          </cell>
          <cell r="O23">
            <v>21591.722000056481</v>
          </cell>
          <cell r="P23">
            <v>23456.255232588413</v>
          </cell>
          <cell r="Q23">
            <v>23651.18856376077</v>
          </cell>
          <cell r="R23">
            <v>24057.788858427833</v>
          </cell>
          <cell r="S23">
            <v>270411.78974828392</v>
          </cell>
          <cell r="V23">
            <v>45217.526009691283</v>
          </cell>
          <cell r="W23">
            <v>65295.558651542946</v>
          </cell>
          <cell r="X23">
            <v>86902.136207661621</v>
          </cell>
          <cell r="Y23">
            <v>109861.21922675843</v>
          </cell>
          <cell r="Z23">
            <v>131913.7981245789</v>
          </cell>
          <cell r="AA23">
            <v>154758.19893031678</v>
          </cell>
          <cell r="AB23">
            <v>177654.83509345044</v>
          </cell>
          <cell r="AC23">
            <v>199246.55709350691</v>
          </cell>
          <cell r="AD23">
            <v>222702.81232609533</v>
          </cell>
          <cell r="AE23">
            <v>246354.00088985611</v>
          </cell>
          <cell r="AF23">
            <v>270411.78974828392</v>
          </cell>
        </row>
        <row r="24">
          <cell r="G24">
            <v>34389.376999999993</v>
          </cell>
          <cell r="H24">
            <v>34389.376999999993</v>
          </cell>
          <cell r="I24">
            <v>33649.318222222224</v>
          </cell>
          <cell r="J24">
            <v>34736.599222222212</v>
          </cell>
          <cell r="K24">
            <v>34736.599222222219</v>
          </cell>
          <cell r="L24">
            <v>33649.318222222224</v>
          </cell>
          <cell r="M24">
            <v>34736.599222222219</v>
          </cell>
          <cell r="N24">
            <v>34736.599222222219</v>
          </cell>
          <cell r="O24">
            <v>33649.318222222224</v>
          </cell>
          <cell r="P24">
            <v>34736.599222222219</v>
          </cell>
          <cell r="Q24">
            <v>34736.599222222219</v>
          </cell>
          <cell r="R24">
            <v>33649.318222222224</v>
          </cell>
          <cell r="S24">
            <v>411795.62222222221</v>
          </cell>
          <cell r="V24">
            <v>68778.753999999986</v>
          </cell>
          <cell r="W24">
            <v>102428.07222222221</v>
          </cell>
          <cell r="X24">
            <v>137164.67144444442</v>
          </cell>
          <cell r="Y24">
            <v>171901.27066666665</v>
          </cell>
          <cell r="Z24">
            <v>205550.58888888886</v>
          </cell>
          <cell r="AA24">
            <v>240287.18811111109</v>
          </cell>
          <cell r="AB24">
            <v>275023.78733333328</v>
          </cell>
          <cell r="AC24">
            <v>308673.10555555549</v>
          </cell>
          <cell r="AD24">
            <v>343409.70477777772</v>
          </cell>
          <cell r="AE24">
            <v>378146.304</v>
          </cell>
          <cell r="AF24">
            <v>411795.62222222215</v>
          </cell>
        </row>
        <row r="25">
          <cell r="G25">
            <v>5037.0741885949456</v>
          </cell>
          <cell r="H25">
            <v>5536.7594477289567</v>
          </cell>
          <cell r="I25">
            <v>5748.4770227147965</v>
          </cell>
          <cell r="J25">
            <v>5569.8032338634766</v>
          </cell>
          <cell r="K25">
            <v>4393.4152583566647</v>
          </cell>
          <cell r="L25">
            <v>4382.8458837007811</v>
          </cell>
          <cell r="M25">
            <v>4300.5959314413903</v>
          </cell>
          <cell r="N25">
            <v>4296.7515776720438</v>
          </cell>
          <cell r="O25">
            <v>5008.7896984100726</v>
          </cell>
          <cell r="P25">
            <v>4192.4977669534819</v>
          </cell>
          <cell r="Q25">
            <v>4146.8064678910696</v>
          </cell>
          <cell r="R25">
            <v>3817.9200798205279</v>
          </cell>
          <cell r="S25">
            <v>56431.736557148215</v>
          </cell>
          <cell r="V25">
            <v>10573.833636323903</v>
          </cell>
          <cell r="W25">
            <v>16322.3106590387</v>
          </cell>
          <cell r="X25">
            <v>21892.113892902176</v>
          </cell>
          <cell r="Y25">
            <v>26285.529151258841</v>
          </cell>
          <cell r="Z25">
            <v>30668.375034959623</v>
          </cell>
          <cell r="AA25">
            <v>34968.970966401015</v>
          </cell>
          <cell r="AB25">
            <v>39265.722544073062</v>
          </cell>
          <cell r="AC25">
            <v>44274.512242483135</v>
          </cell>
          <cell r="AD25">
            <v>48467.010009436621</v>
          </cell>
          <cell r="AE25">
            <v>52613.816477327688</v>
          </cell>
          <cell r="AF25">
            <v>56431.736557148215</v>
          </cell>
        </row>
        <row r="26">
          <cell r="G26">
            <v>10379.977059305791</v>
          </cell>
          <cell r="H26">
            <v>9537.08890268301</v>
          </cell>
          <cell r="I26">
            <v>8550.4907683904494</v>
          </cell>
          <cell r="J26">
            <v>9095.0088586376696</v>
          </cell>
          <cell r="K26">
            <v>8517.9887692307402</v>
          </cell>
          <cell r="L26">
            <v>8296.4683033592191</v>
          </cell>
          <cell r="M26">
            <v>8239.9186046125924</v>
          </cell>
          <cell r="N26">
            <v>8286.9805129024207</v>
          </cell>
          <cell r="O26">
            <v>8943.7280936620828</v>
          </cell>
          <cell r="P26">
            <v>8693.3559716013533</v>
          </cell>
          <cell r="Q26">
            <v>8816.0687406549205</v>
          </cell>
          <cell r="R26">
            <v>9541.4717813725474</v>
          </cell>
          <cell r="S26">
            <v>106898.5463664128</v>
          </cell>
          <cell r="V26">
            <v>19917.065961988803</v>
          </cell>
          <cell r="W26">
            <v>28467.556730379252</v>
          </cell>
          <cell r="X26">
            <v>37562.565589016922</v>
          </cell>
          <cell r="Y26">
            <v>46080.55435824766</v>
          </cell>
          <cell r="Z26">
            <v>54377.022661606883</v>
          </cell>
          <cell r="AA26">
            <v>62616.941266219474</v>
          </cell>
          <cell r="AB26">
            <v>70903.921779121898</v>
          </cell>
          <cell r="AC26">
            <v>79847.649872783979</v>
          </cell>
          <cell r="AD26">
            <v>88541.005844385334</v>
          </cell>
          <cell r="AE26">
            <v>97357.07458504026</v>
          </cell>
          <cell r="AF26">
            <v>106898.5463664128</v>
          </cell>
        </row>
        <row r="27">
          <cell r="G27">
            <v>15417.051247900738</v>
          </cell>
          <cell r="H27">
            <v>15073.848350411967</v>
          </cell>
          <cell r="I27">
            <v>14298.967791105246</v>
          </cell>
          <cell r="J27">
            <v>14664.812092501146</v>
          </cell>
          <cell r="K27">
            <v>12911.404027587405</v>
          </cell>
          <cell r="L27">
            <v>12679.314187060001</v>
          </cell>
          <cell r="M27">
            <v>12540.514536053983</v>
          </cell>
          <cell r="N27">
            <v>12583.732090574464</v>
          </cell>
          <cell r="O27">
            <v>13952.517792072154</v>
          </cell>
          <cell r="P27">
            <v>12885.853738554835</v>
          </cell>
          <cell r="Q27">
            <v>12962.875208545989</v>
          </cell>
          <cell r="R27">
            <v>13359.391861193075</v>
          </cell>
          <cell r="S27">
            <v>163330.28292356103</v>
          </cell>
          <cell r="V27">
            <v>30490.899598312706</v>
          </cell>
          <cell r="W27">
            <v>44789.867389417952</v>
          </cell>
          <cell r="X27">
            <v>59454.679481919098</v>
          </cell>
          <cell r="Y27">
            <v>72366.083509506498</v>
          </cell>
          <cell r="Z27">
            <v>85045.397696566506</v>
          </cell>
          <cell r="AA27">
            <v>97585.912232620496</v>
          </cell>
          <cell r="AB27">
            <v>110169.64432319495</v>
          </cell>
          <cell r="AC27">
            <v>124122.16211526711</v>
          </cell>
          <cell r="AD27">
            <v>137008.01585382194</v>
          </cell>
          <cell r="AE27">
            <v>149970.89106236794</v>
          </cell>
          <cell r="AF27">
            <v>163330.28292356103</v>
          </cell>
        </row>
        <row r="28">
          <cell r="G28">
            <v>6140.6543919854676</v>
          </cell>
          <cell r="H28">
            <v>13627.708378607138</v>
          </cell>
          <cell r="I28">
            <v>8806.1140787983713</v>
          </cell>
          <cell r="J28">
            <v>12157.756916895716</v>
          </cell>
          <cell r="K28">
            <v>20959.555641065064</v>
          </cell>
          <cell r="L28">
            <v>-3948.40739299695</v>
          </cell>
          <cell r="M28">
            <v>17362.057186384074</v>
          </cell>
          <cell r="N28">
            <v>18311.667493515863</v>
          </cell>
          <cell r="O28">
            <v>19871.169328931195</v>
          </cell>
          <cell r="P28">
            <v>19913.097035832059</v>
          </cell>
          <cell r="Q28">
            <v>22228.705180011119</v>
          </cell>
          <cell r="R28">
            <v>18276.464354466443</v>
          </cell>
          <cell r="S28">
            <v>173706.54259349554</v>
          </cell>
          <cell r="V28">
            <v>19768.362770592576</v>
          </cell>
          <cell r="W28">
            <v>28574.476849390954</v>
          </cell>
          <cell r="X28">
            <v>40732.233766286634</v>
          </cell>
          <cell r="Y28">
            <v>61691.789407351665</v>
          </cell>
          <cell r="Z28">
            <v>57743.382014354705</v>
          </cell>
          <cell r="AA28">
            <v>75105.439200738911</v>
          </cell>
          <cell r="AB28">
            <v>93417.10669425485</v>
          </cell>
          <cell r="AC28">
            <v>113288.27602318606</v>
          </cell>
          <cell r="AD28">
            <v>133201.37305901799</v>
          </cell>
          <cell r="AE28">
            <v>155430.0782390293</v>
          </cell>
          <cell r="AF28">
            <v>173706.54259349601</v>
          </cell>
        </row>
        <row r="29">
          <cell r="G29">
            <v>10680.766143843364</v>
          </cell>
          <cell r="H29">
            <v>20500.843441515543</v>
          </cell>
          <cell r="I29">
            <v>15207.397938927104</v>
          </cell>
          <cell r="J29">
            <v>20886.631994069936</v>
          </cell>
          <cell r="K29">
            <v>38759.52082796731</v>
          </cell>
          <cell r="L29">
            <v>-9115.5414133218183</v>
          </cell>
          <cell r="M29">
            <v>32741.081332407666</v>
          </cell>
          <cell r="N29">
            <v>34747.494867900168</v>
          </cell>
          <cell r="O29">
            <v>34889.304476485559</v>
          </cell>
          <cell r="P29">
            <v>40620.293790546013</v>
          </cell>
          <cell r="Q29">
            <v>46202.745358142362</v>
          </cell>
          <cell r="R29">
            <v>44695.073621772011</v>
          </cell>
          <cell r="S29">
            <v>330815.61238025525</v>
          </cell>
          <cell r="T29">
            <v>223917.06601384244</v>
          </cell>
          <cell r="V29">
            <v>31181.609585358965</v>
          </cell>
          <cell r="W29">
            <v>46389.007524286193</v>
          </cell>
          <cell r="X29">
            <v>67275.639518356242</v>
          </cell>
          <cell r="Y29">
            <v>106035.16034632365</v>
          </cell>
          <cell r="Z29">
            <v>96919.618933001781</v>
          </cell>
          <cell r="AA29">
            <v>129660.70026540937</v>
          </cell>
          <cell r="AB29">
            <v>164408.19513330946</v>
          </cell>
          <cell r="AC29">
            <v>199297.49960979522</v>
          </cell>
          <cell r="AD29">
            <v>239917.79340034144</v>
          </cell>
          <cell r="AE29">
            <v>286120.53875848377</v>
          </cell>
          <cell r="AF29">
            <v>330815.61238025548</v>
          </cell>
        </row>
        <row r="30">
          <cell r="G30">
            <v>16821.420535828831</v>
          </cell>
          <cell r="H30">
            <v>34128.551820122681</v>
          </cell>
          <cell r="I30">
            <v>24013.512017725476</v>
          </cell>
          <cell r="J30">
            <v>33044.388910965652</v>
          </cell>
          <cell r="K30">
            <v>59719.07646903237</v>
          </cell>
          <cell r="L30">
            <v>-13063.948806318767</v>
          </cell>
          <cell r="M30">
            <v>50103.13851879174</v>
          </cell>
          <cell r="N30">
            <v>53059.162361416034</v>
          </cell>
          <cell r="O30">
            <v>54760.473805416754</v>
          </cell>
          <cell r="P30">
            <v>60533.390826378076</v>
          </cell>
          <cell r="Q30">
            <v>68431.450538153484</v>
          </cell>
          <cell r="R30">
            <v>62971.537976238455</v>
          </cell>
          <cell r="S30">
            <v>504522.15497375076</v>
          </cell>
          <cell r="V30">
            <v>50949.972355951541</v>
          </cell>
          <cell r="W30">
            <v>74963.484373677144</v>
          </cell>
          <cell r="X30">
            <v>108007.87328464288</v>
          </cell>
          <cell r="Y30">
            <v>167726.94975367532</v>
          </cell>
          <cell r="Z30">
            <v>154663.00094735649</v>
          </cell>
          <cell r="AA30">
            <v>204766.13946614828</v>
          </cell>
          <cell r="AB30">
            <v>257825.30182756431</v>
          </cell>
          <cell r="AC30">
            <v>312585.77563298127</v>
          </cell>
          <cell r="AD30">
            <v>373119.16645935946</v>
          </cell>
          <cell r="AE30">
            <v>441550.61699751311</v>
          </cell>
          <cell r="AF30">
            <v>504522.15497375152</v>
          </cell>
        </row>
        <row r="33">
          <cell r="G33">
            <v>24586.870682990953</v>
          </cell>
          <cell r="H33">
            <v>18067.897800162973</v>
          </cell>
          <cell r="I33">
            <v>14876.697431329176</v>
          </cell>
          <cell r="J33">
            <v>17196.307872616711</v>
          </cell>
          <cell r="K33">
            <v>28019.294299382029</v>
          </cell>
          <cell r="L33">
            <v>27565.379730358123</v>
          </cell>
          <cell r="M33">
            <v>27749.090710905504</v>
          </cell>
          <cell r="N33">
            <v>27871.513700188385</v>
          </cell>
          <cell r="O33">
            <v>26511.795321480207</v>
          </cell>
          <cell r="P33">
            <v>29254.222470020948</v>
          </cell>
          <cell r="Q33">
            <v>29768.648431551352</v>
          </cell>
          <cell r="R33">
            <v>28532.457621864596</v>
          </cell>
          <cell r="S33">
            <v>300000.17607285094</v>
          </cell>
          <cell r="T33">
            <v>114067.12384491711</v>
          </cell>
        </row>
        <row r="34">
          <cell r="G34">
            <v>697843.14324381144</v>
          </cell>
          <cell r="H34">
            <v>557432.64248418878</v>
          </cell>
          <cell r="I34">
            <v>522361.52710826986</v>
          </cell>
          <cell r="J34">
            <v>539089.11138622963</v>
          </cell>
          <cell r="K34">
            <v>795682.27333394904</v>
          </cell>
          <cell r="L34">
            <v>783263.75310459407</v>
          </cell>
          <cell r="M34">
            <v>789505.53940989065</v>
          </cell>
          <cell r="N34">
            <v>792935.17484875279</v>
          </cell>
          <cell r="O34">
            <v>754202.99506738409</v>
          </cell>
          <cell r="P34">
            <v>832163.80631466</v>
          </cell>
          <cell r="Q34">
            <v>846361.77016930934</v>
          </cell>
          <cell r="R34">
            <v>811064.67774659046</v>
          </cell>
          <cell r="S34">
            <v>8721906.4142176304</v>
          </cell>
          <cell r="T34">
            <v>3243793.2492979439</v>
          </cell>
        </row>
        <row r="35">
          <cell r="G35">
            <v>592543.58346008195</v>
          </cell>
          <cell r="H35">
            <v>460980.22931365413</v>
          </cell>
          <cell r="I35">
            <v>416547.52807721694</v>
          </cell>
          <cell r="J35">
            <v>442589.89316054073</v>
          </cell>
          <cell r="K35">
            <v>675264.99261510698</v>
          </cell>
          <cell r="L35">
            <v>664325.65150163078</v>
          </cell>
          <cell r="M35">
            <v>668753.08613282267</v>
          </cell>
          <cell r="N35">
            <v>671703.48017454008</v>
          </cell>
          <cell r="O35">
            <v>638934.26724767301</v>
          </cell>
          <cell r="P35">
            <v>705026.76152750477</v>
          </cell>
          <cell r="Q35">
            <v>717424.42720038758</v>
          </cell>
          <cell r="R35">
            <v>687632.22868693678</v>
          </cell>
          <cell r="S35">
            <v>7341726.1290980969</v>
          </cell>
          <cell r="T35">
            <v>2749017.6846625023</v>
          </cell>
        </row>
        <row r="36">
          <cell r="S36">
            <v>0</v>
          </cell>
          <cell r="T36">
            <v>0</v>
          </cell>
        </row>
        <row r="37">
          <cell r="G37">
            <v>5518.3099999999995</v>
          </cell>
          <cell r="H37">
            <v>5518.3099999999995</v>
          </cell>
          <cell r="I37">
            <v>5518.3099999999995</v>
          </cell>
          <cell r="J37">
            <v>5518.3099999999995</v>
          </cell>
          <cell r="K37">
            <v>5518.3099999999995</v>
          </cell>
          <cell r="L37">
            <v>5518.3099999999995</v>
          </cell>
          <cell r="M37">
            <v>5518.3099999999995</v>
          </cell>
          <cell r="N37">
            <v>5518.3099999999995</v>
          </cell>
          <cell r="O37">
            <v>5518.3099999999995</v>
          </cell>
          <cell r="P37">
            <v>5518.3099999999995</v>
          </cell>
          <cell r="Q37">
            <v>5518.3099999999995</v>
          </cell>
          <cell r="R37">
            <v>5518.3099999999995</v>
          </cell>
          <cell r="S37">
            <v>66219.719999999987</v>
          </cell>
          <cell r="T37">
            <v>22073.239999999998</v>
          </cell>
        </row>
        <row r="38">
          <cell r="G38">
            <v>67542.777999999991</v>
          </cell>
          <cell r="H38">
            <v>41731.702999999994</v>
          </cell>
          <cell r="I38">
            <v>61983.209222222227</v>
          </cell>
          <cell r="J38">
            <v>43271.70722222222</v>
          </cell>
          <cell r="K38">
            <v>42268.490222222215</v>
          </cell>
          <cell r="L38">
            <v>113804.42622222223</v>
          </cell>
          <cell r="M38">
            <v>52590.490222222223</v>
          </cell>
          <cell r="N38">
            <v>50070.490222222215</v>
          </cell>
          <cell r="O38">
            <v>41037.426222222224</v>
          </cell>
          <cell r="P38">
            <v>48199.490222222215</v>
          </cell>
          <cell r="Q38">
            <v>42024.70722222222</v>
          </cell>
          <cell r="R38">
            <v>41583.209222222227</v>
          </cell>
          <cell r="S38">
            <v>646108.12722222216</v>
          </cell>
          <cell r="T38">
            <v>172844.83288888889</v>
          </cell>
        </row>
        <row r="39">
          <cell r="S39">
            <v>0</v>
          </cell>
          <cell r="T39">
            <v>0</v>
          </cell>
        </row>
        <row r="40">
          <cell r="S40">
            <v>0</v>
          </cell>
          <cell r="T40">
            <v>0</v>
          </cell>
        </row>
        <row r="41">
          <cell r="G41">
            <v>665604.67146008206</v>
          </cell>
          <cell r="H41">
            <v>508230.2423136541</v>
          </cell>
          <cell r="I41">
            <v>484049.04729943915</v>
          </cell>
          <cell r="J41">
            <v>491379.91038276296</v>
          </cell>
          <cell r="K41">
            <v>723051.79283732921</v>
          </cell>
          <cell r="L41">
            <v>783648.38772385311</v>
          </cell>
          <cell r="M41">
            <v>726861.8863550449</v>
          </cell>
          <cell r="N41">
            <v>727292.2803967623</v>
          </cell>
          <cell r="O41">
            <v>685490.00346989534</v>
          </cell>
          <cell r="P41">
            <v>758744.561749727</v>
          </cell>
          <cell r="Q41">
            <v>764967.44442260987</v>
          </cell>
          <cell r="R41">
            <v>734733.74790915905</v>
          </cell>
          <cell r="S41">
            <v>8054053.9763203198</v>
          </cell>
          <cell r="T41">
            <v>2943935.7575513911</v>
          </cell>
        </row>
        <row r="42">
          <cell r="G42">
            <v>32238.471783729387</v>
          </cell>
          <cell r="H42">
            <v>49202.400170534675</v>
          </cell>
          <cell r="I42">
            <v>38312.479808830714</v>
          </cell>
          <cell r="J42">
            <v>47709.201003466675</v>
          </cell>
          <cell r="K42">
            <v>72630.480496619828</v>
          </cell>
          <cell r="L42">
            <v>-384.63461925904267</v>
          </cell>
          <cell r="M42">
            <v>62643.653054845752</v>
          </cell>
          <cell r="N42">
            <v>65642.894451990491</v>
          </cell>
          <cell r="O42">
            <v>68712.991597488755</v>
          </cell>
          <cell r="P42">
            <v>73419.244564933004</v>
          </cell>
          <cell r="Q42">
            <v>81394.325746699469</v>
          </cell>
          <cell r="R42">
            <v>76330.929837431409</v>
          </cell>
          <cell r="S42">
            <v>667852.43789731117</v>
          </cell>
          <cell r="T42">
            <v>299857.49174655264</v>
          </cell>
        </row>
      </sheetData>
      <sheetData sheetId="2">
        <row r="6">
          <cell r="E6" t="str">
            <v>구분</v>
          </cell>
        </row>
      </sheetData>
      <sheetData sheetId="3">
        <row r="6">
          <cell r="E6" t="str">
            <v>구분</v>
          </cell>
        </row>
        <row r="70">
          <cell r="G70" t="str">
            <v>1월</v>
          </cell>
          <cell r="H70" t="str">
            <v>2월</v>
          </cell>
          <cell r="I70" t="str">
            <v>3월</v>
          </cell>
          <cell r="J70" t="str">
            <v>4월</v>
          </cell>
          <cell r="K70" t="str">
            <v>5월</v>
          </cell>
          <cell r="L70" t="str">
            <v>6월</v>
          </cell>
          <cell r="M70" t="str">
            <v>7월</v>
          </cell>
          <cell r="N70" t="str">
            <v>8월</v>
          </cell>
          <cell r="O70" t="str">
            <v>9월</v>
          </cell>
          <cell r="P70" t="str">
            <v>10월</v>
          </cell>
          <cell r="Q70" t="str">
            <v>11월</v>
          </cell>
          <cell r="R70" t="str">
            <v>12월</v>
          </cell>
          <cell r="S70" t="str">
            <v>계</v>
          </cell>
        </row>
        <row r="71"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73"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</row>
        <row r="74"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</row>
        <row r="75"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</row>
        <row r="76"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</row>
        <row r="77"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</row>
        <row r="78"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</row>
        <row r="79"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</row>
        <row r="80"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</row>
        <row r="81"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</row>
        <row r="82"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</row>
        <row r="83"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</row>
        <row r="84"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</row>
        <row r="85">
          <cell r="G85">
            <v>0</v>
          </cell>
          <cell r="H85">
            <v>42507.53758908392</v>
          </cell>
          <cell r="I85">
            <v>146771.17745792025</v>
          </cell>
          <cell r="J85">
            <v>54179.251246369502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243457.96629337367</v>
          </cell>
        </row>
        <row r="86"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</row>
        <row r="87"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</row>
        <row r="88">
          <cell r="G88">
            <v>0</v>
          </cell>
          <cell r="H88">
            <v>63923.916083916083</v>
          </cell>
          <cell r="I88">
            <v>143828.81118881117</v>
          </cell>
          <cell r="J88">
            <v>71914.405594405587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279667.13286713284</v>
          </cell>
        </row>
        <row r="89">
          <cell r="G89">
            <v>0</v>
          </cell>
          <cell r="H89">
            <v>17804.895104895102</v>
          </cell>
          <cell r="I89">
            <v>21761.538461538461</v>
          </cell>
          <cell r="J89">
            <v>21761.538461538461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61327.972027972028</v>
          </cell>
        </row>
        <row r="90"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</row>
        <row r="91">
          <cell r="G91">
            <v>0</v>
          </cell>
          <cell r="H91">
            <v>124236.34877789511</v>
          </cell>
          <cell r="I91">
            <v>312361.52710826986</v>
          </cell>
          <cell r="J91">
            <v>147855.19530231354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584453.0711884785</v>
          </cell>
        </row>
        <row r="92">
          <cell r="G92">
            <v>116650.23764940587</v>
          </cell>
          <cell r="H92">
            <v>68251.748251748242</v>
          </cell>
          <cell r="I92">
            <v>0</v>
          </cell>
          <cell r="J92">
            <v>85314.68531468531</v>
          </cell>
          <cell r="K92">
            <v>131782.62648080222</v>
          </cell>
          <cell r="L92">
            <v>133223.21114655214</v>
          </cell>
          <cell r="M92">
            <v>144190.1303189816</v>
          </cell>
          <cell r="N92">
            <v>144823.26925434711</v>
          </cell>
          <cell r="O92">
            <v>138731.43213032113</v>
          </cell>
          <cell r="P92">
            <v>157486.81680417043</v>
          </cell>
          <cell r="Q92">
            <v>158007.85758189677</v>
          </cell>
          <cell r="R92">
            <v>158004.81061372336</v>
          </cell>
          <cell r="S92">
            <v>1436466.8255466339</v>
          </cell>
        </row>
        <row r="93">
          <cell r="G93">
            <v>124902.71328671329</v>
          </cell>
          <cell r="H93">
            <v>69048.391608391612</v>
          </cell>
          <cell r="I93">
            <v>0</v>
          </cell>
          <cell r="J93">
            <v>0</v>
          </cell>
          <cell r="K93">
            <v>150609.45454545456</v>
          </cell>
          <cell r="L93">
            <v>146265.73426573427</v>
          </cell>
          <cell r="M93">
            <v>152482.90909090906</v>
          </cell>
          <cell r="N93">
            <v>152523.63636363638</v>
          </cell>
          <cell r="O93">
            <v>111042.90909090909</v>
          </cell>
          <cell r="P93">
            <v>150202.18181818185</v>
          </cell>
          <cell r="Q93">
            <v>150202.18181818185</v>
          </cell>
          <cell r="R93">
            <v>153867.63636363635</v>
          </cell>
          <cell r="S93">
            <v>1361147.7482517483</v>
          </cell>
        </row>
        <row r="94">
          <cell r="G94">
            <v>73076.923076923078</v>
          </cell>
          <cell r="H94">
            <v>40192.307692307688</v>
          </cell>
          <cell r="I94">
            <v>0</v>
          </cell>
          <cell r="J94">
            <v>43846.153846153851</v>
          </cell>
          <cell r="K94">
            <v>87692.307692307702</v>
          </cell>
          <cell r="L94">
            <v>87692.307692307702</v>
          </cell>
          <cell r="M94">
            <v>80384.615384615376</v>
          </cell>
          <cell r="N94">
            <v>87692.307692307702</v>
          </cell>
          <cell r="O94">
            <v>87692.307692307702</v>
          </cell>
          <cell r="P94">
            <v>95000</v>
          </cell>
          <cell r="Q94">
            <v>102307.6923076923</v>
          </cell>
          <cell r="R94">
            <v>102307.6923076923</v>
          </cell>
          <cell r="S94">
            <v>887884.61538461526</v>
          </cell>
        </row>
        <row r="95">
          <cell r="G95">
            <v>114646.15384615384</v>
          </cell>
          <cell r="H95">
            <v>50953.846153846149</v>
          </cell>
          <cell r="I95">
            <v>0</v>
          </cell>
          <cell r="J95">
            <v>57323.076923076922</v>
          </cell>
          <cell r="K95">
            <v>114646.15384615384</v>
          </cell>
          <cell r="L95">
            <v>108276.92307692308</v>
          </cell>
          <cell r="M95">
            <v>108276.92307692308</v>
          </cell>
          <cell r="N95">
            <v>101907.6923076923</v>
          </cell>
          <cell r="O95">
            <v>101907.6923076923</v>
          </cell>
          <cell r="P95">
            <v>114646.15384615384</v>
          </cell>
          <cell r="Q95">
            <v>121015.38461538461</v>
          </cell>
          <cell r="R95">
            <v>121015.38461538461</v>
          </cell>
          <cell r="S95">
            <v>1114615.3846153845</v>
          </cell>
        </row>
        <row r="96">
          <cell r="G96">
            <v>40567.115384615383</v>
          </cell>
          <cell r="H96">
            <v>0</v>
          </cell>
          <cell r="I96">
            <v>0</v>
          </cell>
          <cell r="J96">
            <v>0</v>
          </cell>
          <cell r="K96">
            <v>40201.730769230766</v>
          </cell>
          <cell r="L96">
            <v>37055.576923076922</v>
          </cell>
          <cell r="M96">
            <v>33420.961538461539</v>
          </cell>
          <cell r="N96">
            <v>35238.269230769234</v>
          </cell>
          <cell r="O96">
            <v>44078.653846153851</v>
          </cell>
          <cell r="P96">
            <v>44078.653846153851</v>
          </cell>
          <cell r="Q96">
            <v>44078.653846153851</v>
          </cell>
          <cell r="R96">
            <v>44078.653846153851</v>
          </cell>
          <cell r="S96">
            <v>362798.26923076931</v>
          </cell>
        </row>
        <row r="97"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</row>
        <row r="98">
          <cell r="G98">
            <v>469843.14324381144</v>
          </cell>
          <cell r="H98">
            <v>228446.29370629371</v>
          </cell>
          <cell r="I98">
            <v>0</v>
          </cell>
          <cell r="J98">
            <v>186483.91608391609</v>
          </cell>
          <cell r="K98">
            <v>524932.27333394904</v>
          </cell>
          <cell r="L98">
            <v>512513.75310459413</v>
          </cell>
          <cell r="M98">
            <v>518755.53940989065</v>
          </cell>
          <cell r="N98">
            <v>522185.17484875274</v>
          </cell>
          <cell r="O98">
            <v>483452.99506738409</v>
          </cell>
          <cell r="P98">
            <v>561413.80631466</v>
          </cell>
          <cell r="Q98">
            <v>575611.77016930934</v>
          </cell>
          <cell r="R98">
            <v>579274.17774659046</v>
          </cell>
          <cell r="S98">
            <v>5162912.8430291517</v>
          </cell>
        </row>
        <row r="99">
          <cell r="G99">
            <v>469843.14324381144</v>
          </cell>
          <cell r="H99">
            <v>352682.64248418884</v>
          </cell>
          <cell r="I99">
            <v>312361.52710826986</v>
          </cell>
          <cell r="J99">
            <v>334339.11138622963</v>
          </cell>
          <cell r="K99">
            <v>524932.27333394904</v>
          </cell>
          <cell r="L99">
            <v>512513.75310459413</v>
          </cell>
          <cell r="M99">
            <v>518755.53940989065</v>
          </cell>
          <cell r="N99">
            <v>522185.17484875274</v>
          </cell>
          <cell r="O99">
            <v>483452.99506738409</v>
          </cell>
          <cell r="P99">
            <v>561413.80631466</v>
          </cell>
          <cell r="Q99">
            <v>575611.77016930934</v>
          </cell>
          <cell r="R99">
            <v>579274.17774659046</v>
          </cell>
          <cell r="S99">
            <v>5747365.9142176304</v>
          </cell>
        </row>
        <row r="193">
          <cell r="G193" t="str">
            <v>1월</v>
          </cell>
          <cell r="H193" t="str">
            <v>2월</v>
          </cell>
          <cell r="I193" t="str">
            <v>3월</v>
          </cell>
          <cell r="J193" t="str">
            <v>4월</v>
          </cell>
          <cell r="K193" t="str">
            <v>5월</v>
          </cell>
          <cell r="L193" t="str">
            <v>6월</v>
          </cell>
          <cell r="M193" t="str">
            <v>7월</v>
          </cell>
          <cell r="N193" t="str">
            <v>8월</v>
          </cell>
          <cell r="O193" t="str">
            <v>9월</v>
          </cell>
          <cell r="P193" t="str">
            <v>10월</v>
          </cell>
          <cell r="Q193" t="str">
            <v>11월</v>
          </cell>
          <cell r="R193" t="str">
            <v>12월</v>
          </cell>
          <cell r="S193" t="str">
            <v>계</v>
          </cell>
        </row>
        <row r="194">
          <cell r="G194">
            <v>3824.597955718225</v>
          </cell>
          <cell r="H194">
            <v>2237.7622377622379</v>
          </cell>
          <cell r="I194">
            <v>0</v>
          </cell>
          <cell r="J194">
            <v>2797.2027972027972</v>
          </cell>
          <cell r="K194">
            <v>4320.7418518295817</v>
          </cell>
          <cell r="L194">
            <v>4367.9741359525287</v>
          </cell>
          <cell r="M194">
            <v>4727.545256360052</v>
          </cell>
          <cell r="N194">
            <v>4748.3039099785938</v>
          </cell>
          <cell r="O194">
            <v>4548.5715452564309</v>
          </cell>
          <cell r="P194">
            <v>5163.50219030067</v>
          </cell>
          <cell r="Q194">
            <v>5180.5854944884186</v>
          </cell>
          <cell r="R194">
            <v>5180.4855938925693</v>
          </cell>
          <cell r="S194">
            <v>47097.272968742109</v>
          </cell>
        </row>
        <row r="195">
          <cell r="G195">
            <v>4460.8111888111889</v>
          </cell>
          <cell r="H195">
            <v>2466.0139860139861</v>
          </cell>
          <cell r="I195">
            <v>0</v>
          </cell>
          <cell r="J195">
            <v>0</v>
          </cell>
          <cell r="K195">
            <v>5378.9090909090919</v>
          </cell>
          <cell r="L195">
            <v>5223.7762237762236</v>
          </cell>
          <cell r="M195">
            <v>5445.8181818181811</v>
          </cell>
          <cell r="N195">
            <v>5447.2727272727279</v>
          </cell>
          <cell r="O195">
            <v>3965.818181818182</v>
          </cell>
          <cell r="P195">
            <v>5364.3636363636369</v>
          </cell>
          <cell r="Q195">
            <v>5364.3636363636369</v>
          </cell>
          <cell r="R195">
            <v>5495.272727272727</v>
          </cell>
          <cell r="S195">
            <v>48612.419580419584</v>
          </cell>
        </row>
        <row r="196">
          <cell r="G196">
            <v>2657.3426573426573</v>
          </cell>
          <cell r="H196">
            <v>1461.5384615384614</v>
          </cell>
          <cell r="I196">
            <v>0</v>
          </cell>
          <cell r="J196">
            <v>1594.4055944055945</v>
          </cell>
          <cell r="K196">
            <v>3188.8111888111889</v>
          </cell>
          <cell r="L196">
            <v>3188.8111888111889</v>
          </cell>
          <cell r="M196">
            <v>2923.0769230769229</v>
          </cell>
          <cell r="N196">
            <v>3188.8111888111889</v>
          </cell>
          <cell r="O196">
            <v>3188.8111888111889</v>
          </cell>
          <cell r="P196">
            <v>3454.5454545454545</v>
          </cell>
          <cell r="Q196">
            <v>3720.2797202797201</v>
          </cell>
          <cell r="R196">
            <v>3720.2797202797201</v>
          </cell>
          <cell r="S196">
            <v>32286.713286713286</v>
          </cell>
        </row>
        <row r="197">
          <cell r="G197">
            <v>4168.9510489510485</v>
          </cell>
          <cell r="H197">
            <v>1852.8671328671328</v>
          </cell>
          <cell r="I197">
            <v>0</v>
          </cell>
          <cell r="J197">
            <v>2084.4755244755243</v>
          </cell>
          <cell r="K197">
            <v>4168.9510489510485</v>
          </cell>
          <cell r="L197">
            <v>3937.3426573426573</v>
          </cell>
          <cell r="M197">
            <v>3937.3426573426573</v>
          </cell>
          <cell r="N197">
            <v>3705.7342657342656</v>
          </cell>
          <cell r="O197">
            <v>3705.7342657342656</v>
          </cell>
          <cell r="P197">
            <v>4168.9510489510485</v>
          </cell>
          <cell r="Q197">
            <v>4400.5594405594402</v>
          </cell>
          <cell r="R197">
            <v>4400.5594405594402</v>
          </cell>
          <cell r="S197">
            <v>40531.468531468527</v>
          </cell>
        </row>
        <row r="198">
          <cell r="G198">
            <v>1475.1678321678321</v>
          </cell>
          <cell r="H198">
            <v>0</v>
          </cell>
          <cell r="I198">
            <v>0</v>
          </cell>
          <cell r="J198">
            <v>0</v>
          </cell>
          <cell r="K198">
            <v>1461.8811188811187</v>
          </cell>
          <cell r="L198">
            <v>1347.4755244755245</v>
          </cell>
          <cell r="M198">
            <v>1215.3076923076924</v>
          </cell>
          <cell r="N198">
            <v>1281.3916083916083</v>
          </cell>
          <cell r="O198">
            <v>1602.86013986014</v>
          </cell>
          <cell r="P198">
            <v>1602.86013986014</v>
          </cell>
          <cell r="Q198">
            <v>1602.86013986014</v>
          </cell>
          <cell r="R198">
            <v>1602.86013986014</v>
          </cell>
          <cell r="S198">
            <v>13192.664335664336</v>
          </cell>
        </row>
        <row r="199"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</row>
        <row r="200">
          <cell r="G200">
            <v>16586.870682990953</v>
          </cell>
          <cell r="H200">
            <v>8018.1818181818171</v>
          </cell>
          <cell r="I200">
            <v>0</v>
          </cell>
          <cell r="J200">
            <v>6476.0839160839159</v>
          </cell>
          <cell r="K200">
            <v>18519.294299382029</v>
          </cell>
          <cell r="L200">
            <v>18065.379730358123</v>
          </cell>
          <cell r="M200">
            <v>18249.090710905504</v>
          </cell>
          <cell r="N200">
            <v>18371.513700188385</v>
          </cell>
          <cell r="O200">
            <v>17011.795321480207</v>
          </cell>
          <cell r="P200">
            <v>19754.222470020948</v>
          </cell>
          <cell r="Q200">
            <v>20268.648431551352</v>
          </cell>
          <cell r="R200">
            <v>20399.457621864596</v>
          </cell>
          <cell r="S200">
            <v>181720.53870300783</v>
          </cell>
        </row>
        <row r="201">
          <cell r="G201">
            <v>0</v>
          </cell>
          <cell r="H201">
            <v>1180.7649330301088</v>
          </cell>
          <cell r="I201">
            <v>4076.9771516088963</v>
          </cell>
          <cell r="J201">
            <v>1504.9792012880418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6762.7212859270467</v>
          </cell>
        </row>
        <row r="202"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</row>
        <row r="203"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</row>
        <row r="204">
          <cell r="G204">
            <v>0</v>
          </cell>
          <cell r="H204">
            <v>1852.8671328671328</v>
          </cell>
          <cell r="I204">
            <v>4168.9510489510485</v>
          </cell>
          <cell r="J204">
            <v>2084.4755244755243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8106.2937062937053</v>
          </cell>
        </row>
        <row r="205">
          <cell r="G205">
            <v>0</v>
          </cell>
          <cell r="H205">
            <v>516.08391608391605</v>
          </cell>
          <cell r="I205">
            <v>630.76923076923072</v>
          </cell>
          <cell r="J205">
            <v>630.76923076923072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1777.6223776223776</v>
          </cell>
        </row>
        <row r="206"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</row>
        <row r="207">
          <cell r="G207">
            <v>0</v>
          </cell>
          <cell r="H207">
            <v>3549.7159819811577</v>
          </cell>
          <cell r="I207">
            <v>8876.6974313291757</v>
          </cell>
          <cell r="J207">
            <v>4220.2239565327964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16646.637369843127</v>
          </cell>
        </row>
        <row r="208">
          <cell r="G208">
            <v>3824.597955718225</v>
          </cell>
          <cell r="H208">
            <v>3418.5271707923466</v>
          </cell>
          <cell r="I208">
            <v>4076.9771516088963</v>
          </cell>
          <cell r="J208">
            <v>4302.1819984908389</v>
          </cell>
          <cell r="K208">
            <v>4320.7418518295817</v>
          </cell>
          <cell r="L208">
            <v>4367.9741359525287</v>
          </cell>
          <cell r="M208">
            <v>4727.545256360052</v>
          </cell>
          <cell r="N208">
            <v>4748.3039099785938</v>
          </cell>
          <cell r="O208">
            <v>4548.5715452564309</v>
          </cell>
          <cell r="P208">
            <v>5163.50219030067</v>
          </cell>
          <cell r="Q208">
            <v>5180.5854944884186</v>
          </cell>
          <cell r="R208">
            <v>5180.4855938925693</v>
          </cell>
          <cell r="S208">
            <v>53859.994254669153</v>
          </cell>
        </row>
        <row r="209">
          <cell r="G209">
            <v>4460.8111888111889</v>
          </cell>
          <cell r="H209">
            <v>2466.0139860139861</v>
          </cell>
          <cell r="I209">
            <v>0</v>
          </cell>
          <cell r="J209">
            <v>0</v>
          </cell>
          <cell r="K209">
            <v>5378.9090909090919</v>
          </cell>
          <cell r="L209">
            <v>5223.7762237762236</v>
          </cell>
          <cell r="M209">
            <v>5445.8181818181811</v>
          </cell>
          <cell r="N209">
            <v>5447.2727272727279</v>
          </cell>
          <cell r="O209">
            <v>3965.818181818182</v>
          </cell>
          <cell r="P209">
            <v>5364.3636363636369</v>
          </cell>
          <cell r="Q209">
            <v>5364.3636363636369</v>
          </cell>
          <cell r="R209">
            <v>5495.272727272727</v>
          </cell>
          <cell r="S209">
            <v>48612.419580419584</v>
          </cell>
        </row>
        <row r="210">
          <cell r="G210">
            <v>2657.3426573426573</v>
          </cell>
          <cell r="H210">
            <v>1461.5384615384614</v>
          </cell>
          <cell r="I210">
            <v>0</v>
          </cell>
          <cell r="J210">
            <v>1594.4055944055945</v>
          </cell>
          <cell r="K210">
            <v>3188.8111888111889</v>
          </cell>
          <cell r="L210">
            <v>3188.8111888111889</v>
          </cell>
          <cell r="M210">
            <v>2923.0769230769229</v>
          </cell>
          <cell r="N210">
            <v>3188.8111888111889</v>
          </cell>
          <cell r="O210">
            <v>3188.8111888111889</v>
          </cell>
          <cell r="P210">
            <v>3454.5454545454545</v>
          </cell>
          <cell r="Q210">
            <v>3720.2797202797201</v>
          </cell>
          <cell r="R210">
            <v>3720.2797202797201</v>
          </cell>
          <cell r="S210">
            <v>32286.713286713286</v>
          </cell>
        </row>
        <row r="211">
          <cell r="G211">
            <v>4168.9510489510485</v>
          </cell>
          <cell r="H211">
            <v>3705.7342657342656</v>
          </cell>
          <cell r="I211">
            <v>4168.9510489510485</v>
          </cell>
          <cell r="J211">
            <v>4168.9510489510485</v>
          </cell>
          <cell r="K211">
            <v>4168.9510489510485</v>
          </cell>
          <cell r="L211">
            <v>3937.3426573426573</v>
          </cell>
          <cell r="M211">
            <v>3937.3426573426573</v>
          </cell>
          <cell r="N211">
            <v>3705.7342657342656</v>
          </cell>
          <cell r="O211">
            <v>3705.7342657342656</v>
          </cell>
          <cell r="P211">
            <v>4168.9510489510485</v>
          </cell>
          <cell r="Q211">
            <v>4400.5594405594402</v>
          </cell>
          <cell r="R211">
            <v>4400.5594405594402</v>
          </cell>
          <cell r="S211">
            <v>48637.762237762239</v>
          </cell>
        </row>
        <row r="212">
          <cell r="G212">
            <v>1475.1678321678321</v>
          </cell>
          <cell r="H212">
            <v>516.08391608391605</v>
          </cell>
          <cell r="I212">
            <v>630.76923076923072</v>
          </cell>
          <cell r="J212">
            <v>630.76923076923072</v>
          </cell>
          <cell r="K212">
            <v>1461.8811188811187</v>
          </cell>
          <cell r="L212">
            <v>1347.4755244755245</v>
          </cell>
          <cell r="M212">
            <v>1215.3076923076924</v>
          </cell>
          <cell r="N212">
            <v>1281.3916083916083</v>
          </cell>
          <cell r="O212">
            <v>1602.86013986014</v>
          </cell>
          <cell r="P212">
            <v>1602.86013986014</v>
          </cell>
          <cell r="Q212">
            <v>1602.86013986014</v>
          </cell>
          <cell r="R212">
            <v>1602.86013986014</v>
          </cell>
          <cell r="S212">
            <v>14970.286713286714</v>
          </cell>
        </row>
        <row r="213"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</row>
        <row r="214">
          <cell r="G214">
            <v>16586.870682990953</v>
          </cell>
          <cell r="H214">
            <v>11567.897800162977</v>
          </cell>
          <cell r="I214">
            <v>8876.6974313291757</v>
          </cell>
          <cell r="J214">
            <v>10696.307872616711</v>
          </cell>
          <cell r="K214">
            <v>18519.294299382029</v>
          </cell>
          <cell r="L214">
            <v>18065.379730358123</v>
          </cell>
          <cell r="M214">
            <v>18249.090710905504</v>
          </cell>
          <cell r="N214">
            <v>18371.513700188385</v>
          </cell>
          <cell r="O214">
            <v>17011.795321480207</v>
          </cell>
          <cell r="P214">
            <v>19754.222470020948</v>
          </cell>
          <cell r="Q214">
            <v>20268.648431551352</v>
          </cell>
          <cell r="R214">
            <v>20399.457621864596</v>
          </cell>
          <cell r="S214">
            <v>198367.17607285097</v>
          </cell>
        </row>
        <row r="216">
          <cell r="G216">
            <v>1430</v>
          </cell>
          <cell r="H216" t="str">
            <v>KG/㎥</v>
          </cell>
          <cell r="S216" t="str">
            <v>[단위 :KG]</v>
          </cell>
        </row>
      </sheetData>
      <sheetData sheetId="4">
        <row r="6">
          <cell r="E6" t="str">
            <v>구분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w"/>
      <sheetName val="부산(물량)"/>
      <sheetName val="부산(금액)"/>
      <sheetName val="서부산(물량)"/>
      <sheetName val="서부산(금액)"/>
      <sheetName val="부산크라샤(물량)"/>
      <sheetName val="부산크라샤(금액)"/>
      <sheetName val="서부산(손익)"/>
      <sheetName val="PFT상세(서부산)"/>
      <sheetName val="부산크라샤(손익)"/>
      <sheetName val="PFT상세(부산크라샤)"/>
      <sheetName val="PFT상세(부산골재)1월"/>
      <sheetName val="피벗1"/>
      <sheetName val="PFT상세(부산골재)2월"/>
      <sheetName val="피벗2"/>
      <sheetName val="PFT상세(부산골재)3월"/>
      <sheetName val="피벗3"/>
      <sheetName val="PFT상세(부산골재)4월"/>
      <sheetName val="피벗4"/>
      <sheetName val="PFT상세(부산골재)5월"/>
      <sheetName val="피벗5"/>
      <sheetName val="PFT상세(서부산) (2)"/>
      <sheetName val="월별"/>
      <sheetName val="PFT상세(부산골재)5월누계"/>
      <sheetName val="피벗0"/>
      <sheetName val="피벗0 (2)"/>
    </sheetNames>
    <sheetDataSet>
      <sheetData sheetId="0"/>
      <sheetData sheetId="1">
        <row r="45">
          <cell r="C45" t="str">
            <v>강사_강릉</v>
          </cell>
        </row>
      </sheetData>
      <sheetData sheetId="2">
        <row r="46">
          <cell r="M46">
            <v>162272179</v>
          </cell>
        </row>
      </sheetData>
      <sheetData sheetId="3">
        <row r="45">
          <cell r="B45" t="str">
            <v>구분</v>
          </cell>
        </row>
      </sheetData>
      <sheetData sheetId="4">
        <row r="42">
          <cell r="F42">
            <v>5</v>
          </cell>
        </row>
      </sheetData>
      <sheetData sheetId="5">
        <row r="42">
          <cell r="B42">
            <v>1</v>
          </cell>
        </row>
      </sheetData>
      <sheetData sheetId="6">
        <row r="42">
          <cell r="F42">
            <v>5</v>
          </cell>
        </row>
      </sheetData>
      <sheetData sheetId="7">
        <row r="16">
          <cell r="L16" t="str">
            <v>부산</v>
          </cell>
          <cell r="M16" t="str">
            <v>(주)동양건재부문_EJ1_부산레미콘</v>
          </cell>
          <cell r="N16">
            <v>0</v>
          </cell>
          <cell r="O16">
            <v>2800000</v>
          </cell>
          <cell r="P16">
            <v>2800000</v>
          </cell>
        </row>
        <row r="17">
          <cell r="L17" t="str">
            <v>서부산</v>
          </cell>
          <cell r="M17" t="str">
            <v>(주)동양건재부문_EK1_서부산레미콘</v>
          </cell>
          <cell r="N17">
            <v>0</v>
          </cell>
          <cell r="O17">
            <v>224910000</v>
          </cell>
          <cell r="P17">
            <v>224910000</v>
          </cell>
        </row>
        <row r="18">
          <cell r="L18" t="str">
            <v>김해</v>
          </cell>
          <cell r="M18" t="str">
            <v>(주)동양건재부문_EL1_김해레미콘</v>
          </cell>
          <cell r="N18">
            <v>0</v>
          </cell>
          <cell r="O18">
            <v>16008000</v>
          </cell>
          <cell r="P18">
            <v>16008000</v>
          </cell>
        </row>
        <row r="19">
          <cell r="L19" t="str">
            <v>정관</v>
          </cell>
          <cell r="M19" t="str">
            <v>(주)동양건재부문_EM1_정관레미콘</v>
          </cell>
          <cell r="N19">
            <v>0</v>
          </cell>
          <cell r="O19">
            <v>0</v>
          </cell>
          <cell r="P19">
            <v>0</v>
          </cell>
        </row>
        <row r="20">
          <cell r="L20" t="str">
            <v>양산</v>
          </cell>
          <cell r="M20" t="str">
            <v>(주)동양건재부문_EN1_양산레미콘</v>
          </cell>
          <cell r="N20">
            <v>1008000</v>
          </cell>
          <cell r="O20">
            <v>0</v>
          </cell>
          <cell r="P20">
            <v>1008000</v>
          </cell>
        </row>
        <row r="21">
          <cell r="L21" t="str">
            <v>창원</v>
          </cell>
          <cell r="M21" t="str">
            <v>(주)동양건재부문_EH1_창원레미콘</v>
          </cell>
          <cell r="N21">
            <v>0</v>
          </cell>
          <cell r="O21">
            <v>13248000</v>
          </cell>
          <cell r="P21">
            <v>13248000</v>
          </cell>
        </row>
        <row r="22">
          <cell r="M22" t="str">
            <v>계</v>
          </cell>
          <cell r="N22">
            <v>1008000</v>
          </cell>
          <cell r="O22">
            <v>256966000</v>
          </cell>
          <cell r="P22">
            <v>257974000</v>
          </cell>
        </row>
      </sheetData>
      <sheetData sheetId="8"/>
      <sheetData sheetId="9">
        <row r="16">
          <cell r="L16" t="str">
            <v>부산</v>
          </cell>
          <cell r="M16" t="str">
            <v>(주)동양건재부문_EJ1_부산레미콘</v>
          </cell>
          <cell r="N16">
            <v>259000000</v>
          </cell>
          <cell r="O16">
            <v>234530000</v>
          </cell>
          <cell r="P16">
            <v>493530000</v>
          </cell>
        </row>
        <row r="17">
          <cell r="L17" t="str">
            <v>서부산</v>
          </cell>
          <cell r="M17" t="str">
            <v>(주)동양건재부문_EK1_서부산레미콘</v>
          </cell>
          <cell r="N17">
            <v>0</v>
          </cell>
          <cell r="O17">
            <v>80960000</v>
          </cell>
          <cell r="P17">
            <v>80960000</v>
          </cell>
        </row>
        <row r="18">
          <cell r="L18" t="str">
            <v>김해</v>
          </cell>
          <cell r="M18" t="str">
            <v>(주)동양건재부문_EL1_김해레미콘</v>
          </cell>
          <cell r="N18">
            <v>0</v>
          </cell>
          <cell r="O18">
            <v>0</v>
          </cell>
          <cell r="P18">
            <v>0</v>
          </cell>
        </row>
        <row r="19">
          <cell r="L19" t="str">
            <v>정관</v>
          </cell>
          <cell r="M19" t="str">
            <v>(주)동양건재부문_EM1_정관레미콘</v>
          </cell>
          <cell r="N19">
            <v>0</v>
          </cell>
          <cell r="O19">
            <v>0</v>
          </cell>
          <cell r="P19">
            <v>0</v>
          </cell>
        </row>
        <row r="20">
          <cell r="L20" t="str">
            <v>양산</v>
          </cell>
          <cell r="M20" t="str">
            <v>(주)동양건재부문_EN1_양산레미콘</v>
          </cell>
          <cell r="N20">
            <v>0</v>
          </cell>
          <cell r="O20">
            <v>0</v>
          </cell>
          <cell r="P20">
            <v>0</v>
          </cell>
        </row>
        <row r="21">
          <cell r="L21" t="str">
            <v>창원</v>
          </cell>
          <cell r="M21" t="str">
            <v>(주)동양건재부문_EH1_창원레미콘</v>
          </cell>
          <cell r="N21">
            <v>0</v>
          </cell>
          <cell r="O21">
            <v>0</v>
          </cell>
          <cell r="P21">
            <v>0</v>
          </cell>
        </row>
        <row r="22">
          <cell r="M22" t="str">
            <v>계</v>
          </cell>
          <cell r="N22">
            <v>259000000</v>
          </cell>
          <cell r="O22">
            <v>315490000</v>
          </cell>
          <cell r="P22">
            <v>574490000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0.249977111117893"/>
  </sheetPr>
  <dimension ref="A6:M25"/>
  <sheetViews>
    <sheetView showGridLines="0" view="pageBreakPreview" zoomScaleNormal="100" zoomScaleSheetLayoutView="100" workbookViewId="0">
      <selection activeCell="C32" sqref="C32"/>
    </sheetView>
  </sheetViews>
  <sheetFormatPr defaultRowHeight="16.5" x14ac:dyDescent="0.3"/>
  <cols>
    <col min="13" max="13" width="15.75" customWidth="1"/>
  </cols>
  <sheetData>
    <row r="6" spans="1:13" x14ac:dyDescent="0.3">
      <c r="A6" s="785" t="s">
        <v>215</v>
      </c>
      <c r="B6" s="786"/>
      <c r="C6" s="786"/>
      <c r="D6" s="786"/>
      <c r="E6" s="786"/>
      <c r="F6" s="786"/>
      <c r="G6" s="786"/>
      <c r="H6" s="786"/>
      <c r="I6" s="786"/>
      <c r="J6" s="786"/>
      <c r="K6" s="786"/>
      <c r="L6" s="786"/>
      <c r="M6" s="786"/>
    </row>
    <row r="7" spans="1:13" x14ac:dyDescent="0.3">
      <c r="A7" s="786"/>
      <c r="B7" s="786"/>
      <c r="C7" s="786"/>
      <c r="D7" s="786"/>
      <c r="E7" s="786"/>
      <c r="F7" s="786"/>
      <c r="G7" s="786"/>
      <c r="H7" s="786"/>
      <c r="I7" s="786"/>
      <c r="J7" s="786"/>
      <c r="K7" s="786"/>
      <c r="L7" s="786"/>
      <c r="M7" s="786"/>
    </row>
    <row r="8" spans="1:13" x14ac:dyDescent="0.3">
      <c r="A8" s="786"/>
      <c r="B8" s="786"/>
      <c r="C8" s="786"/>
      <c r="D8" s="786"/>
      <c r="E8" s="786"/>
      <c r="F8" s="786"/>
      <c r="G8" s="786"/>
      <c r="H8" s="786"/>
      <c r="I8" s="786"/>
      <c r="J8" s="786"/>
      <c r="K8" s="786"/>
      <c r="L8" s="786"/>
      <c r="M8" s="786"/>
    </row>
    <row r="9" spans="1:13" x14ac:dyDescent="0.3">
      <c r="A9" s="786"/>
      <c r="B9" s="786"/>
      <c r="C9" s="786"/>
      <c r="D9" s="786"/>
      <c r="E9" s="786"/>
      <c r="F9" s="786"/>
      <c r="G9" s="786"/>
      <c r="H9" s="786"/>
      <c r="I9" s="786"/>
      <c r="J9" s="786"/>
      <c r="K9" s="786"/>
      <c r="L9" s="786"/>
      <c r="M9" s="786"/>
    </row>
    <row r="10" spans="1:13" x14ac:dyDescent="0.3">
      <c r="A10" s="786"/>
      <c r="B10" s="786"/>
      <c r="C10" s="786"/>
      <c r="D10" s="786"/>
      <c r="E10" s="786"/>
      <c r="F10" s="786"/>
      <c r="G10" s="786"/>
      <c r="H10" s="786"/>
      <c r="I10" s="786"/>
      <c r="J10" s="786"/>
      <c r="K10" s="786"/>
      <c r="L10" s="786"/>
      <c r="M10" s="786"/>
    </row>
    <row r="11" spans="1:13" x14ac:dyDescent="0.3">
      <c r="A11" s="786"/>
      <c r="B11" s="786"/>
      <c r="C11" s="786"/>
      <c r="D11" s="786"/>
      <c r="E11" s="786"/>
      <c r="F11" s="786"/>
      <c r="G11" s="786"/>
      <c r="H11" s="786"/>
      <c r="I11" s="786"/>
      <c r="J11" s="786"/>
      <c r="K11" s="786"/>
      <c r="L11" s="786"/>
      <c r="M11" s="786"/>
    </row>
    <row r="12" spans="1:13" x14ac:dyDescent="0.3">
      <c r="A12" s="786"/>
      <c r="B12" s="786"/>
      <c r="C12" s="786"/>
      <c r="D12" s="786"/>
      <c r="E12" s="786"/>
      <c r="F12" s="786"/>
      <c r="G12" s="786"/>
      <c r="H12" s="786"/>
      <c r="I12" s="786"/>
      <c r="J12" s="786"/>
      <c r="K12" s="786"/>
      <c r="L12" s="786"/>
      <c r="M12" s="786"/>
    </row>
    <row r="13" spans="1:13" x14ac:dyDescent="0.3">
      <c r="A13" s="786"/>
      <c r="B13" s="786"/>
      <c r="C13" s="786"/>
      <c r="D13" s="786"/>
      <c r="E13" s="786"/>
      <c r="F13" s="786"/>
      <c r="G13" s="786"/>
      <c r="H13" s="786"/>
      <c r="I13" s="786"/>
      <c r="J13" s="786"/>
      <c r="K13" s="786"/>
      <c r="L13" s="786"/>
      <c r="M13" s="786"/>
    </row>
    <row r="14" spans="1:13" x14ac:dyDescent="0.3">
      <c r="A14" s="786"/>
      <c r="B14" s="786"/>
      <c r="C14" s="786"/>
      <c r="D14" s="786"/>
      <c r="E14" s="786"/>
      <c r="F14" s="786"/>
      <c r="G14" s="786"/>
      <c r="H14" s="786"/>
      <c r="I14" s="786"/>
      <c r="J14" s="786"/>
      <c r="K14" s="786"/>
      <c r="L14" s="786"/>
      <c r="M14" s="786"/>
    </row>
    <row r="24" spans="1:13" x14ac:dyDescent="0.3">
      <c r="A24" s="787" t="s">
        <v>120</v>
      </c>
      <c r="B24" s="787"/>
      <c r="C24" s="787"/>
      <c r="D24" s="787"/>
      <c r="E24" s="787"/>
      <c r="F24" s="787"/>
      <c r="G24" s="787"/>
      <c r="H24" s="787"/>
      <c r="I24" s="787"/>
      <c r="J24" s="787"/>
      <c r="K24" s="787"/>
      <c r="L24" s="787"/>
      <c r="M24" s="787"/>
    </row>
    <row r="25" spans="1:13" x14ac:dyDescent="0.3">
      <c r="A25" s="787"/>
      <c r="B25" s="787"/>
      <c r="C25" s="787"/>
      <c r="D25" s="787"/>
      <c r="E25" s="787"/>
      <c r="F25" s="787"/>
      <c r="G25" s="787"/>
      <c r="H25" s="787"/>
      <c r="I25" s="787"/>
      <c r="J25" s="787"/>
      <c r="K25" s="787"/>
      <c r="L25" s="787"/>
      <c r="M25" s="787"/>
    </row>
  </sheetData>
  <mergeCells count="2">
    <mergeCell ref="A6:M14"/>
    <mergeCell ref="A24:M25"/>
  </mergeCells>
  <phoneticPr fontId="1" type="noConversion"/>
  <pageMargins left="0.7" right="0.48" top="0.75" bottom="0.75" header="0.3" footer="0.3"/>
  <pageSetup paperSize="9" scale="99" orientation="landscape" horizontalDpi="300" verticalDpi="300" r:id="rId1"/>
  <headerFooter>
    <oddFooter>2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 tint="0.249977111117893"/>
    <pageSetUpPr fitToPage="1"/>
  </sheetPr>
  <dimension ref="A1:AL42"/>
  <sheetViews>
    <sheetView showGridLines="0" zoomScale="70" zoomScaleNormal="70" zoomScaleSheetLayoutView="70" workbookViewId="0">
      <selection activeCell="K36" sqref="K36"/>
    </sheetView>
  </sheetViews>
  <sheetFormatPr defaultRowHeight="16.5" x14ac:dyDescent="0.3"/>
  <cols>
    <col min="3" max="3" width="9.875" customWidth="1"/>
    <col min="4" max="4" width="11" bestFit="1" customWidth="1"/>
    <col min="5" max="14" width="10.625" customWidth="1"/>
    <col min="15" max="16" width="1.625" customWidth="1"/>
    <col min="19" max="19" width="11.5" bestFit="1" customWidth="1"/>
    <col min="20" max="20" width="12.125" bestFit="1" customWidth="1"/>
    <col min="21" max="21" width="10.5" bestFit="1" customWidth="1"/>
    <col min="22" max="22" width="11.375" bestFit="1" customWidth="1"/>
    <col min="23" max="23" width="10.5" bestFit="1" customWidth="1"/>
    <col min="24" max="24" width="1.625" customWidth="1"/>
    <col min="26" max="37" width="9.125" customWidth="1"/>
  </cols>
  <sheetData>
    <row r="1" spans="1:38" ht="20.100000000000001" customHeight="1" x14ac:dyDescent="0.3"/>
    <row r="2" spans="1:38" ht="20.100000000000001" customHeight="1" x14ac:dyDescent="0.3"/>
    <row r="3" spans="1:38" ht="20.100000000000001" customHeight="1" x14ac:dyDescent="0.3">
      <c r="C3" s="4" t="s">
        <v>216</v>
      </c>
      <c r="Z3" s="674" t="s">
        <v>233</v>
      </c>
    </row>
    <row r="4" spans="1:38" ht="20.100000000000001" customHeight="1" x14ac:dyDescent="0.3">
      <c r="H4" s="598"/>
      <c r="X4" s="5" t="s">
        <v>142</v>
      </c>
      <c r="AK4" s="5" t="s">
        <v>210</v>
      </c>
    </row>
    <row r="5" spans="1:38" ht="27" customHeight="1" thickBot="1" x14ac:dyDescent="0.35">
      <c r="C5" s="801" t="s">
        <v>78</v>
      </c>
      <c r="D5" s="802"/>
      <c r="E5" s="133" t="s">
        <v>217</v>
      </c>
      <c r="F5" s="134"/>
      <c r="G5" s="134"/>
      <c r="H5" s="134"/>
      <c r="I5" s="135"/>
      <c r="J5" s="134" t="s">
        <v>231</v>
      </c>
      <c r="K5" s="134"/>
      <c r="L5" s="134"/>
      <c r="M5" s="134"/>
      <c r="N5" s="135"/>
      <c r="O5" s="136"/>
      <c r="P5" s="801" t="s">
        <v>218</v>
      </c>
      <c r="Q5" s="802"/>
      <c r="R5" s="802"/>
      <c r="S5" s="802"/>
      <c r="T5" s="802"/>
      <c r="U5" s="802"/>
      <c r="V5" s="802"/>
      <c r="W5" s="802"/>
      <c r="X5" s="805"/>
      <c r="Z5" s="794" t="s">
        <v>205</v>
      </c>
      <c r="AA5" s="791"/>
      <c r="AB5" s="791" t="str">
        <f>+E5</f>
        <v>5월</v>
      </c>
      <c r="AC5" s="792"/>
      <c r="AD5" s="791"/>
      <c r="AE5" s="791"/>
      <c r="AF5" s="793"/>
      <c r="AG5" s="794" t="str">
        <f>+J5</f>
        <v>5월 누계</v>
      </c>
      <c r="AH5" s="792"/>
      <c r="AI5" s="791"/>
      <c r="AJ5" s="791"/>
      <c r="AK5" s="795"/>
    </row>
    <row r="6" spans="1:38" ht="27" customHeight="1" thickTop="1" thickBot="1" x14ac:dyDescent="0.35">
      <c r="C6" s="803"/>
      <c r="D6" s="804"/>
      <c r="E6" s="209" t="s">
        <v>79</v>
      </c>
      <c r="F6" s="328" t="s">
        <v>80</v>
      </c>
      <c r="G6" s="325" t="s">
        <v>81</v>
      </c>
      <c r="H6" s="137" t="s">
        <v>82</v>
      </c>
      <c r="I6" s="138" t="s">
        <v>83</v>
      </c>
      <c r="J6" s="209" t="s">
        <v>79</v>
      </c>
      <c r="K6" s="328" t="s">
        <v>80</v>
      </c>
      <c r="L6" s="325" t="s">
        <v>81</v>
      </c>
      <c r="M6" s="137" t="s">
        <v>82</v>
      </c>
      <c r="N6" s="138" t="s">
        <v>83</v>
      </c>
      <c r="O6" s="136"/>
      <c r="P6" s="803"/>
      <c r="Q6" s="804"/>
      <c r="R6" s="804"/>
      <c r="S6" s="804"/>
      <c r="T6" s="804"/>
      <c r="U6" s="804"/>
      <c r="V6" s="804"/>
      <c r="W6" s="804"/>
      <c r="X6" s="806"/>
      <c r="Z6" s="797"/>
      <c r="AA6" s="798"/>
      <c r="AB6" s="690" t="str">
        <f>+E6</f>
        <v>계획</v>
      </c>
      <c r="AC6" s="691" t="str">
        <f>+F6</f>
        <v>실적</v>
      </c>
      <c r="AD6" s="692" t="str">
        <f>+G6</f>
        <v>계획대비</v>
      </c>
      <c r="AE6" s="693" t="str">
        <f t="shared" ref="AE6:AK7" si="0">+H6</f>
        <v>전년</v>
      </c>
      <c r="AF6" s="694" t="str">
        <f t="shared" si="0"/>
        <v>전년대비</v>
      </c>
      <c r="AG6" s="695" t="str">
        <f t="shared" si="0"/>
        <v>계획</v>
      </c>
      <c r="AH6" s="691" t="str">
        <f t="shared" si="0"/>
        <v>실적</v>
      </c>
      <c r="AI6" s="692" t="str">
        <f t="shared" si="0"/>
        <v>계획대비</v>
      </c>
      <c r="AJ6" s="693" t="str">
        <f t="shared" si="0"/>
        <v>전년</v>
      </c>
      <c r="AK6" s="690" t="str">
        <f t="shared" si="0"/>
        <v>전년대비</v>
      </c>
    </row>
    <row r="7" spans="1:38" ht="21.75" customHeight="1" x14ac:dyDescent="0.3">
      <c r="A7" s="598">
        <f>+F7/E7</f>
        <v>1.1055063694267517</v>
      </c>
      <c r="B7" s="598">
        <f>+K7/J7</f>
        <v>1.0686216902430177</v>
      </c>
      <c r="C7" s="101" t="s">
        <v>0</v>
      </c>
      <c r="D7" s="102" t="s">
        <v>53</v>
      </c>
      <c r="E7" s="771">
        <f>+'[1]5월'!$Z$7/1000</f>
        <v>314</v>
      </c>
      <c r="F7" s="772">
        <f>+'[2]5월'!$Z$7/1000</f>
        <v>347.12900000000002</v>
      </c>
      <c r="G7" s="747">
        <f>+F7-E7</f>
        <v>33.129000000000019</v>
      </c>
      <c r="H7" s="748">
        <f>+'[3]5월'!$Z$7/1000</f>
        <v>364.4015</v>
      </c>
      <c r="I7" s="749">
        <f>+F7-H7</f>
        <v>-17.27249999999998</v>
      </c>
      <c r="J7" s="771">
        <f>+[4]손익총괄!J7+E7</f>
        <v>1378.5</v>
      </c>
      <c r="K7" s="772">
        <f>+[4]손익총괄!K7+F7</f>
        <v>1473.0949999999998</v>
      </c>
      <c r="L7" s="747">
        <f t="shared" ref="L7:L36" si="1">+K7-J7</f>
        <v>94.5949999999998</v>
      </c>
      <c r="M7" s="748">
        <f>+[4]손익총괄!M7+H7</f>
        <v>1644.049</v>
      </c>
      <c r="N7" s="749">
        <f t="shared" ref="N7:N36" si="2">+K7-M7</f>
        <v>-170.95400000000018</v>
      </c>
      <c r="O7" s="100"/>
      <c r="P7" s="103"/>
      <c r="Q7" s="104" t="s">
        <v>105</v>
      </c>
      <c r="R7" s="104"/>
      <c r="S7" s="100"/>
      <c r="T7" s="100"/>
      <c r="U7" s="100"/>
      <c r="V7" s="100"/>
      <c r="W7" s="100"/>
      <c r="X7" s="105"/>
      <c r="Y7" s="598"/>
      <c r="Z7" s="788" t="s">
        <v>206</v>
      </c>
      <c r="AA7" s="733" t="str">
        <f>+D7</f>
        <v>레미콘</v>
      </c>
      <c r="AB7" s="734">
        <f>+E7</f>
        <v>314</v>
      </c>
      <c r="AC7" s="735">
        <f t="shared" ref="AC7" si="3">+F7</f>
        <v>347.12900000000002</v>
      </c>
      <c r="AD7" s="736">
        <f>+AC7-AB7</f>
        <v>33.129000000000019</v>
      </c>
      <c r="AE7" s="737">
        <f t="shared" si="0"/>
        <v>364.4015</v>
      </c>
      <c r="AF7" s="738">
        <f>+AC7-AE7</f>
        <v>-17.27249999999998</v>
      </c>
      <c r="AG7" s="739">
        <f t="shared" ref="AG7" si="4">+J7</f>
        <v>1378.5</v>
      </c>
      <c r="AH7" s="735">
        <f t="shared" ref="AH7" si="5">+K7</f>
        <v>1473.0949999999998</v>
      </c>
      <c r="AI7" s="736">
        <f>+AH7-AG7</f>
        <v>94.5949999999998</v>
      </c>
      <c r="AJ7" s="737">
        <f t="shared" ref="AJ7" si="6">+M7</f>
        <v>1644.049</v>
      </c>
      <c r="AK7" s="734">
        <f>+AH7-AJ7</f>
        <v>-170.95400000000018</v>
      </c>
    </row>
    <row r="8" spans="1:38" ht="21.75" customHeight="1" x14ac:dyDescent="0.3">
      <c r="B8" s="598"/>
      <c r="C8" s="101"/>
      <c r="D8" s="106" t="s">
        <v>86</v>
      </c>
      <c r="E8" s="773">
        <f>+'[1]5월'!$AA$7</f>
        <v>7600</v>
      </c>
      <c r="F8" s="774">
        <f>+'[2]5월'!$AO$7</f>
        <v>9787.4410000000007</v>
      </c>
      <c r="G8" s="750">
        <f>+F8-E8</f>
        <v>2187.4410000000007</v>
      </c>
      <c r="H8" s="751">
        <f>+'[3]5월'!$AO$7</f>
        <v>7344.996000000001</v>
      </c>
      <c r="I8" s="752">
        <f>+F8-H8</f>
        <v>2442.4449999999997</v>
      </c>
      <c r="J8" s="773">
        <f>+[4]손익총괄!J8+E8</f>
        <v>35500</v>
      </c>
      <c r="K8" s="774">
        <f>+[4]손익총괄!K8+F8</f>
        <v>40097.987000000001</v>
      </c>
      <c r="L8" s="750">
        <f t="shared" si="1"/>
        <v>4597.987000000001</v>
      </c>
      <c r="M8" s="751">
        <f>+[4]손익총괄!M8+H8</f>
        <v>41870.298000000003</v>
      </c>
      <c r="N8" s="752">
        <f t="shared" si="2"/>
        <v>-1772.3110000000015</v>
      </c>
      <c r="O8" s="100"/>
      <c r="P8" s="103"/>
      <c r="Q8" s="339" t="s">
        <v>70</v>
      </c>
      <c r="R8" s="340"/>
      <c r="S8" s="341" t="s">
        <v>15</v>
      </c>
      <c r="T8" s="342" t="s">
        <v>84</v>
      </c>
      <c r="U8" s="343" t="s">
        <v>71</v>
      </c>
      <c r="V8" s="342" t="s">
        <v>52</v>
      </c>
      <c r="W8" s="344" t="s">
        <v>72</v>
      </c>
      <c r="X8" s="105"/>
      <c r="Y8" s="598"/>
      <c r="Z8" s="788"/>
      <c r="AA8" s="668" t="str">
        <f t="shared" ref="AA8:AA9" si="7">+D8</f>
        <v>철강재</v>
      </c>
      <c r="AB8" s="727">
        <f>+E8/1000</f>
        <v>7.6</v>
      </c>
      <c r="AC8" s="728">
        <f>+F8/1000</f>
        <v>9.7874410000000012</v>
      </c>
      <c r="AD8" s="729">
        <f t="shared" ref="AD8:AD20" si="8">+AC8-AB8</f>
        <v>2.1874410000000015</v>
      </c>
      <c r="AE8" s="730">
        <f>+H8/1000</f>
        <v>7.344996000000001</v>
      </c>
      <c r="AF8" s="731">
        <f t="shared" ref="AF8:AF20" si="9">+AC8-AE8</f>
        <v>2.4424450000000002</v>
      </c>
      <c r="AG8" s="732">
        <f>+J8/1000</f>
        <v>35.5</v>
      </c>
      <c r="AH8" s="728">
        <f>+K8/1000</f>
        <v>40.097987000000003</v>
      </c>
      <c r="AI8" s="729">
        <f t="shared" ref="AI8:AI20" si="10">+AH8-AG8</f>
        <v>4.5979870000000034</v>
      </c>
      <c r="AJ8" s="730">
        <f>+M8/1000</f>
        <v>41.870298000000005</v>
      </c>
      <c r="AK8" s="727">
        <f t="shared" ref="AK8:AK20" si="11">+AH8-AJ8</f>
        <v>-1.772311000000002</v>
      </c>
    </row>
    <row r="9" spans="1:38" ht="21.75" customHeight="1" x14ac:dyDescent="0.3">
      <c r="B9" s="598"/>
      <c r="C9" s="101"/>
      <c r="D9" s="106" t="s">
        <v>1</v>
      </c>
      <c r="E9" s="773">
        <f>+'[1]5월'!$AE$7/1000</f>
        <v>121.05541489807264</v>
      </c>
      <c r="F9" s="774">
        <f>+'[2]5월'!$AN$7/1000</f>
        <v>99.314999999999998</v>
      </c>
      <c r="G9" s="750">
        <f t="shared" ref="G9:G36" si="12">+F9-E9</f>
        <v>-21.740414898072643</v>
      </c>
      <c r="H9" s="751">
        <f>+'[3]5월'!$AN$7/1000</f>
        <v>67.558000000000007</v>
      </c>
      <c r="I9" s="752">
        <f t="shared" ref="I9:I36" si="13">+F9-H9</f>
        <v>31.756999999999991</v>
      </c>
      <c r="J9" s="773">
        <f>+[4]손익총괄!J9+E9</f>
        <v>380.22377512217196</v>
      </c>
      <c r="K9" s="774">
        <f>+[4]손익총괄!K9+F9</f>
        <v>420.375</v>
      </c>
      <c r="L9" s="750">
        <f t="shared" si="1"/>
        <v>40.151224877828042</v>
      </c>
      <c r="M9" s="751">
        <f>+[4]손익총괄!M9+H9</f>
        <v>312.89000000000004</v>
      </c>
      <c r="N9" s="752">
        <f t="shared" si="2"/>
        <v>107.48499999999996</v>
      </c>
      <c r="O9" s="100"/>
      <c r="P9" s="103"/>
      <c r="Q9" s="107" t="s">
        <v>66</v>
      </c>
      <c r="R9" s="302" t="s">
        <v>19</v>
      </c>
      <c r="S9" s="315">
        <f>+[5]수도권!$T$5/1000</f>
        <v>125.5</v>
      </c>
      <c r="T9" s="108">
        <f>+[5]수도권!$U$5/1000</f>
        <v>120.114</v>
      </c>
      <c r="U9" s="747">
        <f>+T9-S9</f>
        <v>-5.3859999999999957</v>
      </c>
      <c r="V9" s="748">
        <f>+[6]수도권!$T$5/1000</f>
        <v>151.04499999999999</v>
      </c>
      <c r="W9" s="749">
        <f>+T9-V9</f>
        <v>-30.930999999999983</v>
      </c>
      <c r="X9" s="105"/>
      <c r="Y9" s="598"/>
      <c r="Z9" s="796"/>
      <c r="AA9" s="670" t="str">
        <f t="shared" si="7"/>
        <v>골재</v>
      </c>
      <c r="AB9" s="676">
        <f t="shared" ref="AB9" si="14">+E9</f>
        <v>121.05541489807264</v>
      </c>
      <c r="AC9" s="682">
        <f t="shared" ref="AC9" si="15">+F9</f>
        <v>99.314999999999998</v>
      </c>
      <c r="AD9" s="679">
        <f t="shared" si="8"/>
        <v>-21.740414898072643</v>
      </c>
      <c r="AE9" s="672">
        <f t="shared" ref="AE9" si="16">+H9</f>
        <v>67.558000000000007</v>
      </c>
      <c r="AF9" s="688">
        <f t="shared" si="9"/>
        <v>31.756999999999991</v>
      </c>
      <c r="AG9" s="685">
        <f t="shared" ref="AG9" si="17">+J9</f>
        <v>380.22377512217196</v>
      </c>
      <c r="AH9" s="682">
        <f t="shared" ref="AH9" si="18">+K9</f>
        <v>420.375</v>
      </c>
      <c r="AI9" s="679">
        <f t="shared" si="10"/>
        <v>40.151224877828042</v>
      </c>
      <c r="AJ9" s="672">
        <f t="shared" ref="AJ9" si="19">+M9</f>
        <v>312.89000000000004</v>
      </c>
      <c r="AK9" s="676">
        <f t="shared" si="11"/>
        <v>107.48499999999996</v>
      </c>
    </row>
    <row r="10" spans="1:38" ht="21.75" customHeight="1" x14ac:dyDescent="0.3">
      <c r="B10" s="598"/>
      <c r="C10" s="109" t="s">
        <v>2</v>
      </c>
      <c r="D10" s="110" t="s">
        <v>53</v>
      </c>
      <c r="E10" s="775">
        <f>+'[1]5월'!$Z$8/1000</f>
        <v>32099.301418421761</v>
      </c>
      <c r="F10" s="776">
        <f>+'[2]5월'!$Z$8/1000</f>
        <v>35125.943731000007</v>
      </c>
      <c r="G10" s="777">
        <f t="shared" si="12"/>
        <v>3026.6423125782458</v>
      </c>
      <c r="H10" s="778">
        <f>+'[3]5월'!$Z$8/1000</f>
        <v>35821.722550000006</v>
      </c>
      <c r="I10" s="779">
        <f t="shared" si="13"/>
        <v>-695.7788189999992</v>
      </c>
      <c r="J10" s="775">
        <f>+[4]손익총괄!J10+E10</f>
        <v>139759.55343891634</v>
      </c>
      <c r="K10" s="776">
        <f>+[4]손익총괄!K10+F10</f>
        <v>149461.82376500001</v>
      </c>
      <c r="L10" s="777">
        <f t="shared" si="1"/>
        <v>9702.2703260836715</v>
      </c>
      <c r="M10" s="778">
        <f>+[4]손익총괄!M10+H10</f>
        <v>155858.27056999999</v>
      </c>
      <c r="N10" s="779">
        <f t="shared" si="2"/>
        <v>-6396.446804999985</v>
      </c>
      <c r="O10" s="100"/>
      <c r="P10" s="103"/>
      <c r="Q10" s="111"/>
      <c r="R10" s="303" t="s">
        <v>20</v>
      </c>
      <c r="S10" s="316">
        <f>+[5]영남권!$T$5/1000</f>
        <v>132</v>
      </c>
      <c r="T10" s="112">
        <f>+[5]영남권!$U$5/1000</f>
        <v>158.13399999999999</v>
      </c>
      <c r="U10" s="750">
        <f t="shared" ref="U10:U20" si="20">+T10-S10</f>
        <v>26.133999999999986</v>
      </c>
      <c r="V10" s="751">
        <f>+[6]영남권!$T$5/1000</f>
        <v>145.64449999999999</v>
      </c>
      <c r="W10" s="752">
        <f t="shared" ref="W10:W20" si="21">+T10-V10</f>
        <v>12.489499999999992</v>
      </c>
      <c r="X10" s="105"/>
      <c r="Y10" s="598"/>
      <c r="Z10" s="788" t="s">
        <v>207</v>
      </c>
      <c r="AA10" s="733" t="str">
        <f>+D10</f>
        <v>레미콘</v>
      </c>
      <c r="AB10" s="734">
        <f>+E10/100</f>
        <v>320.9930141842176</v>
      </c>
      <c r="AC10" s="735">
        <f t="shared" ref="AC10:AC13" si="22">+F10/100</f>
        <v>351.25943731000007</v>
      </c>
      <c r="AD10" s="736">
        <f t="shared" si="8"/>
        <v>30.266423125782467</v>
      </c>
      <c r="AE10" s="737">
        <f t="shared" ref="AE10:AE13" si="23">+H10/100</f>
        <v>358.21722550000004</v>
      </c>
      <c r="AF10" s="738">
        <f t="shared" si="9"/>
        <v>-6.9577881899999738</v>
      </c>
      <c r="AG10" s="739">
        <f t="shared" ref="AG10:AG13" si="24">+J10/100</f>
        <v>1397.5955343891633</v>
      </c>
      <c r="AH10" s="735">
        <f t="shared" ref="AH10:AH13" si="25">+K10/100</f>
        <v>1494.6182376500001</v>
      </c>
      <c r="AI10" s="736">
        <f t="shared" si="10"/>
        <v>97.022703260836806</v>
      </c>
      <c r="AJ10" s="737">
        <f t="shared" ref="AJ10:AJ13" si="26">+M10/100</f>
        <v>1558.5827056999999</v>
      </c>
      <c r="AK10" s="734">
        <f t="shared" si="11"/>
        <v>-63.964468049999823</v>
      </c>
    </row>
    <row r="11" spans="1:38" ht="21.75" customHeight="1" x14ac:dyDescent="0.3">
      <c r="B11" s="598"/>
      <c r="C11" s="101"/>
      <c r="D11" s="106" t="s">
        <v>3</v>
      </c>
      <c r="E11" s="773">
        <f>+'[1]5월'!$AA$8/1000</f>
        <v>9285.6884210526332</v>
      </c>
      <c r="F11" s="774">
        <f>+'[2]5월'!$AO$8/1000</f>
        <v>9774.8208849999992</v>
      </c>
      <c r="G11" s="750">
        <f>+F11-E11</f>
        <v>489.13246394736598</v>
      </c>
      <c r="H11" s="751">
        <f>+'[3]5월'!$AO$8/1000</f>
        <v>9029.1235919999999</v>
      </c>
      <c r="I11" s="752">
        <f>+F11-H11</f>
        <v>745.69729299999926</v>
      </c>
      <c r="J11" s="773">
        <f>+[4]손익총괄!J11+E11</f>
        <v>43422.461052631588</v>
      </c>
      <c r="K11" s="774">
        <f>+[4]손익총괄!K11+F11</f>
        <v>41530.393304999998</v>
      </c>
      <c r="L11" s="750">
        <f t="shared" si="1"/>
        <v>-1892.0677476315905</v>
      </c>
      <c r="M11" s="751">
        <f>+[4]손익총괄!M11+H11</f>
        <v>50400.813160999998</v>
      </c>
      <c r="N11" s="752">
        <f t="shared" si="2"/>
        <v>-8870.4198560000004</v>
      </c>
      <c r="O11" s="100"/>
      <c r="P11" s="103"/>
      <c r="Q11" s="111"/>
      <c r="R11" s="304" t="s">
        <v>170</v>
      </c>
      <c r="S11" s="317">
        <f>+[5]중부권!$T$5/1000</f>
        <v>56.5</v>
      </c>
      <c r="T11" s="113">
        <f>+[5]중부권!$U$5/1000</f>
        <v>68.881</v>
      </c>
      <c r="U11" s="753">
        <f t="shared" si="20"/>
        <v>12.381</v>
      </c>
      <c r="V11" s="754">
        <f>+[6]중부권!$T$5/1000</f>
        <v>67.712000000000003</v>
      </c>
      <c r="W11" s="755">
        <f t="shared" si="21"/>
        <v>1.1689999999999969</v>
      </c>
      <c r="X11" s="105"/>
      <c r="Y11" s="598"/>
      <c r="Z11" s="788"/>
      <c r="AA11" s="668" t="str">
        <f t="shared" ref="AA11:AA13" si="27">+D11</f>
        <v>건자재</v>
      </c>
      <c r="AB11" s="675">
        <f t="shared" ref="AB11:AB13" si="28">+E11/100</f>
        <v>92.856884210526331</v>
      </c>
      <c r="AC11" s="681">
        <f t="shared" si="22"/>
        <v>97.748208849999997</v>
      </c>
      <c r="AD11" s="678">
        <f t="shared" si="8"/>
        <v>4.891324639473666</v>
      </c>
      <c r="AE11" s="671">
        <f t="shared" si="23"/>
        <v>90.291235920000005</v>
      </c>
      <c r="AF11" s="687">
        <f t="shared" si="9"/>
        <v>7.4569729299999921</v>
      </c>
      <c r="AG11" s="684">
        <f t="shared" si="24"/>
        <v>434.22461052631587</v>
      </c>
      <c r="AH11" s="681">
        <f t="shared" si="25"/>
        <v>415.30393304999996</v>
      </c>
      <c r="AI11" s="678">
        <f t="shared" si="10"/>
        <v>-18.920677476315916</v>
      </c>
      <c r="AJ11" s="671">
        <f t="shared" si="26"/>
        <v>504.00813160999996</v>
      </c>
      <c r="AK11" s="675">
        <f t="shared" si="11"/>
        <v>-88.704198560000009</v>
      </c>
    </row>
    <row r="12" spans="1:38" ht="21.75" customHeight="1" x14ac:dyDescent="0.3">
      <c r="B12" s="598"/>
      <c r="C12" s="101"/>
      <c r="D12" s="106" t="s">
        <v>1</v>
      </c>
      <c r="E12" s="773">
        <f>+'[1]5월'!$AE$8/1000</f>
        <v>2182.0861900693403</v>
      </c>
      <c r="F12" s="774">
        <f>+'[2]5월'!$AN$8/1000</f>
        <v>1975.778</v>
      </c>
      <c r="G12" s="750">
        <f t="shared" si="12"/>
        <v>-206.3081900693403</v>
      </c>
      <c r="H12" s="751">
        <f>+'[3]5월'!$AN$8/1000</f>
        <v>1320.4459999999999</v>
      </c>
      <c r="I12" s="752">
        <f t="shared" si="13"/>
        <v>655.33200000000011</v>
      </c>
      <c r="J12" s="773">
        <f>+[4]손익총괄!J12+E12</f>
        <v>7746.3091046586942</v>
      </c>
      <c r="K12" s="774">
        <f>+[4]손익총괄!K12+F12</f>
        <v>8504.2075800000002</v>
      </c>
      <c r="L12" s="750">
        <f t="shared" si="1"/>
        <v>757.89847534130604</v>
      </c>
      <c r="M12" s="751">
        <f>+[4]손익총괄!M12+H12</f>
        <v>5965.7548999999999</v>
      </c>
      <c r="N12" s="752">
        <f t="shared" si="2"/>
        <v>2538.4526800000003</v>
      </c>
      <c r="O12" s="100"/>
      <c r="P12" s="103"/>
      <c r="Q12" s="114" t="s">
        <v>73</v>
      </c>
      <c r="R12" s="305"/>
      <c r="S12" s="318">
        <f>SUM(S9:S11)</f>
        <v>314</v>
      </c>
      <c r="T12" s="115">
        <f>SUM(T9:T11)</f>
        <v>347.12900000000002</v>
      </c>
      <c r="U12" s="756">
        <f t="shared" si="20"/>
        <v>33.129000000000019</v>
      </c>
      <c r="V12" s="757">
        <f>SUM(V9:V11)</f>
        <v>364.40149999999994</v>
      </c>
      <c r="W12" s="758">
        <f t="shared" si="21"/>
        <v>-17.272499999999923</v>
      </c>
      <c r="X12" s="105"/>
      <c r="Z12" s="788"/>
      <c r="AA12" s="668" t="str">
        <f t="shared" si="27"/>
        <v>골재</v>
      </c>
      <c r="AB12" s="675">
        <f t="shared" si="28"/>
        <v>21.820861900693401</v>
      </c>
      <c r="AC12" s="681">
        <f t="shared" si="22"/>
        <v>19.75778</v>
      </c>
      <c r="AD12" s="678">
        <f t="shared" si="8"/>
        <v>-2.0630819006934011</v>
      </c>
      <c r="AE12" s="671">
        <f t="shared" si="23"/>
        <v>13.204459999999999</v>
      </c>
      <c r="AF12" s="687">
        <f t="shared" si="9"/>
        <v>6.5533200000000011</v>
      </c>
      <c r="AG12" s="684">
        <f t="shared" si="24"/>
        <v>77.463091046586939</v>
      </c>
      <c r="AH12" s="681">
        <f t="shared" si="25"/>
        <v>85.042075800000006</v>
      </c>
      <c r="AI12" s="678">
        <f t="shared" si="10"/>
        <v>7.5789847534130672</v>
      </c>
      <c r="AJ12" s="671">
        <f t="shared" si="26"/>
        <v>59.657548999999996</v>
      </c>
      <c r="AK12" s="675">
        <f t="shared" si="11"/>
        <v>25.38452680000001</v>
      </c>
    </row>
    <row r="13" spans="1:38" ht="21.75" customHeight="1" x14ac:dyDescent="0.3">
      <c r="B13" s="598"/>
      <c r="C13" s="101"/>
      <c r="D13" s="116" t="s">
        <v>4</v>
      </c>
      <c r="E13" s="780">
        <f>+'[1]5월'!$E$8/1000-E10-E11-E12</f>
        <v>164.9075003333287</v>
      </c>
      <c r="F13" s="781">
        <f>+'[2]5월'!$F$8/1000-F10-F11-F12</f>
        <v>166.22713600000156</v>
      </c>
      <c r="G13" s="753">
        <f t="shared" si="12"/>
        <v>1.3196356666728661</v>
      </c>
      <c r="H13" s="754">
        <f>+'[3]5월'!$F$8/1000-H10-H11-H12</f>
        <v>330.12233600000036</v>
      </c>
      <c r="I13" s="755">
        <f t="shared" si="13"/>
        <v>-163.89519999999879</v>
      </c>
      <c r="J13" s="780">
        <f>+[4]손익총괄!J13+E13</f>
        <v>824.53750166665077</v>
      </c>
      <c r="K13" s="781">
        <f>+[4]손익총괄!K13+F13</f>
        <v>825.58076799998912</v>
      </c>
      <c r="L13" s="753">
        <f t="shared" si="1"/>
        <v>1.0432663333383516</v>
      </c>
      <c r="M13" s="754">
        <f>+[4]손익총괄!M13+H13</f>
        <v>1027.6547000000064</v>
      </c>
      <c r="N13" s="755">
        <f t="shared" si="2"/>
        <v>-202.07393200001729</v>
      </c>
      <c r="O13" s="100"/>
      <c r="P13" s="103"/>
      <c r="Q13" s="107" t="s">
        <v>74</v>
      </c>
      <c r="R13" s="302" t="s">
        <v>19</v>
      </c>
      <c r="S13" s="315">
        <f>+[5]수도권!$T$61</f>
        <v>100452.98328622917</v>
      </c>
      <c r="T13" s="108">
        <f>+[5]수도권!$U$61</f>
        <v>99353.382025602928</v>
      </c>
      <c r="U13" s="747">
        <f t="shared" si="20"/>
        <v>-1099.6012606262375</v>
      </c>
      <c r="V13" s="748">
        <f>+[6]수도권!$Q$85</f>
        <v>95385.129125175445</v>
      </c>
      <c r="W13" s="749">
        <f t="shared" si="21"/>
        <v>3968.2529004274838</v>
      </c>
      <c r="X13" s="105"/>
      <c r="Z13" s="788"/>
      <c r="AA13" s="668" t="str">
        <f t="shared" si="27"/>
        <v>기타</v>
      </c>
      <c r="AB13" s="675">
        <f t="shared" si="28"/>
        <v>1.649075003333287</v>
      </c>
      <c r="AC13" s="681">
        <f t="shared" si="22"/>
        <v>1.6622713600000156</v>
      </c>
      <c r="AD13" s="678">
        <f t="shared" si="8"/>
        <v>1.3196356666728581E-2</v>
      </c>
      <c r="AE13" s="671">
        <f t="shared" si="23"/>
        <v>3.3012233600000034</v>
      </c>
      <c r="AF13" s="687">
        <f t="shared" si="9"/>
        <v>-1.6389519999999878</v>
      </c>
      <c r="AG13" s="684">
        <f t="shared" si="24"/>
        <v>8.2453750166665074</v>
      </c>
      <c r="AH13" s="681">
        <f t="shared" si="25"/>
        <v>8.2558076799998918</v>
      </c>
      <c r="AI13" s="678">
        <f t="shared" si="10"/>
        <v>1.043266333338444E-2</v>
      </c>
      <c r="AJ13" s="671">
        <f t="shared" si="26"/>
        <v>10.276547000000065</v>
      </c>
      <c r="AK13" s="675">
        <f t="shared" si="11"/>
        <v>-2.0207393200001729</v>
      </c>
    </row>
    <row r="14" spans="1:38" ht="21.75" customHeight="1" x14ac:dyDescent="0.3">
      <c r="A14" s="598">
        <f>+F14/E14</f>
        <v>1.0757062898796041</v>
      </c>
      <c r="B14" s="598">
        <f>+K14/J14</f>
        <v>1.0446884822008102</v>
      </c>
      <c r="C14" s="117" t="s">
        <v>8</v>
      </c>
      <c r="D14" s="118"/>
      <c r="E14" s="780">
        <f>SUM(E10:E13)</f>
        <v>43731.983529877063</v>
      </c>
      <c r="F14" s="781">
        <f>SUM(F10:F13)</f>
        <v>47042.769752000007</v>
      </c>
      <c r="G14" s="753">
        <f t="shared" si="12"/>
        <v>3310.7862221229443</v>
      </c>
      <c r="H14" s="754">
        <f>SUM(H10:H13)</f>
        <v>46501.414478000006</v>
      </c>
      <c r="I14" s="755">
        <f t="shared" si="13"/>
        <v>541.35527400000137</v>
      </c>
      <c r="J14" s="780">
        <f>SUM(J10:J13)</f>
        <v>191752.86109787325</v>
      </c>
      <c r="K14" s="781">
        <f>SUM(K10:K13)</f>
        <v>200322.00541799999</v>
      </c>
      <c r="L14" s="753">
        <f t="shared" si="1"/>
        <v>8569.1443201267393</v>
      </c>
      <c r="M14" s="754">
        <f>SUM(M10:M13)</f>
        <v>213252.49333100001</v>
      </c>
      <c r="N14" s="755">
        <f t="shared" si="2"/>
        <v>-12930.487913000019</v>
      </c>
      <c r="O14" s="100"/>
      <c r="P14" s="103"/>
      <c r="Q14" s="111"/>
      <c r="R14" s="303" t="s">
        <v>20</v>
      </c>
      <c r="S14" s="316">
        <f>+[5]영남권!$T$61</f>
        <v>102187.09313636363</v>
      </c>
      <c r="T14" s="112">
        <f>+[5]영남권!$U$61</f>
        <v>100729.73295151837</v>
      </c>
      <c r="U14" s="750">
        <f t="shared" si="20"/>
        <v>-1457.3601848452672</v>
      </c>
      <c r="V14" s="751">
        <f>+[6]영남권!$Q$85</f>
        <v>99395.408956843297</v>
      </c>
      <c r="W14" s="752">
        <f t="shared" si="21"/>
        <v>1334.3239946750691</v>
      </c>
      <c r="X14" s="105"/>
      <c r="Y14" s="598"/>
      <c r="Z14" s="696"/>
      <c r="AA14" s="706" t="s">
        <v>209</v>
      </c>
      <c r="AB14" s="707">
        <f>SUM(AB10:AB13)</f>
        <v>437.31983529877061</v>
      </c>
      <c r="AC14" s="724">
        <f t="shared" ref="AC14:AJ14" si="29">SUM(AC10:AC13)</f>
        <v>470.42769752000009</v>
      </c>
      <c r="AD14" s="708">
        <f t="shared" si="8"/>
        <v>33.107862221229482</v>
      </c>
      <c r="AE14" s="709">
        <f t="shared" si="29"/>
        <v>465.01414478000004</v>
      </c>
      <c r="AF14" s="710">
        <f t="shared" si="9"/>
        <v>5.4135527400000569</v>
      </c>
      <c r="AG14" s="711">
        <f t="shared" si="29"/>
        <v>1917.5286109787326</v>
      </c>
      <c r="AH14" s="724">
        <f t="shared" si="29"/>
        <v>2003.22005418</v>
      </c>
      <c r="AI14" s="708">
        <f t="shared" si="10"/>
        <v>85.691443201267475</v>
      </c>
      <c r="AJ14" s="709">
        <f t="shared" si="29"/>
        <v>2132.5249333100001</v>
      </c>
      <c r="AK14" s="707">
        <f t="shared" si="11"/>
        <v>-129.30487913000002</v>
      </c>
    </row>
    <row r="15" spans="1:38" ht="21.75" customHeight="1" x14ac:dyDescent="0.3">
      <c r="C15" s="101" t="s">
        <v>5</v>
      </c>
      <c r="D15" s="110" t="s">
        <v>53</v>
      </c>
      <c r="E15" s="775">
        <f>+('[1]5월'!$Z$10+'[1]5월'!$Z$19)/1000</f>
        <v>26262.490262039686</v>
      </c>
      <c r="F15" s="776">
        <f>+('[2]5월'!$Z$10+'[2]5월'!$Z$19)/1000</f>
        <v>29394.123130000004</v>
      </c>
      <c r="G15" s="777">
        <f t="shared" si="12"/>
        <v>3131.6328679603175</v>
      </c>
      <c r="H15" s="778">
        <f>+('[3]5월'!$Z$10+'[3]5월'!$Z$19)/1000</f>
        <v>28329.409531000005</v>
      </c>
      <c r="I15" s="779">
        <f t="shared" si="13"/>
        <v>1064.7135989999988</v>
      </c>
      <c r="J15" s="775">
        <f>+[4]손익총괄!J15+E15</f>
        <v>118019.71424504351</v>
      </c>
      <c r="K15" s="776">
        <f>+[4]손익총괄!K15+F15</f>
        <v>128726.37913000002</v>
      </c>
      <c r="L15" s="777">
        <f t="shared" si="1"/>
        <v>10706.66488495651</v>
      </c>
      <c r="M15" s="778">
        <f>+[4]손익총괄!M15+H15</f>
        <v>128663.02425101001</v>
      </c>
      <c r="N15" s="779">
        <f t="shared" si="2"/>
        <v>63.354878990008729</v>
      </c>
      <c r="O15" s="100"/>
      <c r="P15" s="103"/>
      <c r="Q15" s="111"/>
      <c r="R15" s="304" t="s">
        <v>169</v>
      </c>
      <c r="S15" s="317">
        <f>+[5]중부권!$T$61</f>
        <v>106261.16322123892</v>
      </c>
      <c r="T15" s="113">
        <f>+[5]중부권!$U$61</f>
        <v>105549.17441674772</v>
      </c>
      <c r="U15" s="753">
        <f t="shared" si="20"/>
        <v>-711.9888044912077</v>
      </c>
      <c r="V15" s="754">
        <f>+[6]중부권!$Q$85</f>
        <v>102538.02372387415</v>
      </c>
      <c r="W15" s="755">
        <f t="shared" si="21"/>
        <v>3011.1506928735616</v>
      </c>
      <c r="X15" s="105"/>
      <c r="Z15" s="789" t="s">
        <v>208</v>
      </c>
      <c r="AA15" s="740" t="str">
        <f>+D30</f>
        <v>레미콘</v>
      </c>
      <c r="AB15" s="741">
        <f>+E30/100</f>
        <v>51.870569963820742</v>
      </c>
      <c r="AC15" s="742">
        <f t="shared" ref="AC15:AC19" si="30">+F30/100</f>
        <v>50.627821060000031</v>
      </c>
      <c r="AD15" s="743">
        <f t="shared" si="8"/>
        <v>-1.2427489038207113</v>
      </c>
      <c r="AE15" s="744">
        <f t="shared" ref="AE15:AE19" si="31">+H30/100</f>
        <v>68.291819810000007</v>
      </c>
      <c r="AF15" s="745">
        <f t="shared" si="9"/>
        <v>-17.663998749999976</v>
      </c>
      <c r="AG15" s="746">
        <f t="shared" ref="AG15:AH15" si="32">+J30/100</f>
        <v>184.2996108987283</v>
      </c>
      <c r="AH15" s="742">
        <f t="shared" si="32"/>
        <v>174.11415848999994</v>
      </c>
      <c r="AI15" s="743">
        <f t="shared" si="10"/>
        <v>-10.185452408728366</v>
      </c>
      <c r="AJ15" s="744">
        <f t="shared" ref="AJ15:AJ19" si="33">+M30/100</f>
        <v>238.68507359989985</v>
      </c>
      <c r="AK15" s="741">
        <f t="shared" si="11"/>
        <v>-64.570915109899914</v>
      </c>
    </row>
    <row r="16" spans="1:38" ht="21.75" customHeight="1" x14ac:dyDescent="0.3">
      <c r="C16" s="101"/>
      <c r="D16" s="106" t="s">
        <v>3</v>
      </c>
      <c r="E16" s="773">
        <f>+('[1]5월'!$AA$10+'[1]5월'!$AA$19)/1000</f>
        <v>9048.0625777684218</v>
      </c>
      <c r="F16" s="774">
        <f>+('[2]5월'!$AO$10+'[2]5월'!$AO$19)/1000</f>
        <v>9519.8983310000003</v>
      </c>
      <c r="G16" s="750">
        <f>+F16-E16</f>
        <v>471.83575323157856</v>
      </c>
      <c r="H16" s="751">
        <f>+('[3]5월'!$AO$10+'[3]5월'!$AO$19)/1000</f>
        <v>8861.8125230000005</v>
      </c>
      <c r="I16" s="752">
        <f>+F16-H16</f>
        <v>658.08580799999982</v>
      </c>
      <c r="J16" s="773">
        <f>+[4]손익총괄!J16+E16</f>
        <v>42310.510557221045</v>
      </c>
      <c r="K16" s="774">
        <f>+[4]손익총괄!K16+F16</f>
        <v>40578.708603999999</v>
      </c>
      <c r="L16" s="750">
        <f t="shared" si="1"/>
        <v>-1731.8019532210456</v>
      </c>
      <c r="M16" s="751">
        <f>+[4]손익총괄!M16+H16</f>
        <v>49421.317563999997</v>
      </c>
      <c r="N16" s="752">
        <f t="shared" si="2"/>
        <v>-8842.6089599999978</v>
      </c>
      <c r="O16" s="100"/>
      <c r="P16" s="103"/>
      <c r="Q16" s="114" t="s">
        <v>73</v>
      </c>
      <c r="R16" s="305"/>
      <c r="S16" s="318">
        <f>+[5]합계!$T$61</f>
        <v>102227.07458096102</v>
      </c>
      <c r="T16" s="115">
        <f>+[5]합계!$U$61</f>
        <v>101219.55379406505</v>
      </c>
      <c r="U16" s="756">
        <f>+T16-S16</f>
        <v>-1007.5207868959696</v>
      </c>
      <c r="V16" s="757">
        <f>+[6]합계!$Q$85</f>
        <v>98307.131955357225</v>
      </c>
      <c r="W16" s="758">
        <f>+T16-V16</f>
        <v>2912.421838707829</v>
      </c>
      <c r="X16" s="105"/>
      <c r="Z16" s="790"/>
      <c r="AA16" s="698" t="str">
        <f t="shared" ref="AA16" si="34">+D31</f>
        <v>%</v>
      </c>
      <c r="AB16" s="699">
        <f>+E31</f>
        <v>0.16159407735288678</v>
      </c>
      <c r="AC16" s="700">
        <f>+F31</f>
        <v>0.14413227285141672</v>
      </c>
      <c r="AD16" s="701">
        <f t="shared" si="8"/>
        <v>-1.7461804501470057E-2</v>
      </c>
      <c r="AE16" s="702">
        <f>+H31</f>
        <v>0.19064359541805451</v>
      </c>
      <c r="AF16" s="703">
        <f t="shared" si="9"/>
        <v>-4.6511322566637786E-2</v>
      </c>
      <c r="AG16" s="704">
        <f>+J31</f>
        <v>0.13186906108660312</v>
      </c>
      <c r="AH16" s="700">
        <f>+K31</f>
        <v>0.11649406791915037</v>
      </c>
      <c r="AI16" s="701">
        <f t="shared" si="10"/>
        <v>-1.537499316745275E-2</v>
      </c>
      <c r="AJ16" s="702">
        <f>+M31</f>
        <v>0.15314238553205309</v>
      </c>
      <c r="AK16" s="699">
        <f t="shared" si="11"/>
        <v>-3.6648317612902714E-2</v>
      </c>
      <c r="AL16" s="705"/>
    </row>
    <row r="17" spans="2:37" ht="21.75" customHeight="1" x14ac:dyDescent="0.3">
      <c r="C17" s="101"/>
      <c r="D17" s="106" t="s">
        <v>1</v>
      </c>
      <c r="E17" s="773">
        <f>+('[1]5월'!$AE$10+'[1]5월'!$AE$19)/1000</f>
        <v>1923.88103369483</v>
      </c>
      <c r="F17" s="774">
        <f>+('[2]5월'!$AN$10+'[2]5월'!$AN$19)/1000</f>
        <v>1758.988284</v>
      </c>
      <c r="G17" s="750">
        <f t="shared" si="12"/>
        <v>-164.89274969482994</v>
      </c>
      <c r="H17" s="751">
        <f>+('[3]5월'!$AN$10+'[3]5월'!$AN$19)/1000</f>
        <v>1144.3205429999998</v>
      </c>
      <c r="I17" s="752">
        <f t="shared" si="13"/>
        <v>614.66774100000021</v>
      </c>
      <c r="J17" s="773">
        <f>+[4]손익총괄!J17+E17</f>
        <v>7047.26869176532</v>
      </c>
      <c r="K17" s="774">
        <f>+[4]손익총괄!K17+F17</f>
        <v>7535.7403380099995</v>
      </c>
      <c r="L17" s="750">
        <f t="shared" si="1"/>
        <v>488.4716462446795</v>
      </c>
      <c r="M17" s="751">
        <f>+[4]손익총괄!M17+H17</f>
        <v>5245.7058499799996</v>
      </c>
      <c r="N17" s="752">
        <f t="shared" si="2"/>
        <v>2290.0344880299999</v>
      </c>
      <c r="O17" s="100"/>
      <c r="P17" s="103"/>
      <c r="Q17" s="297" t="s">
        <v>75</v>
      </c>
      <c r="R17" s="306" t="s">
        <v>19</v>
      </c>
      <c r="S17" s="319">
        <f>+[5]수도권!$Q$90</f>
        <v>22934.523920235137</v>
      </c>
      <c r="T17" s="119">
        <f>+[5]수도권!$R$90</f>
        <v>19119.780774420986</v>
      </c>
      <c r="U17" s="759">
        <f t="shared" si="20"/>
        <v>-3814.7431458141509</v>
      </c>
      <c r="V17" s="760">
        <f>+[6]수도권!$Q$90</f>
        <v>22765.680129905159</v>
      </c>
      <c r="W17" s="761">
        <f t="shared" si="21"/>
        <v>-3645.8993554841727</v>
      </c>
      <c r="X17" s="105"/>
      <c r="Z17" s="790"/>
      <c r="AA17" s="669" t="str">
        <f t="shared" ref="AA17" si="35">+D32</f>
        <v>건자재</v>
      </c>
      <c r="AB17" s="677">
        <f t="shared" ref="AB17:AB19" si="36">+E32/100</f>
        <v>1.1354778328421145</v>
      </c>
      <c r="AC17" s="683">
        <f t="shared" si="30"/>
        <v>1.2236802699999885</v>
      </c>
      <c r="AD17" s="680">
        <f t="shared" si="8"/>
        <v>8.8202437157874014E-2</v>
      </c>
      <c r="AE17" s="673">
        <f t="shared" si="31"/>
        <v>0.54266284999999415</v>
      </c>
      <c r="AF17" s="689">
        <f t="shared" si="9"/>
        <v>0.68101741999999432</v>
      </c>
      <c r="AG17" s="686">
        <f t="shared" ref="AG17:AH17" si="37">+J32/100</f>
        <v>4.8125682541054315</v>
      </c>
      <c r="AH17" s="683">
        <f t="shared" si="37"/>
        <v>2.6495259499999837</v>
      </c>
      <c r="AI17" s="680">
        <f t="shared" si="10"/>
        <v>-2.1630423041054478</v>
      </c>
      <c r="AJ17" s="673">
        <f t="shared" si="33"/>
        <v>3.7686906500000101</v>
      </c>
      <c r="AK17" s="677">
        <f t="shared" si="11"/>
        <v>-1.1191647000000264</v>
      </c>
    </row>
    <row r="18" spans="2:37" ht="21.75" customHeight="1" x14ac:dyDescent="0.3">
      <c r="C18" s="101"/>
      <c r="D18" s="116" t="s">
        <v>4</v>
      </c>
      <c r="E18" s="780">
        <f>+('[1]5월'!$E$10+'[1]5월'!$E$19)/1000-E15-E16-E17</f>
        <v>65.348897999996552</v>
      </c>
      <c r="F18" s="781">
        <f>+('[2]5월'!$F$10+'[2]5월'!$F$19)/1000-F15-F16-F17</f>
        <v>31.483638000004248</v>
      </c>
      <c r="G18" s="753">
        <f t="shared" si="12"/>
        <v>-33.865259999992304</v>
      </c>
      <c r="H18" s="754">
        <f>+('[3]5월'!$F$10+'[3]5월'!$F$19)/1000-H15-H16-H17</f>
        <v>184.36644500000875</v>
      </c>
      <c r="I18" s="755">
        <f t="shared" si="13"/>
        <v>-152.8828070000045</v>
      </c>
      <c r="J18" s="780">
        <f>+[4]손익총괄!J18+E18</f>
        <v>237.96291799999244</v>
      </c>
      <c r="K18" s="781">
        <f>+[4]손익총괄!K18+F18</f>
        <v>131.40671600000633</v>
      </c>
      <c r="L18" s="753">
        <f t="shared" si="1"/>
        <v>-106.55620199998611</v>
      </c>
      <c r="M18" s="754">
        <f>+[4]손익총괄!M18+H18</f>
        <v>240.47013900001821</v>
      </c>
      <c r="N18" s="755">
        <f t="shared" si="2"/>
        <v>-109.06342300001188</v>
      </c>
      <c r="O18" s="100"/>
      <c r="P18" s="103"/>
      <c r="Q18" s="298"/>
      <c r="R18" s="307" t="s">
        <v>20</v>
      </c>
      <c r="S18" s="320">
        <f>+[5]영남권!$Q$90</f>
        <v>26998.985765061239</v>
      </c>
      <c r="T18" s="120">
        <f>+[5]영남권!$R$90</f>
        <v>22869.321038192968</v>
      </c>
      <c r="U18" s="762">
        <f t="shared" si="20"/>
        <v>-4129.6647268682718</v>
      </c>
      <c r="V18" s="763">
        <f>+[6]영남권!$Q$90</f>
        <v>28232.721389630053</v>
      </c>
      <c r="W18" s="764">
        <f t="shared" si="21"/>
        <v>-5363.4003514370852</v>
      </c>
      <c r="X18" s="105"/>
      <c r="Z18" s="790"/>
      <c r="AA18" s="669" t="str">
        <f t="shared" ref="AA18" si="38">+D33</f>
        <v>골재</v>
      </c>
      <c r="AB18" s="677">
        <f t="shared" si="36"/>
        <v>2.2242640637451037</v>
      </c>
      <c r="AC18" s="683">
        <f t="shared" si="30"/>
        <v>1.7157907712031986</v>
      </c>
      <c r="AD18" s="680">
        <f t="shared" si="8"/>
        <v>-0.5084732925419051</v>
      </c>
      <c r="AE18" s="673">
        <f t="shared" si="31"/>
        <v>0.79444908000000103</v>
      </c>
      <c r="AF18" s="689">
        <f t="shared" si="9"/>
        <v>0.92134169120319753</v>
      </c>
      <c r="AG18" s="686">
        <f t="shared" ref="AG18:AH18" si="39">+J33/100</f>
        <v>3.3114997778226307</v>
      </c>
      <c r="AH18" s="683">
        <f t="shared" si="39"/>
        <v>7.4457721548704203</v>
      </c>
      <c r="AI18" s="680">
        <f t="shared" si="10"/>
        <v>4.1342723770477896</v>
      </c>
      <c r="AJ18" s="673">
        <f t="shared" si="33"/>
        <v>5.2880245802000037</v>
      </c>
      <c r="AK18" s="677">
        <f t="shared" si="11"/>
        <v>2.1577475746704167</v>
      </c>
    </row>
    <row r="19" spans="2:37" ht="21.75" customHeight="1" x14ac:dyDescent="0.3">
      <c r="C19" s="101" t="s">
        <v>8</v>
      </c>
      <c r="D19" s="121"/>
      <c r="E19" s="773">
        <f>SUM(E15:E18)</f>
        <v>37299.782771502934</v>
      </c>
      <c r="F19" s="774">
        <f>SUM(F15:F18)</f>
        <v>40704.493383000008</v>
      </c>
      <c r="G19" s="750">
        <f t="shared" si="12"/>
        <v>3404.7106114970738</v>
      </c>
      <c r="H19" s="751">
        <f>SUM(H15:H18)</f>
        <v>38519.909042000014</v>
      </c>
      <c r="I19" s="752">
        <f t="shared" si="13"/>
        <v>2184.5843409999943</v>
      </c>
      <c r="J19" s="773">
        <f>SUM(J15:J18)</f>
        <v>167615.45641202986</v>
      </c>
      <c r="K19" s="774">
        <f>SUM(K15:K18)</f>
        <v>176972.23478800998</v>
      </c>
      <c r="L19" s="750">
        <f t="shared" si="1"/>
        <v>9356.7783759801241</v>
      </c>
      <c r="M19" s="751">
        <f>SUM(M15:M18)</f>
        <v>183570.51780399002</v>
      </c>
      <c r="N19" s="752">
        <f t="shared" si="2"/>
        <v>-6598.283015980036</v>
      </c>
      <c r="O19" s="100"/>
      <c r="P19" s="103"/>
      <c r="Q19" s="298"/>
      <c r="R19" s="308" t="s">
        <v>169</v>
      </c>
      <c r="S19" s="321">
        <f>+[5]중부권!$Q$90</f>
        <v>30676.18800720197</v>
      </c>
      <c r="T19" s="122">
        <f>+[5]중부권!$R$90</f>
        <v>31197.020525931526</v>
      </c>
      <c r="U19" s="765">
        <f t="shared" si="20"/>
        <v>520.83251872955589</v>
      </c>
      <c r="V19" s="766">
        <f>+[6]중부권!$Q$90</f>
        <v>32814.610240591661</v>
      </c>
      <c r="W19" s="767">
        <f t="shared" si="21"/>
        <v>-1617.5897146601346</v>
      </c>
      <c r="X19" s="105"/>
      <c r="Z19" s="790"/>
      <c r="AA19" s="669" t="str">
        <f t="shared" ref="AA19" si="40">+D34</f>
        <v>기타</v>
      </c>
      <c r="AB19" s="677">
        <f t="shared" si="36"/>
        <v>-11.441403254820573</v>
      </c>
      <c r="AC19" s="683">
        <f t="shared" si="30"/>
        <v>-11.394369551194764</v>
      </c>
      <c r="AD19" s="680">
        <f t="shared" si="8"/>
        <v>4.7033703625809054E-2</v>
      </c>
      <c r="AE19" s="673">
        <f t="shared" si="31"/>
        <v>-9.4452053300000838</v>
      </c>
      <c r="AF19" s="689">
        <f t="shared" si="9"/>
        <v>-1.94916422119468</v>
      </c>
      <c r="AG19" s="686">
        <f t="shared" ref="AG19:AH19" si="41">+J34/100</f>
        <v>-60.960159132873613</v>
      </c>
      <c r="AH19" s="683">
        <f t="shared" si="41"/>
        <v>-77.502589824953589</v>
      </c>
      <c r="AI19" s="680">
        <f t="shared" si="10"/>
        <v>-16.542430692079975</v>
      </c>
      <c r="AJ19" s="673">
        <f t="shared" si="33"/>
        <v>-51.954273010000115</v>
      </c>
      <c r="AK19" s="677">
        <f t="shared" si="11"/>
        <v>-25.548316814953473</v>
      </c>
    </row>
    <row r="20" spans="2:37" ht="21.75" customHeight="1" x14ac:dyDescent="0.3">
      <c r="C20" s="109" t="s">
        <v>18</v>
      </c>
      <c r="D20" s="110" t="s">
        <v>53</v>
      </c>
      <c r="E20" s="775">
        <f t="shared" ref="E20:F23" si="42">+E10-E15</f>
        <v>5836.8111563820748</v>
      </c>
      <c r="F20" s="776">
        <f t="shared" si="42"/>
        <v>5731.8206010000031</v>
      </c>
      <c r="G20" s="777">
        <f t="shared" si="12"/>
        <v>-104.99055538207176</v>
      </c>
      <c r="H20" s="778">
        <f t="shared" ref="H20" si="43">+H10-H15</f>
        <v>7492.3130190000011</v>
      </c>
      <c r="I20" s="779">
        <f t="shared" si="13"/>
        <v>-1760.492417999998</v>
      </c>
      <c r="J20" s="775">
        <f t="shared" ref="J20:K20" si="44">+J10-J15</f>
        <v>21739.839193872831</v>
      </c>
      <c r="K20" s="776">
        <f t="shared" si="44"/>
        <v>20735.444634999993</v>
      </c>
      <c r="L20" s="777">
        <f t="shared" si="1"/>
        <v>-1004.3945588728384</v>
      </c>
      <c r="M20" s="778">
        <f t="shared" ref="M20" si="45">+M10-M15</f>
        <v>27195.246318989986</v>
      </c>
      <c r="N20" s="779">
        <f t="shared" si="2"/>
        <v>-6459.8016839899938</v>
      </c>
      <c r="O20" s="100"/>
      <c r="P20" s="103"/>
      <c r="Q20" s="299" t="s">
        <v>73</v>
      </c>
      <c r="R20" s="309"/>
      <c r="S20" s="322">
        <f>+[5]합계!$Q$90</f>
        <v>26036.157628613073</v>
      </c>
      <c r="T20" s="123">
        <f>+[5]합계!$R$90</f>
        <v>23245.011833541983</v>
      </c>
      <c r="U20" s="768">
        <f t="shared" si="20"/>
        <v>-2791.1457950710901</v>
      </c>
      <c r="V20" s="769">
        <f>+[6]합계!$Q$90</f>
        <v>26804.055500358911</v>
      </c>
      <c r="W20" s="770">
        <f t="shared" si="21"/>
        <v>-3559.0436668169277</v>
      </c>
      <c r="X20" s="105"/>
      <c r="Z20" s="790"/>
      <c r="AA20" s="712" t="s">
        <v>209</v>
      </c>
      <c r="AB20" s="713">
        <f>+AB15+AB17+AB18+AB19</f>
        <v>43.788908605587388</v>
      </c>
      <c r="AC20" s="725">
        <f>+AC15+AC17+AC18+AC19</f>
        <v>42.172922550008451</v>
      </c>
      <c r="AD20" s="714">
        <f t="shared" si="8"/>
        <v>-1.6159860555789365</v>
      </c>
      <c r="AE20" s="715">
        <f>+AE15+AE17+AE18+AE19</f>
        <v>60.183726409999927</v>
      </c>
      <c r="AF20" s="716">
        <f t="shared" si="9"/>
        <v>-18.010803859991476</v>
      </c>
      <c r="AG20" s="717">
        <f t="shared" ref="AG20:AH20" si="46">+AG15+AG17+AG18+AG19</f>
        <v>131.46351979778274</v>
      </c>
      <c r="AH20" s="725">
        <f t="shared" si="46"/>
        <v>106.70686676991676</v>
      </c>
      <c r="AI20" s="714">
        <f t="shared" si="10"/>
        <v>-24.75665302786598</v>
      </c>
      <c r="AJ20" s="715">
        <f>+AJ15+AJ17+AJ18+AJ19</f>
        <v>195.78751582009974</v>
      </c>
      <c r="AK20" s="713">
        <f t="shared" si="11"/>
        <v>-89.080649050182984</v>
      </c>
    </row>
    <row r="21" spans="2:37" ht="21.75" customHeight="1" thickBot="1" x14ac:dyDescent="0.35">
      <c r="C21" s="101"/>
      <c r="D21" s="106" t="s">
        <v>3</v>
      </c>
      <c r="E21" s="773">
        <f t="shared" si="42"/>
        <v>237.62584328421144</v>
      </c>
      <c r="F21" s="774">
        <f t="shared" si="42"/>
        <v>254.92255399999885</v>
      </c>
      <c r="G21" s="750">
        <f>+F21-E21</f>
        <v>17.296710715787412</v>
      </c>
      <c r="H21" s="751">
        <f t="shared" ref="H21" si="47">+H11-H16</f>
        <v>167.31106899999941</v>
      </c>
      <c r="I21" s="752">
        <f>+F21-H21</f>
        <v>87.611484999999448</v>
      </c>
      <c r="J21" s="773">
        <f t="shared" ref="J21:K21" si="48">+J11-J16</f>
        <v>1111.9504954105432</v>
      </c>
      <c r="K21" s="774">
        <f t="shared" si="48"/>
        <v>951.68470099999831</v>
      </c>
      <c r="L21" s="750">
        <f t="shared" si="1"/>
        <v>-160.26579441054491</v>
      </c>
      <c r="M21" s="751">
        <f t="shared" ref="M21" si="49">+M11-M16</f>
        <v>979.495597000001</v>
      </c>
      <c r="N21" s="752">
        <f t="shared" si="2"/>
        <v>-27.810896000002685</v>
      </c>
      <c r="O21" s="100"/>
      <c r="P21" s="103"/>
      <c r="Q21" s="157" t="s">
        <v>106</v>
      </c>
      <c r="R21" s="158"/>
      <c r="S21" s="159"/>
      <c r="T21" s="165"/>
      <c r="U21" s="159"/>
      <c r="X21" s="105"/>
      <c r="Z21" s="697"/>
      <c r="AA21" s="718" t="str">
        <f t="shared" ref="AA21:AK21" si="50">+D36</f>
        <v>%</v>
      </c>
      <c r="AB21" s="719">
        <f t="shared" si="50"/>
        <v>0.10013016806262959</v>
      </c>
      <c r="AC21" s="726">
        <f t="shared" si="50"/>
        <v>8.9648043200550476E-2</v>
      </c>
      <c r="AD21" s="720">
        <f t="shared" si="50"/>
        <v>-1.0482124862079112E-2</v>
      </c>
      <c r="AE21" s="721">
        <f t="shared" si="50"/>
        <v>0.12942343170759477</v>
      </c>
      <c r="AF21" s="722">
        <f t="shared" si="50"/>
        <v>-3.977538850704429E-2</v>
      </c>
      <c r="AG21" s="723">
        <f t="shared" si="50"/>
        <v>6.8558830906143314E-2</v>
      </c>
      <c r="AH21" s="726">
        <f t="shared" si="50"/>
        <v>5.3267670991640641E-2</v>
      </c>
      <c r="AI21" s="720">
        <f t="shared" si="50"/>
        <v>-1.5291159914502674E-2</v>
      </c>
      <c r="AJ21" s="721">
        <f t="shared" si="50"/>
        <v>9.1810188364929476E-2</v>
      </c>
      <c r="AK21" s="719">
        <f t="shared" si="50"/>
        <v>-3.8542517373288836E-2</v>
      </c>
    </row>
    <row r="22" spans="2:37" ht="21.75" customHeight="1" x14ac:dyDescent="0.3">
      <c r="C22" s="101"/>
      <c r="D22" s="106" t="s">
        <v>1</v>
      </c>
      <c r="E22" s="773">
        <f t="shared" si="42"/>
        <v>258.20515637451035</v>
      </c>
      <c r="F22" s="774">
        <f t="shared" si="42"/>
        <v>216.789716</v>
      </c>
      <c r="G22" s="750">
        <f t="shared" si="12"/>
        <v>-41.415440374510354</v>
      </c>
      <c r="H22" s="751">
        <f t="shared" ref="H22" si="51">+H12-H17</f>
        <v>176.1254570000001</v>
      </c>
      <c r="I22" s="752">
        <f t="shared" si="13"/>
        <v>40.664258999999902</v>
      </c>
      <c r="J22" s="773">
        <f t="shared" ref="J22:K22" si="52">+J12-J17</f>
        <v>699.0404128933742</v>
      </c>
      <c r="K22" s="774">
        <f t="shared" si="52"/>
        <v>968.46724199000073</v>
      </c>
      <c r="L22" s="750">
        <f t="shared" si="1"/>
        <v>269.42682909662653</v>
      </c>
      <c r="M22" s="751">
        <f t="shared" ref="M22" si="53">+M12-M17</f>
        <v>720.04905002000032</v>
      </c>
      <c r="N22" s="752">
        <f t="shared" si="2"/>
        <v>248.41819197000041</v>
      </c>
      <c r="O22" s="100"/>
      <c r="P22" s="103"/>
      <c r="Q22" s="345" t="s">
        <v>11</v>
      </c>
      <c r="R22" s="346"/>
      <c r="S22" s="347" t="s">
        <v>15</v>
      </c>
      <c r="T22" s="348" t="s">
        <v>16</v>
      </c>
      <c r="U22" s="349" t="s">
        <v>113</v>
      </c>
      <c r="V22" s="348" t="s">
        <v>17</v>
      </c>
      <c r="W22" s="350" t="s">
        <v>114</v>
      </c>
      <c r="X22" s="105"/>
      <c r="Z22" s="784" t="s">
        <v>234</v>
      </c>
    </row>
    <row r="23" spans="2:37" ht="21.75" customHeight="1" x14ac:dyDescent="0.3">
      <c r="C23" s="101"/>
      <c r="D23" s="116" t="s">
        <v>4</v>
      </c>
      <c r="E23" s="780">
        <f t="shared" si="42"/>
        <v>99.558602333332146</v>
      </c>
      <c r="F23" s="781">
        <f t="shared" si="42"/>
        <v>134.74349799999732</v>
      </c>
      <c r="G23" s="753">
        <f t="shared" si="12"/>
        <v>35.18489566666517</v>
      </c>
      <c r="H23" s="754">
        <f t="shared" ref="H23" si="54">+H13-H18</f>
        <v>145.75589099999161</v>
      </c>
      <c r="I23" s="755">
        <f t="shared" si="13"/>
        <v>-11.01239299999429</v>
      </c>
      <c r="J23" s="780">
        <f t="shared" ref="J23:K23" si="55">+J13-J18</f>
        <v>586.57458366665833</v>
      </c>
      <c r="K23" s="781">
        <f t="shared" si="55"/>
        <v>694.17405199998279</v>
      </c>
      <c r="L23" s="753">
        <f t="shared" si="1"/>
        <v>107.59946833332447</v>
      </c>
      <c r="M23" s="754">
        <f t="shared" ref="M23" si="56">+M13-M18</f>
        <v>787.18456099998821</v>
      </c>
      <c r="N23" s="755">
        <f t="shared" si="2"/>
        <v>-93.010509000005413</v>
      </c>
      <c r="O23" s="100"/>
      <c r="P23" s="103"/>
      <c r="Q23" s="160" t="s">
        <v>107</v>
      </c>
      <c r="R23" s="161"/>
      <c r="S23" s="331">
        <f>+'[7]5월'!$F$10</f>
        <v>977631.57894736843</v>
      </c>
      <c r="T23" s="337">
        <f>+'[7]5월'!$G$10</f>
        <v>811389.30758305453</v>
      </c>
      <c r="U23" s="334">
        <f>+T23-S23</f>
        <v>-166242.2713643139</v>
      </c>
      <c r="V23" s="313">
        <f>+'[8]5월'!$G$10</f>
        <v>1064717.6492676102</v>
      </c>
      <c r="W23" s="310">
        <f>+T23-V23</f>
        <v>-253328.34168455563</v>
      </c>
      <c r="X23" s="105"/>
    </row>
    <row r="24" spans="2:37" ht="21.75" customHeight="1" x14ac:dyDescent="0.3">
      <c r="C24" s="117" t="s">
        <v>8</v>
      </c>
      <c r="D24" s="118"/>
      <c r="E24" s="780">
        <f>SUM(E20:E23)</f>
        <v>6432.2007583741288</v>
      </c>
      <c r="F24" s="781">
        <f>SUM(F20:F23)</f>
        <v>6338.2763689999992</v>
      </c>
      <c r="G24" s="753">
        <f t="shared" si="12"/>
        <v>-93.924389374129532</v>
      </c>
      <c r="H24" s="754">
        <f>SUM(H20:H23)</f>
        <v>7981.5054359999922</v>
      </c>
      <c r="I24" s="755">
        <f t="shared" si="13"/>
        <v>-1643.2290669999929</v>
      </c>
      <c r="J24" s="780">
        <f>SUM(J20:J23)</f>
        <v>24137.404685843405</v>
      </c>
      <c r="K24" s="781">
        <f>SUM(K20:K23)</f>
        <v>23349.770629989976</v>
      </c>
      <c r="L24" s="753">
        <f t="shared" si="1"/>
        <v>-787.63405585342844</v>
      </c>
      <c r="M24" s="754">
        <f>SUM(M20:M23)</f>
        <v>29681.975527009974</v>
      </c>
      <c r="N24" s="755">
        <f t="shared" si="2"/>
        <v>-6332.2048970199976</v>
      </c>
      <c r="O24" s="100"/>
      <c r="P24" s="103"/>
      <c r="Q24" s="162" t="s">
        <v>108</v>
      </c>
      <c r="R24" s="163"/>
      <c r="S24" s="332">
        <f>+'[7]5월'!$F$15</f>
        <v>2.329542395693136E-2</v>
      </c>
      <c r="T24" s="338">
        <f>+'[7]5월'!$G$15</f>
        <v>2.5679335587291203E-2</v>
      </c>
      <c r="U24" s="335">
        <f>+T24-S24</f>
        <v>2.3839116303598432E-3</v>
      </c>
      <c r="V24" s="314">
        <f>+'[8]5월'!$G$15</f>
        <v>1.8355556127425569E-2</v>
      </c>
      <c r="W24" s="311">
        <f>+T24-V24</f>
        <v>7.3237794598656342E-3</v>
      </c>
      <c r="X24" s="105"/>
    </row>
    <row r="25" spans="2:37" ht="21.75" customHeight="1" x14ac:dyDescent="0.3">
      <c r="C25" s="109" t="s">
        <v>6</v>
      </c>
      <c r="D25" s="110" t="s">
        <v>53</v>
      </c>
      <c r="E25" s="775">
        <f>+('[1]5월'!$Z$13+'[1]5월'!$Z$20)/1000</f>
        <v>649.75416000000007</v>
      </c>
      <c r="F25" s="776">
        <f>+('[2]5월'!$Z$13+'[2]5월'!$Z$20)/1000</f>
        <v>669.03849500000013</v>
      </c>
      <c r="G25" s="777">
        <f t="shared" si="12"/>
        <v>19.284335000000056</v>
      </c>
      <c r="H25" s="778">
        <f>+('[3]5월'!$Z$13+'[3]5월'!$Z$20)/1000</f>
        <v>663.1310380000001</v>
      </c>
      <c r="I25" s="779">
        <f t="shared" si="13"/>
        <v>5.9074570000000222</v>
      </c>
      <c r="J25" s="775">
        <f>+[4]손익총괄!J25+E25</f>
        <v>3309.8781039999999</v>
      </c>
      <c r="K25" s="776">
        <f>+[4]손익총괄!K25+F25</f>
        <v>3324.0287860000003</v>
      </c>
      <c r="L25" s="777">
        <f t="shared" si="1"/>
        <v>14.150682000000415</v>
      </c>
      <c r="M25" s="778">
        <f>+[4]손익총괄!M25+H25</f>
        <v>3326.7389590000002</v>
      </c>
      <c r="N25" s="779">
        <f t="shared" si="2"/>
        <v>-2.7101729999999407</v>
      </c>
      <c r="O25" s="100"/>
      <c r="P25" s="103"/>
      <c r="Q25" s="157" t="s">
        <v>109</v>
      </c>
      <c r="R25" s="164"/>
      <c r="S25" s="75"/>
      <c r="T25" s="165"/>
      <c r="U25" s="75"/>
      <c r="X25" s="105"/>
    </row>
    <row r="26" spans="2:37" ht="21.75" customHeight="1" x14ac:dyDescent="0.3">
      <c r="C26" s="101"/>
      <c r="D26" s="106" t="s">
        <v>85</v>
      </c>
      <c r="E26" s="773">
        <f>+('[1]5월'!$AA$13+'[1]5월'!$AA$20)/1000</f>
        <v>124.07805999999999</v>
      </c>
      <c r="F26" s="774">
        <f>+('[2]5월'!$AO$13+'[2]5월'!$AO$20)/1000</f>
        <v>132.55452700000001</v>
      </c>
      <c r="G26" s="750">
        <f>+F26-E26</f>
        <v>8.4764670000000137</v>
      </c>
      <c r="H26" s="751">
        <f>+('[3]5월'!$AO$13+'[3]5월'!$AO$20)/1000</f>
        <v>113.04478399999999</v>
      </c>
      <c r="I26" s="752">
        <f>+F26-H26</f>
        <v>19.509743000000014</v>
      </c>
      <c r="J26" s="773">
        <f>+[4]손익총괄!J26+E26</f>
        <v>630.69367000000011</v>
      </c>
      <c r="K26" s="774">
        <f>+[4]손익총괄!K26+F26</f>
        <v>686.73210599999993</v>
      </c>
      <c r="L26" s="750">
        <f t="shared" si="1"/>
        <v>56.03843599999982</v>
      </c>
      <c r="M26" s="751">
        <f>+[4]손익총괄!M26+H26</f>
        <v>602.626532</v>
      </c>
      <c r="N26" s="752">
        <f t="shared" si="2"/>
        <v>84.105573999999933</v>
      </c>
      <c r="O26" s="100"/>
      <c r="P26" s="103"/>
      <c r="Q26" s="345" t="s">
        <v>11</v>
      </c>
      <c r="R26" s="346"/>
      <c r="S26" s="347" t="s">
        <v>15</v>
      </c>
      <c r="T26" s="348" t="s">
        <v>16</v>
      </c>
      <c r="U26" s="349" t="s">
        <v>113</v>
      </c>
      <c r="V26" s="348" t="s">
        <v>17</v>
      </c>
      <c r="W26" s="350" t="s">
        <v>114</v>
      </c>
      <c r="X26" s="105"/>
    </row>
    <row r="27" spans="2:37" ht="21.75" customHeight="1" x14ac:dyDescent="0.3">
      <c r="C27" s="101"/>
      <c r="D27" s="106" t="s">
        <v>1</v>
      </c>
      <c r="E27" s="773">
        <f>+('[1]5월'!$AE$13+'[1]5월'!$AE$20+'[1]5월'!$AE$22)/1000</f>
        <v>35.778750000000009</v>
      </c>
      <c r="F27" s="774">
        <f>+('[2]5월'!$AN$13+'[2]5월'!$AN$20+'[2]5월'!$AN$22)/1000</f>
        <v>45.210638879680147</v>
      </c>
      <c r="G27" s="750">
        <f t="shared" si="12"/>
        <v>9.4318888796801374</v>
      </c>
      <c r="H27" s="751">
        <f>+('[3]5월'!$AN$13+'[3]5월'!$AN$20+'[3]5월'!$AN$22)/1000</f>
        <v>96.680548999999999</v>
      </c>
      <c r="I27" s="752">
        <f t="shared" si="13"/>
        <v>-51.469910120319852</v>
      </c>
      <c r="J27" s="773">
        <f>+[4]손익총괄!J27+E27</f>
        <v>367.89043511111112</v>
      </c>
      <c r="K27" s="774">
        <f>+[4]손익총괄!K27+F27</f>
        <v>223.89002650295868</v>
      </c>
      <c r="L27" s="750">
        <f t="shared" si="1"/>
        <v>-144.00040860815244</v>
      </c>
      <c r="M27" s="751">
        <f>+[4]손익총괄!M27+H27</f>
        <v>191.24659199999996</v>
      </c>
      <c r="N27" s="752">
        <f t="shared" si="2"/>
        <v>32.643434502958712</v>
      </c>
      <c r="O27" s="100"/>
      <c r="P27" s="103"/>
      <c r="Q27" s="1" t="s">
        <v>110</v>
      </c>
      <c r="R27" s="300" t="s">
        <v>111</v>
      </c>
      <c r="S27" s="331">
        <f>(+'[9]서부산크라샤(당월)'!$N$66+'[9]부산모래장(당월)'!$Q$48+'[9]부산크라샤(당월)'!$N$66)/1000</f>
        <v>58.255414898072651</v>
      </c>
      <c r="T27" s="337">
        <f>(+'[9]서부산크라샤(당월)'!$O$66+'[9]부산모래장(당월)'!$R$48+'[9]부산크라샤(당월)'!$O$66)/1000</f>
        <v>60.875999999999998</v>
      </c>
      <c r="U27" s="334">
        <f>+T27-S27</f>
        <v>2.6205851019273467</v>
      </c>
      <c r="V27" s="313">
        <f>('[10]부산골재(당월)'!$R$48+'[10]서부산골재(당월)'!$O$66+'[10]부산크라샤(당월)'!$O$66)/1000</f>
        <v>41.968000000000004</v>
      </c>
      <c r="W27" s="310">
        <f>+T27-V27</f>
        <v>18.907999999999994</v>
      </c>
      <c r="X27" s="105"/>
    </row>
    <row r="28" spans="2:37" ht="21.75" customHeight="1" x14ac:dyDescent="0.3">
      <c r="B28" s="98"/>
      <c r="C28" s="101"/>
      <c r="D28" s="116" t="s">
        <v>4</v>
      </c>
      <c r="E28" s="780">
        <f>+('[1]5월'!$E$13+'[1]5월'!$E$20)/1000-E25-E26-E27+('[1]5월'!$E$22/1000)</f>
        <v>1243.6989278153894</v>
      </c>
      <c r="F28" s="781">
        <f>+('[2]5월'!$F$13+'[2]5월'!$F$20)/1000-F25-F26-F27+'[2]5월'!$F$22/1000</f>
        <v>1274.1804531194737</v>
      </c>
      <c r="G28" s="753">
        <f t="shared" si="12"/>
        <v>30.481525304084244</v>
      </c>
      <c r="H28" s="754">
        <f>+('[3]5월'!$F$13+'[3]5월'!$F$20)/1000-H25-H26-H27+'[3]5월'!$F$22/1000</f>
        <v>1090.2764239999999</v>
      </c>
      <c r="I28" s="755">
        <f t="shared" si="13"/>
        <v>183.90402911947376</v>
      </c>
      <c r="J28" s="780">
        <f>+[4]손익총괄!J28+E28</f>
        <v>6682.5904969540197</v>
      </c>
      <c r="K28" s="781">
        <f>+[4]손익총괄!K28+F28</f>
        <v>8444.4330344953414</v>
      </c>
      <c r="L28" s="753">
        <f t="shared" si="1"/>
        <v>1761.8425375413217</v>
      </c>
      <c r="M28" s="754">
        <f>+[4]손익총괄!M28+H28</f>
        <v>5982.6118619999997</v>
      </c>
      <c r="N28" s="755">
        <f t="shared" si="2"/>
        <v>2461.8211724953417</v>
      </c>
      <c r="O28" s="100"/>
      <c r="P28" s="103"/>
      <c r="Q28" s="2"/>
      <c r="R28" s="301" t="s">
        <v>112</v>
      </c>
      <c r="S28" s="333">
        <f>(+'[9]서부산크라샤(당월)'!$N$59+'[9]부산모래장(당월)'!$Q$47+'[9]부산크라샤(당월)'!$N$59)/1000</f>
        <v>62.8</v>
      </c>
      <c r="T28" s="154">
        <f>(+'[9]서부산크라샤(당월)'!$O$59+'[9]부산모래장(당월)'!$R$47+'[9]부산크라샤(당월)'!$O$59)/1000</f>
        <v>38.439</v>
      </c>
      <c r="U28" s="336">
        <f>+T28-S28</f>
        <v>-24.360999999999997</v>
      </c>
      <c r="V28" s="73">
        <f>+('[10]부산골재(당월)'!$R$47+'[10]서부산골재(당월)'!$O$59+'[10]부산크라샤(당월)'!$O$59)/1000</f>
        <v>25.59</v>
      </c>
      <c r="W28" s="312">
        <f>+T28-V28</f>
        <v>12.849</v>
      </c>
      <c r="X28" s="105"/>
    </row>
    <row r="29" spans="2:37" ht="21.75" customHeight="1" x14ac:dyDescent="0.3">
      <c r="C29" s="117" t="s">
        <v>8</v>
      </c>
      <c r="D29" s="118"/>
      <c r="E29" s="780">
        <f>SUM(E25:E28)</f>
        <v>2053.3098978153894</v>
      </c>
      <c r="F29" s="781">
        <f>SUM(F25:F28)</f>
        <v>2120.984113999154</v>
      </c>
      <c r="G29" s="753">
        <f t="shared" si="12"/>
        <v>67.674216183764656</v>
      </c>
      <c r="H29" s="754">
        <f>SUM(H25:H28)</f>
        <v>1963.132795</v>
      </c>
      <c r="I29" s="755">
        <f t="shared" si="13"/>
        <v>157.85131899915405</v>
      </c>
      <c r="J29" s="780">
        <f>SUM(J25:J28)</f>
        <v>10991.052706065131</v>
      </c>
      <c r="K29" s="781">
        <f>SUM(K25:K28)</f>
        <v>12679.0839529983</v>
      </c>
      <c r="L29" s="753">
        <f t="shared" si="1"/>
        <v>1688.0312469331693</v>
      </c>
      <c r="M29" s="754">
        <f>SUM(M25:M28)</f>
        <v>10103.223945</v>
      </c>
      <c r="N29" s="755">
        <f t="shared" si="2"/>
        <v>2575.8600079983007</v>
      </c>
      <c r="O29" s="100"/>
      <c r="P29" s="103"/>
      <c r="Q29" s="807" t="s">
        <v>141</v>
      </c>
      <c r="R29" s="808"/>
      <c r="S29" s="333">
        <f>SUM(S27:S28)</f>
        <v>121.05541489807266</v>
      </c>
      <c r="T29" s="154">
        <f>SUM(T27:T28)</f>
        <v>99.314999999999998</v>
      </c>
      <c r="U29" s="336">
        <f>+T29-S29</f>
        <v>-21.740414898072657</v>
      </c>
      <c r="V29" s="73">
        <f>SUM(V27:V28)</f>
        <v>67.558000000000007</v>
      </c>
      <c r="W29" s="312">
        <f>+T29-V29</f>
        <v>31.756999999999991</v>
      </c>
      <c r="X29" s="105"/>
    </row>
    <row r="30" spans="2:37" ht="21.75" customHeight="1" x14ac:dyDescent="0.3">
      <c r="B30" s="598"/>
      <c r="C30" s="101" t="s">
        <v>7</v>
      </c>
      <c r="D30" s="110" t="s">
        <v>53</v>
      </c>
      <c r="E30" s="775">
        <f>+E20-E25</f>
        <v>5187.0569963820744</v>
      </c>
      <c r="F30" s="782">
        <f>+F20-F25</f>
        <v>5062.7821060000033</v>
      </c>
      <c r="G30" s="777">
        <f t="shared" si="12"/>
        <v>-124.27489038207113</v>
      </c>
      <c r="H30" s="778">
        <f>+H20-H25</f>
        <v>6829.1819810000006</v>
      </c>
      <c r="I30" s="779">
        <f t="shared" si="13"/>
        <v>-1766.3998749999973</v>
      </c>
      <c r="J30" s="775">
        <f>+J20-J25</f>
        <v>18429.961089872832</v>
      </c>
      <c r="K30" s="782">
        <f>+K20-K25</f>
        <v>17411.415848999994</v>
      </c>
      <c r="L30" s="777">
        <f t="shared" si="1"/>
        <v>-1018.5452408728379</v>
      </c>
      <c r="M30" s="778">
        <f>+M20-M25</f>
        <v>23868.507359989984</v>
      </c>
      <c r="N30" s="779">
        <f t="shared" si="2"/>
        <v>-6457.0915109899906</v>
      </c>
      <c r="O30" s="100"/>
      <c r="P30" s="103"/>
      <c r="Q30" s="157" t="s">
        <v>184</v>
      </c>
      <c r="X30" s="105"/>
      <c r="Z30" s="598"/>
      <c r="AA30" s="598"/>
    </row>
    <row r="31" spans="2:37" ht="21.75" customHeight="1" x14ac:dyDescent="0.3">
      <c r="B31" s="598"/>
      <c r="C31" s="101"/>
      <c r="D31" s="124" t="s">
        <v>10</v>
      </c>
      <c r="E31" s="323">
        <f>+E30/E10</f>
        <v>0.16159407735288678</v>
      </c>
      <c r="F31" s="329">
        <f>+F30/F10</f>
        <v>0.14413227285141672</v>
      </c>
      <c r="G31" s="326">
        <f t="shared" si="12"/>
        <v>-1.7461804501470057E-2</v>
      </c>
      <c r="H31" s="125">
        <f>+H30/H10</f>
        <v>0.19064359541805451</v>
      </c>
      <c r="I31" s="126">
        <f t="shared" si="13"/>
        <v>-4.6511322566637786E-2</v>
      </c>
      <c r="J31" s="323">
        <f>+J30/J10</f>
        <v>0.13186906108660312</v>
      </c>
      <c r="K31" s="329">
        <f>+K30/K10</f>
        <v>0.11649406791915037</v>
      </c>
      <c r="L31" s="326">
        <f t="shared" si="1"/>
        <v>-1.537499316745275E-2</v>
      </c>
      <c r="M31" s="125">
        <f>+M30/M10</f>
        <v>0.15314238553205309</v>
      </c>
      <c r="N31" s="126">
        <f t="shared" si="2"/>
        <v>-3.6648317612902714E-2</v>
      </c>
      <c r="O31" s="100"/>
      <c r="P31" s="103"/>
      <c r="Q31" s="345" t="s">
        <v>11</v>
      </c>
      <c r="R31" s="346"/>
      <c r="S31" s="347" t="s">
        <v>15</v>
      </c>
      <c r="T31" s="348" t="s">
        <v>16</v>
      </c>
      <c r="U31" s="349" t="s">
        <v>113</v>
      </c>
      <c r="V31" s="348" t="s">
        <v>17</v>
      </c>
      <c r="W31" s="350" t="s">
        <v>114</v>
      </c>
      <c r="X31" s="105"/>
    </row>
    <row r="32" spans="2:37" ht="21.75" customHeight="1" x14ac:dyDescent="0.3">
      <c r="B32" s="598"/>
      <c r="C32" s="101"/>
      <c r="D32" s="106" t="s">
        <v>3</v>
      </c>
      <c r="E32" s="773">
        <f t="shared" ref="E32:F34" si="57">+E21-E26</f>
        <v>113.54778328421145</v>
      </c>
      <c r="F32" s="774">
        <f t="shared" si="57"/>
        <v>122.36802699999885</v>
      </c>
      <c r="G32" s="750">
        <f>+F32-E32</f>
        <v>8.8202437157873987</v>
      </c>
      <c r="H32" s="751">
        <f t="shared" ref="H32" si="58">+H21-H26</f>
        <v>54.266284999999414</v>
      </c>
      <c r="I32" s="752">
        <f>+F32-H32</f>
        <v>68.101741999999433</v>
      </c>
      <c r="J32" s="773">
        <f t="shared" ref="J32:J34" si="59">+J21-J26</f>
        <v>481.25682541054312</v>
      </c>
      <c r="K32" s="774">
        <f t="shared" ref="K32" si="60">+K21-K26</f>
        <v>264.95259499999838</v>
      </c>
      <c r="L32" s="750">
        <f t="shared" si="1"/>
        <v>-216.30423041054473</v>
      </c>
      <c r="M32" s="751">
        <f t="shared" ref="M32" si="61">+M21-M26</f>
        <v>376.869065000001</v>
      </c>
      <c r="N32" s="752">
        <f t="shared" si="2"/>
        <v>-111.91647000000262</v>
      </c>
      <c r="O32" s="100"/>
      <c r="P32" s="103"/>
      <c r="Q32" s="809" t="s">
        <v>168</v>
      </c>
      <c r="R32" s="810"/>
      <c r="S32" s="603">
        <f>+'사업장별(당월)'!T33</f>
        <v>72.165959000000001</v>
      </c>
      <c r="T32" s="604">
        <f>+'사업장별(당월)'!U33</f>
        <v>68.930610000000001</v>
      </c>
      <c r="U32" s="605">
        <f>+T32-S32</f>
        <v>-3.2353489999999994</v>
      </c>
      <c r="V32" s="606">
        <f>+'사업장별(당월)'!W33</f>
        <v>55.160753000000007</v>
      </c>
      <c r="W32" s="607">
        <f>+T32-V32</f>
        <v>13.769856999999995</v>
      </c>
      <c r="X32" s="105"/>
      <c r="Z32" s="598"/>
      <c r="AA32" s="598"/>
    </row>
    <row r="33" spans="2:31" ht="21.75" customHeight="1" x14ac:dyDescent="0.3">
      <c r="B33" s="598"/>
      <c r="C33" s="101"/>
      <c r="D33" s="106" t="s">
        <v>1</v>
      </c>
      <c r="E33" s="773">
        <f t="shared" si="57"/>
        <v>222.42640637451035</v>
      </c>
      <c r="F33" s="774">
        <f t="shared" si="57"/>
        <v>171.57907712031985</v>
      </c>
      <c r="G33" s="750">
        <f t="shared" si="12"/>
        <v>-50.847329254190498</v>
      </c>
      <c r="H33" s="751">
        <f t="shared" ref="H33" si="62">+H22-H27</f>
        <v>79.444908000000098</v>
      </c>
      <c r="I33" s="752">
        <f t="shared" si="13"/>
        <v>92.134169120319754</v>
      </c>
      <c r="J33" s="773">
        <f t="shared" si="59"/>
        <v>331.14997778226308</v>
      </c>
      <c r="K33" s="774">
        <f t="shared" ref="K33" si="63">+K22-K27</f>
        <v>744.57721548704205</v>
      </c>
      <c r="L33" s="750">
        <f t="shared" si="1"/>
        <v>413.42723770477897</v>
      </c>
      <c r="M33" s="751">
        <f t="shared" ref="M33" si="64">+M22-M27</f>
        <v>528.80245802000036</v>
      </c>
      <c r="N33" s="752">
        <f t="shared" si="2"/>
        <v>215.7747574670417</v>
      </c>
      <c r="O33" s="100"/>
      <c r="P33" s="103"/>
      <c r="Q33" s="811" t="s">
        <v>59</v>
      </c>
      <c r="R33" s="812"/>
      <c r="S33" s="192">
        <f>+'사업장별(당월)'!T34</f>
        <v>62.030473333333333</v>
      </c>
      <c r="T33" s="613">
        <f>+'사업장별(당월)'!U34</f>
        <v>63.574319000000003</v>
      </c>
      <c r="U33" s="205">
        <f>+T33-S33</f>
        <v>1.5438456666666696</v>
      </c>
      <c r="V33" s="614">
        <f>+'사업장별(당월)'!W34</f>
        <v>50.653987000000001</v>
      </c>
      <c r="W33" s="222">
        <f>+T33-V33</f>
        <v>12.920332000000002</v>
      </c>
      <c r="X33" s="105"/>
      <c r="Z33" s="598"/>
      <c r="AA33" s="598"/>
    </row>
    <row r="34" spans="2:31" ht="21.75" customHeight="1" x14ac:dyDescent="0.3">
      <c r="B34" s="598"/>
      <c r="C34" s="101"/>
      <c r="D34" s="116" t="s">
        <v>4</v>
      </c>
      <c r="E34" s="780">
        <f t="shared" si="57"/>
        <v>-1144.1403254820573</v>
      </c>
      <c r="F34" s="781">
        <f t="shared" si="57"/>
        <v>-1139.4369551194764</v>
      </c>
      <c r="G34" s="753">
        <f t="shared" si="12"/>
        <v>4.7033703625809267</v>
      </c>
      <c r="H34" s="754">
        <f t="shared" ref="H34" si="65">+H23-H28</f>
        <v>-944.5205330000083</v>
      </c>
      <c r="I34" s="755">
        <f t="shared" si="13"/>
        <v>-194.91642211946805</v>
      </c>
      <c r="J34" s="780">
        <f t="shared" si="59"/>
        <v>-6096.0159132873614</v>
      </c>
      <c r="K34" s="781">
        <f t="shared" ref="K34" si="66">+K23-K28</f>
        <v>-7750.2589824953584</v>
      </c>
      <c r="L34" s="753">
        <f t="shared" si="1"/>
        <v>-1654.243069207997</v>
      </c>
      <c r="M34" s="754">
        <f t="shared" ref="M34" si="67">+M23-M28</f>
        <v>-5195.4273010000115</v>
      </c>
      <c r="N34" s="755">
        <f t="shared" si="2"/>
        <v>-2554.8316814953469</v>
      </c>
      <c r="O34" s="100"/>
      <c r="P34" s="103"/>
      <c r="Q34" s="625" t="s">
        <v>38</v>
      </c>
      <c r="R34" s="626"/>
      <c r="S34" s="620">
        <f>+'사업장별(당월)'!T35</f>
        <v>-1163.2874653709298</v>
      </c>
      <c r="T34" s="621">
        <f>+'사업장별(당월)'!U35</f>
        <v>-1157.1101511194736</v>
      </c>
      <c r="U34" s="622">
        <f>+T34-S34</f>
        <v>6.1773142514562096</v>
      </c>
      <c r="V34" s="623">
        <f>+'사업장별(당월)'!W35</f>
        <v>-1023.2378320000001</v>
      </c>
      <c r="W34" s="624">
        <f>+T34-V34</f>
        <v>-133.87231911947345</v>
      </c>
      <c r="X34" s="105"/>
      <c r="Z34" s="598"/>
      <c r="AA34" s="598"/>
    </row>
    <row r="35" spans="2:31" ht="21.75" customHeight="1" x14ac:dyDescent="0.3">
      <c r="B35" s="598"/>
      <c r="C35" s="101" t="s">
        <v>8</v>
      </c>
      <c r="D35" s="121"/>
      <c r="E35" s="773">
        <f>SUM(E30,E32:E34)</f>
        <v>4378.8908605587394</v>
      </c>
      <c r="F35" s="783">
        <f>SUM(F30,F32:F34)</f>
        <v>4217.2922550008461</v>
      </c>
      <c r="G35" s="750">
        <f t="shared" si="12"/>
        <v>-161.59860555789328</v>
      </c>
      <c r="H35" s="751">
        <f>SUM(H30,H32:H34)</f>
        <v>6018.3726409999927</v>
      </c>
      <c r="I35" s="752">
        <f t="shared" si="13"/>
        <v>-1801.0803859991465</v>
      </c>
      <c r="J35" s="773">
        <f>SUM(J30,J32:J34)</f>
        <v>13146.351979778277</v>
      </c>
      <c r="K35" s="783">
        <f>SUM(K30,K32:K34)</f>
        <v>10670.686676991678</v>
      </c>
      <c r="L35" s="750">
        <f t="shared" si="1"/>
        <v>-2475.6653027865996</v>
      </c>
      <c r="M35" s="751">
        <f>SUM(M30,M32:M34)</f>
        <v>19578.751582009976</v>
      </c>
      <c r="N35" s="752">
        <f t="shared" si="2"/>
        <v>-8908.0649050182983</v>
      </c>
      <c r="O35" s="100"/>
      <c r="P35" s="103"/>
      <c r="Q35" s="627" t="s">
        <v>166</v>
      </c>
      <c r="R35" s="628"/>
      <c r="S35" s="615">
        <f>+S36-S32-S33-S34</f>
        <v>-115.04929244445725</v>
      </c>
      <c r="T35" s="616">
        <f>+T36-T32-T33-T34</f>
        <v>-114.83173300000271</v>
      </c>
      <c r="U35" s="617">
        <f>+T35-S35</f>
        <v>0.21755944445453679</v>
      </c>
      <c r="V35" s="618">
        <f>+V36-V32-V33-V34</f>
        <v>-27.097441000001368</v>
      </c>
      <c r="W35" s="619">
        <f>+T35-V35</f>
        <v>-87.734292000001346</v>
      </c>
      <c r="X35" s="105"/>
      <c r="Z35" s="598"/>
      <c r="AA35" s="598"/>
      <c r="AD35" s="99"/>
      <c r="AE35" s="598"/>
    </row>
    <row r="36" spans="2:31" ht="21.75" customHeight="1" thickBot="1" x14ac:dyDescent="0.35">
      <c r="C36" s="127"/>
      <c r="D36" s="128" t="s">
        <v>9</v>
      </c>
      <c r="E36" s="324">
        <f>+E35/E14</f>
        <v>0.10013016806262959</v>
      </c>
      <c r="F36" s="330">
        <f>+F35/F14</f>
        <v>8.9648043200550476E-2</v>
      </c>
      <c r="G36" s="327">
        <f t="shared" si="12"/>
        <v>-1.0482124862079112E-2</v>
      </c>
      <c r="H36" s="129">
        <f>+H35/H14</f>
        <v>0.12942343170759477</v>
      </c>
      <c r="I36" s="130">
        <f t="shared" si="13"/>
        <v>-3.977538850704429E-2</v>
      </c>
      <c r="J36" s="324">
        <f>+J35/J14</f>
        <v>6.8558830906143314E-2</v>
      </c>
      <c r="K36" s="330">
        <f>+K35/K14</f>
        <v>5.3267670991640641E-2</v>
      </c>
      <c r="L36" s="327">
        <f t="shared" si="1"/>
        <v>-1.5291159914502674E-2</v>
      </c>
      <c r="M36" s="129">
        <f>+M35/M14</f>
        <v>9.1810188364929476E-2</v>
      </c>
      <c r="N36" s="130">
        <f t="shared" si="2"/>
        <v>-3.8542517373288836E-2</v>
      </c>
      <c r="O36" s="100"/>
      <c r="P36" s="131"/>
      <c r="Q36" s="799" t="s">
        <v>165</v>
      </c>
      <c r="R36" s="800"/>
      <c r="S36" s="608">
        <f>+'사업장별(당월)'!T41</f>
        <v>-1144.1403254820539</v>
      </c>
      <c r="T36" s="609">
        <f>+'사업장별(당월)'!U41</f>
        <v>-1139.4369551194761</v>
      </c>
      <c r="U36" s="610">
        <f>+T36-S36</f>
        <v>4.7033703625777434</v>
      </c>
      <c r="V36" s="611">
        <f>+'사업장별(당월)'!W41</f>
        <v>-944.52053300000148</v>
      </c>
      <c r="W36" s="612">
        <f>+T36-V36</f>
        <v>-194.91642211947465</v>
      </c>
      <c r="X36" s="132"/>
      <c r="AA36" s="598"/>
    </row>
    <row r="37" spans="2:31" ht="20.100000000000001" customHeight="1" thickTop="1" x14ac:dyDescent="0.3">
      <c r="F37" s="598"/>
    </row>
    <row r="38" spans="2:31" x14ac:dyDescent="0.3">
      <c r="E38" s="99">
        <f>+'[1]5월'!$E$26/1000</f>
        <v>4378.8908605587385</v>
      </c>
      <c r="F38" s="351">
        <f>+'[2]5월'!$F$26/1000</f>
        <v>4217.2922550008425</v>
      </c>
      <c r="H38" s="351">
        <f>+'[3]5월'!$F$26/1000</f>
        <v>6018.3726409999972</v>
      </c>
      <c r="J38" s="600">
        <f>+[4]손익총괄!J38+E38</f>
        <v>13146.35197977825</v>
      </c>
      <c r="K38" s="600">
        <f>+[4]손익총괄!K38+F38</f>
        <v>10670.68667699168</v>
      </c>
      <c r="L38" s="601"/>
      <c r="M38" s="600">
        <f>+[4]손익총괄!M38+H38</f>
        <v>19578.751582010005</v>
      </c>
      <c r="N38" s="601"/>
      <c r="O38" s="601"/>
    </row>
    <row r="39" spans="2:31" x14ac:dyDescent="0.3">
      <c r="E39" t="b">
        <f>+E35=E38</f>
        <v>1</v>
      </c>
      <c r="F39" t="b">
        <f>+F35=F38</f>
        <v>0</v>
      </c>
      <c r="H39" t="b">
        <f>+H35=H38</f>
        <v>0</v>
      </c>
      <c r="J39" t="b">
        <f>+J35=J38</f>
        <v>1</v>
      </c>
      <c r="K39" t="b">
        <f>+K35=K38</f>
        <v>1</v>
      </c>
      <c r="M39" t="b">
        <f>+M35=M38</f>
        <v>1</v>
      </c>
    </row>
    <row r="40" spans="2:31" x14ac:dyDescent="0.3">
      <c r="E40" s="602">
        <f>+E35-E38</f>
        <v>0</v>
      </c>
      <c r="F40" s="602">
        <f>+F35-F38</f>
        <v>0</v>
      </c>
      <c r="G40" s="599"/>
      <c r="H40" s="602">
        <f>+H35-H38</f>
        <v>0</v>
      </c>
      <c r="I40" s="599"/>
      <c r="J40" s="602">
        <f>+J35-J38</f>
        <v>2.7284841053187847E-11</v>
      </c>
      <c r="K40" s="602">
        <f>+K35-K38</f>
        <v>0</v>
      </c>
      <c r="L40" s="599"/>
      <c r="M40" s="602">
        <f>+M35-M38</f>
        <v>-2.9103830456733704E-11</v>
      </c>
      <c r="N40" s="599"/>
      <c r="O40" s="99"/>
      <c r="P40" s="99"/>
    </row>
    <row r="42" spans="2:31" x14ac:dyDescent="0.3">
      <c r="E42" s="98"/>
      <c r="F42" s="98"/>
      <c r="G42" s="98"/>
    </row>
  </sheetData>
  <mergeCells count="12">
    <mergeCell ref="Q36:R36"/>
    <mergeCell ref="C5:D6"/>
    <mergeCell ref="P5:X6"/>
    <mergeCell ref="Q29:R29"/>
    <mergeCell ref="Q32:R32"/>
    <mergeCell ref="Q33:R33"/>
    <mergeCell ref="Z10:Z13"/>
    <mergeCell ref="Z15:Z20"/>
    <mergeCell ref="AB5:AF5"/>
    <mergeCell ref="AG5:AK5"/>
    <mergeCell ref="Z7:Z9"/>
    <mergeCell ref="Z5:AA6"/>
  </mergeCells>
  <phoneticPr fontId="1" type="noConversion"/>
  <printOptions horizontalCentered="1"/>
  <pageMargins left="0.15748031496062992" right="0.15748031496062992" top="0.39370078740157483" bottom="0.35433070866141736" header="0.31496062992125984" footer="0.31496062992125984"/>
  <pageSetup paperSize="9" scale="6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 tint="0.249977111117893"/>
    <pageSetUpPr fitToPage="1"/>
  </sheetPr>
  <dimension ref="A1:AL57"/>
  <sheetViews>
    <sheetView showGridLines="0" showZeros="0" tabSelected="1" view="pageBreakPreview" topLeftCell="F7" zoomScale="85" zoomScaleNormal="85" zoomScaleSheetLayoutView="85" workbookViewId="0">
      <selection activeCell="G29" sqref="G29"/>
    </sheetView>
  </sheetViews>
  <sheetFormatPr defaultRowHeight="16.5" x14ac:dyDescent="0.3"/>
  <cols>
    <col min="1" max="1" width="9" hidden="1" customWidth="1"/>
    <col min="2" max="2" width="13" hidden="1" customWidth="1"/>
    <col min="3" max="3" width="11" hidden="1" customWidth="1"/>
    <col min="4" max="4" width="9" hidden="1" customWidth="1"/>
    <col min="5" max="5" width="13.75" hidden="1" customWidth="1"/>
    <col min="6" max="6" width="9" customWidth="1"/>
    <col min="8" max="8" width="7.5" customWidth="1"/>
    <col min="9" max="9" width="11" bestFit="1" customWidth="1"/>
    <col min="10" max="14" width="8.625" customWidth="1"/>
    <col min="15" max="24" width="9.125" customWidth="1"/>
    <col min="25" max="33" width="8.625" customWidth="1"/>
    <col min="34" max="34" width="0.75" customWidth="1"/>
    <col min="36" max="36" width="9.625" bestFit="1" customWidth="1"/>
    <col min="37" max="37" width="13.625" bestFit="1" customWidth="1"/>
    <col min="38" max="38" width="9.125" bestFit="1" customWidth="1"/>
  </cols>
  <sheetData>
    <row r="1" spans="2:36" ht="18" customHeight="1" x14ac:dyDescent="0.3">
      <c r="H1" s="4"/>
      <c r="K1" s="6"/>
      <c r="L1" s="6"/>
      <c r="P1" s="6"/>
      <c r="Q1" s="6"/>
    </row>
    <row r="2" spans="2:36" ht="18" customHeight="1" x14ac:dyDescent="0.3">
      <c r="H2" s="7"/>
      <c r="AD2" s="5"/>
      <c r="AG2" s="5"/>
    </row>
    <row r="3" spans="2:36" ht="26.25" x14ac:dyDescent="0.3">
      <c r="H3" s="4" t="s">
        <v>219</v>
      </c>
      <c r="AD3" s="5"/>
      <c r="AG3" s="5"/>
    </row>
    <row r="4" spans="2:36" ht="18" customHeight="1" x14ac:dyDescent="0.3">
      <c r="H4" s="7"/>
      <c r="AD4" s="5"/>
      <c r="AG4" s="5" t="s">
        <v>94</v>
      </c>
    </row>
    <row r="5" spans="2:36" s="8" customFormat="1" ht="19.5" customHeight="1" x14ac:dyDescent="0.3">
      <c r="H5" s="813" t="s">
        <v>48</v>
      </c>
      <c r="I5" s="814"/>
      <c r="J5" s="173" t="s">
        <v>66</v>
      </c>
      <c r="K5" s="174"/>
      <c r="L5" s="174"/>
      <c r="M5" s="174"/>
      <c r="N5" s="175"/>
      <c r="O5" s="173" t="s">
        <v>67</v>
      </c>
      <c r="P5" s="174"/>
      <c r="Q5" s="174"/>
      <c r="R5" s="174"/>
      <c r="S5" s="175"/>
      <c r="T5" s="173" t="s">
        <v>119</v>
      </c>
      <c r="U5" s="174"/>
      <c r="V5" s="174"/>
      <c r="W5" s="174"/>
      <c r="X5" s="175"/>
      <c r="Y5" s="173" t="s">
        <v>68</v>
      </c>
      <c r="Z5" s="174"/>
      <c r="AA5" s="175"/>
      <c r="AB5" s="173" t="s">
        <v>44</v>
      </c>
      <c r="AC5" s="174"/>
      <c r="AD5" s="175"/>
      <c r="AE5" s="173" t="s">
        <v>69</v>
      </c>
      <c r="AF5" s="174"/>
      <c r="AG5" s="175"/>
    </row>
    <row r="6" spans="2:36" s="8" customFormat="1" ht="19.5" customHeight="1" x14ac:dyDescent="0.3">
      <c r="H6" s="815"/>
      <c r="I6" s="816"/>
      <c r="J6" s="176" t="s">
        <v>49</v>
      </c>
      <c r="K6" s="177" t="s">
        <v>50</v>
      </c>
      <c r="L6" s="178" t="s">
        <v>51</v>
      </c>
      <c r="M6" s="177" t="s">
        <v>52</v>
      </c>
      <c r="N6" s="179" t="s">
        <v>51</v>
      </c>
      <c r="O6" s="176" t="s">
        <v>15</v>
      </c>
      <c r="P6" s="177" t="s">
        <v>16</v>
      </c>
      <c r="Q6" s="178" t="s">
        <v>36</v>
      </c>
      <c r="R6" s="177" t="s">
        <v>17</v>
      </c>
      <c r="S6" s="179" t="s">
        <v>36</v>
      </c>
      <c r="T6" s="176" t="s">
        <v>15</v>
      </c>
      <c r="U6" s="177" t="s">
        <v>16</v>
      </c>
      <c r="V6" s="178" t="s">
        <v>36</v>
      </c>
      <c r="W6" s="177" t="s">
        <v>17</v>
      </c>
      <c r="X6" s="179" t="s">
        <v>36</v>
      </c>
      <c r="Y6" s="180" t="s">
        <v>15</v>
      </c>
      <c r="Z6" s="181" t="s">
        <v>16</v>
      </c>
      <c r="AA6" s="182" t="s">
        <v>17</v>
      </c>
      <c r="AB6" s="183" t="s">
        <v>15</v>
      </c>
      <c r="AC6" s="181" t="s">
        <v>16</v>
      </c>
      <c r="AD6" s="179" t="s">
        <v>17</v>
      </c>
      <c r="AE6" s="183" t="s">
        <v>15</v>
      </c>
      <c r="AF6" s="181" t="s">
        <v>16</v>
      </c>
      <c r="AG6" s="179" t="s">
        <v>17</v>
      </c>
    </row>
    <row r="7" spans="2:36" s="8" customFormat="1" ht="19.5" customHeight="1" x14ac:dyDescent="0.3">
      <c r="B7" s="8" t="s">
        <v>22</v>
      </c>
      <c r="G7" s="842" t="str">
        <f>+I7</f>
        <v>안양</v>
      </c>
      <c r="H7" s="78" t="s">
        <v>53</v>
      </c>
      <c r="I7" s="79" t="s">
        <v>22</v>
      </c>
      <c r="J7" s="36">
        <f>+IFERROR(HLOOKUP($B7,'[1]5월'!$D$6:$BN$259,2,),)/1000</f>
        <v>44</v>
      </c>
      <c r="K7" s="37">
        <f>+IFERROR(HLOOKUP($B7,'[2]5월'!$F$6:$CP$99,2,),)/1000</f>
        <v>40.606000000000002</v>
      </c>
      <c r="L7" s="38">
        <f t="shared" ref="L7:L26" si="0">+K7-J7</f>
        <v>-3.3939999999999984</v>
      </c>
      <c r="M7" s="39">
        <f>+IFERROR(HLOOKUP($B7,'[3]5월'!$F$6:$CC$57,2,),)/1000</f>
        <v>50.290999999999997</v>
      </c>
      <c r="N7" s="40">
        <f>+K7-M7</f>
        <v>-9.6849999999999952</v>
      </c>
      <c r="O7" s="36">
        <f>+IFERROR(HLOOKUP($B7,'[1]5월'!$D$6:$BN$259,3,),)/1000</f>
        <v>4457.8481000000002</v>
      </c>
      <c r="P7" s="37">
        <f>+IFERROR(HLOOKUP($B7,'[2]5월'!$F$6:$CP$99,3,),)/1000</f>
        <v>4123.2946359999996</v>
      </c>
      <c r="Q7" s="38">
        <f>+P7-O7</f>
        <v>-334.55346400000053</v>
      </c>
      <c r="R7" s="39">
        <f>+IFERROR(HLOOKUP($B7,'[3]5월'!$F$6:$CC$57,3,),)/1000</f>
        <v>4775.6819089999999</v>
      </c>
      <c r="S7" s="40">
        <f>+P7-R7</f>
        <v>-652.38727300000028</v>
      </c>
      <c r="T7" s="36">
        <f>+IFERROR(HLOOKUP($B7,'[1]5월'!$D$6:$BN$259,16,),)/1000</f>
        <v>706.36515684554627</v>
      </c>
      <c r="U7" s="37">
        <f>+IFERROR(HLOOKUP($B7,'[2]5월'!$F$6:$CP$99,16,),)/1000</f>
        <v>470.16460599999982</v>
      </c>
      <c r="V7" s="41">
        <f>+U7-T7</f>
        <v>-236.20055084554645</v>
      </c>
      <c r="W7" s="42">
        <f>+IFERROR(HLOOKUP($B7,'[3]5월'!$F$6:$CC$57,16,),)/1000</f>
        <v>909.26043700000014</v>
      </c>
      <c r="X7" s="40">
        <f>+U7-W7</f>
        <v>-439.09583100000032</v>
      </c>
      <c r="Y7" s="36">
        <f>+[5]안양!$Q$85</f>
        <v>101314.72954545455</v>
      </c>
      <c r="Z7" s="37">
        <f>+[5]안양!$R$85</f>
        <v>101543.97468354431</v>
      </c>
      <c r="AA7" s="43">
        <f>+[6]안양!$Q$85</f>
        <v>94943.662179116975</v>
      </c>
      <c r="AB7" s="44">
        <f>+[5]안양!$Q$89</f>
        <v>78575.328944796012</v>
      </c>
      <c r="AC7" s="37">
        <f>+[5]안양!$R$89</f>
        <v>82761.713262090023</v>
      </c>
      <c r="AD7" s="45">
        <f>+[6]안양!$Q$89</f>
        <v>70931.390393378024</v>
      </c>
      <c r="AE7" s="44">
        <f>+Y7-AB7</f>
        <v>22739.40060065854</v>
      </c>
      <c r="AF7" s="37">
        <f>+Z7-AC7</f>
        <v>18782.261421454285</v>
      </c>
      <c r="AG7" s="45">
        <f>+AA7-AD7</f>
        <v>24012.271785738951</v>
      </c>
      <c r="AH7" s="18"/>
      <c r="AI7" s="19"/>
    </row>
    <row r="8" spans="2:36" s="8" customFormat="1" ht="19.5" customHeight="1" x14ac:dyDescent="0.3">
      <c r="B8" s="8" t="s">
        <v>23</v>
      </c>
      <c r="G8" s="9" t="str">
        <f t="shared" ref="G8:G26" si="1">+I8</f>
        <v>인천</v>
      </c>
      <c r="H8" s="80" t="s">
        <v>54</v>
      </c>
      <c r="I8" s="81" t="s">
        <v>23</v>
      </c>
      <c r="J8" s="46">
        <f>+IFERROR(HLOOKUP($B8,'[1]5월'!$D$6:$BN$259,2,),)/1000</f>
        <v>35</v>
      </c>
      <c r="K8" s="47">
        <f>+IFERROR(HLOOKUP($B8,'[2]5월'!$F$6:$CP$99,2,),)/1000</f>
        <v>30.155999999999999</v>
      </c>
      <c r="L8" s="48">
        <f t="shared" si="0"/>
        <v>-4.8440000000000012</v>
      </c>
      <c r="M8" s="49">
        <f>+IFERROR(HLOOKUP($B8,'[3]5월'!$F$6:$CC$57,2,),)/1000</f>
        <v>47.893999999999998</v>
      </c>
      <c r="N8" s="50">
        <f t="shared" ref="N8:N26" si="2">+K8-M8</f>
        <v>-17.738</v>
      </c>
      <c r="O8" s="46">
        <f>+IFERROR(HLOOKUP($B8,'[1]5월'!$D$6:$BN$259,3,),)/1000</f>
        <v>3594.5188099999996</v>
      </c>
      <c r="P8" s="47">
        <f>+IFERROR(HLOOKUP($B8,'[2]5월'!$F$6:$CP$99,3,),)/1000</f>
        <v>2946.5279569999998</v>
      </c>
      <c r="Q8" s="48">
        <f t="shared" ref="Q8:Q26" si="3">+P8-O8</f>
        <v>-647.99085299999979</v>
      </c>
      <c r="R8" s="49">
        <f>+IFERROR(HLOOKUP($B8,'[3]5월'!$F$6:$CC$57,3,),)/1000</f>
        <v>4757.6874460000008</v>
      </c>
      <c r="S8" s="50">
        <f t="shared" ref="S8:S26" si="4">+P8-R8</f>
        <v>-1811.159489000001</v>
      </c>
      <c r="T8" s="46">
        <f>+IFERROR(HLOOKUP($B8,'[1]5월'!$D$6:$BN$259,16,),)/1000</f>
        <v>473.62349118486668</v>
      </c>
      <c r="U8" s="47">
        <f>+IFERROR(HLOOKUP($B8,'[2]5월'!$F$6:$CP$99,16,),)/1000</f>
        <v>266.18333799999959</v>
      </c>
      <c r="V8" s="48">
        <f t="shared" ref="V8:V26" si="5">+U8-T8</f>
        <v>-207.44015318486709</v>
      </c>
      <c r="W8" s="49">
        <f>+IFERROR(HLOOKUP($B8,'[3]5월'!$F$6:$CC$57,16,),)/1000</f>
        <v>833.79834100000039</v>
      </c>
      <c r="X8" s="50">
        <f t="shared" ref="X8:X26" si="6">+U8-W8</f>
        <v>-567.6150030000008</v>
      </c>
      <c r="Y8" s="46">
        <f>+[5]인천!$Q$85</f>
        <v>102700.53742857142</v>
      </c>
      <c r="Z8" s="47">
        <f>+[5]인천!$R$85</f>
        <v>97709.509119246577</v>
      </c>
      <c r="AA8" s="51">
        <f>+[6]인천!$Q$85</f>
        <v>99337.859564872429</v>
      </c>
      <c r="AB8" s="52">
        <f>+[5]인천!$Q$89</f>
        <v>81104.520033562352</v>
      </c>
      <c r="AC8" s="47">
        <f>+[5]인천!$R$89</f>
        <v>79830.371718377093</v>
      </c>
      <c r="AD8" s="53">
        <f>+[6]인천!$Q$89</f>
        <v>75890.570918580372</v>
      </c>
      <c r="AE8" s="52">
        <f t="shared" ref="AE8:AE27" si="7">+Y8-AB8</f>
        <v>21596.017395009068</v>
      </c>
      <c r="AF8" s="47">
        <f t="shared" ref="AF8:AF27" si="8">+Z8-AC8</f>
        <v>17879.137400869484</v>
      </c>
      <c r="AG8" s="53">
        <f t="shared" ref="AG8:AG27" si="9">+AA8-AD8</f>
        <v>23447.288646292058</v>
      </c>
      <c r="AH8" s="18"/>
      <c r="AI8" s="19"/>
      <c r="AJ8" s="97"/>
    </row>
    <row r="9" spans="2:36" s="8" customFormat="1" ht="19.5" customHeight="1" x14ac:dyDescent="0.3">
      <c r="B9" s="8" t="s">
        <v>24</v>
      </c>
      <c r="G9" s="9" t="str">
        <f t="shared" si="1"/>
        <v>파주</v>
      </c>
      <c r="H9" s="80"/>
      <c r="I9" s="81" t="s">
        <v>24</v>
      </c>
      <c r="J9" s="46">
        <f>+IFERROR(HLOOKUP($B9,'[1]5월'!$D$6:$BN$259,2,),)/1000</f>
        <v>28</v>
      </c>
      <c r="K9" s="47">
        <f>+IFERROR(HLOOKUP($B9,'[2]5월'!$F$6:$CP$99,2,),)/1000</f>
        <v>28.609000000000002</v>
      </c>
      <c r="L9" s="48">
        <f t="shared" si="0"/>
        <v>0.60900000000000176</v>
      </c>
      <c r="M9" s="49">
        <f>+IFERROR(HLOOKUP($B9,'[3]5월'!$F$6:$CC$57,2,),)/1000</f>
        <v>31.207999999999998</v>
      </c>
      <c r="N9" s="50">
        <f t="shared" si="2"/>
        <v>-2.5989999999999966</v>
      </c>
      <c r="O9" s="46">
        <f>+IFERROR(HLOOKUP($B9,'[1]5월'!$D$6:$BN$259,3,),)/1000</f>
        <v>2776.6609924217605</v>
      </c>
      <c r="P9" s="47">
        <f>+IFERROR(HLOOKUP($B9,'[2]5월'!$F$6:$CP$99,3,),)/1000</f>
        <v>2747.8189619999998</v>
      </c>
      <c r="Q9" s="48">
        <f t="shared" si="3"/>
        <v>-28.842030421760683</v>
      </c>
      <c r="R9" s="49">
        <f>+IFERROR(HLOOKUP($B9,'[3]5월'!$F$6:$CC$57,3,),)/1000</f>
        <v>2894.0346750000003</v>
      </c>
      <c r="S9" s="50">
        <f t="shared" si="4"/>
        <v>-146.21571300000051</v>
      </c>
      <c r="T9" s="46">
        <f>+IFERROR(HLOOKUP($B9,'[1]5월'!$D$6:$BN$259,16,),)/1000</f>
        <v>439.03036535621641</v>
      </c>
      <c r="U9" s="47">
        <f>+IFERROR(HLOOKUP($B9,'[2]5월'!$F$6:$CP$99,16,),)/1000</f>
        <v>254.15167899999969</v>
      </c>
      <c r="V9" s="48">
        <f t="shared" si="5"/>
        <v>-184.87868635621672</v>
      </c>
      <c r="W9" s="49">
        <f>+IFERROR(HLOOKUP($B9,'[3]5월'!$F$6:$CC$57,16,),)/1000</f>
        <v>405.53871400000014</v>
      </c>
      <c r="X9" s="50">
        <f t="shared" si="6"/>
        <v>-151.38703500000045</v>
      </c>
      <c r="Y9" s="46">
        <f>+[5]파주!$Q$85</f>
        <v>99166.464015062884</v>
      </c>
      <c r="Z9" s="47">
        <f>+[5]파주!$R$85</f>
        <v>95934.037841574798</v>
      </c>
      <c r="AA9" s="51">
        <f>+[6]파주!$Q$85</f>
        <v>92740.386160490118</v>
      </c>
      <c r="AB9" s="52">
        <f>+[5]파주!$Q$89</f>
        <v>75452.93560633641</v>
      </c>
      <c r="AC9" s="47">
        <f>+[5]파주!$R$89</f>
        <v>79393.119320455458</v>
      </c>
      <c r="AD9" s="53">
        <f>+[6]파주!$Q$89</f>
        <v>73021.059632567019</v>
      </c>
      <c r="AE9" s="52">
        <f t="shared" si="7"/>
        <v>23713.528408726474</v>
      </c>
      <c r="AF9" s="47">
        <f t="shared" si="8"/>
        <v>16540.91852111934</v>
      </c>
      <c r="AG9" s="53">
        <f t="shared" si="9"/>
        <v>19719.326527923098</v>
      </c>
      <c r="AH9" s="18"/>
      <c r="AI9" s="19"/>
      <c r="AJ9" s="97"/>
    </row>
    <row r="10" spans="2:36" s="8" customFormat="1" ht="19.5" customHeight="1" x14ac:dyDescent="0.3">
      <c r="B10" s="8" t="s">
        <v>175</v>
      </c>
      <c r="G10" s="9" t="str">
        <f t="shared" si="1"/>
        <v>김포</v>
      </c>
      <c r="H10" s="80"/>
      <c r="I10" s="81" t="s">
        <v>172</v>
      </c>
      <c r="J10" s="46">
        <f>+IFERROR(HLOOKUP($B10,'[1]5월'!$D$6:$BN$259,2,),)/1000</f>
        <v>18.5</v>
      </c>
      <c r="K10" s="47">
        <f>+IFERROR(HLOOKUP($B10,'[2]5월'!$F$6:$CP$99,2,),)/1000</f>
        <v>20.742999999999999</v>
      </c>
      <c r="L10" s="48">
        <f t="shared" si="0"/>
        <v>2.2429999999999986</v>
      </c>
      <c r="M10" s="49">
        <f>+IFERROR(HLOOKUP($B10,'[3]5월'!$F$6:$CC$57,2,),)/1000</f>
        <v>21.652000000000001</v>
      </c>
      <c r="N10" s="50">
        <f t="shared" si="2"/>
        <v>-0.90900000000000247</v>
      </c>
      <c r="O10" s="46">
        <f>+IFERROR(HLOOKUP($B10,'[1]5월'!$D$6:$BN$259,3,),)/1000</f>
        <v>1777.8215</v>
      </c>
      <c r="P10" s="47">
        <f>+IFERROR(HLOOKUP($B10,'[2]5월'!$F$6:$CP$99,3,),)/1000</f>
        <v>2113.5215580000004</v>
      </c>
      <c r="Q10" s="48">
        <f t="shared" si="3"/>
        <v>335.70005800000035</v>
      </c>
      <c r="R10" s="49">
        <f>+IFERROR(HLOOKUP($B10,'[3]5월'!$F$6:$CC$57,3,),)/1000</f>
        <v>1977.135241</v>
      </c>
      <c r="S10" s="50">
        <f t="shared" si="4"/>
        <v>136.38631700000042</v>
      </c>
      <c r="T10" s="46">
        <f>+IFERROR(HLOOKUP($B10,'[1]5월'!$D$6:$BN$259,16,),)/1000</f>
        <v>295.88325640198582</v>
      </c>
      <c r="U10" s="47">
        <f>+IFERROR(HLOOKUP($B10,'[2]5월'!$F$6:$CP$99,16,),)/1000</f>
        <v>354.65027000000009</v>
      </c>
      <c r="V10" s="48">
        <f t="shared" si="5"/>
        <v>58.767013598014273</v>
      </c>
      <c r="W10" s="49">
        <f>+IFERROR(HLOOKUP($B10,'[3]5월'!$F$6:$CC$57,16,),)/1000</f>
        <v>330.11271699999992</v>
      </c>
      <c r="X10" s="50">
        <f t="shared" si="6"/>
        <v>24.537553000000173</v>
      </c>
      <c r="Y10" s="46">
        <f>+[5]김포!$Q$85</f>
        <v>96098.459459459467</v>
      </c>
      <c r="Z10" s="47">
        <f>+[5]김포!$R$85</f>
        <v>102058.93047227316</v>
      </c>
      <c r="AA10" s="51">
        <f>+[6]김포!$Q$85</f>
        <v>91314.208433401058</v>
      </c>
      <c r="AB10" s="52">
        <f>+[5]김포!$Q$89</f>
        <v>71346.582632925682</v>
      </c>
      <c r="AC10" s="47">
        <f>+[5]김포!$R$89</f>
        <v>76893.344120124879</v>
      </c>
      <c r="AD10" s="53">
        <f>+[6]김포!$Q$89</f>
        <v>68746.767042305553</v>
      </c>
      <c r="AE10" s="52">
        <f t="shared" si="7"/>
        <v>24751.876826533786</v>
      </c>
      <c r="AF10" s="47">
        <f t="shared" si="8"/>
        <v>25165.586352148282</v>
      </c>
      <c r="AG10" s="53">
        <f t="shared" si="9"/>
        <v>22567.441391095505</v>
      </c>
      <c r="AH10" s="18"/>
      <c r="AI10" s="19"/>
      <c r="AJ10" s="97"/>
    </row>
    <row r="11" spans="2:36" s="8" customFormat="1" ht="19.5" customHeight="1" x14ac:dyDescent="0.3">
      <c r="B11" s="8" t="s">
        <v>25</v>
      </c>
      <c r="G11" s="8" t="str">
        <f t="shared" si="1"/>
        <v>부산</v>
      </c>
      <c r="H11" s="80"/>
      <c r="I11" s="82" t="s">
        <v>25</v>
      </c>
      <c r="J11" s="63">
        <f>+IFERROR(HLOOKUP($B11,'[1]5월'!$D$6:$BN$259,2,),)/1000</f>
        <v>20</v>
      </c>
      <c r="K11" s="64">
        <f>+IFERROR(HLOOKUP($B11,'[2]5월'!$F$6:$CP$99,2,),)/1000</f>
        <v>28.1265</v>
      </c>
      <c r="L11" s="65">
        <f t="shared" si="0"/>
        <v>8.1265000000000001</v>
      </c>
      <c r="M11" s="66">
        <f>+IFERROR(HLOOKUP($B11,'[3]5월'!$F$6:$CC$57,2,),)/1000</f>
        <v>24.945</v>
      </c>
      <c r="N11" s="67">
        <f t="shared" si="2"/>
        <v>3.1814999999999998</v>
      </c>
      <c r="O11" s="63">
        <f>+IFERROR(HLOOKUP($B11,'[1]5월'!$D$6:$BN$259,3,),)/1000</f>
        <v>2152.0059839999999</v>
      </c>
      <c r="P11" s="64">
        <f>+IFERROR(HLOOKUP($B11,'[2]5월'!$F$6:$CP$99,3,),)/1000</f>
        <v>2986.1182050000002</v>
      </c>
      <c r="Q11" s="65">
        <f t="shared" si="3"/>
        <v>834.11222100000032</v>
      </c>
      <c r="R11" s="66">
        <f>+IFERROR(HLOOKUP($B11,'[3]5월'!$F$6:$CC$57,3,),)/1000</f>
        <v>2521.2973999999999</v>
      </c>
      <c r="S11" s="67">
        <f t="shared" si="4"/>
        <v>464.82080500000029</v>
      </c>
      <c r="T11" s="63">
        <f>+IFERROR(HLOOKUP($B11,'[1]5월'!$D$6:$BN$259,16,),)/1000</f>
        <v>326.75212452253601</v>
      </c>
      <c r="U11" s="64">
        <f>+IFERROR(HLOOKUP($B11,'[2]5월'!$F$6:$CP$99,16,),)/1000</f>
        <v>411.92410499999971</v>
      </c>
      <c r="V11" s="65">
        <f t="shared" si="5"/>
        <v>85.171980477463705</v>
      </c>
      <c r="W11" s="66">
        <f>+IFERROR(HLOOKUP($B11,'[3]5월'!$F$6:$CC$57,16,),)/1000</f>
        <v>485.37885</v>
      </c>
      <c r="X11" s="67">
        <f t="shared" si="6"/>
        <v>-73.454745000000287</v>
      </c>
      <c r="Y11" s="63">
        <f>+[5]부산!$Q$85</f>
        <v>107600.29919999998</v>
      </c>
      <c r="Z11" s="64">
        <f>+[5]부산!$R$85</f>
        <v>106167.42947042825</v>
      </c>
      <c r="AA11" s="68">
        <f>+[6]부산!$Q$85</f>
        <v>101074.25937061536</v>
      </c>
      <c r="AB11" s="69">
        <f>+[5]부산!$Q$89</f>
        <v>78668.110731510154</v>
      </c>
      <c r="AC11" s="64">
        <f>+[5]부산!$R$89</f>
        <v>82923.267131428162</v>
      </c>
      <c r="AD11" s="70">
        <f>+[6]부산!$Q$89</f>
        <v>71905.299371459609</v>
      </c>
      <c r="AE11" s="69">
        <f t="shared" si="7"/>
        <v>28932.188468489825</v>
      </c>
      <c r="AF11" s="64">
        <f t="shared" si="8"/>
        <v>23244.16233900009</v>
      </c>
      <c r="AG11" s="70">
        <f t="shared" si="9"/>
        <v>29168.959999155748</v>
      </c>
      <c r="AH11" s="18"/>
      <c r="AI11" s="19"/>
      <c r="AJ11" s="97"/>
    </row>
    <row r="12" spans="2:36" s="8" customFormat="1" ht="19.5" customHeight="1" x14ac:dyDescent="0.3">
      <c r="B12" s="8" t="s">
        <v>26</v>
      </c>
      <c r="G12" s="8" t="str">
        <f t="shared" si="1"/>
        <v>서부산</v>
      </c>
      <c r="H12" s="80"/>
      <c r="I12" s="81" t="s">
        <v>26</v>
      </c>
      <c r="J12" s="46">
        <f>+IFERROR(HLOOKUP($B12,'[1]5월'!$D$6:$BN$259,2,),)/1000</f>
        <v>26</v>
      </c>
      <c r="K12" s="47">
        <f>+IFERROR(HLOOKUP($B12,'[2]5월'!$F$6:$CP$99,2,),)/1000</f>
        <v>23.975999999999999</v>
      </c>
      <c r="L12" s="48">
        <f t="shared" si="0"/>
        <v>-2.0240000000000009</v>
      </c>
      <c r="M12" s="49">
        <f>+IFERROR(HLOOKUP($B12,'[3]5월'!$F$6:$CC$57,2,),)/1000</f>
        <v>20.256</v>
      </c>
      <c r="N12" s="50">
        <f t="shared" si="2"/>
        <v>3.7199999999999989</v>
      </c>
      <c r="O12" s="46">
        <f>+IFERROR(HLOOKUP($B12,'[1]5월'!$D$6:$BN$259,3,),)/1000</f>
        <v>2684.6368199999997</v>
      </c>
      <c r="P12" s="47">
        <f>+IFERROR(HLOOKUP($B12,'[2]5월'!$F$6:$CP$99,3,),)/1000</f>
        <v>2459.6039999999998</v>
      </c>
      <c r="Q12" s="48">
        <f t="shared" si="3"/>
        <v>-225.0328199999999</v>
      </c>
      <c r="R12" s="49">
        <f>+IFERROR(HLOOKUP($B12,'[3]5월'!$F$6:$CC$57,3,),)/1000</f>
        <v>2129.6678999999999</v>
      </c>
      <c r="S12" s="50">
        <f t="shared" si="4"/>
        <v>329.9360999999999</v>
      </c>
      <c r="T12" s="46">
        <f>+IFERROR(HLOOKUP($B12,'[1]5월'!$D$6:$BN$259,16,),)/1000</f>
        <v>492.80377873072268</v>
      </c>
      <c r="U12" s="47">
        <f>+IFERROR(HLOOKUP($B12,'[2]5월'!$F$6:$CP$99,16,),)/1000</f>
        <v>360.22040399999986</v>
      </c>
      <c r="V12" s="48">
        <f t="shared" si="5"/>
        <v>-132.58337473072282</v>
      </c>
      <c r="W12" s="49">
        <f>+IFERROR(HLOOKUP($B12,'[3]5월'!$F$6:$CC$57,16,),)/1000</f>
        <v>367.48527699999977</v>
      </c>
      <c r="X12" s="50">
        <f t="shared" si="6"/>
        <v>-7.2648729999999091</v>
      </c>
      <c r="Y12" s="46">
        <f>+[5]서부산!$Q$85</f>
        <v>103255.2623076923</v>
      </c>
      <c r="Z12" s="47">
        <f>+[5]서부산!$R$85</f>
        <v>102586.08608608608</v>
      </c>
      <c r="AA12" s="51">
        <f>+[6]서부산!$Q$85</f>
        <v>105137.63329383887</v>
      </c>
      <c r="AB12" s="52">
        <f>+[5]서부산!$Q$89</f>
        <v>76205.200899245712</v>
      </c>
      <c r="AC12" s="47">
        <f>+[5]서부산!$R$89</f>
        <v>78582.596357615912</v>
      </c>
      <c r="AD12" s="53">
        <f>+[6]서부산!$Q$89</f>
        <v>77181.321830568719</v>
      </c>
      <c r="AE12" s="52">
        <f t="shared" si="7"/>
        <v>27050.061408446592</v>
      </c>
      <c r="AF12" s="47">
        <f t="shared" si="8"/>
        <v>24003.489728470173</v>
      </c>
      <c r="AG12" s="53">
        <f t="shared" si="9"/>
        <v>27956.311463270147</v>
      </c>
      <c r="AH12" s="18"/>
      <c r="AI12" s="19"/>
      <c r="AJ12" s="97"/>
    </row>
    <row r="13" spans="2:36" s="8" customFormat="1" ht="19.5" customHeight="1" x14ac:dyDescent="0.3">
      <c r="B13" s="8" t="s">
        <v>27</v>
      </c>
      <c r="G13" s="8" t="str">
        <f t="shared" si="1"/>
        <v>김해</v>
      </c>
      <c r="H13" s="80"/>
      <c r="I13" s="81" t="s">
        <v>27</v>
      </c>
      <c r="J13" s="46">
        <f>+IFERROR(HLOOKUP($B13,'[1]5월'!$D$6:$BN$259,2,),)/1000</f>
        <v>12</v>
      </c>
      <c r="K13" s="47">
        <f>+IFERROR(HLOOKUP($B13,'[2]5월'!$F$6:$CP$99,2,),)/1000</f>
        <v>14.268000000000001</v>
      </c>
      <c r="L13" s="48">
        <f t="shared" si="0"/>
        <v>2.2680000000000007</v>
      </c>
      <c r="M13" s="49">
        <f>+IFERROR(HLOOKUP($B13,'[3]5월'!$F$6:$CC$57,2,),)/1000</f>
        <v>14.872999999999999</v>
      </c>
      <c r="N13" s="50">
        <f t="shared" si="2"/>
        <v>-0.60499999999999865</v>
      </c>
      <c r="O13" s="46">
        <f>+IFERROR(HLOOKUP($B13,'[1]5월'!$D$6:$BN$259,3,),)/1000</f>
        <v>1212.0023999999999</v>
      </c>
      <c r="P13" s="47">
        <f>+IFERROR(HLOOKUP($B13,'[2]5월'!$F$6:$CP$99,3,),)/1000</f>
        <v>1329.1365000000001</v>
      </c>
      <c r="Q13" s="48">
        <f t="shared" si="3"/>
        <v>117.13410000000022</v>
      </c>
      <c r="R13" s="49">
        <f>+IFERROR(HLOOKUP($B13,'[3]5월'!$F$6:$CC$57,3,),)/1000</f>
        <v>1507.0137999999999</v>
      </c>
      <c r="S13" s="50">
        <f t="shared" si="4"/>
        <v>-177.87729999999988</v>
      </c>
      <c r="T13" s="46">
        <f>+IFERROR(HLOOKUP($B13,'[1]5월'!$D$6:$BN$259,16,),)/1000</f>
        <v>158.87075907559031</v>
      </c>
      <c r="U13" s="47">
        <f>+IFERROR(HLOOKUP($B13,'[2]5월'!$F$6:$CP$99,16,),)/1000</f>
        <v>76.218467000000189</v>
      </c>
      <c r="V13" s="48">
        <f t="shared" si="5"/>
        <v>-82.652292075590125</v>
      </c>
      <c r="W13" s="49">
        <f>+IFERROR(HLOOKUP($B13,'[3]5월'!$F$6:$CC$57,16,),)/1000</f>
        <v>257.13255199999986</v>
      </c>
      <c r="X13" s="50">
        <f t="shared" si="6"/>
        <v>-180.91408499999966</v>
      </c>
      <c r="Y13" s="46">
        <f>+[5]김해!$Q$85</f>
        <v>101000.2</v>
      </c>
      <c r="Z13" s="47">
        <f>+[5]김해!$R$85</f>
        <v>93214.324011012912</v>
      </c>
      <c r="AA13" s="51">
        <f>+[6]김해!$Q$85</f>
        <v>101325.475694211</v>
      </c>
      <c r="AB13" s="52">
        <f>+[5]김해!$Q$89</f>
        <v>76489.955398387028</v>
      </c>
      <c r="AC13" s="47">
        <f>+[5]김해!$R$89</f>
        <v>77424.480510070993</v>
      </c>
      <c r="AD13" s="53">
        <f>+[6]김해!$Q$89</f>
        <v>75129.032004303095</v>
      </c>
      <c r="AE13" s="52">
        <f t="shared" si="7"/>
        <v>24510.244601612969</v>
      </c>
      <c r="AF13" s="47">
        <f t="shared" si="8"/>
        <v>15789.843500941919</v>
      </c>
      <c r="AG13" s="53">
        <f t="shared" si="9"/>
        <v>26196.443689907901</v>
      </c>
      <c r="AH13" s="18"/>
      <c r="AI13" s="19"/>
      <c r="AJ13" s="97"/>
    </row>
    <row r="14" spans="2:36" s="8" customFormat="1" ht="19.5" customHeight="1" x14ac:dyDescent="0.3">
      <c r="B14" s="8" t="s">
        <v>28</v>
      </c>
      <c r="G14" s="8" t="str">
        <f t="shared" si="1"/>
        <v>정관</v>
      </c>
      <c r="H14" s="80"/>
      <c r="I14" s="81" t="s">
        <v>28</v>
      </c>
      <c r="J14" s="46">
        <f>+IFERROR(HLOOKUP($B14,'[1]5월'!$D$6:$BN$259,2,),)/1000</f>
        <v>18</v>
      </c>
      <c r="K14" s="47">
        <f>+IFERROR(HLOOKUP($B14,'[2]5월'!$F$6:$CP$99,2,),)/1000</f>
        <v>24.315000000000001</v>
      </c>
      <c r="L14" s="48">
        <f t="shared" si="0"/>
        <v>6.3150000000000013</v>
      </c>
      <c r="M14" s="49">
        <f>+IFERROR(HLOOKUP($B14,'[3]5월'!$F$6:$CC$57,2,),)/1000</f>
        <v>18.998999999999999</v>
      </c>
      <c r="N14" s="50">
        <f t="shared" si="2"/>
        <v>5.3160000000000025</v>
      </c>
      <c r="O14" s="46">
        <f>+IFERROR(HLOOKUP($B14,'[1]5월'!$D$6:$BN$259,3,),)/1000</f>
        <v>1872</v>
      </c>
      <c r="P14" s="47">
        <f>+IFERROR(HLOOKUP($B14,'[2]5월'!$F$6:$CP$99,3,),)/1000</f>
        <v>2465.0835999999999</v>
      </c>
      <c r="Q14" s="48">
        <f t="shared" si="3"/>
        <v>593.08359999999993</v>
      </c>
      <c r="R14" s="49">
        <f>+IFERROR(HLOOKUP($B14,'[3]5월'!$F$6:$CC$57,3,),)/1000</f>
        <v>1919.6708000000001</v>
      </c>
      <c r="S14" s="50">
        <f t="shared" si="4"/>
        <v>545.41279999999983</v>
      </c>
      <c r="T14" s="46">
        <f>+IFERROR(HLOOKUP($B14,'[1]5월'!$D$6:$BN$259,16,),)/1000</f>
        <v>267.50167308085503</v>
      </c>
      <c r="U14" s="47">
        <f>+IFERROR(HLOOKUP($B14,'[2]5월'!$F$6:$CP$99,16,),)/1000</f>
        <v>313.18669100000017</v>
      </c>
      <c r="V14" s="48">
        <f t="shared" si="5"/>
        <v>45.685017919145139</v>
      </c>
      <c r="W14" s="49">
        <f>+IFERROR(HLOOKUP($B14,'[3]5월'!$F$6:$CC$57,16,),)/1000</f>
        <v>303.63124099999993</v>
      </c>
      <c r="X14" s="50">
        <f t="shared" si="6"/>
        <v>9.5554500000002349</v>
      </c>
      <c r="Y14" s="46">
        <f>+[5]정관!$Q$85</f>
        <v>104000</v>
      </c>
      <c r="Z14" s="47">
        <f>+[5]정관!$R$85</f>
        <v>101381.18856672835</v>
      </c>
      <c r="AA14" s="51">
        <f>+[6]정관!$Q$85</f>
        <v>101040.62319069424</v>
      </c>
      <c r="AB14" s="52">
        <f>+[5]정관!$Q$89</f>
        <v>78533.163310322867</v>
      </c>
      <c r="AC14" s="47">
        <f>+[5]정관!$R$89</f>
        <v>80646.064758850378</v>
      </c>
      <c r="AD14" s="53">
        <f>+[6]정관!$Q$89</f>
        <v>75177.279031833721</v>
      </c>
      <c r="AE14" s="52">
        <f t="shared" si="7"/>
        <v>25466.836689677133</v>
      </c>
      <c r="AF14" s="47">
        <f t="shared" si="8"/>
        <v>20735.123807877972</v>
      </c>
      <c r="AG14" s="53">
        <f t="shared" si="9"/>
        <v>25863.34415886052</v>
      </c>
      <c r="AH14" s="18"/>
      <c r="AI14" s="19"/>
      <c r="AJ14" s="97"/>
    </row>
    <row r="15" spans="2:36" s="8" customFormat="1" ht="19.5" customHeight="1" x14ac:dyDescent="0.3">
      <c r="B15" s="8" t="s">
        <v>29</v>
      </c>
      <c r="G15" s="8" t="str">
        <f t="shared" si="1"/>
        <v>양산</v>
      </c>
      <c r="H15" s="80"/>
      <c r="I15" s="81" t="s">
        <v>29</v>
      </c>
      <c r="J15" s="46">
        <f>+IFERROR(HLOOKUP($B15,'[1]5월'!$D$6:$BN$259,2,),)/1000</f>
        <v>11.5</v>
      </c>
      <c r="K15" s="47">
        <f>+IFERROR(HLOOKUP($B15,'[2]5월'!$F$6:$CP$99,2,),)/1000</f>
        <v>14.568</v>
      </c>
      <c r="L15" s="48">
        <f t="shared" si="0"/>
        <v>3.0679999999999996</v>
      </c>
      <c r="M15" s="49">
        <f>+IFERROR(HLOOKUP($B15,'[3]5월'!$F$6:$CC$57,2,),)/1000</f>
        <v>14.522</v>
      </c>
      <c r="N15" s="50">
        <f t="shared" si="2"/>
        <v>4.5999999999999375E-2</v>
      </c>
      <c r="O15" s="46">
        <f>+IFERROR(HLOOKUP($B15,'[1]5월'!$D$6:$BN$259,3,),)/1000</f>
        <v>1112.79609</v>
      </c>
      <c r="P15" s="47">
        <f>+IFERROR(HLOOKUP($B15,'[2]5월'!$F$6:$CP$99,3,),)/1000</f>
        <v>1362.5257799999999</v>
      </c>
      <c r="Q15" s="48">
        <f t="shared" si="3"/>
        <v>249.72968999999989</v>
      </c>
      <c r="R15" s="49">
        <f>+IFERROR(HLOOKUP($B15,'[3]5월'!$F$6:$CC$57,3,),)/1000</f>
        <v>1391.9045000000001</v>
      </c>
      <c r="S15" s="50">
        <f t="shared" si="4"/>
        <v>-29.378720000000158</v>
      </c>
      <c r="T15" s="46">
        <f>+IFERROR(HLOOKUP($B15,'[1]5월'!$D$6:$BN$259,16,),)/1000</f>
        <v>162.37087051750768</v>
      </c>
      <c r="U15" s="47">
        <f>+IFERROR(HLOOKUP($B15,'[2]5월'!$F$6:$CP$99,16,),)/1000</f>
        <v>152.3402339999999</v>
      </c>
      <c r="V15" s="48">
        <f t="shared" si="5"/>
        <v>-10.030636517507787</v>
      </c>
      <c r="W15" s="49">
        <f>+IFERROR(HLOOKUP($B15,'[3]5월'!$F$6:$CC$57,16,),)/1000</f>
        <v>269.39112399999993</v>
      </c>
      <c r="X15" s="50">
        <f t="shared" si="6"/>
        <v>-117.05089000000004</v>
      </c>
      <c r="Y15" s="46">
        <f>+[5]양산!$Q$85</f>
        <v>96764.877391304355</v>
      </c>
      <c r="Z15" s="47">
        <f>+[5]양산!$R$85</f>
        <v>93528.677924217467</v>
      </c>
      <c r="AA15" s="51">
        <f>+[6]양산!$Q$85</f>
        <v>95847.989257678011</v>
      </c>
      <c r="AB15" s="52">
        <f>+[5]양산!$Q$89</f>
        <v>70825.6130757723</v>
      </c>
      <c r="AC15" s="47">
        <f>+[5]양산!$R$89</f>
        <v>73905.50878276382</v>
      </c>
      <c r="AD15" s="53">
        <f>+[6]양산!$Q$89</f>
        <v>68016.333562870117</v>
      </c>
      <c r="AE15" s="52">
        <f t="shared" si="7"/>
        <v>25939.264315532055</v>
      </c>
      <c r="AF15" s="47">
        <f t="shared" si="8"/>
        <v>19623.169141453647</v>
      </c>
      <c r="AG15" s="53">
        <f t="shared" si="9"/>
        <v>27831.655694807894</v>
      </c>
      <c r="AH15" s="18"/>
      <c r="AI15" s="19"/>
      <c r="AJ15" s="97"/>
    </row>
    <row r="16" spans="2:36" s="8" customFormat="1" ht="19.5" customHeight="1" x14ac:dyDescent="0.3">
      <c r="B16" s="8" t="s">
        <v>30</v>
      </c>
      <c r="G16" s="8" t="str">
        <f t="shared" si="1"/>
        <v>창원</v>
      </c>
      <c r="H16" s="80"/>
      <c r="I16" s="81" t="s">
        <v>30</v>
      </c>
      <c r="J16" s="46">
        <f>+IFERROR(HLOOKUP($B16,'[1]5월'!$D$6:$BN$259,2,),)/1000</f>
        <v>18</v>
      </c>
      <c r="K16" s="47">
        <f>+IFERROR(HLOOKUP($B16,'[2]5월'!$F$6:$CP$99,2,),)/1000</f>
        <v>20.168500000000002</v>
      </c>
      <c r="L16" s="48">
        <f t="shared" si="0"/>
        <v>2.1685000000000016</v>
      </c>
      <c r="M16" s="49">
        <f>+IFERROR(HLOOKUP($B16,'[3]5월'!$F$6:$CC$57,2,),)/1000</f>
        <v>19.664999999999999</v>
      </c>
      <c r="N16" s="50">
        <f t="shared" si="2"/>
        <v>0.5035000000000025</v>
      </c>
      <c r="O16" s="46">
        <f>+IFERROR(HLOOKUP($B16,'[1]5월'!$D$6:$BN$259,3,),)/1000</f>
        <v>1829.2840000000001</v>
      </c>
      <c r="P16" s="47">
        <f>+IFERROR(HLOOKUP($B16,'[2]5월'!$F$6:$CP$99,3,),)/1000</f>
        <v>1990.1033</v>
      </c>
      <c r="Q16" s="48">
        <f t="shared" si="3"/>
        <v>160.81929999999988</v>
      </c>
      <c r="R16" s="49">
        <f>+IFERROR(HLOOKUP($B16,'[3]5월'!$F$6:$CC$57,3,),)/1000</f>
        <v>1950.5856999999999</v>
      </c>
      <c r="S16" s="50">
        <f t="shared" si="4"/>
        <v>39.51760000000013</v>
      </c>
      <c r="T16" s="46">
        <f>+IFERROR(HLOOKUP($B16,'[1]5월'!$D$6:$BN$259,16,),)/1000</f>
        <v>336.50847634502287</v>
      </c>
      <c r="U16" s="47">
        <f>+IFERROR(HLOOKUP($B16,'[2]5월'!$F$6:$CP$99,16,),)/1000</f>
        <v>309.32628999999997</v>
      </c>
      <c r="V16" s="48">
        <f t="shared" si="5"/>
        <v>-27.182186345022899</v>
      </c>
      <c r="W16" s="49">
        <f>+IFERROR(HLOOKUP($B16,'[3]5월'!$F$6:$CC$57,16,),)/1000</f>
        <v>470.38097699999992</v>
      </c>
      <c r="X16" s="50">
        <f t="shared" si="6"/>
        <v>-161.05468699999994</v>
      </c>
      <c r="Y16" s="46">
        <f>+[5]창원!$Q$85</f>
        <v>101626.88888888889</v>
      </c>
      <c r="Z16" s="47">
        <f>+[5]창원!$R$85</f>
        <v>98673.837915561395</v>
      </c>
      <c r="AA16" s="51">
        <f>+[6]창원!$Q$85</f>
        <v>99190.729722857868</v>
      </c>
      <c r="AB16" s="52">
        <f>+[5]창원!$Q$89</f>
        <v>72259.836255137707</v>
      </c>
      <c r="AC16" s="47">
        <f>+[5]창원!$R$89</f>
        <v>74167.144557106381</v>
      </c>
      <c r="AD16" s="53">
        <f>+[6]창원!$Q$89</f>
        <v>65843.597965929308</v>
      </c>
      <c r="AE16" s="52">
        <f t="shared" si="7"/>
        <v>29367.052633751184</v>
      </c>
      <c r="AF16" s="47">
        <f t="shared" si="8"/>
        <v>24506.693358455013</v>
      </c>
      <c r="AG16" s="53">
        <f t="shared" si="9"/>
        <v>33347.13175692856</v>
      </c>
      <c r="AH16" s="18"/>
      <c r="AI16" s="19"/>
      <c r="AJ16" s="97"/>
    </row>
    <row r="17" spans="2:38" s="8" customFormat="1" ht="19.5" customHeight="1" x14ac:dyDescent="0.3">
      <c r="B17" s="8" t="s">
        <v>96</v>
      </c>
      <c r="G17" s="8" t="str">
        <f t="shared" si="1"/>
        <v>대구</v>
      </c>
      <c r="H17" s="80"/>
      <c r="I17" s="81" t="s">
        <v>87</v>
      </c>
      <c r="J17" s="46">
        <f>+IFERROR(HLOOKUP($B17,'[1]5월'!$D$6:$BN$259,2,),)/1000</f>
        <v>16.5</v>
      </c>
      <c r="K17" s="47">
        <f>+IFERROR(HLOOKUP($B17,'[2]5월'!$F$6:$CP$99,2,),)/1000</f>
        <v>20.795000000000002</v>
      </c>
      <c r="L17" s="48">
        <f t="shared" si="0"/>
        <v>4.2950000000000017</v>
      </c>
      <c r="M17" s="49">
        <f>+IFERROR(HLOOKUP($B17,'[3]5월'!$F$6:$CC$57,2,),)/1000</f>
        <v>22.4465</v>
      </c>
      <c r="N17" s="50">
        <f t="shared" si="2"/>
        <v>-1.6514999999999986</v>
      </c>
      <c r="O17" s="46">
        <f>+IFERROR(HLOOKUP($B17,'[1]5월'!$D$6:$BN$259,3,),)/1000</f>
        <v>1613.04</v>
      </c>
      <c r="P17" s="47">
        <f>+IFERROR(HLOOKUP($B17,'[2]5월'!$F$6:$CP$99,3,),)/1000</f>
        <v>2090.7307000000001</v>
      </c>
      <c r="Q17" s="48">
        <f t="shared" si="3"/>
        <v>477.69070000000011</v>
      </c>
      <c r="R17" s="49">
        <f>+IFERROR(HLOOKUP($B17,'[3]5월'!$F$6:$CC$57,3,),)/1000</f>
        <v>2128.3752500000001</v>
      </c>
      <c r="S17" s="50">
        <f t="shared" si="4"/>
        <v>-37.644549999999981</v>
      </c>
      <c r="T17" s="46">
        <f>+IFERROR(HLOOKUP($B17,'[1]5월'!$D$6:$BN$259,16,),)/1000</f>
        <v>296.33175616597543</v>
      </c>
      <c r="U17" s="47">
        <f>+IFERROR(HLOOKUP($B17,'[2]5월'!$F$6:$CP$99,16,),)/1000</f>
        <v>403.78827799999988</v>
      </c>
      <c r="V17" s="48">
        <f t="shared" si="5"/>
        <v>107.45652183402444</v>
      </c>
      <c r="W17" s="49">
        <f>+IFERROR(HLOOKUP($B17,'[3]5월'!$F$6:$CC$57,16,),)/1000</f>
        <v>500.43846500000001</v>
      </c>
      <c r="X17" s="50">
        <f t="shared" si="6"/>
        <v>-96.65018700000013</v>
      </c>
      <c r="Y17" s="46">
        <f>+[5]대구!$Q$85</f>
        <v>97760</v>
      </c>
      <c r="Z17" s="47">
        <f>+[5]대구!$R$85</f>
        <v>100540.06732387593</v>
      </c>
      <c r="AA17" s="51">
        <f>+[6]대구!$Q$85</f>
        <v>94819.916245294371</v>
      </c>
      <c r="AB17" s="52">
        <f>+[5]대구!$Q$89</f>
        <v>69576.21035174503</v>
      </c>
      <c r="AC17" s="47">
        <f>+[5]대구!$R$89</f>
        <v>73272.695503726849</v>
      </c>
      <c r="AD17" s="53">
        <f>+[6]대구!$Q$89</f>
        <v>65452.774641926357</v>
      </c>
      <c r="AE17" s="52">
        <f t="shared" si="7"/>
        <v>28183.78964825497</v>
      </c>
      <c r="AF17" s="47">
        <f t="shared" si="8"/>
        <v>27267.371820149085</v>
      </c>
      <c r="AG17" s="53">
        <f t="shared" si="9"/>
        <v>29367.141603368014</v>
      </c>
      <c r="AH17" s="18"/>
      <c r="AI17" s="19"/>
      <c r="AJ17" s="97"/>
    </row>
    <row r="18" spans="2:38" s="8" customFormat="1" ht="19.5" customHeight="1" x14ac:dyDescent="0.3">
      <c r="B18" s="8" t="s">
        <v>98</v>
      </c>
      <c r="G18" s="9" t="str">
        <f t="shared" si="1"/>
        <v>울산</v>
      </c>
      <c r="H18" s="80"/>
      <c r="I18" s="83" t="s">
        <v>88</v>
      </c>
      <c r="J18" s="10">
        <f>+IFERROR(HLOOKUP($B18,'[1]5월'!$D$6:$BN$259,2,),)/1000</f>
        <v>10</v>
      </c>
      <c r="K18" s="11">
        <f>+IFERROR(HLOOKUP($B18,'[2]5월'!$F$6:$CP$99,2,),)/1000</f>
        <v>11.917</v>
      </c>
      <c r="L18" s="12">
        <f t="shared" si="0"/>
        <v>1.9169999999999998</v>
      </c>
      <c r="M18" s="13">
        <f>+IFERROR(HLOOKUP($B18,'[3]5월'!$F$6:$CC$57,2,),)/1000</f>
        <v>9.9380000000000006</v>
      </c>
      <c r="N18" s="14">
        <f t="shared" si="2"/>
        <v>1.9789999999999992</v>
      </c>
      <c r="O18" s="10">
        <f>+IFERROR(HLOOKUP($B18,'[1]5월'!$D$6:$BN$259,3,),)/1000</f>
        <v>1012.931</v>
      </c>
      <c r="P18" s="11">
        <f>+IFERROR(HLOOKUP($B18,'[2]5월'!$F$6:$CP$99,3,),)/1000</f>
        <v>1241.1458500000001</v>
      </c>
      <c r="Q18" s="12">
        <f t="shared" si="3"/>
        <v>228.21485000000007</v>
      </c>
      <c r="R18" s="13">
        <f>+IFERROR(HLOOKUP($B18,'[3]5월'!$F$6:$CC$57,3,),)/1000</f>
        <v>927.62980000000005</v>
      </c>
      <c r="S18" s="14">
        <f t="shared" si="4"/>
        <v>313.51605000000006</v>
      </c>
      <c r="T18" s="10">
        <f>+IFERROR(HLOOKUP($B18,'[1]5월'!$D$6:$BN$259,16,),)/1000</f>
        <v>104.57265498051818</v>
      </c>
      <c r="U18" s="11">
        <f>+IFERROR(HLOOKUP($B18,'[2]5월'!$F$6:$CP$99,16,),)/1000</f>
        <v>187.53756000000018</v>
      </c>
      <c r="V18" s="12">
        <f t="shared" si="5"/>
        <v>82.964905019482003</v>
      </c>
      <c r="W18" s="13">
        <f>+IFERROR(HLOOKUP($B18,'[3]5월'!$F$6:$CC$57,16,),)/1000</f>
        <v>94.025729999999996</v>
      </c>
      <c r="X18" s="14">
        <f t="shared" si="6"/>
        <v>93.511830000000188</v>
      </c>
      <c r="Y18" s="10">
        <f>+[5]울산!$Q$85</f>
        <v>101293.09999999999</v>
      </c>
      <c r="Z18" s="11">
        <f>+[5]울산!$R$85</f>
        <v>104149.18603675422</v>
      </c>
      <c r="AA18" s="15">
        <f>+[6]울산!$Q$85</f>
        <v>93352.208997377442</v>
      </c>
      <c r="AB18" s="16">
        <f>+[5]울산!$Q$89</f>
        <v>77547.725686721504</v>
      </c>
      <c r="AC18" s="11">
        <f>+[5]울산!$R$89</f>
        <v>78333.912058403948</v>
      </c>
      <c r="AD18" s="17">
        <f>+[6]울산!$Q$89</f>
        <v>71376.176215452899</v>
      </c>
      <c r="AE18" s="16">
        <f t="shared" si="7"/>
        <v>23745.374313278488</v>
      </c>
      <c r="AF18" s="11">
        <f t="shared" si="8"/>
        <v>25815.273978350277</v>
      </c>
      <c r="AG18" s="17">
        <f t="shared" si="9"/>
        <v>21976.032781924543</v>
      </c>
      <c r="AH18" s="18"/>
      <c r="AI18" s="19"/>
      <c r="AJ18" s="97"/>
    </row>
    <row r="19" spans="2:38" s="8" customFormat="1" ht="19.5" customHeight="1" x14ac:dyDescent="0.3">
      <c r="B19" s="8" t="s">
        <v>93</v>
      </c>
      <c r="G19" s="9" t="str">
        <f t="shared" si="1"/>
        <v>아산</v>
      </c>
      <c r="H19" s="80"/>
      <c r="I19" s="81" t="s">
        <v>31</v>
      </c>
      <c r="J19" s="46">
        <f>+IFERROR(HLOOKUP($B19,'[1]5월'!$D$6:$BN$259,2,),)/1000</f>
        <v>24</v>
      </c>
      <c r="K19" s="47">
        <f>+IFERROR(HLOOKUP($B19,'[2]5월'!$F$6:$CP$99,2,),)/1000</f>
        <v>32.637</v>
      </c>
      <c r="L19" s="48">
        <f t="shared" si="0"/>
        <v>8.6370000000000005</v>
      </c>
      <c r="M19" s="49">
        <f>+IFERROR(HLOOKUP($B19,'[3]5월'!$F$6:$CC$57,2,),)/1000</f>
        <v>28.419</v>
      </c>
      <c r="N19" s="50">
        <f t="shared" si="2"/>
        <v>4.218</v>
      </c>
      <c r="O19" s="46">
        <f>+IFERROR(HLOOKUP($B19,'[1]5월'!$D$6:$BN$259,3,),)/1000</f>
        <v>2424.0035999999996</v>
      </c>
      <c r="P19" s="47">
        <f>+IFERROR(HLOOKUP($B19,'[2]5월'!$F$6:$CP$99,3,),)/1000</f>
        <v>3371.381981</v>
      </c>
      <c r="Q19" s="48">
        <f t="shared" si="3"/>
        <v>947.37838100000045</v>
      </c>
      <c r="R19" s="49">
        <f>+IFERROR(HLOOKUP($B19,'[3]5월'!$F$6:$CC$57,3,),)/1000</f>
        <v>2791.0738500000002</v>
      </c>
      <c r="S19" s="50">
        <f t="shared" si="4"/>
        <v>580.30813099999978</v>
      </c>
      <c r="T19" s="46">
        <f>+IFERROR(HLOOKUP($B19,'[1]5월'!$D$6:$BN$259,16,),)/1000</f>
        <v>390.82873089918087</v>
      </c>
      <c r="U19" s="47">
        <f>+IFERROR(HLOOKUP($B19,'[2]5월'!$F$6:$CP$99,16,),)/1000</f>
        <v>681.32996100000048</v>
      </c>
      <c r="V19" s="48">
        <f t="shared" si="5"/>
        <v>290.50123010081961</v>
      </c>
      <c r="W19" s="49">
        <f>+IFERROR(HLOOKUP($B19,'[3]5월'!$F$6:$CC$57,16,),)/1000</f>
        <v>618.0140540000001</v>
      </c>
      <c r="X19" s="50">
        <f t="shared" si="6"/>
        <v>63.315907000000379</v>
      </c>
      <c r="Y19" s="46">
        <f>+[5]아산!$Q$85</f>
        <v>101000.15</v>
      </c>
      <c r="Z19" s="47">
        <f>+[5]아산!$R$85</f>
        <v>103299.38355240985</v>
      </c>
      <c r="AA19" s="51">
        <f>+[6]아산!$Q$85</f>
        <v>98295.775533673543</v>
      </c>
      <c r="AB19" s="52">
        <f>+[5]아산!$Q$89</f>
        <v>76007.141155999445</v>
      </c>
      <c r="AC19" s="47">
        <f>+[5]아산!$R$89</f>
        <v>75203.706950954263</v>
      </c>
      <c r="AD19" s="53">
        <f>+[6]아산!$Q$89</f>
        <v>69105.829908019557</v>
      </c>
      <c r="AE19" s="52">
        <f t="shared" si="7"/>
        <v>24993.008844000549</v>
      </c>
      <c r="AF19" s="47">
        <f t="shared" si="8"/>
        <v>28095.676601455591</v>
      </c>
      <c r="AG19" s="53">
        <f t="shared" si="9"/>
        <v>29189.945625653985</v>
      </c>
      <c r="AH19" s="18"/>
      <c r="AI19" s="19"/>
      <c r="AJ19" s="97"/>
    </row>
    <row r="20" spans="2:38" s="8" customFormat="1" ht="19.5" customHeight="1" x14ac:dyDescent="0.3">
      <c r="B20" s="8" t="s">
        <v>89</v>
      </c>
      <c r="G20" s="9" t="str">
        <f t="shared" si="1"/>
        <v>전주</v>
      </c>
      <c r="H20" s="80"/>
      <c r="I20" s="81" t="s">
        <v>89</v>
      </c>
      <c r="J20" s="46">
        <f>+IFERROR(HLOOKUP($B20,'[1]5월'!$D$6:$BN$259,2,),)/1000</f>
        <v>12</v>
      </c>
      <c r="K20" s="47">
        <f>+IFERROR(HLOOKUP($B20,'[2]5월'!$F$6:$CP$99,2,),)/1000</f>
        <v>14.195499999999999</v>
      </c>
      <c r="L20" s="48">
        <f t="shared" si="0"/>
        <v>2.1954999999999991</v>
      </c>
      <c r="M20" s="49">
        <f>+IFERROR(HLOOKUP($B20,'[3]5월'!$F$6:$CC$57,2,),)/1000</f>
        <v>11.7485</v>
      </c>
      <c r="N20" s="50">
        <f t="shared" si="2"/>
        <v>2.4469999999999992</v>
      </c>
      <c r="O20" s="46">
        <f>+IFERROR(HLOOKUP($B20,'[1]5월'!$D$6:$BN$259,3,),)/1000</f>
        <v>1246.4673899999998</v>
      </c>
      <c r="P20" s="47">
        <f>+IFERROR(HLOOKUP($B20,'[2]5월'!$F$6:$CP$99,3,),)/1000</f>
        <v>1369.0423500000002</v>
      </c>
      <c r="Q20" s="48">
        <f t="shared" si="3"/>
        <v>122.57496000000037</v>
      </c>
      <c r="R20" s="49">
        <f>+IFERROR(HLOOKUP($B20,'[3]5월'!$F$6:$CC$57,3,),)/1000</f>
        <v>1190.572588</v>
      </c>
      <c r="S20" s="50">
        <f t="shared" si="4"/>
        <v>178.46976200000017</v>
      </c>
      <c r="T20" s="46">
        <f>+IFERROR(HLOOKUP($B20,'[1]5월'!$D$6:$BN$259,16,),)/1000</f>
        <v>228.25969242979102</v>
      </c>
      <c r="U20" s="47">
        <f>+IFERROR(HLOOKUP($B20,'[2]5월'!$F$6:$CP$99,16,),)/1000</f>
        <v>209.80582200000009</v>
      </c>
      <c r="V20" s="48">
        <f t="shared" si="5"/>
        <v>-18.453870429790925</v>
      </c>
      <c r="W20" s="49">
        <f>+IFERROR(HLOOKUP($B20,'[3]5월'!$F$6:$CC$57,16,),)/1000</f>
        <v>238.54564099999993</v>
      </c>
      <c r="X20" s="50">
        <f t="shared" si="6"/>
        <v>-28.739818999999841</v>
      </c>
      <c r="Y20" s="46">
        <f>+[5]전주!$Q$85</f>
        <v>103872.2825</v>
      </c>
      <c r="Z20" s="47">
        <f>+[5]전주!$R$85</f>
        <v>96441.995702863598</v>
      </c>
      <c r="AA20" s="51">
        <f>+[6]전주!$Q$85</f>
        <v>101338.26343788569</v>
      </c>
      <c r="AB20" s="52">
        <f>+[5]전주!$Q$89</f>
        <v>72772.779534946239</v>
      </c>
      <c r="AC20" s="47">
        <f>+[5]전주!$R$89</f>
        <v>70782.446831742462</v>
      </c>
      <c r="AD20" s="53">
        <f>+[6]전주!$Q$89</f>
        <v>69906.240285993961</v>
      </c>
      <c r="AE20" s="52">
        <f t="shared" si="7"/>
        <v>31099.502965053762</v>
      </c>
      <c r="AF20" s="47">
        <f t="shared" si="8"/>
        <v>25659.548871121136</v>
      </c>
      <c r="AG20" s="53">
        <f t="shared" si="9"/>
        <v>31432.023151891728</v>
      </c>
      <c r="AH20" s="18"/>
      <c r="AI20" s="19"/>
      <c r="AJ20" s="97"/>
    </row>
    <row r="21" spans="2:38" s="8" customFormat="1" ht="19.5" customHeight="1" x14ac:dyDescent="0.3">
      <c r="B21" s="8" t="s">
        <v>90</v>
      </c>
      <c r="G21" s="9" t="str">
        <f t="shared" si="1"/>
        <v>군산</v>
      </c>
      <c r="H21" s="80"/>
      <c r="I21" s="81" t="s">
        <v>90</v>
      </c>
      <c r="J21" s="46">
        <f>+IFERROR(HLOOKUP($B21,'[1]5월'!$D$6:$BN$259,2,),)/1000</f>
        <v>7.5</v>
      </c>
      <c r="K21" s="47">
        <f>+IFERROR(HLOOKUP($B21,'[2]5월'!$F$6:$CP$99,2,),)/1000</f>
        <v>10.731</v>
      </c>
      <c r="L21" s="48">
        <f t="shared" si="0"/>
        <v>3.2309999999999999</v>
      </c>
      <c r="M21" s="49">
        <f>+IFERROR(HLOOKUP($B21,'[3]5월'!$F$6:$CC$57,2,),)/1000</f>
        <v>12.420500000000001</v>
      </c>
      <c r="N21" s="50">
        <f t="shared" si="2"/>
        <v>-1.6895000000000007</v>
      </c>
      <c r="O21" s="46">
        <f>+IFERROR(HLOOKUP($B21,'[1]5월'!$D$6:$BN$259,3,),)/1000</f>
        <v>817.18473199999994</v>
      </c>
      <c r="P21" s="47">
        <f>+IFERROR(HLOOKUP($B21,'[2]5월'!$F$6:$CP$99,3,),)/1000</f>
        <v>1218.0546000000002</v>
      </c>
      <c r="Q21" s="48">
        <f t="shared" si="3"/>
        <v>400.86986800000022</v>
      </c>
      <c r="R21" s="49">
        <f>+IFERROR(HLOOKUP($B21,'[3]5월'!$F$6:$CC$57,3,),)/1000</f>
        <v>1246.3775000000001</v>
      </c>
      <c r="S21" s="50">
        <f t="shared" si="4"/>
        <v>-28.32289999999989</v>
      </c>
      <c r="T21" s="46">
        <f>+IFERROR(HLOOKUP($B21,'[1]5월'!$D$6:$BN$259,16,),)/1000</f>
        <v>214.33959782105404</v>
      </c>
      <c r="U21" s="47">
        <f>+IFERROR(HLOOKUP($B21,'[2]5월'!$F$6:$CP$99,16,),)/1000</f>
        <v>349.47532500000005</v>
      </c>
      <c r="V21" s="48">
        <f t="shared" si="5"/>
        <v>135.13572717894601</v>
      </c>
      <c r="W21" s="49">
        <f>+IFERROR(HLOOKUP($B21,'[3]5월'!$F$6:$CC$57,16,),)/1000</f>
        <v>380.93049300000001</v>
      </c>
      <c r="X21" s="50">
        <f t="shared" si="6"/>
        <v>-31.455167999999958</v>
      </c>
      <c r="Y21" s="46">
        <f>+[5]군산!$Q$85</f>
        <v>108957.96426666666</v>
      </c>
      <c r="Z21" s="47">
        <f>+[5]군산!$R$85</f>
        <v>113508.02348336596</v>
      </c>
      <c r="AA21" s="51">
        <f>+[6]군산!$Q$85</f>
        <v>100362.5231591193</v>
      </c>
      <c r="AB21" s="52">
        <f>+[5]군산!$Q$89</f>
        <v>69303.185562576211</v>
      </c>
      <c r="AC21" s="47">
        <f>+[5]군산!$R$89</f>
        <v>73381.874266554907</v>
      </c>
      <c r="AD21" s="53">
        <f>+[6]군산!$Q$89</f>
        <v>61353.884786074355</v>
      </c>
      <c r="AE21" s="52">
        <f t="shared" si="7"/>
        <v>39654.778704090451</v>
      </c>
      <c r="AF21" s="47">
        <f t="shared" si="8"/>
        <v>40126.149216811056</v>
      </c>
      <c r="AG21" s="53">
        <f t="shared" si="9"/>
        <v>39008.638373044945</v>
      </c>
      <c r="AH21" s="18"/>
      <c r="AI21" s="19"/>
      <c r="AJ21" s="97"/>
    </row>
    <row r="22" spans="2:38" s="8" customFormat="1" ht="19.5" customHeight="1" x14ac:dyDescent="0.3">
      <c r="B22" s="8" t="s">
        <v>91</v>
      </c>
      <c r="G22" s="9" t="str">
        <f t="shared" si="1"/>
        <v>원주</v>
      </c>
      <c r="H22" s="80"/>
      <c r="I22" s="81" t="s">
        <v>91</v>
      </c>
      <c r="J22" s="46">
        <f>+IFERROR(HLOOKUP($B22,'[1]5월'!$D$6:$BN$259,2,),)/1000</f>
        <v>7</v>
      </c>
      <c r="K22" s="47">
        <f>+IFERROR(HLOOKUP($B22,'[2]5월'!$F$6:$CP$99,2,),)/1000</f>
        <v>7.601</v>
      </c>
      <c r="L22" s="48">
        <f t="shared" si="0"/>
        <v>0.60099999999999998</v>
      </c>
      <c r="M22" s="49">
        <f>+IFERROR(HLOOKUP($B22,'[3]5월'!$F$6:$CC$57,2,),)/1000</f>
        <v>6.1284999999999998</v>
      </c>
      <c r="N22" s="50">
        <f t="shared" si="2"/>
        <v>1.4725000000000001</v>
      </c>
      <c r="O22" s="46">
        <f>+IFERROR(HLOOKUP($B22,'[1]5월'!$D$6:$BN$259,3,),)/1000</f>
        <v>755.3</v>
      </c>
      <c r="P22" s="47">
        <f>+IFERROR(HLOOKUP($B22,'[2]5월'!$F$6:$CP$99,3,),)/1000</f>
        <v>848.83319999999992</v>
      </c>
      <c r="Q22" s="48">
        <f t="shared" si="3"/>
        <v>93.533199999999965</v>
      </c>
      <c r="R22" s="49">
        <f>+IFERROR(HLOOKUP($B22,'[3]5월'!$F$6:$CC$57,3,),)/1000</f>
        <v>639.65280000000007</v>
      </c>
      <c r="S22" s="50">
        <f t="shared" si="4"/>
        <v>209.18039999999985</v>
      </c>
      <c r="T22" s="46">
        <f>+IFERROR(HLOOKUP($B22,'[1]5월'!$D$6:$BN$259,16,),)/1000</f>
        <v>165.56488298271475</v>
      </c>
      <c r="U22" s="47">
        <f>+IFERROR(HLOOKUP($B22,'[2]5월'!$F$6:$CP$99,16,),)/1000</f>
        <v>211.34337799999994</v>
      </c>
      <c r="V22" s="48">
        <f t="shared" si="5"/>
        <v>45.778495017285195</v>
      </c>
      <c r="W22" s="49">
        <f>+IFERROR(HLOOKUP($B22,'[3]5월'!$F$6:$CC$57,16,),)/1000</f>
        <v>133.62028600000005</v>
      </c>
      <c r="X22" s="50">
        <f t="shared" si="6"/>
        <v>77.723091999999895</v>
      </c>
      <c r="Y22" s="46">
        <f>+[5]원주!$Q$85</f>
        <v>107900</v>
      </c>
      <c r="Z22" s="47">
        <f>+[5]원주!$R$85</f>
        <v>111673.88501512959</v>
      </c>
      <c r="AA22" s="51">
        <f>+[6]원주!$Q$85</f>
        <v>104400.09828814809</v>
      </c>
      <c r="AB22" s="52">
        <f>+[5]원주!$Q$89</f>
        <v>72409.200370664941</v>
      </c>
      <c r="AC22" s="47">
        <f>+[5]원주!$R$89</f>
        <v>71854.954216550454</v>
      </c>
      <c r="AD22" s="53">
        <f>+[6]원주!$Q$89</f>
        <v>68394.861987058728</v>
      </c>
      <c r="AE22" s="52">
        <f t="shared" si="7"/>
        <v>35490.799629335059</v>
      </c>
      <c r="AF22" s="47">
        <f t="shared" si="8"/>
        <v>39818.930798579138</v>
      </c>
      <c r="AG22" s="53">
        <f t="shared" si="9"/>
        <v>36005.23630108936</v>
      </c>
      <c r="AH22" s="18"/>
      <c r="AI22" s="19"/>
      <c r="AJ22" s="97"/>
    </row>
    <row r="23" spans="2:38" s="8" customFormat="1" ht="19.5" customHeight="1" x14ac:dyDescent="0.3">
      <c r="B23" s="8" t="s">
        <v>92</v>
      </c>
      <c r="G23" s="8" t="str">
        <f t="shared" si="1"/>
        <v>제주</v>
      </c>
      <c r="H23" s="80"/>
      <c r="I23" s="81" t="s">
        <v>92</v>
      </c>
      <c r="J23" s="46">
        <f>+IFERROR(HLOOKUP($B23,'[1]5월'!$D$6:$BN$259,2,),)/1000</f>
        <v>6</v>
      </c>
      <c r="K23" s="47">
        <f>+IFERROR(HLOOKUP($B23,'[2]5월'!$F$6:$CP$99,2,),)/1000</f>
        <v>3.7164999999999999</v>
      </c>
      <c r="L23" s="48">
        <f t="shared" si="0"/>
        <v>-2.2835000000000001</v>
      </c>
      <c r="M23" s="49">
        <f>+IFERROR(HLOOKUP($B23,'[3]5월'!$F$6:$CC$57,2,),)/1000</f>
        <v>8.9954999999999998</v>
      </c>
      <c r="N23" s="50">
        <f t="shared" si="2"/>
        <v>-5.2789999999999999</v>
      </c>
      <c r="O23" s="46">
        <f>+IFERROR(HLOOKUP($B23,'[1]5월'!$D$6:$BN$259,3,),)/1000</f>
        <v>760.8</v>
      </c>
      <c r="P23" s="47">
        <f>+IFERROR(HLOOKUP($B23,'[2]5월'!$F$6:$CP$99,3,),)/1000</f>
        <v>463.02055200000001</v>
      </c>
      <c r="Q23" s="48">
        <f t="shared" si="3"/>
        <v>-297.77944799999995</v>
      </c>
      <c r="R23" s="49">
        <f>+IFERROR(HLOOKUP($B23,'[3]5월'!$F$6:$CC$57,3,),)/1000</f>
        <v>1073.3613910000001</v>
      </c>
      <c r="S23" s="50">
        <f t="shared" si="4"/>
        <v>-610.34083900000019</v>
      </c>
      <c r="T23" s="46">
        <f>+IFERROR(HLOOKUP($B23,'[1]5월'!$D$6:$BN$259,16,),)/1000</f>
        <v>127.44972904199412</v>
      </c>
      <c r="U23" s="47">
        <f>+IFERROR(HLOOKUP($B23,'[2]5월'!$F$6:$CP$99,16,),)/1000</f>
        <v>51.135698000000019</v>
      </c>
      <c r="V23" s="48">
        <f t="shared" si="5"/>
        <v>-76.314031041994099</v>
      </c>
      <c r="W23" s="49">
        <f>+IFERROR(HLOOKUP($B23,'[3]5월'!$F$6:$CC$57,16,),)/1000</f>
        <v>231.49708200000003</v>
      </c>
      <c r="X23" s="50">
        <f t="shared" si="6"/>
        <v>-180.36138400000002</v>
      </c>
      <c r="Y23" s="46">
        <f>+[5]제주!$Q$85</f>
        <v>126800</v>
      </c>
      <c r="Z23" s="47">
        <f>+[5]제주!$R$85</f>
        <v>124585.10749360958</v>
      </c>
      <c r="AA23" s="51">
        <f>+[6]제주!$Q$85</f>
        <v>119517.93464736322</v>
      </c>
      <c r="AB23" s="52">
        <f>+[5]제주!$Q$89</f>
        <v>91078.010519294941</v>
      </c>
      <c r="AC23" s="47">
        <f>+[5]제주!$R$89</f>
        <v>88417.978474371033</v>
      </c>
      <c r="AD23" s="53">
        <f>+[6]제주!$Q$89</f>
        <v>83709.68986568987</v>
      </c>
      <c r="AE23" s="52">
        <f t="shared" si="7"/>
        <v>35721.989480705059</v>
      </c>
      <c r="AF23" s="47">
        <f t="shared" si="8"/>
        <v>36167.12901923855</v>
      </c>
      <c r="AG23" s="53">
        <f t="shared" si="9"/>
        <v>35808.244781673347</v>
      </c>
      <c r="AH23" s="18"/>
      <c r="AI23" s="19"/>
      <c r="AJ23" s="97"/>
    </row>
    <row r="24" spans="2:38" s="8" customFormat="1" ht="19.5" customHeight="1" x14ac:dyDescent="0.3">
      <c r="G24" s="96" t="str">
        <f t="shared" si="1"/>
        <v>수도권</v>
      </c>
      <c r="H24" s="80"/>
      <c r="I24" s="84" t="s">
        <v>55</v>
      </c>
      <c r="J24" s="23">
        <f>SUM(J7:J10)</f>
        <v>125.5</v>
      </c>
      <c r="K24" s="20">
        <f>SUM(K7:K10)</f>
        <v>120.114</v>
      </c>
      <c r="L24" s="21">
        <f t="shared" si="0"/>
        <v>-5.3859999999999957</v>
      </c>
      <c r="M24" s="25">
        <f>SUM(M7:M10)</f>
        <v>151.04500000000002</v>
      </c>
      <c r="N24" s="22">
        <f t="shared" si="2"/>
        <v>-30.931000000000012</v>
      </c>
      <c r="O24" s="23">
        <f>SUM(O7:O10)</f>
        <v>12606.84940242176</v>
      </c>
      <c r="P24" s="20">
        <f>SUM(P7:P10)</f>
        <v>11931.163112999999</v>
      </c>
      <c r="Q24" s="21">
        <f t="shared" si="3"/>
        <v>-675.6862894217611</v>
      </c>
      <c r="R24" s="25">
        <f>SUM(R7:R10)</f>
        <v>14404.539271000001</v>
      </c>
      <c r="S24" s="22">
        <f t="shared" si="4"/>
        <v>-2473.3761580000028</v>
      </c>
      <c r="T24" s="23">
        <f>SUM(T7:T10)</f>
        <v>1914.9022697886153</v>
      </c>
      <c r="U24" s="20">
        <f>SUM(U7:U10)</f>
        <v>1345.1498929999993</v>
      </c>
      <c r="V24" s="21">
        <f t="shared" si="5"/>
        <v>-569.75237678861595</v>
      </c>
      <c r="W24" s="25">
        <f>SUM(W7:W10)</f>
        <v>2478.7102090000008</v>
      </c>
      <c r="X24" s="22">
        <f t="shared" si="6"/>
        <v>-1133.5603160000014</v>
      </c>
      <c r="Y24" s="23">
        <f>+[5]수도권!$Q$85</f>
        <v>100452.98328622917</v>
      </c>
      <c r="Z24" s="20">
        <f>+[5]수도권!$R$85</f>
        <v>99353.382025602928</v>
      </c>
      <c r="AA24" s="24">
        <f>+[6]수도권!$Q$85</f>
        <v>95385.129125175445</v>
      </c>
      <c r="AB24" s="29">
        <f>+[5]수도권!$Q$89</f>
        <v>77518.459365994029</v>
      </c>
      <c r="AC24" s="20">
        <f>+[5]수도권!$R$89</f>
        <v>80233.601251181943</v>
      </c>
      <c r="AD24" s="30">
        <f>+[6]수도권!$Q$89</f>
        <v>72619.448995270286</v>
      </c>
      <c r="AE24" s="29">
        <f t="shared" si="7"/>
        <v>22934.523920235137</v>
      </c>
      <c r="AF24" s="20">
        <f t="shared" si="8"/>
        <v>19119.780774420986</v>
      </c>
      <c r="AG24" s="30">
        <f t="shared" si="9"/>
        <v>22765.680129905159</v>
      </c>
      <c r="AH24" s="18"/>
      <c r="AI24" s="19"/>
      <c r="AJ24" s="97"/>
    </row>
    <row r="25" spans="2:38" s="8" customFormat="1" ht="19.5" customHeight="1" x14ac:dyDescent="0.3">
      <c r="G25" s="8" t="str">
        <f t="shared" si="1"/>
        <v>영남권</v>
      </c>
      <c r="H25" s="80"/>
      <c r="I25" s="84" t="s">
        <v>56</v>
      </c>
      <c r="J25" s="23">
        <f>SUM(J11:J18)</f>
        <v>132</v>
      </c>
      <c r="K25" s="20">
        <f>SUM(K11:K18)</f>
        <v>158.13399999999999</v>
      </c>
      <c r="L25" s="21">
        <f t="shared" si="0"/>
        <v>26.133999999999986</v>
      </c>
      <c r="M25" s="25">
        <f>SUM(M11:M18)</f>
        <v>145.64449999999999</v>
      </c>
      <c r="N25" s="22">
        <f t="shared" si="2"/>
        <v>12.489499999999992</v>
      </c>
      <c r="O25" s="23">
        <f>SUM(O11:O18)</f>
        <v>13488.696293999998</v>
      </c>
      <c r="P25" s="20">
        <f>SUM(P11:P18)</f>
        <v>15924.447935000002</v>
      </c>
      <c r="Q25" s="21">
        <f t="shared" si="3"/>
        <v>2435.7516410000044</v>
      </c>
      <c r="R25" s="25">
        <f>SUM(R11:R18)</f>
        <v>14476.145149999998</v>
      </c>
      <c r="S25" s="22">
        <f t="shared" si="4"/>
        <v>1448.3027850000035</v>
      </c>
      <c r="T25" s="23">
        <f>SUM(T11:T18)</f>
        <v>2145.7120934187283</v>
      </c>
      <c r="U25" s="20">
        <f>SUM(U11:U18)</f>
        <v>2214.5420289999997</v>
      </c>
      <c r="V25" s="21">
        <f t="shared" si="5"/>
        <v>68.829935581271457</v>
      </c>
      <c r="W25" s="25">
        <f>SUM(W11:W18)</f>
        <v>2747.8642159999995</v>
      </c>
      <c r="X25" s="22">
        <f t="shared" si="6"/>
        <v>-533.32218699999976</v>
      </c>
      <c r="Y25" s="23">
        <f>+[5]영남권!$Q$85</f>
        <v>102187.09313636363</v>
      </c>
      <c r="Z25" s="20">
        <f>+[5]영남권!$R$85</f>
        <v>100729.73295151837</v>
      </c>
      <c r="AA25" s="24">
        <f>+[6]영남권!$Q$85</f>
        <v>99395.408956843297</v>
      </c>
      <c r="AB25" s="29">
        <f>+[5]영남권!$Q$89</f>
        <v>75188.107371302394</v>
      </c>
      <c r="AC25" s="20">
        <f>+[5]영남권!$R$89</f>
        <v>77860.411913325399</v>
      </c>
      <c r="AD25" s="30">
        <f>+[6]영남권!$Q$89</f>
        <v>71162.687567213245</v>
      </c>
      <c r="AE25" s="29">
        <f t="shared" si="7"/>
        <v>26998.985765061239</v>
      </c>
      <c r="AF25" s="20">
        <f t="shared" si="8"/>
        <v>22869.321038192968</v>
      </c>
      <c r="AG25" s="30">
        <f t="shared" si="9"/>
        <v>28232.721389630053</v>
      </c>
      <c r="AH25" s="18"/>
      <c r="AI25" s="19"/>
      <c r="AJ25" s="97"/>
    </row>
    <row r="26" spans="2:38" s="8" customFormat="1" ht="19.5" customHeight="1" x14ac:dyDescent="0.3">
      <c r="G26" s="8" t="str">
        <f t="shared" si="1"/>
        <v>중부권</v>
      </c>
      <c r="H26" s="80"/>
      <c r="I26" s="84" t="s">
        <v>171</v>
      </c>
      <c r="J26" s="23">
        <f>SUM(J19:J23)</f>
        <v>56.5</v>
      </c>
      <c r="K26" s="20">
        <f>SUM(K19:K23)</f>
        <v>68.881</v>
      </c>
      <c r="L26" s="21">
        <f t="shared" si="0"/>
        <v>12.381</v>
      </c>
      <c r="M26" s="25">
        <f>SUM(M19:M23)</f>
        <v>67.712000000000018</v>
      </c>
      <c r="N26" s="22">
        <f t="shared" si="2"/>
        <v>1.1689999999999827</v>
      </c>
      <c r="O26" s="23">
        <f>SUM(O19:O23)</f>
        <v>6003.7557219999999</v>
      </c>
      <c r="P26" s="20">
        <f>SUM(P19:P23)</f>
        <v>7270.3326830000005</v>
      </c>
      <c r="Q26" s="21">
        <f t="shared" si="3"/>
        <v>1266.5769610000007</v>
      </c>
      <c r="R26" s="25">
        <f>SUM(R19:R23)</f>
        <v>6941.0381290000005</v>
      </c>
      <c r="S26" s="22">
        <f t="shared" si="4"/>
        <v>329.29455400000006</v>
      </c>
      <c r="T26" s="23">
        <f>SUM(T19:T23)</f>
        <v>1126.4426331747347</v>
      </c>
      <c r="U26" s="20">
        <f>SUM(U19:U23)</f>
        <v>1503.0901840000008</v>
      </c>
      <c r="V26" s="21">
        <f t="shared" si="5"/>
        <v>376.64755082526608</v>
      </c>
      <c r="W26" s="25">
        <f>SUM(W19:W23)</f>
        <v>1602.6075560000002</v>
      </c>
      <c r="X26" s="22">
        <f t="shared" si="6"/>
        <v>-99.517371999999341</v>
      </c>
      <c r="Y26" s="23">
        <f>+[5]중부권!$Q$85</f>
        <v>106261.16322123892</v>
      </c>
      <c r="Z26" s="20">
        <f>+[5]중부권!$R$85</f>
        <v>105549.17441674772</v>
      </c>
      <c r="AA26" s="24">
        <f>+[6]중부권!$Q$85</f>
        <v>102538.02372387415</v>
      </c>
      <c r="AB26" s="29">
        <f>+[5]중부권!$Q$89</f>
        <v>75584.975214036953</v>
      </c>
      <c r="AC26" s="20">
        <f>+[5]중부권!$R$89</f>
        <v>74352.153890816189</v>
      </c>
      <c r="AD26" s="30">
        <f>+[6]중부권!$Q$89</f>
        <v>69723.413483282493</v>
      </c>
      <c r="AE26" s="29">
        <f t="shared" si="7"/>
        <v>30676.18800720197</v>
      </c>
      <c r="AF26" s="20">
        <f t="shared" si="8"/>
        <v>31197.020525931526</v>
      </c>
      <c r="AG26" s="30">
        <f t="shared" si="9"/>
        <v>32814.610240591661</v>
      </c>
      <c r="AH26" s="18"/>
      <c r="AI26" s="19"/>
      <c r="AJ26" s="97"/>
    </row>
    <row r="27" spans="2:38" s="3" customFormat="1" ht="19.5" customHeight="1" x14ac:dyDescent="0.3">
      <c r="B27" s="26"/>
      <c r="G27" s="9">
        <f>+K27/J27</f>
        <v>1.1055063694267517</v>
      </c>
      <c r="H27" s="630" t="s">
        <v>115</v>
      </c>
      <c r="I27" s="631"/>
      <c r="J27" s="632">
        <f>SUM(J24:J26)</f>
        <v>314</v>
      </c>
      <c r="K27" s="633">
        <f>SUM(K24:K26)</f>
        <v>347.12900000000002</v>
      </c>
      <c r="L27" s="634">
        <f t="shared" ref="L27:L32" si="10">+K27-J27</f>
        <v>33.129000000000019</v>
      </c>
      <c r="M27" s="635">
        <f>SUM(M24:M26)</f>
        <v>364.40150000000006</v>
      </c>
      <c r="N27" s="636">
        <f t="shared" ref="N27:N32" si="11">+K27-M27</f>
        <v>-17.272500000000036</v>
      </c>
      <c r="O27" s="632">
        <f>SUM(O24:O26)</f>
        <v>32099.301418421761</v>
      </c>
      <c r="P27" s="633">
        <f>SUM(P24:P26)</f>
        <v>35125.943730999999</v>
      </c>
      <c r="Q27" s="634">
        <f t="shared" ref="Q27:Q43" si="12">+P27-O27</f>
        <v>3026.6423125782385</v>
      </c>
      <c r="R27" s="635">
        <f>SUM(R24:R26)</f>
        <v>35821.722549999999</v>
      </c>
      <c r="S27" s="636">
        <f t="shared" ref="S27:S34" si="13">+P27-R27</f>
        <v>-695.7788189999992</v>
      </c>
      <c r="T27" s="632">
        <f>SUM(T24:T26)</f>
        <v>5187.0569963820781</v>
      </c>
      <c r="U27" s="633">
        <f>SUM(U24:U26)</f>
        <v>5062.7821059999997</v>
      </c>
      <c r="V27" s="634">
        <f t="shared" ref="V27:V32" si="14">+U27-T27</f>
        <v>-124.27489038207841</v>
      </c>
      <c r="W27" s="635">
        <f>SUM(W24:W26)</f>
        <v>6829.1819810000006</v>
      </c>
      <c r="X27" s="636">
        <f t="shared" ref="X27:X32" si="15">+U27-W27</f>
        <v>-1766.399875000001</v>
      </c>
      <c r="Y27" s="632">
        <f>+[5]합계!$Q$85</f>
        <v>102227.07458096102</v>
      </c>
      <c r="Z27" s="633">
        <f>+[5]합계!$R$85</f>
        <v>101219.55379406505</v>
      </c>
      <c r="AA27" s="637">
        <f>+[6]합계!$Q$85</f>
        <v>98307.131955357225</v>
      </c>
      <c r="AB27" s="638">
        <f>+[5]합계!$Q$89</f>
        <v>76190.91695234795</v>
      </c>
      <c r="AC27" s="633">
        <f>+[5]합계!$R$89</f>
        <v>77974.541960523071</v>
      </c>
      <c r="AD27" s="639">
        <f>+[6]합계!$Q$89</f>
        <v>71503.076454998314</v>
      </c>
      <c r="AE27" s="638">
        <f t="shared" si="7"/>
        <v>26036.157628613073</v>
      </c>
      <c r="AF27" s="633">
        <f t="shared" si="8"/>
        <v>23245.011833541983</v>
      </c>
      <c r="AG27" s="639">
        <f t="shared" si="9"/>
        <v>26804.055500358911</v>
      </c>
      <c r="AH27" s="27"/>
      <c r="AI27" s="28"/>
      <c r="AJ27" s="97"/>
      <c r="AL27" s="26"/>
    </row>
    <row r="28" spans="2:38" s="8" customFormat="1" ht="19.5" customHeight="1" x14ac:dyDescent="0.3">
      <c r="B28" s="8" t="s">
        <v>194</v>
      </c>
      <c r="E28" s="8" t="s">
        <v>203</v>
      </c>
      <c r="G28" s="8" t="s">
        <v>3</v>
      </c>
      <c r="H28" s="818" t="s">
        <v>63</v>
      </c>
      <c r="I28" s="819"/>
      <c r="J28" s="168">
        <f>+IFERROR(HLOOKUP($B28,'[1]5월'!$D$6:$BN$259,2,),)</f>
        <v>7600</v>
      </c>
      <c r="K28" s="169">
        <f>+IFERROR(HLOOKUP($E28,'[2]5월'!$F$6:$CP$99,2,),)</f>
        <v>9787.4410000000007</v>
      </c>
      <c r="L28" s="170">
        <f>+K28-J28</f>
        <v>2187.4410000000007</v>
      </c>
      <c r="M28" s="171">
        <f>+IFERROR(HLOOKUP($E28,'[3]5월'!$F$6:$CC$57,2,),)</f>
        <v>7344.996000000001</v>
      </c>
      <c r="N28" s="172">
        <f>+K28-M28</f>
        <v>2442.4449999999997</v>
      </c>
      <c r="O28" s="168">
        <f>+IFERROR(HLOOKUP($B28,'[1]5월'!$D$6:$BN$259,3,),)/1000</f>
        <v>9285.6884210526332</v>
      </c>
      <c r="P28" s="169">
        <f>+IFERROR(HLOOKUP($E28,'[2]5월'!$F$6:$CP$99,3,),)/1000</f>
        <v>9774.8208849999992</v>
      </c>
      <c r="Q28" s="170">
        <f>+P28-O28</f>
        <v>489.13246394736598</v>
      </c>
      <c r="R28" s="171">
        <f>+IFERROR(HLOOKUP($E28,'[3]5월'!$F$6:$CC$57,3,),)/1000</f>
        <v>9029.1235919999999</v>
      </c>
      <c r="S28" s="172">
        <f t="shared" si="13"/>
        <v>745.69729299999926</v>
      </c>
      <c r="T28" s="168">
        <f>+IFERROR(HLOOKUP($B28,'[1]5월'!$D$6:$BN$259,16,),)/1000</f>
        <v>113.5477832842102</v>
      </c>
      <c r="U28" s="169">
        <f>+IFERROR(HLOOKUP($E28,'[2]5월'!$F$6:$CP$99,16,),)/1000</f>
        <v>122.36802699999954</v>
      </c>
      <c r="V28" s="170">
        <f t="shared" si="14"/>
        <v>8.8202437157893456</v>
      </c>
      <c r="W28" s="171">
        <f>+IFERROR(HLOOKUP($E28,'[3]5월'!$F$6:$CC$57,16,),)/1000</f>
        <v>54.266285000000131</v>
      </c>
      <c r="X28" s="172">
        <f t="shared" si="15"/>
        <v>68.101741999999405</v>
      </c>
      <c r="Y28" s="650" t="s">
        <v>174</v>
      </c>
      <c r="Z28" s="651"/>
      <c r="AA28" s="651"/>
      <c r="AB28" s="651"/>
      <c r="AC28" s="651"/>
      <c r="AD28" s="651"/>
      <c r="AE28" s="651"/>
      <c r="AF28" s="651"/>
      <c r="AG28" s="652"/>
      <c r="AH28" s="18"/>
      <c r="AI28" s="19"/>
    </row>
    <row r="29" spans="2:38" s="8" customFormat="1" ht="19.5" customHeight="1" x14ac:dyDescent="0.3">
      <c r="B29" s="8" t="s">
        <v>195</v>
      </c>
      <c r="F29" s="79" t="s">
        <v>61</v>
      </c>
      <c r="G29" s="842" t="str">
        <f>+I29</f>
        <v>부산모래장</v>
      </c>
      <c r="H29" s="86" t="s">
        <v>60</v>
      </c>
      <c r="I29" s="79" t="s">
        <v>236</v>
      </c>
      <c r="J29" s="56">
        <f>+IFERROR(HLOOKUP($B29,'[1]5월'!$D$6:$BN$259,2,),)/1000</f>
        <v>28.019294299382029</v>
      </c>
      <c r="K29" s="57">
        <f>+IFERROR(HLOOKUP($F29,'[2]5월'!$F$6:$CP$99,2,),)/1000</f>
        <v>25.913</v>
      </c>
      <c r="L29" s="38">
        <f t="shared" si="10"/>
        <v>-2.1062942993820286</v>
      </c>
      <c r="M29" s="38">
        <f>+IFERROR(HLOOKUP($F29,'[3]5월'!$F$6:$CC$57,2,),)/1000</f>
        <v>31.026</v>
      </c>
      <c r="N29" s="58">
        <f t="shared" si="11"/>
        <v>-5.1129999999999995</v>
      </c>
      <c r="O29" s="56">
        <f>+IFERROR(HLOOKUP($B29,'[1]5월'!$D$6:$BN$259,3,),)/1000</f>
        <v>795.68227333394907</v>
      </c>
      <c r="P29" s="57">
        <f>+IFERROR(HLOOKUP($F29,'[2]5월'!$F$6:$CP$99,3,),)/1000</f>
        <v>748.56200000000001</v>
      </c>
      <c r="Q29" s="38">
        <f t="shared" si="12"/>
        <v>-47.120273333949058</v>
      </c>
      <c r="R29" s="38">
        <f>+IFERROR(HLOOKUP($F29,'[3]5월'!$F$6:$CC$57,3,),)/1000</f>
        <v>895.31200000000001</v>
      </c>
      <c r="S29" s="58">
        <f t="shared" si="13"/>
        <v>-146.75</v>
      </c>
      <c r="T29" s="56">
        <f>+IFERROR(HLOOKUP($B29,'[1]5월'!$D$6:$BN$259,21,),)/1000</f>
        <v>59.719076469032331</v>
      </c>
      <c r="U29" s="57">
        <f>+IFERROR(HLOOKUP($F29,'[2]5월'!$F$6:$CP$99,21,),)/1000</f>
        <v>42.923393042632071</v>
      </c>
      <c r="V29" s="38">
        <f t="shared" si="14"/>
        <v>-16.795683426400259</v>
      </c>
      <c r="W29" s="38">
        <f>+IFERROR(HLOOKUP($F29,'[3]5월'!$F$6:$CC$57,16,),)/1000</f>
        <v>46.373380000000026</v>
      </c>
      <c r="X29" s="58">
        <f t="shared" si="15"/>
        <v>-3.4499869573679547</v>
      </c>
      <c r="Y29" s="587"/>
      <c r="Z29" s="588"/>
      <c r="AA29" s="588"/>
      <c r="AB29" s="588"/>
      <c r="AC29" s="588"/>
      <c r="AD29" s="588"/>
      <c r="AE29" s="588"/>
      <c r="AF29" s="588"/>
      <c r="AG29" s="51"/>
      <c r="AH29" s="18"/>
      <c r="AI29" s="19"/>
    </row>
    <row r="30" spans="2:38" s="8" customFormat="1" ht="19.5" customHeight="1" x14ac:dyDescent="0.3">
      <c r="B30" s="8" t="s">
        <v>196</v>
      </c>
      <c r="F30" s="81" t="s">
        <v>62</v>
      </c>
      <c r="G30" s="842" t="str">
        <f t="shared" ref="G30:G31" si="16">+I30</f>
        <v>서부산CR</v>
      </c>
      <c r="H30" s="85"/>
      <c r="I30" s="81" t="s">
        <v>237</v>
      </c>
      <c r="J30" s="54">
        <f>+IFERROR(HLOOKUP($B30,'[1]5월'!$D$6:$BN$259,2,),)/1000</f>
        <v>51.226029226666668</v>
      </c>
      <c r="K30" s="59">
        <f>+IFERROR(HLOOKUP($F30,'[2]5월'!$F$6:$CP$99,2,),)/1000</f>
        <v>26.574000000000002</v>
      </c>
      <c r="L30" s="48">
        <f t="shared" si="10"/>
        <v>-24.652029226666667</v>
      </c>
      <c r="M30" s="48">
        <f>+IFERROR(HLOOKUP($F30,'[3]5월'!$F$6:$CC$57,2,),)/1000</f>
        <v>36.531999999999996</v>
      </c>
      <c r="N30" s="60">
        <f t="shared" si="11"/>
        <v>-9.9579999999999949</v>
      </c>
      <c r="O30" s="54">
        <f>+IFERROR(HLOOKUP($B30,'[1]5월'!$D$6:$BN$259,3,),)/1000</f>
        <v>635.9259050666667</v>
      </c>
      <c r="P30" s="59">
        <f>+IFERROR(HLOOKUP($F30,'[2]5월'!$F$6:$CP$99,3,),)/1000</f>
        <v>369.83</v>
      </c>
      <c r="Q30" s="48">
        <f t="shared" si="12"/>
        <v>-266.09590506666672</v>
      </c>
      <c r="R30" s="48">
        <f>+IFERROR(HLOOKUP($F30,'[3]5월'!$F$6:$CC$57,3,),)/1000</f>
        <v>425.13400000000001</v>
      </c>
      <c r="S30" s="60">
        <f t="shared" si="13"/>
        <v>-55.30400000000003</v>
      </c>
      <c r="T30" s="54">
        <f>+IFERROR(HLOOKUP($B30,'[1]5월'!$D$6:$BN$259,21,),)/1000</f>
        <v>158.67487949291169</v>
      </c>
      <c r="U30" s="59">
        <f>+IFERROR(HLOOKUP($F30,'[2]5월'!$F$6:$CP$99,21,),)/1000</f>
        <v>48.486048117687808</v>
      </c>
      <c r="V30" s="48">
        <f t="shared" si="14"/>
        <v>-110.18883137522388</v>
      </c>
      <c r="W30" s="48">
        <f>+IFERROR(HLOOKUP($F30,'[3]5월'!$F$6:$CC$57,16,),)/1000</f>
        <v>119.13245200000004</v>
      </c>
      <c r="X30" s="60">
        <f t="shared" si="15"/>
        <v>-70.646403882312228</v>
      </c>
      <c r="Y30" s="629"/>
      <c r="Z30" s="588"/>
      <c r="AA30" s="588"/>
      <c r="AB30" s="588"/>
      <c r="AC30" s="588"/>
      <c r="AD30" s="588"/>
      <c r="AE30" s="588"/>
      <c r="AF30" s="588"/>
      <c r="AG30" s="51"/>
      <c r="AH30" s="18"/>
      <c r="AI30" s="19"/>
      <c r="AJ30" s="99"/>
      <c r="AK30" s="99"/>
      <c r="AL30" s="99"/>
    </row>
    <row r="31" spans="2:38" s="8" customFormat="1" ht="19.5" customHeight="1" x14ac:dyDescent="0.3">
      <c r="B31" s="8" t="s">
        <v>176</v>
      </c>
      <c r="F31" s="83" t="s">
        <v>176</v>
      </c>
      <c r="G31" s="842" t="str">
        <f t="shared" si="16"/>
        <v>부산CR</v>
      </c>
      <c r="H31" s="85"/>
      <c r="I31" s="83" t="s">
        <v>238</v>
      </c>
      <c r="J31" s="54">
        <f>+IFERROR(HLOOKUP($B31,'[1]5월'!$D$6:$BN$259,2,),)/1000</f>
        <v>41.810091372023955</v>
      </c>
      <c r="K31" s="59">
        <f>+IFERROR(HLOOKUP($F31,'[2]5월'!$F$6:$CP$99,2,),)/1000</f>
        <v>46.828000000000003</v>
      </c>
      <c r="L31" s="48">
        <f t="shared" si="10"/>
        <v>5.0179086279760483</v>
      </c>
      <c r="M31" s="48">
        <f>+IFERROR(HLOOKUP($F31,'[3]5월'!$F$6:$CC$57,2,),)/1000</f>
        <v>0</v>
      </c>
      <c r="N31" s="60">
        <f t="shared" si="11"/>
        <v>46.828000000000003</v>
      </c>
      <c r="O31" s="54">
        <f>+IFERROR(HLOOKUP($B31,'[1]5월'!$D$6:$BN$259,3,),)/1000</f>
        <v>750.47801166872455</v>
      </c>
      <c r="P31" s="59">
        <f>+IFERROR(HLOOKUP($F31,'[2]5월'!$F$6:$CP$99,3,),)/1000</f>
        <v>857.38599999999997</v>
      </c>
      <c r="Q31" s="48">
        <f t="shared" si="12"/>
        <v>106.90798833127542</v>
      </c>
      <c r="R31" s="48">
        <f>+IFERROR(HLOOKUP($F31,'[3]5월'!$F$6:$CC$57,3,),)/1000</f>
        <v>0</v>
      </c>
      <c r="S31" s="60">
        <f t="shared" si="13"/>
        <v>857.38599999999997</v>
      </c>
      <c r="T31" s="54">
        <f>+IFERROR(HLOOKUP($B31,'[1]5월'!$D$6:$BN$259,21,),)/1000</f>
        <v>4.0324504125660026</v>
      </c>
      <c r="U31" s="59">
        <f>+IFERROR(HLOOKUP($F31,'[2]5월'!$F$6:$CP$99,21,),)/1000</f>
        <v>80.169635960000036</v>
      </c>
      <c r="V31" s="48">
        <f t="shared" si="14"/>
        <v>76.137185547434029</v>
      </c>
      <c r="W31" s="48">
        <f>+IFERROR(HLOOKUP($F31,'[3]5월'!$F$6:$CC$57,16,),)/1000</f>
        <v>-86.060924</v>
      </c>
      <c r="X31" s="60">
        <f t="shared" si="15"/>
        <v>166.23055996000005</v>
      </c>
      <c r="Y31" s="629"/>
      <c r="Z31" s="588"/>
      <c r="AA31" s="588"/>
      <c r="AB31" s="588"/>
      <c r="AC31" s="588"/>
      <c r="AD31" s="588"/>
      <c r="AE31" s="588"/>
      <c r="AF31" s="588"/>
      <c r="AG31" s="51"/>
      <c r="AH31" s="18"/>
      <c r="AI31" s="19"/>
      <c r="AJ31" s="99"/>
      <c r="AK31" s="99"/>
      <c r="AL31" s="99"/>
    </row>
    <row r="32" spans="2:38" s="3" customFormat="1" ht="19.5" customHeight="1" x14ac:dyDescent="0.3">
      <c r="H32" s="147" t="s">
        <v>42</v>
      </c>
      <c r="I32" s="148"/>
      <c r="J32" s="149">
        <f>SUM(J29:J31)</f>
        <v>121.05541489807266</v>
      </c>
      <c r="K32" s="153">
        <f>SUM(K29:K31)</f>
        <v>99.314999999999998</v>
      </c>
      <c r="L32" s="151">
        <f t="shared" si="10"/>
        <v>-21.740414898072657</v>
      </c>
      <c r="M32" s="151">
        <f>SUM(M29:M31)</f>
        <v>67.557999999999993</v>
      </c>
      <c r="N32" s="152">
        <f t="shared" si="11"/>
        <v>31.757000000000005</v>
      </c>
      <c r="O32" s="149">
        <f>SUM(O29:O31)</f>
        <v>2182.0861900693403</v>
      </c>
      <c r="P32" s="153">
        <f>SUM(P29:P31)</f>
        <v>1975.778</v>
      </c>
      <c r="Q32" s="151">
        <f t="shared" si="12"/>
        <v>-206.3081900693403</v>
      </c>
      <c r="R32" s="151">
        <f>SUM(R29:R31)</f>
        <v>1320.4459999999999</v>
      </c>
      <c r="S32" s="152">
        <f t="shared" si="13"/>
        <v>655.33200000000011</v>
      </c>
      <c r="T32" s="149">
        <f>SUM(T29:T31)</f>
        <v>222.42640637451001</v>
      </c>
      <c r="U32" s="153">
        <f>SUM(U29:U31)</f>
        <v>171.57907712031994</v>
      </c>
      <c r="V32" s="151">
        <f t="shared" si="14"/>
        <v>-50.847329254190072</v>
      </c>
      <c r="W32" s="151">
        <f>SUM(W29:W31)</f>
        <v>79.444908000000055</v>
      </c>
      <c r="X32" s="152">
        <f t="shared" si="15"/>
        <v>92.134169120319882</v>
      </c>
      <c r="Y32" s="629"/>
      <c r="Z32" s="588"/>
      <c r="AA32" s="588"/>
      <c r="AB32" s="588"/>
      <c r="AC32" s="588"/>
      <c r="AD32" s="588"/>
      <c r="AE32" s="588"/>
      <c r="AF32" s="588"/>
      <c r="AG32" s="51"/>
      <c r="AH32" s="27"/>
      <c r="AI32" s="28"/>
    </row>
    <row r="33" spans="2:38" s="8" customFormat="1" ht="19.5" customHeight="1" x14ac:dyDescent="0.3">
      <c r="B33" s="8" t="s">
        <v>199</v>
      </c>
      <c r="C33" s="8" t="s">
        <v>198</v>
      </c>
      <c r="D33" t="s">
        <v>197</v>
      </c>
      <c r="E33" t="s">
        <v>100</v>
      </c>
      <c r="F33"/>
      <c r="G33" s="8" t="str">
        <f>+I33</f>
        <v>레미콘임대</v>
      </c>
      <c r="H33" s="89" t="s">
        <v>64</v>
      </c>
      <c r="I33" s="88" t="s">
        <v>99</v>
      </c>
      <c r="J33" s="46"/>
      <c r="K33" s="47"/>
      <c r="L33" s="49">
        <f>+K33-J33</f>
        <v>0</v>
      </c>
      <c r="M33" s="48"/>
      <c r="N33" s="60">
        <f>+K33-M33</f>
        <v>0</v>
      </c>
      <c r="O33" s="46">
        <f>(IFERROR(HLOOKUP($B33,'[1]5월'!$D$6:$BN$259,3,),)++IFERROR(HLOOKUP($C33,'[1]5월'!$D$6:$BN$259,3,),)+IFERROR(HLOOKUP($D33,'[1]5월'!$D$6:$BN$259,3,),))/1000</f>
        <v>90.84</v>
      </c>
      <c r="P33" s="47">
        <f>+IFERROR(HLOOKUP($E33,'[2]5월'!$F$6:$CP$99,3,),)/1000</f>
        <v>90.84</v>
      </c>
      <c r="Q33" s="49">
        <f t="shared" si="12"/>
        <v>0</v>
      </c>
      <c r="R33" s="48">
        <f>+IFERROR(HLOOKUP($E33,'[3]5월'!$F$6:$CC$57,3,),)/1000</f>
        <v>78.34</v>
      </c>
      <c r="S33" s="60">
        <f t="shared" si="13"/>
        <v>12.5</v>
      </c>
      <c r="T33" s="46">
        <f>(IFERROR(HLOOKUP($B33,'[1]5월'!$D$6:$BN$259,21,),)++IFERROR(HLOOKUP($C33,'[1]5월'!$D$6:$BN$259,21,),)+IFERROR(HLOOKUP($D33,'[1]5월'!$D$6:$BN$259,21,),))/1000</f>
        <v>72.165959000000001</v>
      </c>
      <c r="U33" s="47">
        <f>+IFERROR(HLOOKUP($E33,'[2]5월'!$F$6:$CP$99,16,),)/1000</f>
        <v>68.930610000000001</v>
      </c>
      <c r="V33" s="49">
        <f t="shared" ref="V33:V40" si="17">+U33-T33</f>
        <v>-3.2353489999999994</v>
      </c>
      <c r="W33" s="48">
        <f>+IFERROR(HLOOKUP($E33,'[3]5월'!$F$6:$CC$57,16,),)/1000</f>
        <v>55.160753000000007</v>
      </c>
      <c r="X33" s="60">
        <f t="shared" ref="X33:X39" si="18">+U33-W33</f>
        <v>13.769856999999995</v>
      </c>
      <c r="Y33" s="629"/>
      <c r="Z33" s="588"/>
      <c r="AA33" s="588"/>
      <c r="AB33" s="588"/>
      <c r="AC33" s="588"/>
      <c r="AD33" s="588"/>
      <c r="AE33" s="588"/>
      <c r="AF33" s="588"/>
      <c r="AG33" s="51"/>
      <c r="AH33" s="18"/>
      <c r="AI33" s="19"/>
    </row>
    <row r="34" spans="2:38" s="8" customFormat="1" ht="19.5" customHeight="1" x14ac:dyDescent="0.3">
      <c r="B34" s="8" t="s">
        <v>200</v>
      </c>
      <c r="C34" s="8" t="s">
        <v>201</v>
      </c>
      <c r="D34"/>
      <c r="E34" t="s">
        <v>40</v>
      </c>
      <c r="F34"/>
      <c r="G34" s="8" t="str">
        <f t="shared" ref="G34:G39" si="19">+I34</f>
        <v>임대</v>
      </c>
      <c r="H34" s="89"/>
      <c r="I34" s="88" t="s">
        <v>59</v>
      </c>
      <c r="J34" s="46"/>
      <c r="K34" s="47"/>
      <c r="L34" s="49">
        <f>+K34-J34</f>
        <v>0</v>
      </c>
      <c r="M34" s="48">
        <v>0</v>
      </c>
      <c r="N34" s="60">
        <f t="shared" ref="N34:N41" si="20">+K34-M34</f>
        <v>0</v>
      </c>
      <c r="O34" s="46">
        <f>(+IFERROR(HLOOKUP($B34,'[1]5월'!$D$6:$BN$259,3,),)+IFERROR(HLOOKUP($C34,'[1]5월'!$D$6:$BN$259,3,),))/1000</f>
        <v>72.297500333333332</v>
      </c>
      <c r="P34" s="47">
        <f>+IFERROR(HLOOKUP($E34,'[2]5월'!$F$6:$CP$99,3,),)/1000</f>
        <v>73.683136000000005</v>
      </c>
      <c r="Q34" s="49">
        <f>+P34-O34</f>
        <v>1.3856356666666727</v>
      </c>
      <c r="R34" s="48">
        <f>+IFERROR(HLOOKUP($E34,'[3]5월'!$F$6:$CC$57,3,),)/1000</f>
        <v>95.394236000000006</v>
      </c>
      <c r="S34" s="60">
        <f t="shared" si="13"/>
        <v>-21.711100000000002</v>
      </c>
      <c r="T34" s="46">
        <f>(+IFERROR(HLOOKUP($B34,'[1]5월'!$D$6:$BN$259,21,),)+IFERROR(HLOOKUP($C34,'[1]5월'!$D$6:$BN$259,21,),))/1000</f>
        <v>62.030473333333333</v>
      </c>
      <c r="U34" s="47">
        <f>+IFERROR(HLOOKUP($E34,'[2]5월'!$F$6:$CP$99,16,),)/1000</f>
        <v>63.574319000000003</v>
      </c>
      <c r="V34" s="49">
        <f t="shared" si="17"/>
        <v>1.5438456666666696</v>
      </c>
      <c r="W34" s="48">
        <f>+IFERROR(HLOOKUP($E34,'[3]5월'!$F$6:$CC$57,16,),)/1000</f>
        <v>50.653987000000001</v>
      </c>
      <c r="X34" s="60">
        <f t="shared" si="18"/>
        <v>12.920332000000002</v>
      </c>
      <c r="Y34" s="629"/>
      <c r="Z34" s="588"/>
      <c r="AA34" s="588"/>
      <c r="AB34" s="588"/>
      <c r="AC34" s="588"/>
      <c r="AD34" s="588"/>
      <c r="AE34" s="588"/>
      <c r="AF34" s="588"/>
      <c r="AG34" s="51"/>
      <c r="AH34" s="18"/>
      <c r="AI34" s="19"/>
    </row>
    <row r="35" spans="2:38" s="8" customFormat="1" ht="19.5" customHeight="1" x14ac:dyDescent="0.3">
      <c r="B35" s="8" t="s">
        <v>202</v>
      </c>
      <c r="D35"/>
      <c r="E35"/>
      <c r="F35"/>
      <c r="G35" s="8" t="str">
        <f t="shared" si="19"/>
        <v>공통비</v>
      </c>
      <c r="H35" s="87"/>
      <c r="I35" s="88" t="s">
        <v>65</v>
      </c>
      <c r="J35" s="46"/>
      <c r="K35" s="47"/>
      <c r="L35" s="49">
        <f>+K35-J35</f>
        <v>0</v>
      </c>
      <c r="M35" s="48"/>
      <c r="N35" s="60">
        <f t="shared" si="20"/>
        <v>0</v>
      </c>
      <c r="O35" s="46"/>
      <c r="P35" s="47"/>
      <c r="Q35" s="49">
        <f t="shared" ref="Q35:Q40" si="21">+P35-O35</f>
        <v>0</v>
      </c>
      <c r="R35" s="48"/>
      <c r="S35" s="60">
        <f t="shared" ref="S35:S40" si="22">+P35-R35</f>
        <v>0</v>
      </c>
      <c r="T35" s="46">
        <f>-'[1]5월'!$Z$22/1000</f>
        <v>-1163.2874653709298</v>
      </c>
      <c r="U35" s="47">
        <f>+-'[2]5월'!$Z$22/1000</f>
        <v>-1157.1101511194736</v>
      </c>
      <c r="V35" s="49">
        <f t="shared" si="17"/>
        <v>6.1773142514562096</v>
      </c>
      <c r="W35" s="48">
        <f>+-'[3]5월'!$Z$22/1000</f>
        <v>-1023.2378320000001</v>
      </c>
      <c r="X35" s="60">
        <f t="shared" si="18"/>
        <v>-133.87231911947345</v>
      </c>
      <c r="Y35" s="629"/>
      <c r="Z35" s="588"/>
      <c r="AA35" s="588"/>
      <c r="AB35" s="588"/>
      <c r="AC35" s="588"/>
      <c r="AD35" s="588"/>
      <c r="AE35" s="588"/>
      <c r="AF35" s="588"/>
      <c r="AG35" s="51"/>
      <c r="AH35" s="18"/>
      <c r="AI35" s="19"/>
      <c r="AK35" s="597"/>
      <c r="AL35" s="99"/>
    </row>
    <row r="36" spans="2:38" s="8" customFormat="1" ht="19.5" customHeight="1" x14ac:dyDescent="0.3">
      <c r="D36"/>
      <c r="E36"/>
      <c r="F36"/>
      <c r="G36" s="8" t="str">
        <f t="shared" si="19"/>
        <v>OPC 소급분</v>
      </c>
      <c r="H36" s="87"/>
      <c r="I36" s="88" t="s">
        <v>116</v>
      </c>
      <c r="J36" s="46"/>
      <c r="K36" s="47"/>
      <c r="L36" s="49"/>
      <c r="M36" s="48"/>
      <c r="N36" s="60">
        <f t="shared" si="20"/>
        <v>0</v>
      </c>
      <c r="O36" s="46"/>
      <c r="P36" s="47"/>
      <c r="Q36" s="49">
        <f t="shared" si="21"/>
        <v>0</v>
      </c>
      <c r="R36" s="48"/>
      <c r="S36" s="60">
        <f t="shared" si="22"/>
        <v>0</v>
      </c>
      <c r="T36" s="46">
        <f>+'[1]5월'!$AS$26/1000</f>
        <v>0</v>
      </c>
      <c r="U36" s="47">
        <f>-'[2]5월'!$BD$26/1000</f>
        <v>0</v>
      </c>
      <c r="V36" s="49">
        <f t="shared" si="17"/>
        <v>0</v>
      </c>
      <c r="W36" s="48">
        <f>-'[3]5월'!$BD$26/1000</f>
        <v>0</v>
      </c>
      <c r="X36" s="60">
        <f t="shared" si="18"/>
        <v>0</v>
      </c>
      <c r="Y36" s="629"/>
      <c r="Z36" s="588"/>
      <c r="AA36" s="588"/>
      <c r="AB36" s="588"/>
      <c r="AC36" s="588"/>
      <c r="AD36" s="588"/>
      <c r="AE36" s="588"/>
      <c r="AF36" s="588"/>
      <c r="AG36" s="51"/>
      <c r="AH36" s="18"/>
      <c r="AI36" s="19"/>
      <c r="AK36" s="99"/>
      <c r="AL36" s="99"/>
    </row>
    <row r="37" spans="2:38" s="8" customFormat="1" ht="19.5" customHeight="1" x14ac:dyDescent="0.3">
      <c r="D37"/>
      <c r="E37"/>
      <c r="F37"/>
      <c r="G37" s="8" t="str">
        <f t="shared" si="19"/>
        <v>대손</v>
      </c>
      <c r="H37" s="87"/>
      <c r="I37" s="88" t="s">
        <v>117</v>
      </c>
      <c r="J37" s="46"/>
      <c r="K37" s="47"/>
      <c r="L37" s="49"/>
      <c r="M37" s="48"/>
      <c r="N37" s="60">
        <f t="shared" si="20"/>
        <v>0</v>
      </c>
      <c r="O37" s="46"/>
      <c r="P37" s="47"/>
      <c r="Q37" s="49">
        <f t="shared" si="21"/>
        <v>0</v>
      </c>
      <c r="R37" s="48"/>
      <c r="S37" s="60">
        <f t="shared" si="22"/>
        <v>0</v>
      </c>
      <c r="T37" s="46"/>
      <c r="U37" s="47">
        <f>'[2]5월'!$BE$26/1000</f>
        <v>0</v>
      </c>
      <c r="V37" s="49">
        <f t="shared" si="17"/>
        <v>0</v>
      </c>
      <c r="W37" s="48">
        <f>'[3]5월'!$BE$26/1000</f>
        <v>0</v>
      </c>
      <c r="X37" s="60">
        <f t="shared" si="18"/>
        <v>0</v>
      </c>
      <c r="Y37" s="587"/>
      <c r="Z37" s="588"/>
      <c r="AA37" s="588"/>
      <c r="AB37" s="588"/>
      <c r="AC37" s="588"/>
      <c r="AD37" s="588"/>
      <c r="AE37" s="588"/>
      <c r="AF37" s="588"/>
      <c r="AG37" s="51"/>
      <c r="AH37" s="18"/>
      <c r="AI37" s="19"/>
      <c r="AK37" s="99"/>
      <c r="AL37" s="99"/>
    </row>
    <row r="38" spans="2:38" s="8" customFormat="1" ht="19.5" customHeight="1" x14ac:dyDescent="0.3">
      <c r="D38"/>
      <c r="E38"/>
      <c r="F38"/>
      <c r="G38" s="8" t="str">
        <f t="shared" si="19"/>
        <v>미운영 공장</v>
      </c>
      <c r="H38" s="87"/>
      <c r="I38" s="88" t="s">
        <v>177</v>
      </c>
      <c r="J38" s="46"/>
      <c r="K38" s="47"/>
      <c r="L38" s="49"/>
      <c r="M38" s="48">
        <f>SUM(M54:M57)</f>
        <v>0</v>
      </c>
      <c r="N38" s="60">
        <f t="shared" si="20"/>
        <v>0</v>
      </c>
      <c r="O38" s="46"/>
      <c r="P38" s="47"/>
      <c r="Q38" s="49">
        <f t="shared" si="21"/>
        <v>0</v>
      </c>
      <c r="R38" s="48">
        <f>+IFERROR(HLOOKUP($I$38,'[3]5월'!$F$6:$BJ$50,3,),)/1000</f>
        <v>188.626</v>
      </c>
      <c r="S38" s="60">
        <f t="shared" si="22"/>
        <v>-188.626</v>
      </c>
      <c r="T38" s="46">
        <f>SUM('[1]5월'!$AM$26:$AQ$26)/1000</f>
        <v>-35.76748444445964</v>
      </c>
      <c r="U38" s="47">
        <f>+'[2]5월'!$BF$26/1000</f>
        <v>-97.949848999999986</v>
      </c>
      <c r="V38" s="49">
        <f t="shared" si="17"/>
        <v>-62.182364555540346</v>
      </c>
      <c r="W38" s="48">
        <f>+'[3]5월'!$BF$26/1000</f>
        <v>24.209090000000003</v>
      </c>
      <c r="X38" s="60">
        <f>+U38-W38</f>
        <v>-122.15893899999999</v>
      </c>
      <c r="Y38" s="587"/>
      <c r="Z38" s="588"/>
      <c r="AA38" s="588"/>
      <c r="AB38" s="588"/>
      <c r="AC38" s="588"/>
      <c r="AD38" s="588"/>
      <c r="AE38" s="588"/>
      <c r="AF38" s="588"/>
      <c r="AG38" s="51"/>
      <c r="AH38" s="18"/>
      <c r="AI38" s="19"/>
      <c r="AK38" s="99"/>
      <c r="AL38" s="99"/>
    </row>
    <row r="39" spans="2:38" s="8" customFormat="1" ht="19.5" customHeight="1" x14ac:dyDescent="0.3">
      <c r="B39" t="s">
        <v>39</v>
      </c>
      <c r="D39"/>
      <c r="G39" s="8" t="str">
        <f t="shared" si="19"/>
        <v>기타</v>
      </c>
      <c r="H39" s="87"/>
      <c r="I39" s="88" t="s">
        <v>4</v>
      </c>
      <c r="J39" s="46"/>
      <c r="K39" s="47"/>
      <c r="L39" s="55">
        <f>+K39-J39</f>
        <v>0</v>
      </c>
      <c r="M39" s="61"/>
      <c r="N39" s="62">
        <f t="shared" si="20"/>
        <v>0</v>
      </c>
      <c r="O39" s="46">
        <f>IFERROR(HLOOKUP($B39,'[1]5월'!$D$6:$BN$259,3,),)/1000</f>
        <v>1.77</v>
      </c>
      <c r="P39" s="47">
        <f>+('[2]5월'!$F$8-SUM('[2]5월'!$Z$8,'[2]5월'!$AH$8,'[2]5월'!$AN$8,'[2]5월'!$AO$8,'[2]5월'!$BA$8,'[2]5월'!$BD$8,'[2]5월'!$BE$8,'[2]5월'!$BF$8))/1000</f>
        <v>1.704</v>
      </c>
      <c r="Q39" s="55">
        <f t="shared" si="21"/>
        <v>-6.6000000000000059E-2</v>
      </c>
      <c r="R39" s="61">
        <f>+('[3]5월'!$F$8-SUM('[3]5월'!$Z$8,'[3]5월'!$AH$8,'[3]5월'!$AN$8,'[3]5월'!$AO$8,'[3]5월'!$BA$8,'[3]5월'!$BD$8,'[3]5월'!$BE$8,'[3]5월'!$BF$8))/1000</f>
        <v>-32.237899999998511</v>
      </c>
      <c r="S39" s="62">
        <f t="shared" si="22"/>
        <v>33.941899999998512</v>
      </c>
      <c r="T39" s="46">
        <f>+('[1]5월'!$E$26-'[1]5월'!$Z$26-'[1]5월'!$AA$26-'[1]5월'!$AE$26-'[1]5월'!$AL$26-'[1]5월'!$AM$26-'[1]5월'!$AN$26-'[1]5월'!$AO$26-'[1]5월'!$AP$26-'[1]5월'!$AQ$26-'[1]5월'!$AS$26)/1000</f>
        <v>-79.281807999997866</v>
      </c>
      <c r="U39" s="47">
        <f>+('[2]5월'!$F$26-SUM('[2]5월'!$Z$26,'[2]5월'!$AH$26,'[2]5월'!$AN$26,'[2]5월'!$AO$26,'[2]5월'!$BA$26,'[2]5월'!$BD$26,'[2]5월'!$BE$26,'[2]5월'!$BF$26))/1000</f>
        <v>-16.881884000002408</v>
      </c>
      <c r="V39" s="49">
        <f t="shared" si="17"/>
        <v>62.399923999995458</v>
      </c>
      <c r="W39" s="61">
        <f>+('[3]5월'!$F$26-SUM('[3]5월'!$Z$26,'[3]5월'!$AH$26,'[3]5월'!$AN$26,'[3]5월'!$AO$26,'[3]5월'!$BA$26,'[3]5월'!$BD$26,'[3]5월'!$BE$26,'[3]5월'!$BF$26))/1000</f>
        <v>-51.306531000001357</v>
      </c>
      <c r="X39" s="60">
        <f t="shared" si="18"/>
        <v>34.424646999998949</v>
      </c>
      <c r="Y39" s="596"/>
      <c r="Z39" s="588"/>
      <c r="AA39" s="588"/>
      <c r="AB39" s="588"/>
      <c r="AC39" s="588"/>
      <c r="AD39" s="588"/>
      <c r="AE39" s="588"/>
      <c r="AF39" s="588"/>
      <c r="AG39" s="51"/>
      <c r="AH39" s="18"/>
      <c r="AI39" s="19"/>
    </row>
    <row r="40" spans="2:38" s="8" customFormat="1" ht="19.5" customHeight="1" x14ac:dyDescent="0.3">
      <c r="H40" s="87"/>
      <c r="I40" s="88"/>
      <c r="J40" s="46"/>
      <c r="K40" s="47"/>
      <c r="L40" s="55"/>
      <c r="M40" s="61"/>
      <c r="N40" s="62">
        <f t="shared" si="20"/>
        <v>0</v>
      </c>
      <c r="O40" s="46"/>
      <c r="P40" s="47"/>
      <c r="Q40" s="55">
        <f t="shared" si="21"/>
        <v>0</v>
      </c>
      <c r="R40" s="61"/>
      <c r="S40" s="62">
        <f t="shared" si="22"/>
        <v>0</v>
      </c>
      <c r="T40" s="46"/>
      <c r="U40" s="47"/>
      <c r="V40" s="49">
        <f t="shared" si="17"/>
        <v>0</v>
      </c>
      <c r="W40" s="61"/>
      <c r="X40" s="60"/>
      <c r="Y40" s="587"/>
      <c r="Z40" s="588"/>
      <c r="AA40" s="588"/>
      <c r="AB40" s="588"/>
      <c r="AC40" s="588"/>
      <c r="AD40" s="588"/>
      <c r="AE40" s="588"/>
      <c r="AF40" s="588"/>
      <c r="AG40" s="51"/>
      <c r="AH40" s="31"/>
    </row>
    <row r="41" spans="2:38" s="3" customFormat="1" ht="19.5" customHeight="1" x14ac:dyDescent="0.3">
      <c r="D41" s="658"/>
      <c r="H41" s="147" t="s">
        <v>118</v>
      </c>
      <c r="I41" s="148"/>
      <c r="J41" s="647">
        <f>SUM(J33:J40)</f>
        <v>0</v>
      </c>
      <c r="K41" s="648">
        <f>SUM(K33:K40)</f>
        <v>0</v>
      </c>
      <c r="L41" s="648">
        <f>+K41-J41</f>
        <v>0</v>
      </c>
      <c r="M41" s="648">
        <f>SUM(M33:M40)</f>
        <v>0</v>
      </c>
      <c r="N41" s="649">
        <f t="shared" si="20"/>
        <v>0</v>
      </c>
      <c r="O41" s="149">
        <f>SUM(O33:O40)</f>
        <v>164.90750033333333</v>
      </c>
      <c r="P41" s="150">
        <f>SUM(P33:P40)</f>
        <v>166.22713600000003</v>
      </c>
      <c r="Q41" s="154">
        <f t="shared" si="12"/>
        <v>1.3196356666666986</v>
      </c>
      <c r="R41" s="155">
        <f>SUM(R33:R40)</f>
        <v>330.1223360000015</v>
      </c>
      <c r="S41" s="156">
        <f>+P41-R41</f>
        <v>-163.89520000000147</v>
      </c>
      <c r="T41" s="149">
        <f>SUM(T33:T40)</f>
        <v>-1144.1403254820539</v>
      </c>
      <c r="U41" s="150">
        <f>SUM(U33:U40)</f>
        <v>-1139.4369551194761</v>
      </c>
      <c r="V41" s="154">
        <f>+U41-T41</f>
        <v>4.7033703625777434</v>
      </c>
      <c r="W41" s="155">
        <f>SUM(W33:W40)</f>
        <v>-944.52053300000148</v>
      </c>
      <c r="X41" s="156">
        <f>+U41-W41</f>
        <v>-194.91642211947465</v>
      </c>
      <c r="Y41" s="589"/>
      <c r="Z41" s="590"/>
      <c r="AA41" s="590"/>
      <c r="AB41" s="590"/>
      <c r="AC41" s="590"/>
      <c r="AD41" s="590"/>
      <c r="AE41" s="590"/>
      <c r="AF41" s="590"/>
      <c r="AG41" s="591"/>
      <c r="AH41" s="26"/>
    </row>
    <row r="42" spans="2:38" s="8" customFormat="1" ht="19.5" customHeight="1" x14ac:dyDescent="0.3">
      <c r="J42" s="33"/>
      <c r="K42" s="33"/>
      <c r="L42" s="32"/>
      <c r="M42" s="32"/>
      <c r="N42" s="32"/>
      <c r="O42" s="33"/>
      <c r="P42" s="33"/>
      <c r="Q42" s="32"/>
      <c r="R42" s="32"/>
      <c r="S42" s="32"/>
      <c r="T42" s="33"/>
      <c r="U42" s="33">
        <v>19</v>
      </c>
      <c r="V42" s="32">
        <v>12.4</v>
      </c>
      <c r="W42" s="32"/>
      <c r="X42" s="32"/>
      <c r="Y42" s="33"/>
      <c r="Z42" s="33"/>
      <c r="AA42" s="33"/>
      <c r="AB42" s="33"/>
      <c r="AC42" s="33"/>
      <c r="AD42" s="33"/>
      <c r="AE42" s="33"/>
      <c r="AF42" s="33"/>
      <c r="AG42" s="33"/>
      <c r="AH42" s="31"/>
    </row>
    <row r="43" spans="2:38" s="3" customFormat="1" ht="19.5" customHeight="1" x14ac:dyDescent="0.3">
      <c r="G43" s="665">
        <f>+P43/O43</f>
        <v>1.0757062898796037</v>
      </c>
      <c r="H43" s="640" t="s">
        <v>41</v>
      </c>
      <c r="I43" s="641"/>
      <c r="J43" s="653"/>
      <c r="K43" s="654"/>
      <c r="L43" s="654"/>
      <c r="M43" s="654"/>
      <c r="N43" s="655"/>
      <c r="O43" s="642">
        <f>+O27+O32+O28+O41</f>
        <v>43731.98352987707</v>
      </c>
      <c r="P43" s="643">
        <f>+P27+P32+P28+P41</f>
        <v>47042.769752</v>
      </c>
      <c r="Q43" s="644">
        <f t="shared" si="12"/>
        <v>3310.7862221229298</v>
      </c>
      <c r="R43" s="645">
        <f>+R27+R32+R28+R41</f>
        <v>46501.414478000006</v>
      </c>
      <c r="S43" s="646">
        <f>+P43-R43</f>
        <v>541.3552739999941</v>
      </c>
      <c r="T43" s="642">
        <f>+T27+T32+T28+T41</f>
        <v>4378.890860558744</v>
      </c>
      <c r="U43" s="643">
        <f>+U27+U32+U28+U41</f>
        <v>4217.2922550008434</v>
      </c>
      <c r="V43" s="644">
        <f>+U43-T43</f>
        <v>-161.59860555790056</v>
      </c>
      <c r="W43" s="645">
        <f>+W27+W32+W28+W41</f>
        <v>6018.372640999999</v>
      </c>
      <c r="X43" s="646">
        <f>+U43-W43</f>
        <v>-1801.0803859991556</v>
      </c>
      <c r="Y43" s="820"/>
      <c r="Z43" s="821"/>
      <c r="AA43" s="821"/>
      <c r="AB43" s="821"/>
      <c r="AC43" s="821"/>
      <c r="AD43" s="821"/>
      <c r="AE43" s="821"/>
      <c r="AF43" s="821"/>
      <c r="AG43" s="822"/>
      <c r="AH43" s="26"/>
    </row>
    <row r="44" spans="2:38" s="34" customFormat="1" x14ac:dyDescent="0.3">
      <c r="G44" s="662">
        <f>+U43/T43</f>
        <v>0.96309599606296636</v>
      </c>
      <c r="T44" s="662">
        <f>+T43/O43</f>
        <v>0.10013016806262967</v>
      </c>
      <c r="U44" s="662">
        <f>+U43/P43</f>
        <v>8.9648043200550434E-2</v>
      </c>
      <c r="AC44" s="35"/>
      <c r="AF44" s="35"/>
    </row>
    <row r="45" spans="2:38" s="34" customFormat="1" ht="17.25" thickBot="1" x14ac:dyDescent="0.35">
      <c r="AC45" s="35"/>
      <c r="AF45" s="35"/>
    </row>
    <row r="46" spans="2:38" s="34" customFormat="1" x14ac:dyDescent="0.3">
      <c r="I46" s="817" t="s">
        <v>101</v>
      </c>
      <c r="J46" s="139">
        <f>+'[1]5월'!$Z$7/1000</f>
        <v>314</v>
      </c>
      <c r="K46" s="140">
        <f>+'[2]5월'!$AI$7/1000</f>
        <v>347.12900000000002</v>
      </c>
      <c r="L46" s="140"/>
      <c r="M46" s="140">
        <f>+'[3]5월'!$Z$7/1000</f>
        <v>364.4015</v>
      </c>
      <c r="N46" s="140"/>
      <c r="O46" s="140">
        <f>+'[1]5월'!$E$8/1000</f>
        <v>43731.983529877063</v>
      </c>
      <c r="P46" s="140">
        <f>+'[2]5월'!$F$8/1000</f>
        <v>47042.769752000007</v>
      </c>
      <c r="Q46" s="140"/>
      <c r="R46" s="140">
        <f>+'[3]5월'!$F$8/1000</f>
        <v>46501.414478000006</v>
      </c>
      <c r="S46" s="140"/>
      <c r="T46" s="145">
        <f>+'[1]5월'!$E$26/1000</f>
        <v>4378.8908605587385</v>
      </c>
      <c r="U46" s="140">
        <f>+'[2]5월'!$F$26/1000</f>
        <v>4217.2922550008425</v>
      </c>
      <c r="V46" s="140"/>
      <c r="W46" s="140">
        <f>+'[3]5월'!$F$26/1000</f>
        <v>6018.3726409999972</v>
      </c>
      <c r="X46" s="141"/>
      <c r="AC46" s="35"/>
      <c r="AF46" s="35"/>
    </row>
    <row r="47" spans="2:38" s="34" customFormat="1" ht="17.25" thickBot="1" x14ac:dyDescent="0.35">
      <c r="I47" s="817"/>
      <c r="J47" s="144">
        <f>+J46-J27</f>
        <v>0</v>
      </c>
      <c r="K47" s="142">
        <f>+K46-K27</f>
        <v>0</v>
      </c>
      <c r="L47" s="142"/>
      <c r="M47" s="142">
        <f>+M46-M27</f>
        <v>0</v>
      </c>
      <c r="N47" s="142"/>
      <c r="O47" s="146">
        <f>+O46-O43</f>
        <v>0</v>
      </c>
      <c r="P47" s="146">
        <f>+P46-P43</f>
        <v>0</v>
      </c>
      <c r="Q47" s="142"/>
      <c r="R47" s="146">
        <f>+R46-R43</f>
        <v>0</v>
      </c>
      <c r="S47" s="142"/>
      <c r="T47" s="146">
        <f>+T46-T43</f>
        <v>0</v>
      </c>
      <c r="U47" s="146">
        <f>+U46-U43</f>
        <v>0</v>
      </c>
      <c r="V47" s="142"/>
      <c r="W47" s="142">
        <f>+W46-W43</f>
        <v>0</v>
      </c>
      <c r="X47" s="143"/>
      <c r="AC47" s="35"/>
      <c r="AF47" s="35"/>
      <c r="AG47" s="34" t="s">
        <v>102</v>
      </c>
    </row>
    <row r="48" spans="2:38" x14ac:dyDescent="0.3">
      <c r="T48" s="659"/>
      <c r="U48" s="659"/>
      <c r="V48" s="659"/>
    </row>
    <row r="49" spans="10:33" x14ac:dyDescent="0.3">
      <c r="T49" s="659"/>
      <c r="U49" s="659"/>
      <c r="V49" s="659"/>
    </row>
    <row r="50" spans="10:33" x14ac:dyDescent="0.3">
      <c r="T50" s="659"/>
      <c r="U50" s="659"/>
      <c r="V50" s="659"/>
    </row>
    <row r="51" spans="10:33" x14ac:dyDescent="0.3">
      <c r="T51" s="660"/>
      <c r="U51" s="660"/>
      <c r="V51" s="659"/>
    </row>
    <row r="52" spans="10:33" x14ac:dyDescent="0.3">
      <c r="T52" s="660"/>
      <c r="U52" s="660"/>
      <c r="V52" s="659"/>
    </row>
    <row r="54" spans="10:33" x14ac:dyDescent="0.3">
      <c r="J54" s="599"/>
      <c r="K54" s="599"/>
      <c r="L54" s="599"/>
      <c r="M54" s="599"/>
      <c r="N54" s="599"/>
      <c r="O54" s="599"/>
      <c r="P54" s="599"/>
      <c r="Q54" s="599"/>
      <c r="R54" s="599"/>
      <c r="S54" s="599"/>
      <c r="T54" s="599"/>
      <c r="U54" s="599"/>
      <c r="V54" s="599"/>
      <c r="W54" s="599"/>
      <c r="X54" s="599"/>
      <c r="Y54" s="599"/>
      <c r="Z54" s="599"/>
      <c r="AA54" s="599"/>
      <c r="AB54" s="599"/>
      <c r="AC54" s="599"/>
      <c r="AD54" s="599"/>
      <c r="AE54" s="599"/>
      <c r="AF54" s="599"/>
      <c r="AG54" s="599"/>
    </row>
    <row r="55" spans="10:33" x14ac:dyDescent="0.3">
      <c r="J55" s="599"/>
      <c r="K55" s="599"/>
      <c r="L55" s="599"/>
      <c r="M55" s="599"/>
      <c r="N55" s="599"/>
      <c r="O55" s="599"/>
      <c r="P55" s="599"/>
      <c r="Q55" s="599"/>
      <c r="R55" s="599"/>
      <c r="S55" s="599"/>
      <c r="T55" s="599"/>
      <c r="U55" s="599"/>
      <c r="V55" s="599"/>
      <c r="W55" s="599"/>
      <c r="X55" s="599"/>
      <c r="Y55" s="599"/>
      <c r="Z55" s="599"/>
      <c r="AA55" s="599"/>
      <c r="AB55" s="599"/>
      <c r="AC55" s="599"/>
      <c r="AD55" s="599"/>
      <c r="AE55" s="599"/>
      <c r="AF55" s="599"/>
      <c r="AG55" s="599"/>
    </row>
    <row r="56" spans="10:33" x14ac:dyDescent="0.3">
      <c r="J56" s="599"/>
      <c r="K56" s="599"/>
      <c r="L56" s="599"/>
      <c r="M56" s="599"/>
      <c r="N56" s="599"/>
      <c r="O56" s="599"/>
      <c r="P56" s="599"/>
      <c r="Q56" s="599"/>
      <c r="R56" s="599"/>
      <c r="S56" s="599"/>
      <c r="T56" s="599"/>
      <c r="U56" s="599"/>
      <c r="V56" s="599"/>
      <c r="W56" s="599"/>
      <c r="X56" s="599"/>
      <c r="Y56" s="599"/>
      <c r="Z56" s="599"/>
      <c r="AA56" s="599"/>
      <c r="AB56" s="599"/>
      <c r="AC56" s="599"/>
      <c r="AD56" s="599"/>
      <c r="AE56" s="599"/>
      <c r="AF56" s="599"/>
      <c r="AG56" s="599"/>
    </row>
    <row r="57" spans="10:33" x14ac:dyDescent="0.3">
      <c r="J57" s="599"/>
      <c r="K57" s="599"/>
      <c r="L57" s="599"/>
      <c r="M57" s="599"/>
      <c r="N57" s="599"/>
      <c r="O57" s="599"/>
      <c r="P57" s="599"/>
      <c r="Q57" s="599"/>
      <c r="R57" s="599"/>
      <c r="S57" s="599"/>
      <c r="T57" s="599"/>
      <c r="U57" s="599"/>
      <c r="V57" s="599"/>
      <c r="W57" s="599"/>
      <c r="X57" s="599"/>
      <c r="Y57" s="599"/>
      <c r="Z57" s="599"/>
      <c r="AA57" s="599"/>
      <c r="AB57" s="599"/>
      <c r="AC57" s="599"/>
      <c r="AD57" s="599"/>
      <c r="AE57" s="599"/>
      <c r="AF57" s="599"/>
      <c r="AG57" s="599"/>
    </row>
  </sheetData>
  <mergeCells count="4">
    <mergeCell ref="H5:I6"/>
    <mergeCell ref="I46:I47"/>
    <mergeCell ref="H28:I28"/>
    <mergeCell ref="Y43:AG43"/>
  </mergeCells>
  <phoneticPr fontId="1" type="noConversion"/>
  <printOptions horizontalCentered="1"/>
  <pageMargins left="0.15748031496062992" right="0.15748031496062992" top="0.39370078740157483" bottom="0.35433070866141736" header="0.31496062992125984" footer="0.31496062992125984"/>
  <pageSetup paperSize="9" scale="57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627E8-E3FD-4F59-8665-50753CDC460A}">
  <sheetPr>
    <tabColor theme="1" tint="0.249977111117893"/>
    <pageSetUpPr fitToPage="1"/>
  </sheetPr>
  <dimension ref="A1:AL57"/>
  <sheetViews>
    <sheetView showGridLines="0" showZeros="0" topLeftCell="F12" zoomScale="85" zoomScaleNormal="85" zoomScaleSheetLayoutView="85" workbookViewId="0">
      <selection activeCell="I29" sqref="I29:I31"/>
    </sheetView>
  </sheetViews>
  <sheetFormatPr defaultRowHeight="16.5" x14ac:dyDescent="0.3"/>
  <cols>
    <col min="1" max="1" width="9" hidden="1" customWidth="1"/>
    <col min="2" max="2" width="13" hidden="1" customWidth="1"/>
    <col min="3" max="3" width="11" hidden="1" customWidth="1"/>
    <col min="4" max="4" width="9" hidden="1" customWidth="1"/>
    <col min="5" max="5" width="13.75" hidden="1" customWidth="1"/>
    <col min="6" max="6" width="9" customWidth="1"/>
    <col min="8" max="8" width="7.5" customWidth="1"/>
    <col min="9" max="9" width="11" bestFit="1" customWidth="1"/>
    <col min="10" max="14" width="8.625" customWidth="1"/>
    <col min="15" max="24" width="9.125" customWidth="1"/>
    <col min="25" max="33" width="8.625" customWidth="1"/>
    <col min="34" max="34" width="0.75" customWidth="1"/>
    <col min="36" max="36" width="9.625" bestFit="1" customWidth="1"/>
    <col min="37" max="37" width="13.625" bestFit="1" customWidth="1"/>
    <col min="38" max="38" width="9.125" bestFit="1" customWidth="1"/>
  </cols>
  <sheetData>
    <row r="1" spans="2:36" ht="18" customHeight="1" x14ac:dyDescent="0.3">
      <c r="H1" s="4"/>
      <c r="K1" s="6"/>
      <c r="L1" s="6"/>
      <c r="P1" s="6"/>
      <c r="Q1" s="6"/>
    </row>
    <row r="2" spans="2:36" ht="18" customHeight="1" x14ac:dyDescent="0.3">
      <c r="H2" s="7"/>
      <c r="AD2" s="5"/>
      <c r="AG2" s="5"/>
    </row>
    <row r="3" spans="2:36" ht="26.25" x14ac:dyDescent="0.3">
      <c r="H3" s="4" t="s">
        <v>232</v>
      </c>
      <c r="AD3" s="5"/>
      <c r="AG3" s="5"/>
    </row>
    <row r="4" spans="2:36" ht="18" customHeight="1" x14ac:dyDescent="0.3">
      <c r="H4" s="7"/>
      <c r="AD4" s="5"/>
      <c r="AG4" s="5" t="s">
        <v>94</v>
      </c>
    </row>
    <row r="5" spans="2:36" s="8" customFormat="1" ht="19.5" customHeight="1" x14ac:dyDescent="0.3">
      <c r="H5" s="813" t="s">
        <v>11</v>
      </c>
      <c r="I5" s="814"/>
      <c r="J5" s="173" t="s">
        <v>0</v>
      </c>
      <c r="K5" s="174"/>
      <c r="L5" s="174"/>
      <c r="M5" s="174"/>
      <c r="N5" s="175"/>
      <c r="O5" s="173" t="s">
        <v>2</v>
      </c>
      <c r="P5" s="174"/>
      <c r="Q5" s="174"/>
      <c r="R5" s="174"/>
      <c r="S5" s="175"/>
      <c r="T5" s="173" t="s">
        <v>119</v>
      </c>
      <c r="U5" s="174"/>
      <c r="V5" s="174"/>
      <c r="W5" s="174"/>
      <c r="X5" s="175"/>
      <c r="Y5" s="173" t="s">
        <v>21</v>
      </c>
      <c r="Z5" s="174"/>
      <c r="AA5" s="175"/>
      <c r="AB5" s="173" t="s">
        <v>44</v>
      </c>
      <c r="AC5" s="174"/>
      <c r="AD5" s="175"/>
      <c r="AE5" s="173" t="s">
        <v>69</v>
      </c>
      <c r="AF5" s="174"/>
      <c r="AG5" s="175"/>
    </row>
    <row r="6" spans="2:36" s="8" customFormat="1" ht="19.5" customHeight="1" x14ac:dyDescent="0.3">
      <c r="H6" s="815"/>
      <c r="I6" s="816"/>
      <c r="J6" s="176" t="s">
        <v>12</v>
      </c>
      <c r="K6" s="177" t="s">
        <v>13</v>
      </c>
      <c r="L6" s="178" t="s">
        <v>37</v>
      </c>
      <c r="M6" s="177" t="s">
        <v>14</v>
      </c>
      <c r="N6" s="179" t="s">
        <v>37</v>
      </c>
      <c r="O6" s="176" t="s">
        <v>15</v>
      </c>
      <c r="P6" s="177" t="s">
        <v>16</v>
      </c>
      <c r="Q6" s="178" t="s">
        <v>36</v>
      </c>
      <c r="R6" s="177" t="s">
        <v>17</v>
      </c>
      <c r="S6" s="179" t="s">
        <v>36</v>
      </c>
      <c r="T6" s="176" t="s">
        <v>15</v>
      </c>
      <c r="U6" s="177" t="s">
        <v>16</v>
      </c>
      <c r="V6" s="178" t="s">
        <v>36</v>
      </c>
      <c r="W6" s="177" t="s">
        <v>17</v>
      </c>
      <c r="X6" s="179" t="s">
        <v>36</v>
      </c>
      <c r="Y6" s="180" t="s">
        <v>15</v>
      </c>
      <c r="Z6" s="181" t="s">
        <v>16</v>
      </c>
      <c r="AA6" s="182" t="s">
        <v>17</v>
      </c>
      <c r="AB6" s="183" t="s">
        <v>15</v>
      </c>
      <c r="AC6" s="181" t="s">
        <v>16</v>
      </c>
      <c r="AD6" s="179" t="s">
        <v>17</v>
      </c>
      <c r="AE6" s="183" t="s">
        <v>15</v>
      </c>
      <c r="AF6" s="181" t="s">
        <v>16</v>
      </c>
      <c r="AG6" s="179" t="s">
        <v>17</v>
      </c>
    </row>
    <row r="7" spans="2:36" s="8" customFormat="1" ht="19.5" customHeight="1" x14ac:dyDescent="0.3">
      <c r="B7" s="8" t="s">
        <v>22</v>
      </c>
      <c r="F7" s="9">
        <f>+U7/T7</f>
        <v>0.88106238806224946</v>
      </c>
      <c r="G7" s="9">
        <f t="shared" ref="G7:G22" si="0">+K7/J7</f>
        <v>1.0460594059405941</v>
      </c>
      <c r="H7" s="78" t="s">
        <v>53</v>
      </c>
      <c r="I7" s="79" t="s">
        <v>22</v>
      </c>
      <c r="J7" s="36">
        <f>+'사업장별(당월)'!J7+'[4]사업장별(누계)'!J7</f>
        <v>202</v>
      </c>
      <c r="K7" s="37">
        <f>+'사업장별(당월)'!K7+'[4]사업장별(누계)'!K7</f>
        <v>211.30400000000003</v>
      </c>
      <c r="L7" s="38">
        <f t="shared" ref="L7:L32" si="1">+K7-J7</f>
        <v>9.3040000000000305</v>
      </c>
      <c r="M7" s="39">
        <f>+'사업장별(당월)'!M7+'[4]사업장별(누계)'!M7</f>
        <v>224.42500000000001</v>
      </c>
      <c r="N7" s="40">
        <f>+K7-M7</f>
        <v>-13.120999999999981</v>
      </c>
      <c r="O7" s="36">
        <f>+'사업장별(당월)'!O7+'[4]사업장별(누계)'!O7</f>
        <v>20088.7739</v>
      </c>
      <c r="P7" s="37">
        <f>+'사업장별(당월)'!P7+'[4]사업장별(누계)'!P7</f>
        <v>20962.964023</v>
      </c>
      <c r="Q7" s="38">
        <f>+P7-O7</f>
        <v>874.19012300000031</v>
      </c>
      <c r="R7" s="39">
        <f>+'사업장별(당월)'!R7+'[4]사업장별(누계)'!R7</f>
        <v>20504.099726</v>
      </c>
      <c r="S7" s="40">
        <f>+P7-R7</f>
        <v>458.86429700000008</v>
      </c>
      <c r="T7" s="36">
        <f>+'사업장별(당월)'!T7+'[4]사업장별(누계)'!T7</f>
        <v>2554.9770680268257</v>
      </c>
      <c r="U7" s="37">
        <f>+'사업장별(당월)'!U7+'[4]사업장별(누계)'!U7</f>
        <v>2251.0941969999994</v>
      </c>
      <c r="V7" s="41">
        <f>+U7-T7</f>
        <v>-303.88287102682625</v>
      </c>
      <c r="W7" s="42">
        <f>+'사업장별(당월)'!W7+'[4]사업장별(누계)'!W7</f>
        <v>2773.1318729800005</v>
      </c>
      <c r="X7" s="40">
        <f>+U7-W7</f>
        <v>-522.03767598000104</v>
      </c>
      <c r="Y7" s="36">
        <f>+[11]안양!$Q$85</f>
        <v>99449.375742574266</v>
      </c>
      <c r="Z7" s="37">
        <f>+[11]안양!$R$85</f>
        <v>99203.365320518889</v>
      </c>
      <c r="AA7" s="43">
        <f>+[12]안양!$Q$85</f>
        <v>91346.275930990494</v>
      </c>
      <c r="AB7" s="44">
        <f>+[11]안양!$Q$89</f>
        <v>79340.078100937419</v>
      </c>
      <c r="AC7" s="37">
        <f>+[11]안양!$R$89</f>
        <v>81339.683440943685</v>
      </c>
      <c r="AD7" s="45">
        <f>+[12]안양!$Q$89</f>
        <v>72646.211433845834</v>
      </c>
      <c r="AE7" s="44">
        <f>+Y7-AB7</f>
        <v>20109.297641636847</v>
      </c>
      <c r="AF7" s="37">
        <f>+Z7-AC7</f>
        <v>17863.681879575204</v>
      </c>
      <c r="AG7" s="45">
        <f>+AA7-AD7</f>
        <v>18700.06449714466</v>
      </c>
      <c r="AH7" s="18"/>
      <c r="AI7" s="19">
        <v>22.510941969999994</v>
      </c>
    </row>
    <row r="8" spans="2:36" s="8" customFormat="1" ht="19.5" customHeight="1" x14ac:dyDescent="0.3">
      <c r="B8" s="8" t="s">
        <v>23</v>
      </c>
      <c r="F8" s="9">
        <f t="shared" ref="F8:F27" si="2">+U8/T8</f>
        <v>0.86955277085295057</v>
      </c>
      <c r="G8" s="9">
        <f t="shared" si="0"/>
        <v>0.95938000000000012</v>
      </c>
      <c r="H8" s="80" t="s">
        <v>54</v>
      </c>
      <c r="I8" s="81" t="s">
        <v>23</v>
      </c>
      <c r="J8" s="46">
        <f>+'사업장별(당월)'!J8+'[4]사업장별(누계)'!J8</f>
        <v>150</v>
      </c>
      <c r="K8" s="47">
        <f>+'사업장별(당월)'!K8+'[4]사업장별(누계)'!K8</f>
        <v>143.90700000000001</v>
      </c>
      <c r="L8" s="48">
        <f t="shared" si="1"/>
        <v>-6.0929999999999893</v>
      </c>
      <c r="M8" s="49">
        <f>+'사업장별(당월)'!M8+'[4]사업장별(누계)'!M8</f>
        <v>192.29500000000002</v>
      </c>
      <c r="N8" s="50">
        <f t="shared" ref="N8:N32" si="3">+K8-M8</f>
        <v>-48.388000000000005</v>
      </c>
      <c r="O8" s="46">
        <f>+'사업장별(당월)'!O8+'[4]사업장별(누계)'!O8</f>
        <v>15138.051749999999</v>
      </c>
      <c r="P8" s="47">
        <f>+'사업장별(당월)'!P8+'[4]사업장별(누계)'!P8</f>
        <v>14464.339049</v>
      </c>
      <c r="Q8" s="48">
        <f t="shared" ref="Q8:Q43" si="4">+P8-O8</f>
        <v>-673.71270099999856</v>
      </c>
      <c r="R8" s="49">
        <f>+'사업장별(당월)'!R8+'[4]사업장별(누계)'!R8</f>
        <v>17944.411675000003</v>
      </c>
      <c r="S8" s="50">
        <f t="shared" ref="S8:S40" si="5">+P8-R8</f>
        <v>-3480.0726260000029</v>
      </c>
      <c r="T8" s="46">
        <f>+'사업장별(당월)'!T8+'[4]사업장별(누계)'!T8</f>
        <v>1404.9972100044108</v>
      </c>
      <c r="U8" s="47">
        <f>+'사업장별(당월)'!U8+'[4]사업장별(누계)'!U8</f>
        <v>1221.7192170000003</v>
      </c>
      <c r="V8" s="48">
        <f t="shared" ref="V8:V40" si="6">+U8-T8</f>
        <v>-183.27799300441052</v>
      </c>
      <c r="W8" s="49">
        <f>+'사업장별(당월)'!W8+'[4]사업장별(누계)'!W8</f>
        <v>2043.5013439999998</v>
      </c>
      <c r="X8" s="50">
        <f t="shared" ref="X8:X39" si="7">+U8-W8</f>
        <v>-821.78212699999949</v>
      </c>
      <c r="Y8" s="46">
        <f>+[11]인천!$Q$85</f>
        <v>100920.345</v>
      </c>
      <c r="Z8" s="47">
        <f>+[11]인천!$R$85</f>
        <v>100511.71276588352</v>
      </c>
      <c r="AA8" s="51">
        <f>+[12]인천!$Q$85</f>
        <v>93314.80620417255</v>
      </c>
      <c r="AB8" s="52">
        <f>+[11]인천!$Q$89</f>
        <v>81598.630528992595</v>
      </c>
      <c r="AC8" s="47">
        <f>+[11]인천!$R$89</f>
        <v>82210.920798338295</v>
      </c>
      <c r="AD8" s="53">
        <f>+[12]인천!$Q$89</f>
        <v>75063.122555166483</v>
      </c>
      <c r="AE8" s="52">
        <f t="shared" ref="AE8:AG27" si="8">+Y8-AB8</f>
        <v>19321.714471007406</v>
      </c>
      <c r="AF8" s="47">
        <f t="shared" si="8"/>
        <v>18300.791967545229</v>
      </c>
      <c r="AG8" s="53">
        <f t="shared" si="8"/>
        <v>18251.683649006067</v>
      </c>
      <c r="AH8" s="18"/>
      <c r="AI8" s="19">
        <v>12.217192170000002</v>
      </c>
      <c r="AJ8" s="97"/>
    </row>
    <row r="9" spans="2:36" s="8" customFormat="1" ht="19.5" customHeight="1" x14ac:dyDescent="0.3">
      <c r="B9" s="8" t="s">
        <v>24</v>
      </c>
      <c r="F9" s="9">
        <f t="shared" si="2"/>
        <v>0.66371001239720073</v>
      </c>
      <c r="G9" s="9">
        <f t="shared" si="0"/>
        <v>1.0031382113821141</v>
      </c>
      <c r="H9" s="80"/>
      <c r="I9" s="81" t="s">
        <v>24</v>
      </c>
      <c r="J9" s="46">
        <f>+'사업장별(당월)'!J9+'[4]사업장별(누계)'!J9</f>
        <v>123</v>
      </c>
      <c r="K9" s="47">
        <f>+'사업장별(당월)'!K9+'[4]사업장별(누계)'!K9</f>
        <v>123.38600000000002</v>
      </c>
      <c r="L9" s="48">
        <f t="shared" si="1"/>
        <v>0.3860000000000241</v>
      </c>
      <c r="M9" s="49">
        <f>+'사업장별(당월)'!M9+'[4]사업장별(누계)'!M9</f>
        <v>122.93899999999999</v>
      </c>
      <c r="N9" s="50">
        <f t="shared" si="3"/>
        <v>0.44700000000003115</v>
      </c>
      <c r="O9" s="46">
        <f>+'사업장별(당월)'!O9+'[4]사업장별(누계)'!O9</f>
        <v>12024.145497666324</v>
      </c>
      <c r="P9" s="47">
        <f>+'사업장별(당월)'!P9+'[4]사업장별(누계)'!P9</f>
        <v>12286.365155</v>
      </c>
      <c r="Q9" s="48">
        <f t="shared" si="4"/>
        <v>262.21965733367506</v>
      </c>
      <c r="R9" s="49">
        <f>+'사업장별(당월)'!R9+'[4]사업장별(누계)'!R9</f>
        <v>11063.622361</v>
      </c>
      <c r="S9" s="50">
        <f t="shared" si="5"/>
        <v>1222.7427939999998</v>
      </c>
      <c r="T9" s="46">
        <f>+'사업장별(당월)'!T9+'[4]사업장별(누계)'!T9</f>
        <v>1468.7438124959522</v>
      </c>
      <c r="U9" s="47">
        <f>+'사업장별(당월)'!U9+'[4]사업장별(누계)'!U9</f>
        <v>974.81997400000034</v>
      </c>
      <c r="V9" s="48">
        <f t="shared" si="6"/>
        <v>-493.92383849595183</v>
      </c>
      <c r="W9" s="49">
        <f>+'사업장별(당월)'!W9+'[4]사업장별(누계)'!W9</f>
        <v>945.75019901000042</v>
      </c>
      <c r="X9" s="50">
        <f t="shared" si="7"/>
        <v>29.069774989999928</v>
      </c>
      <c r="Y9" s="46">
        <f>+[11]파주!$Q$85</f>
        <v>97757.280468831901</v>
      </c>
      <c r="Z9" s="47">
        <f>+[11]파주!$R$85</f>
        <v>99613.276503638961</v>
      </c>
      <c r="AA9" s="51">
        <f>+[12]파주!$Q$85</f>
        <v>89960.425859235998</v>
      </c>
      <c r="AB9" s="52">
        <f>+[11]파주!$Q$89</f>
        <v>76694.358372689923</v>
      </c>
      <c r="AC9" s="47">
        <f>+[11]파주!$R$89</f>
        <v>82206.609111665952</v>
      </c>
      <c r="AD9" s="53">
        <f>+[12]파주!$Q$89</f>
        <v>73151.924141452837</v>
      </c>
      <c r="AE9" s="52">
        <f t="shared" si="8"/>
        <v>21062.922096141978</v>
      </c>
      <c r="AF9" s="47">
        <f t="shared" si="8"/>
        <v>17406.667391973009</v>
      </c>
      <c r="AG9" s="53">
        <f t="shared" si="8"/>
        <v>16808.501717783161</v>
      </c>
      <c r="AH9" s="18"/>
      <c r="AI9" s="19">
        <v>9.748199740000004</v>
      </c>
      <c r="AJ9" s="97"/>
    </row>
    <row r="10" spans="2:36" s="8" customFormat="1" ht="19.5" customHeight="1" x14ac:dyDescent="0.3">
      <c r="B10" s="8" t="s">
        <v>175</v>
      </c>
      <c r="F10" s="9">
        <f t="shared" si="2"/>
        <v>0.91705077673671342</v>
      </c>
      <c r="G10" s="9">
        <f t="shared" si="0"/>
        <v>0.94504580152671747</v>
      </c>
      <c r="H10" s="80"/>
      <c r="I10" s="81" t="s">
        <v>172</v>
      </c>
      <c r="J10" s="46">
        <f>+'사업장별(당월)'!J10+'[4]사업장별(누계)'!J10</f>
        <v>65.5</v>
      </c>
      <c r="K10" s="47">
        <f>+'사업장별(당월)'!K10+'[4]사업장별(누계)'!K10</f>
        <v>61.900499999999994</v>
      </c>
      <c r="L10" s="48">
        <f t="shared" si="1"/>
        <v>-3.5995000000000061</v>
      </c>
      <c r="M10" s="49">
        <f>+'사업장별(당월)'!M10+'[4]사업장별(누계)'!M10</f>
        <v>85.100499999999997</v>
      </c>
      <c r="N10" s="50">
        <f t="shared" si="3"/>
        <v>-23.200000000000003</v>
      </c>
      <c r="O10" s="46">
        <f>+'사업장별(당월)'!O10+'[4]사업장별(누계)'!O10</f>
        <v>6199.3665000000001</v>
      </c>
      <c r="P10" s="47">
        <f>+'사업장별(당월)'!P10+'[4]사업장별(누계)'!P10</f>
        <v>6138.8182030000007</v>
      </c>
      <c r="Q10" s="48">
        <f t="shared" si="4"/>
        <v>-60.548296999999366</v>
      </c>
      <c r="R10" s="49">
        <f>+'사업장별(당월)'!R10+'[4]사업장별(누계)'!R10</f>
        <v>7477.5849120000003</v>
      </c>
      <c r="S10" s="50">
        <f t="shared" si="5"/>
        <v>-1338.7667089999995</v>
      </c>
      <c r="T10" s="46">
        <f>+'사업장별(당월)'!T10+'[4]사업장별(누계)'!T10</f>
        <v>677.79725808841988</v>
      </c>
      <c r="U10" s="47">
        <f>+'사업장별(당월)'!U10+'[4]사업장별(누계)'!U10</f>
        <v>621.57450200000005</v>
      </c>
      <c r="V10" s="48">
        <f t="shared" si="6"/>
        <v>-56.222756088419828</v>
      </c>
      <c r="W10" s="49">
        <f>+'사업장별(당월)'!W10+'[4]사업장별(누계)'!W10</f>
        <v>956.62001200000032</v>
      </c>
      <c r="X10" s="50">
        <f t="shared" si="7"/>
        <v>-335.04551000000026</v>
      </c>
      <c r="Y10" s="46">
        <f>+[11]김포!$Q$85</f>
        <v>94646.816793893129</v>
      </c>
      <c r="Z10" s="47">
        <f>+[11]김포!$R$85</f>
        <v>99202.657520399764</v>
      </c>
      <c r="AA10" s="51">
        <f>+[12]김포!$Q$85</f>
        <v>87815.031373504578</v>
      </c>
      <c r="AB10" s="52">
        <f>+[11]김포!$Q$89</f>
        <v>71555.623540634813</v>
      </c>
      <c r="AC10" s="47">
        <f>+[11]김포!$R$89</f>
        <v>76358.731962878752</v>
      </c>
      <c r="AD10" s="53">
        <f>+[12]김포!$Q$89</f>
        <v>67102.292185447775</v>
      </c>
      <c r="AE10" s="52">
        <f t="shared" si="8"/>
        <v>23091.193253258316</v>
      </c>
      <c r="AF10" s="47">
        <f t="shared" si="8"/>
        <v>22843.925557521012</v>
      </c>
      <c r="AG10" s="53">
        <f t="shared" si="8"/>
        <v>20712.739188056803</v>
      </c>
      <c r="AH10" s="18"/>
      <c r="AI10" s="19">
        <v>6.2157450200000008</v>
      </c>
      <c r="AJ10" s="97"/>
    </row>
    <row r="11" spans="2:36" s="8" customFormat="1" ht="19.5" customHeight="1" x14ac:dyDescent="0.3">
      <c r="B11" s="8" t="s">
        <v>25</v>
      </c>
      <c r="F11" s="9">
        <f t="shared" si="2"/>
        <v>1.0375312690447747</v>
      </c>
      <c r="G11" s="9">
        <f t="shared" si="0"/>
        <v>1.2165967741935482</v>
      </c>
      <c r="H11" s="80"/>
      <c r="I11" s="82" t="s">
        <v>25</v>
      </c>
      <c r="J11" s="63">
        <f>+'사업장별(당월)'!J11+'[4]사업장별(누계)'!J11</f>
        <v>93</v>
      </c>
      <c r="K11" s="64">
        <f>+'사업장별(당월)'!K11+'[4]사업장별(누계)'!K11</f>
        <v>113.14349999999999</v>
      </c>
      <c r="L11" s="65">
        <f t="shared" si="1"/>
        <v>20.143499999999989</v>
      </c>
      <c r="M11" s="66">
        <f>+'사업장별(당월)'!M11+'[4]사업장별(누계)'!M11</f>
        <v>125.87549999999999</v>
      </c>
      <c r="N11" s="67">
        <f t="shared" si="3"/>
        <v>-12.731999999999999</v>
      </c>
      <c r="O11" s="63">
        <f>+'사업장별(당월)'!O11+'[4]사업장별(누계)'!O11</f>
        <v>10006.80976925</v>
      </c>
      <c r="P11" s="64">
        <f>+'사업장별(당월)'!P11+'[4]사업장별(누계)'!P11</f>
        <v>12068.067641</v>
      </c>
      <c r="Q11" s="65">
        <f t="shared" si="4"/>
        <v>2061.25787175</v>
      </c>
      <c r="R11" s="66">
        <f>+'사업장별(당월)'!R11+'[4]사업장별(누계)'!R11</f>
        <v>12750.466549999999</v>
      </c>
      <c r="S11" s="67">
        <f t="shared" si="5"/>
        <v>-682.39890899999955</v>
      </c>
      <c r="T11" s="63">
        <f>+'사업장별(당월)'!T11+'[4]사업장별(누계)'!T11</f>
        <v>1351.1309343868102</v>
      </c>
      <c r="U11" s="64">
        <f>+'사업장별(당월)'!U11+'[4]사업장별(누계)'!U11</f>
        <v>1401.8405929999994</v>
      </c>
      <c r="V11" s="65">
        <f t="shared" si="6"/>
        <v>50.709658613189276</v>
      </c>
      <c r="W11" s="66">
        <f>+'사업장별(당월)'!W11+'[4]사업장별(누계)'!W11</f>
        <v>2392.4509159999998</v>
      </c>
      <c r="X11" s="67">
        <f t="shared" si="7"/>
        <v>-990.61032300000034</v>
      </c>
      <c r="Y11" s="63">
        <f>+[11]부산!$Q$85</f>
        <v>107600.10504569892</v>
      </c>
      <c r="Z11" s="64">
        <f>+[11]부산!$R$85</f>
        <v>106661.60796687393</v>
      </c>
      <c r="AA11" s="68">
        <f>+[12]부산!$Q$85</f>
        <v>101294.26735147029</v>
      </c>
      <c r="AB11" s="69">
        <f>+[11]부산!$Q$89</f>
        <v>78742.47238427955</v>
      </c>
      <c r="AC11" s="64">
        <f>+[11]부산!$R$89</f>
        <v>83541.954751448851</v>
      </c>
      <c r="AD11" s="70">
        <f>+[12]부산!$Q$89</f>
        <v>72839.146203093667</v>
      </c>
      <c r="AE11" s="69">
        <f t="shared" si="8"/>
        <v>28857.632661419368</v>
      </c>
      <c r="AF11" s="64">
        <f t="shared" si="8"/>
        <v>23119.653215425074</v>
      </c>
      <c r="AG11" s="70">
        <f t="shared" si="8"/>
        <v>28455.121148376624</v>
      </c>
      <c r="AH11" s="18"/>
      <c r="AI11" s="19">
        <v>14.018405929999995</v>
      </c>
      <c r="AJ11" s="97"/>
    </row>
    <row r="12" spans="2:36" s="8" customFormat="1" ht="19.5" customHeight="1" x14ac:dyDescent="0.3">
      <c r="B12" s="8" t="s">
        <v>26</v>
      </c>
      <c r="F12" s="9">
        <f t="shared" si="2"/>
        <v>0.69124891903412411</v>
      </c>
      <c r="G12" s="9">
        <f t="shared" si="0"/>
        <v>0.97371551724137939</v>
      </c>
      <c r="H12" s="80"/>
      <c r="I12" s="81" t="s">
        <v>26</v>
      </c>
      <c r="J12" s="46">
        <f>+'사업장별(당월)'!J12+'[4]사업장별(누계)'!J12</f>
        <v>116</v>
      </c>
      <c r="K12" s="47">
        <f>+'사업장별(당월)'!K12+'[4]사업장별(누계)'!K12</f>
        <v>112.95100000000001</v>
      </c>
      <c r="L12" s="48">
        <f t="shared" si="1"/>
        <v>-3.0489999999999924</v>
      </c>
      <c r="M12" s="49">
        <f>+'사업장별(당월)'!M12+'[4]사업장별(누계)'!M12</f>
        <v>109.014</v>
      </c>
      <c r="N12" s="50">
        <f t="shared" si="3"/>
        <v>3.9370000000000118</v>
      </c>
      <c r="O12" s="46">
        <f>+'사업장별(당월)'!O12+'[4]사업장별(누계)'!O12</f>
        <v>12008.83684</v>
      </c>
      <c r="P12" s="47">
        <f>+'사업장별(당월)'!P12+'[4]사업장별(누계)'!P12</f>
        <v>11446.633319999999</v>
      </c>
      <c r="Q12" s="48">
        <f t="shared" si="4"/>
        <v>-562.20352000000094</v>
      </c>
      <c r="R12" s="49">
        <f>+'사업장별(당월)'!R12+'[4]사업장별(누계)'!R12</f>
        <v>10733.914700000001</v>
      </c>
      <c r="S12" s="50">
        <f t="shared" si="5"/>
        <v>712.71861999999783</v>
      </c>
      <c r="T12" s="46">
        <f>+'사업장별(당월)'!T12+'[4]사업장별(누계)'!T12</f>
        <v>1999.6690077019307</v>
      </c>
      <c r="U12" s="47">
        <f>+'사업장별(당월)'!U12+'[4]사업장별(누계)'!U12</f>
        <v>1382.2690399999992</v>
      </c>
      <c r="V12" s="48">
        <f t="shared" si="6"/>
        <v>-617.39996770193147</v>
      </c>
      <c r="W12" s="49">
        <f>+'사업장별(당월)'!W12+'[4]사업장별(누계)'!W12</f>
        <v>1813.6500829999998</v>
      </c>
      <c r="X12" s="50">
        <f t="shared" si="7"/>
        <v>-431.38104300000055</v>
      </c>
      <c r="Y12" s="46">
        <f>+[11]서부산!$Q$85</f>
        <v>103524.45551724138</v>
      </c>
      <c r="Z12" s="47">
        <f>+[11]서부산!$R$85</f>
        <v>101341.58458092448</v>
      </c>
      <c r="AA12" s="51">
        <f>+[12]서부산!$Q$85</f>
        <v>98463.634945970261</v>
      </c>
      <c r="AB12" s="52">
        <f>+[11]서부산!$Q$89</f>
        <v>77503.933824408654</v>
      </c>
      <c r="AC12" s="47">
        <f>+[11]서부산!$R$89</f>
        <v>79342.202799798499</v>
      </c>
      <c r="AD12" s="53">
        <f>+[12]서부산!$Q$89</f>
        <v>72571.448287564446</v>
      </c>
      <c r="AE12" s="52">
        <f t="shared" si="8"/>
        <v>26020.521692832728</v>
      </c>
      <c r="AF12" s="47">
        <f t="shared" si="8"/>
        <v>21999.38178112598</v>
      </c>
      <c r="AG12" s="53">
        <f t="shared" si="8"/>
        <v>25892.186658405815</v>
      </c>
      <c r="AH12" s="18"/>
      <c r="AI12" s="19">
        <v>13.822690399999992</v>
      </c>
      <c r="AJ12" s="97"/>
    </row>
    <row r="13" spans="2:36" s="8" customFormat="1" ht="19.5" customHeight="1" x14ac:dyDescent="0.3">
      <c r="B13" s="8" t="s">
        <v>27</v>
      </c>
      <c r="F13" s="9">
        <f t="shared" si="2"/>
        <v>0.7422010519154848</v>
      </c>
      <c r="G13" s="9">
        <f t="shared" si="0"/>
        <v>1.1685964912280702</v>
      </c>
      <c r="H13" s="80"/>
      <c r="I13" s="81" t="s">
        <v>27</v>
      </c>
      <c r="J13" s="46">
        <f>+'사업장별(당월)'!J13+'[4]사업장별(누계)'!J13</f>
        <v>57</v>
      </c>
      <c r="K13" s="47">
        <f>+'사업장별(당월)'!K13+'[4]사업장별(누계)'!K13</f>
        <v>66.61</v>
      </c>
      <c r="L13" s="48">
        <f t="shared" si="1"/>
        <v>9.61</v>
      </c>
      <c r="M13" s="49">
        <f>+'사업장별(당월)'!M13+'[4]사업장별(누계)'!M13</f>
        <v>68.777000000000001</v>
      </c>
      <c r="N13" s="50">
        <f t="shared" si="3"/>
        <v>-2.1670000000000016</v>
      </c>
      <c r="O13" s="46">
        <f>+'사업장별(당월)'!O13+'[4]사업장별(누계)'!O13</f>
        <v>5756.9987999999994</v>
      </c>
      <c r="P13" s="47">
        <f>+'사업장별(당월)'!P13+'[4]사업장별(누계)'!P13</f>
        <v>6529.6296999999995</v>
      </c>
      <c r="Q13" s="48">
        <f t="shared" si="4"/>
        <v>772.63090000000011</v>
      </c>
      <c r="R13" s="49">
        <f>+'사업장별(당월)'!R13+'[4]사업장별(누계)'!R13</f>
        <v>6615.8876999999993</v>
      </c>
      <c r="S13" s="50">
        <f t="shared" si="5"/>
        <v>-86.257999999999811</v>
      </c>
      <c r="T13" s="46">
        <f>+'사업장별(당월)'!T13+'[4]사업장별(누계)'!T13</f>
        <v>653.85847237422263</v>
      </c>
      <c r="U13" s="47">
        <f>+'사업장별(당월)'!U13+'[4]사업장별(누계)'!U13</f>
        <v>485.29444599999999</v>
      </c>
      <c r="V13" s="48">
        <f t="shared" si="6"/>
        <v>-168.56402637422264</v>
      </c>
      <c r="W13" s="49">
        <f>+'사업장별(당월)'!W13+'[4]사업장별(누계)'!W13</f>
        <v>878.32124799999974</v>
      </c>
      <c r="X13" s="50">
        <f t="shared" si="7"/>
        <v>-393.02680199999975</v>
      </c>
      <c r="Y13" s="46">
        <f>+[11]김해!$Q$85</f>
        <v>100999.97894736844</v>
      </c>
      <c r="Z13" s="47">
        <f>+[11]김해!$R$85</f>
        <v>98145.406427797847</v>
      </c>
      <c r="AA13" s="51">
        <f>+[12]김해!$Q$85</f>
        <v>96204.349093028344</v>
      </c>
      <c r="AB13" s="52">
        <f>+[11]김해!$Q$89</f>
        <v>76485.712629946502</v>
      </c>
      <c r="AC13" s="47">
        <f>+[11]김해!$R$89</f>
        <v>79751.01912780854</v>
      </c>
      <c r="AD13" s="53">
        <f>+[12]김해!$Q$89</f>
        <v>73278.852203686169</v>
      </c>
      <c r="AE13" s="52">
        <f t="shared" si="8"/>
        <v>24514.266317421934</v>
      </c>
      <c r="AF13" s="47">
        <f t="shared" si="8"/>
        <v>18394.387299989306</v>
      </c>
      <c r="AG13" s="53">
        <f t="shared" si="8"/>
        <v>22925.496889342176</v>
      </c>
      <c r="AH13" s="18"/>
      <c r="AI13" s="19">
        <v>4.8529444599999998</v>
      </c>
      <c r="AJ13" s="97"/>
    </row>
    <row r="14" spans="2:36" s="8" customFormat="1" ht="19.5" customHeight="1" x14ac:dyDescent="0.3">
      <c r="B14" s="8" t="s">
        <v>28</v>
      </c>
      <c r="F14" s="9">
        <f t="shared" si="2"/>
        <v>0.88872749035815235</v>
      </c>
      <c r="G14" s="9">
        <f t="shared" si="0"/>
        <v>1.167721590909091</v>
      </c>
      <c r="H14" s="80"/>
      <c r="I14" s="81" t="s">
        <v>28</v>
      </c>
      <c r="J14" s="46">
        <f>+'사업장별(당월)'!J14+'[4]사업장별(누계)'!J14</f>
        <v>88</v>
      </c>
      <c r="K14" s="47">
        <f>+'사업장별(당월)'!K14+'[4]사업장별(누계)'!K14</f>
        <v>102.7595</v>
      </c>
      <c r="L14" s="48">
        <f t="shared" si="1"/>
        <v>14.759500000000003</v>
      </c>
      <c r="M14" s="49">
        <f>+'사업장별(당월)'!M14+'[4]사업장별(누계)'!M14</f>
        <v>99.246999999999986</v>
      </c>
      <c r="N14" s="50">
        <f t="shared" si="3"/>
        <v>3.5125000000000171</v>
      </c>
      <c r="O14" s="46">
        <f>+'사업장별(당월)'!O14+'[4]사업장별(누계)'!O14</f>
        <v>9152</v>
      </c>
      <c r="P14" s="47">
        <f>+'사업장별(당월)'!P14+'[4]사업장별(누계)'!P14</f>
        <v>10528.989249999999</v>
      </c>
      <c r="Q14" s="48">
        <f t="shared" si="4"/>
        <v>1376.9892499999987</v>
      </c>
      <c r="R14" s="49">
        <f>+'사업장별(당월)'!R14+'[4]사업장별(누계)'!R14</f>
        <v>9848.3495399999993</v>
      </c>
      <c r="S14" s="50">
        <f t="shared" si="5"/>
        <v>680.63970999999947</v>
      </c>
      <c r="T14" s="46">
        <f>+'사업장별(당월)'!T14+'[4]사업장별(누계)'!T14</f>
        <v>1236.2616245360311</v>
      </c>
      <c r="U14" s="47">
        <f>+'사업장별(당월)'!U14+'[4]사업장별(누계)'!U14</f>
        <v>1098.6996909999993</v>
      </c>
      <c r="V14" s="48">
        <f t="shared" si="6"/>
        <v>-137.5619335360318</v>
      </c>
      <c r="W14" s="49">
        <f>+'사업장별(당월)'!W14+'[4]사업장별(누계)'!W14</f>
        <v>1553.7414340000005</v>
      </c>
      <c r="X14" s="50">
        <f t="shared" si="7"/>
        <v>-455.04174300000113</v>
      </c>
      <c r="Y14" s="46">
        <f>+[11]정관!$Q$85</f>
        <v>104000</v>
      </c>
      <c r="Z14" s="47">
        <f>+[11]정관!$R$85</f>
        <v>102462.441428773</v>
      </c>
      <c r="AA14" s="51">
        <f>+[12]정관!$Q$85</f>
        <v>99230.702590506524</v>
      </c>
      <c r="AB14" s="52">
        <f>+[11]정관!$Q$89</f>
        <v>78480.533381535002</v>
      </c>
      <c r="AC14" s="47">
        <f>+[11]정관!$R$89</f>
        <v>82233.76815725342</v>
      </c>
      <c r="AD14" s="53">
        <f>+[12]정관!$Q$89</f>
        <v>73977.792853402105</v>
      </c>
      <c r="AE14" s="52">
        <f t="shared" si="8"/>
        <v>25519.466618464998</v>
      </c>
      <c r="AF14" s="47">
        <f t="shared" si="8"/>
        <v>20228.673271519583</v>
      </c>
      <c r="AG14" s="53">
        <f t="shared" si="8"/>
        <v>25252.909737104419</v>
      </c>
      <c r="AH14" s="18"/>
      <c r="AI14" s="19">
        <v>10.986996909999993</v>
      </c>
      <c r="AJ14" s="97"/>
    </row>
    <row r="15" spans="2:36" s="8" customFormat="1" ht="19.5" customHeight="1" x14ac:dyDescent="0.3">
      <c r="B15" s="8" t="s">
        <v>29</v>
      </c>
      <c r="F15" s="9">
        <f t="shared" si="2"/>
        <v>1.0051366448774597</v>
      </c>
      <c r="G15" s="9">
        <f t="shared" si="0"/>
        <v>1.2011962616822431</v>
      </c>
      <c r="H15" s="80"/>
      <c r="I15" s="81" t="s">
        <v>235</v>
      </c>
      <c r="J15" s="46">
        <f>+'사업장별(당월)'!J15+'[4]사업장별(누계)'!J15</f>
        <v>53.5</v>
      </c>
      <c r="K15" s="47">
        <f>+'사업장별(당월)'!K15+'[4]사업장별(누계)'!K15</f>
        <v>64.26400000000001</v>
      </c>
      <c r="L15" s="48">
        <f t="shared" si="1"/>
        <v>10.76400000000001</v>
      </c>
      <c r="M15" s="49">
        <f>+'사업장별(당월)'!M15+'[4]사업장별(누계)'!M15</f>
        <v>72.040000000000006</v>
      </c>
      <c r="N15" s="50">
        <f t="shared" si="3"/>
        <v>-7.7759999999999962</v>
      </c>
      <c r="O15" s="46">
        <f>+'사업장별(당월)'!O15+'[4]사업장별(누계)'!O15</f>
        <v>5164.2214940000003</v>
      </c>
      <c r="P15" s="47">
        <f>+'사업장별(당월)'!P15+'[4]사업장별(누계)'!P15</f>
        <v>6027.519335</v>
      </c>
      <c r="Q15" s="48">
        <f t="shared" si="4"/>
        <v>863.29784099999961</v>
      </c>
      <c r="R15" s="49">
        <f>+'사업장별(당월)'!R15+'[4]사업장별(누계)'!R15</f>
        <v>6747.5580719999998</v>
      </c>
      <c r="S15" s="50">
        <f t="shared" si="5"/>
        <v>-720.03873699999986</v>
      </c>
      <c r="T15" s="46">
        <f>+'사업장별(당월)'!T15+'[4]사업장별(누계)'!T15</f>
        <v>647.48811051391272</v>
      </c>
      <c r="U15" s="47">
        <f>+'사업장별(당월)'!U15+'[4]사업장별(누계)'!U15</f>
        <v>650.81402700000012</v>
      </c>
      <c r="V15" s="48">
        <f t="shared" si="6"/>
        <v>3.325916486087408</v>
      </c>
      <c r="W15" s="49">
        <f>+'사업장별(당월)'!W15+'[4]사업장별(누계)'!W15</f>
        <v>1154.4805729999998</v>
      </c>
      <c r="X15" s="50">
        <f t="shared" si="7"/>
        <v>-503.6665459999997</v>
      </c>
      <c r="Y15" s="46">
        <f>+[11]양산!$Q$85</f>
        <v>96527.504560747664</v>
      </c>
      <c r="Z15" s="47">
        <f>+[11]양산!$R$85</f>
        <v>93793.093100336118</v>
      </c>
      <c r="AA15" s="51">
        <f>+[12]양산!$Q$85</f>
        <v>93666.996347475855</v>
      </c>
      <c r="AB15" s="52">
        <f>+[11]양산!$Q$89</f>
        <v>71179.418090082632</v>
      </c>
      <c r="AC15" s="47">
        <f>+[11]양산!$R$89</f>
        <v>72858.368679010426</v>
      </c>
      <c r="AD15" s="53">
        <f>+[12]양산!$Q$89</f>
        <v>67613.572350972681</v>
      </c>
      <c r="AE15" s="52">
        <f t="shared" si="8"/>
        <v>25348.086470665032</v>
      </c>
      <c r="AF15" s="47">
        <f t="shared" si="8"/>
        <v>20934.724421325693</v>
      </c>
      <c r="AG15" s="53">
        <f t="shared" si="8"/>
        <v>26053.423996503174</v>
      </c>
      <c r="AH15" s="18"/>
      <c r="AI15" s="19">
        <v>6.5081402700000011</v>
      </c>
      <c r="AJ15" s="97"/>
    </row>
    <row r="16" spans="2:36" s="8" customFormat="1" ht="19.5" customHeight="1" x14ac:dyDescent="0.3">
      <c r="B16" s="8" t="s">
        <v>30</v>
      </c>
      <c r="F16" s="9">
        <f t="shared" si="2"/>
        <v>1.1330222018313001</v>
      </c>
      <c r="G16" s="9">
        <f t="shared" si="0"/>
        <v>1.1069634146341463</v>
      </c>
      <c r="H16" s="80"/>
      <c r="I16" s="81" t="s">
        <v>30</v>
      </c>
      <c r="J16" s="46">
        <f>+'사업장별(당월)'!J16+'[4]사업장별(누계)'!J16</f>
        <v>82</v>
      </c>
      <c r="K16" s="47">
        <f>+'사업장별(당월)'!K16+'[4]사업장별(누계)'!K16</f>
        <v>90.770999999999987</v>
      </c>
      <c r="L16" s="48">
        <f t="shared" si="1"/>
        <v>8.7709999999999866</v>
      </c>
      <c r="M16" s="49">
        <f>+'사업장별(당월)'!M16+'[4]사업장별(누계)'!M16</f>
        <v>102.04400000000001</v>
      </c>
      <c r="N16" s="50">
        <f t="shared" si="3"/>
        <v>-11.273000000000025</v>
      </c>
      <c r="O16" s="46">
        <f>+'사업장별(당월)'!O16+'[4]사업장별(누계)'!O16</f>
        <v>8204.1380000000008</v>
      </c>
      <c r="P16" s="47">
        <f>+'사업장별(당월)'!P16+'[4]사업장별(누계)'!P16</f>
        <v>9261.8741499999996</v>
      </c>
      <c r="Q16" s="48">
        <f t="shared" si="4"/>
        <v>1057.7361499999988</v>
      </c>
      <c r="R16" s="49">
        <f>+'사업장별(당월)'!R16+'[4]사업장별(누계)'!R16</f>
        <v>9577.4531000000006</v>
      </c>
      <c r="S16" s="50">
        <f t="shared" si="5"/>
        <v>-315.57895000000099</v>
      </c>
      <c r="T16" s="46">
        <f>+'사업장별(당월)'!T16+'[4]사업장별(누계)'!T16</f>
        <v>1326.0222231935572</v>
      </c>
      <c r="U16" s="47">
        <f>+'사업장별(당월)'!U16+'[4]사업장별(누계)'!U16</f>
        <v>1502.4126189999999</v>
      </c>
      <c r="V16" s="48">
        <f t="shared" si="6"/>
        <v>176.39039580644271</v>
      </c>
      <c r="W16" s="49">
        <f>+'사업장별(당월)'!W16+'[4]사업장별(누계)'!W16</f>
        <v>1885.3213729999993</v>
      </c>
      <c r="X16" s="50">
        <f t="shared" si="7"/>
        <v>-382.90875399999936</v>
      </c>
      <c r="Y16" s="46">
        <f>+[11]창원!$Q$85</f>
        <v>100050.46341463416</v>
      </c>
      <c r="Z16" s="47">
        <f>+[11]창원!$R$85</f>
        <v>102035.60773815426</v>
      </c>
      <c r="AA16" s="51">
        <f>+[12]창원!$Q$85</f>
        <v>93856.112069303432</v>
      </c>
      <c r="AB16" s="52">
        <f>+[11]창원!$Q$89</f>
        <v>72148.996556159284</v>
      </c>
      <c r="AC16" s="47">
        <f>+[11]창원!$R$89</f>
        <v>75019.240554294913</v>
      </c>
      <c r="AD16" s="53">
        <f>+[12]창원!$Q$89</f>
        <v>66518.157226294541</v>
      </c>
      <c r="AE16" s="52">
        <f t="shared" si="8"/>
        <v>27901.466858474872</v>
      </c>
      <c r="AF16" s="47">
        <f t="shared" si="8"/>
        <v>27016.367183859344</v>
      </c>
      <c r="AG16" s="53">
        <f t="shared" si="8"/>
        <v>27337.954843008891</v>
      </c>
      <c r="AH16" s="18"/>
      <c r="AI16" s="19">
        <v>15.024126189999999</v>
      </c>
      <c r="AJ16" s="97"/>
    </row>
    <row r="17" spans="2:38" s="8" customFormat="1" ht="19.5" customHeight="1" x14ac:dyDescent="0.3">
      <c r="B17" s="8" t="s">
        <v>87</v>
      </c>
      <c r="F17" s="9">
        <f t="shared" si="2"/>
        <v>1.0982908944268317</v>
      </c>
      <c r="G17" s="9">
        <f t="shared" si="0"/>
        <v>1.0891776315789474</v>
      </c>
      <c r="H17" s="80"/>
      <c r="I17" s="81" t="s">
        <v>87</v>
      </c>
      <c r="J17" s="46">
        <f>+'사업장별(당월)'!J17+'[4]사업장별(누계)'!J17</f>
        <v>76</v>
      </c>
      <c r="K17" s="47">
        <f>+'사업장별(당월)'!K17+'[4]사업장별(누계)'!K17</f>
        <v>82.777500000000003</v>
      </c>
      <c r="L17" s="48">
        <f t="shared" si="1"/>
        <v>6.7775000000000034</v>
      </c>
      <c r="M17" s="49">
        <f>+'사업장별(당월)'!M17+'[4]사업장별(누계)'!M17</f>
        <v>105.02</v>
      </c>
      <c r="N17" s="50">
        <f t="shared" si="3"/>
        <v>-22.242499999999993</v>
      </c>
      <c r="O17" s="46">
        <f>+'사업장별(당월)'!O17+'[4]사업장별(누계)'!O17</f>
        <v>7432.1399999999994</v>
      </c>
      <c r="P17" s="47">
        <f>+'사업장별(당월)'!P17+'[4]사업장별(누계)'!P17</f>
        <v>8334.4383419999995</v>
      </c>
      <c r="Q17" s="48">
        <f t="shared" si="4"/>
        <v>902.29834200000005</v>
      </c>
      <c r="R17" s="49">
        <f>+'사업장별(당월)'!R17+'[4]사업장별(누계)'!R17</f>
        <v>9646.4334500000004</v>
      </c>
      <c r="S17" s="50">
        <f t="shared" si="5"/>
        <v>-1311.995108000001</v>
      </c>
      <c r="T17" s="46">
        <f>+'사업장별(당월)'!T17+'[4]사업장별(누계)'!T17</f>
        <v>1194.1500604759622</v>
      </c>
      <c r="U17" s="47">
        <f>+'사업장별(당월)'!U17+'[4]사업장별(누계)'!U17</f>
        <v>1311.5241379999998</v>
      </c>
      <c r="V17" s="48">
        <f t="shared" si="6"/>
        <v>117.3740775240376</v>
      </c>
      <c r="W17" s="49">
        <f>+'사업장별(당월)'!W17+'[4]사업장별(누계)'!W17</f>
        <v>1842.1610370000001</v>
      </c>
      <c r="X17" s="50">
        <f t="shared" si="7"/>
        <v>-530.63689900000031</v>
      </c>
      <c r="Y17" s="46">
        <f>+[11]대구!$Q$85</f>
        <v>97791.31578947368</v>
      </c>
      <c r="Z17" s="47">
        <f>+[11]대구!$R$85</f>
        <v>100684.82790613391</v>
      </c>
      <c r="AA17" s="51">
        <f>+[12]대구!$Q$85</f>
        <v>91851.777851901279</v>
      </c>
      <c r="AB17" s="52">
        <f>+[11]대구!$Q$89</f>
        <v>70357.877583853668</v>
      </c>
      <c r="AC17" s="47">
        <f>+[11]대구!$R$89</f>
        <v>74578.545833408833</v>
      </c>
      <c r="AD17" s="53">
        <f>+[12]대구!$Q$89</f>
        <v>66108.886873904092</v>
      </c>
      <c r="AE17" s="52">
        <f t="shared" si="8"/>
        <v>27433.438205620012</v>
      </c>
      <c r="AF17" s="47">
        <f t="shared" si="8"/>
        <v>26106.28207272508</v>
      </c>
      <c r="AG17" s="53">
        <f t="shared" si="8"/>
        <v>25742.890977997187</v>
      </c>
      <c r="AH17" s="18"/>
      <c r="AI17" s="19">
        <v>13.115241379999997</v>
      </c>
      <c r="AJ17" s="97"/>
    </row>
    <row r="18" spans="2:38" s="8" customFormat="1" ht="19.5" customHeight="1" x14ac:dyDescent="0.3">
      <c r="B18" s="8" t="s">
        <v>88</v>
      </c>
      <c r="F18" s="9">
        <f t="shared" si="2"/>
        <v>15.341932052917455</v>
      </c>
      <c r="G18" s="9">
        <f t="shared" si="0"/>
        <v>1.1876911764705884</v>
      </c>
      <c r="H18" s="80"/>
      <c r="I18" s="83" t="s">
        <v>88</v>
      </c>
      <c r="J18" s="10">
        <f>+'사업장별(당월)'!J18+'[4]사업장별(누계)'!J18</f>
        <v>34</v>
      </c>
      <c r="K18" s="11">
        <f>+'사업장별(당월)'!K18+'[4]사업장별(누계)'!K18</f>
        <v>40.381500000000003</v>
      </c>
      <c r="L18" s="12">
        <f t="shared" si="1"/>
        <v>6.3815000000000026</v>
      </c>
      <c r="M18" s="13">
        <f>+'사업장별(당월)'!M18+'[4]사업장별(누계)'!M18</f>
        <v>47.900000000000006</v>
      </c>
      <c r="N18" s="14">
        <f t="shared" si="3"/>
        <v>-7.5185000000000031</v>
      </c>
      <c r="O18" s="10">
        <f>+'사업장별(당월)'!O18+'[4]사업장별(누계)'!O18</f>
        <v>3362.8513600000001</v>
      </c>
      <c r="P18" s="11">
        <f>+'사업장별(당월)'!P18+'[4]사업장별(누계)'!P18</f>
        <v>4177.3492420000002</v>
      </c>
      <c r="Q18" s="12">
        <f t="shared" si="4"/>
        <v>814.49788200000012</v>
      </c>
      <c r="R18" s="13">
        <f>+'사업장별(당월)'!R18+'[4]사업장별(누계)'!R18</f>
        <v>4496.8904499999999</v>
      </c>
      <c r="S18" s="14">
        <f t="shared" si="5"/>
        <v>-319.54120799999964</v>
      </c>
      <c r="T18" s="10">
        <f>+'사업장별(당월)'!T18+'[4]사업장별(누계)'!T18</f>
        <v>18.435367007522103</v>
      </c>
      <c r="U18" s="11">
        <f>+'사업장별(당월)'!U18+'[4]사업장별(누계)'!U18</f>
        <v>282.83414800000031</v>
      </c>
      <c r="V18" s="12">
        <f t="shared" si="6"/>
        <v>264.39878099247824</v>
      </c>
      <c r="W18" s="13">
        <f>+'사업장별(당월)'!W18+'[4]사업장별(누계)'!W18</f>
        <v>360.88302100000016</v>
      </c>
      <c r="X18" s="14">
        <f t="shared" si="7"/>
        <v>-78.048872999999844</v>
      </c>
      <c r="Y18" s="10">
        <f>+[11]울산!$Q$85</f>
        <v>98907.392941176469</v>
      </c>
      <c r="Z18" s="11">
        <f>+[11]울산!$R$85</f>
        <v>103447.10429280736</v>
      </c>
      <c r="AA18" s="15">
        <f>+[12]울산!$Q$85</f>
        <v>93897.44946254653</v>
      </c>
      <c r="AB18" s="16">
        <f>+[11]울산!$Q$89</f>
        <v>78396.575389151301</v>
      </c>
      <c r="AC18" s="11">
        <f>+[11]울산!$R$89</f>
        <v>80952.083216826475</v>
      </c>
      <c r="AD18" s="17">
        <f>+[12]울산!$Q$89</f>
        <v>72812.394041124615</v>
      </c>
      <c r="AE18" s="16">
        <f t="shared" si="8"/>
        <v>20510.817552025168</v>
      </c>
      <c r="AF18" s="11">
        <f t="shared" si="8"/>
        <v>22495.021075980883</v>
      </c>
      <c r="AG18" s="17">
        <f t="shared" si="8"/>
        <v>21085.055421421916</v>
      </c>
      <c r="AH18" s="18"/>
      <c r="AI18" s="19">
        <v>2.8283414800000033</v>
      </c>
      <c r="AJ18" s="97"/>
    </row>
    <row r="19" spans="2:38" s="8" customFormat="1" ht="19.5" customHeight="1" x14ac:dyDescent="0.3">
      <c r="B19" s="8" t="s">
        <v>93</v>
      </c>
      <c r="F19" s="9">
        <f t="shared" si="2"/>
        <v>1.2594769920728195</v>
      </c>
      <c r="G19" s="9">
        <f t="shared" si="0"/>
        <v>1.2713398058252425</v>
      </c>
      <c r="H19" s="80"/>
      <c r="I19" s="81" t="s">
        <v>31</v>
      </c>
      <c r="J19" s="46">
        <f>+'사업장별(당월)'!J19+'[4]사업장별(누계)'!J19</f>
        <v>103</v>
      </c>
      <c r="K19" s="47">
        <f>+'사업장별(당월)'!K19+'[4]사업장별(누계)'!K19</f>
        <v>130.94799999999998</v>
      </c>
      <c r="L19" s="48">
        <f t="shared" si="1"/>
        <v>27.947999999999979</v>
      </c>
      <c r="M19" s="49">
        <f>+'사업장별(당월)'!M19+'[4]사업장별(누계)'!M19</f>
        <v>133.69200000000001</v>
      </c>
      <c r="N19" s="50">
        <f t="shared" si="3"/>
        <v>-2.7440000000000282</v>
      </c>
      <c r="O19" s="46">
        <f>+'사업장별(당월)'!O19+'[4]사업장별(누계)'!O19</f>
        <v>10402.9917</v>
      </c>
      <c r="P19" s="47">
        <f>+'사업장별(당월)'!P19+'[4]사업장별(누계)'!P19</f>
        <v>13357.753432000001</v>
      </c>
      <c r="Q19" s="48">
        <f t="shared" si="4"/>
        <v>2954.7617320000008</v>
      </c>
      <c r="R19" s="49">
        <f>+'사업장별(당월)'!R19+'[4]사업장별(누계)'!R19</f>
        <v>12639.411692</v>
      </c>
      <c r="S19" s="50">
        <f t="shared" si="5"/>
        <v>718.34174000000166</v>
      </c>
      <c r="T19" s="46">
        <f>+'사업장별(당월)'!T19+'[4]사업장별(누계)'!T19</f>
        <v>1429.5102763543805</v>
      </c>
      <c r="U19" s="47">
        <f>+'사업장별(당월)'!U19+'[4]사업장별(누계)'!U19</f>
        <v>1800.4353030000002</v>
      </c>
      <c r="V19" s="48">
        <f t="shared" si="6"/>
        <v>370.92502664561971</v>
      </c>
      <c r="W19" s="49">
        <f>+'사업장별(당월)'!W19+'[4]사업장별(누계)'!W19</f>
        <v>2301.4077269999998</v>
      </c>
      <c r="X19" s="50">
        <f t="shared" si="7"/>
        <v>-500.97242399999959</v>
      </c>
      <c r="Y19" s="46">
        <f>+[11]아산!$Q$85</f>
        <v>100999.91941747573</v>
      </c>
      <c r="Z19" s="47">
        <f>+[11]아산!$R$85</f>
        <v>101935.93301870086</v>
      </c>
      <c r="AA19" s="51">
        <f>+[12]아산!$Q$85</f>
        <v>94630.713929250531</v>
      </c>
      <c r="AB19" s="52">
        <f>+[11]아산!$Q$89</f>
        <v>76585.888892937583</v>
      </c>
      <c r="AC19" s="47">
        <f>+[11]아산!$R$89</f>
        <v>78459.870519047647</v>
      </c>
      <c r="AD19" s="53">
        <f>+[12]아산!$Q$89</f>
        <v>68111.87852948725</v>
      </c>
      <c r="AE19" s="52">
        <f t="shared" si="8"/>
        <v>24414.030524538146</v>
      </c>
      <c r="AF19" s="47">
        <f t="shared" si="8"/>
        <v>23476.062499653213</v>
      </c>
      <c r="AG19" s="53">
        <f t="shared" si="8"/>
        <v>26518.83539976328</v>
      </c>
      <c r="AH19" s="18"/>
      <c r="AI19" s="19">
        <v>18.004353030000001</v>
      </c>
      <c r="AJ19" s="97"/>
    </row>
    <row r="20" spans="2:38" s="8" customFormat="1" ht="19.5" customHeight="1" x14ac:dyDescent="0.3">
      <c r="B20" s="8" t="s">
        <v>89</v>
      </c>
      <c r="F20" s="9">
        <f t="shared" si="2"/>
        <v>0.30558743706586922</v>
      </c>
      <c r="G20" s="9">
        <f t="shared" si="0"/>
        <v>0.71304464285714275</v>
      </c>
      <c r="H20" s="80"/>
      <c r="I20" s="81" t="s">
        <v>89</v>
      </c>
      <c r="J20" s="46">
        <f>+'사업장별(당월)'!J20+'[4]사업장별(누계)'!J20</f>
        <v>56</v>
      </c>
      <c r="K20" s="47">
        <f>+'사업장별(당월)'!K20+'[4]사업장별(누계)'!K20</f>
        <v>39.930499999999995</v>
      </c>
      <c r="L20" s="48">
        <f t="shared" si="1"/>
        <v>-16.069500000000005</v>
      </c>
      <c r="M20" s="49">
        <f>+'사업장별(당월)'!M20+'[4]사업장별(누계)'!M20</f>
        <v>52.610500000000002</v>
      </c>
      <c r="N20" s="50">
        <f t="shared" si="3"/>
        <v>-12.680000000000007</v>
      </c>
      <c r="O20" s="46">
        <f>+'사업장별(당월)'!O20+'[4]사업장별(누계)'!O20</f>
        <v>5751.4434270000002</v>
      </c>
      <c r="P20" s="47">
        <f>+'사업장별(당월)'!P20+'[4]사업장별(누계)'!P20</f>
        <v>3846.4986979999999</v>
      </c>
      <c r="Q20" s="48">
        <f t="shared" si="4"/>
        <v>-1904.9447290000003</v>
      </c>
      <c r="R20" s="49">
        <f>+'사업장별(당월)'!R20+'[4]사업장별(누계)'!R20</f>
        <v>4937.1903340000008</v>
      </c>
      <c r="S20" s="50">
        <f t="shared" si="5"/>
        <v>-1090.6916360000009</v>
      </c>
      <c r="T20" s="46">
        <f>+'사업장별(당월)'!T20+'[4]사업장별(누계)'!T20</f>
        <v>858.54945647994055</v>
      </c>
      <c r="U20" s="47">
        <f>+'사업장별(당월)'!U20+'[4]사업장별(누계)'!U20</f>
        <v>262.36192800000003</v>
      </c>
      <c r="V20" s="48">
        <f t="shared" si="6"/>
        <v>-596.18752847994051</v>
      </c>
      <c r="W20" s="49">
        <f>+'사업장별(당월)'!W20+'[4]사업장별(누계)'!W20</f>
        <v>632.26159500000017</v>
      </c>
      <c r="X20" s="50">
        <f t="shared" si="7"/>
        <v>-369.89966700000014</v>
      </c>
      <c r="Y20" s="46">
        <f>+[11]전주!$Q$85</f>
        <v>102704.34691071429</v>
      </c>
      <c r="Z20" s="47">
        <f>+[11]전주!$R$85</f>
        <v>96333.025805562167</v>
      </c>
      <c r="AA20" s="51">
        <f>+[12]전주!$Q$85</f>
        <v>93937.212757554458</v>
      </c>
      <c r="AB20" s="52">
        <f>+[11]전주!$Q$89</f>
        <v>74069.225706135127</v>
      </c>
      <c r="AC20" s="47">
        <f>+[11]전주!$R$89</f>
        <v>71532.534705078884</v>
      </c>
      <c r="AD20" s="53">
        <f>+[12]전주!$Q$89</f>
        <v>67789.552849835774</v>
      </c>
      <c r="AE20" s="52">
        <f t="shared" si="8"/>
        <v>28635.121204579162</v>
      </c>
      <c r="AF20" s="47">
        <f t="shared" si="8"/>
        <v>24800.491100483283</v>
      </c>
      <c r="AG20" s="53">
        <f t="shared" si="8"/>
        <v>26147.659907718684</v>
      </c>
      <c r="AH20" s="18"/>
      <c r="AI20" s="19">
        <v>2.6236192800000002</v>
      </c>
      <c r="AJ20" s="97"/>
    </row>
    <row r="21" spans="2:38" s="8" customFormat="1" ht="19.5" customHeight="1" x14ac:dyDescent="0.3">
      <c r="B21" s="8" t="s">
        <v>90</v>
      </c>
      <c r="F21" s="9">
        <f t="shared" si="2"/>
        <v>1.6562430623724855</v>
      </c>
      <c r="G21" s="9">
        <f t="shared" si="0"/>
        <v>1.429704918032787</v>
      </c>
      <c r="H21" s="80"/>
      <c r="I21" s="81" t="s">
        <v>90</v>
      </c>
      <c r="J21" s="46">
        <f>+'사업장별(당월)'!J21+'[4]사업장별(누계)'!J21</f>
        <v>30.5</v>
      </c>
      <c r="K21" s="47">
        <f>+'사업장별(당월)'!K21+'[4]사업장별(누계)'!K21</f>
        <v>43.606000000000002</v>
      </c>
      <c r="L21" s="48">
        <f t="shared" si="1"/>
        <v>13.106000000000002</v>
      </c>
      <c r="M21" s="49">
        <f>+'사업장별(당월)'!M21+'[4]사업장별(누계)'!M21</f>
        <v>42.802999999999997</v>
      </c>
      <c r="N21" s="50">
        <f t="shared" si="3"/>
        <v>0.80300000000000438</v>
      </c>
      <c r="O21" s="46">
        <f>+'사업장별(당월)'!O21+'[4]사업장별(누계)'!O21</f>
        <v>3327.8844010000003</v>
      </c>
      <c r="P21" s="47">
        <f>+'사업장별(당월)'!P21+'[4]사업장별(누계)'!P21</f>
        <v>4802.1134900000006</v>
      </c>
      <c r="Q21" s="48">
        <f t="shared" si="4"/>
        <v>1474.2290890000004</v>
      </c>
      <c r="R21" s="49">
        <f>+'사업장별(당월)'!R21+'[4]사업장별(누계)'!R21</f>
        <v>4117.1130119999998</v>
      </c>
      <c r="S21" s="50">
        <f t="shared" si="5"/>
        <v>685.00047800000084</v>
      </c>
      <c r="T21" s="46">
        <f>+'사업장별(당월)'!T21+'[4]사업장별(누계)'!T21</f>
        <v>796.03089664353274</v>
      </c>
      <c r="U21" s="47">
        <f>+'사업장별(당월)'!U21+'[4]사업장별(누계)'!U21</f>
        <v>1318.4206500000003</v>
      </c>
      <c r="V21" s="48">
        <f t="shared" si="6"/>
        <v>522.38975335646751</v>
      </c>
      <c r="W21" s="49">
        <f>+'사업장별(당월)'!W21+'[4]사업장별(누계)'!W21</f>
        <v>971.87315100000001</v>
      </c>
      <c r="X21" s="50">
        <f t="shared" si="7"/>
        <v>346.54749900000024</v>
      </c>
      <c r="Y21" s="46">
        <f>+[11]군산!$Q$85</f>
        <v>109110.96396721313</v>
      </c>
      <c r="Z21" s="47">
        <f>+[11]군산!$R$85</f>
        <v>110136.00500551065</v>
      </c>
      <c r="AA21" s="51">
        <f>+[12]군산!$Q$85</f>
        <v>96092.708147228128</v>
      </c>
      <c r="AB21" s="52">
        <f>+[11]군산!$Q$89</f>
        <v>69719.176369854671</v>
      </c>
      <c r="AC21" s="47">
        <f>+[11]군산!$R$89</f>
        <v>70761.154300013775</v>
      </c>
      <c r="AD21" s="53">
        <f>+[12]군산!$Q$89</f>
        <v>63332.933928699349</v>
      </c>
      <c r="AE21" s="52">
        <f t="shared" si="8"/>
        <v>39391.78759735846</v>
      </c>
      <c r="AF21" s="47">
        <f t="shared" si="8"/>
        <v>39374.85070549688</v>
      </c>
      <c r="AG21" s="53">
        <f t="shared" si="8"/>
        <v>32759.774218528779</v>
      </c>
      <c r="AH21" s="18"/>
      <c r="AI21" s="19">
        <v>13.184206500000002</v>
      </c>
      <c r="AJ21" s="97"/>
    </row>
    <row r="22" spans="2:38" s="8" customFormat="1" ht="19.5" customHeight="1" x14ac:dyDescent="0.3">
      <c r="B22" s="8" t="s">
        <v>91</v>
      </c>
      <c r="F22" s="9">
        <f t="shared" si="2"/>
        <v>1.4813236330553716</v>
      </c>
      <c r="G22" s="9">
        <f t="shared" si="0"/>
        <v>1.1069799999999999</v>
      </c>
      <c r="H22" s="80"/>
      <c r="I22" s="81" t="s">
        <v>91</v>
      </c>
      <c r="J22" s="46">
        <f>+'사업장별(당월)'!J22+'[4]사업장별(누계)'!J22</f>
        <v>25</v>
      </c>
      <c r="K22" s="47">
        <f>+'사업장별(당월)'!K22+'[4]사업장별(누계)'!K22</f>
        <v>27.674499999999998</v>
      </c>
      <c r="L22" s="48">
        <f t="shared" si="1"/>
        <v>2.6744999999999983</v>
      </c>
      <c r="M22" s="49">
        <f>+'사업장별(당월)'!M22+'[4]사업장별(누계)'!M22</f>
        <v>21.852499999999999</v>
      </c>
      <c r="N22" s="50">
        <f t="shared" si="3"/>
        <v>5.8219999999999992</v>
      </c>
      <c r="O22" s="46">
        <f>+'사업장별(당월)'!O22+'[4]사업장별(누계)'!O22</f>
        <v>2697.5</v>
      </c>
      <c r="P22" s="47">
        <f>+'사업장별(당월)'!P22+'[4]사업장별(누계)'!P22</f>
        <v>3083.4445449999998</v>
      </c>
      <c r="Q22" s="48">
        <f t="shared" si="4"/>
        <v>385.94454499999983</v>
      </c>
      <c r="R22" s="49">
        <f>+'사업장별(당월)'!R22+'[4]사업장별(누계)'!R22</f>
        <v>2205.5167179999999</v>
      </c>
      <c r="S22" s="50">
        <f t="shared" si="5"/>
        <v>877.92782699999998</v>
      </c>
      <c r="T22" s="46">
        <f>+'사업장별(당월)'!T22+'[4]사업장별(누계)'!T22</f>
        <v>416.64632712771254</v>
      </c>
      <c r="U22" s="47">
        <f>+'사업장별(당월)'!U22+'[4]사업장별(누계)'!U22</f>
        <v>617.18805099999997</v>
      </c>
      <c r="V22" s="48">
        <f t="shared" si="6"/>
        <v>200.54172387228743</v>
      </c>
      <c r="W22" s="49">
        <f>+'사업장별(당월)'!W22+'[4]사업장별(누계)'!W22</f>
        <v>347.13973499999997</v>
      </c>
      <c r="X22" s="50">
        <f t="shared" si="7"/>
        <v>270.048316</v>
      </c>
      <c r="Y22" s="46">
        <f>+[11]원주!$Q$85</f>
        <v>107900</v>
      </c>
      <c r="Z22" s="47">
        <f>+[11]원주!$R$85</f>
        <v>111428.10068194562</v>
      </c>
      <c r="AA22" s="51">
        <f>+[12]원주!$Q$85</f>
        <v>100920.66434742539</v>
      </c>
      <c r="AB22" s="52">
        <f>+[11]원주!$Q$89</f>
        <v>73817.112688143156</v>
      </c>
      <c r="AC22" s="47">
        <f>+[11]원주!$R$89</f>
        <v>73028.892317710706</v>
      </c>
      <c r="AD22" s="53">
        <f>+[12]원주!$Q$89</f>
        <v>66254.139622728413</v>
      </c>
      <c r="AE22" s="52">
        <f t="shared" si="8"/>
        <v>34082.887311856844</v>
      </c>
      <c r="AF22" s="47">
        <f t="shared" si="8"/>
        <v>38399.208364234917</v>
      </c>
      <c r="AG22" s="53">
        <f t="shared" si="8"/>
        <v>34666.524724696981</v>
      </c>
      <c r="AH22" s="18"/>
      <c r="AI22" s="19">
        <v>6.1718805099999994</v>
      </c>
      <c r="AJ22" s="97"/>
    </row>
    <row r="23" spans="2:38" s="8" customFormat="1" ht="19.5" customHeight="1" x14ac:dyDescent="0.3">
      <c r="B23" s="8" t="s">
        <v>92</v>
      </c>
      <c r="F23" s="9">
        <f t="shared" si="2"/>
        <v>0.57649069849021639</v>
      </c>
      <c r="G23" s="9">
        <f>+K23/J23</f>
        <v>0.69918749999999996</v>
      </c>
      <c r="H23" s="80"/>
      <c r="I23" s="81" t="s">
        <v>92</v>
      </c>
      <c r="J23" s="46">
        <f>+'사업장별(당월)'!J23+'[4]사업장별(누계)'!J23</f>
        <v>24</v>
      </c>
      <c r="K23" s="47">
        <f>+'사업장별(당월)'!K23+'[4]사업장별(누계)'!K23</f>
        <v>16.7805</v>
      </c>
      <c r="L23" s="48">
        <f t="shared" si="1"/>
        <v>-7.2195</v>
      </c>
      <c r="M23" s="49">
        <f>+'사업장별(당월)'!M23+'[4]사업장별(누계)'!M23</f>
        <v>38.414000000000001</v>
      </c>
      <c r="N23" s="50">
        <f t="shared" si="3"/>
        <v>-21.633500000000002</v>
      </c>
      <c r="O23" s="46">
        <f>+'사업장별(당월)'!O23+'[4]사업장별(누계)'!O23</f>
        <v>3041.4000000000005</v>
      </c>
      <c r="P23" s="47">
        <f>+'사업장별(당월)'!P23+'[4]사업장별(누계)'!P23</f>
        <v>2145.02619</v>
      </c>
      <c r="Q23" s="48">
        <f t="shared" si="4"/>
        <v>-896.3738100000005</v>
      </c>
      <c r="R23" s="49">
        <f>+'사업장별(당월)'!R23+'[4]사업장별(누계)'!R23</f>
        <v>4552.3665780000001</v>
      </c>
      <c r="S23" s="50">
        <f t="shared" si="5"/>
        <v>-2407.3403880000001</v>
      </c>
      <c r="T23" s="46">
        <f>+'사업장별(당월)'!T23+'[4]사업장별(누계)'!T23</f>
        <v>395.69298446169353</v>
      </c>
      <c r="U23" s="47">
        <f>+'사업장별(당월)'!U23+'[4]사업장별(누계)'!U23</f>
        <v>228.11332500000003</v>
      </c>
      <c r="V23" s="48">
        <f t="shared" si="6"/>
        <v>-167.5796594616935</v>
      </c>
      <c r="W23" s="49">
        <f>+'사업장별(당월)'!W23+'[4]사업장별(누계)'!W23</f>
        <v>1015.8120390000001</v>
      </c>
      <c r="X23" s="50">
        <f t="shared" si="7"/>
        <v>-787.69871400000011</v>
      </c>
      <c r="Y23" s="46">
        <f>+[11]제주!$Q$85</f>
        <v>126725</v>
      </c>
      <c r="Z23" s="47">
        <f>+[11]제주!$R$85</f>
        <v>127828.50272637884</v>
      </c>
      <c r="AA23" s="51">
        <f>+[12]제주!$Q$85</f>
        <v>118556.18123557724</v>
      </c>
      <c r="AB23" s="52">
        <f>+[11]제주!$Q$89</f>
        <v>90122.364921037602</v>
      </c>
      <c r="AC23" s="47">
        <f>+[11]제주!$R$89</f>
        <v>88722.121239175074</v>
      </c>
      <c r="AD23" s="53">
        <f>+[12]제주!$Q$89</f>
        <v>81217.30871978795</v>
      </c>
      <c r="AE23" s="52">
        <f t="shared" si="8"/>
        <v>36602.635078962398</v>
      </c>
      <c r="AF23" s="47">
        <f t="shared" si="8"/>
        <v>39106.381487203762</v>
      </c>
      <c r="AG23" s="53">
        <f t="shared" si="8"/>
        <v>37338.872515789291</v>
      </c>
      <c r="AH23" s="18"/>
      <c r="AI23" s="19">
        <v>2.2811332500000003</v>
      </c>
      <c r="AJ23" s="97"/>
    </row>
    <row r="24" spans="2:38" s="8" customFormat="1" ht="19.5" customHeight="1" x14ac:dyDescent="0.3">
      <c r="F24" s="9">
        <f t="shared" si="2"/>
        <v>0.83013103228328522</v>
      </c>
      <c r="G24" s="9">
        <f t="shared" ref="G24:G26" si="9">+K24/J24</f>
        <v>0.99999537465309907</v>
      </c>
      <c r="H24" s="80"/>
      <c r="I24" s="84" t="s">
        <v>55</v>
      </c>
      <c r="J24" s="23">
        <f>SUM(J7:J10)</f>
        <v>540.5</v>
      </c>
      <c r="K24" s="20">
        <f>SUM(K7:K10)</f>
        <v>540.49750000000006</v>
      </c>
      <c r="L24" s="21">
        <f t="shared" si="1"/>
        <v>-2.4999999999408828E-3</v>
      </c>
      <c r="M24" s="25">
        <f>SUM(M7:M10)</f>
        <v>624.7595</v>
      </c>
      <c r="N24" s="22">
        <f t="shared" si="3"/>
        <v>-84.261999999999944</v>
      </c>
      <c r="O24" s="23">
        <f>SUM(O7:O10)</f>
        <v>53450.337647666325</v>
      </c>
      <c r="P24" s="20">
        <f>SUM(P7:P10)</f>
        <v>53852.486430000004</v>
      </c>
      <c r="Q24" s="21">
        <f t="shared" si="4"/>
        <v>402.14878233367926</v>
      </c>
      <c r="R24" s="25">
        <f>SUM(R7:R10)</f>
        <v>56989.718674000003</v>
      </c>
      <c r="S24" s="22">
        <f t="shared" si="5"/>
        <v>-3137.2322439999989</v>
      </c>
      <c r="T24" s="23">
        <f>SUM(T7:T10)</f>
        <v>6106.5153486156087</v>
      </c>
      <c r="U24" s="20">
        <f>SUM(U7:U10)</f>
        <v>5069.2078900000006</v>
      </c>
      <c r="V24" s="21">
        <f t="shared" si="6"/>
        <v>-1037.3074586156081</v>
      </c>
      <c r="W24" s="25">
        <f>SUM(W7:W10)</f>
        <v>6719.0034279900019</v>
      </c>
      <c r="X24" s="22">
        <f t="shared" si="7"/>
        <v>-1649.7955379900013</v>
      </c>
      <c r="Y24" s="23">
        <f>+[11]수도권!$Q$85</f>
        <v>98890.541438790635</v>
      </c>
      <c r="Z24" s="20">
        <f>+[11]수도권!$R$85</f>
        <v>99645.836605806544</v>
      </c>
      <c r="AA24" s="24">
        <f>+[12]수도권!$Q$85</f>
        <v>91214.223097956055</v>
      </c>
      <c r="AB24" s="29">
        <f>+[11]수도권!$Q$89</f>
        <v>78421.442696560014</v>
      </c>
      <c r="AC24" s="20">
        <f>+[11]수도권!$R$89</f>
        <v>81200.926995184156</v>
      </c>
      <c r="AD24" s="30">
        <f>+[12]수도권!$Q$89</f>
        <v>72739.255858652949</v>
      </c>
      <c r="AE24" s="29">
        <f t="shared" si="8"/>
        <v>20469.098742230621</v>
      </c>
      <c r="AF24" s="20">
        <f t="shared" si="8"/>
        <v>18444.909610622388</v>
      </c>
      <c r="AG24" s="30">
        <f t="shared" si="8"/>
        <v>18474.967239303107</v>
      </c>
      <c r="AH24" s="18"/>
      <c r="AI24" s="19">
        <v>50.692078900000006</v>
      </c>
      <c r="AJ24" s="97"/>
    </row>
    <row r="25" spans="2:38" s="8" customFormat="1" ht="19.5" customHeight="1" x14ac:dyDescent="0.3">
      <c r="F25" s="9">
        <f t="shared" si="2"/>
        <v>0.96305606805876243</v>
      </c>
      <c r="G25" s="9">
        <f t="shared" si="9"/>
        <v>1.1236997497914929</v>
      </c>
      <c r="H25" s="80"/>
      <c r="I25" s="84" t="s">
        <v>56</v>
      </c>
      <c r="J25" s="23">
        <f>SUM(J11:J18)</f>
        <v>599.5</v>
      </c>
      <c r="K25" s="20">
        <f>SUM(K11:K18)</f>
        <v>673.65800000000002</v>
      </c>
      <c r="L25" s="21">
        <f t="shared" si="1"/>
        <v>74.158000000000015</v>
      </c>
      <c r="M25" s="25">
        <f>SUM(M11:M18)</f>
        <v>729.91750000000002</v>
      </c>
      <c r="N25" s="22">
        <f t="shared" si="3"/>
        <v>-56.259500000000003</v>
      </c>
      <c r="O25" s="23">
        <f>SUM(O11:O18)</f>
        <v>61087.996263249996</v>
      </c>
      <c r="P25" s="20">
        <f>SUM(P11:P18)</f>
        <v>68374.500979999997</v>
      </c>
      <c r="Q25" s="21">
        <f t="shared" si="4"/>
        <v>7286.5047167500015</v>
      </c>
      <c r="R25" s="25">
        <f>SUM(R11:R18)</f>
        <v>70416.953561999995</v>
      </c>
      <c r="S25" s="22">
        <f t="shared" si="5"/>
        <v>-2042.4525819999981</v>
      </c>
      <c r="T25" s="23">
        <f>SUM(T11:T18)</f>
        <v>8427.015800189949</v>
      </c>
      <c r="U25" s="20">
        <f>SUM(U11:U18)</f>
        <v>8115.6887019999976</v>
      </c>
      <c r="V25" s="21">
        <f t="shared" si="6"/>
        <v>-311.32709818995136</v>
      </c>
      <c r="W25" s="25">
        <f>SUM(W11:W18)</f>
        <v>11881.009684999997</v>
      </c>
      <c r="X25" s="22">
        <f t="shared" si="7"/>
        <v>-3765.3209829999996</v>
      </c>
      <c r="Y25" s="23">
        <f>+[11]영남권!$Q$85</f>
        <v>101898.24230733946</v>
      </c>
      <c r="Z25" s="20">
        <f>+[11]영남권!$R$85</f>
        <v>101514.23636685316</v>
      </c>
      <c r="AA25" s="24">
        <f>+[12]영남권!$Q$85</f>
        <v>96476.720646601912</v>
      </c>
      <c r="AB25" s="29">
        <f>+[11]영남권!$Q$89</f>
        <v>75590.454808807248</v>
      </c>
      <c r="AC25" s="20">
        <f>+[11]영남권!$R$89</f>
        <v>78843.798267227539</v>
      </c>
      <c r="AD25" s="30">
        <f>+[12]영남권!$Q$89</f>
        <v>70634.767173048123</v>
      </c>
      <c r="AE25" s="29">
        <f t="shared" si="8"/>
        <v>26307.787498532212</v>
      </c>
      <c r="AF25" s="20">
        <f t="shared" si="8"/>
        <v>22670.438099625622</v>
      </c>
      <c r="AG25" s="30">
        <f t="shared" si="8"/>
        <v>25841.953473553789</v>
      </c>
      <c r="AH25" s="18"/>
      <c r="AI25" s="19">
        <v>81.156887019999971</v>
      </c>
      <c r="AJ25" s="97"/>
    </row>
    <row r="26" spans="2:38" s="8" customFormat="1" ht="19.5" customHeight="1" x14ac:dyDescent="0.3">
      <c r="F26" s="9">
        <f t="shared" si="2"/>
        <v>1.084715834988766</v>
      </c>
      <c r="G26" s="9">
        <f t="shared" si="9"/>
        <v>1.0857002096436057</v>
      </c>
      <c r="H26" s="80"/>
      <c r="I26" s="84" t="s">
        <v>170</v>
      </c>
      <c r="J26" s="23">
        <f>SUM(J19:J23)</f>
        <v>238.5</v>
      </c>
      <c r="K26" s="20">
        <f>SUM(K19:K23)</f>
        <v>258.93949999999995</v>
      </c>
      <c r="L26" s="21">
        <f t="shared" si="1"/>
        <v>20.439499999999953</v>
      </c>
      <c r="M26" s="25">
        <f>SUM(M19:M23)</f>
        <v>289.37200000000001</v>
      </c>
      <c r="N26" s="22">
        <f t="shared" si="3"/>
        <v>-30.432500000000061</v>
      </c>
      <c r="O26" s="23">
        <f>SUM(O19:O23)</f>
        <v>25221.219528000001</v>
      </c>
      <c r="P26" s="20">
        <f>SUM(P19:P23)</f>
        <v>27234.836354999999</v>
      </c>
      <c r="Q26" s="21">
        <f t="shared" si="4"/>
        <v>2013.616826999998</v>
      </c>
      <c r="R26" s="25">
        <f>SUM(R19:R23)</f>
        <v>28451.598334000002</v>
      </c>
      <c r="S26" s="22">
        <f t="shared" si="5"/>
        <v>-1216.7619790000026</v>
      </c>
      <c r="T26" s="23">
        <f>SUM(T19:T23)</f>
        <v>3896.4299410672597</v>
      </c>
      <c r="U26" s="20">
        <f>SUM(U19:U23)</f>
        <v>4226.5192570000008</v>
      </c>
      <c r="V26" s="21">
        <f t="shared" si="6"/>
        <v>330.0893159327411</v>
      </c>
      <c r="W26" s="25">
        <f>SUM(W19:W23)</f>
        <v>5268.4942469999996</v>
      </c>
      <c r="X26" s="22">
        <f t="shared" si="7"/>
        <v>-1041.9749899999988</v>
      </c>
      <c r="Y26" s="23">
        <f>+[11]중부권!$Q$85</f>
        <v>105749.34812578617</v>
      </c>
      <c r="Z26" s="20">
        <f>+[11]중부권!$R$85</f>
        <v>105157.87152941449</v>
      </c>
      <c r="AA26" s="24">
        <f>+[12]중부권!$Q$85</f>
        <v>98475.30525607802</v>
      </c>
      <c r="AB26" s="29">
        <f>+[11]중부권!$Q$89</f>
        <v>76188.77421427751</v>
      </c>
      <c r="AC26" s="20">
        <f>+[11]중부권!$R$89</f>
        <v>76173.542190545471</v>
      </c>
      <c r="AD26" s="30">
        <f>+[12]중부권!$Q$89</f>
        <v>68974.064129604172</v>
      </c>
      <c r="AE26" s="29">
        <f t="shared" si="8"/>
        <v>29560.573911508662</v>
      </c>
      <c r="AF26" s="20">
        <f t="shared" si="8"/>
        <v>28984.329338869022</v>
      </c>
      <c r="AG26" s="30">
        <f t="shared" si="8"/>
        <v>29501.241126473848</v>
      </c>
      <c r="AH26" s="18"/>
      <c r="AI26" s="19">
        <v>42.265192570000011</v>
      </c>
      <c r="AJ26" s="97"/>
    </row>
    <row r="27" spans="2:38" s="3" customFormat="1" ht="19.5" customHeight="1" x14ac:dyDescent="0.3">
      <c r="B27" s="26"/>
      <c r="F27" s="9">
        <f t="shared" si="2"/>
        <v>0.94473427068532956</v>
      </c>
      <c r="G27" s="9">
        <f>+K27/J27</f>
        <v>1.0686216902430179</v>
      </c>
      <c r="H27" s="630" t="s">
        <v>115</v>
      </c>
      <c r="I27" s="631"/>
      <c r="J27" s="632">
        <f>SUM(J24:J26)</f>
        <v>1378.5</v>
      </c>
      <c r="K27" s="633">
        <f>SUM(K24:K26)</f>
        <v>1473.095</v>
      </c>
      <c r="L27" s="634">
        <f t="shared" si="1"/>
        <v>94.595000000000027</v>
      </c>
      <c r="M27" s="635">
        <f>SUM(M24:M26)</f>
        <v>1644.0490000000002</v>
      </c>
      <c r="N27" s="636">
        <f t="shared" si="3"/>
        <v>-170.95400000000018</v>
      </c>
      <c r="O27" s="632">
        <f>SUM(O24:O26)</f>
        <v>139759.55343891634</v>
      </c>
      <c r="P27" s="633">
        <f>SUM(P24:P26)</f>
        <v>149461.82376500001</v>
      </c>
      <c r="Q27" s="634">
        <f t="shared" si="4"/>
        <v>9702.2703260836715</v>
      </c>
      <c r="R27" s="635">
        <f>SUM(R24:R26)</f>
        <v>155858.27056999999</v>
      </c>
      <c r="S27" s="636">
        <f t="shared" si="5"/>
        <v>-6396.446804999985</v>
      </c>
      <c r="T27" s="632">
        <f>SUM(T24:T26)</f>
        <v>18429.961089872817</v>
      </c>
      <c r="U27" s="633">
        <f>SUM(U24:U26)</f>
        <v>17411.415848999997</v>
      </c>
      <c r="V27" s="634">
        <f t="shared" si="6"/>
        <v>-1018.5452408728197</v>
      </c>
      <c r="W27" s="635">
        <f>SUM(W24:W26)</f>
        <v>23868.507359989999</v>
      </c>
      <c r="X27" s="636">
        <f t="shared" si="7"/>
        <v>-6457.0915109900016</v>
      </c>
      <c r="Y27" s="632">
        <f>+[11]합계!$Q$85</f>
        <v>101385.2400717565</v>
      </c>
      <c r="Z27" s="633">
        <f>+[11]합계!$R$85</f>
        <v>101469.01630776732</v>
      </c>
      <c r="AA27" s="637">
        <f>+[12]합계!$Q$85</f>
        <v>94817.862192344444</v>
      </c>
      <c r="AB27" s="638">
        <f>+[11]합계!$Q$89</f>
        <v>76803.982651777886</v>
      </c>
      <c r="AC27" s="633">
        <f>+[11]합계!$R$89</f>
        <v>79238.722008520563</v>
      </c>
      <c r="AD27" s="639">
        <f>+[12]합계!$Q$89</f>
        <v>71149.862942409309</v>
      </c>
      <c r="AE27" s="638">
        <f t="shared" si="8"/>
        <v>24581.257419978618</v>
      </c>
      <c r="AF27" s="633">
        <f t="shared" si="8"/>
        <v>22230.294299246758</v>
      </c>
      <c r="AG27" s="639">
        <f t="shared" si="8"/>
        <v>23667.999249935136</v>
      </c>
      <c r="AH27" s="27"/>
      <c r="AI27" s="19">
        <v>174.11415848999997</v>
      </c>
      <c r="AJ27" s="97"/>
      <c r="AL27" s="26"/>
    </row>
    <row r="28" spans="2:38" s="8" customFormat="1" ht="19.5" customHeight="1" x14ac:dyDescent="0.3">
      <c r="B28" s="8" t="s">
        <v>3</v>
      </c>
      <c r="E28" s="8" t="s">
        <v>203</v>
      </c>
      <c r="H28" s="818" t="s">
        <v>3</v>
      </c>
      <c r="I28" s="819"/>
      <c r="J28" s="168">
        <f>+'사업장별(당월)'!J28+'[4]사업장별(누계)'!J28</f>
        <v>35500</v>
      </c>
      <c r="K28" s="169">
        <f>+'사업장별(당월)'!K28+'[4]사업장별(누계)'!K28</f>
        <v>40097.987000000001</v>
      </c>
      <c r="L28" s="170">
        <f>+K28-J28</f>
        <v>4597.987000000001</v>
      </c>
      <c r="M28" s="171">
        <f>+'사업장별(당월)'!M28+'[4]사업장별(누계)'!M28</f>
        <v>41870.298000000003</v>
      </c>
      <c r="N28" s="172">
        <f>+K28-M28</f>
        <v>-1772.3110000000015</v>
      </c>
      <c r="O28" s="168">
        <f>+'사업장별(당월)'!O28+'[4]사업장별(누계)'!O28</f>
        <v>43422.461052631588</v>
      </c>
      <c r="P28" s="169">
        <f>+'사업장별(당월)'!P28+'[4]사업장별(누계)'!P28</f>
        <v>41530.393304999998</v>
      </c>
      <c r="Q28" s="170">
        <f>+P28-O28</f>
        <v>-1892.0677476315905</v>
      </c>
      <c r="R28" s="171">
        <f>+'사업장별(당월)'!R28+'[4]사업장별(누계)'!R28</f>
        <v>50400.813160999998</v>
      </c>
      <c r="S28" s="172">
        <f t="shared" si="5"/>
        <v>-8870.4198560000004</v>
      </c>
      <c r="T28" s="168">
        <f>+'사업장별(당월)'!T28+'[4]사업장별(누계)'!T28</f>
        <v>481.25682541053266</v>
      </c>
      <c r="U28" s="169">
        <f>+'사업장별(당월)'!U28+'[4]사업장별(누계)'!U28</f>
        <v>264.95259500000134</v>
      </c>
      <c r="V28" s="170">
        <f t="shared" si="6"/>
        <v>-216.30423041053132</v>
      </c>
      <c r="W28" s="171">
        <f>+'사업장별(당월)'!W28+'[4]사업장별(누계)'!W28</f>
        <v>376.869065000001</v>
      </c>
      <c r="X28" s="172">
        <f t="shared" si="7"/>
        <v>-111.91646999999966</v>
      </c>
      <c r="Y28" s="650" t="s">
        <v>174</v>
      </c>
      <c r="Z28" s="651"/>
      <c r="AA28" s="651"/>
      <c r="AB28" s="651"/>
      <c r="AC28" s="651"/>
      <c r="AD28" s="651"/>
      <c r="AE28" s="651"/>
      <c r="AF28" s="651"/>
      <c r="AG28" s="652"/>
      <c r="AH28" s="18"/>
      <c r="AI28" s="19"/>
    </row>
    <row r="29" spans="2:38" s="8" customFormat="1" ht="19.5" customHeight="1" x14ac:dyDescent="0.3">
      <c r="B29" s="8" t="s">
        <v>195</v>
      </c>
      <c r="F29" s="79" t="s">
        <v>61</v>
      </c>
      <c r="H29" s="86" t="s">
        <v>1</v>
      </c>
      <c r="I29" s="81" t="s">
        <v>195</v>
      </c>
      <c r="J29" s="56">
        <f>+'사업장별(당월)'!J29+'[4]사업장별(누계)'!J29</f>
        <v>102.74706808648185</v>
      </c>
      <c r="K29" s="57">
        <f>+'사업장별(당월)'!K29+'[4]사업장별(누계)'!K29</f>
        <v>112.598</v>
      </c>
      <c r="L29" s="38">
        <f t="shared" si="1"/>
        <v>9.8509319135181528</v>
      </c>
      <c r="M29" s="38">
        <f>+'사업장별(당월)'!M29+'[4]사업장별(누계)'!M29</f>
        <v>127.44199999999999</v>
      </c>
      <c r="N29" s="58">
        <f t="shared" si="3"/>
        <v>-14.843999999999994</v>
      </c>
      <c r="O29" s="56">
        <f>+'사업장별(당월)'!O29+'[4]사업장별(누계)'!O29</f>
        <v>3112.4086975564492</v>
      </c>
      <c r="P29" s="57">
        <f>+'사업장별(당월)'!P29+'[4]사업장별(누계)'!P29</f>
        <v>3385.0360799999999</v>
      </c>
      <c r="Q29" s="38">
        <f t="shared" si="4"/>
        <v>272.62738244355069</v>
      </c>
      <c r="R29" s="38">
        <f>+'사업장별(당월)'!R29+'[4]사업장별(누계)'!R29</f>
        <v>3791.5668999999998</v>
      </c>
      <c r="S29" s="58">
        <f t="shared" si="5"/>
        <v>-406.53081999999995</v>
      </c>
      <c r="T29" s="56">
        <f>+'사업장별(당월)'!T29+'[4]사업장별(누계)'!T29</f>
        <v>167.72694975367497</v>
      </c>
      <c r="U29" s="57">
        <f>+'사업장별(당월)'!U29+'[4]사업장별(누계)'!U29</f>
        <v>237.30008004040735</v>
      </c>
      <c r="V29" s="38">
        <f t="shared" si="6"/>
        <v>69.573130286732379</v>
      </c>
      <c r="W29" s="38">
        <f>+'사업장별(당월)'!W29+'[4]사업장별(누계)'!W29</f>
        <v>215.93093101999989</v>
      </c>
      <c r="X29" s="58">
        <f t="shared" si="7"/>
        <v>21.369149020407463</v>
      </c>
      <c r="Y29" s="587" t="s">
        <v>212</v>
      </c>
      <c r="Z29" s="588"/>
      <c r="AA29" s="588"/>
      <c r="AB29" s="588"/>
      <c r="AC29" s="588"/>
      <c r="AD29" s="588"/>
      <c r="AE29" s="588"/>
      <c r="AF29" s="588"/>
      <c r="AG29" s="51"/>
      <c r="AH29" s="18"/>
      <c r="AI29" s="19"/>
    </row>
    <row r="30" spans="2:38" s="8" customFormat="1" ht="19.5" customHeight="1" x14ac:dyDescent="0.3">
      <c r="B30" s="8" t="s">
        <v>196</v>
      </c>
      <c r="F30" s="81" t="s">
        <v>62</v>
      </c>
      <c r="H30" s="85"/>
      <c r="I30" s="81" t="s">
        <v>239</v>
      </c>
      <c r="J30" s="54">
        <f>+'사업장별(당월)'!J30+'[4]사업장별(누계)'!J30</f>
        <v>74.735629226666674</v>
      </c>
      <c r="K30" s="59">
        <f>+'사업장별(당월)'!K30+'[4]사업장별(누계)'!K30</f>
        <v>126.288</v>
      </c>
      <c r="L30" s="48">
        <f t="shared" si="1"/>
        <v>51.552370773333323</v>
      </c>
      <c r="M30" s="48">
        <f>+'사업장별(당월)'!M30+'[4]사업장별(누계)'!M30</f>
        <v>185.44799999999998</v>
      </c>
      <c r="N30" s="60">
        <f t="shared" si="3"/>
        <v>-59.159999999999982</v>
      </c>
      <c r="O30" s="54">
        <f>+'사업장별(당월)'!O30+'[4]사업장별(누계)'!O30</f>
        <v>1002.4457050666667</v>
      </c>
      <c r="P30" s="59">
        <f>+'사업장별(당월)'!P30+'[4]사업장별(누계)'!P30</f>
        <v>1754.192</v>
      </c>
      <c r="Q30" s="48">
        <f t="shared" si="4"/>
        <v>751.74629493333327</v>
      </c>
      <c r="R30" s="48">
        <f>+'사업장별(당월)'!R30+'[4]사업장별(누계)'!R30</f>
        <v>2174.1880000000001</v>
      </c>
      <c r="S30" s="60">
        <f t="shared" si="5"/>
        <v>-419.99600000000009</v>
      </c>
      <c r="T30" s="54">
        <f>+'사업장별(당월)'!T30+'[4]사업장별(누계)'!T30</f>
        <v>115.11271346577357</v>
      </c>
      <c r="U30" s="59">
        <f>+'사업장별(당월)'!U30+'[4]사업장별(누계)'!U30</f>
        <v>246.59464793663386</v>
      </c>
      <c r="V30" s="48">
        <f t="shared" si="6"/>
        <v>131.4819344708603</v>
      </c>
      <c r="W30" s="48">
        <f>+'사업장별(당월)'!W30+'[4]사업장별(누계)'!W30</f>
        <v>456.63330000000013</v>
      </c>
      <c r="X30" s="60">
        <f t="shared" si="7"/>
        <v>-210.03865206336627</v>
      </c>
      <c r="Y30" s="629" t="s">
        <v>213</v>
      </c>
      <c r="Z30" s="588"/>
      <c r="AA30" s="588"/>
      <c r="AB30" s="588"/>
      <c r="AC30" s="588"/>
      <c r="AD30" s="588"/>
      <c r="AE30" s="588"/>
      <c r="AF30" s="588"/>
      <c r="AG30" s="51"/>
      <c r="AH30" s="18"/>
      <c r="AI30" s="19"/>
      <c r="AJ30" s="99"/>
      <c r="AK30" s="99"/>
      <c r="AL30" s="99"/>
    </row>
    <row r="31" spans="2:38" s="8" customFormat="1" ht="19.5" customHeight="1" x14ac:dyDescent="0.3">
      <c r="B31" s="8" t="s">
        <v>176</v>
      </c>
      <c r="F31" s="83" t="s">
        <v>176</v>
      </c>
      <c r="H31" s="85"/>
      <c r="I31" s="83" t="s">
        <v>240</v>
      </c>
      <c r="J31" s="54">
        <f>+'사업장별(당월)'!J31+'[4]사업장별(누계)'!J31</f>
        <v>202.74107780902344</v>
      </c>
      <c r="K31" s="59">
        <f>+'사업장별(당월)'!K31+'[4]사업장별(누계)'!K31</f>
        <v>181.489</v>
      </c>
      <c r="L31" s="48">
        <f t="shared" si="1"/>
        <v>-21.252077809023433</v>
      </c>
      <c r="M31" s="48">
        <f>+'사업장별(당월)'!M31+'[4]사업장별(누계)'!M31</f>
        <v>0</v>
      </c>
      <c r="N31" s="60">
        <f t="shared" si="3"/>
        <v>181.489</v>
      </c>
      <c r="O31" s="54">
        <f>+'사업장별(당월)'!O31+'[4]사업장별(누계)'!O31</f>
        <v>3631.4547020355794</v>
      </c>
      <c r="P31" s="59">
        <f>+'사업장별(당월)'!P31+'[4]사업장별(누계)'!P31</f>
        <v>3364.9794999999999</v>
      </c>
      <c r="Q31" s="48">
        <f t="shared" si="4"/>
        <v>-266.47520203557951</v>
      </c>
      <c r="R31" s="48">
        <f>+'사업장별(당월)'!R31+'[4]사업장별(누계)'!R31</f>
        <v>0</v>
      </c>
      <c r="S31" s="60">
        <f t="shared" si="5"/>
        <v>3364.9794999999999</v>
      </c>
      <c r="T31" s="54">
        <f>+'사업장별(당월)'!T31+'[4]사업장별(누계)'!T31</f>
        <v>48.310314562815179</v>
      </c>
      <c r="U31" s="59">
        <f>+'사업장별(당월)'!U31+'[4]사업장별(누계)'!U31</f>
        <v>260.68248751000021</v>
      </c>
      <c r="V31" s="48">
        <f t="shared" si="6"/>
        <v>212.37217294718505</v>
      </c>
      <c r="W31" s="48">
        <f>+'사업장별(당월)'!W31+'[4]사업장별(누계)'!W31</f>
        <v>-143.76177300000001</v>
      </c>
      <c r="X31" s="60">
        <f t="shared" si="7"/>
        <v>404.44426051000022</v>
      </c>
      <c r="Y31" s="629"/>
      <c r="Z31" s="588"/>
      <c r="AA31" s="588"/>
      <c r="AB31" s="588"/>
      <c r="AC31" s="588"/>
      <c r="AD31" s="588"/>
      <c r="AE31" s="588"/>
      <c r="AF31" s="588"/>
      <c r="AG31" s="51"/>
      <c r="AH31" s="18"/>
      <c r="AI31" s="19"/>
      <c r="AJ31" s="99"/>
      <c r="AK31" s="99"/>
      <c r="AL31" s="99"/>
    </row>
    <row r="32" spans="2:38" s="3" customFormat="1" ht="19.5" customHeight="1" x14ac:dyDescent="0.3">
      <c r="H32" s="147" t="s">
        <v>42</v>
      </c>
      <c r="I32" s="148"/>
      <c r="J32" s="149">
        <f>SUM(J29:J31)</f>
        <v>380.22377512217196</v>
      </c>
      <c r="K32" s="153">
        <f>SUM(K29:K31)</f>
        <v>420.375</v>
      </c>
      <c r="L32" s="151">
        <f t="shared" si="1"/>
        <v>40.151224877828042</v>
      </c>
      <c r="M32" s="151">
        <f>SUM(M29:M31)</f>
        <v>312.89</v>
      </c>
      <c r="N32" s="152">
        <f t="shared" si="3"/>
        <v>107.48500000000001</v>
      </c>
      <c r="O32" s="149">
        <f>SUM(O29:O31)</f>
        <v>7746.3091046586951</v>
      </c>
      <c r="P32" s="153">
        <f>SUM(P29:P31)</f>
        <v>8504.2075800000002</v>
      </c>
      <c r="Q32" s="151">
        <f t="shared" si="4"/>
        <v>757.89847534130513</v>
      </c>
      <c r="R32" s="151">
        <f>SUM(R29:R31)</f>
        <v>5965.7548999999999</v>
      </c>
      <c r="S32" s="152">
        <f t="shared" si="5"/>
        <v>2538.4526800000003</v>
      </c>
      <c r="T32" s="149">
        <f>SUM(T29:T31)</f>
        <v>331.1499777822637</v>
      </c>
      <c r="U32" s="153">
        <f>SUM(U29:U31)</f>
        <v>744.57721548704149</v>
      </c>
      <c r="V32" s="151">
        <f t="shared" si="6"/>
        <v>413.42723770477778</v>
      </c>
      <c r="W32" s="151">
        <f>SUM(W29:W31)</f>
        <v>528.80245802000013</v>
      </c>
      <c r="X32" s="152">
        <f t="shared" si="7"/>
        <v>215.77475746704135</v>
      </c>
      <c r="Y32" s="629"/>
      <c r="Z32" s="588"/>
      <c r="AA32" s="588"/>
      <c r="AB32" s="588"/>
      <c r="AC32" s="588"/>
      <c r="AD32" s="588"/>
      <c r="AE32" s="588"/>
      <c r="AF32" s="588"/>
      <c r="AG32" s="51"/>
      <c r="AH32" s="27"/>
      <c r="AI32" s="28"/>
    </row>
    <row r="33" spans="2:38" s="8" customFormat="1" ht="19.5" customHeight="1" x14ac:dyDescent="0.3">
      <c r="B33" s="8" t="s">
        <v>199</v>
      </c>
      <c r="C33" s="8" t="s">
        <v>198</v>
      </c>
      <c r="D33" t="s">
        <v>197</v>
      </c>
      <c r="E33" t="s">
        <v>100</v>
      </c>
      <c r="F33"/>
      <c r="H33" s="89" t="s">
        <v>4</v>
      </c>
      <c r="I33" s="88" t="s">
        <v>99</v>
      </c>
      <c r="J33" s="46"/>
      <c r="K33" s="47"/>
      <c r="L33" s="49">
        <f>+K33-J33</f>
        <v>0</v>
      </c>
      <c r="M33" s="48"/>
      <c r="N33" s="60">
        <f>+K33-M33</f>
        <v>0</v>
      </c>
      <c r="O33" s="46">
        <f>+'사업장별(당월)'!O33+'[4]사업장별(누계)'!O33</f>
        <v>454.20000000000005</v>
      </c>
      <c r="P33" s="47">
        <f>+'사업장별(당월)'!P33+'[4]사업장별(누계)'!P33</f>
        <v>454.20000000000005</v>
      </c>
      <c r="Q33" s="49">
        <f t="shared" si="4"/>
        <v>0</v>
      </c>
      <c r="R33" s="48">
        <f>+'사업장별(당월)'!R33+'[4]사업장별(누계)'!R33</f>
        <v>391.70000000000005</v>
      </c>
      <c r="S33" s="60">
        <f t="shared" si="5"/>
        <v>62.5</v>
      </c>
      <c r="T33" s="46">
        <f>+'사업장별(당월)'!T33+'[4]사업장별(누계)'!T33</f>
        <v>364.15780999999998</v>
      </c>
      <c r="U33" s="47">
        <f>+'사업장별(당월)'!U33+'[4]사업장별(누계)'!U33</f>
        <v>359.77286700000002</v>
      </c>
      <c r="V33" s="49">
        <f t="shared" si="6"/>
        <v>-4.3849429999999643</v>
      </c>
      <c r="W33" s="48">
        <f>+'사업장별(당월)'!W33+'[4]사업장별(누계)'!W33</f>
        <v>307.183381</v>
      </c>
      <c r="X33" s="60">
        <f t="shared" si="7"/>
        <v>52.589486000000022</v>
      </c>
      <c r="Y33" s="629"/>
      <c r="Z33" s="588"/>
      <c r="AA33" s="588"/>
      <c r="AB33" s="588"/>
      <c r="AC33" s="588"/>
      <c r="AD33" s="588"/>
      <c r="AE33" s="588"/>
      <c r="AF33" s="588"/>
      <c r="AG33" s="51"/>
      <c r="AH33" s="18"/>
      <c r="AI33" s="19"/>
    </row>
    <row r="34" spans="2:38" s="8" customFormat="1" ht="19.5" customHeight="1" x14ac:dyDescent="0.3">
      <c r="B34" s="8" t="s">
        <v>200</v>
      </c>
      <c r="C34" s="8" t="s">
        <v>201</v>
      </c>
      <c r="D34"/>
      <c r="E34" t="s">
        <v>40</v>
      </c>
      <c r="F34"/>
      <c r="H34" s="89"/>
      <c r="I34" s="88" t="s">
        <v>59</v>
      </c>
      <c r="J34" s="46"/>
      <c r="K34" s="47"/>
      <c r="L34" s="49">
        <f>+K34-J34</f>
        <v>0</v>
      </c>
      <c r="M34" s="48">
        <v>0</v>
      </c>
      <c r="N34" s="60">
        <f t="shared" ref="N34:N41" si="10">+K34-M34</f>
        <v>0</v>
      </c>
      <c r="O34" s="46">
        <f>+'사업장별(당월)'!O34+'[4]사업장별(누계)'!O34</f>
        <v>361.48750166666667</v>
      </c>
      <c r="P34" s="47">
        <f>+'사업장별(당월)'!P34+'[4]사업장별(누계)'!P34</f>
        <v>362.86716799999999</v>
      </c>
      <c r="Q34" s="49">
        <f>+P34-O34</f>
        <v>1.3796663333333186</v>
      </c>
      <c r="R34" s="48">
        <f>+'사업장별(당월)'!R34+'[4]사업장별(누계)'!R34</f>
        <v>472.67100000000005</v>
      </c>
      <c r="S34" s="60">
        <f t="shared" si="5"/>
        <v>-109.80383200000006</v>
      </c>
      <c r="T34" s="46">
        <f>+'사업장별(당월)'!T34+'[4]사업장별(누계)'!T34</f>
        <v>322.79026366666665</v>
      </c>
      <c r="U34" s="47">
        <f>+'사업장별(당월)'!U34+'[4]사업장별(누계)'!U34</f>
        <v>324.945671</v>
      </c>
      <c r="V34" s="49">
        <f t="shared" si="6"/>
        <v>2.1554073333333577</v>
      </c>
      <c r="W34" s="48">
        <f>+'사업장별(당월)'!W34+'[4]사업장별(누계)'!W34</f>
        <v>275.00372300000004</v>
      </c>
      <c r="X34" s="60">
        <f t="shared" si="7"/>
        <v>49.941947999999968</v>
      </c>
      <c r="Y34" s="629"/>
      <c r="Z34" s="588"/>
      <c r="AA34" s="588"/>
      <c r="AB34" s="588"/>
      <c r="AC34" s="588"/>
      <c r="AD34" s="588"/>
      <c r="AE34" s="588"/>
      <c r="AF34" s="588"/>
      <c r="AG34" s="51"/>
      <c r="AH34" s="18"/>
      <c r="AI34" s="19"/>
    </row>
    <row r="35" spans="2:38" s="8" customFormat="1" ht="19.5" customHeight="1" x14ac:dyDescent="0.3">
      <c r="B35" s="8" t="s">
        <v>202</v>
      </c>
      <c r="D35"/>
      <c r="E35"/>
      <c r="F35"/>
      <c r="G35"/>
      <c r="H35" s="87"/>
      <c r="I35" s="88" t="s">
        <v>38</v>
      </c>
      <c r="J35" s="46"/>
      <c r="K35" s="47"/>
      <c r="L35" s="49">
        <f>+K35-J35</f>
        <v>0</v>
      </c>
      <c r="M35" s="48"/>
      <c r="N35" s="60">
        <f t="shared" si="10"/>
        <v>0</v>
      </c>
      <c r="O35" s="46">
        <f>+'사업장별(당월)'!O35+'[4]사업장별(누계)'!O35</f>
        <v>0</v>
      </c>
      <c r="P35" s="47">
        <f>+'사업장별(당월)'!P35+'[4]사업장별(누계)'!P35</f>
        <v>0</v>
      </c>
      <c r="Q35" s="49">
        <f t="shared" ref="Q35:Q40" si="11">+P35-O35</f>
        <v>0</v>
      </c>
      <c r="R35" s="48">
        <f>+'사업장별(당월)'!R35+'[4]사업장별(누계)'!R35</f>
        <v>0</v>
      </c>
      <c r="S35" s="60">
        <f t="shared" si="5"/>
        <v>0</v>
      </c>
      <c r="T35" s="46">
        <f>+'사업장별(당월)'!T35+'[4]사업장별(누계)'!T35</f>
        <v>-6378.02166673172</v>
      </c>
      <c r="U35" s="47">
        <f>+'사업장별(당월)'!U35+'[4]사업장별(누계)'!U35</f>
        <v>-6564.9440144953414</v>
      </c>
      <c r="V35" s="49">
        <f t="shared" si="6"/>
        <v>-186.92234776362147</v>
      </c>
      <c r="W35" s="48">
        <f>+'사업장별(당월)'!W35+'[4]사업장별(누계)'!W35</f>
        <v>-5371.5641169999999</v>
      </c>
      <c r="X35" s="60">
        <f t="shared" si="7"/>
        <v>-1193.3798974953415</v>
      </c>
      <c r="Y35" s="629"/>
      <c r="Z35" s="588"/>
      <c r="AA35" s="588"/>
      <c r="AB35" s="588"/>
      <c r="AC35" s="588"/>
      <c r="AD35" s="588"/>
      <c r="AE35" s="588"/>
      <c r="AF35" s="588"/>
      <c r="AG35" s="51"/>
      <c r="AH35" s="18"/>
      <c r="AI35" s="19"/>
      <c r="AK35" s="597"/>
      <c r="AL35" s="99"/>
    </row>
    <row r="36" spans="2:38" s="8" customFormat="1" ht="19.5" customHeight="1" x14ac:dyDescent="0.3">
      <c r="D36"/>
      <c r="E36"/>
      <c r="F36"/>
      <c r="G36"/>
      <c r="H36" s="87"/>
      <c r="I36" s="88" t="s">
        <v>116</v>
      </c>
      <c r="J36" s="46"/>
      <c r="K36" s="47"/>
      <c r="L36" s="49"/>
      <c r="M36" s="48"/>
      <c r="N36" s="60">
        <f t="shared" si="10"/>
        <v>0</v>
      </c>
      <c r="O36" s="46">
        <f>+'사업장별(당월)'!O36+'[4]사업장별(누계)'!O36</f>
        <v>0</v>
      </c>
      <c r="P36" s="47">
        <f>+'사업장별(당월)'!P36+'[4]사업장별(누계)'!P36</f>
        <v>0</v>
      </c>
      <c r="Q36" s="49">
        <f t="shared" si="11"/>
        <v>0</v>
      </c>
      <c r="R36" s="48">
        <f>+'사업장별(당월)'!R36+'[4]사업장별(누계)'!R36</f>
        <v>0</v>
      </c>
      <c r="S36" s="60">
        <f t="shared" si="5"/>
        <v>0</v>
      </c>
      <c r="T36" s="46">
        <f>+'사업장별(당월)'!T36+'[4]사업장별(누계)'!T36</f>
        <v>0</v>
      </c>
      <c r="U36" s="47">
        <f>+'사업장별(당월)'!U36+'[4]사업장별(누계)'!U36</f>
        <v>0</v>
      </c>
      <c r="V36" s="49">
        <f t="shared" si="6"/>
        <v>0</v>
      </c>
      <c r="W36" s="48">
        <f>+'사업장별(당월)'!W36+'[4]사업장별(누계)'!W36</f>
        <v>0</v>
      </c>
      <c r="X36" s="60">
        <f t="shared" si="7"/>
        <v>0</v>
      </c>
      <c r="Y36" s="629"/>
      <c r="Z36" s="588"/>
      <c r="AA36" s="588"/>
      <c r="AB36" s="588"/>
      <c r="AC36" s="588"/>
      <c r="AD36" s="588"/>
      <c r="AE36" s="588"/>
      <c r="AF36" s="588"/>
      <c r="AG36" s="51"/>
      <c r="AH36" s="18"/>
      <c r="AI36" s="19"/>
      <c r="AK36" s="99"/>
      <c r="AL36" s="99"/>
    </row>
    <row r="37" spans="2:38" s="8" customFormat="1" ht="19.5" customHeight="1" x14ac:dyDescent="0.3">
      <c r="D37"/>
      <c r="E37"/>
      <c r="F37"/>
      <c r="G37"/>
      <c r="H37" s="87"/>
      <c r="I37" s="88" t="s">
        <v>117</v>
      </c>
      <c r="J37" s="46"/>
      <c r="K37" s="47"/>
      <c r="L37" s="49"/>
      <c r="M37" s="48"/>
      <c r="N37" s="60">
        <f t="shared" si="10"/>
        <v>0</v>
      </c>
      <c r="O37" s="46">
        <f>+'사업장별(당월)'!O37+'[4]사업장별(누계)'!O37</f>
        <v>0</v>
      </c>
      <c r="P37" s="47">
        <f>+'사업장별(당월)'!P37+'[4]사업장별(누계)'!P37</f>
        <v>0</v>
      </c>
      <c r="Q37" s="49">
        <f t="shared" si="11"/>
        <v>0</v>
      </c>
      <c r="R37" s="48">
        <f>+'사업장별(당월)'!R37+'[4]사업장별(누계)'!R37</f>
        <v>0</v>
      </c>
      <c r="S37" s="60">
        <f t="shared" si="5"/>
        <v>0</v>
      </c>
      <c r="T37" s="46">
        <f>+'사업장별(당월)'!T37+'[4]사업장별(누계)'!T37</f>
        <v>0</v>
      </c>
      <c r="U37" s="47">
        <f>+'사업장별(당월)'!U37+'[4]사업장별(누계)'!U37</f>
        <v>-1595.842547</v>
      </c>
      <c r="V37" s="49">
        <f t="shared" si="6"/>
        <v>-1595.842547</v>
      </c>
      <c r="W37" s="48">
        <f>+'사업장별(당월)'!W37+'[4]사업장별(누계)'!W37</f>
        <v>-278.35280399999999</v>
      </c>
      <c r="X37" s="60">
        <f t="shared" si="7"/>
        <v>-1317.4897430000001</v>
      </c>
      <c r="Y37" s="587"/>
      <c r="Z37" s="588"/>
      <c r="AA37" s="588"/>
      <c r="AB37" s="588"/>
      <c r="AC37" s="588"/>
      <c r="AD37" s="588"/>
      <c r="AE37" s="588"/>
      <c r="AF37" s="588"/>
      <c r="AG37" s="51"/>
      <c r="AH37" s="18"/>
      <c r="AI37" s="19"/>
      <c r="AK37" s="99"/>
      <c r="AL37" s="99"/>
    </row>
    <row r="38" spans="2:38" s="8" customFormat="1" ht="19.5" customHeight="1" x14ac:dyDescent="0.3">
      <c r="D38"/>
      <c r="E38"/>
      <c r="F38"/>
      <c r="G38"/>
      <c r="H38" s="87"/>
      <c r="I38" s="88" t="s">
        <v>177</v>
      </c>
      <c r="J38" s="46"/>
      <c r="K38" s="47"/>
      <c r="L38" s="49"/>
      <c r="M38" s="48">
        <f>SUM(M54:M57)</f>
        <v>0</v>
      </c>
      <c r="N38" s="60">
        <f t="shared" si="10"/>
        <v>0</v>
      </c>
      <c r="O38" s="46">
        <f>+'사업장별(당월)'!O38+'[4]사업장별(누계)'!O38</f>
        <v>0</v>
      </c>
      <c r="P38" s="47">
        <f>+'사업장별(당월)'!P38+'[4]사업장별(누계)'!P38</f>
        <v>0</v>
      </c>
      <c r="Q38" s="49">
        <f t="shared" si="11"/>
        <v>0</v>
      </c>
      <c r="R38" s="48">
        <f>+'사업장별(당월)'!R38+'[4]사업장별(누계)'!R38</f>
        <v>188.626</v>
      </c>
      <c r="S38" s="60">
        <f t="shared" si="5"/>
        <v>-188.626</v>
      </c>
      <c r="T38" s="46">
        <f>+'사업장별(당월)'!T38+'[4]사업장별(누계)'!T38</f>
        <v>-146.31895922229819</v>
      </c>
      <c r="U38" s="47">
        <f>+'사업장별(당월)'!U38+'[4]사업장별(누계)'!U38</f>
        <v>-204.88333799999998</v>
      </c>
      <c r="V38" s="49">
        <f t="shared" si="6"/>
        <v>-58.564378777701791</v>
      </c>
      <c r="W38" s="48">
        <f>+'사업장별(당월)'!W38+'[4]사업장별(누계)'!W38</f>
        <v>-45.821252000000001</v>
      </c>
      <c r="X38" s="60">
        <f>+U38-W38</f>
        <v>-159.06208599999997</v>
      </c>
      <c r="Y38" s="587"/>
      <c r="Z38" s="588"/>
      <c r="AA38" s="588"/>
      <c r="AB38" s="588"/>
      <c r="AC38" s="588"/>
      <c r="AD38" s="588"/>
      <c r="AE38" s="588"/>
      <c r="AF38" s="588"/>
      <c r="AG38" s="51"/>
      <c r="AH38" s="18"/>
      <c r="AI38" s="19"/>
      <c r="AK38" s="99"/>
      <c r="AL38" s="99"/>
    </row>
    <row r="39" spans="2:38" s="8" customFormat="1" ht="19.5" customHeight="1" x14ac:dyDescent="0.3">
      <c r="B39" t="s">
        <v>39</v>
      </c>
      <c r="D39"/>
      <c r="H39" s="87"/>
      <c r="I39" s="88" t="s">
        <v>4</v>
      </c>
      <c r="J39" s="46"/>
      <c r="K39" s="47"/>
      <c r="L39" s="55">
        <f>+K39-J39</f>
        <v>0</v>
      </c>
      <c r="M39" s="61"/>
      <c r="N39" s="62">
        <f t="shared" si="10"/>
        <v>0</v>
      </c>
      <c r="O39" s="46">
        <f>+'사업장별(당월)'!O39+'[4]사업장별(누계)'!O39</f>
        <v>8.85</v>
      </c>
      <c r="P39" s="47">
        <f>+'사업장별(당월)'!P39+'[4]사업장별(누계)'!P39</f>
        <v>8.5135999999940406</v>
      </c>
      <c r="Q39" s="55">
        <f t="shared" si="11"/>
        <v>-0.33640000000595904</v>
      </c>
      <c r="R39" s="61">
        <f>+'사업장별(당월)'!R39+'[4]사업장별(누계)'!R39</f>
        <v>-25.342299999997021</v>
      </c>
      <c r="S39" s="62">
        <f t="shared" si="5"/>
        <v>33.85589999999106</v>
      </c>
      <c r="T39" s="46">
        <f>+'사업장별(당월)'!T39+'[4]사업장별(누계)'!T39</f>
        <v>-258.62336100000329</v>
      </c>
      <c r="U39" s="47">
        <f>+'사업장별(당월)'!U39+'[4]사업장별(누계)'!U39</f>
        <v>-69.307621000017519</v>
      </c>
      <c r="V39" s="49">
        <f t="shared" si="6"/>
        <v>189.31573999998577</v>
      </c>
      <c r="W39" s="61">
        <f>+'사업장별(당월)'!W39+'[4]사업장별(누계)'!W39</f>
        <v>-81.876231999996122</v>
      </c>
      <c r="X39" s="60">
        <f t="shared" si="7"/>
        <v>12.568610999978603</v>
      </c>
      <c r="Y39" s="596"/>
      <c r="Z39" s="588"/>
      <c r="AA39" s="588"/>
      <c r="AB39" s="588"/>
      <c r="AC39" s="588"/>
      <c r="AD39" s="588"/>
      <c r="AE39" s="588"/>
      <c r="AF39" s="588"/>
      <c r="AG39" s="51"/>
      <c r="AH39" s="18"/>
      <c r="AI39" s="19"/>
    </row>
    <row r="40" spans="2:38" s="8" customFormat="1" ht="19.5" customHeight="1" x14ac:dyDescent="0.3">
      <c r="H40" s="87"/>
      <c r="I40" s="88"/>
      <c r="J40" s="46"/>
      <c r="K40" s="47"/>
      <c r="L40" s="55"/>
      <c r="M40" s="61"/>
      <c r="N40" s="62">
        <f t="shared" si="10"/>
        <v>0</v>
      </c>
      <c r="O40" s="46">
        <f>+'사업장별(당월)'!O40+'[4]사업장별(누계)'!O40</f>
        <v>0</v>
      </c>
      <c r="P40" s="47">
        <f>+'사업장별(당월)'!P40+'[4]사업장별(누계)'!P40</f>
        <v>0</v>
      </c>
      <c r="Q40" s="55">
        <f t="shared" si="11"/>
        <v>0</v>
      </c>
      <c r="R40" s="61">
        <f>+'사업장별(당월)'!R40+'[4]사업장별(누계)'!R40</f>
        <v>0</v>
      </c>
      <c r="S40" s="62">
        <f t="shared" si="5"/>
        <v>0</v>
      </c>
      <c r="T40" s="46">
        <f>+'사업장별(당월)'!T40+'[4]사업장별(누계)'!T40</f>
        <v>0</v>
      </c>
      <c r="U40" s="47">
        <f>+'사업장별(당월)'!U40+'[4]사업장별(누계)'!U40</f>
        <v>0</v>
      </c>
      <c r="V40" s="49">
        <f t="shared" si="6"/>
        <v>0</v>
      </c>
      <c r="W40" s="61">
        <f>+'사업장별(당월)'!W40+'[4]사업장별(누계)'!W40</f>
        <v>0</v>
      </c>
      <c r="X40" s="60"/>
      <c r="Y40" s="587"/>
      <c r="Z40" s="588"/>
      <c r="AA40" s="588"/>
      <c r="AB40" s="588"/>
      <c r="AC40" s="588"/>
      <c r="AD40" s="588"/>
      <c r="AE40" s="588"/>
      <c r="AF40" s="588"/>
      <c r="AG40" s="51"/>
      <c r="AH40" s="31"/>
    </row>
    <row r="41" spans="2:38" s="3" customFormat="1" ht="19.5" customHeight="1" x14ac:dyDescent="0.3">
      <c r="D41" s="658"/>
      <c r="H41" s="147" t="s">
        <v>118</v>
      </c>
      <c r="I41" s="148"/>
      <c r="J41" s="647">
        <f>SUM(J33:J40)</f>
        <v>0</v>
      </c>
      <c r="K41" s="648">
        <f>SUM(K33:K40)</f>
        <v>0</v>
      </c>
      <c r="L41" s="648">
        <f>+K41-J41</f>
        <v>0</v>
      </c>
      <c r="M41" s="648">
        <f>SUM(M33:M40)</f>
        <v>0</v>
      </c>
      <c r="N41" s="649">
        <f t="shared" si="10"/>
        <v>0</v>
      </c>
      <c r="O41" s="149">
        <f>SUM(O33:O40)</f>
        <v>824.5375016666668</v>
      </c>
      <c r="P41" s="150">
        <f>SUM(P33:P40)</f>
        <v>825.58076799999412</v>
      </c>
      <c r="Q41" s="154">
        <f t="shared" si="4"/>
        <v>1.043266333327324</v>
      </c>
      <c r="R41" s="155">
        <f>SUM(R33:R40)</f>
        <v>1027.654700000003</v>
      </c>
      <c r="S41" s="156">
        <f>+P41-R41</f>
        <v>-202.07393200000888</v>
      </c>
      <c r="T41" s="149">
        <f>SUM(T33:T40)</f>
        <v>-6096.015913287355</v>
      </c>
      <c r="U41" s="150">
        <f>SUM(U33:U40)</f>
        <v>-7750.2589824953584</v>
      </c>
      <c r="V41" s="154">
        <f>+U41-T41</f>
        <v>-1654.2430692080034</v>
      </c>
      <c r="W41" s="155">
        <f>SUM(W33:W40)</f>
        <v>-5195.4273009999952</v>
      </c>
      <c r="X41" s="156">
        <f>+U41-W41</f>
        <v>-2554.8316814953632</v>
      </c>
      <c r="Y41" s="589"/>
      <c r="Z41" s="590"/>
      <c r="AA41" s="590"/>
      <c r="AB41" s="590"/>
      <c r="AC41" s="590"/>
      <c r="AD41" s="590"/>
      <c r="AE41" s="590"/>
      <c r="AF41" s="590"/>
      <c r="AG41" s="591"/>
      <c r="AH41" s="26"/>
    </row>
    <row r="42" spans="2:38" s="8" customFormat="1" ht="19.5" customHeight="1" x14ac:dyDescent="0.3">
      <c r="J42" s="33"/>
      <c r="K42" s="33"/>
      <c r="L42" s="32"/>
      <c r="M42" s="32"/>
      <c r="N42" s="32"/>
      <c r="O42" s="33"/>
      <c r="P42" s="33"/>
      <c r="Q42" s="32"/>
      <c r="R42" s="32"/>
      <c r="S42" s="32"/>
      <c r="T42" s="33"/>
      <c r="U42" s="33"/>
      <c r="V42" s="32"/>
      <c r="W42" s="32"/>
      <c r="X42" s="32"/>
      <c r="Y42" s="33"/>
      <c r="Z42" s="33"/>
      <c r="AA42" s="33"/>
      <c r="AB42" s="33"/>
      <c r="AC42" s="33"/>
      <c r="AD42" s="33"/>
      <c r="AE42" s="33"/>
      <c r="AF42" s="33"/>
      <c r="AG42" s="33"/>
      <c r="AH42" s="31"/>
    </row>
    <row r="43" spans="2:38" s="3" customFormat="1" ht="19.5" customHeight="1" x14ac:dyDescent="0.3">
      <c r="G43" s="665">
        <f>+P43/O43</f>
        <v>1.04468848220081</v>
      </c>
      <c r="H43" s="640" t="s">
        <v>41</v>
      </c>
      <c r="I43" s="641"/>
      <c r="J43" s="653"/>
      <c r="K43" s="654"/>
      <c r="L43" s="654"/>
      <c r="M43" s="654"/>
      <c r="N43" s="655"/>
      <c r="O43" s="642">
        <f>+O27+O32+O28+O41</f>
        <v>191752.86109787328</v>
      </c>
      <c r="P43" s="643">
        <f>+P27+P32+P28+P41</f>
        <v>200322.00541799999</v>
      </c>
      <c r="Q43" s="644">
        <f t="shared" si="4"/>
        <v>8569.1443201267102</v>
      </c>
      <c r="R43" s="645">
        <f>+R27+R32+R28+R41</f>
        <v>213252.49333100001</v>
      </c>
      <c r="S43" s="646">
        <f>+P43-R43</f>
        <v>-12930.487913000019</v>
      </c>
      <c r="T43" s="642">
        <f>+T27+T32+T28+T41</f>
        <v>13146.351979778257</v>
      </c>
      <c r="U43" s="643">
        <f>+U27+U32+U28+U41</f>
        <v>10670.686676991685</v>
      </c>
      <c r="V43" s="644">
        <f>+U43-T43</f>
        <v>-2475.6653027865723</v>
      </c>
      <c r="W43" s="645">
        <f>+W27+W32+W28+W41</f>
        <v>19578.751582010005</v>
      </c>
      <c r="X43" s="646">
        <f>+U43-W43</f>
        <v>-8908.0649050183201</v>
      </c>
      <c r="Y43" s="820"/>
      <c r="Z43" s="821"/>
      <c r="AA43" s="821"/>
      <c r="AB43" s="821"/>
      <c r="AC43" s="821"/>
      <c r="AD43" s="821"/>
      <c r="AE43" s="821"/>
      <c r="AF43" s="821"/>
      <c r="AG43" s="822"/>
      <c r="AH43" s="26"/>
    </row>
    <row r="44" spans="2:38" s="34" customFormat="1" x14ac:dyDescent="0.3">
      <c r="G44" s="662">
        <f>+U43/T43</f>
        <v>0.81168423707241022</v>
      </c>
      <c r="T44" s="662">
        <f>+T43/O43</f>
        <v>6.8558830906143189E-2</v>
      </c>
      <c r="U44" s="662">
        <f>+U43/P43</f>
        <v>5.3267670991640682E-2</v>
      </c>
      <c r="AC44" s="35"/>
      <c r="AF44" s="35"/>
    </row>
    <row r="45" spans="2:38" s="34" customFormat="1" ht="17.25" thickBot="1" x14ac:dyDescent="0.35">
      <c r="AC45" s="35"/>
      <c r="AF45" s="35"/>
    </row>
    <row r="46" spans="2:38" s="34" customFormat="1" x14ac:dyDescent="0.3">
      <c r="I46" s="817" t="s">
        <v>101</v>
      </c>
      <c r="J46" s="139">
        <f>+'사업장별(당월)'!J46+'[4]사업장별(누계)'!J46</f>
        <v>1378.5</v>
      </c>
      <c r="K46" s="140">
        <f>+'사업장별(당월)'!K46+'[4]사업장별(누계)'!K46</f>
        <v>1473.0949999999998</v>
      </c>
      <c r="L46" s="140"/>
      <c r="M46" s="140">
        <f>+'사업장별(당월)'!M46+'[4]사업장별(누계)'!M46</f>
        <v>1644.049</v>
      </c>
      <c r="N46" s="140"/>
      <c r="O46" s="140">
        <f>+'사업장별(당월)'!O46+'[4]사업장별(누계)'!O46</f>
        <v>191752.86109787325</v>
      </c>
      <c r="P46" s="140">
        <f>+'사업장별(당월)'!P46+'[4]사업장별(누계)'!P46</f>
        <v>200322.00541799999</v>
      </c>
      <c r="Q46" s="140"/>
      <c r="R46" s="140">
        <f>+'사업장별(당월)'!R46+'[4]사업장별(누계)'!R46</f>
        <v>213252.49333100003</v>
      </c>
      <c r="S46" s="140"/>
      <c r="T46" s="145">
        <f>+'사업장별(당월)'!T46+'[4]사업장별(누계)'!T46</f>
        <v>13146.35197977825</v>
      </c>
      <c r="U46" s="140">
        <f>+'사업장별(당월)'!U46+'[4]사업장별(누계)'!U46</f>
        <v>10670.68667699168</v>
      </c>
      <c r="V46" s="140"/>
      <c r="W46" s="140">
        <f>+'사업장별(당월)'!W46+'[4]사업장별(누계)'!W46</f>
        <v>19578.751582010005</v>
      </c>
      <c r="X46" s="141"/>
      <c r="AC46" s="35"/>
      <c r="AF46" s="35"/>
    </row>
    <row r="47" spans="2:38" s="34" customFormat="1" ht="17.25" thickBot="1" x14ac:dyDescent="0.35">
      <c r="I47" s="817"/>
      <c r="J47" s="144">
        <f>+J46-J27</f>
        <v>0</v>
      </c>
      <c r="K47" s="142">
        <f>+K46-K27</f>
        <v>0</v>
      </c>
      <c r="L47" s="142"/>
      <c r="M47" s="142">
        <f>+M46-M27</f>
        <v>0</v>
      </c>
      <c r="N47" s="142"/>
      <c r="O47" s="146">
        <f>+O46-O43</f>
        <v>0</v>
      </c>
      <c r="P47" s="146">
        <f>+P46-P43</f>
        <v>0</v>
      </c>
      <c r="Q47" s="142"/>
      <c r="R47" s="146">
        <f>+R46-R43</f>
        <v>0</v>
      </c>
      <c r="S47" s="142"/>
      <c r="T47" s="146">
        <f>+T46-T43</f>
        <v>0</v>
      </c>
      <c r="U47" s="146">
        <f>+U46-U43</f>
        <v>0</v>
      </c>
      <c r="V47" s="142"/>
      <c r="W47" s="142">
        <f>+W46-W43</f>
        <v>0</v>
      </c>
      <c r="X47" s="143"/>
      <c r="AC47" s="35"/>
      <c r="AF47" s="35"/>
      <c r="AG47" s="34" t="s">
        <v>102</v>
      </c>
    </row>
    <row r="48" spans="2:38" x14ac:dyDescent="0.3">
      <c r="T48" s="659"/>
      <c r="U48" s="659"/>
      <c r="V48" s="659"/>
    </row>
    <row r="49" spans="10:33" x14ac:dyDescent="0.3">
      <c r="T49" s="659"/>
      <c r="U49" s="659"/>
      <c r="V49" s="659"/>
    </row>
    <row r="50" spans="10:33" x14ac:dyDescent="0.3">
      <c r="T50" s="599">
        <f>(+T27+T35)/100</f>
        <v>120.51939423141097</v>
      </c>
      <c r="U50" s="599">
        <f>(+U27+U35)/100</f>
        <v>108.46471834504656</v>
      </c>
      <c r="V50" s="599">
        <f>+U50-T50</f>
        <v>-12.054675886364407</v>
      </c>
    </row>
    <row r="51" spans="10:33" x14ac:dyDescent="0.3">
      <c r="T51" s="6">
        <f>+T28/100</f>
        <v>4.8125682541053267</v>
      </c>
      <c r="U51" s="6">
        <f>+U28/100</f>
        <v>2.6495259500000135</v>
      </c>
      <c r="V51" s="599">
        <f t="shared" ref="V51:V54" si="12">+U51-T51</f>
        <v>-2.1630423041053133</v>
      </c>
    </row>
    <row r="52" spans="10:33" x14ac:dyDescent="0.3">
      <c r="T52" s="6">
        <f>+T32/100</f>
        <v>3.3114997778226369</v>
      </c>
      <c r="U52" s="6">
        <f>+U32/100</f>
        <v>7.445772154870415</v>
      </c>
      <c r="V52" s="599">
        <f t="shared" si="12"/>
        <v>4.1342723770477781</v>
      </c>
    </row>
    <row r="53" spans="10:33" x14ac:dyDescent="0.3">
      <c r="T53" s="6">
        <f>(T33+T34)/100</f>
        <v>6.8694807366666666</v>
      </c>
      <c r="U53" s="6">
        <f>(U33+U34)/100</f>
        <v>6.8471853800000009</v>
      </c>
      <c r="V53" s="599">
        <f t="shared" si="12"/>
        <v>-2.2295356666665711E-2</v>
      </c>
    </row>
    <row r="54" spans="10:33" x14ac:dyDescent="0.3">
      <c r="J54" s="599"/>
      <c r="K54" s="599"/>
      <c r="L54" s="599"/>
      <c r="M54" s="599"/>
      <c r="N54" s="599"/>
      <c r="O54" s="599"/>
      <c r="P54" s="599"/>
      <c r="Q54" s="599"/>
      <c r="R54" s="599"/>
      <c r="S54" s="599"/>
      <c r="T54" s="599">
        <f>(T46/100)-T50-T51-T52-T53</f>
        <v>-4.0494232022230907</v>
      </c>
      <c r="U54" s="599">
        <f>(U46/100)-U50-U51-U52-U53</f>
        <v>-18.700335060000192</v>
      </c>
      <c r="V54" s="599">
        <f t="shared" si="12"/>
        <v>-14.650911857777102</v>
      </c>
      <c r="W54" s="599"/>
      <c r="X54" s="599"/>
      <c r="Y54" s="599"/>
      <c r="Z54" s="599"/>
      <c r="AA54" s="599"/>
      <c r="AB54" s="599"/>
      <c r="AC54" s="599"/>
      <c r="AD54" s="599"/>
      <c r="AE54" s="599"/>
      <c r="AF54" s="599"/>
      <c r="AG54" s="599"/>
    </row>
    <row r="55" spans="10:33" x14ac:dyDescent="0.3">
      <c r="J55" s="599"/>
      <c r="K55" s="599"/>
      <c r="L55" s="599"/>
      <c r="M55" s="599"/>
      <c r="N55" s="599"/>
      <c r="O55" s="599"/>
      <c r="P55" s="599"/>
      <c r="Q55" s="599"/>
      <c r="R55" s="599"/>
      <c r="S55" s="599"/>
      <c r="T55" s="599"/>
      <c r="U55" s="599"/>
      <c r="V55" s="599"/>
      <c r="W55" s="599"/>
      <c r="X55" s="599"/>
      <c r="Y55" s="599"/>
      <c r="Z55" s="599"/>
      <c r="AA55" s="599"/>
      <c r="AB55" s="599"/>
      <c r="AC55" s="599"/>
      <c r="AD55" s="599"/>
      <c r="AE55" s="599"/>
      <c r="AF55" s="599"/>
      <c r="AG55" s="599"/>
    </row>
    <row r="56" spans="10:33" x14ac:dyDescent="0.3">
      <c r="J56" s="599"/>
      <c r="K56" s="599"/>
      <c r="L56" s="599"/>
      <c r="M56" s="599"/>
      <c r="N56" s="599"/>
      <c r="O56" s="599"/>
      <c r="P56" s="599"/>
      <c r="Q56" s="599"/>
      <c r="R56" s="599"/>
      <c r="S56" s="599"/>
      <c r="T56" s="599"/>
      <c r="U56" s="599"/>
      <c r="V56" s="599"/>
      <c r="W56" s="599"/>
      <c r="X56" s="599"/>
      <c r="Y56" s="599"/>
      <c r="Z56" s="599"/>
      <c r="AA56" s="599"/>
      <c r="AB56" s="599"/>
      <c r="AC56" s="599"/>
      <c r="AD56" s="599"/>
      <c r="AE56" s="599"/>
      <c r="AF56" s="599"/>
      <c r="AG56" s="599"/>
    </row>
    <row r="57" spans="10:33" x14ac:dyDescent="0.3">
      <c r="J57" s="599"/>
      <c r="K57" s="599"/>
      <c r="L57" s="599"/>
      <c r="M57" s="599"/>
      <c r="N57" s="599"/>
      <c r="O57" s="599"/>
      <c r="P57" s="599"/>
      <c r="Q57" s="599"/>
      <c r="R57" s="599"/>
      <c r="S57" s="599"/>
      <c r="T57" s="599"/>
      <c r="U57" s="599"/>
      <c r="V57" s="599"/>
      <c r="W57" s="599"/>
      <c r="X57" s="599"/>
      <c r="Y57" s="599"/>
      <c r="Z57" s="599"/>
      <c r="AA57" s="599"/>
      <c r="AB57" s="599"/>
      <c r="AC57" s="599"/>
      <c r="AD57" s="599"/>
      <c r="AE57" s="599"/>
      <c r="AF57" s="599"/>
      <c r="AG57" s="599"/>
    </row>
  </sheetData>
  <mergeCells count="4">
    <mergeCell ref="H5:I6"/>
    <mergeCell ref="H28:I28"/>
    <mergeCell ref="Y43:AG43"/>
    <mergeCell ref="I46:I47"/>
  </mergeCells>
  <phoneticPr fontId="1" type="noConversion"/>
  <printOptions horizontalCentered="1"/>
  <pageMargins left="0.15748031496062992" right="0.15748031496062992" top="0.39370078740157483" bottom="0.35433070866141736" header="0.31496062992125984" footer="0.31496062992125984"/>
  <pageSetup paperSize="9" scale="57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CB5C6-6B54-4BD2-9BBC-FD101DF49F35}">
  <sheetPr>
    <tabColor theme="1" tint="0.249977111117893"/>
    <pageSetUpPr fitToPage="1"/>
  </sheetPr>
  <dimension ref="D1:Z52"/>
  <sheetViews>
    <sheetView showGridLines="0" showZeros="0" view="pageBreakPreview" zoomScale="60" zoomScaleNormal="85" workbookViewId="0">
      <pane xSplit="4" ySplit="7" topLeftCell="E8" activePane="bottomRight" state="frozen"/>
      <selection activeCell="C32" sqref="C32"/>
      <selection pane="topRight" activeCell="C32" sqref="C32"/>
      <selection pane="bottomLeft" activeCell="C32" sqref="C32"/>
      <selection pane="bottomRight" activeCell="C32" sqref="C32"/>
    </sheetView>
  </sheetViews>
  <sheetFormatPr defaultRowHeight="16.5" x14ac:dyDescent="0.3"/>
  <cols>
    <col min="1" max="3" width="5.625" style="6" customWidth="1"/>
    <col min="4" max="4" width="9.875" style="6" customWidth="1"/>
    <col min="5" max="7" width="9.625" style="6" customWidth="1"/>
    <col min="8" max="10" width="8.625" style="6" customWidth="1"/>
    <col min="11" max="23" width="9.625" style="6" customWidth="1"/>
    <col min="24" max="16384" width="9" style="6"/>
  </cols>
  <sheetData>
    <row r="1" spans="4:26" ht="9.9499999999999993" customHeight="1" x14ac:dyDescent="0.3"/>
    <row r="2" spans="4:26" ht="9.9499999999999993" hidden="1" customHeight="1" x14ac:dyDescent="0.3"/>
    <row r="3" spans="4:26" ht="9.9499999999999993" customHeight="1" x14ac:dyDescent="0.3"/>
    <row r="4" spans="4:26" ht="31.5" x14ac:dyDescent="0.3">
      <c r="D4" s="184" t="s">
        <v>220</v>
      </c>
      <c r="F4" s="184"/>
      <c r="I4" s="184"/>
      <c r="J4" s="184"/>
    </row>
    <row r="5" spans="4:26" ht="21.95" customHeight="1" x14ac:dyDescent="0.3">
      <c r="W5" s="186" t="s">
        <v>149</v>
      </c>
    </row>
    <row r="6" spans="4:26" ht="24" customHeight="1" thickBot="1" x14ac:dyDescent="0.35">
      <c r="D6" s="823" t="s">
        <v>11</v>
      </c>
      <c r="E6" s="439" t="s">
        <v>143</v>
      </c>
      <c r="F6" s="440"/>
      <c r="G6" s="441"/>
      <c r="H6" s="439" t="s">
        <v>144</v>
      </c>
      <c r="I6" s="440"/>
      <c r="J6" s="440"/>
      <c r="K6" s="441"/>
      <c r="L6" s="439" t="s">
        <v>145</v>
      </c>
      <c r="M6" s="440"/>
      <c r="N6" s="440"/>
      <c r="O6" s="441"/>
      <c r="P6" s="439" t="s">
        <v>146</v>
      </c>
      <c r="Q6" s="440"/>
      <c r="R6" s="440"/>
      <c r="S6" s="441"/>
      <c r="T6" s="439" t="s">
        <v>147</v>
      </c>
      <c r="U6" s="440"/>
      <c r="V6" s="440"/>
      <c r="W6" s="441"/>
    </row>
    <row r="7" spans="4:26" ht="24" customHeight="1" x14ac:dyDescent="0.3">
      <c r="D7" s="824"/>
      <c r="E7" s="442" t="s">
        <v>12</v>
      </c>
      <c r="F7" s="443" t="s">
        <v>13</v>
      </c>
      <c r="G7" s="444" t="s">
        <v>37</v>
      </c>
      <c r="H7" s="442" t="s">
        <v>15</v>
      </c>
      <c r="I7" s="443" t="s">
        <v>16</v>
      </c>
      <c r="J7" s="445" t="s">
        <v>37</v>
      </c>
      <c r="K7" s="446" t="s">
        <v>148</v>
      </c>
      <c r="L7" s="442" t="s">
        <v>15</v>
      </c>
      <c r="M7" s="443" t="s">
        <v>16</v>
      </c>
      <c r="N7" s="445" t="s">
        <v>37</v>
      </c>
      <c r="O7" s="446" t="s">
        <v>148</v>
      </c>
      <c r="P7" s="442" t="s">
        <v>15</v>
      </c>
      <c r="Q7" s="443" t="s">
        <v>16</v>
      </c>
      <c r="R7" s="445" t="s">
        <v>37</v>
      </c>
      <c r="S7" s="446" t="s">
        <v>148</v>
      </c>
      <c r="T7" s="442" t="s">
        <v>15</v>
      </c>
      <c r="U7" s="443" t="s">
        <v>16</v>
      </c>
      <c r="V7" s="445" t="s">
        <v>37</v>
      </c>
      <c r="W7" s="446" t="s">
        <v>148</v>
      </c>
    </row>
    <row r="8" spans="4:26" ht="24" customHeight="1" x14ac:dyDescent="0.3">
      <c r="D8" s="470" t="s">
        <v>41</v>
      </c>
      <c r="E8" s="460">
        <f>+[5]합계!$H$86/1000</f>
        <v>5187.0569963820726</v>
      </c>
      <c r="F8" s="462">
        <f>+[5]합계!$I$86/1000</f>
        <v>5062.7821059999978</v>
      </c>
      <c r="G8" s="461">
        <f>+F8-E8</f>
        <v>-124.27489038207477</v>
      </c>
      <c r="H8" s="460">
        <f>+[5]합계!$T$5/1000</f>
        <v>314</v>
      </c>
      <c r="I8" s="462">
        <f>+[5]합계!$U$5/1000</f>
        <v>347.12900000000002</v>
      </c>
      <c r="J8" s="461">
        <f>+I8-H8</f>
        <v>33.129000000000019</v>
      </c>
      <c r="K8" s="464">
        <f>+[5]합계!$M$86/1000</f>
        <v>615.45645321626216</v>
      </c>
      <c r="L8" s="460">
        <f>+[5]합계!$Q$85</f>
        <v>102227.07458096102</v>
      </c>
      <c r="M8" s="462">
        <f>+[5]합계!$R$85</f>
        <v>101219.55379406505</v>
      </c>
      <c r="N8" s="461">
        <f>+M8-L8</f>
        <v>-1007.5207868959696</v>
      </c>
      <c r="O8" s="464">
        <f>+[5]합계!$K$86/1000</f>
        <v>-347.56746841786332</v>
      </c>
      <c r="P8" s="460">
        <f>+[5]합계!$Q$50</f>
        <v>82534.986238977246</v>
      </c>
      <c r="Q8" s="462">
        <f>+[5]합계!$R$50</f>
        <v>83605.353571894055</v>
      </c>
      <c r="R8" s="461">
        <f>+Q8-P8</f>
        <v>1070.3673329168087</v>
      </c>
      <c r="S8" s="464">
        <f>+[5]합계!$L$56/1000</f>
        <v>-308.9884558912986</v>
      </c>
      <c r="T8" s="460">
        <f>+([5]합계!$H$80+[5]합계!$H$85)/1000</f>
        <v>996.25874300082376</v>
      </c>
      <c r="U8" s="462">
        <f>+([5]합계!$I$80+[5]합계!$I$85)/1000</f>
        <v>1079.4341622899999</v>
      </c>
      <c r="V8" s="461">
        <f>+U8-T8</f>
        <v>83.175419289176148</v>
      </c>
      <c r="W8" s="469">
        <f>+([5]합계!$L$80+[5]합계!$L$85)/1000</f>
        <v>-83.175419289176205</v>
      </c>
      <c r="Y8" s="6">
        <f>+G8-K8-O8-S8-W8</f>
        <v>1.1937117960769683E-12</v>
      </c>
      <c r="Z8" s="6">
        <f>+Y8*1000000</f>
        <v>1.1937117960769683E-6</v>
      </c>
    </row>
    <row r="9" spans="4:26" ht="24" customHeight="1" x14ac:dyDescent="0.3">
      <c r="D9" s="471" t="s">
        <v>19</v>
      </c>
      <c r="E9" s="465">
        <f>+[5]수도권!$H$86/1000</f>
        <v>1914.9022697886153</v>
      </c>
      <c r="F9" s="479">
        <f>+[5]수도권!$I$86/1000</f>
        <v>1345.1498929999973</v>
      </c>
      <c r="G9" s="466">
        <f t="shared" ref="G9:G28" si="0">+F9-E9</f>
        <v>-569.75237678861799</v>
      </c>
      <c r="H9" s="465">
        <f>+[5]수도권!$T$5/1000</f>
        <v>125.5</v>
      </c>
      <c r="I9" s="479">
        <f>+[5]수도권!$U$5/1000</f>
        <v>120.114</v>
      </c>
      <c r="J9" s="466">
        <f t="shared" ref="J9:J28" si="1">+I9-H9</f>
        <v>-5.3859999999999957</v>
      </c>
      <c r="K9" s="482">
        <f>+[5]수도권!$M$86/1000</f>
        <v>-121.72592766769388</v>
      </c>
      <c r="L9" s="465">
        <f>+[5]수도권!$Q$85</f>
        <v>100452.98328622917</v>
      </c>
      <c r="M9" s="479">
        <f>+[5]수도권!$R$85</f>
        <v>99353.382025602928</v>
      </c>
      <c r="N9" s="466">
        <f t="shared" ref="N9:N28" si="2">+M9-L9</f>
        <v>-1099.6012606262375</v>
      </c>
      <c r="O9" s="482">
        <f>+[5]수도권!$K$86/1000</f>
        <v>-130.21917968840154</v>
      </c>
      <c r="P9" s="465">
        <f>+[5]수도권!$Q$50</f>
        <v>82712.009760551664</v>
      </c>
      <c r="Q9" s="479">
        <f>+[5]수도권!$R$50</f>
        <v>85330.052723558008</v>
      </c>
      <c r="R9" s="466">
        <f t="shared" ref="R9:R28" si="3">+Q9-P9</f>
        <v>2618.0429630063445</v>
      </c>
      <c r="S9" s="482">
        <f>+[5]수도권!$L$56/1000</f>
        <v>-310.07499958643132</v>
      </c>
      <c r="T9" s="465">
        <f>+([5]수도권!$H$80+[5]수도권!$H$85)/1000</f>
        <v>311.58990768391118</v>
      </c>
      <c r="U9" s="479">
        <f>+([5]수도권!$I$80+[5]수도권!$I$85)/1000</f>
        <v>319.32217752999998</v>
      </c>
      <c r="V9" s="466">
        <f t="shared" ref="V9:V28" si="4">+U9-T9</f>
        <v>7.7322698460887977</v>
      </c>
      <c r="W9" s="482">
        <f>+([5]수도권!$L$80+[5]수도권!$L$85)/1000</f>
        <v>-7.7322698460888821</v>
      </c>
      <c r="Y9" s="6">
        <f t="shared" ref="Y9:Y28" si="5">+G9-K9-O9-S9-W9</f>
        <v>-2.3598900611432327E-12</v>
      </c>
      <c r="Z9" s="6">
        <f t="shared" ref="Z9:Z28" si="6">+Y9*1000000</f>
        <v>-2.3598900611432327E-6</v>
      </c>
    </row>
    <row r="10" spans="4:26" ht="24" customHeight="1" x14ac:dyDescent="0.3">
      <c r="D10" s="472" t="s">
        <v>20</v>
      </c>
      <c r="E10" s="467">
        <f>+[5]영남권!$H$86/1000</f>
        <v>2145.7120934187292</v>
      </c>
      <c r="F10" s="480">
        <f>+[5]영남권!$I$86/1000</f>
        <v>2214.5420289999988</v>
      </c>
      <c r="G10" s="477">
        <f t="shared" si="0"/>
        <v>68.829935581269638</v>
      </c>
      <c r="H10" s="467">
        <f>+[5]영남권!$T$5/1000</f>
        <v>132</v>
      </c>
      <c r="I10" s="480">
        <f>+[5]영남권!$U$5/1000</f>
        <v>158.13399999999999</v>
      </c>
      <c r="J10" s="477">
        <f t="shared" si="1"/>
        <v>26.133999999999986</v>
      </c>
      <c r="K10" s="483">
        <f>+[5]영남권!$M$86/1000</f>
        <v>516.32580865099885</v>
      </c>
      <c r="L10" s="467">
        <f>+[5]영남권!$Q$85</f>
        <v>102187.09313636363</v>
      </c>
      <c r="M10" s="480">
        <f>+[5]영남권!$R$85</f>
        <v>100729.73295151837</v>
      </c>
      <c r="N10" s="477">
        <f t="shared" si="2"/>
        <v>-1457.3601848452672</v>
      </c>
      <c r="O10" s="483">
        <f>+[5]영남권!$K$86/1000</f>
        <v>-229.7790656241836</v>
      </c>
      <c r="P10" s="467">
        <f>+[5]영남권!$Q$50</f>
        <v>82138.721286161075</v>
      </c>
      <c r="Q10" s="480">
        <f>+[5]영남권!$R$50</f>
        <v>83539.108013981415</v>
      </c>
      <c r="R10" s="477">
        <f t="shared" si="3"/>
        <v>1400.3867278203397</v>
      </c>
      <c r="S10" s="483">
        <f>+[5]영남권!$L$56/1000</f>
        <v>-160.49196310355734</v>
      </c>
      <c r="T10" s="467">
        <f>+([5]영남권!$H$80+[5]영남권!$H$85)/1000</f>
        <v>500.67299080800962</v>
      </c>
      <c r="U10" s="480">
        <f>+([5]영남권!$I$80+[5]영남권!$I$85)/1000</f>
        <v>557.89783515000011</v>
      </c>
      <c r="V10" s="477">
        <f t="shared" si="4"/>
        <v>57.22484434199049</v>
      </c>
      <c r="W10" s="483">
        <f>+([5]영남권!$L$80+[5]영남권!$L$85)/1000</f>
        <v>-57.224844341990433</v>
      </c>
      <c r="Y10" s="6">
        <f t="shared" si="5"/>
        <v>2.1600499167107046E-12</v>
      </c>
      <c r="Z10" s="6">
        <f t="shared" si="6"/>
        <v>2.1600499167107046E-6</v>
      </c>
    </row>
    <row r="11" spans="4:26" ht="24" customHeight="1" x14ac:dyDescent="0.3">
      <c r="D11" s="473" t="s">
        <v>57</v>
      </c>
      <c r="E11" s="468">
        <f>+[5]중부권!$H$86/1000</f>
        <v>1126.4426331747345</v>
      </c>
      <c r="F11" s="481">
        <f>+[5]중부권!$I$86/1000</f>
        <v>1503.0901840000001</v>
      </c>
      <c r="G11" s="478">
        <f t="shared" si="0"/>
        <v>376.64755082526563</v>
      </c>
      <c r="H11" s="468">
        <f>+[5]중부권!$T$5/1000</f>
        <v>56.5</v>
      </c>
      <c r="I11" s="481">
        <f>+[5]중부권!$U$5/1000</f>
        <v>68.881</v>
      </c>
      <c r="J11" s="478">
        <f t="shared" si="1"/>
        <v>12.381</v>
      </c>
      <c r="K11" s="484">
        <f>+[5]중부권!$M$86/1000</f>
        <v>287.15997862302851</v>
      </c>
      <c r="L11" s="468">
        <f>+[5]중부권!$Q$85</f>
        <v>106261.16322123892</v>
      </c>
      <c r="M11" s="481">
        <f>+[5]중부권!$R$85</f>
        <v>105549.17441674772</v>
      </c>
      <c r="N11" s="478">
        <f t="shared" si="2"/>
        <v>-711.9888044912077</v>
      </c>
      <c r="O11" s="484">
        <f>+[5]중부권!$K$86/1000</f>
        <v>-49.04250084215888</v>
      </c>
      <c r="P11" s="468">
        <f>+[5]중부권!$Q$50</f>
        <v>83067.56184630729</v>
      </c>
      <c r="Q11" s="481">
        <f>+[5]중부권!$R$50</f>
        <v>80791.926930167087</v>
      </c>
      <c r="R11" s="478">
        <f t="shared" si="3"/>
        <v>-2275.6349161402031</v>
      </c>
      <c r="S11" s="484">
        <f>+[5]중부권!$L$56/1000</f>
        <v>156.7483781454936</v>
      </c>
      <c r="T11" s="468">
        <f>+([5]중부권!$H$80+[5]중부권!$H$85)/1000</f>
        <v>183.99584450890299</v>
      </c>
      <c r="U11" s="481">
        <f>+([5]중부권!$I$80+[5]중부권!$I$85)/1000</f>
        <v>202.21414961000002</v>
      </c>
      <c r="V11" s="478">
        <f t="shared" si="4"/>
        <v>18.21830510109703</v>
      </c>
      <c r="W11" s="484">
        <f>+([5]중부권!$L$80+[5]중부권!$L$85)/1000</f>
        <v>-18.218305101097034</v>
      </c>
      <c r="Y11" s="6">
        <f t="shared" si="5"/>
        <v>-5.6488147492927965E-13</v>
      </c>
      <c r="Z11" s="6">
        <f t="shared" si="6"/>
        <v>-5.6488147492927965E-7</v>
      </c>
    </row>
    <row r="12" spans="4:26" ht="24" customHeight="1" x14ac:dyDescent="0.3">
      <c r="D12" s="474" t="s">
        <v>22</v>
      </c>
      <c r="E12" s="447">
        <f>+[5]안양!$H$86/1000</f>
        <v>706.36515684554627</v>
      </c>
      <c r="F12" s="448">
        <f>+[5]안양!$I$86/1000</f>
        <v>470.16460599999982</v>
      </c>
      <c r="G12" s="449">
        <f t="shared" si="0"/>
        <v>-236.20055084554645</v>
      </c>
      <c r="H12" s="447">
        <f>+[5]안양!$T$5/1000</f>
        <v>44</v>
      </c>
      <c r="I12" s="448">
        <f>+[5]안양!$U$5/1000</f>
        <v>40.606000000000002</v>
      </c>
      <c r="J12" s="450">
        <f t="shared" si="1"/>
        <v>-3.3939999999999984</v>
      </c>
      <c r="K12" s="74">
        <f>+[5]안양!$M$86/1000</f>
        <v>-61.929621695272857</v>
      </c>
      <c r="L12" s="447">
        <f>+[5]안양!$Q$85</f>
        <v>101314.72954545455</v>
      </c>
      <c r="M12" s="448">
        <f>+[5]안양!$R$85</f>
        <v>101543.97468354431</v>
      </c>
      <c r="N12" s="450">
        <f t="shared" si="2"/>
        <v>229.24513808975462</v>
      </c>
      <c r="O12" s="74">
        <f>+[5]안양!$K$86/1000</f>
        <v>9.3087280772725745</v>
      </c>
      <c r="P12" s="447">
        <f>+[5]안양!$Q$50</f>
        <v>83067.934703005274</v>
      </c>
      <c r="Q12" s="448">
        <f>+[5]안양!$R$50</f>
        <v>87520.002043730914</v>
      </c>
      <c r="R12" s="450">
        <f t="shared" si="3"/>
        <v>4452.06734072564</v>
      </c>
      <c r="S12" s="74">
        <f>+[5]안양!$L$56/1000</f>
        <v>-180.76030250976814</v>
      </c>
      <c r="T12" s="447">
        <f>+([5]안양!$H$80+[5]안양!$H$85)/1000</f>
        <v>96.493816222222208</v>
      </c>
      <c r="U12" s="448">
        <f>+([5]안양!$I$80+[5]안양!$I$85)/1000</f>
        <v>99.313170939999992</v>
      </c>
      <c r="V12" s="450">
        <f t="shared" si="4"/>
        <v>2.8193547177777845</v>
      </c>
      <c r="W12" s="74">
        <f>+([5]안양!$L$80+[5]안양!$L$85)/1000</f>
        <v>-2.8193547177777964</v>
      </c>
      <c r="Y12" s="6">
        <f t="shared" si="5"/>
        <v>-2.2959412149248237E-13</v>
      </c>
      <c r="Z12" s="6">
        <f t="shared" si="6"/>
        <v>-2.2959412149248237E-7</v>
      </c>
    </row>
    <row r="13" spans="4:26" ht="24" customHeight="1" x14ac:dyDescent="0.3">
      <c r="D13" s="475" t="s">
        <v>23</v>
      </c>
      <c r="E13" s="452">
        <f>+[5]인천!$H$86/1000</f>
        <v>473.62349118486668</v>
      </c>
      <c r="F13" s="453">
        <f>+[5]인천!$I$86/1000</f>
        <v>266.18333799999959</v>
      </c>
      <c r="G13" s="189">
        <f t="shared" si="0"/>
        <v>-207.44015318486709</v>
      </c>
      <c r="H13" s="452">
        <f>+[5]인천!$T$5/1000</f>
        <v>35</v>
      </c>
      <c r="I13" s="453">
        <f>+[5]인천!$U$5/1000</f>
        <v>30.155999999999999</v>
      </c>
      <c r="J13" s="165">
        <f t="shared" si="1"/>
        <v>-4.8440000000000012</v>
      </c>
      <c r="K13" s="454">
        <f>+[5]인천!$M$86/1000</f>
        <v>-78.880221855705599</v>
      </c>
      <c r="L13" s="452">
        <f>+[5]인천!$Q$85</f>
        <v>102700.53742857142</v>
      </c>
      <c r="M13" s="453">
        <f>+[5]인천!$R$85</f>
        <v>97709.509119246577</v>
      </c>
      <c r="N13" s="165">
        <f t="shared" si="2"/>
        <v>-4991.0283093248436</v>
      </c>
      <c r="O13" s="454">
        <f>+[5]인천!$K$86/1000</f>
        <v>-150.50944969599996</v>
      </c>
      <c r="P13" s="452">
        <f>+[5]인천!$Q$50</f>
        <v>86416.428870415883</v>
      </c>
      <c r="Q13" s="453">
        <f>+[5]인천!$R$50</f>
        <v>85629.549025457425</v>
      </c>
      <c r="R13" s="165">
        <f t="shared" si="3"/>
        <v>-786.8798449584574</v>
      </c>
      <c r="S13" s="454">
        <f>+[5]인천!$L$56/1000</f>
        <v>23.668695656260198</v>
      </c>
      <c r="T13" s="452">
        <f>+([5]인천!$H$80+[5]인천!$H$85)/1000</f>
        <v>96.32030835057779</v>
      </c>
      <c r="U13" s="453">
        <f>+([5]인천!$I$80+[5]인천!$I$85)/1000</f>
        <v>98.039485639999995</v>
      </c>
      <c r="V13" s="165">
        <f t="shared" si="4"/>
        <v>1.7191772894222055</v>
      </c>
      <c r="W13" s="454">
        <f>+([5]인천!$L$80+[5]인천!$L$85)/1000</f>
        <v>-1.7191772894221988</v>
      </c>
      <c r="Y13" s="6">
        <f t="shared" si="5"/>
        <v>4.7650772216911719E-13</v>
      </c>
      <c r="Z13" s="6">
        <f t="shared" si="6"/>
        <v>4.7650772216911719E-7</v>
      </c>
    </row>
    <row r="14" spans="4:26" ht="24" customHeight="1" x14ac:dyDescent="0.3">
      <c r="D14" s="475" t="s">
        <v>24</v>
      </c>
      <c r="E14" s="452">
        <f>+[5]파주!$H$86/1000</f>
        <v>439.03036535621641</v>
      </c>
      <c r="F14" s="453">
        <f>+[5]파주!$I$86/1000</f>
        <v>254.15167899999969</v>
      </c>
      <c r="G14" s="189">
        <f t="shared" si="0"/>
        <v>-184.87868635621672</v>
      </c>
      <c r="H14" s="452">
        <f>+[5]파주!$T$5/1000</f>
        <v>28</v>
      </c>
      <c r="I14" s="453">
        <f>+[5]파주!$U$5/1000</f>
        <v>28.609000000000002</v>
      </c>
      <c r="J14" s="165">
        <f t="shared" si="1"/>
        <v>0.60900000000000176</v>
      </c>
      <c r="K14" s="454">
        <f>+[5]파주!$M$86/1000</f>
        <v>-7.7551393998352065</v>
      </c>
      <c r="L14" s="452">
        <f>+[5]파주!$Q$85</f>
        <v>99166.464015062884</v>
      </c>
      <c r="M14" s="453">
        <f>+[5]파주!$R$85</f>
        <v>95934.037841574798</v>
      </c>
      <c r="N14" s="165">
        <f t="shared" si="2"/>
        <v>-3232.4261734880856</v>
      </c>
      <c r="O14" s="454">
        <f>+[5]파주!$K$86/1000</f>
        <v>-88.836768525973056</v>
      </c>
      <c r="P14" s="452">
        <f>+[5]파주!$Q$50</f>
        <v>81131.76498249959</v>
      </c>
      <c r="Q14" s="453">
        <f>+[5]파주!$R$50</f>
        <v>84362.055040197898</v>
      </c>
      <c r="R14" s="165">
        <f t="shared" si="3"/>
        <v>3230.2900576983084</v>
      </c>
      <c r="S14" s="454">
        <f>+[5]파주!$L$56/1000</f>
        <v>-88.784748315963796</v>
      </c>
      <c r="T14" s="452">
        <f>+([5]파주!$H$80+[5]파주!$H$85)/1000</f>
        <v>65.941207555555565</v>
      </c>
      <c r="U14" s="453">
        <f>+([5]파주!$I$80+[5]파주!$I$85)/1000</f>
        <v>65.443237670000002</v>
      </c>
      <c r="V14" s="165">
        <f t="shared" si="4"/>
        <v>-0.49796988555556254</v>
      </c>
      <c r="W14" s="454">
        <f>+([5]파주!$L$80+[5]파주!$L$85)/1000</f>
        <v>0.4979698855555546</v>
      </c>
      <c r="Y14" s="6">
        <f t="shared" si="5"/>
        <v>-2.1943558081716219E-13</v>
      </c>
      <c r="Z14" s="6">
        <f t="shared" si="6"/>
        <v>-2.1943558081716219E-7</v>
      </c>
    </row>
    <row r="15" spans="4:26" ht="24" customHeight="1" x14ac:dyDescent="0.3">
      <c r="D15" s="475" t="s">
        <v>178</v>
      </c>
      <c r="E15" s="452">
        <f>+[5]김포!$H$86/1000</f>
        <v>295.88325640198582</v>
      </c>
      <c r="F15" s="453">
        <f>+[5]김포!$I$86/1000</f>
        <v>354.65027000000009</v>
      </c>
      <c r="G15" s="189">
        <f t="shared" si="0"/>
        <v>58.767013598014273</v>
      </c>
      <c r="H15" s="452">
        <f>+[5]김포!$T$5/1000</f>
        <v>18.5</v>
      </c>
      <c r="I15" s="453">
        <f>+[5]김포!$U$5/1000</f>
        <v>20.742999999999999</v>
      </c>
      <c r="J15" s="165">
        <f t="shared" si="1"/>
        <v>2.2429999999999986</v>
      </c>
      <c r="K15" s="454">
        <f>+[5]김포!$M$86/1000</f>
        <v>33.888900451714171</v>
      </c>
      <c r="L15" s="452">
        <f>+[5]김포!$Q$85</f>
        <v>96098.459459459467</v>
      </c>
      <c r="M15" s="453">
        <f>+[5]김포!$R$85</f>
        <v>102058.93047227316</v>
      </c>
      <c r="N15" s="165">
        <f t="shared" si="2"/>
        <v>5960.471012813694</v>
      </c>
      <c r="O15" s="454">
        <f>+[5]김포!$K$86/1000</f>
        <v>120.27634456756753</v>
      </c>
      <c r="P15" s="452">
        <f>+[5]김포!$Q$50</f>
        <v>77248.846921213975</v>
      </c>
      <c r="Q15" s="463">
        <f>+[5]김포!$R$50</f>
        <v>81793.497992962977</v>
      </c>
      <c r="R15" s="165">
        <f t="shared" si="3"/>
        <v>4544.6510717490019</v>
      </c>
      <c r="S15" s="454">
        <f>+[5]김포!$L$56/1000</f>
        <v>-91.706523696823382</v>
      </c>
      <c r="T15" s="452">
        <f>+([5]김포!$H$80+[5]김포!$H$85)/1000</f>
        <v>52.834575555555553</v>
      </c>
      <c r="U15" s="453">
        <f>+([5]김포!$I$80+[5]김포!$I$85)/1000</f>
        <v>56.526283280000001</v>
      </c>
      <c r="V15" s="165">
        <f t="shared" si="4"/>
        <v>3.6917077244444485</v>
      </c>
      <c r="W15" s="454">
        <f>+([5]김포!$L$80+[5]김포!$L$85)/1000</f>
        <v>-3.6917077244444481</v>
      </c>
      <c r="Y15" s="6">
        <f t="shared" si="5"/>
        <v>3.9035441545820504E-13</v>
      </c>
      <c r="Z15" s="6">
        <f t="shared" si="6"/>
        <v>3.9035441545820504E-7</v>
      </c>
    </row>
    <row r="16" spans="4:26" ht="24" customHeight="1" x14ac:dyDescent="0.3">
      <c r="D16" s="476" t="s">
        <v>25</v>
      </c>
      <c r="E16" s="455">
        <f>+[5]부산!$H$86/1000</f>
        <v>326.75212452253601</v>
      </c>
      <c r="F16" s="456">
        <f>+[5]부산!$I$86/1000</f>
        <v>411.92410499999971</v>
      </c>
      <c r="G16" s="457">
        <f t="shared" si="0"/>
        <v>85.171980477463705</v>
      </c>
      <c r="H16" s="455">
        <f>+[5]부산!$T$5/1000</f>
        <v>20</v>
      </c>
      <c r="I16" s="456">
        <f>+[5]부산!$U$5/1000</f>
        <v>28.1265</v>
      </c>
      <c r="J16" s="458">
        <f t="shared" si="1"/>
        <v>8.1265000000000001</v>
      </c>
      <c r="K16" s="459">
        <f>+[5]부산!$M$86/1000</f>
        <v>173.98245047473605</v>
      </c>
      <c r="L16" s="455">
        <f>+[5]부산!$Q$85</f>
        <v>107600.29919999998</v>
      </c>
      <c r="M16" s="456">
        <f>+[5]부산!$R$85</f>
        <v>106167.42947042825</v>
      </c>
      <c r="N16" s="458">
        <f t="shared" si="2"/>
        <v>-1432.8697295717284</v>
      </c>
      <c r="O16" s="459">
        <f>+[5]부산!$K$86/1000</f>
        <v>-40.30161044879921</v>
      </c>
      <c r="P16" s="455">
        <f>+[5]부산!$Q$50</f>
        <v>86191.027007206518</v>
      </c>
      <c r="Q16" s="456">
        <f>+[5]부산!$R$50</f>
        <v>88169.298600393799</v>
      </c>
      <c r="R16" s="458">
        <f t="shared" si="3"/>
        <v>1978.2715931872808</v>
      </c>
      <c r="S16" s="459">
        <f>+[5]부산!$L$56/1000</f>
        <v>-16.774082961806062</v>
      </c>
      <c r="T16" s="455">
        <f>+([5]부산!$H$80+[5]부산!$H$85)/1000</f>
        <v>101.43331933333334</v>
      </c>
      <c r="U16" s="456">
        <f>+([5]부산!$I$80+[5]부산!$I$85)/1000</f>
        <v>133.16809592000001</v>
      </c>
      <c r="V16" s="458">
        <f t="shared" si="4"/>
        <v>31.734776586666669</v>
      </c>
      <c r="W16" s="459">
        <f>+([5]부산!$L$80+[5]부산!$L$85)/1000</f>
        <v>-31.734776586666673</v>
      </c>
      <c r="Y16" s="6">
        <f t="shared" si="5"/>
        <v>-4.0500935938325711E-13</v>
      </c>
      <c r="Z16" s="6">
        <f t="shared" si="6"/>
        <v>-4.0500935938325711E-7</v>
      </c>
    </row>
    <row r="17" spans="4:26" ht="24" customHeight="1" x14ac:dyDescent="0.3">
      <c r="D17" s="475" t="s">
        <v>26</v>
      </c>
      <c r="E17" s="452">
        <f>+[5]서부산!$H$86/1000</f>
        <v>492.80377873072268</v>
      </c>
      <c r="F17" s="453">
        <f>+[5]서부산!$I$86/1000</f>
        <v>360.22040399999986</v>
      </c>
      <c r="G17" s="189">
        <f t="shared" si="0"/>
        <v>-132.58337473072282</v>
      </c>
      <c r="H17" s="452">
        <f>+[5]서부산!$T$5/1000</f>
        <v>26</v>
      </c>
      <c r="I17" s="453">
        <f>+[5]서부산!$U$5/1000</f>
        <v>23.975999999999999</v>
      </c>
      <c r="J17" s="165">
        <f t="shared" si="1"/>
        <v>-2.0240000000000009</v>
      </c>
      <c r="K17" s="454">
        <f>+[5]서부산!$M$86/1000</f>
        <v>-44.244255176849776</v>
      </c>
      <c r="L17" s="452">
        <f>+[5]서부산!$Q$85</f>
        <v>103255.2623076923</v>
      </c>
      <c r="M17" s="453">
        <f>+[5]서부산!$R$85</f>
        <v>102586.08608608608</v>
      </c>
      <c r="N17" s="165">
        <f t="shared" si="2"/>
        <v>-669.17622160621977</v>
      </c>
      <c r="O17" s="454">
        <f>+[5]서부산!$K$86/1000</f>
        <v>-16.044169089230724</v>
      </c>
      <c r="P17" s="452">
        <f>+[5]서부산!$Q$50</f>
        <v>81395.452437707252</v>
      </c>
      <c r="Q17" s="453">
        <f>+[5]서부산!$R$50</f>
        <v>84112.605629139071</v>
      </c>
      <c r="R17" s="165">
        <f t="shared" si="3"/>
        <v>2717.1531914318184</v>
      </c>
      <c r="S17" s="454">
        <f>+[5]서부산!$L$56/1000</f>
        <v>-53.017309413531414</v>
      </c>
      <c r="T17" s="452">
        <f>+([5]서부산!$H$80+[5]서부산!$H$85)/1000</f>
        <v>75.551277888888904</v>
      </c>
      <c r="U17" s="453">
        <f>+([5]서부산!$I$80+[5]서부산!$I$85)/1000</f>
        <v>94.828918939999994</v>
      </c>
      <c r="V17" s="165">
        <f t="shared" si="4"/>
        <v>19.27764105111109</v>
      </c>
      <c r="W17" s="454">
        <f>+([5]서부산!$L$80+[5]서부산!$L$85)/1000</f>
        <v>-19.2776410511111</v>
      </c>
      <c r="Y17" s="6">
        <f t="shared" si="5"/>
        <v>1.8829382497642655E-13</v>
      </c>
      <c r="Z17" s="6">
        <f t="shared" si="6"/>
        <v>1.8829382497642655E-7</v>
      </c>
    </row>
    <row r="18" spans="4:26" ht="24" customHeight="1" x14ac:dyDescent="0.3">
      <c r="D18" s="475" t="s">
        <v>27</v>
      </c>
      <c r="E18" s="452">
        <f>+[5]김해!$H$86/1000</f>
        <v>158.87075907559031</v>
      </c>
      <c r="F18" s="453">
        <f>+[5]김해!$I$86/1000</f>
        <v>76.218467000000189</v>
      </c>
      <c r="G18" s="189">
        <f t="shared" si="0"/>
        <v>-82.652292075590125</v>
      </c>
      <c r="H18" s="452">
        <f>+[5]김해!$T$5/1000</f>
        <v>12</v>
      </c>
      <c r="I18" s="453">
        <f>+[5]김해!$U$5/1000</f>
        <v>14.268000000000001</v>
      </c>
      <c r="J18" s="165">
        <f t="shared" si="1"/>
        <v>2.2680000000000007</v>
      </c>
      <c r="K18" s="454">
        <f>+[5]김해!$M$86/1000</f>
        <v>32.692737390332653</v>
      </c>
      <c r="L18" s="452">
        <f>+[5]김해!$Q$85</f>
        <v>101000.2</v>
      </c>
      <c r="M18" s="453">
        <f>+[5]김해!$R$85</f>
        <v>93214.324011012912</v>
      </c>
      <c r="N18" s="165">
        <f t="shared" si="2"/>
        <v>-7785.8759889870853</v>
      </c>
      <c r="O18" s="454">
        <f>+[5]김해!$K$86/1000</f>
        <v>-107.46066039999974</v>
      </c>
      <c r="P18" s="452">
        <f>+[5]김해!$Q$50</f>
        <v>83814.552169626724</v>
      </c>
      <c r="Q18" s="453">
        <f>+[5]김해!$R$50</f>
        <v>84274.454137081571</v>
      </c>
      <c r="R18" s="165">
        <f t="shared" si="3"/>
        <v>459.90196745484718</v>
      </c>
      <c r="S18" s="454">
        <f>+[5]김해!$L$56/1000</f>
        <v>-2.9895827348117345</v>
      </c>
      <c r="T18" s="452">
        <f>+([5]김해!$H$80+[5]김해!$H$85)/1000</f>
        <v>47.357014888888884</v>
      </c>
      <c r="U18" s="453">
        <f>+([5]김해!$I$80+[5]김해!$I$85)/1000</f>
        <v>52.251801220000011</v>
      </c>
      <c r="V18" s="165">
        <f t="shared" si="4"/>
        <v>4.8947863311111277</v>
      </c>
      <c r="W18" s="454">
        <f>+([5]김해!$L$80+[5]김해!$L$85)/1000</f>
        <v>-4.8947863311111144</v>
      </c>
      <c r="Y18" s="6">
        <f t="shared" si="5"/>
        <v>-1.900701818158268E-13</v>
      </c>
      <c r="Z18" s="6">
        <f t="shared" si="6"/>
        <v>-1.900701818158268E-7</v>
      </c>
    </row>
    <row r="19" spans="4:26" ht="24" customHeight="1" x14ac:dyDescent="0.3">
      <c r="D19" s="475" t="s">
        <v>28</v>
      </c>
      <c r="E19" s="452">
        <f>+[5]정관!$H$86/1000</f>
        <v>267.50167308085503</v>
      </c>
      <c r="F19" s="453">
        <f>+[5]정관!$I$86/1000</f>
        <v>313.18669100000017</v>
      </c>
      <c r="G19" s="189">
        <f t="shared" si="0"/>
        <v>45.685017919145139</v>
      </c>
      <c r="H19" s="452">
        <f>+[5]정관!$T$5/1000</f>
        <v>18</v>
      </c>
      <c r="I19" s="453">
        <f>+[5]정관!$U$5/1000</f>
        <v>24.315000000000001</v>
      </c>
      <c r="J19" s="165">
        <f t="shared" si="1"/>
        <v>6.3150000000000013</v>
      </c>
      <c r="K19" s="454">
        <f>+[5]정관!$M$86/1000</f>
        <v>117.88968875864451</v>
      </c>
      <c r="L19" s="452">
        <f>+[5]정관!$Q$85</f>
        <v>104000</v>
      </c>
      <c r="M19" s="453">
        <f>+[5]정관!$R$85</f>
        <v>101381.18856672835</v>
      </c>
      <c r="N19" s="165">
        <f t="shared" si="2"/>
        <v>-2618.8114332716505</v>
      </c>
      <c r="O19" s="454">
        <f>+[5]정관!$K$86/1000</f>
        <v>-63.676400000000179</v>
      </c>
      <c r="P19" s="452">
        <f>+[5]정관!$Q$50</f>
        <v>85331.799088100641</v>
      </c>
      <c r="Q19" s="453">
        <f>+[5]정관!$R$50</f>
        <v>85724.931335060232</v>
      </c>
      <c r="R19" s="165">
        <f t="shared" si="3"/>
        <v>393.1322469595907</v>
      </c>
      <c r="S19" s="454">
        <f>+[5]정관!$L$56/1000</f>
        <v>-4.4279933728329786</v>
      </c>
      <c r="T19" s="452">
        <f>+([5]정관!$H$80+[5]정관!$H$85)/1000</f>
        <v>68.525943333333331</v>
      </c>
      <c r="U19" s="453">
        <f>+([5]정관!$I$80+[5]정관!$I$85)/1000</f>
        <v>72.626220800000013</v>
      </c>
      <c r="V19" s="165">
        <f t="shared" si="4"/>
        <v>4.1002774666666824</v>
      </c>
      <c r="W19" s="454">
        <f>+([5]정관!$L$80+[5]정관!$L$85)/1000</f>
        <v>-4.1002774666666717</v>
      </c>
      <c r="Y19" s="6">
        <f t="shared" si="5"/>
        <v>4.5741188614556449E-13</v>
      </c>
      <c r="Z19" s="6">
        <f t="shared" si="6"/>
        <v>4.5741188614556449E-7</v>
      </c>
    </row>
    <row r="20" spans="4:26" ht="24" customHeight="1" x14ac:dyDescent="0.3">
      <c r="D20" s="475" t="s">
        <v>29</v>
      </c>
      <c r="E20" s="452">
        <f>+[5]양산!$H$86/1000</f>
        <v>162.37087051750768</v>
      </c>
      <c r="F20" s="453">
        <f>+[5]양산!$I$86/1000</f>
        <v>152.3402339999999</v>
      </c>
      <c r="G20" s="189">
        <f t="shared" si="0"/>
        <v>-10.030636517507787</v>
      </c>
      <c r="H20" s="452">
        <f>+[5]양산!$T$5/1000</f>
        <v>11.5</v>
      </c>
      <c r="I20" s="453">
        <f>+[5]양산!$U$5/1000</f>
        <v>14.568</v>
      </c>
      <c r="J20" s="165">
        <f t="shared" si="1"/>
        <v>3.0679999999999996</v>
      </c>
      <c r="K20" s="454">
        <f>+[5]양산!$M$86/1000</f>
        <v>55.732391244574075</v>
      </c>
      <c r="L20" s="452">
        <f>+[5]양산!$Q$85</f>
        <v>96764.877391304355</v>
      </c>
      <c r="M20" s="453">
        <f>+[5]양산!$R$85</f>
        <v>93528.677924217467</v>
      </c>
      <c r="N20" s="165">
        <f t="shared" si="2"/>
        <v>-3236.199467086888</v>
      </c>
      <c r="O20" s="454">
        <f>+[5]양산!$K$86/1000</f>
        <v>-47.144953836521779</v>
      </c>
      <c r="P20" s="452">
        <f>+[5]양산!$Q$50</f>
        <v>78599.169684467954</v>
      </c>
      <c r="Q20" s="453">
        <f>+[5]양산!$R$50</f>
        <v>80480.226773706599</v>
      </c>
      <c r="R20" s="165">
        <f t="shared" si="3"/>
        <v>1881.0570892386459</v>
      </c>
      <c r="S20" s="454">
        <f>+[5]양산!$L$56/1000</f>
        <v>-27.363225266671016</v>
      </c>
      <c r="T20" s="452">
        <f>+([5]양산!$H$80+[5]양산!$H$85)/1000</f>
        <v>46.534768111111113</v>
      </c>
      <c r="U20" s="453">
        <f>+([5]양산!$I$80+[5]양산!$I$85)/1000</f>
        <v>37.789616770000002</v>
      </c>
      <c r="V20" s="165">
        <f t="shared" si="4"/>
        <v>-8.7451513411111108</v>
      </c>
      <c r="W20" s="454">
        <f>+([5]양산!$L$80+[5]양산!$L$85)/1000</f>
        <v>8.7451513411111126</v>
      </c>
      <c r="Y20" s="6">
        <f t="shared" si="5"/>
        <v>-1.794120407794253E-13</v>
      </c>
      <c r="Z20" s="6">
        <f t="shared" si="6"/>
        <v>-1.794120407794253E-7</v>
      </c>
    </row>
    <row r="21" spans="4:26" ht="24" customHeight="1" x14ac:dyDescent="0.3">
      <c r="D21" s="475" t="s">
        <v>30</v>
      </c>
      <c r="E21" s="452">
        <f>+[5]창원!$H$86/1000</f>
        <v>336.50847634502287</v>
      </c>
      <c r="F21" s="453">
        <f>+[5]창원!$I$86/1000</f>
        <v>309.32628999999997</v>
      </c>
      <c r="G21" s="189">
        <f t="shared" si="0"/>
        <v>-27.182186345022899</v>
      </c>
      <c r="H21" s="452">
        <f>+[5]창원!$T$5/1000</f>
        <v>18</v>
      </c>
      <c r="I21" s="453">
        <f>+[5]창원!$U$5/1000</f>
        <v>20.168500000000002</v>
      </c>
      <c r="J21" s="165">
        <f t="shared" si="1"/>
        <v>2.1685000000000016</v>
      </c>
      <c r="K21" s="454">
        <f>+[5]창원!$M$86/1000</f>
        <v>49.305203562790993</v>
      </c>
      <c r="L21" s="452">
        <f>+[5]창원!$Q$85</f>
        <v>101626.88888888889</v>
      </c>
      <c r="M21" s="453">
        <f>+[5]창원!$R$85</f>
        <v>98673.837915561395</v>
      </c>
      <c r="N21" s="165">
        <f t="shared" si="2"/>
        <v>-2953.0509733274957</v>
      </c>
      <c r="O21" s="454">
        <f>+[5]창원!$K$86/1000</f>
        <v>-59.558608555555601</v>
      </c>
      <c r="P21" s="452">
        <f>+[5]창원!$Q$50</f>
        <v>78889.880098116017</v>
      </c>
      <c r="Q21" s="453">
        <f>+[5]창원!$R$50</f>
        <v>79559.335002603068</v>
      </c>
      <c r="R21" s="165">
        <f t="shared" si="3"/>
        <v>669.45490448705095</v>
      </c>
      <c r="S21" s="454">
        <f>+[5]창원!$L$56/1000</f>
        <v>-13.101688021147357</v>
      </c>
      <c r="T21" s="452">
        <f>+([5]창원!$H$80+[5]창원!$H$85)/1000</f>
        <v>72.757681888888882</v>
      </c>
      <c r="U21" s="453">
        <f>+([5]창원!$I$80+[5]창원!$I$85)/1000</f>
        <v>76.584775219999997</v>
      </c>
      <c r="V21" s="165">
        <f t="shared" si="4"/>
        <v>3.827093331111115</v>
      </c>
      <c r="W21" s="454">
        <f>+([5]창원!$L$80+[5]창원!$L$85)/1000</f>
        <v>-3.8270933311111128</v>
      </c>
      <c r="Y21" s="6">
        <f t="shared" si="5"/>
        <v>1.7896795156957523E-13</v>
      </c>
      <c r="Z21" s="6">
        <f t="shared" si="6"/>
        <v>1.7896795156957523E-7</v>
      </c>
    </row>
    <row r="22" spans="4:26" ht="24" customHeight="1" x14ac:dyDescent="0.3">
      <c r="D22" s="475" t="s">
        <v>95</v>
      </c>
      <c r="E22" s="452">
        <f>+[5]대구!$H$86/1000</f>
        <v>296.33175616597543</v>
      </c>
      <c r="F22" s="453">
        <f>+[5]대구!$I$86/1000</f>
        <v>403.78827799999988</v>
      </c>
      <c r="G22" s="189">
        <f t="shared" si="0"/>
        <v>107.45652183402444</v>
      </c>
      <c r="H22" s="452">
        <f>+[5]대구!$T$5/1000</f>
        <v>16.5</v>
      </c>
      <c r="I22" s="453">
        <f>+[5]대구!$U$5/1000</f>
        <v>20.795000000000002</v>
      </c>
      <c r="J22" s="165">
        <f t="shared" si="1"/>
        <v>4.2950000000000017</v>
      </c>
      <c r="K22" s="454">
        <f>+[5]대구!$M$86/1000</f>
        <v>90.076230806527946</v>
      </c>
      <c r="L22" s="452">
        <f>+[5]대구!$Q$85</f>
        <v>97760</v>
      </c>
      <c r="M22" s="453">
        <f>+[5]대구!$R$85</f>
        <v>100540.06732387593</v>
      </c>
      <c r="N22" s="165">
        <f t="shared" si="2"/>
        <v>2780.0673238759337</v>
      </c>
      <c r="O22" s="454">
        <f>+[5]대구!$K$86/1000</f>
        <v>57.811500000000038</v>
      </c>
      <c r="P22" s="452">
        <f>+[5]대구!$Q$50</f>
        <v>76787.652897199558</v>
      </c>
      <c r="Q22" s="453">
        <f>+[5]대구!$R$50</f>
        <v>78688.327530656417</v>
      </c>
      <c r="R22" s="165">
        <f t="shared" si="3"/>
        <v>1900.6746334568597</v>
      </c>
      <c r="S22" s="454">
        <f>+[5]대구!$L$56/1000</f>
        <v>-39.524547422735331</v>
      </c>
      <c r="T22" s="452">
        <f>+([5]대구!$H$80+[5]대구!$H$85)/1000</f>
        <v>49.711971030231865</v>
      </c>
      <c r="U22" s="453">
        <f>+([5]대구!$I$80+[5]대구!$I$85)/1000</f>
        <v>50.618632579999996</v>
      </c>
      <c r="V22" s="165">
        <f t="shared" si="4"/>
        <v>0.90666154976813118</v>
      </c>
      <c r="W22" s="454">
        <f>+([5]대구!$L$80+[5]대구!$L$85)/1000</f>
        <v>-0.90666154976813917</v>
      </c>
      <c r="Y22" s="6">
        <f t="shared" si="5"/>
        <v>-7.0166095156309893E-14</v>
      </c>
      <c r="Z22" s="6">
        <f t="shared" si="6"/>
        <v>-7.0166095156309893E-8</v>
      </c>
    </row>
    <row r="23" spans="4:26" ht="24" customHeight="1" x14ac:dyDescent="0.3">
      <c r="D23" s="475" t="s">
        <v>97</v>
      </c>
      <c r="E23" s="452">
        <f>+[5]울산!$H$86/1000</f>
        <v>104.57265498051818</v>
      </c>
      <c r="F23" s="453">
        <f>+[5]울산!$I$86/1000</f>
        <v>187.53756000000018</v>
      </c>
      <c r="G23" s="189">
        <f t="shared" si="0"/>
        <v>82.964905019482003</v>
      </c>
      <c r="H23" s="452">
        <f>+[5]울산!$T$5/1000</f>
        <v>10</v>
      </c>
      <c r="I23" s="453">
        <f>+[5]울산!$U$5/1000</f>
        <v>11.917</v>
      </c>
      <c r="J23" s="165">
        <f t="shared" si="1"/>
        <v>1.9169999999999998</v>
      </c>
      <c r="K23" s="454">
        <f>+[5]울산!$M$86/1000</f>
        <v>27.484732407465287</v>
      </c>
      <c r="L23" s="452">
        <f>+[5]울산!$Q$85</f>
        <v>101293.09999999999</v>
      </c>
      <c r="M23" s="453">
        <f>+[5]울산!$R$85</f>
        <v>104149.18603675422</v>
      </c>
      <c r="N23" s="165">
        <f t="shared" si="2"/>
        <v>2856.0860367542336</v>
      </c>
      <c r="O23" s="454">
        <f>+[5]울산!$K$86/1000</f>
        <v>34.035977300000205</v>
      </c>
      <c r="P23" s="452">
        <f>+[5]울산!$Q$50</f>
        <v>86955.733068614849</v>
      </c>
      <c r="Q23" s="453">
        <f>+[5]울산!$R$50</f>
        <v>85053.158680876048</v>
      </c>
      <c r="R23" s="165">
        <f t="shared" si="3"/>
        <v>-1902.5743877388013</v>
      </c>
      <c r="S23" s="454">
        <f>+[5]울산!$L$56/1000</f>
        <v>22.672954678683162</v>
      </c>
      <c r="T23" s="452">
        <f>+([5]울산!$H$80+[5]울산!$H$85)/1000</f>
        <v>38.801014333333335</v>
      </c>
      <c r="U23" s="453">
        <f>+([5]울산!$I$80+[5]울산!$I$85)/1000</f>
        <v>40.0297737</v>
      </c>
      <c r="V23" s="165">
        <f t="shared" si="4"/>
        <v>1.2287593666666652</v>
      </c>
      <c r="W23" s="454">
        <f>+([5]울산!$L$80+[5]울산!$L$85)/1000</f>
        <v>-1.2287593666666654</v>
      </c>
      <c r="Y23" s="6">
        <f t="shared" si="5"/>
        <v>1.4432899320127035E-14</v>
      </c>
      <c r="Z23" s="6">
        <f t="shared" si="6"/>
        <v>1.4432899320127035E-8</v>
      </c>
    </row>
    <row r="24" spans="4:26" ht="24" customHeight="1" x14ac:dyDescent="0.3">
      <c r="D24" s="476" t="s">
        <v>31</v>
      </c>
      <c r="E24" s="455">
        <f>+[5]아산!$H$86/1000</f>
        <v>390.82873089918087</v>
      </c>
      <c r="F24" s="456">
        <f>+[5]아산!$I$86/1000</f>
        <v>681.32996100000048</v>
      </c>
      <c r="G24" s="457">
        <f t="shared" si="0"/>
        <v>290.50123010081961</v>
      </c>
      <c r="H24" s="455">
        <f>+[5]아산!$T$5/1000</f>
        <v>24</v>
      </c>
      <c r="I24" s="456">
        <f>+[5]아산!$U$5/1000</f>
        <v>32.637</v>
      </c>
      <c r="J24" s="458">
        <f t="shared" si="1"/>
        <v>8.6370000000000005</v>
      </c>
      <c r="K24" s="459">
        <f>+[5]아산!$M$86/1000</f>
        <v>167.6273494062178</v>
      </c>
      <c r="L24" s="455">
        <f>+[5]아산!$Q$85</f>
        <v>101000.15</v>
      </c>
      <c r="M24" s="456">
        <f>+[5]아산!$R$85</f>
        <v>103299.38355240985</v>
      </c>
      <c r="N24" s="458">
        <f t="shared" si="2"/>
        <v>2299.2335524098598</v>
      </c>
      <c r="O24" s="459">
        <f>+[5]아산!$K$86/1000</f>
        <v>75.040085450000589</v>
      </c>
      <c r="P24" s="455">
        <f>+[5]아산!$Q$50</f>
        <v>81592.097504200778</v>
      </c>
      <c r="Q24" s="456">
        <f>+[5]아산!$R$50</f>
        <v>79872.592071807114</v>
      </c>
      <c r="R24" s="458">
        <f t="shared" si="3"/>
        <v>-1719.5054323936638</v>
      </c>
      <c r="S24" s="459">
        <f>+[5]아산!$L$56/1000</f>
        <v>56.145326774601131</v>
      </c>
      <c r="T24" s="455">
        <f>+([5]아산!$H$80+[5]아산!$H$85)/1000</f>
        <v>74.964528999999999</v>
      </c>
      <c r="U24" s="456">
        <f>+([5]아산!$I$80+[5]아산!$I$85)/1000</f>
        <v>83.276060530000009</v>
      </c>
      <c r="V24" s="458">
        <f t="shared" si="4"/>
        <v>8.3115315300000105</v>
      </c>
      <c r="W24" s="459">
        <f>+([5]아산!$L$80+[5]아산!$L$85)/1000</f>
        <v>-8.3115315300000105</v>
      </c>
      <c r="Y24" s="6">
        <f t="shared" si="5"/>
        <v>9.9475983006414026E-14</v>
      </c>
      <c r="Z24" s="6">
        <f t="shared" si="6"/>
        <v>9.9475983006414026E-8</v>
      </c>
    </row>
    <row r="25" spans="4:26" ht="24" customHeight="1" x14ac:dyDescent="0.3">
      <c r="D25" s="475" t="s">
        <v>34</v>
      </c>
      <c r="E25" s="452">
        <f>+[5]전주!$H$86/1000</f>
        <v>228.25969242979102</v>
      </c>
      <c r="F25" s="453">
        <f>+[5]전주!$I$86/1000</f>
        <v>209.80582200000009</v>
      </c>
      <c r="G25" s="189">
        <f t="shared" si="0"/>
        <v>-18.453870429790925</v>
      </c>
      <c r="H25" s="452">
        <f>+[5]전주!$T$5/1000</f>
        <v>12</v>
      </c>
      <c r="I25" s="453">
        <f>+[5]전주!$U$5/1000</f>
        <v>14.195499999999999</v>
      </c>
      <c r="J25" s="165">
        <f t="shared" si="1"/>
        <v>2.1954999999999991</v>
      </c>
      <c r="K25" s="454">
        <f>+[5]전주!$M$86/1000</f>
        <v>50.609841180494989</v>
      </c>
      <c r="L25" s="452">
        <f>+[5]전주!$Q$85</f>
        <v>103872.2825</v>
      </c>
      <c r="M25" s="453">
        <f>+[5]전주!$R$85</f>
        <v>96441.995702863598</v>
      </c>
      <c r="N25" s="165">
        <f t="shared" si="2"/>
        <v>-7430.286797136403</v>
      </c>
      <c r="O25" s="454">
        <f>+[5]전주!$K$86/1000</f>
        <v>-105.47663622874981</v>
      </c>
      <c r="P25" s="452">
        <f>+[5]전주!$Q$50</f>
        <v>80820.65818640629</v>
      </c>
      <c r="Q25" s="453">
        <f>+[5]전주!$R$50</f>
        <v>77876.212391250752</v>
      </c>
      <c r="R25" s="165">
        <f t="shared" si="3"/>
        <v>-2944.4457951555378</v>
      </c>
      <c r="S25" s="454">
        <f>+[5]전주!$L$56/1000</f>
        <v>41.797874485130521</v>
      </c>
      <c r="T25" s="452">
        <f>+([5]전주!$H$80+[5]전주!$H$85)/1000</f>
        <v>48.359799333333335</v>
      </c>
      <c r="U25" s="453">
        <f>+([5]전주!$I$80+[5]전주!$I$85)/1000</f>
        <v>53.744749200000008</v>
      </c>
      <c r="V25" s="165">
        <f t="shared" si="4"/>
        <v>5.3849498666666733</v>
      </c>
      <c r="W25" s="454">
        <f>+([5]전주!$L$80+[5]전주!$L$85)/1000</f>
        <v>-5.3849498666666626</v>
      </c>
      <c r="Y25" s="6">
        <f t="shared" si="5"/>
        <v>4.6185277824406512E-14</v>
      </c>
      <c r="Z25" s="6">
        <f t="shared" si="6"/>
        <v>4.6185277824406512E-8</v>
      </c>
    </row>
    <row r="26" spans="4:26" ht="24" customHeight="1" x14ac:dyDescent="0.3">
      <c r="D26" s="451" t="s">
        <v>33</v>
      </c>
      <c r="E26" s="452">
        <f>+[5]군산!$H$86/1000</f>
        <v>214.33959782105404</v>
      </c>
      <c r="F26" s="453">
        <f>+[5]군산!$I$86/1000</f>
        <v>349.47532500000005</v>
      </c>
      <c r="G26" s="189">
        <f t="shared" si="0"/>
        <v>135.13572717894601</v>
      </c>
      <c r="H26" s="452">
        <f>+[5]군산!$T$5/1000</f>
        <v>7.5</v>
      </c>
      <c r="I26" s="453">
        <f>+[5]군산!$U$5/1000</f>
        <v>10.731</v>
      </c>
      <c r="J26" s="165">
        <f t="shared" si="1"/>
        <v>3.2309999999999999</v>
      </c>
      <c r="K26" s="454">
        <f>+[5]군산!$M$86/1000</f>
        <v>101.08167016584342</v>
      </c>
      <c r="L26" s="452">
        <f>+[5]군산!$Q$85</f>
        <v>108957.96426666666</v>
      </c>
      <c r="M26" s="453">
        <f>+[5]군산!$R$85</f>
        <v>113508.02348336596</v>
      </c>
      <c r="N26" s="165">
        <f t="shared" si="2"/>
        <v>4550.059216699301</v>
      </c>
      <c r="O26" s="454">
        <f>+[5]군산!$K$86/1000</f>
        <v>48.826685454400199</v>
      </c>
      <c r="P26" s="452">
        <f>+[5]군산!$Q$50</f>
        <v>77673.01528311873</v>
      </c>
      <c r="Q26" s="453">
        <f>+[5]군산!$R$50</f>
        <v>78856.325416783089</v>
      </c>
      <c r="R26" s="165">
        <f t="shared" si="3"/>
        <v>1183.3101336643595</v>
      </c>
      <c r="S26" s="454">
        <f>+[5]군산!$L$56/1000</f>
        <v>-12.706410836852967</v>
      </c>
      <c r="T26" s="452">
        <f>+([5]군산!$H$80+[5]군산!$H$85)/1000</f>
        <v>20.297519555555553</v>
      </c>
      <c r="U26" s="453">
        <f>+([5]군산!$I$80+[5]군산!$I$85)/1000</f>
        <v>22.363737159999999</v>
      </c>
      <c r="V26" s="165">
        <f t="shared" si="4"/>
        <v>2.0662176044444465</v>
      </c>
      <c r="W26" s="454">
        <f>+([5]군산!$L$80+[5]군산!$L$85)/1000</f>
        <v>-2.066217604444446</v>
      </c>
      <c r="Y26" s="6">
        <f t="shared" si="5"/>
        <v>-1.9229062786507711E-13</v>
      </c>
      <c r="Z26" s="6">
        <f t="shared" si="6"/>
        <v>-1.9229062786507711E-7</v>
      </c>
    </row>
    <row r="27" spans="4:26" ht="24" customHeight="1" x14ac:dyDescent="0.3">
      <c r="D27" s="451" t="s">
        <v>32</v>
      </c>
      <c r="E27" s="452">
        <f>+[5]원주!$H$86/1000</f>
        <v>165.56488298271475</v>
      </c>
      <c r="F27" s="453">
        <f>+[5]원주!$I$86/1000</f>
        <v>211.34337799999994</v>
      </c>
      <c r="G27" s="189">
        <f t="shared" si="0"/>
        <v>45.778495017285195</v>
      </c>
      <c r="H27" s="452">
        <f>+[5]원주!$T$5/1000</f>
        <v>7</v>
      </c>
      <c r="I27" s="453">
        <f>+[5]원주!$U$5/1000</f>
        <v>7.601</v>
      </c>
      <c r="J27" s="165">
        <f t="shared" si="1"/>
        <v>0.60099999999999998</v>
      </c>
      <c r="K27" s="454">
        <f>+[5]원주!$M$86/1000</f>
        <v>15.537438851722291</v>
      </c>
      <c r="L27" s="452">
        <f>+[5]원주!$Q$85</f>
        <v>107900</v>
      </c>
      <c r="M27" s="453">
        <f>+[5]원주!$R$85</f>
        <v>111673.88501512959</v>
      </c>
      <c r="N27" s="165">
        <f t="shared" si="2"/>
        <v>3773.8850151295919</v>
      </c>
      <c r="O27" s="454">
        <f>+[5]원주!$K$86/1000</f>
        <v>28.68530000000003</v>
      </c>
      <c r="P27" s="452">
        <f>+[5]원주!$Q$50</f>
        <v>82047.356319929619</v>
      </c>
      <c r="Q27" s="453">
        <f>+[5]원주!$R$50</f>
        <v>81569.88119984213</v>
      </c>
      <c r="R27" s="165">
        <f t="shared" si="3"/>
        <v>-477.4751200874889</v>
      </c>
      <c r="S27" s="454">
        <f>+[5]원주!$L$56/1000</f>
        <v>3.6292784677851722</v>
      </c>
      <c r="T27" s="452">
        <f>+([5]원주!$H$80+[5]원주!$H$85)/1000</f>
        <v>15.403622777777779</v>
      </c>
      <c r="U27" s="453">
        <f>+([5]원주!$I$80+[5]원주!$I$85)/1000</f>
        <v>17.47714508</v>
      </c>
      <c r="V27" s="165">
        <f t="shared" si="4"/>
        <v>2.0735223022222211</v>
      </c>
      <c r="W27" s="454">
        <f>+([5]원주!$L$80+[5]원주!$L$85)/1000</f>
        <v>-2.0735223022222211</v>
      </c>
      <c r="Y27" s="6">
        <f t="shared" si="5"/>
        <v>-7.8603790143461083E-14</v>
      </c>
      <c r="Z27" s="6">
        <f t="shared" si="6"/>
        <v>-7.8603790143461083E-8</v>
      </c>
    </row>
    <row r="28" spans="4:26" ht="24" customHeight="1" thickBot="1" x14ac:dyDescent="0.35">
      <c r="D28" s="500" t="s">
        <v>35</v>
      </c>
      <c r="E28" s="523">
        <f>+[5]제주!$H$86/1000</f>
        <v>127.44972904199412</v>
      </c>
      <c r="F28" s="656">
        <f>+[5]제주!$I$86/1000</f>
        <v>51.135698000000019</v>
      </c>
      <c r="G28" s="198">
        <f t="shared" si="0"/>
        <v>-76.314031041994099</v>
      </c>
      <c r="H28" s="523">
        <f>+[5]제주!$T$5/1000</f>
        <v>6</v>
      </c>
      <c r="I28" s="656">
        <f>+[5]제주!$U$5/1000</f>
        <v>3.7164999999999999</v>
      </c>
      <c r="J28" s="199">
        <f t="shared" si="1"/>
        <v>-2.2835000000000001</v>
      </c>
      <c r="K28" s="657">
        <f>+[5]제주!$M$86/1000</f>
        <v>-58.00855082269004</v>
      </c>
      <c r="L28" s="523">
        <f>+[5]제주!$Q$85</f>
        <v>126800</v>
      </c>
      <c r="M28" s="656">
        <f>+[5]제주!$R$85</f>
        <v>124585.10749360958</v>
      </c>
      <c r="N28" s="199">
        <f t="shared" si="2"/>
        <v>-2214.8925063904171</v>
      </c>
      <c r="O28" s="657">
        <f>+[5]제주!$K$86/1000</f>
        <v>-8.2316479999999839</v>
      </c>
      <c r="P28" s="523">
        <f>+[5]제주!$Q$50</f>
        <v>101396.64951929494</v>
      </c>
      <c r="Q28" s="656">
        <f>+[5]제주!$R$50</f>
        <v>104004.4108704426</v>
      </c>
      <c r="R28" s="199">
        <f t="shared" si="3"/>
        <v>2607.7613511476666</v>
      </c>
      <c r="S28" s="657">
        <f>+[5]제주!$L$56/1000</f>
        <v>-9.6917484215404528</v>
      </c>
      <c r="T28" s="523">
        <f>+([5]제주!$H$80+[5]제주!$H$85)/1000</f>
        <v>24.970373842236317</v>
      </c>
      <c r="U28" s="656">
        <f>+([5]제주!$I$80+[5]제주!$I$85)/1000</f>
        <v>25.352457640000001</v>
      </c>
      <c r="V28" s="199">
        <f t="shared" si="4"/>
        <v>0.38208379776368417</v>
      </c>
      <c r="W28" s="657">
        <f>+([5]제주!$L$80+[5]제주!$L$85)/1000</f>
        <v>-0.38208379776368506</v>
      </c>
      <c r="Y28" s="6">
        <f t="shared" si="5"/>
        <v>6.3060667798708891E-14</v>
      </c>
      <c r="Z28" s="6">
        <f t="shared" si="6"/>
        <v>6.3060667798708891E-8</v>
      </c>
    </row>
    <row r="29" spans="4:26" ht="24" customHeight="1" x14ac:dyDescent="0.3"/>
    <row r="30" spans="4:26" ht="24" customHeight="1" x14ac:dyDescent="0.3"/>
    <row r="31" spans="4:26" ht="24" customHeight="1" x14ac:dyDescent="0.3"/>
    <row r="32" spans="4:26" ht="21.95" customHeight="1" x14ac:dyDescent="0.3">
      <c r="F32" s="592"/>
    </row>
    <row r="33" ht="21.95" customHeight="1" x14ac:dyDescent="0.3"/>
    <row r="34" ht="21.95" customHeight="1" x14ac:dyDescent="0.3"/>
    <row r="35" ht="21.95" customHeight="1" x14ac:dyDescent="0.3"/>
    <row r="36" ht="21.95" customHeight="1" x14ac:dyDescent="0.3"/>
    <row r="37" ht="21.95" customHeight="1" x14ac:dyDescent="0.3"/>
    <row r="38" ht="21.95" customHeight="1" x14ac:dyDescent="0.3"/>
    <row r="39" ht="21.95" customHeight="1" x14ac:dyDescent="0.3"/>
    <row r="40" ht="21.95" customHeight="1" x14ac:dyDescent="0.3"/>
    <row r="41" ht="21.95" customHeight="1" x14ac:dyDescent="0.3"/>
    <row r="42" ht="21.95" customHeight="1" x14ac:dyDescent="0.3"/>
    <row r="43" ht="21.95" customHeight="1" x14ac:dyDescent="0.3"/>
    <row r="44" ht="21.95" customHeight="1" x14ac:dyDescent="0.3"/>
    <row r="45" ht="21.95" customHeight="1" x14ac:dyDescent="0.3"/>
    <row r="46" ht="21.95" customHeight="1" x14ac:dyDescent="0.3"/>
    <row r="47" ht="21.95" customHeight="1" x14ac:dyDescent="0.3"/>
    <row r="48" ht="21.95" customHeight="1" x14ac:dyDescent="0.3"/>
    <row r="49" ht="21.95" customHeight="1" x14ac:dyDescent="0.3"/>
    <row r="50" ht="21.95" customHeight="1" x14ac:dyDescent="0.3"/>
    <row r="51" ht="21.95" customHeight="1" x14ac:dyDescent="0.3"/>
    <row r="52" ht="21.95" customHeight="1" x14ac:dyDescent="0.3"/>
  </sheetData>
  <mergeCells count="1">
    <mergeCell ref="D6:D7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68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DEF1B-105D-4AB3-9604-2DF289878442}">
  <sheetPr>
    <tabColor theme="1" tint="0.249977111117893"/>
    <pageSetUpPr fitToPage="1"/>
  </sheetPr>
  <dimension ref="D1:V52"/>
  <sheetViews>
    <sheetView showGridLines="0" showZeros="0" view="pageBreakPreview" zoomScale="60" zoomScaleNormal="85" workbookViewId="0">
      <pane xSplit="4" ySplit="7" topLeftCell="E8" activePane="bottomRight" state="frozen"/>
      <selection activeCell="C32" sqref="C32"/>
      <selection pane="topRight" activeCell="C32" sqref="C32"/>
      <selection pane="bottomLeft" activeCell="C32" sqref="C32"/>
      <selection pane="bottomRight" activeCell="C32" sqref="C32"/>
    </sheetView>
  </sheetViews>
  <sheetFormatPr defaultRowHeight="16.5" x14ac:dyDescent="0.3"/>
  <cols>
    <col min="1" max="3" width="5.625" style="6" customWidth="1"/>
    <col min="4" max="4" width="9.875" style="6" customWidth="1"/>
    <col min="5" max="22" width="9.625" style="6" customWidth="1"/>
    <col min="23" max="16384" width="9" style="6"/>
  </cols>
  <sheetData>
    <row r="1" spans="4:22" ht="9.9499999999999993" customHeight="1" x14ac:dyDescent="0.3"/>
    <row r="2" spans="4:22" ht="9.9499999999999993" hidden="1" customHeight="1" x14ac:dyDescent="0.3"/>
    <row r="3" spans="4:22" ht="9.9499999999999993" customHeight="1" x14ac:dyDescent="0.3"/>
    <row r="4" spans="4:22" ht="31.5" x14ac:dyDescent="0.3">
      <c r="D4" s="184" t="s">
        <v>221</v>
      </c>
      <c r="F4" s="184"/>
      <c r="I4" s="184"/>
    </row>
    <row r="5" spans="4:22" ht="21.95" customHeight="1" x14ac:dyDescent="0.3">
      <c r="V5" s="186" t="s">
        <v>150</v>
      </c>
    </row>
    <row r="6" spans="4:22" ht="24" customHeight="1" thickBot="1" x14ac:dyDescent="0.35">
      <c r="D6" s="823" t="s">
        <v>11</v>
      </c>
      <c r="E6" s="439" t="s">
        <v>21</v>
      </c>
      <c r="F6" s="440"/>
      <c r="G6" s="441"/>
      <c r="H6" s="439" t="s">
        <v>45</v>
      </c>
      <c r="I6" s="440"/>
      <c r="J6" s="441"/>
      <c r="K6" s="439" t="s">
        <v>46</v>
      </c>
      <c r="L6" s="440"/>
      <c r="M6" s="441"/>
      <c r="N6" s="439" t="s">
        <v>103</v>
      </c>
      <c r="O6" s="440"/>
      <c r="P6" s="441"/>
      <c r="Q6" s="439" t="s">
        <v>104</v>
      </c>
      <c r="R6" s="440"/>
      <c r="S6" s="441"/>
      <c r="T6" s="439" t="s">
        <v>69</v>
      </c>
      <c r="U6" s="440"/>
      <c r="V6" s="441"/>
    </row>
    <row r="7" spans="4:22" ht="24" customHeight="1" x14ac:dyDescent="0.3">
      <c r="D7" s="824"/>
      <c r="E7" s="442" t="s">
        <v>12</v>
      </c>
      <c r="F7" s="443" t="s">
        <v>13</v>
      </c>
      <c r="G7" s="444" t="s">
        <v>36</v>
      </c>
      <c r="H7" s="442" t="s">
        <v>15</v>
      </c>
      <c r="I7" s="443" t="s">
        <v>16</v>
      </c>
      <c r="J7" s="444" t="s">
        <v>36</v>
      </c>
      <c r="K7" s="442" t="s">
        <v>15</v>
      </c>
      <c r="L7" s="443" t="s">
        <v>16</v>
      </c>
      <c r="M7" s="444" t="s">
        <v>36</v>
      </c>
      <c r="N7" s="442" t="s">
        <v>15</v>
      </c>
      <c r="O7" s="443" t="s">
        <v>16</v>
      </c>
      <c r="P7" s="444" t="s">
        <v>36</v>
      </c>
      <c r="Q7" s="442" t="s">
        <v>15</v>
      </c>
      <c r="R7" s="443" t="s">
        <v>16</v>
      </c>
      <c r="S7" s="444" t="s">
        <v>36</v>
      </c>
      <c r="T7" s="442" t="s">
        <v>15</v>
      </c>
      <c r="U7" s="443" t="s">
        <v>16</v>
      </c>
      <c r="V7" s="444" t="s">
        <v>36</v>
      </c>
    </row>
    <row r="8" spans="4:22" ht="24" customHeight="1" x14ac:dyDescent="0.3">
      <c r="D8" s="470" t="s">
        <v>47</v>
      </c>
      <c r="E8" s="460">
        <f>+[5]합계!$Q$85</f>
        <v>102227.07458096102</v>
      </c>
      <c r="F8" s="462">
        <f>+[5]합계!$R$85</f>
        <v>101219.55379406505</v>
      </c>
      <c r="G8" s="487">
        <f>+F8-E8</f>
        <v>-1007.5207868959696</v>
      </c>
      <c r="H8" s="460">
        <f>+[5]합계!$Q$20</f>
        <v>58423.723456261192</v>
      </c>
      <c r="I8" s="462">
        <f>+[5]합계!$R$20</f>
        <v>60369.965968169381</v>
      </c>
      <c r="J8" s="487">
        <f>+I8-H8</f>
        <v>1946.242511908189</v>
      </c>
      <c r="K8" s="460">
        <f>+[5]합계!$Q$21</f>
        <v>17579.733305003949</v>
      </c>
      <c r="L8" s="462">
        <f>+[5]합계!$R$21</f>
        <v>17424.044003881074</v>
      </c>
      <c r="M8" s="487">
        <f>+L8-K8</f>
        <v>-155.68930112287489</v>
      </c>
      <c r="N8" s="460">
        <f>+[5]합계!$Q$22</f>
        <v>187.46019108280254</v>
      </c>
      <c r="O8" s="462">
        <f>+[5]합계!$R$22</f>
        <v>180.53198847262249</v>
      </c>
      <c r="P8" s="487">
        <f>+O8-N8</f>
        <v>-6.9282026101800511</v>
      </c>
      <c r="Q8" s="460">
        <f>H8+K8+N8</f>
        <v>76190.91695234795</v>
      </c>
      <c r="R8" s="462">
        <f>I8+L8+O8</f>
        <v>77974.541960523071</v>
      </c>
      <c r="S8" s="487">
        <f>+R8-Q8</f>
        <v>1783.6250081751205</v>
      </c>
      <c r="T8" s="460">
        <f>+E8-Q8</f>
        <v>26036.157628613073</v>
      </c>
      <c r="U8" s="462">
        <f>+F8-R8</f>
        <v>23245.011833541983</v>
      </c>
      <c r="V8" s="487">
        <f>+U8-T8</f>
        <v>-2791.1457950710901</v>
      </c>
    </row>
    <row r="9" spans="4:22" ht="24" customHeight="1" x14ac:dyDescent="0.3">
      <c r="D9" s="471" t="s">
        <v>19</v>
      </c>
      <c r="E9" s="465">
        <f>+[5]수도권!$Q$85</f>
        <v>100452.98328622917</v>
      </c>
      <c r="F9" s="479">
        <f>+[5]수도권!$R$85</f>
        <v>99353.382025602928</v>
      </c>
      <c r="G9" s="488">
        <f t="shared" ref="G9:G28" si="0">+F9-E9</f>
        <v>-1099.6012606262375</v>
      </c>
      <c r="H9" s="465">
        <f>+[5]수도권!$Q$20</f>
        <v>59930.609885074016</v>
      </c>
      <c r="I9" s="479">
        <f>+[5]수도권!$R$20</f>
        <v>62210.137089693366</v>
      </c>
      <c r="J9" s="488">
        <f t="shared" ref="J9:J28" si="1">+I9-H9</f>
        <v>2279.5272046193495</v>
      </c>
      <c r="K9" s="465">
        <f>+[5]수도권!$Q$21</f>
        <v>17374.204062593326</v>
      </c>
      <c r="L9" s="479">
        <f>+[5]수도권!$R$21</f>
        <v>17836.355987437524</v>
      </c>
      <c r="M9" s="488">
        <f t="shared" ref="M9:M28" si="2">+L9-K9</f>
        <v>462.15192484419822</v>
      </c>
      <c r="N9" s="465">
        <f>+[5]수도권!$Q$22</f>
        <v>213.64541832669323</v>
      </c>
      <c r="O9" s="479">
        <f>+[5]수도권!$R$22</f>
        <v>187.10817405106039</v>
      </c>
      <c r="P9" s="488">
        <f t="shared" ref="P9:P28" si="3">+O9-N9</f>
        <v>-26.537244275632844</v>
      </c>
      <c r="Q9" s="465">
        <f t="shared" ref="Q9:Q28" si="4">H9+K9+N9</f>
        <v>77518.459365994029</v>
      </c>
      <c r="R9" s="479">
        <f t="shared" ref="R9:R28" si="5">I9+L9+O9</f>
        <v>80233.601251181943</v>
      </c>
      <c r="S9" s="488">
        <f t="shared" ref="S9:S28" si="6">+R9-Q9</f>
        <v>2715.1418851879134</v>
      </c>
      <c r="T9" s="465">
        <f t="shared" ref="T9:T28" si="7">+E9-Q9</f>
        <v>22934.523920235137</v>
      </c>
      <c r="U9" s="479">
        <f t="shared" ref="U9:U28" si="8">+F9-R9</f>
        <v>19119.780774420986</v>
      </c>
      <c r="V9" s="488">
        <f t="shared" ref="V9:V28" si="9">+U9-T9</f>
        <v>-3814.7431458141509</v>
      </c>
    </row>
    <row r="10" spans="4:22" ht="24" customHeight="1" x14ac:dyDescent="0.3">
      <c r="D10" s="472" t="s">
        <v>20</v>
      </c>
      <c r="E10" s="467">
        <f>+[5]영남권!$Q$85</f>
        <v>102187.09313636363</v>
      </c>
      <c r="F10" s="480">
        <f>+[5]영남권!$R$85</f>
        <v>100729.73295151837</v>
      </c>
      <c r="G10" s="489">
        <f t="shared" si="0"/>
        <v>-1457.3601848452672</v>
      </c>
      <c r="H10" s="467">
        <f>+[5]영남권!$Q$20</f>
        <v>57184.654891669306</v>
      </c>
      <c r="I10" s="480">
        <f>+[5]영남권!$R$20</f>
        <v>59486.514994554345</v>
      </c>
      <c r="J10" s="489">
        <f t="shared" si="1"/>
        <v>2301.8601028850389</v>
      </c>
      <c r="K10" s="467">
        <f>+[5]영남권!$Q$21</f>
        <v>17836.02823720884</v>
      </c>
      <c r="L10" s="480">
        <f>+[5]영남권!$R$21</f>
        <v>18193.532927230819</v>
      </c>
      <c r="M10" s="489">
        <f t="shared" si="2"/>
        <v>357.5046900219786</v>
      </c>
      <c r="N10" s="467">
        <f>+[5]영남권!$Q$22</f>
        <v>167.42424242424241</v>
      </c>
      <c r="O10" s="480">
        <f>+[5]영남권!$R$22</f>
        <v>180.36399154023457</v>
      </c>
      <c r="P10" s="489">
        <f t="shared" si="3"/>
        <v>12.939749115992157</v>
      </c>
      <c r="Q10" s="467">
        <f t="shared" si="4"/>
        <v>75188.107371302394</v>
      </c>
      <c r="R10" s="480">
        <f t="shared" si="5"/>
        <v>77860.411913325399</v>
      </c>
      <c r="S10" s="489">
        <f t="shared" si="6"/>
        <v>2672.3045420230046</v>
      </c>
      <c r="T10" s="467">
        <f t="shared" si="7"/>
        <v>26998.985765061239</v>
      </c>
      <c r="U10" s="480">
        <f t="shared" si="8"/>
        <v>22869.321038192968</v>
      </c>
      <c r="V10" s="489">
        <f t="shared" si="9"/>
        <v>-4129.6647268682718</v>
      </c>
    </row>
    <row r="11" spans="4:22" ht="24" customHeight="1" x14ac:dyDescent="0.3">
      <c r="D11" s="473" t="s">
        <v>57</v>
      </c>
      <c r="E11" s="468">
        <f>+[5]중부권!$Q$85</f>
        <v>106261.16322123892</v>
      </c>
      <c r="F11" s="481">
        <f>+[5]중부권!$R$85</f>
        <v>105549.17441674772</v>
      </c>
      <c r="G11" s="490">
        <f t="shared" si="0"/>
        <v>-711.9888044912077</v>
      </c>
      <c r="H11" s="468">
        <f>+[5]중부권!$Q$20</f>
        <v>57971.383698918173</v>
      </c>
      <c r="I11" s="481">
        <f>+[5]중부권!$R$20</f>
        <v>59231.294732411137</v>
      </c>
      <c r="J11" s="490">
        <f t="shared" si="1"/>
        <v>1259.9110334929646</v>
      </c>
      <c r="K11" s="468">
        <f>+[5]중부권!$Q$21</f>
        <v>17437.48532042851</v>
      </c>
      <c r="L11" s="481">
        <f>+[5]중부권!$R$21</f>
        <v>14951.24853032964</v>
      </c>
      <c r="M11" s="490">
        <f t="shared" si="2"/>
        <v>-2486.2367900988702</v>
      </c>
      <c r="N11" s="468">
        <f>+[5]중부권!$Q$22</f>
        <v>176.10619469026548</v>
      </c>
      <c r="O11" s="481">
        <f>+[5]중부권!$R$22</f>
        <v>169.61062807542132</v>
      </c>
      <c r="P11" s="490">
        <f t="shared" si="3"/>
        <v>-6.4955666148441651</v>
      </c>
      <c r="Q11" s="468">
        <f t="shared" si="4"/>
        <v>75584.975214036953</v>
      </c>
      <c r="R11" s="481">
        <f t="shared" si="5"/>
        <v>74352.153890816189</v>
      </c>
      <c r="S11" s="490">
        <f t="shared" si="6"/>
        <v>-1232.8213232207636</v>
      </c>
      <c r="T11" s="468">
        <f t="shared" si="7"/>
        <v>30676.18800720197</v>
      </c>
      <c r="U11" s="481">
        <f t="shared" si="8"/>
        <v>31197.020525931526</v>
      </c>
      <c r="V11" s="490">
        <f t="shared" si="9"/>
        <v>520.83251872955589</v>
      </c>
    </row>
    <row r="12" spans="4:22" ht="24" customHeight="1" x14ac:dyDescent="0.3">
      <c r="D12" s="485" t="s">
        <v>22</v>
      </c>
      <c r="E12" s="491">
        <f>+[5]안양!$Q$85</f>
        <v>101314.72954545455</v>
      </c>
      <c r="F12" s="492">
        <f>+[5]안양!$R$85</f>
        <v>101543.97468354431</v>
      </c>
      <c r="G12" s="493">
        <f t="shared" si="0"/>
        <v>229.24513808975462</v>
      </c>
      <c r="H12" s="491">
        <f>+[5]안양!$Q$20</f>
        <v>61732.997150537638</v>
      </c>
      <c r="I12" s="492">
        <f>+[5]안양!$R$20</f>
        <v>65898.240741652713</v>
      </c>
      <c r="J12" s="493">
        <f t="shared" si="1"/>
        <v>4165.2435911150751</v>
      </c>
      <c r="K12" s="491">
        <f>+[5]안양!$Q$21</f>
        <v>16655.968157894738</v>
      </c>
      <c r="L12" s="492">
        <f>+[5]안양!$R$21</f>
        <v>16657.032970550576</v>
      </c>
      <c r="M12" s="493">
        <f t="shared" si="2"/>
        <v>1.0648126558371587</v>
      </c>
      <c r="N12" s="491">
        <f>+[5]안양!$Q$22</f>
        <v>186.36363636363637</v>
      </c>
      <c r="O12" s="492">
        <f>+[5]안양!$R$22</f>
        <v>206.439549886733</v>
      </c>
      <c r="P12" s="493">
        <f t="shared" si="3"/>
        <v>20.075913523096631</v>
      </c>
      <c r="Q12" s="491">
        <f t="shared" si="4"/>
        <v>78575.328944796012</v>
      </c>
      <c r="R12" s="492">
        <f t="shared" si="5"/>
        <v>82761.713262090023</v>
      </c>
      <c r="S12" s="493">
        <f t="shared" si="6"/>
        <v>4186.3843172940105</v>
      </c>
      <c r="T12" s="491">
        <f t="shared" si="7"/>
        <v>22739.40060065854</v>
      </c>
      <c r="U12" s="492">
        <f t="shared" si="8"/>
        <v>18782.261421454285</v>
      </c>
      <c r="V12" s="493">
        <f t="shared" si="9"/>
        <v>-3957.1391792042559</v>
      </c>
    </row>
    <row r="13" spans="4:22" ht="24" customHeight="1" x14ac:dyDescent="0.3">
      <c r="D13" s="451" t="s">
        <v>23</v>
      </c>
      <c r="E13" s="494">
        <f>+[5]인천!$Q$85</f>
        <v>102700.53742857142</v>
      </c>
      <c r="F13" s="495">
        <f>+[5]인천!$R$85</f>
        <v>97709.509119246577</v>
      </c>
      <c r="G13" s="496">
        <f t="shared" si="0"/>
        <v>-4991.0283093248436</v>
      </c>
      <c r="H13" s="494">
        <f>+[5]인천!$Q$20</f>
        <v>63595.02789414164</v>
      </c>
      <c r="I13" s="495">
        <f>+[5]인천!$R$20</f>
        <v>61883.897109520018</v>
      </c>
      <c r="J13" s="496">
        <f t="shared" si="1"/>
        <v>-1711.1307846216223</v>
      </c>
      <c r="K13" s="494">
        <f>+[5]인천!$Q$21</f>
        <v>17195.206425135006</v>
      </c>
      <c r="L13" s="495">
        <f>+[5]인천!$R$21</f>
        <v>17658.272971360384</v>
      </c>
      <c r="M13" s="496">
        <f t="shared" si="2"/>
        <v>463.06654622537826</v>
      </c>
      <c r="N13" s="494">
        <f>+[5]인천!$Q$22</f>
        <v>314.28571428571428</v>
      </c>
      <c r="O13" s="495">
        <f>+[5]인천!$R$22</f>
        <v>288.20163749668524</v>
      </c>
      <c r="P13" s="496">
        <f t="shared" si="3"/>
        <v>-26.084076789029041</v>
      </c>
      <c r="Q13" s="494">
        <f t="shared" si="4"/>
        <v>81104.520033562352</v>
      </c>
      <c r="R13" s="495">
        <f t="shared" si="5"/>
        <v>79830.371718377093</v>
      </c>
      <c r="S13" s="496">
        <f t="shared" si="6"/>
        <v>-1274.148315185259</v>
      </c>
      <c r="T13" s="494">
        <f t="shared" si="7"/>
        <v>21596.017395009068</v>
      </c>
      <c r="U13" s="495">
        <f t="shared" si="8"/>
        <v>17879.137400869484</v>
      </c>
      <c r="V13" s="496">
        <f t="shared" si="9"/>
        <v>-3716.8799941395846</v>
      </c>
    </row>
    <row r="14" spans="4:22" ht="24" customHeight="1" x14ac:dyDescent="0.3">
      <c r="D14" s="451" t="s">
        <v>24</v>
      </c>
      <c r="E14" s="494">
        <f>+[5]파주!$Q$85</f>
        <v>99166.464015062884</v>
      </c>
      <c r="F14" s="495">
        <f>+[5]파주!$R$85</f>
        <v>95934.037841574798</v>
      </c>
      <c r="G14" s="496">
        <f t="shared" si="0"/>
        <v>-3232.4261734880856</v>
      </c>
      <c r="H14" s="494">
        <f>+[5]파주!$Q$20</f>
        <v>56637.415249193553</v>
      </c>
      <c r="I14" s="495">
        <f>+[5]파주!$R$20</f>
        <v>59132.020480919644</v>
      </c>
      <c r="J14" s="496">
        <f t="shared" si="1"/>
        <v>2494.605231726091</v>
      </c>
      <c r="K14" s="494">
        <f>+[5]파주!$Q$21</f>
        <v>18613.020357142857</v>
      </c>
      <c r="L14" s="495">
        <f>+[5]파주!$R$21</f>
        <v>20120.413183455199</v>
      </c>
      <c r="M14" s="496">
        <f t="shared" si="2"/>
        <v>1507.3928263123416</v>
      </c>
      <c r="N14" s="494">
        <f>+[5]파주!$Q$22</f>
        <v>202.5</v>
      </c>
      <c r="O14" s="495">
        <f>+[5]파주!$R$22</f>
        <v>140.68565608061405</v>
      </c>
      <c r="P14" s="496">
        <f t="shared" si="3"/>
        <v>-61.814343919385948</v>
      </c>
      <c r="Q14" s="494">
        <f t="shared" si="4"/>
        <v>75452.93560633641</v>
      </c>
      <c r="R14" s="495">
        <f t="shared" si="5"/>
        <v>79393.119320455458</v>
      </c>
      <c r="S14" s="496">
        <f t="shared" si="6"/>
        <v>3940.1837141190481</v>
      </c>
      <c r="T14" s="494">
        <f t="shared" si="7"/>
        <v>23713.528408726474</v>
      </c>
      <c r="U14" s="495">
        <f t="shared" si="8"/>
        <v>16540.91852111934</v>
      </c>
      <c r="V14" s="496">
        <f t="shared" si="9"/>
        <v>-7172.6098876071337</v>
      </c>
    </row>
    <row r="15" spans="4:22" ht="24" customHeight="1" x14ac:dyDescent="0.3">
      <c r="D15" s="451" t="s">
        <v>178</v>
      </c>
      <c r="E15" s="494">
        <f>+[5]김포!$Q$85</f>
        <v>96098.459459459467</v>
      </c>
      <c r="F15" s="495">
        <f>+[5]김포!$R$85</f>
        <v>102058.93047227316</v>
      </c>
      <c r="G15" s="496">
        <f t="shared" si="0"/>
        <v>5960.471012813694</v>
      </c>
      <c r="H15" s="494">
        <f>+[5]김포!$Q$20</f>
        <v>53695.462847608454</v>
      </c>
      <c r="I15" s="495">
        <f>+[5]김포!$R$20</f>
        <v>59468.42985281728</v>
      </c>
      <c r="J15" s="496">
        <f t="shared" si="1"/>
        <v>5772.9670052088259</v>
      </c>
      <c r="K15" s="494">
        <f>+[5]김포!$Q$21</f>
        <v>17546.119785317234</v>
      </c>
      <c r="L15" s="495">
        <f>+[5]김포!$R$21</f>
        <v>17364.609445463106</v>
      </c>
      <c r="M15" s="496">
        <f t="shared" si="2"/>
        <v>-181.51033985412869</v>
      </c>
      <c r="N15" s="494">
        <f>+[5]김포!$Q$22</f>
        <v>105</v>
      </c>
      <c r="O15" s="495">
        <f>+[5]김포!$R$22</f>
        <v>60.304821844491805</v>
      </c>
      <c r="P15" s="496">
        <f t="shared" si="3"/>
        <v>-44.695178155508195</v>
      </c>
      <c r="Q15" s="494">
        <f t="shared" si="4"/>
        <v>71346.582632925682</v>
      </c>
      <c r="R15" s="495">
        <f t="shared" si="5"/>
        <v>76893.344120124879</v>
      </c>
      <c r="S15" s="496">
        <f t="shared" si="6"/>
        <v>5546.7614871991973</v>
      </c>
      <c r="T15" s="494">
        <f t="shared" si="7"/>
        <v>24751.876826533786</v>
      </c>
      <c r="U15" s="495">
        <f t="shared" si="8"/>
        <v>25165.586352148282</v>
      </c>
      <c r="V15" s="496">
        <f t="shared" si="9"/>
        <v>413.70952561449667</v>
      </c>
    </row>
    <row r="16" spans="4:22" ht="24" customHeight="1" x14ac:dyDescent="0.3">
      <c r="D16" s="486" t="s">
        <v>25</v>
      </c>
      <c r="E16" s="497">
        <f>+[5]부산!$Q$85</f>
        <v>107600.29919999998</v>
      </c>
      <c r="F16" s="498">
        <f>+[5]부산!$R$85</f>
        <v>106167.42947042825</v>
      </c>
      <c r="G16" s="499">
        <f t="shared" si="0"/>
        <v>-1432.8697295717284</v>
      </c>
      <c r="H16" s="497">
        <f>+[5]부산!$Q$20</f>
        <v>58976.992675954592</v>
      </c>
      <c r="I16" s="498">
        <f>+[5]부산!$R$20</f>
        <v>63592.972167527005</v>
      </c>
      <c r="J16" s="499">
        <f t="shared" si="1"/>
        <v>4615.9794915724124</v>
      </c>
      <c r="K16" s="497">
        <f>+[5]부산!$Q$21</f>
        <v>19641.118055555558</v>
      </c>
      <c r="L16" s="498">
        <f>+[5]부산!$R$21</f>
        <v>19330.29496390116</v>
      </c>
      <c r="M16" s="499">
        <f t="shared" si="2"/>
        <v>-310.82309165439801</v>
      </c>
      <c r="N16" s="497">
        <f>+[5]부산!$Q$22</f>
        <v>50</v>
      </c>
      <c r="O16" s="498">
        <f>+[5]부산!$R$22</f>
        <v>0</v>
      </c>
      <c r="P16" s="499">
        <f t="shared" si="3"/>
        <v>-50</v>
      </c>
      <c r="Q16" s="497">
        <f t="shared" si="4"/>
        <v>78668.110731510154</v>
      </c>
      <c r="R16" s="498">
        <f t="shared" si="5"/>
        <v>82923.267131428162</v>
      </c>
      <c r="S16" s="499">
        <f t="shared" si="6"/>
        <v>4255.1563999180071</v>
      </c>
      <c r="T16" s="497">
        <f t="shared" si="7"/>
        <v>28932.188468489825</v>
      </c>
      <c r="U16" s="498">
        <f t="shared" si="8"/>
        <v>23244.16233900009</v>
      </c>
      <c r="V16" s="499">
        <f t="shared" si="9"/>
        <v>-5688.0261294897355</v>
      </c>
    </row>
    <row r="17" spans="4:22" ht="24" customHeight="1" x14ac:dyDescent="0.3">
      <c r="D17" s="451" t="s">
        <v>26</v>
      </c>
      <c r="E17" s="494">
        <f>+[5]서부산!$Q$85</f>
        <v>103255.2623076923</v>
      </c>
      <c r="F17" s="495">
        <f>+[5]서부산!$R$85</f>
        <v>102586.08608608608</v>
      </c>
      <c r="G17" s="496">
        <f t="shared" si="0"/>
        <v>-669.17622160621977</v>
      </c>
      <c r="H17" s="494">
        <f>+[5]서부산!$Q$20</f>
        <v>59861.68773509028</v>
      </c>
      <c r="I17" s="495">
        <f>+[5]서부산!$R$20</f>
        <v>60881.089776490073</v>
      </c>
      <c r="J17" s="496">
        <f t="shared" si="1"/>
        <v>1019.4020413997932</v>
      </c>
      <c r="K17" s="494">
        <f>+[5]서부산!$Q$21</f>
        <v>16266.590087232355</v>
      </c>
      <c r="L17" s="495">
        <f>+[5]서부산!$R$21</f>
        <v>17445.588948675497</v>
      </c>
      <c r="M17" s="496">
        <f t="shared" si="2"/>
        <v>1178.9988614431422</v>
      </c>
      <c r="N17" s="494">
        <f>+[5]서부산!$Q$22</f>
        <v>76.923076923076934</v>
      </c>
      <c r="O17" s="495">
        <f>+[5]서부산!$R$22</f>
        <v>255.9176324503311</v>
      </c>
      <c r="P17" s="496">
        <f t="shared" si="3"/>
        <v>178.99455552725416</v>
      </c>
      <c r="Q17" s="494">
        <f t="shared" si="4"/>
        <v>76205.200899245712</v>
      </c>
      <c r="R17" s="495">
        <f t="shared" si="5"/>
        <v>78582.596357615912</v>
      </c>
      <c r="S17" s="496">
        <f t="shared" si="6"/>
        <v>2377.3954583701998</v>
      </c>
      <c r="T17" s="494">
        <f t="shared" si="7"/>
        <v>27050.061408446592</v>
      </c>
      <c r="U17" s="495">
        <f t="shared" si="8"/>
        <v>24003.489728470173</v>
      </c>
      <c r="V17" s="496">
        <f t="shared" si="9"/>
        <v>-3046.5716799764195</v>
      </c>
    </row>
    <row r="18" spans="4:22" ht="24" customHeight="1" x14ac:dyDescent="0.3">
      <c r="D18" s="451" t="s">
        <v>27</v>
      </c>
      <c r="E18" s="494">
        <f>+[5]김해!$Q$85</f>
        <v>101000.2</v>
      </c>
      <c r="F18" s="495">
        <f>+[5]김해!$R$85</f>
        <v>93214.324011012912</v>
      </c>
      <c r="G18" s="496">
        <f t="shared" si="0"/>
        <v>-7785.8759889870853</v>
      </c>
      <c r="H18" s="494">
        <f>+[5]김해!$Q$20</f>
        <v>57995.398658620943</v>
      </c>
      <c r="I18" s="495">
        <f>+[5]김해!$R$20</f>
        <v>59291.017098971155</v>
      </c>
      <c r="J18" s="496">
        <f t="shared" si="1"/>
        <v>1295.618440350212</v>
      </c>
      <c r="K18" s="494">
        <f>+[5]김해!$Q$21</f>
        <v>18115.390073099417</v>
      </c>
      <c r="L18" s="495">
        <f>+[5]김해!$R$21</f>
        <v>17715.305100710044</v>
      </c>
      <c r="M18" s="496">
        <f t="shared" si="2"/>
        <v>-400.08497238937343</v>
      </c>
      <c r="N18" s="494">
        <f>+[5]김해!$Q$22</f>
        <v>379.16666666666663</v>
      </c>
      <c r="O18" s="495">
        <f>+[5]김해!$R$22</f>
        <v>418.1583103897986</v>
      </c>
      <c r="P18" s="496">
        <f t="shared" si="3"/>
        <v>38.991643723131972</v>
      </c>
      <c r="Q18" s="494">
        <f t="shared" si="4"/>
        <v>76489.955398387028</v>
      </c>
      <c r="R18" s="495">
        <f t="shared" si="5"/>
        <v>77424.480510070993</v>
      </c>
      <c r="S18" s="496">
        <f t="shared" si="6"/>
        <v>934.5251116839645</v>
      </c>
      <c r="T18" s="494">
        <f t="shared" si="7"/>
        <v>24510.244601612969</v>
      </c>
      <c r="U18" s="495">
        <f t="shared" si="8"/>
        <v>15789.843500941919</v>
      </c>
      <c r="V18" s="496">
        <f t="shared" si="9"/>
        <v>-8720.4011006710498</v>
      </c>
    </row>
    <row r="19" spans="4:22" ht="24" customHeight="1" x14ac:dyDescent="0.3">
      <c r="D19" s="451" t="s">
        <v>28</v>
      </c>
      <c r="E19" s="494">
        <f>+[5]정관!$Q$85</f>
        <v>104000</v>
      </c>
      <c r="F19" s="495">
        <f>+[5]정관!$R$85</f>
        <v>101381.18856672835</v>
      </c>
      <c r="G19" s="496">
        <f t="shared" si="0"/>
        <v>-2618.8114332716505</v>
      </c>
      <c r="H19" s="494">
        <f>+[5]정관!$Q$20</f>
        <v>59233.160532545087</v>
      </c>
      <c r="I19" s="495">
        <f>+[5]정관!$R$20</f>
        <v>60769.291353151602</v>
      </c>
      <c r="J19" s="496">
        <f t="shared" si="1"/>
        <v>1536.130820606515</v>
      </c>
      <c r="K19" s="494">
        <f>+[5]정관!$Q$21</f>
        <v>19050.002777777776</v>
      </c>
      <c r="L19" s="495">
        <f>+[5]정관!$R$21</f>
        <v>19662.555281444016</v>
      </c>
      <c r="M19" s="496">
        <f t="shared" si="2"/>
        <v>612.55250366624023</v>
      </c>
      <c r="N19" s="494">
        <f>+[5]정관!$Q$22</f>
        <v>250</v>
      </c>
      <c r="O19" s="495">
        <f>+[5]정관!$R$22</f>
        <v>214.21812425475926</v>
      </c>
      <c r="P19" s="496">
        <f t="shared" si="3"/>
        <v>-35.78187574524074</v>
      </c>
      <c r="Q19" s="494">
        <f t="shared" si="4"/>
        <v>78533.163310322867</v>
      </c>
      <c r="R19" s="495">
        <f t="shared" si="5"/>
        <v>80646.064758850378</v>
      </c>
      <c r="S19" s="496">
        <f t="shared" si="6"/>
        <v>2112.9014485275111</v>
      </c>
      <c r="T19" s="494">
        <f t="shared" si="7"/>
        <v>25466.836689677133</v>
      </c>
      <c r="U19" s="495">
        <f t="shared" si="8"/>
        <v>20735.123807877972</v>
      </c>
      <c r="V19" s="496">
        <f t="shared" si="9"/>
        <v>-4731.7128817991616</v>
      </c>
    </row>
    <row r="20" spans="4:22" ht="24" customHeight="1" x14ac:dyDescent="0.3">
      <c r="D20" s="451" t="s">
        <v>29</v>
      </c>
      <c r="E20" s="494">
        <f>+[5]양산!$Q$85</f>
        <v>96764.877391304355</v>
      </c>
      <c r="F20" s="495">
        <f>+[5]양산!$R$85</f>
        <v>93528.677924217467</v>
      </c>
      <c r="G20" s="496">
        <f t="shared" si="0"/>
        <v>-3236.199467086888</v>
      </c>
      <c r="H20" s="494">
        <f>+[5]양산!$Q$20</f>
        <v>53279.816794307771</v>
      </c>
      <c r="I20" s="495">
        <f>+[5]양산!$R$20</f>
        <v>57044.28571428571</v>
      </c>
      <c r="J20" s="496">
        <f t="shared" si="1"/>
        <v>3764.4689199779386</v>
      </c>
      <c r="K20" s="494">
        <f>+[5]양산!$Q$21</f>
        <v>17463.187585812357</v>
      </c>
      <c r="L20" s="495">
        <f>+[5]양산!$R$21</f>
        <v>16830.317414573899</v>
      </c>
      <c r="M20" s="496">
        <f t="shared" si="2"/>
        <v>-632.87017123845726</v>
      </c>
      <c r="N20" s="494">
        <f>+[5]양산!$Q$22</f>
        <v>82.608695652173907</v>
      </c>
      <c r="O20" s="495">
        <f>+[5]양산!$R$22</f>
        <v>30.905653904212979</v>
      </c>
      <c r="P20" s="496">
        <f t="shared" si="3"/>
        <v>-51.703041747960924</v>
      </c>
      <c r="Q20" s="494">
        <f t="shared" si="4"/>
        <v>70825.6130757723</v>
      </c>
      <c r="R20" s="495">
        <f t="shared" si="5"/>
        <v>73905.50878276382</v>
      </c>
      <c r="S20" s="496">
        <f t="shared" si="6"/>
        <v>3079.8957069915195</v>
      </c>
      <c r="T20" s="494">
        <f t="shared" si="7"/>
        <v>25939.264315532055</v>
      </c>
      <c r="U20" s="495">
        <f t="shared" si="8"/>
        <v>19623.169141453647</v>
      </c>
      <c r="V20" s="496">
        <f t="shared" si="9"/>
        <v>-6316.0951740784076</v>
      </c>
    </row>
    <row r="21" spans="4:22" ht="24" customHeight="1" x14ac:dyDescent="0.3">
      <c r="D21" s="451" t="s">
        <v>30</v>
      </c>
      <c r="E21" s="494">
        <f>+[5]창원!$Q$85</f>
        <v>101626.88888888889</v>
      </c>
      <c r="F21" s="495">
        <f>+[5]창원!$R$85</f>
        <v>98673.837915561395</v>
      </c>
      <c r="G21" s="496">
        <f t="shared" si="0"/>
        <v>-2953.0509733274957</v>
      </c>
      <c r="H21" s="494">
        <f>+[5]창원!$Q$20</f>
        <v>55702.154304783093</v>
      </c>
      <c r="I21" s="495">
        <f>+[5]창원!$R$20</f>
        <v>57663.839353447205</v>
      </c>
      <c r="J21" s="496">
        <f t="shared" si="1"/>
        <v>1961.6850486641124</v>
      </c>
      <c r="K21" s="494">
        <f>+[5]창원!$Q$21</f>
        <v>16491.015283687946</v>
      </c>
      <c r="L21" s="495">
        <f>+[5]창원!$R$21</f>
        <v>16421.269504425218</v>
      </c>
      <c r="M21" s="496">
        <f t="shared" si="2"/>
        <v>-69.74577926272832</v>
      </c>
      <c r="N21" s="494">
        <f>+[5]창원!$Q$22</f>
        <v>66.666666666666671</v>
      </c>
      <c r="O21" s="495">
        <f>+[5]창원!$R$22</f>
        <v>82.035699233953949</v>
      </c>
      <c r="P21" s="496">
        <f t="shared" si="3"/>
        <v>15.369032567287277</v>
      </c>
      <c r="Q21" s="494">
        <f t="shared" si="4"/>
        <v>72259.836255137707</v>
      </c>
      <c r="R21" s="495">
        <f t="shared" si="5"/>
        <v>74167.144557106381</v>
      </c>
      <c r="S21" s="496">
        <f t="shared" si="6"/>
        <v>1907.3083019686746</v>
      </c>
      <c r="T21" s="494">
        <f t="shared" si="7"/>
        <v>29367.052633751184</v>
      </c>
      <c r="U21" s="495">
        <f t="shared" si="8"/>
        <v>24506.693358455013</v>
      </c>
      <c r="V21" s="496">
        <f t="shared" si="9"/>
        <v>-4860.3592752961704</v>
      </c>
    </row>
    <row r="22" spans="4:22" ht="24" customHeight="1" x14ac:dyDescent="0.3">
      <c r="D22" s="451" t="s">
        <v>95</v>
      </c>
      <c r="E22" s="494">
        <f>+[5]대구!$Q$85</f>
        <v>97760</v>
      </c>
      <c r="F22" s="495">
        <f>+[5]대구!$R$85</f>
        <v>100540.06732387593</v>
      </c>
      <c r="G22" s="496">
        <f t="shared" si="0"/>
        <v>2780.0673238759337</v>
      </c>
      <c r="H22" s="494">
        <f>+[5]대구!$Q$20</f>
        <v>52503.967056290479</v>
      </c>
      <c r="I22" s="495">
        <f>+[5]대구!$R$20</f>
        <v>55086.333926424624</v>
      </c>
      <c r="J22" s="496">
        <f t="shared" si="1"/>
        <v>2582.3668701341448</v>
      </c>
      <c r="K22" s="494">
        <f>+[5]대구!$Q$21</f>
        <v>16751.031174242424</v>
      </c>
      <c r="L22" s="495">
        <f>+[5]대구!$R$21</f>
        <v>17899.422505409952</v>
      </c>
      <c r="M22" s="496">
        <f t="shared" si="2"/>
        <v>1148.3913311675278</v>
      </c>
      <c r="N22" s="494">
        <f>+[5]대구!$Q$22</f>
        <v>321.21212121212125</v>
      </c>
      <c r="O22" s="495">
        <f>+[5]대구!$R$22</f>
        <v>286.93907189228179</v>
      </c>
      <c r="P22" s="496">
        <f t="shared" si="3"/>
        <v>-34.273049319839458</v>
      </c>
      <c r="Q22" s="494">
        <f t="shared" si="4"/>
        <v>69576.21035174503</v>
      </c>
      <c r="R22" s="495">
        <f t="shared" si="5"/>
        <v>73272.695503726849</v>
      </c>
      <c r="S22" s="496">
        <f t="shared" si="6"/>
        <v>3696.4851519818185</v>
      </c>
      <c r="T22" s="494">
        <f t="shared" si="7"/>
        <v>28183.78964825497</v>
      </c>
      <c r="U22" s="495">
        <f t="shared" si="8"/>
        <v>27267.371820149085</v>
      </c>
      <c r="V22" s="496">
        <f t="shared" si="9"/>
        <v>-916.41782810588484</v>
      </c>
    </row>
    <row r="23" spans="4:22" ht="24" customHeight="1" x14ac:dyDescent="0.3">
      <c r="D23" s="451" t="s">
        <v>97</v>
      </c>
      <c r="E23" s="494">
        <f>+[5]울산!$Q$85</f>
        <v>101293.09999999999</v>
      </c>
      <c r="F23" s="495">
        <f>+[5]울산!$R$85</f>
        <v>104149.18603675422</v>
      </c>
      <c r="G23" s="496">
        <f t="shared" si="0"/>
        <v>2856.0860367542336</v>
      </c>
      <c r="H23" s="494">
        <f>+[5]울산!$Q$20</f>
        <v>56861.691053021874</v>
      </c>
      <c r="I23" s="495">
        <f>+[5]울산!$R$20</f>
        <v>58304.650834941676</v>
      </c>
      <c r="J23" s="496">
        <f t="shared" si="1"/>
        <v>1442.9597819198025</v>
      </c>
      <c r="K23" s="494">
        <f>+[5]울산!$Q$21</f>
        <v>20426.034633699637</v>
      </c>
      <c r="L23" s="495">
        <f>+[5]울산!$R$21</f>
        <v>19756.746412687757</v>
      </c>
      <c r="M23" s="496">
        <f t="shared" si="2"/>
        <v>-669.28822101188052</v>
      </c>
      <c r="N23" s="494">
        <f>+[5]울산!$Q$22</f>
        <v>260</v>
      </c>
      <c r="O23" s="495">
        <f>+[5]울산!$R$22</f>
        <v>272.51481077452382</v>
      </c>
      <c r="P23" s="496">
        <f t="shared" si="3"/>
        <v>12.514810774523824</v>
      </c>
      <c r="Q23" s="494">
        <f t="shared" si="4"/>
        <v>77547.725686721504</v>
      </c>
      <c r="R23" s="495">
        <f t="shared" si="5"/>
        <v>78333.912058403948</v>
      </c>
      <c r="S23" s="496">
        <f t="shared" si="6"/>
        <v>786.18637168244459</v>
      </c>
      <c r="T23" s="494">
        <f t="shared" si="7"/>
        <v>23745.374313278488</v>
      </c>
      <c r="U23" s="495">
        <f t="shared" si="8"/>
        <v>25815.273978350277</v>
      </c>
      <c r="V23" s="496">
        <f t="shared" si="9"/>
        <v>2069.8996650717891</v>
      </c>
    </row>
    <row r="24" spans="4:22" ht="24" customHeight="1" x14ac:dyDescent="0.3">
      <c r="D24" s="486" t="s">
        <v>31</v>
      </c>
      <c r="E24" s="497">
        <f>+[5]아산!$Q$85</f>
        <v>101000.15</v>
      </c>
      <c r="F24" s="498">
        <f>+[5]아산!$R$85</f>
        <v>103299.38355240985</v>
      </c>
      <c r="G24" s="499">
        <f t="shared" si="0"/>
        <v>2299.2335524098598</v>
      </c>
      <c r="H24" s="497">
        <f>+[5]아산!$Q$20</f>
        <v>56035.284152453351</v>
      </c>
      <c r="I24" s="498">
        <f>+[5]아산!$R$20</f>
        <v>59426.672916092262</v>
      </c>
      <c r="J24" s="499">
        <f t="shared" si="1"/>
        <v>3391.3887636389118</v>
      </c>
      <c r="K24" s="497">
        <f>+[5]아산!$Q$21</f>
        <v>19763.523670212766</v>
      </c>
      <c r="L24" s="498">
        <f>+[5]아산!$R$21</f>
        <v>15632.573936219098</v>
      </c>
      <c r="M24" s="499">
        <f t="shared" si="2"/>
        <v>-4130.9497339936679</v>
      </c>
      <c r="N24" s="497">
        <f>+[5]아산!$Q$22</f>
        <v>208.33333333333334</v>
      </c>
      <c r="O24" s="498">
        <f>+[5]아산!$R$22</f>
        <v>144.46009864289434</v>
      </c>
      <c r="P24" s="499">
        <f t="shared" si="3"/>
        <v>-63.873234690439006</v>
      </c>
      <c r="Q24" s="497">
        <f t="shared" si="4"/>
        <v>76007.141155999445</v>
      </c>
      <c r="R24" s="498">
        <f t="shared" si="5"/>
        <v>75203.706950954263</v>
      </c>
      <c r="S24" s="499">
        <f t="shared" si="6"/>
        <v>-803.43420504518144</v>
      </c>
      <c r="T24" s="497">
        <f t="shared" si="7"/>
        <v>24993.008844000549</v>
      </c>
      <c r="U24" s="498">
        <f t="shared" si="8"/>
        <v>28095.676601455591</v>
      </c>
      <c r="V24" s="499">
        <f t="shared" si="9"/>
        <v>3102.6677574550413</v>
      </c>
    </row>
    <row r="25" spans="4:22" ht="24" customHeight="1" x14ac:dyDescent="0.3">
      <c r="D25" s="451" t="s">
        <v>34</v>
      </c>
      <c r="E25" s="494">
        <f>+[5]전주!$Q$85</f>
        <v>103872.2825</v>
      </c>
      <c r="F25" s="495">
        <f>+[5]전주!$R$85</f>
        <v>96441.995702863598</v>
      </c>
      <c r="G25" s="496">
        <f t="shared" si="0"/>
        <v>-7430.286797136403</v>
      </c>
      <c r="H25" s="494">
        <f>+[5]전주!$Q$20</f>
        <v>55393.123204301075</v>
      </c>
      <c r="I25" s="495">
        <f>+[5]전주!$R$20</f>
        <v>55577.869606565466</v>
      </c>
      <c r="J25" s="496">
        <f t="shared" si="1"/>
        <v>184.74640226439078</v>
      </c>
      <c r="K25" s="494">
        <f>+[5]전주!$Q$21</f>
        <v>17129.656330645161</v>
      </c>
      <c r="L25" s="495">
        <f>+[5]전주!$R$21</f>
        <v>14997.635166073755</v>
      </c>
      <c r="M25" s="496">
        <f t="shared" si="2"/>
        <v>-2132.0211645714062</v>
      </c>
      <c r="N25" s="494">
        <f>+[5]전주!$Q$22</f>
        <v>250</v>
      </c>
      <c r="O25" s="495">
        <f>+[5]전주!$R$22</f>
        <v>206.94205910323697</v>
      </c>
      <c r="P25" s="496">
        <f t="shared" si="3"/>
        <v>-43.057940896763029</v>
      </c>
      <c r="Q25" s="494">
        <f t="shared" si="4"/>
        <v>72772.779534946239</v>
      </c>
      <c r="R25" s="495">
        <f t="shared" si="5"/>
        <v>70782.446831742462</v>
      </c>
      <c r="S25" s="496">
        <f t="shared" si="6"/>
        <v>-1990.3327032037778</v>
      </c>
      <c r="T25" s="494">
        <f t="shared" si="7"/>
        <v>31099.502965053762</v>
      </c>
      <c r="U25" s="495">
        <f t="shared" si="8"/>
        <v>25659.548871121136</v>
      </c>
      <c r="V25" s="496">
        <f t="shared" si="9"/>
        <v>-5439.9540939326253</v>
      </c>
    </row>
    <row r="26" spans="4:22" ht="24" customHeight="1" x14ac:dyDescent="0.3">
      <c r="D26" s="451" t="s">
        <v>33</v>
      </c>
      <c r="E26" s="494">
        <f>+[5]군산!$Q$85</f>
        <v>108957.96426666666</v>
      </c>
      <c r="F26" s="495">
        <f>+[5]군산!$R$85</f>
        <v>113508.02348336596</v>
      </c>
      <c r="G26" s="496">
        <f t="shared" si="0"/>
        <v>4550.059216699301</v>
      </c>
      <c r="H26" s="494">
        <f>+[5]군산!$Q$20</f>
        <v>56557.486559139783</v>
      </c>
      <c r="I26" s="495">
        <f>+[5]군산!$R$20</f>
        <v>59967.748812517464</v>
      </c>
      <c r="J26" s="496">
        <f t="shared" si="1"/>
        <v>3410.2622533776812</v>
      </c>
      <c r="K26" s="494">
        <f>+[5]군산!$Q$21</f>
        <v>12685.699003436426</v>
      </c>
      <c r="L26" s="495">
        <f>+[5]군산!$R$21</f>
        <v>13359.195305951383</v>
      </c>
      <c r="M26" s="496">
        <f t="shared" si="2"/>
        <v>673.49630251495728</v>
      </c>
      <c r="N26" s="494">
        <f>+[5]군산!$Q$22</f>
        <v>60</v>
      </c>
      <c r="O26" s="495">
        <f>+[5]군산!$R$22</f>
        <v>54.930148086057557</v>
      </c>
      <c r="P26" s="496">
        <f t="shared" si="3"/>
        <v>-5.0698519139424434</v>
      </c>
      <c r="Q26" s="494">
        <f t="shared" si="4"/>
        <v>69303.185562576211</v>
      </c>
      <c r="R26" s="495">
        <f t="shared" si="5"/>
        <v>73381.874266554907</v>
      </c>
      <c r="S26" s="496">
        <f t="shared" si="6"/>
        <v>4078.6887039786961</v>
      </c>
      <c r="T26" s="494">
        <f t="shared" si="7"/>
        <v>39654.778704090451</v>
      </c>
      <c r="U26" s="495">
        <f t="shared" si="8"/>
        <v>40126.149216811056</v>
      </c>
      <c r="V26" s="496">
        <f t="shared" si="9"/>
        <v>471.37051272060489</v>
      </c>
    </row>
    <row r="27" spans="4:22" ht="24" customHeight="1" x14ac:dyDescent="0.3">
      <c r="D27" s="451" t="s">
        <v>32</v>
      </c>
      <c r="E27" s="494">
        <f>+[5]원주!$Q$85</f>
        <v>107900</v>
      </c>
      <c r="F27" s="495">
        <f>+[5]원주!$R$85</f>
        <v>111673.88501512959</v>
      </c>
      <c r="G27" s="496">
        <f t="shared" si="0"/>
        <v>3773.8850151295919</v>
      </c>
      <c r="H27" s="494">
        <f>+[5]원주!$Q$20</f>
        <v>56418.304301075259</v>
      </c>
      <c r="I27" s="495">
        <f>+[5]원주!$R$20</f>
        <v>58227.264044204712</v>
      </c>
      <c r="J27" s="496">
        <f t="shared" si="1"/>
        <v>1808.9597431294533</v>
      </c>
      <c r="K27" s="494">
        <f>+[5]원주!$Q$21</f>
        <v>15776.610355303974</v>
      </c>
      <c r="L27" s="495">
        <f>+[5]원주!$R$21</f>
        <v>13363.85646625444</v>
      </c>
      <c r="M27" s="496">
        <f t="shared" si="2"/>
        <v>-2412.7538890495343</v>
      </c>
      <c r="N27" s="494">
        <f>+[5]원주!$Q$22</f>
        <v>214.28571428571428</v>
      </c>
      <c r="O27" s="495">
        <f>+[5]원주!$R$22</f>
        <v>263.83370609130378</v>
      </c>
      <c r="P27" s="496">
        <f t="shared" si="3"/>
        <v>49.547991805589504</v>
      </c>
      <c r="Q27" s="494">
        <f t="shared" si="4"/>
        <v>72409.200370664941</v>
      </c>
      <c r="R27" s="495">
        <f t="shared" si="5"/>
        <v>71854.954216550454</v>
      </c>
      <c r="S27" s="496">
        <f t="shared" si="6"/>
        <v>-554.24615411448758</v>
      </c>
      <c r="T27" s="494">
        <f t="shared" si="7"/>
        <v>35490.799629335059</v>
      </c>
      <c r="U27" s="495">
        <f t="shared" si="8"/>
        <v>39818.930798579138</v>
      </c>
      <c r="V27" s="496">
        <f t="shared" si="9"/>
        <v>4328.1311692440795</v>
      </c>
    </row>
    <row r="28" spans="4:22" ht="24" customHeight="1" x14ac:dyDescent="0.3">
      <c r="D28" s="500" t="s">
        <v>35</v>
      </c>
      <c r="E28" s="501">
        <f>+[5]제주!$Q$85</f>
        <v>126800</v>
      </c>
      <c r="F28" s="502">
        <f>+[5]제주!$R$85</f>
        <v>124585.10749360958</v>
      </c>
      <c r="G28" s="503">
        <f t="shared" si="0"/>
        <v>-2214.8925063904171</v>
      </c>
      <c r="H28" s="501">
        <f>+[5]제주!$Q$20</f>
        <v>74451.600262884676</v>
      </c>
      <c r="I28" s="502">
        <f>+[5]제주!$R$20</f>
        <v>71395.641867348299</v>
      </c>
      <c r="J28" s="503">
        <f t="shared" si="1"/>
        <v>-3055.9583955363778</v>
      </c>
      <c r="K28" s="501">
        <f>+[5]제주!$Q$21</f>
        <v>16626.410256410258</v>
      </c>
      <c r="L28" s="502">
        <f>+[5]제주!$R$21</f>
        <v>16635.805462128345</v>
      </c>
      <c r="M28" s="503">
        <f t="shared" si="2"/>
        <v>9.3952057180867996</v>
      </c>
      <c r="N28" s="501">
        <f>+[5]제주!$Q$22</f>
        <v>0</v>
      </c>
      <c r="O28" s="502">
        <f>+[5]제주!$R$22</f>
        <v>386.53114489438985</v>
      </c>
      <c r="P28" s="503">
        <f t="shared" si="3"/>
        <v>386.53114489438985</v>
      </c>
      <c r="Q28" s="501">
        <f t="shared" si="4"/>
        <v>91078.010519294941</v>
      </c>
      <c r="R28" s="502">
        <f t="shared" si="5"/>
        <v>88417.978474371033</v>
      </c>
      <c r="S28" s="503">
        <f t="shared" si="6"/>
        <v>-2660.032044923908</v>
      </c>
      <c r="T28" s="501">
        <f t="shared" si="7"/>
        <v>35721.989480705059</v>
      </c>
      <c r="U28" s="502">
        <f t="shared" si="8"/>
        <v>36167.12901923855</v>
      </c>
      <c r="V28" s="503">
        <f t="shared" si="9"/>
        <v>445.13953853349085</v>
      </c>
    </row>
    <row r="29" spans="4:22" ht="24" customHeight="1" x14ac:dyDescent="0.3"/>
    <row r="30" spans="4:22" ht="24" customHeight="1" x14ac:dyDescent="0.3"/>
    <row r="31" spans="4:22" ht="24" customHeight="1" x14ac:dyDescent="0.3"/>
    <row r="32" spans="4:22" ht="21.95" customHeight="1" x14ac:dyDescent="0.3"/>
    <row r="33" ht="21.95" customHeight="1" x14ac:dyDescent="0.3"/>
    <row r="34" ht="21.95" customHeight="1" x14ac:dyDescent="0.3"/>
    <row r="35" ht="21.95" customHeight="1" x14ac:dyDescent="0.3"/>
    <row r="36" ht="21.95" customHeight="1" x14ac:dyDescent="0.3"/>
    <row r="37" ht="21.95" customHeight="1" x14ac:dyDescent="0.3"/>
    <row r="38" ht="21.95" customHeight="1" x14ac:dyDescent="0.3"/>
    <row r="39" ht="21.95" customHeight="1" x14ac:dyDescent="0.3"/>
    <row r="40" ht="21.95" customHeight="1" x14ac:dyDescent="0.3"/>
    <row r="41" ht="21.95" customHeight="1" x14ac:dyDescent="0.3"/>
    <row r="42" ht="21.95" customHeight="1" x14ac:dyDescent="0.3"/>
    <row r="43" ht="21.95" customHeight="1" x14ac:dyDescent="0.3"/>
    <row r="44" ht="21.95" customHeight="1" x14ac:dyDescent="0.3"/>
    <row r="45" ht="21.95" customHeight="1" x14ac:dyDescent="0.3"/>
    <row r="46" ht="21.95" customHeight="1" x14ac:dyDescent="0.3"/>
    <row r="47" ht="21.95" customHeight="1" x14ac:dyDescent="0.3"/>
    <row r="48" ht="21.95" customHeight="1" x14ac:dyDescent="0.3"/>
    <row r="49" ht="21.95" customHeight="1" x14ac:dyDescent="0.3"/>
    <row r="50" ht="21.95" customHeight="1" x14ac:dyDescent="0.3"/>
    <row r="51" ht="21.95" customHeight="1" x14ac:dyDescent="0.3"/>
    <row r="52" ht="21.95" customHeight="1" x14ac:dyDescent="0.3"/>
  </sheetData>
  <mergeCells count="1">
    <mergeCell ref="D6:D7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7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D5750-7275-4690-9C21-6D0EA41DA14A}">
  <sheetPr>
    <tabColor theme="1" tint="0.249977111117893"/>
    <pageSetUpPr fitToPage="1"/>
  </sheetPr>
  <dimension ref="D1:Y52"/>
  <sheetViews>
    <sheetView showGridLines="0" showZeros="0" view="pageBreakPreview" zoomScale="60" zoomScaleNormal="85" workbookViewId="0">
      <pane xSplit="4" ySplit="7" topLeftCell="E8" activePane="bottomRight" state="frozen"/>
      <selection activeCell="C32" sqref="C32"/>
      <selection pane="topRight" activeCell="C32" sqref="C32"/>
      <selection pane="bottomLeft" activeCell="C32" sqref="C32"/>
      <selection pane="bottomRight" activeCell="C32" sqref="C32"/>
    </sheetView>
  </sheetViews>
  <sheetFormatPr defaultRowHeight="16.5" x14ac:dyDescent="0.3"/>
  <cols>
    <col min="1" max="3" width="5.625" style="6" customWidth="1"/>
    <col min="4" max="4" width="9.875" style="6" customWidth="1"/>
    <col min="5" max="22" width="9.625" style="6" customWidth="1"/>
    <col min="23" max="16384" width="9" style="6"/>
  </cols>
  <sheetData>
    <row r="1" spans="4:22" ht="9.9499999999999993" customHeight="1" x14ac:dyDescent="0.3"/>
    <row r="2" spans="4:22" ht="9.9499999999999993" hidden="1" customHeight="1" x14ac:dyDescent="0.3"/>
    <row r="3" spans="4:22" ht="9.9499999999999993" customHeight="1" x14ac:dyDescent="0.3"/>
    <row r="4" spans="4:22" ht="31.5" x14ac:dyDescent="0.3">
      <c r="D4" s="184" t="s">
        <v>222</v>
      </c>
      <c r="F4" s="184"/>
      <c r="I4" s="184"/>
    </row>
    <row r="5" spans="4:22" ht="21.95" customHeight="1" x14ac:dyDescent="0.3"/>
    <row r="6" spans="4:22" ht="24" customHeight="1" thickBot="1" x14ac:dyDescent="0.35">
      <c r="D6" s="823" t="s">
        <v>11</v>
      </c>
      <c r="E6" s="439" t="s">
        <v>156</v>
      </c>
      <c r="F6" s="440"/>
      <c r="G6" s="441"/>
      <c r="H6" s="439" t="s">
        <v>155</v>
      </c>
      <c r="I6" s="440"/>
      <c r="J6" s="441"/>
      <c r="K6" s="439" t="s">
        <v>154</v>
      </c>
      <c r="L6" s="440"/>
      <c r="M6" s="441"/>
      <c r="N6" s="439" t="s">
        <v>153</v>
      </c>
      <c r="O6" s="440"/>
      <c r="P6" s="441"/>
      <c r="Q6" s="439" t="s">
        <v>152</v>
      </c>
      <c r="R6" s="440"/>
      <c r="S6" s="441"/>
      <c r="T6" s="439" t="s">
        <v>151</v>
      </c>
      <c r="U6" s="440"/>
      <c r="V6" s="441"/>
    </row>
    <row r="7" spans="4:22" ht="24" customHeight="1" x14ac:dyDescent="0.3">
      <c r="D7" s="824"/>
      <c r="E7" s="442" t="s">
        <v>12</v>
      </c>
      <c r="F7" s="443" t="s">
        <v>13</v>
      </c>
      <c r="G7" s="444" t="s">
        <v>36</v>
      </c>
      <c r="H7" s="442" t="s">
        <v>15</v>
      </c>
      <c r="I7" s="443" t="s">
        <v>16</v>
      </c>
      <c r="J7" s="444" t="s">
        <v>36</v>
      </c>
      <c r="K7" s="442" t="s">
        <v>15</v>
      </c>
      <c r="L7" s="443" t="s">
        <v>16</v>
      </c>
      <c r="M7" s="444" t="s">
        <v>36</v>
      </c>
      <c r="N7" s="442" t="s">
        <v>15</v>
      </c>
      <c r="O7" s="443" t="s">
        <v>16</v>
      </c>
      <c r="P7" s="444" t="s">
        <v>36</v>
      </c>
      <c r="Q7" s="442" t="s">
        <v>15</v>
      </c>
      <c r="R7" s="443" t="s">
        <v>16</v>
      </c>
      <c r="S7" s="444" t="s">
        <v>36</v>
      </c>
      <c r="T7" s="442" t="s">
        <v>15</v>
      </c>
      <c r="U7" s="443" t="s">
        <v>16</v>
      </c>
      <c r="V7" s="444" t="s">
        <v>36</v>
      </c>
    </row>
    <row r="8" spans="4:22" ht="24" customHeight="1" x14ac:dyDescent="0.3">
      <c r="D8" s="470" t="s">
        <v>47</v>
      </c>
      <c r="E8" s="544">
        <f>+[5]합계!$G$9</f>
        <v>100465.32906026569</v>
      </c>
      <c r="F8" s="545">
        <f>+[5]합계!$H$9</f>
        <v>100306.62099337298</v>
      </c>
      <c r="G8" s="546">
        <f>+F8-E8</f>
        <v>-158.7080668927083</v>
      </c>
      <c r="H8" s="544">
        <f>+[5]합계!$G$10</f>
        <v>91240.579983151896</v>
      </c>
      <c r="I8" s="545">
        <f>+[5]합계!$H$10</f>
        <v>92540.245468863781</v>
      </c>
      <c r="J8" s="546">
        <f>+I8-H8</f>
        <v>1299.6654857118847</v>
      </c>
      <c r="K8" s="544">
        <f>+[5]합계!$G$12</f>
        <v>64097.274293059374</v>
      </c>
      <c r="L8" s="545">
        <f>+[5]합계!$H$12</f>
        <v>63942.421053091937</v>
      </c>
      <c r="M8" s="546">
        <f>+L8-K8</f>
        <v>-154.85323996743682</v>
      </c>
      <c r="N8" s="544">
        <f>+[5]합계!$G$13</f>
        <v>40597.499990032586</v>
      </c>
      <c r="O8" s="545">
        <f>+[5]합계!$H$13</f>
        <v>41098.565775303468</v>
      </c>
      <c r="P8" s="546">
        <f>+O8-N8</f>
        <v>501.06578527088277</v>
      </c>
      <c r="Q8" s="544">
        <f>+[5]합계!$G$16</f>
        <v>12810.057952283236</v>
      </c>
      <c r="R8" s="545">
        <f>+[5]합계!$H$16</f>
        <v>13219.803115119234</v>
      </c>
      <c r="S8" s="546">
        <f>+R8-Q8</f>
        <v>409.74516283599769</v>
      </c>
      <c r="T8" s="544">
        <f>+[5]합계!$G$17</f>
        <v>15792.093314325435</v>
      </c>
      <c r="U8" s="545">
        <f>+[5]합계!$H$17</f>
        <v>15973.328584072256</v>
      </c>
      <c r="V8" s="546">
        <f>+U8-T8</f>
        <v>181.23526974682136</v>
      </c>
    </row>
    <row r="9" spans="4:22" ht="24" customHeight="1" x14ac:dyDescent="0.3">
      <c r="D9" s="471" t="s">
        <v>19</v>
      </c>
      <c r="E9" s="547">
        <f>+[5]수도권!$G$9</f>
        <v>100000</v>
      </c>
      <c r="F9" s="548">
        <f>+[5]수도권!$H$9</f>
        <v>100000.02603228959</v>
      </c>
      <c r="G9" s="549">
        <f t="shared" ref="G9:G28" si="0">+F9-E9</f>
        <v>2.6032289591967128E-2</v>
      </c>
      <c r="H9" s="547">
        <f>+[5]수도권!$G$10</f>
        <v>92334.684016700674</v>
      </c>
      <c r="I9" s="548">
        <f>+[5]수도권!$H$10</f>
        <v>98294.364000320405</v>
      </c>
      <c r="J9" s="549">
        <f t="shared" ref="J9:J28" si="1">+I9-H9</f>
        <v>5959.6799836197315</v>
      </c>
      <c r="K9" s="547">
        <f>+[5]수도권!$G$12</f>
        <v>64324.215495914927</v>
      </c>
      <c r="L9" s="548">
        <f>+[5]수도권!$H$12</f>
        <v>64200.619887049026</v>
      </c>
      <c r="M9" s="549">
        <f t="shared" ref="M9:M28" si="2">+L9-K9</f>
        <v>-123.59560886590043</v>
      </c>
      <c r="N9" s="547">
        <f>+[5]수도권!$G$13</f>
        <v>45162.495506095358</v>
      </c>
      <c r="O9" s="548">
        <f>+[5]수도권!$H$13</f>
        <v>47457.917225533638</v>
      </c>
      <c r="P9" s="549">
        <f t="shared" ref="P9:P28" si="3">+O9-N9</f>
        <v>2295.42171943828</v>
      </c>
      <c r="Q9" s="547">
        <f>+[5]수도권!$G$16</f>
        <v>15352.760344514152</v>
      </c>
      <c r="R9" s="548">
        <f>+[5]수도권!$H$16</f>
        <v>16269.748099195749</v>
      </c>
      <c r="S9" s="549">
        <f t="shared" ref="S9:S28" si="4">+R9-Q9</f>
        <v>916.98775468159693</v>
      </c>
      <c r="T9" s="547">
        <f>+[5]수도권!$G$17</f>
        <v>14734.58455950604</v>
      </c>
      <c r="U9" s="548">
        <f>+[5]수도권!$H$17</f>
        <v>14881.236459574689</v>
      </c>
      <c r="V9" s="549">
        <f t="shared" ref="V9:V28" si="5">+U9-T9</f>
        <v>146.65190006864941</v>
      </c>
    </row>
    <row r="10" spans="4:22" ht="24" customHeight="1" x14ac:dyDescent="0.3">
      <c r="D10" s="472" t="s">
        <v>20</v>
      </c>
      <c r="E10" s="550">
        <f>+[5]영남권!$G$9</f>
        <v>99999.999999999985</v>
      </c>
      <c r="F10" s="551">
        <f>+[5]영남권!$H$9</f>
        <v>99998.433831996314</v>
      </c>
      <c r="G10" s="552">
        <f t="shared" si="0"/>
        <v>-1.566168003671919</v>
      </c>
      <c r="H10" s="550">
        <f>+[5]영남권!$G$10</f>
        <v>92100.000000000015</v>
      </c>
      <c r="I10" s="551">
        <f>+[5]영남권!$H$10</f>
        <v>92282.443026301873</v>
      </c>
      <c r="J10" s="552">
        <f t="shared" si="1"/>
        <v>182.44302630185848</v>
      </c>
      <c r="K10" s="550">
        <f>+[5]영남권!$G$12</f>
        <v>63683.915966307781</v>
      </c>
      <c r="L10" s="551">
        <f>+[5]영남권!$H$12</f>
        <v>63497.387610631944</v>
      </c>
      <c r="M10" s="552">
        <f t="shared" si="2"/>
        <v>-186.52835567583679</v>
      </c>
      <c r="N10" s="550">
        <f>+[5]영남권!$G$13</f>
        <v>35391.935552892595</v>
      </c>
      <c r="O10" s="551">
        <f>+[5]영남권!$H$13</f>
        <v>35427.601126789996</v>
      </c>
      <c r="P10" s="552">
        <f t="shared" si="3"/>
        <v>35.665573897400463</v>
      </c>
      <c r="Q10" s="550">
        <f>+[5]영남권!$G$16</f>
        <v>10365.487960913784</v>
      </c>
      <c r="R10" s="551">
        <f>+[5]영남권!$H$16</f>
        <v>11051.40561860964</v>
      </c>
      <c r="S10" s="552">
        <f t="shared" si="4"/>
        <v>685.91765769585618</v>
      </c>
      <c r="T10" s="550">
        <f>+[5]영남권!$G$17</f>
        <v>17320.161655734952</v>
      </c>
      <c r="U10" s="551">
        <f>+[5]영남권!$H$17</f>
        <v>17532.805350783139</v>
      </c>
      <c r="V10" s="552">
        <f t="shared" si="5"/>
        <v>212.64369504818751</v>
      </c>
    </row>
    <row r="11" spans="4:22" ht="24" customHeight="1" x14ac:dyDescent="0.3">
      <c r="D11" s="473" t="s">
        <v>57</v>
      </c>
      <c r="E11" s="553">
        <f>+[5]중부권!$G$9</f>
        <v>102520.22537932724</v>
      </c>
      <c r="F11" s="554">
        <f>+[5]중부권!$H$9</f>
        <v>101386.18415997902</v>
      </c>
      <c r="G11" s="555">
        <f t="shared" si="0"/>
        <v>-1134.0412193482189</v>
      </c>
      <c r="H11" s="553">
        <f>+[5]중부권!$G$10</f>
        <v>88054.416221279404</v>
      </c>
      <c r="I11" s="554">
        <f>+[5]중부권!$H$10</f>
        <v>90560.055580329426</v>
      </c>
      <c r="J11" s="555">
        <f t="shared" si="1"/>
        <v>2505.6393590500229</v>
      </c>
      <c r="K11" s="553">
        <f>+[5]중부권!$G$12</f>
        <v>64689.005001423167</v>
      </c>
      <c r="L11" s="554">
        <f>+[5]중부권!$H$12</f>
        <v>64639.382548127956</v>
      </c>
      <c r="M11" s="555">
        <f t="shared" si="2"/>
        <v>-49.622453295211017</v>
      </c>
      <c r="N11" s="553">
        <f>+[5]중부권!$G$13</f>
        <v>41399.816194007544</v>
      </c>
      <c r="O11" s="554">
        <f>+[5]중부권!$H$13</f>
        <v>42530.736187324081</v>
      </c>
      <c r="P11" s="555">
        <f t="shared" si="3"/>
        <v>1130.9199933165364</v>
      </c>
      <c r="Q11" s="553">
        <f>+[5]중부권!$G$16</f>
        <v>12625.651010565805</v>
      </c>
      <c r="R11" s="554">
        <f>+[5]중부권!$H$16</f>
        <v>12793.862633121507</v>
      </c>
      <c r="S11" s="555">
        <f t="shared" si="4"/>
        <v>168.21162255570198</v>
      </c>
      <c r="T11" s="553">
        <f>+[5]중부권!$G$17</f>
        <v>14552.569651697098</v>
      </c>
      <c r="U11" s="554">
        <f>+[5]중부권!$H$17</f>
        <v>14345.878071097777</v>
      </c>
      <c r="V11" s="555">
        <f t="shared" si="5"/>
        <v>-206.69158059932124</v>
      </c>
    </row>
    <row r="12" spans="4:22" ht="24" customHeight="1" x14ac:dyDescent="0.3">
      <c r="D12" s="485" t="s">
        <v>22</v>
      </c>
      <c r="E12" s="556">
        <f>+[5]안양!$G$9</f>
        <v>100000.00000000001</v>
      </c>
      <c r="F12" s="557">
        <f>+[5]안양!$H$9</f>
        <v>100000.07308634436</v>
      </c>
      <c r="G12" s="558">
        <f t="shared" si="0"/>
        <v>7.3086344345938414E-2</v>
      </c>
      <c r="H12" s="556">
        <f>+[5]안양!$G$10</f>
        <v>87100.000000000015</v>
      </c>
      <c r="I12" s="557">
        <f>+[5]안양!$H$10</f>
        <v>0</v>
      </c>
      <c r="J12" s="558">
        <f t="shared" si="1"/>
        <v>-87100.000000000015</v>
      </c>
      <c r="K12" s="556">
        <f>+[5]안양!$G$12</f>
        <v>64000</v>
      </c>
      <c r="L12" s="557">
        <f>+[5]안양!$H$12</f>
        <v>64252.155150102539</v>
      </c>
      <c r="M12" s="558">
        <f t="shared" si="2"/>
        <v>252.15515010253876</v>
      </c>
      <c r="N12" s="556">
        <f>+[5]안양!$G$13</f>
        <v>45000</v>
      </c>
      <c r="O12" s="557">
        <f>+[5]안양!$H$13</f>
        <v>45800.599158066558</v>
      </c>
      <c r="P12" s="558">
        <f t="shared" si="3"/>
        <v>800.59915806655772</v>
      </c>
      <c r="Q12" s="556">
        <f>+[5]안양!$G$16</f>
        <v>15333.333333333334</v>
      </c>
      <c r="R12" s="557">
        <f>+[5]안양!$H$16</f>
        <v>17076.992271093772</v>
      </c>
      <c r="S12" s="558">
        <f t="shared" si="4"/>
        <v>1743.6589377604378</v>
      </c>
      <c r="T12" s="556">
        <f>+[5]안양!$G$17</f>
        <v>15161.290322580648</v>
      </c>
      <c r="U12" s="557">
        <f>+[5]안양!$H$17</f>
        <v>16142.929948324347</v>
      </c>
      <c r="V12" s="558">
        <f t="shared" si="5"/>
        <v>981.63962574369907</v>
      </c>
    </row>
    <row r="13" spans="4:22" ht="24" customHeight="1" x14ac:dyDescent="0.3">
      <c r="D13" s="451" t="s">
        <v>23</v>
      </c>
      <c r="E13" s="559">
        <f>+[5]인천!$G$9</f>
        <v>100000</v>
      </c>
      <c r="F13" s="560">
        <f>+[5]인천!$H$9</f>
        <v>99999.999366240954</v>
      </c>
      <c r="G13" s="561">
        <f t="shared" si="0"/>
        <v>-6.337590457405895E-4</v>
      </c>
      <c r="H13" s="559">
        <f>+[5]인천!$G$10</f>
        <v>99500</v>
      </c>
      <c r="I13" s="560">
        <f>+[5]인천!$H$10</f>
        <v>98294.129197791161</v>
      </c>
      <c r="J13" s="561">
        <f t="shared" si="1"/>
        <v>-1205.8708022088395</v>
      </c>
      <c r="K13" s="559">
        <f>+[5]인천!$G$12</f>
        <v>64500</v>
      </c>
      <c r="L13" s="560">
        <f>+[5]인천!$H$12</f>
        <v>64505.283706021233</v>
      </c>
      <c r="M13" s="561">
        <f t="shared" si="2"/>
        <v>5.283706021233229</v>
      </c>
      <c r="N13" s="559">
        <f>+[5]인천!$G$13</f>
        <v>45000.000000000007</v>
      </c>
      <c r="O13" s="560">
        <f>+[5]인천!$H$13</f>
        <v>48618.747842325123</v>
      </c>
      <c r="P13" s="561">
        <f t="shared" si="3"/>
        <v>3618.7478423251159</v>
      </c>
      <c r="Q13" s="559">
        <f>+[5]인천!$G$16</f>
        <v>15733.333333333332</v>
      </c>
      <c r="R13" s="560">
        <f>+[5]인천!$H$16</f>
        <v>15999.06792856112</v>
      </c>
      <c r="S13" s="561">
        <f t="shared" si="4"/>
        <v>265.7345952277883</v>
      </c>
      <c r="T13" s="559">
        <f>+[5]인천!$G$17</f>
        <v>15504.01628025705</v>
      </c>
      <c r="U13" s="560">
        <f>+[5]인천!$H$17</f>
        <v>15068.543001935393</v>
      </c>
      <c r="V13" s="561">
        <f t="shared" si="5"/>
        <v>-435.47327832165684</v>
      </c>
    </row>
    <row r="14" spans="4:22" ht="24" customHeight="1" x14ac:dyDescent="0.3">
      <c r="D14" s="451" t="s">
        <v>24</v>
      </c>
      <c r="E14" s="559">
        <f>+[5]파주!$G$9</f>
        <v>100000</v>
      </c>
      <c r="F14" s="560">
        <f>+[5]파주!$H$9</f>
        <v>99999.998257399624</v>
      </c>
      <c r="G14" s="561">
        <f t="shared" si="0"/>
        <v>-1.7426003760192543E-3</v>
      </c>
      <c r="H14" s="559">
        <f>+[5]파주!$G$10</f>
        <v>0</v>
      </c>
      <c r="I14" s="560">
        <f>+[5]파주!$H$10</f>
        <v>98338.12672775182</v>
      </c>
      <c r="J14" s="561">
        <f t="shared" si="1"/>
        <v>98338.12672775182</v>
      </c>
      <c r="K14" s="559">
        <f>+[5]파주!$G$12</f>
        <v>64500</v>
      </c>
      <c r="L14" s="560">
        <f>+[5]파주!$H$12</f>
        <v>64556.074650157097</v>
      </c>
      <c r="M14" s="561">
        <f t="shared" si="2"/>
        <v>56.074650157097494</v>
      </c>
      <c r="N14" s="559">
        <f>+[5]파주!$G$13</f>
        <v>45000</v>
      </c>
      <c r="O14" s="560">
        <f>+[5]파주!$H$13</f>
        <v>47895.639992800912</v>
      </c>
      <c r="P14" s="561">
        <f t="shared" si="3"/>
        <v>2895.6399928009123</v>
      </c>
      <c r="Q14" s="559">
        <f>+[5]파주!$G$16</f>
        <v>15266.666666666666</v>
      </c>
      <c r="R14" s="560">
        <f>+[5]파주!$H$16</f>
        <v>16532.072288523992</v>
      </c>
      <c r="S14" s="561">
        <f t="shared" si="4"/>
        <v>1265.405621857326</v>
      </c>
      <c r="T14" s="559">
        <f>+[5]파주!$G$17</f>
        <v>13419.354838709678</v>
      </c>
      <c r="U14" s="560">
        <f>+[5]파주!$H$17</f>
        <v>13160.314842729855</v>
      </c>
      <c r="V14" s="561">
        <f t="shared" si="5"/>
        <v>-259.03999597982329</v>
      </c>
    </row>
    <row r="15" spans="4:22" ht="24" customHeight="1" x14ac:dyDescent="0.3">
      <c r="D15" s="451" t="s">
        <v>178</v>
      </c>
      <c r="E15" s="559">
        <f>+[5]김포!$G$9</f>
        <v>100000</v>
      </c>
      <c r="F15" s="560">
        <f>+[5]김포!$H$9</f>
        <v>99999.997751061412</v>
      </c>
      <c r="G15" s="561">
        <f t="shared" si="0"/>
        <v>-2.2489385883091018E-3</v>
      </c>
      <c r="H15" s="559">
        <f>+[5]김포!$G$10</f>
        <v>0</v>
      </c>
      <c r="I15" s="560">
        <f>+[5]김포!$H$10</f>
        <v>0</v>
      </c>
      <c r="J15" s="561">
        <f t="shared" si="1"/>
        <v>0</v>
      </c>
      <c r="K15" s="559">
        <f>+[5]김포!$G$12</f>
        <v>64300</v>
      </c>
      <c r="L15" s="560">
        <f>+[5]김포!$H$12</f>
        <v>63276.40377759187</v>
      </c>
      <c r="M15" s="561">
        <f t="shared" si="2"/>
        <v>-1023.5962224081304</v>
      </c>
      <c r="N15" s="559">
        <f>+[5]김포!$G$13</f>
        <v>46000</v>
      </c>
      <c r="O15" s="560">
        <f>+[5]김포!$H$13</f>
        <v>48888.410791934039</v>
      </c>
      <c r="P15" s="561">
        <f t="shared" si="3"/>
        <v>2888.4107919340386</v>
      </c>
      <c r="Q15" s="559">
        <f>+[5]김포!$G$16</f>
        <v>14666.666666666666</v>
      </c>
      <c r="R15" s="560">
        <f>+[5]김포!$H$16</f>
        <v>14599.999557692949</v>
      </c>
      <c r="S15" s="561">
        <f t="shared" si="4"/>
        <v>-66.667108973717404</v>
      </c>
      <c r="T15" s="559">
        <f>+[5]김포!$G$17</f>
        <v>14373.490674017828</v>
      </c>
      <c r="U15" s="560">
        <f>+[5]김포!$H$17</f>
        <v>14606.724459695381</v>
      </c>
      <c r="V15" s="561">
        <f t="shared" si="5"/>
        <v>233.23378567755208</v>
      </c>
    </row>
    <row r="16" spans="4:22" ht="24" customHeight="1" x14ac:dyDescent="0.3">
      <c r="D16" s="486" t="s">
        <v>25</v>
      </c>
      <c r="E16" s="562">
        <f>+[5]부산!$G$9</f>
        <v>99999.999999999985</v>
      </c>
      <c r="F16" s="563">
        <f>+[5]부산!$H$9</f>
        <v>100009.53823693114</v>
      </c>
      <c r="G16" s="564">
        <f t="shared" si="0"/>
        <v>9.5382369311555522</v>
      </c>
      <c r="H16" s="562">
        <f>+[5]부산!$G$10</f>
        <v>92100.000000000015</v>
      </c>
      <c r="I16" s="563">
        <f>+[5]부산!$H$10</f>
        <v>92474.703210534499</v>
      </c>
      <c r="J16" s="564">
        <f t="shared" si="1"/>
        <v>374.70321053448424</v>
      </c>
      <c r="K16" s="562">
        <f>+[5]부산!$G$12</f>
        <v>65000</v>
      </c>
      <c r="L16" s="563">
        <f>+[5]부산!$H$12</f>
        <v>0</v>
      </c>
      <c r="M16" s="564">
        <f t="shared" si="2"/>
        <v>-65000</v>
      </c>
      <c r="N16" s="562">
        <f>+[5]부산!$G$13</f>
        <v>36500</v>
      </c>
      <c r="O16" s="563">
        <f>+[5]부산!$H$13</f>
        <v>36500.009353445268</v>
      </c>
      <c r="P16" s="564">
        <f t="shared" si="3"/>
        <v>9.3534452680614777E-3</v>
      </c>
      <c r="Q16" s="562">
        <f>+[5]부산!$G$16</f>
        <v>10738.499053987573</v>
      </c>
      <c r="R16" s="563">
        <f>+[5]부산!$H$16</f>
        <v>11753.718793455235</v>
      </c>
      <c r="S16" s="564">
        <f t="shared" si="4"/>
        <v>1015.2197394676623</v>
      </c>
      <c r="T16" s="562">
        <f>+[5]부산!$G$17</f>
        <v>17415.826994239913</v>
      </c>
      <c r="U16" s="563">
        <f>+[5]부산!$H$17</f>
        <v>18082.9914460494</v>
      </c>
      <c r="V16" s="564">
        <f t="shared" si="5"/>
        <v>667.16445180948722</v>
      </c>
    </row>
    <row r="17" spans="4:25" ht="24" customHeight="1" x14ac:dyDescent="0.3">
      <c r="D17" s="451" t="s">
        <v>26</v>
      </c>
      <c r="E17" s="559">
        <f>+[5]서부산!$G$9</f>
        <v>100000</v>
      </c>
      <c r="F17" s="560">
        <f>+[5]서부산!$H$9</f>
        <v>100012.05379326054</v>
      </c>
      <c r="G17" s="561">
        <f t="shared" si="0"/>
        <v>12.053793260536622</v>
      </c>
      <c r="H17" s="559">
        <f>+[5]서부산!$G$10</f>
        <v>92100</v>
      </c>
      <c r="I17" s="560">
        <f>+[5]서부산!$H$10</f>
        <v>92101.892658260083</v>
      </c>
      <c r="J17" s="561">
        <f t="shared" si="1"/>
        <v>1.8926582600834081</v>
      </c>
      <c r="K17" s="559">
        <f>+[5]서부산!$G$12</f>
        <v>65000</v>
      </c>
      <c r="L17" s="560">
        <f>+[5]서부산!$H$12</f>
        <v>65404.264188061788</v>
      </c>
      <c r="M17" s="561">
        <f t="shared" si="2"/>
        <v>404.26418806178845</v>
      </c>
      <c r="N17" s="559">
        <f>+[5]서부산!$G$13</f>
        <v>35200</v>
      </c>
      <c r="O17" s="560">
        <f>+[5]서부산!$H$13</f>
        <v>35309.480601311632</v>
      </c>
      <c r="P17" s="561">
        <f t="shared" si="3"/>
        <v>109.4806013116322</v>
      </c>
      <c r="Q17" s="559">
        <f>+[5]서부산!$G$16</f>
        <v>10666.666666666666</v>
      </c>
      <c r="R17" s="560">
        <f>+[5]서부산!$H$16</f>
        <v>11305.619795432376</v>
      </c>
      <c r="S17" s="561">
        <f t="shared" si="4"/>
        <v>638.95312876571006</v>
      </c>
      <c r="T17" s="559">
        <f>+[5]서부산!$G$17</f>
        <v>17676.111186186386</v>
      </c>
      <c r="U17" s="560">
        <f>+[5]서부산!$H$17</f>
        <v>18550.702247602087</v>
      </c>
      <c r="V17" s="561">
        <f t="shared" si="5"/>
        <v>874.5910614157001</v>
      </c>
    </row>
    <row r="18" spans="4:25" ht="24" customHeight="1" x14ac:dyDescent="0.3">
      <c r="D18" s="451" t="s">
        <v>27</v>
      </c>
      <c r="E18" s="559">
        <f>+[5]김해!$G$9</f>
        <v>100000</v>
      </c>
      <c r="F18" s="560">
        <f>+[5]김해!$H$9</f>
        <v>100000.20728141484</v>
      </c>
      <c r="G18" s="561">
        <f t="shared" si="0"/>
        <v>0.20728141484141815</v>
      </c>
      <c r="H18" s="559">
        <f>+[5]김해!$G$10</f>
        <v>92100.000000000015</v>
      </c>
      <c r="I18" s="560">
        <f>+[5]김해!$H$10</f>
        <v>92099.979164336633</v>
      </c>
      <c r="J18" s="561">
        <f t="shared" si="1"/>
        <v>-2.0835663381149061E-2</v>
      </c>
      <c r="K18" s="559">
        <f>+[5]김해!$G$12</f>
        <v>64000</v>
      </c>
      <c r="L18" s="560">
        <f>+[5]김해!$H$12</f>
        <v>63176.192686865703</v>
      </c>
      <c r="M18" s="561">
        <f t="shared" si="2"/>
        <v>-823.80731313429715</v>
      </c>
      <c r="N18" s="559">
        <f>+[5]김해!$G$13</f>
        <v>35000</v>
      </c>
      <c r="O18" s="560">
        <f>+[5]김해!$H$13</f>
        <v>34999.997929226214</v>
      </c>
      <c r="P18" s="561">
        <f t="shared" si="3"/>
        <v>-2.0707737858174369E-3</v>
      </c>
      <c r="Q18" s="559">
        <f>+[5]김해!$G$16</f>
        <v>9426.6666666666679</v>
      </c>
      <c r="R18" s="560">
        <f>+[5]김해!$H$16</f>
        <v>9791.7871193810643</v>
      </c>
      <c r="S18" s="561">
        <f t="shared" si="4"/>
        <v>365.12045271439638</v>
      </c>
      <c r="T18" s="559">
        <f>+[5]김해!$G$17</f>
        <v>17730.479017177091</v>
      </c>
      <c r="U18" s="560">
        <f>+[5]김해!$H$17</f>
        <v>16174.497486786173</v>
      </c>
      <c r="V18" s="561">
        <f t="shared" si="5"/>
        <v>-1555.9815303909181</v>
      </c>
    </row>
    <row r="19" spans="4:25" ht="24" customHeight="1" x14ac:dyDescent="0.3">
      <c r="D19" s="451" t="s">
        <v>28</v>
      </c>
      <c r="E19" s="559">
        <f>+[5]정관!$G$9</f>
        <v>100000</v>
      </c>
      <c r="F19" s="560">
        <f>+[5]정관!$H$9</f>
        <v>100018.56987172256</v>
      </c>
      <c r="G19" s="561">
        <f t="shared" si="0"/>
        <v>18.569871722560492</v>
      </c>
      <c r="H19" s="559">
        <f>+[5]정관!$G$10</f>
        <v>92100.000000000015</v>
      </c>
      <c r="I19" s="560">
        <f>+[5]정관!$H$10</f>
        <v>92099.465136930143</v>
      </c>
      <c r="J19" s="561">
        <f t="shared" si="1"/>
        <v>-0.53486306987178978</v>
      </c>
      <c r="K19" s="559">
        <f>+[5]정관!$G$12</f>
        <v>63499.999999999993</v>
      </c>
      <c r="L19" s="560">
        <f>+[5]정관!$H$12</f>
        <v>63655.926022804633</v>
      </c>
      <c r="M19" s="561">
        <f t="shared" si="2"/>
        <v>155.92602280464052</v>
      </c>
      <c r="N19" s="559">
        <f>+[5]정관!$G$13</f>
        <v>35500</v>
      </c>
      <c r="O19" s="560">
        <f>+[5]정관!$H$13</f>
        <v>35499.99663251709</v>
      </c>
      <c r="P19" s="561">
        <f t="shared" si="3"/>
        <v>-3.3674829101073556E-3</v>
      </c>
      <c r="Q19" s="559">
        <f>+[5]정관!$G$16</f>
        <v>10733.333333333332</v>
      </c>
      <c r="R19" s="560">
        <f>+[5]정관!$H$16</f>
        <v>11670.90194727294</v>
      </c>
      <c r="S19" s="561">
        <f t="shared" si="4"/>
        <v>937.56861393960753</v>
      </c>
      <c r="T19" s="559">
        <f>+[5]정관!$G$17</f>
        <v>18315.171013635976</v>
      </c>
      <c r="U19" s="560">
        <f>+[5]정관!$H$17</f>
        <v>18642.116114790901</v>
      </c>
      <c r="V19" s="561">
        <f t="shared" si="5"/>
        <v>326.94510115492449</v>
      </c>
    </row>
    <row r="20" spans="4:25" ht="24" customHeight="1" x14ac:dyDescent="0.3">
      <c r="D20" s="451" t="s">
        <v>29</v>
      </c>
      <c r="E20" s="559">
        <f>+[5]양산!$G$9</f>
        <v>100000</v>
      </c>
      <c r="F20" s="560">
        <f>+[5]양산!$H$9</f>
        <v>99923.81803268673</v>
      </c>
      <c r="G20" s="561">
        <f t="shared" si="0"/>
        <v>-76.181967313270434</v>
      </c>
      <c r="H20" s="559">
        <f>+[5]양산!$G$10</f>
        <v>92100</v>
      </c>
      <c r="I20" s="560">
        <f>+[5]양산!$H$10</f>
        <v>0</v>
      </c>
      <c r="J20" s="561">
        <f t="shared" si="1"/>
        <v>-92100</v>
      </c>
      <c r="K20" s="559">
        <f>+[5]양산!$G$12</f>
        <v>62999.999999999993</v>
      </c>
      <c r="L20" s="560">
        <f>+[5]양산!$H$12</f>
        <v>63287.882034327362</v>
      </c>
      <c r="M20" s="561">
        <f t="shared" si="2"/>
        <v>287.88203432736918</v>
      </c>
      <c r="N20" s="559">
        <f>+[5]양산!$G$13</f>
        <v>36000</v>
      </c>
      <c r="O20" s="560">
        <f>+[5]양산!$H$13</f>
        <v>36000.022938383896</v>
      </c>
      <c r="P20" s="561">
        <f t="shared" si="3"/>
        <v>2.2938383895962033E-2</v>
      </c>
      <c r="Q20" s="559">
        <f>+[5]양산!$G$16</f>
        <v>9066.6666666666661</v>
      </c>
      <c r="R20" s="560">
        <f>+[5]양산!$H$16</f>
        <v>9572.4987901800869</v>
      </c>
      <c r="S20" s="561">
        <f t="shared" si="4"/>
        <v>505.83212351342081</v>
      </c>
      <c r="T20" s="559">
        <f>+[5]양산!$G$17</f>
        <v>17432.17388656026</v>
      </c>
      <c r="U20" s="560">
        <f>+[5]양산!$H$17</f>
        <v>16747.722183508253</v>
      </c>
      <c r="V20" s="561">
        <f t="shared" si="5"/>
        <v>-684.45170305200736</v>
      </c>
    </row>
    <row r="21" spans="4:25" ht="24" customHeight="1" x14ac:dyDescent="0.3">
      <c r="D21" s="451" t="s">
        <v>30</v>
      </c>
      <c r="E21" s="559">
        <f>+[5]창원!$G$9</f>
        <v>100000</v>
      </c>
      <c r="F21" s="560">
        <f>+[5]창원!$H$9</f>
        <v>100004.69095741486</v>
      </c>
      <c r="G21" s="561">
        <f t="shared" si="0"/>
        <v>4.6909574148594402</v>
      </c>
      <c r="H21" s="559">
        <f>+[5]창원!$G$10</f>
        <v>0</v>
      </c>
      <c r="I21" s="560">
        <f>+[5]창원!$H$10</f>
        <v>0</v>
      </c>
      <c r="J21" s="561">
        <f t="shared" si="1"/>
        <v>0</v>
      </c>
      <c r="K21" s="559">
        <f>+[5]창원!$G$12</f>
        <v>65000</v>
      </c>
      <c r="L21" s="560">
        <f>+[5]창원!$H$12</f>
        <v>65007.530814594829</v>
      </c>
      <c r="M21" s="561">
        <f t="shared" si="2"/>
        <v>7.5308145948292804</v>
      </c>
      <c r="N21" s="559">
        <f>+[5]창원!$G$13</f>
        <v>33000</v>
      </c>
      <c r="O21" s="560">
        <f>+[5]창원!$H$13</f>
        <v>33000.000675143565</v>
      </c>
      <c r="P21" s="561">
        <f t="shared" si="3"/>
        <v>6.7514356487663463E-4</v>
      </c>
      <c r="Q21" s="559">
        <f>+[5]창원!$G$16</f>
        <v>10400</v>
      </c>
      <c r="R21" s="560">
        <f>+[5]창원!$H$16</f>
        <v>11209.951415439245</v>
      </c>
      <c r="S21" s="561">
        <f t="shared" si="4"/>
        <v>809.95141543924547</v>
      </c>
      <c r="T21" s="559">
        <f>+[5]창원!$G$17</f>
        <v>17019.616516901086</v>
      </c>
      <c r="U21" s="560">
        <f>+[5]창원!$H$17</f>
        <v>17512.609351415093</v>
      </c>
      <c r="V21" s="561">
        <f t="shared" si="5"/>
        <v>492.99283451400697</v>
      </c>
      <c r="Y21" s="543"/>
    </row>
    <row r="22" spans="4:25" ht="24" customHeight="1" x14ac:dyDescent="0.3">
      <c r="D22" s="451" t="s">
        <v>95</v>
      </c>
      <c r="E22" s="559">
        <f>+[5]대구!$G$9</f>
        <v>100000</v>
      </c>
      <c r="F22" s="560">
        <f>+[5]대구!$H$9</f>
        <v>99999.998396597279</v>
      </c>
      <c r="G22" s="561">
        <f t="shared" si="0"/>
        <v>-1.6034027212299407E-3</v>
      </c>
      <c r="H22" s="559">
        <f>+[5]대구!$G$10</f>
        <v>0</v>
      </c>
      <c r="I22" s="560">
        <f>+[5]대구!$H$10</f>
        <v>0</v>
      </c>
      <c r="J22" s="561">
        <f t="shared" si="1"/>
        <v>0</v>
      </c>
      <c r="K22" s="559">
        <f>+[5]대구!$G$12</f>
        <v>62499.999999999993</v>
      </c>
      <c r="L22" s="560">
        <f>+[5]대구!$H$12</f>
        <v>62864.17480400145</v>
      </c>
      <c r="M22" s="561">
        <f t="shared" si="2"/>
        <v>364.17480400145723</v>
      </c>
      <c r="N22" s="559">
        <f>+[5]대구!$G$13</f>
        <v>35500</v>
      </c>
      <c r="O22" s="560">
        <f>+[5]대구!$H$13</f>
        <v>35351.348833543881</v>
      </c>
      <c r="P22" s="561">
        <f t="shared" si="3"/>
        <v>-148.65116645611852</v>
      </c>
      <c r="Q22" s="559">
        <f>+[5]대구!$G$16</f>
        <v>10466.666666666668</v>
      </c>
      <c r="R22" s="560">
        <f>+[5]대구!$H$16</f>
        <v>10490.356636012675</v>
      </c>
      <c r="S22" s="561">
        <f t="shared" si="4"/>
        <v>23.689969346007274</v>
      </c>
      <c r="T22" s="559">
        <f>+[5]대구!$G$17</f>
        <v>14718.131256952169</v>
      </c>
      <c r="U22" s="560">
        <f>+[5]대구!$H$17</f>
        <v>14821.532028330101</v>
      </c>
      <c r="V22" s="561">
        <f t="shared" si="5"/>
        <v>103.40077137793196</v>
      </c>
    </row>
    <row r="23" spans="4:25" ht="24" customHeight="1" x14ac:dyDescent="0.3">
      <c r="D23" s="451" t="s">
        <v>97</v>
      </c>
      <c r="E23" s="559">
        <f>+[5]울산!$G$9</f>
        <v>100000</v>
      </c>
      <c r="F23" s="560">
        <f>+[5]울산!$H$9</f>
        <v>99999.923448076472</v>
      </c>
      <c r="G23" s="561">
        <f t="shared" si="0"/>
        <v>-7.6551923528313637E-2</v>
      </c>
      <c r="H23" s="559">
        <f>+[5]울산!$G$10</f>
        <v>0</v>
      </c>
      <c r="I23" s="560">
        <f>+[5]울산!$H$10</f>
        <v>0</v>
      </c>
      <c r="J23" s="561">
        <f t="shared" si="1"/>
        <v>0</v>
      </c>
      <c r="K23" s="559">
        <f>+[5]울산!$G$12</f>
        <v>61300</v>
      </c>
      <c r="L23" s="560">
        <f>+[5]울산!$H$12</f>
        <v>61287.574440442491</v>
      </c>
      <c r="M23" s="561">
        <f t="shared" si="2"/>
        <v>-12.425559557508677</v>
      </c>
      <c r="N23" s="559">
        <f>+[5]울산!$G$13</f>
        <v>37000</v>
      </c>
      <c r="O23" s="560">
        <f>+[5]울산!$H$13</f>
        <v>36999.99186570874</v>
      </c>
      <c r="P23" s="561">
        <f t="shared" si="3"/>
        <v>-8.1342912599211559E-3</v>
      </c>
      <c r="Q23" s="559">
        <f>+[5]울산!$G$16</f>
        <v>10546.666666666666</v>
      </c>
      <c r="R23" s="560">
        <f>+[5]울산!$H$16</f>
        <v>11223.984353523643</v>
      </c>
      <c r="S23" s="561">
        <f t="shared" si="4"/>
        <v>677.31768685697716</v>
      </c>
      <c r="T23" s="559">
        <f>+[5]울산!$G$17</f>
        <v>18685.571581890948</v>
      </c>
      <c r="U23" s="560">
        <f>+[5]울산!$H$17</f>
        <v>19833.352632453836</v>
      </c>
      <c r="V23" s="561">
        <f t="shared" si="5"/>
        <v>1147.7810505628877</v>
      </c>
    </row>
    <row r="24" spans="4:25" ht="24" customHeight="1" x14ac:dyDescent="0.3">
      <c r="D24" s="486" t="s">
        <v>31</v>
      </c>
      <c r="E24" s="562">
        <f>+[5]아산!$G$9</f>
        <v>100000</v>
      </c>
      <c r="F24" s="563">
        <f>+[5]아산!$H$9</f>
        <v>100643.96550568542</v>
      </c>
      <c r="G24" s="564">
        <f t="shared" si="0"/>
        <v>643.96550568542443</v>
      </c>
      <c r="H24" s="562">
        <f>+[5]아산!$G$10</f>
        <v>87100.000000000015</v>
      </c>
      <c r="I24" s="563">
        <f>+[5]아산!$H$10</f>
        <v>87099.965657498367</v>
      </c>
      <c r="J24" s="564">
        <f t="shared" si="1"/>
        <v>-3.4342501647188328E-2</v>
      </c>
      <c r="K24" s="562">
        <f>+[5]아산!$G$12</f>
        <v>64500.000000000015</v>
      </c>
      <c r="L24" s="563">
        <f>+[5]아산!$H$12</f>
        <v>64416.672118453251</v>
      </c>
      <c r="M24" s="564">
        <f t="shared" si="2"/>
        <v>-83.32788154676382</v>
      </c>
      <c r="N24" s="562">
        <f>+[5]아산!$G$13</f>
        <v>42000</v>
      </c>
      <c r="O24" s="563">
        <f>+[5]아산!$H$13</f>
        <v>43272.407609833019</v>
      </c>
      <c r="P24" s="564">
        <f t="shared" si="3"/>
        <v>1272.4076098330188</v>
      </c>
      <c r="Q24" s="562">
        <f>+[5]아산!$G$16</f>
        <v>10933.333333333334</v>
      </c>
      <c r="R24" s="563">
        <f>+[5]아산!$H$16</f>
        <v>11500.984605151692</v>
      </c>
      <c r="S24" s="564">
        <f t="shared" si="4"/>
        <v>567.65127181835851</v>
      </c>
      <c r="T24" s="562">
        <f>+[5]아산!$G$17</f>
        <v>13742.253874325719</v>
      </c>
      <c r="U24" s="563">
        <f>+[5]아산!$H$17</f>
        <v>13415.827664684894</v>
      </c>
      <c r="V24" s="564">
        <f t="shared" si="5"/>
        <v>-326.42620964082562</v>
      </c>
    </row>
    <row r="25" spans="4:25" ht="24" customHeight="1" x14ac:dyDescent="0.3">
      <c r="D25" s="451" t="s">
        <v>34</v>
      </c>
      <c r="E25" s="559">
        <f>+[5]전주!$G$9</f>
        <v>100000</v>
      </c>
      <c r="F25" s="560">
        <f>+[5]전주!$H$9</f>
        <v>99931.222314465209</v>
      </c>
      <c r="G25" s="561">
        <f t="shared" si="0"/>
        <v>-68.77768553479109</v>
      </c>
      <c r="H25" s="559">
        <f>+[5]전주!$G$10</f>
        <v>93100</v>
      </c>
      <c r="I25" s="560">
        <f>+[5]전주!$H$10</f>
        <v>93203.374589360188</v>
      </c>
      <c r="J25" s="561">
        <f t="shared" si="1"/>
        <v>103.37458936018811</v>
      </c>
      <c r="K25" s="559">
        <f>+[5]전주!$G$12</f>
        <v>65000</v>
      </c>
      <c r="L25" s="560">
        <f>+[5]전주!$H$12</f>
        <v>64996.64089225958</v>
      </c>
      <c r="M25" s="561">
        <f t="shared" si="2"/>
        <v>-3.3591077404198586</v>
      </c>
      <c r="N25" s="559">
        <f>+[5]전주!$G$13</f>
        <v>36000</v>
      </c>
      <c r="O25" s="560">
        <f>+[5]전주!$H$13</f>
        <v>35999.979010178591</v>
      </c>
      <c r="P25" s="561">
        <f t="shared" si="3"/>
        <v>-2.0989821408875287E-2</v>
      </c>
      <c r="Q25" s="559">
        <f>+[5]전주!$G$16</f>
        <v>12533.333333333336</v>
      </c>
      <c r="R25" s="560">
        <f>+[5]전주!$H$16</f>
        <v>12925.841434277114</v>
      </c>
      <c r="S25" s="561">
        <f t="shared" si="4"/>
        <v>392.50810094377812</v>
      </c>
      <c r="T25" s="559">
        <f>+[5]전주!$G$17</f>
        <v>14400.114063263671</v>
      </c>
      <c r="U25" s="560">
        <f>+[5]전주!$H$17</f>
        <v>14889.397049397207</v>
      </c>
      <c r="V25" s="561">
        <f t="shared" si="5"/>
        <v>489.28298613353581</v>
      </c>
    </row>
    <row r="26" spans="4:25" ht="24" customHeight="1" x14ac:dyDescent="0.3">
      <c r="D26" s="451" t="s">
        <v>33</v>
      </c>
      <c r="E26" s="559">
        <f>+[5]군산!$G$9</f>
        <v>100000</v>
      </c>
      <c r="F26" s="560">
        <f>+[5]군산!$H$9</f>
        <v>99999.999628085483</v>
      </c>
      <c r="G26" s="561">
        <f t="shared" si="0"/>
        <v>-3.719145170180127E-4</v>
      </c>
      <c r="H26" s="559">
        <f>+[5]군산!$G$10</f>
        <v>95000</v>
      </c>
      <c r="I26" s="560">
        <f>+[5]군산!$H$10</f>
        <v>95182.778558188758</v>
      </c>
      <c r="J26" s="561">
        <f t="shared" si="1"/>
        <v>182.77855818875832</v>
      </c>
      <c r="K26" s="559">
        <f>+[5]군산!$G$12</f>
        <v>64900.000000000007</v>
      </c>
      <c r="L26" s="560">
        <f>+[5]군산!$H$12</f>
        <v>64890.425081041627</v>
      </c>
      <c r="M26" s="561">
        <f t="shared" si="2"/>
        <v>-9.5749189583802945</v>
      </c>
      <c r="N26" s="559">
        <f>+[5]군산!$G$13</f>
        <v>37500</v>
      </c>
      <c r="O26" s="560">
        <f>+[5]군산!$H$13</f>
        <v>39596.333702862728</v>
      </c>
      <c r="P26" s="561">
        <f t="shared" si="3"/>
        <v>2096.3337028627284</v>
      </c>
      <c r="Q26" s="559">
        <f>+[5]군산!$G$16</f>
        <v>13666.666666666666</v>
      </c>
      <c r="R26" s="560">
        <f>+[5]군산!$H$16</f>
        <v>13972.839104325558</v>
      </c>
      <c r="S26" s="561">
        <f t="shared" si="4"/>
        <v>306.17243765889179</v>
      </c>
      <c r="T26" s="559">
        <f>+[5]군산!$G$17</f>
        <v>14837.329653268933</v>
      </c>
      <c r="U26" s="560">
        <f>+[5]군산!$H$17</f>
        <v>15149.12635633263</v>
      </c>
      <c r="V26" s="561">
        <f t="shared" si="5"/>
        <v>311.79670306369735</v>
      </c>
    </row>
    <row r="27" spans="4:25" ht="24" customHeight="1" x14ac:dyDescent="0.3">
      <c r="D27" s="451" t="s">
        <v>32</v>
      </c>
      <c r="E27" s="559">
        <f>+[5]원주!$G$9</f>
        <v>100000</v>
      </c>
      <c r="F27" s="560">
        <f>+[5]원주!$H$9</f>
        <v>100001.24171562589</v>
      </c>
      <c r="G27" s="561">
        <f t="shared" si="0"/>
        <v>1.2417156258889008</v>
      </c>
      <c r="H27" s="559">
        <f>+[5]원주!$G$10</f>
        <v>0</v>
      </c>
      <c r="I27" s="560">
        <f>+[5]원주!$H$10</f>
        <v>0</v>
      </c>
      <c r="J27" s="561">
        <f t="shared" si="1"/>
        <v>0</v>
      </c>
      <c r="K27" s="559">
        <f>+[5]원주!$G$12</f>
        <v>64000</v>
      </c>
      <c r="L27" s="560">
        <f>+[5]원주!$H$12</f>
        <v>63924.149315955961</v>
      </c>
      <c r="M27" s="561">
        <f t="shared" si="2"/>
        <v>-75.850684044038644</v>
      </c>
      <c r="N27" s="559">
        <f>+[5]원주!$G$13</f>
        <v>49000</v>
      </c>
      <c r="O27" s="560">
        <f>+[5]원주!$H$13</f>
        <v>49000.008219462114</v>
      </c>
      <c r="P27" s="561">
        <f t="shared" si="3"/>
        <v>8.2194621136295609E-3</v>
      </c>
      <c r="Q27" s="559">
        <f>+[5]원주!$G$16</f>
        <v>13666.666666666666</v>
      </c>
      <c r="R27" s="560">
        <f>+[5]원주!$H$16</f>
        <v>14134.515741884001</v>
      </c>
      <c r="S27" s="561">
        <f t="shared" si="4"/>
        <v>467.84907521733476</v>
      </c>
      <c r="T27" s="559">
        <f>+[5]원주!$G$17</f>
        <v>13419.354838709678</v>
      </c>
      <c r="U27" s="560">
        <f>+[5]원주!$H$17</f>
        <v>14004.018935650005</v>
      </c>
      <c r="V27" s="561">
        <f t="shared" si="5"/>
        <v>584.664096940327</v>
      </c>
    </row>
    <row r="28" spans="4:25" ht="24" customHeight="1" x14ac:dyDescent="0.3">
      <c r="D28" s="500" t="s">
        <v>35</v>
      </c>
      <c r="E28" s="565">
        <f>+[5]제주!$G$9</f>
        <v>117000</v>
      </c>
      <c r="F28" s="566">
        <f>+[5]제주!$H$9</f>
        <v>116999.62154428156</v>
      </c>
      <c r="G28" s="567">
        <f t="shared" si="0"/>
        <v>-0.3784557184408186</v>
      </c>
      <c r="H28" s="565">
        <f>+[5]제주!$G$10</f>
        <v>0</v>
      </c>
      <c r="I28" s="566">
        <f>+[5]제주!$H$10</f>
        <v>0</v>
      </c>
      <c r="J28" s="567">
        <f t="shared" si="1"/>
        <v>0</v>
      </c>
      <c r="K28" s="565">
        <f>+[5]제주!$G$12</f>
        <v>0</v>
      </c>
      <c r="L28" s="566">
        <f>+[5]제주!$H$12</f>
        <v>0</v>
      </c>
      <c r="M28" s="567">
        <f t="shared" si="2"/>
        <v>0</v>
      </c>
      <c r="N28" s="565">
        <f>+[5]제주!$G$13</f>
        <v>0</v>
      </c>
      <c r="O28" s="566">
        <f>+[5]제주!$H$13</f>
        <v>0</v>
      </c>
      <c r="P28" s="567">
        <f t="shared" si="3"/>
        <v>0</v>
      </c>
      <c r="Q28" s="565">
        <f>+[5]제주!$G$16</f>
        <v>18143.333333333336</v>
      </c>
      <c r="R28" s="566">
        <f>+[5]제주!$H$16</f>
        <v>17762.350881701088</v>
      </c>
      <c r="S28" s="567">
        <f t="shared" si="4"/>
        <v>-380.98245163224783</v>
      </c>
      <c r="T28" s="565">
        <f>+[5]제주!$G$17</f>
        <v>18433.378210746429</v>
      </c>
      <c r="U28" s="566">
        <f>+[5]제주!$H$17</f>
        <v>18601.625080513219</v>
      </c>
      <c r="V28" s="567">
        <f t="shared" si="5"/>
        <v>168.24686976679004</v>
      </c>
    </row>
    <row r="29" spans="4:25" ht="24" customHeight="1" x14ac:dyDescent="0.3"/>
    <row r="30" spans="4:25" ht="24" customHeight="1" x14ac:dyDescent="0.3"/>
    <row r="31" spans="4:25" ht="24" customHeight="1" x14ac:dyDescent="0.3"/>
    <row r="32" spans="4:25" ht="21.95" customHeight="1" x14ac:dyDescent="0.3"/>
    <row r="33" ht="21.95" customHeight="1" x14ac:dyDescent="0.3"/>
    <row r="34" ht="21.95" customHeight="1" x14ac:dyDescent="0.3"/>
    <row r="35" ht="21.95" customHeight="1" x14ac:dyDescent="0.3"/>
    <row r="36" ht="21.95" customHeight="1" x14ac:dyDescent="0.3"/>
    <row r="37" ht="21.95" customHeight="1" x14ac:dyDescent="0.3"/>
    <row r="38" ht="21.95" customHeight="1" x14ac:dyDescent="0.3"/>
    <row r="39" ht="21.95" customHeight="1" x14ac:dyDescent="0.3"/>
    <row r="40" ht="21.95" customHeight="1" x14ac:dyDescent="0.3"/>
    <row r="41" ht="21.95" customHeight="1" x14ac:dyDescent="0.3"/>
    <row r="42" ht="21.95" customHeight="1" x14ac:dyDescent="0.3"/>
    <row r="43" ht="21.95" customHeight="1" x14ac:dyDescent="0.3"/>
    <row r="44" ht="21.95" customHeight="1" x14ac:dyDescent="0.3"/>
    <row r="45" ht="21.95" customHeight="1" x14ac:dyDescent="0.3"/>
    <row r="46" ht="21.95" customHeight="1" x14ac:dyDescent="0.3"/>
    <row r="47" ht="21.95" customHeight="1" x14ac:dyDescent="0.3"/>
    <row r="48" ht="21.95" customHeight="1" x14ac:dyDescent="0.3"/>
    <row r="49" ht="21.95" customHeight="1" x14ac:dyDescent="0.3"/>
    <row r="50" ht="21.95" customHeight="1" x14ac:dyDescent="0.3"/>
    <row r="51" ht="21.95" customHeight="1" x14ac:dyDescent="0.3"/>
    <row r="52" ht="21.95" customHeight="1" x14ac:dyDescent="0.3"/>
  </sheetData>
  <mergeCells count="1">
    <mergeCell ref="D6:D7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7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939AB-76B0-4EF2-A4A5-C7A0366BB8E0}">
  <sheetPr>
    <tabColor theme="1" tint="0.249977111117893"/>
    <pageSetUpPr fitToPage="1"/>
  </sheetPr>
  <dimension ref="D1:V52"/>
  <sheetViews>
    <sheetView showGridLines="0" showZeros="0" view="pageBreakPreview" zoomScale="60" zoomScaleNormal="85" workbookViewId="0">
      <pane xSplit="4" ySplit="7" topLeftCell="E8" activePane="bottomRight" state="frozen"/>
      <selection activeCell="C32" sqref="C32"/>
      <selection pane="topRight" activeCell="C32" sqref="C32"/>
      <selection pane="bottomLeft" activeCell="C32" sqref="C32"/>
      <selection pane="bottomRight" activeCell="C32" sqref="C32"/>
    </sheetView>
  </sheetViews>
  <sheetFormatPr defaultRowHeight="16.5" x14ac:dyDescent="0.3"/>
  <cols>
    <col min="1" max="3" width="5.625" style="6" customWidth="1"/>
    <col min="4" max="4" width="9.875" style="6" customWidth="1"/>
    <col min="5" max="22" width="9.625" style="6" customWidth="1"/>
    <col min="23" max="16384" width="9" style="6"/>
  </cols>
  <sheetData>
    <row r="1" spans="4:22" ht="9.9499999999999993" customHeight="1" x14ac:dyDescent="0.3"/>
    <row r="2" spans="4:22" ht="9.9499999999999993" hidden="1" customHeight="1" x14ac:dyDescent="0.3"/>
    <row r="3" spans="4:22" ht="9.9499999999999993" customHeight="1" x14ac:dyDescent="0.3"/>
    <row r="4" spans="4:22" ht="31.5" x14ac:dyDescent="0.3">
      <c r="D4" s="184" t="s">
        <v>223</v>
      </c>
      <c r="F4" s="184"/>
      <c r="I4" s="184"/>
    </row>
    <row r="5" spans="4:22" ht="21.95" customHeight="1" x14ac:dyDescent="0.3">
      <c r="V5" s="186" t="s">
        <v>157</v>
      </c>
    </row>
    <row r="6" spans="4:22" ht="24" customHeight="1" thickBot="1" x14ac:dyDescent="0.35">
      <c r="D6" s="823" t="s">
        <v>11</v>
      </c>
      <c r="E6" s="439" t="s">
        <v>158</v>
      </c>
      <c r="F6" s="440"/>
      <c r="G6" s="441"/>
      <c r="H6" s="439" t="s">
        <v>159</v>
      </c>
      <c r="I6" s="440"/>
      <c r="J6" s="441"/>
      <c r="K6" s="439" t="s">
        <v>160</v>
      </c>
      <c r="L6" s="440"/>
      <c r="M6" s="441"/>
      <c r="N6" s="439" t="s">
        <v>161</v>
      </c>
      <c r="O6" s="440"/>
      <c r="P6" s="441"/>
      <c r="Q6" s="439" t="s">
        <v>162</v>
      </c>
      <c r="R6" s="440"/>
      <c r="S6" s="441"/>
      <c r="T6" s="439" t="s">
        <v>163</v>
      </c>
      <c r="U6" s="440"/>
      <c r="V6" s="441"/>
    </row>
    <row r="7" spans="4:22" ht="24" customHeight="1" x14ac:dyDescent="0.3">
      <c r="D7" s="824"/>
      <c r="E7" s="442" t="s">
        <v>12</v>
      </c>
      <c r="F7" s="443" t="s">
        <v>13</v>
      </c>
      <c r="G7" s="444" t="s">
        <v>36</v>
      </c>
      <c r="H7" s="442" t="s">
        <v>15</v>
      </c>
      <c r="I7" s="443" t="s">
        <v>16</v>
      </c>
      <c r="J7" s="444" t="s">
        <v>36</v>
      </c>
      <c r="K7" s="442" t="s">
        <v>15</v>
      </c>
      <c r="L7" s="443" t="s">
        <v>16</v>
      </c>
      <c r="M7" s="444" t="s">
        <v>36</v>
      </c>
      <c r="N7" s="442" t="s">
        <v>15</v>
      </c>
      <c r="O7" s="443" t="s">
        <v>16</v>
      </c>
      <c r="P7" s="444" t="s">
        <v>36</v>
      </c>
      <c r="Q7" s="442" t="s">
        <v>15</v>
      </c>
      <c r="R7" s="443" t="s">
        <v>16</v>
      </c>
      <c r="S7" s="444" t="s">
        <v>36</v>
      </c>
      <c r="T7" s="442" t="s">
        <v>15</v>
      </c>
      <c r="U7" s="443" t="s">
        <v>16</v>
      </c>
      <c r="V7" s="444" t="s">
        <v>36</v>
      </c>
    </row>
    <row r="8" spans="4:22" ht="24" customHeight="1" x14ac:dyDescent="0.3">
      <c r="D8" s="470" t="s">
        <v>47</v>
      </c>
      <c r="E8" s="460">
        <f>+[5]합계!$E$9</f>
        <v>239.23485430449503</v>
      </c>
      <c r="F8" s="462">
        <f>+[5]합계!$F$9</f>
        <v>253.18458505785401</v>
      </c>
      <c r="G8" s="487">
        <f>+F8-E8</f>
        <v>13.949730753358978</v>
      </c>
      <c r="H8" s="460">
        <f>+[5]합계!$E$15</f>
        <v>350.97247645158473</v>
      </c>
      <c r="I8" s="462">
        <f>+[5]합계!$F$15</f>
        <v>364.13895268851456</v>
      </c>
      <c r="J8" s="487">
        <f>+I8-H8</f>
        <v>13.166476236929839</v>
      </c>
      <c r="K8" s="531">
        <f>+([5]합계!$E$10*0.4+[5]합계!$E$11+[5]합계!$E$12+[5]합계!$E$13+[5]합계!$E$14)/[5]합계!$E$15</f>
        <v>0.27321094713560024</v>
      </c>
      <c r="L8" s="532">
        <f>+([5]합계!$F$10*0.4+[5]합계!$F$11+[5]합계!$F$12+[5]합계!$F$13+[5]합계!$F$14)/[5]합계!$F$15</f>
        <v>0.25367907451849331</v>
      </c>
      <c r="M8" s="533">
        <f>+L8-K8</f>
        <v>-1.9531872617106927E-2</v>
      </c>
      <c r="N8" s="460">
        <f>+[5]합계!$E$16</f>
        <v>820.63019793002979</v>
      </c>
      <c r="O8" s="462">
        <f>+[5]합계!$F$16</f>
        <v>819.67124906955519</v>
      </c>
      <c r="P8" s="487">
        <f>+O8-N8</f>
        <v>-0.95894886047460659</v>
      </c>
      <c r="Q8" s="460">
        <f>+[5]합계!$E$17</f>
        <v>907.3490772741518</v>
      </c>
      <c r="R8" s="462">
        <f>+[5]합계!$F$17</f>
        <v>902.53342311847427</v>
      </c>
      <c r="S8" s="487">
        <f>+R8-Q8</f>
        <v>-4.815654155677521</v>
      </c>
      <c r="T8" s="460">
        <f>+[5]합계!$E$19</f>
        <v>3.1597559392252972</v>
      </c>
      <c r="U8" s="462">
        <f>+[5]합계!$F$19</f>
        <v>3.0259976655612362</v>
      </c>
      <c r="V8" s="487">
        <f>+U8-T8</f>
        <v>-0.13375827366406101</v>
      </c>
    </row>
    <row r="9" spans="4:22" ht="24" customHeight="1" x14ac:dyDescent="0.3">
      <c r="D9" s="471" t="s">
        <v>19</v>
      </c>
      <c r="E9" s="465">
        <f>+[5]수도권!$E$9</f>
        <v>257.29474103585653</v>
      </c>
      <c r="F9" s="479">
        <f>+[5]수도권!$F$9</f>
        <v>276.63615088477627</v>
      </c>
      <c r="G9" s="488">
        <f t="shared" ref="G9:G28" si="0">+F9-E9</f>
        <v>19.341409848919739</v>
      </c>
      <c r="H9" s="465">
        <f>+[5]수도권!$E$15</f>
        <v>354.03928286852585</v>
      </c>
      <c r="I9" s="479">
        <f>+[5]수도권!$F$15</f>
        <v>363.63679158786965</v>
      </c>
      <c r="J9" s="488">
        <f t="shared" ref="J9:J28" si="1">+I9-H9</f>
        <v>9.5975087193438071</v>
      </c>
      <c r="K9" s="537">
        <f>+([5]수도권!$E$10*0.4+[5]수도권!$E$11+[5]수도권!$E$12+[5]수도권!$E$13+[5]수도권!$E$14)/[5]수도권!$E$15</f>
        <v>0.26092044617463167</v>
      </c>
      <c r="L9" s="538">
        <f>+([5]수도권!$F$10*0.4+[5]수도권!$F$11+[5]수도권!$F$12+[5]수도권!$F$13+[5]수도권!$F$14)/[5]수도권!$F$15</f>
        <v>0.23036623344018464</v>
      </c>
      <c r="M9" s="534">
        <f t="shared" ref="M9:M28" si="2">+L9-K9</f>
        <v>-3.0554212734447028E-2</v>
      </c>
      <c r="N9" s="465">
        <f>+[5]수도권!$E$16</f>
        <v>841.91932270916334</v>
      </c>
      <c r="O9" s="479">
        <f>+[5]수도권!$F$16</f>
        <v>835.12874368499251</v>
      </c>
      <c r="P9" s="488">
        <f t="shared" ref="P9:P28" si="3">+O9-N9</f>
        <v>-6.7905790241708246</v>
      </c>
      <c r="Q9" s="465">
        <f>+[5]수도권!$E$17</f>
        <v>894.4178884462151</v>
      </c>
      <c r="R9" s="479">
        <f>+[5]수도권!$F$17</f>
        <v>900.81029260941534</v>
      </c>
      <c r="S9" s="488">
        <f t="shared" ref="S9:S28" si="4">+R9-Q9</f>
        <v>6.39240416320024</v>
      </c>
      <c r="T9" s="465">
        <f>+[5]수도권!$E$19</f>
        <v>3.0522218326693231</v>
      </c>
      <c r="U9" s="479">
        <f>+[5]수도권!$F$19</f>
        <v>2.9785314652843451</v>
      </c>
      <c r="V9" s="488">
        <f t="shared" ref="V9:V28" si="5">+U9-T9</f>
        <v>-7.3690367384978028E-2</v>
      </c>
    </row>
    <row r="10" spans="4:22" ht="24" customHeight="1" x14ac:dyDescent="0.3">
      <c r="D10" s="472" t="s">
        <v>20</v>
      </c>
      <c r="E10" s="467">
        <f>+[5]영남권!$E$9</f>
        <v>219.38866857281405</v>
      </c>
      <c r="F10" s="480">
        <f>+[5]영남권!$F$9</f>
        <v>223.35651965502393</v>
      </c>
      <c r="G10" s="489">
        <f t="shared" si="0"/>
        <v>3.9678510822098758</v>
      </c>
      <c r="H10" s="467">
        <f>+[5]영남권!$E$15</f>
        <v>348.91642125604244</v>
      </c>
      <c r="I10" s="480">
        <f>+[5]영남권!$F$15</f>
        <v>365.64922063777516</v>
      </c>
      <c r="J10" s="489">
        <f t="shared" si="1"/>
        <v>16.732799381732718</v>
      </c>
      <c r="K10" s="539">
        <f>+([5]영남권!$E$10*0.4+[5]영남권!$E$11+[5]영남권!$E$12+[5]영남권!$E$13+[5]영남권!$E$14)/[5]영남권!$E$15</f>
        <v>0.298728766701644</v>
      </c>
      <c r="L10" s="540">
        <f>+([5]영남권!$F$10*0.4+[5]영남권!$F$11+[5]영남권!$F$12+[5]영남권!$F$13+[5]영남권!$F$14)/[5]영남권!$F$15</f>
        <v>0.29119121694189581</v>
      </c>
      <c r="M10" s="535">
        <f t="shared" si="2"/>
        <v>-7.5375497597481855E-3</v>
      </c>
      <c r="N10" s="467">
        <f>+[5]영남권!$E$16</f>
        <v>806.56278143961651</v>
      </c>
      <c r="O10" s="480">
        <f>+[5]영남권!$F$16</f>
        <v>811.44309240520749</v>
      </c>
      <c r="P10" s="489">
        <f t="shared" si="3"/>
        <v>4.8803109655909793</v>
      </c>
      <c r="Q10" s="467">
        <f>+[5]영남권!$E$17</f>
        <v>910.75413078851238</v>
      </c>
      <c r="R10" s="480">
        <f>+[5]영남권!$F$17</f>
        <v>894.13798487247016</v>
      </c>
      <c r="S10" s="489">
        <f t="shared" si="4"/>
        <v>-16.616145916042228</v>
      </c>
      <c r="T10" s="467">
        <f>+[5]영남권!$E$19</f>
        <v>3.3532282190662381</v>
      </c>
      <c r="U10" s="480">
        <f>+[5]영남권!$F$19</f>
        <v>3.1293643208125426</v>
      </c>
      <c r="V10" s="489">
        <f t="shared" si="5"/>
        <v>-0.22386389825369557</v>
      </c>
    </row>
    <row r="11" spans="4:22" ht="24" customHeight="1" x14ac:dyDescent="0.3">
      <c r="D11" s="473" t="s">
        <v>57</v>
      </c>
      <c r="E11" s="468">
        <f>+[5]중부권!$E$9</f>
        <v>245.48584070796463</v>
      </c>
      <c r="F11" s="481">
        <f>+[5]중부권!$F$9</f>
        <v>281.23934144252684</v>
      </c>
      <c r="G11" s="490">
        <f t="shared" si="0"/>
        <v>35.753500734562209</v>
      </c>
      <c r="H11" s="468">
        <f>+[5]중부권!$E$15</f>
        <v>348.96389380530974</v>
      </c>
      <c r="I11" s="481">
        <f>+[5]중부권!$F$15</f>
        <v>361.54032035184991</v>
      </c>
      <c r="J11" s="490">
        <f t="shared" si="1"/>
        <v>12.576426546540176</v>
      </c>
      <c r="K11" s="541">
        <f>+([5]중부권!$E$10*0.4+[5]중부권!$E$11+[5]중부권!$E$12+[5]중부권!$E$13+[5]중부권!$E$14)/[5]중부권!$E$15</f>
        <v>0.24129940161672023</v>
      </c>
      <c r="L11" s="542">
        <f>+([5]중부권!$F$10*0.4+[5]중부권!$F$11+[5]중부권!$F$12+[5]중부권!$F$13+[5]중부권!$F$14)/[5]중부권!$F$15</f>
        <v>0.20702668940573671</v>
      </c>
      <c r="M11" s="536">
        <f t="shared" si="2"/>
        <v>-3.4272712210983519E-2</v>
      </c>
      <c r="N11" s="468">
        <f>+[5]중부권!$E$16</f>
        <v>806.20743362831843</v>
      </c>
      <c r="O11" s="481">
        <f>+[5]중부권!$F$16</f>
        <v>811.95659142438296</v>
      </c>
      <c r="P11" s="490">
        <f t="shared" si="3"/>
        <v>5.7491577960645373</v>
      </c>
      <c r="Q11" s="468">
        <f>+[5]중부권!$E$17</f>
        <v>928.11716814159297</v>
      </c>
      <c r="R11" s="481">
        <f>+[5]중부권!$F$17</f>
        <v>924.74094132930782</v>
      </c>
      <c r="S11" s="490">
        <f t="shared" si="4"/>
        <v>-3.3762268122851538</v>
      </c>
      <c r="T11" s="468">
        <f>+[5]중부권!$E$19</f>
        <v>2.946608849557522</v>
      </c>
      <c r="U11" s="481">
        <f>+[5]중부권!$F$19</f>
        <v>2.8706582381374011</v>
      </c>
      <c r="V11" s="490">
        <f t="shared" si="5"/>
        <v>-7.5950611420120939E-2</v>
      </c>
    </row>
    <row r="12" spans="4:22" ht="24" customHeight="1" x14ac:dyDescent="0.3">
      <c r="D12" s="485" t="s">
        <v>22</v>
      </c>
      <c r="E12" s="447">
        <f>+[5]안양!$E$9</f>
        <v>269.10000000000002</v>
      </c>
      <c r="F12" s="448">
        <f>+[5]안양!$F$9</f>
        <v>297.48843469910355</v>
      </c>
      <c r="G12" s="449">
        <f t="shared" si="0"/>
        <v>28.388434699103527</v>
      </c>
      <c r="H12" s="447">
        <f>+[5]안양!$E$15</f>
        <v>368.6</v>
      </c>
      <c r="I12" s="448">
        <f>+[5]안양!$F$15</f>
        <v>384.40412956761531</v>
      </c>
      <c r="J12" s="449">
        <f t="shared" si="1"/>
        <v>15.804129567615291</v>
      </c>
      <c r="K12" s="505">
        <f>+([5]안양!$E$10*0.4+[5]안양!$E$11+[5]안양!$E$12+[5]안양!$E$13+[5]안양!$E$14)/[5]안양!$E$15</f>
        <v>0.25040694519804663</v>
      </c>
      <c r="L12" s="506">
        <f>+([5]안양!$F$10*0.4+[5]안양!$F$11+[5]안양!$F$12+[5]안양!$F$13+[5]안양!$F$14)/[5]안양!$F$15</f>
        <v>0.22610499779561716</v>
      </c>
      <c r="M12" s="507">
        <f t="shared" si="2"/>
        <v>-2.4301947402429469E-2</v>
      </c>
      <c r="N12" s="447">
        <f>+[5]안양!$E$16</f>
        <v>845</v>
      </c>
      <c r="O12" s="448">
        <f>+[5]안양!$F$16</f>
        <v>850.30779080074865</v>
      </c>
      <c r="P12" s="449">
        <f t="shared" si="3"/>
        <v>5.3077908007486485</v>
      </c>
      <c r="Q12" s="447">
        <f>+[5]안양!$E$17</f>
        <v>880</v>
      </c>
      <c r="R12" s="448">
        <f>+[5]안양!$F$17</f>
        <v>876.92049148035153</v>
      </c>
      <c r="S12" s="449">
        <f t="shared" si="4"/>
        <v>-3.0795085196484706</v>
      </c>
      <c r="T12" s="508">
        <f>+[5]안양!$E$19</f>
        <v>3.29</v>
      </c>
      <c r="U12" s="509">
        <f>+[5]안양!$F$19</f>
        <v>3.1221326209002269</v>
      </c>
      <c r="V12" s="510">
        <f t="shared" si="5"/>
        <v>-0.16786737909977312</v>
      </c>
    </row>
    <row r="13" spans="4:22" ht="24" customHeight="1" x14ac:dyDescent="0.3">
      <c r="D13" s="451" t="s">
        <v>23</v>
      </c>
      <c r="E13" s="452">
        <f>+[5]인천!$E$9</f>
        <v>281.11399999999998</v>
      </c>
      <c r="F13" s="453">
        <f>+[5]인천!$F$9</f>
        <v>261.51660965261186</v>
      </c>
      <c r="G13" s="189">
        <f t="shared" si="0"/>
        <v>-19.597390347388114</v>
      </c>
      <c r="H13" s="452">
        <f>+[5]인천!$E$15</f>
        <v>370.10500000000002</v>
      </c>
      <c r="I13" s="453">
        <f>+[5]인천!$F$15</f>
        <v>362.32235680190911</v>
      </c>
      <c r="J13" s="189">
        <f t="shared" si="1"/>
        <v>-7.7826431980909092</v>
      </c>
      <c r="K13" s="511">
        <f>+([5]인천!$E$10*0.4+[5]인천!$E$11+[5]인천!$E$12+[5]인천!$E$13+[5]인천!$E$14)/[5]인천!$E$15</f>
        <v>0.2225811594007106</v>
      </c>
      <c r="L13" s="512">
        <f>+([5]인천!$F$10*0.4+[5]인천!$F$11+[5]인천!$F$12+[5]인천!$F$13+[5]인천!$F$14)/[5]인천!$F$15</f>
        <v>0.24339549177624153</v>
      </c>
      <c r="M13" s="513">
        <f t="shared" si="2"/>
        <v>2.0814332375530931E-2</v>
      </c>
      <c r="N13" s="452">
        <f>+[5]인천!$E$16</f>
        <v>884.3</v>
      </c>
      <c r="O13" s="453">
        <f>+[5]인천!$F$16</f>
        <v>882.43668788119749</v>
      </c>
      <c r="P13" s="189">
        <f t="shared" si="3"/>
        <v>-1.8633121188024688</v>
      </c>
      <c r="Q13" s="452">
        <f>+[5]인천!$E$17</f>
        <v>848.60299999999995</v>
      </c>
      <c r="R13" s="453">
        <f>+[5]인천!$F$17</f>
        <v>843.67155595332815</v>
      </c>
      <c r="S13" s="189">
        <f t="shared" si="4"/>
        <v>-4.9314440466717997</v>
      </c>
      <c r="T13" s="514">
        <f>+[5]인천!$E$19</f>
        <v>3.331</v>
      </c>
      <c r="U13" s="515">
        <f>+[5]인천!$F$19</f>
        <v>3.018691991514189</v>
      </c>
      <c r="V13" s="516">
        <f t="shared" si="5"/>
        <v>-0.31230800848581097</v>
      </c>
    </row>
    <row r="14" spans="4:22" ht="24" customHeight="1" x14ac:dyDescent="0.3">
      <c r="D14" s="451" t="s">
        <v>24</v>
      </c>
      <c r="E14" s="452">
        <f>+[5]파주!$E$9</f>
        <v>240.87857142857143</v>
      </c>
      <c r="F14" s="453">
        <f>+[5]파주!$F$9</f>
        <v>271.38547200698446</v>
      </c>
      <c r="G14" s="189">
        <f t="shared" si="0"/>
        <v>30.506900578413024</v>
      </c>
      <c r="H14" s="452">
        <f>+[5]파주!$E$15</f>
        <v>336.86982142857147</v>
      </c>
      <c r="I14" s="453">
        <f>+[5]파주!$F$15</f>
        <v>351.43449998181075</v>
      </c>
      <c r="J14" s="189">
        <f t="shared" si="1"/>
        <v>14.564678553239276</v>
      </c>
      <c r="K14" s="511">
        <f>+([5]파주!$E$10*0.4+[5]파주!$E$11+[5]파주!$E$12+[5]파주!$E$13+[5]파주!$E$14)/[5]파주!$E$15</f>
        <v>0.28495057702980858</v>
      </c>
      <c r="L14" s="512">
        <f>+([5]파주!$F$10*0.4+[5]파주!$F$11+[5]파주!$F$12+[5]파주!$F$13+[5]파주!$F$14)/[5]파주!$F$15</f>
        <v>0.22756652914497988</v>
      </c>
      <c r="M14" s="513">
        <f t="shared" si="2"/>
        <v>-5.7384047884828704E-2</v>
      </c>
      <c r="N14" s="452">
        <f>+[5]파주!$E$16</f>
        <v>874.56696428571422</v>
      </c>
      <c r="O14" s="453">
        <f>+[5]파주!$F$16</f>
        <v>798.10722223434857</v>
      </c>
      <c r="P14" s="189">
        <f t="shared" si="3"/>
        <v>-76.459742051365652</v>
      </c>
      <c r="Q14" s="452">
        <f>+[5]파주!$E$17</f>
        <v>881.45857142857142</v>
      </c>
      <c r="R14" s="453">
        <f>+[5]파주!$F$17</f>
        <v>934.94121426752417</v>
      </c>
      <c r="S14" s="189">
        <f t="shared" si="4"/>
        <v>53.482642838952756</v>
      </c>
      <c r="T14" s="514">
        <f>+[5]파주!$E$19</f>
        <v>2.6949585714285718</v>
      </c>
      <c r="U14" s="515">
        <f>+[5]파주!$F$19</f>
        <v>2.8608132343846626</v>
      </c>
      <c r="V14" s="516">
        <f t="shared" si="5"/>
        <v>0.16585466295609086</v>
      </c>
    </row>
    <row r="15" spans="4:22" ht="24" customHeight="1" x14ac:dyDescent="0.3">
      <c r="D15" s="451" t="s">
        <v>178</v>
      </c>
      <c r="E15" s="452">
        <f>+[5]김포!$E$9</f>
        <v>209</v>
      </c>
      <c r="F15" s="453">
        <f>+[5]김포!$F$9</f>
        <v>264.42589672431706</v>
      </c>
      <c r="G15" s="189">
        <f t="shared" si="0"/>
        <v>55.425896724317056</v>
      </c>
      <c r="H15" s="452">
        <f>+[5]김포!$E$15</f>
        <v>315</v>
      </c>
      <c r="I15" s="453">
        <f>+[5]김포!$F$15</f>
        <v>340.42848258090066</v>
      </c>
      <c r="J15" s="189">
        <f t="shared" si="1"/>
        <v>25.428482580900663</v>
      </c>
      <c r="K15" s="511">
        <f>+([5]김포!$E$10*0.4+[5]김포!$E$11+[5]김포!$E$12+[5]김포!$E$13+[5]김포!$E$14)/[5]김포!$E$15</f>
        <v>0.33650793650793653</v>
      </c>
      <c r="L15" s="512">
        <f>+([5]김포!$F$10*0.4+[5]김포!$F$11+[5]김포!$F$12+[5]김포!$F$13+[5]김포!$F$14)/[5]김포!$F$15</f>
        <v>0.22325566086710169</v>
      </c>
      <c r="M15" s="513">
        <f t="shared" si="2"/>
        <v>-0.11325227564083484</v>
      </c>
      <c r="N15" s="452">
        <f>+[5]김포!$E$16</f>
        <v>705</v>
      </c>
      <c r="O15" s="453">
        <f>+[5]김포!$F$16</f>
        <v>784.28613905545387</v>
      </c>
      <c r="P15" s="189">
        <f t="shared" si="3"/>
        <v>79.286139055453873</v>
      </c>
      <c r="Q15" s="452">
        <f>+[5]김포!$E$17</f>
        <v>1035</v>
      </c>
      <c r="R15" s="453">
        <f>+[5]김포!$F$17</f>
        <v>987.81901977303153</v>
      </c>
      <c r="S15" s="189">
        <f t="shared" si="4"/>
        <v>-47.180980226968472</v>
      </c>
      <c r="T15" s="514">
        <f>+[5]김포!$E$19</f>
        <v>2.5</v>
      </c>
      <c r="U15" s="515">
        <f>+[5]김포!$F$19</f>
        <v>2.7898434015560731</v>
      </c>
      <c r="V15" s="516">
        <f t="shared" si="5"/>
        <v>0.28984340155607313</v>
      </c>
    </row>
    <row r="16" spans="4:22" ht="24" customHeight="1" x14ac:dyDescent="0.3">
      <c r="D16" s="486" t="s">
        <v>25</v>
      </c>
      <c r="E16" s="455">
        <f>+[5]부산!$E$9</f>
        <v>223.34810258057263</v>
      </c>
      <c r="F16" s="456">
        <f>+[5]부산!$F$9</f>
        <v>187.67748177318936</v>
      </c>
      <c r="G16" s="457">
        <f t="shared" si="0"/>
        <v>-35.670620807383273</v>
      </c>
      <c r="H16" s="455">
        <f>+[5]부산!$E$15</f>
        <v>358.64667028988009</v>
      </c>
      <c r="I16" s="456">
        <f>+[5]부산!$F$15</f>
        <v>382.30644599364962</v>
      </c>
      <c r="J16" s="457">
        <f t="shared" si="1"/>
        <v>23.659775703769526</v>
      </c>
      <c r="K16" s="517">
        <f>+([5]부산!$E$10*0.4+[5]부산!$E$11+[5]부산!$E$12+[5]부산!$E$13+[5]부산!$E$14)/[5]부산!$E$15</f>
        <v>0.2792364319566365</v>
      </c>
      <c r="L16" s="518">
        <f>+([5]부산!$F$10*0.4+[5]부산!$F$11+[5]부산!$F$12+[5]부산!$F$13+[5]부산!$F$14)/[5]부산!$F$15</f>
        <v>0.25381935076816148</v>
      </c>
      <c r="M16" s="519">
        <f t="shared" si="2"/>
        <v>-2.5417081188475021E-2</v>
      </c>
      <c r="N16" s="455">
        <f>+[5]부산!$E$16</f>
        <v>835.72066313080722</v>
      </c>
      <c r="O16" s="456">
        <f>+[5]부산!$F$16</f>
        <v>887.22526741525223</v>
      </c>
      <c r="P16" s="457">
        <f t="shared" si="3"/>
        <v>51.504604284445008</v>
      </c>
      <c r="Q16" s="455">
        <f>+[5]부산!$E$17</f>
        <v>891.05897830670744</v>
      </c>
      <c r="R16" s="456">
        <f>+[5]부산!$F$17</f>
        <v>829.92567363808939</v>
      </c>
      <c r="S16" s="457">
        <f t="shared" si="4"/>
        <v>-61.133304668618052</v>
      </c>
      <c r="T16" s="520">
        <f>+[5]부산!$E$19</f>
        <v>3.0524418108371689</v>
      </c>
      <c r="U16" s="521">
        <f>+[5]부산!$F$19</f>
        <v>3.3214503397016308</v>
      </c>
      <c r="V16" s="522">
        <f t="shared" si="5"/>
        <v>0.26900852886446192</v>
      </c>
    </row>
    <row r="17" spans="4:22" ht="24" customHeight="1" x14ac:dyDescent="0.3">
      <c r="D17" s="451" t="s">
        <v>26</v>
      </c>
      <c r="E17" s="452">
        <f>+[5]서부산!$E$9</f>
        <v>224.10000000000002</v>
      </c>
      <c r="F17" s="453">
        <f>+[5]서부산!$F$9</f>
        <v>219.30182615894037</v>
      </c>
      <c r="G17" s="189">
        <f t="shared" si="0"/>
        <v>-4.7981738410596506</v>
      </c>
      <c r="H17" s="452">
        <f>+[5]서부산!$E$15</f>
        <v>351.00000000000006</v>
      </c>
      <c r="I17" s="453">
        <f>+[5]서부산!$F$15</f>
        <v>356.66933153973503</v>
      </c>
      <c r="J17" s="189">
        <f t="shared" si="1"/>
        <v>5.6693315397349693</v>
      </c>
      <c r="K17" s="511">
        <f>+([5]서부산!$E$10*0.4+[5]서부산!$E$11+[5]서부산!$E$12+[5]서부산!$E$13+[5]서부산!$E$14)/[5]서부산!$E$15</f>
        <v>0.28324786324786316</v>
      </c>
      <c r="L17" s="512">
        <f>+([5]서부산!$F$10*0.4+[5]서부산!$F$11+[5]서부산!$F$12+[5]서부산!$F$13+[5]서부산!$F$14)/[5]서부산!$F$15</f>
        <v>0.27245088978889331</v>
      </c>
      <c r="M17" s="513">
        <f t="shared" si="2"/>
        <v>-1.079697345896985E-2</v>
      </c>
      <c r="N17" s="452">
        <f>+[5]서부산!$E$16</f>
        <v>822</v>
      </c>
      <c r="O17" s="453">
        <f>+[5]서부산!$F$16</f>
        <v>818.63824503311196</v>
      </c>
      <c r="P17" s="189">
        <f t="shared" si="3"/>
        <v>-3.3617549668880429</v>
      </c>
      <c r="Q17" s="452">
        <f>+[5]서부산!$E$17</f>
        <v>911.40000000000009</v>
      </c>
      <c r="R17" s="453">
        <f>+[5]서부산!$F$17</f>
        <v>919.21916390728472</v>
      </c>
      <c r="S17" s="189">
        <f t="shared" si="4"/>
        <v>7.8191639072846328</v>
      </c>
      <c r="T17" s="514">
        <f>+[5]서부산!$E$19</f>
        <v>4.8650000000000002</v>
      </c>
      <c r="U17" s="515">
        <f>+[5]서부산!$F$19</f>
        <v>3.1215066225165553</v>
      </c>
      <c r="V17" s="516">
        <f t="shared" si="5"/>
        <v>-1.7434933774834449</v>
      </c>
    </row>
    <row r="18" spans="4:22" ht="24" customHeight="1" x14ac:dyDescent="0.3">
      <c r="D18" s="451" t="s">
        <v>27</v>
      </c>
      <c r="E18" s="452">
        <f>+[5]김해!$E$9</f>
        <v>165.44</v>
      </c>
      <c r="F18" s="453">
        <f>+[5]김해!$F$9</f>
        <v>218.11332705404993</v>
      </c>
      <c r="G18" s="189">
        <f t="shared" si="0"/>
        <v>52.673327054049935</v>
      </c>
      <c r="H18" s="452">
        <f>+[5]김해!$E$15</f>
        <v>346.53000000000003</v>
      </c>
      <c r="I18" s="453">
        <f>+[5]김해!$F$15</f>
        <v>352.76121938849417</v>
      </c>
      <c r="J18" s="189">
        <f t="shared" si="1"/>
        <v>6.2312193884941394</v>
      </c>
      <c r="K18" s="511">
        <f>+([5]김해!$E$10*0.4+[5]김해!$E$11+[5]김해!$E$12+[5]김해!$E$13+[5]김해!$E$14)/[5]김해!$E$15</f>
        <v>0.26495830086861166</v>
      </c>
      <c r="L18" s="512">
        <f>+([5]김해!$F$10*0.4+[5]김해!$F$11+[5]김해!$F$12+[5]김해!$F$13+[5]김해!$F$14)/[5]김해!$F$15</f>
        <v>0.18680101967824655</v>
      </c>
      <c r="M18" s="513">
        <f t="shared" si="2"/>
        <v>-7.8157281190365108E-2</v>
      </c>
      <c r="N18" s="452">
        <f>+[5]김해!$E$16</f>
        <v>830</v>
      </c>
      <c r="O18" s="453">
        <f>+[5]김해!$F$16</f>
        <v>783.13831328792924</v>
      </c>
      <c r="P18" s="189">
        <f t="shared" si="3"/>
        <v>-46.861686712070764</v>
      </c>
      <c r="Q18" s="452">
        <f>+[5]김해!$E$17</f>
        <v>890</v>
      </c>
      <c r="R18" s="453">
        <f>+[5]김해!$F$17</f>
        <v>936.75286190407132</v>
      </c>
      <c r="S18" s="189">
        <f t="shared" si="4"/>
        <v>46.752861904071324</v>
      </c>
      <c r="T18" s="514">
        <f>+[5]김해!$E$19</f>
        <v>3.3</v>
      </c>
      <c r="U18" s="515">
        <f>+[5]김해!$F$19</f>
        <v>3.5176785973047395</v>
      </c>
      <c r="V18" s="516">
        <f t="shared" si="5"/>
        <v>0.21767859730473971</v>
      </c>
    </row>
    <row r="19" spans="4:22" ht="24" customHeight="1" x14ac:dyDescent="0.3">
      <c r="D19" s="451" t="s">
        <v>28</v>
      </c>
      <c r="E19" s="452">
        <f>+[5]정관!$E$9</f>
        <v>207.8</v>
      </c>
      <c r="F19" s="453">
        <f>+[5]정관!$F$9</f>
        <v>207.87451708400152</v>
      </c>
      <c r="G19" s="189">
        <f t="shared" si="0"/>
        <v>7.4517084001513467E-2</v>
      </c>
      <c r="H19" s="452">
        <f>+[5]정관!$E$15</f>
        <v>359.4</v>
      </c>
      <c r="I19" s="453">
        <f>+[5]정관!$F$15</f>
        <v>366.56550388553103</v>
      </c>
      <c r="J19" s="189">
        <f t="shared" si="1"/>
        <v>7.1655038855310522</v>
      </c>
      <c r="K19" s="511">
        <f>+([5]정관!$E$10*0.4+[5]정관!$E$11+[5]정관!$E$12+[5]정관!$E$13+[5]정관!$E$14)/[5]정관!$E$15</f>
        <v>0.29744017807456874</v>
      </c>
      <c r="L19" s="512">
        <f>+([5]정관!$F$10*0.4+[5]정관!$F$11+[5]정관!$F$12+[5]정관!$F$13+[5]정관!$F$14)/[5]정관!$F$15</f>
        <v>0.32232600630873448</v>
      </c>
      <c r="M19" s="513">
        <f t="shared" si="2"/>
        <v>2.4885828234165741E-2</v>
      </c>
      <c r="N19" s="452">
        <f>+[5]정관!$E$16</f>
        <v>795</v>
      </c>
      <c r="O19" s="453">
        <f>+[5]정관!$F$16</f>
        <v>792.40491756095605</v>
      </c>
      <c r="P19" s="189">
        <f t="shared" si="3"/>
        <v>-2.5950824390439493</v>
      </c>
      <c r="Q19" s="452">
        <f>+[5]정관!$E$17</f>
        <v>920</v>
      </c>
      <c r="R19" s="453">
        <f>+[5]정관!$F$17</f>
        <v>920.6049504543397</v>
      </c>
      <c r="S19" s="189">
        <f t="shared" si="4"/>
        <v>0.60495045433970063</v>
      </c>
      <c r="T19" s="514">
        <f>+[5]정관!$E$19</f>
        <v>3.0584700000000002</v>
      </c>
      <c r="U19" s="515">
        <f>+[5]정관!$F$19</f>
        <v>2.9072488795690985</v>
      </c>
      <c r="V19" s="516">
        <f t="shared" si="5"/>
        <v>-0.15122112043090175</v>
      </c>
    </row>
    <row r="20" spans="4:22" ht="24" customHeight="1" x14ac:dyDescent="0.3">
      <c r="D20" s="451" t="s">
        <v>29</v>
      </c>
      <c r="E20" s="452">
        <f>+[5]양산!$E$9</f>
        <v>226.18540869565217</v>
      </c>
      <c r="F20" s="453">
        <f>+[5]양산!$F$9</f>
        <v>259.33731988472624</v>
      </c>
      <c r="G20" s="189">
        <f t="shared" si="0"/>
        <v>33.15191118907407</v>
      </c>
      <c r="H20" s="452">
        <f>+[5]양산!$E$15</f>
        <v>335.15427826086955</v>
      </c>
      <c r="I20" s="453">
        <f>+[5]양산!$F$15</f>
        <v>367.05333127487313</v>
      </c>
      <c r="J20" s="189">
        <f t="shared" si="1"/>
        <v>31.899053014003584</v>
      </c>
      <c r="K20" s="511">
        <f>+([5]양산!$E$10*0.4+[5]양산!$E$11+[5]양산!$E$12+[5]양산!$E$13+[5]양산!$E$14)/[5]양산!$E$15</f>
        <v>0.31326645104803386</v>
      </c>
      <c r="L20" s="512">
        <f>+([5]양산!$F$10*0.4+[5]양산!$F$11+[5]양산!$F$12+[5]양산!$F$13+[5]양산!$F$14)/[5]양산!$F$15</f>
        <v>0.29346147333963912</v>
      </c>
      <c r="M20" s="513">
        <f t="shared" si="2"/>
        <v>-1.9804977708394733E-2</v>
      </c>
      <c r="N20" s="452">
        <f>+[5]양산!$E$16</f>
        <v>784</v>
      </c>
      <c r="O20" s="453">
        <f>+[5]양산!$F$16</f>
        <v>788.83119925895426</v>
      </c>
      <c r="P20" s="189">
        <f t="shared" si="3"/>
        <v>4.8311992589542569</v>
      </c>
      <c r="Q20" s="452">
        <f>+[5]양산!$E$17</f>
        <v>899.05776347826099</v>
      </c>
      <c r="R20" s="453">
        <f>+[5]양산!$F$17</f>
        <v>904.39927267737073</v>
      </c>
      <c r="S20" s="189">
        <f t="shared" si="4"/>
        <v>5.341509199109737</v>
      </c>
      <c r="T20" s="514">
        <f>+[5]양산!$E$19</f>
        <v>2.4677242347826085</v>
      </c>
      <c r="U20" s="515">
        <f>+[5]양산!$F$19</f>
        <v>2.9821339371483457</v>
      </c>
      <c r="V20" s="516">
        <f t="shared" si="5"/>
        <v>0.51440970236573724</v>
      </c>
    </row>
    <row r="21" spans="4:22" ht="24" customHeight="1" x14ac:dyDescent="0.3">
      <c r="D21" s="451" t="s">
        <v>30</v>
      </c>
      <c r="E21" s="452">
        <f>+[5]창원!$E$9</f>
        <v>239.1</v>
      </c>
      <c r="F21" s="453">
        <f>+[5]창원!$F$9</f>
        <v>254.49855467684768</v>
      </c>
      <c r="G21" s="189">
        <f t="shared" si="0"/>
        <v>15.398554676847681</v>
      </c>
      <c r="H21" s="452">
        <f>+[5]창원!$E$15</f>
        <v>342.90000000000003</v>
      </c>
      <c r="I21" s="453">
        <f>+[5]창원!$F$15</f>
        <v>355.31436398343959</v>
      </c>
      <c r="J21" s="189">
        <f t="shared" si="1"/>
        <v>12.414363983439557</v>
      </c>
      <c r="K21" s="511">
        <f>+([5]창원!$E$10*0.4+[5]창원!$E$11+[5]창원!$E$12+[5]창원!$E$13+[5]창원!$E$14)/[5]창원!$E$15</f>
        <v>0.30271216097987746</v>
      </c>
      <c r="L21" s="512">
        <f>+([5]창원!$F$10*0.4+[5]창원!$F$11+[5]창원!$F$12+[5]창원!$F$13+[5]창원!$F$14)/[5]창원!$F$15</f>
        <v>0.28373693699388614</v>
      </c>
      <c r="M21" s="513">
        <f t="shared" si="2"/>
        <v>-1.897522398599133E-2</v>
      </c>
      <c r="N21" s="452">
        <f>+[5]창원!$E$16</f>
        <v>837.7</v>
      </c>
      <c r="O21" s="453">
        <f>+[5]창원!$F$16</f>
        <v>877.45642958078179</v>
      </c>
      <c r="P21" s="189">
        <f t="shared" si="3"/>
        <v>39.756429580781742</v>
      </c>
      <c r="Q21" s="452">
        <f>+[5]창원!$E$17</f>
        <v>880.59999999999991</v>
      </c>
      <c r="R21" s="453">
        <f>+[5]창원!$F$17</f>
        <v>840.58655824677055</v>
      </c>
      <c r="S21" s="189">
        <f t="shared" si="4"/>
        <v>-40.013441753229358</v>
      </c>
      <c r="T21" s="514">
        <f>+[5]창원!$E$19</f>
        <v>3.08</v>
      </c>
      <c r="U21" s="515">
        <f>+[5]창원!$F$19</f>
        <v>2.7864330515407687</v>
      </c>
      <c r="V21" s="516">
        <f t="shared" si="5"/>
        <v>-0.29356694845923137</v>
      </c>
    </row>
    <row r="22" spans="4:22" ht="24" customHeight="1" x14ac:dyDescent="0.3">
      <c r="D22" s="451" t="s">
        <v>95</v>
      </c>
      <c r="E22" s="452">
        <f>+[5]대구!$E$9</f>
        <v>233.21999999999997</v>
      </c>
      <c r="F22" s="453">
        <f>+[5]대구!$F$9</f>
        <v>239.93214907429672</v>
      </c>
      <c r="G22" s="189">
        <f t="shared" si="0"/>
        <v>6.7121490742967467</v>
      </c>
      <c r="H22" s="452">
        <f>+[5]대구!$E$15</f>
        <v>338</v>
      </c>
      <c r="I22" s="453">
        <f>+[5]대구!$F$15</f>
        <v>365.20155229622515</v>
      </c>
      <c r="J22" s="189">
        <f t="shared" si="1"/>
        <v>27.201552296225145</v>
      </c>
      <c r="K22" s="511">
        <f>+([5]대구!$E$10*0.4+[5]대구!$E$11+[5]대구!$E$12+[5]대구!$E$13+[5]대구!$E$14)/[5]대구!$E$15</f>
        <v>0.31000000000000011</v>
      </c>
      <c r="L22" s="512">
        <f>+([5]대구!$F$10*0.4+[5]대구!$F$11+[5]대구!$F$12+[5]대구!$F$13+[5]대구!$F$14)/[5]대구!$F$15</f>
        <v>0.34301443253537678</v>
      </c>
      <c r="M22" s="513">
        <f t="shared" si="2"/>
        <v>3.301443253537667E-2</v>
      </c>
      <c r="N22" s="452">
        <f>+[5]대구!$E$16</f>
        <v>773.65296287352862</v>
      </c>
      <c r="O22" s="453">
        <f>+[5]대구!$F$16</f>
        <v>712.87641389757118</v>
      </c>
      <c r="P22" s="189">
        <f t="shared" si="3"/>
        <v>-60.776548975957439</v>
      </c>
      <c r="Q22" s="452">
        <f>+[5]대구!$E$17</f>
        <v>945.57584351209061</v>
      </c>
      <c r="R22" s="453">
        <f>+[5]대구!$F$17</f>
        <v>973.19235984611737</v>
      </c>
      <c r="S22" s="189">
        <f t="shared" si="4"/>
        <v>27.616516334026755</v>
      </c>
      <c r="T22" s="514">
        <f>+[5]대구!$E$19</f>
        <v>2.7040000000000002</v>
      </c>
      <c r="U22" s="515">
        <f>+[5]대구!$F$19</f>
        <v>3.2819151719163258</v>
      </c>
      <c r="V22" s="516">
        <f t="shared" si="5"/>
        <v>0.57791517191632558</v>
      </c>
    </row>
    <row r="23" spans="4:22" ht="24" customHeight="1" x14ac:dyDescent="0.3">
      <c r="D23" s="451" t="s">
        <v>97</v>
      </c>
      <c r="E23" s="452">
        <f>+[5]울산!$E$9</f>
        <v>218.70000000000002</v>
      </c>
      <c r="F23" s="453">
        <f>+[5]울산!$F$9</f>
        <v>228.00285642359648</v>
      </c>
      <c r="G23" s="189">
        <f t="shared" si="0"/>
        <v>9.3028564235964666</v>
      </c>
      <c r="H23" s="452">
        <f>+[5]울산!$E$15</f>
        <v>352.70000000000005</v>
      </c>
      <c r="I23" s="453">
        <f>+[5]울산!$F$15</f>
        <v>374.06785096920362</v>
      </c>
      <c r="J23" s="189">
        <f t="shared" si="1"/>
        <v>21.367850969203573</v>
      </c>
      <c r="K23" s="511">
        <f>+([5]울산!$E$10*0.4+[5]울산!$E$11+[5]울산!$E$12+[5]울산!$E$13+[5]울산!$E$14)/[5]울산!$E$15</f>
        <v>0.37992628296002262</v>
      </c>
      <c r="L23" s="512">
        <f>+([5]울산!$F$10*0.4+[5]울산!$F$11+[5]울산!$F$12+[5]울산!$F$13+[5]울산!$F$14)/[5]울산!$F$15</f>
        <v>0.39047727348702954</v>
      </c>
      <c r="M23" s="513">
        <f t="shared" si="2"/>
        <v>1.055099052700692E-2</v>
      </c>
      <c r="N23" s="452">
        <f>+[5]울산!$E$16</f>
        <v>725</v>
      </c>
      <c r="O23" s="453">
        <f>+[5]울산!$F$16</f>
        <v>777.17865234538885</v>
      </c>
      <c r="P23" s="189">
        <f t="shared" si="3"/>
        <v>52.178652345388855</v>
      </c>
      <c r="Q23" s="452">
        <f>+[5]울산!$E$17</f>
        <v>967</v>
      </c>
      <c r="R23" s="453">
        <f>+[5]울산!$F$17</f>
        <v>831.9288411512963</v>
      </c>
      <c r="S23" s="189">
        <f t="shared" si="4"/>
        <v>-135.0711588487037</v>
      </c>
      <c r="T23" s="514">
        <f>+[5]울산!$E$19</f>
        <v>3.2</v>
      </c>
      <c r="U23" s="515">
        <f>+[5]울산!$F$19</f>
        <v>3.1887765377192254</v>
      </c>
      <c r="V23" s="516">
        <f t="shared" si="5"/>
        <v>-1.1223462280774754E-2</v>
      </c>
    </row>
    <row r="24" spans="4:22" ht="24" customHeight="1" x14ac:dyDescent="0.3">
      <c r="D24" s="486" t="s">
        <v>31</v>
      </c>
      <c r="E24" s="455">
        <f>+[5]아산!$E$9</f>
        <v>231.38416666666666</v>
      </c>
      <c r="F24" s="456">
        <f>+[5]아산!$F$9</f>
        <v>305.31779554575246</v>
      </c>
      <c r="G24" s="457">
        <f t="shared" si="0"/>
        <v>73.933628879085802</v>
      </c>
      <c r="H24" s="455">
        <f>+[5]아산!$E$15</f>
        <v>361.30916666666661</v>
      </c>
      <c r="I24" s="456">
        <f>+[5]아산!$F$15</f>
        <v>380.97110620960069</v>
      </c>
      <c r="J24" s="457">
        <f t="shared" si="1"/>
        <v>19.661939542934078</v>
      </c>
      <c r="K24" s="517">
        <f>+([5]아산!$E$10*0.4+[5]아산!$E$11+[5]아산!$E$12+[5]아산!$E$13+[5]아산!$E$14)/[5]아산!$E$15</f>
        <v>0.25185632802931934</v>
      </c>
      <c r="L24" s="518">
        <f>+([5]아산!$F$10*0.4+[5]아산!$F$11+[5]아산!$F$12+[5]아산!$F$13+[5]아산!$F$14)/[5]아산!$F$15</f>
        <v>0.18133114276245543</v>
      </c>
      <c r="M24" s="519">
        <f t="shared" si="2"/>
        <v>-7.052518526686391E-2</v>
      </c>
      <c r="N24" s="455">
        <f>+[5]아산!$E$16</f>
        <v>854.9133333333333</v>
      </c>
      <c r="O24" s="456">
        <f>+[5]아산!$F$16</f>
        <v>844.98745375731448</v>
      </c>
      <c r="P24" s="457">
        <f t="shared" si="3"/>
        <v>-9.925879576018815</v>
      </c>
      <c r="Q24" s="455">
        <f>+[5]아산!$E$17</f>
        <v>864.74416666666662</v>
      </c>
      <c r="R24" s="456">
        <f>+[5]아산!$F$17</f>
        <v>886.89665995772498</v>
      </c>
      <c r="S24" s="457">
        <f t="shared" si="4"/>
        <v>22.152493291058363</v>
      </c>
      <c r="T24" s="520">
        <f>+[5]아산!$E$19</f>
        <v>3.0019333333333331</v>
      </c>
      <c r="U24" s="521">
        <f>+[5]아산!$F$19</f>
        <v>3.201692491498942</v>
      </c>
      <c r="V24" s="522">
        <f t="shared" si="5"/>
        <v>0.19975915816560885</v>
      </c>
    </row>
    <row r="25" spans="4:22" ht="24" customHeight="1" x14ac:dyDescent="0.3">
      <c r="D25" s="451" t="s">
        <v>34</v>
      </c>
      <c r="E25" s="452">
        <f>+[5]전주!$E$9</f>
        <v>233.54</v>
      </c>
      <c r="F25" s="453">
        <f>+[5]전주!$F$9</f>
        <v>247.1276122714946</v>
      </c>
      <c r="G25" s="189">
        <f t="shared" si="0"/>
        <v>13.587612271494606</v>
      </c>
      <c r="H25" s="452">
        <f>+[5]전주!$E$15</f>
        <v>337.57</v>
      </c>
      <c r="I25" s="453">
        <f>+[5]전주!$F$15</f>
        <v>327.44638864428873</v>
      </c>
      <c r="J25" s="189">
        <f t="shared" si="1"/>
        <v>-10.123611355711262</v>
      </c>
      <c r="K25" s="511">
        <f>+([5]전주!$E$10*0.4+[5]전주!$E$11+[5]전주!$E$12+[5]전주!$E$13+[5]전주!$E$14)/[5]전주!$E$15</f>
        <v>0.28442693367301602</v>
      </c>
      <c r="L25" s="512">
        <f>+([5]전주!$F$10*0.4+[5]전주!$F$11+[5]전주!$F$12+[5]전주!$F$13+[5]전주!$F$14)/[5]전주!$F$15</f>
        <v>0.24500266928616132</v>
      </c>
      <c r="M25" s="513">
        <f t="shared" si="2"/>
        <v>-3.9424264386854702E-2</v>
      </c>
      <c r="N25" s="452">
        <f>+[5]전주!$E$16</f>
        <v>764.65</v>
      </c>
      <c r="O25" s="453">
        <f>+[5]전주!$F$16</f>
        <v>712.9174738473464</v>
      </c>
      <c r="P25" s="189">
        <f t="shared" si="3"/>
        <v>-51.732526152653577</v>
      </c>
      <c r="Q25" s="452">
        <f>+[5]전주!$E$17</f>
        <v>980.78000000000009</v>
      </c>
      <c r="R25" s="453">
        <f>+[5]전주!$F$17</f>
        <v>1032.5106547849666</v>
      </c>
      <c r="S25" s="189">
        <f t="shared" si="4"/>
        <v>51.730654784966532</v>
      </c>
      <c r="T25" s="514">
        <f>+[5]전주!$E$19</f>
        <v>2.9</v>
      </c>
      <c r="U25" s="515">
        <f>+[5]전주!$F$19</f>
        <v>2.2308090592089056</v>
      </c>
      <c r="V25" s="516">
        <f t="shared" si="5"/>
        <v>-0.66919094079109431</v>
      </c>
    </row>
    <row r="26" spans="4:22" ht="24" customHeight="1" x14ac:dyDescent="0.3">
      <c r="D26" s="451" t="s">
        <v>33</v>
      </c>
      <c r="E26" s="452">
        <f>+[5]군산!$E$9</f>
        <v>218.5</v>
      </c>
      <c r="F26" s="453">
        <f>+[5]군산!$F$9</f>
        <v>250.42284064450038</v>
      </c>
      <c r="G26" s="189">
        <f t="shared" si="0"/>
        <v>31.922840644500383</v>
      </c>
      <c r="H26" s="452">
        <f>+[5]군산!$E$15</f>
        <v>337.8</v>
      </c>
      <c r="I26" s="453">
        <f>+[5]군산!$F$15</f>
        <v>366.44632020117353</v>
      </c>
      <c r="J26" s="189">
        <f t="shared" si="1"/>
        <v>28.646320201173523</v>
      </c>
      <c r="K26" s="511">
        <f>+([5]군산!$E$10*0.4+[5]군산!$E$11+[5]군산!$E$12+[5]군산!$E$13+[5]군산!$E$14)/[5]군산!$E$15</f>
        <v>0.33007696862048547</v>
      </c>
      <c r="L26" s="512">
        <f>+([5]군산!$F$10*0.4+[5]군산!$F$11+[5]군산!$F$12+[5]군산!$F$13+[5]군산!$F$14)/[5]군산!$F$15</f>
        <v>0.2760031158352077</v>
      </c>
      <c r="M26" s="513">
        <f t="shared" si="2"/>
        <v>-5.4073852785277765E-2</v>
      </c>
      <c r="N26" s="452">
        <f>+[5]군산!$E$16</f>
        <v>785</v>
      </c>
      <c r="O26" s="453">
        <f>+[5]군산!$F$16</f>
        <v>815.48477228276067</v>
      </c>
      <c r="P26" s="189">
        <f t="shared" si="3"/>
        <v>30.484772282760673</v>
      </c>
      <c r="Q26" s="452">
        <f>+[5]군산!$E$17</f>
        <v>935</v>
      </c>
      <c r="R26" s="453">
        <f>+[5]군산!$F$17</f>
        <v>902.07553320294335</v>
      </c>
      <c r="S26" s="189">
        <f t="shared" si="4"/>
        <v>-32.924466797056652</v>
      </c>
      <c r="T26" s="514">
        <f>+[5]군산!$E$19</f>
        <v>2.84</v>
      </c>
      <c r="U26" s="515">
        <f>+[5]군산!$F$19</f>
        <v>2.7762037813169407</v>
      </c>
      <c r="V26" s="516">
        <f t="shared" si="5"/>
        <v>-6.379621868305918E-2</v>
      </c>
    </row>
    <row r="27" spans="4:22" ht="24" customHeight="1" x14ac:dyDescent="0.3">
      <c r="D27" s="451" t="s">
        <v>32</v>
      </c>
      <c r="E27" s="452">
        <f>+[5]원주!$E$9</f>
        <v>259.89999999999998</v>
      </c>
      <c r="F27" s="453">
        <f>+[5]원주!$F$9</f>
        <v>262.54782397053009</v>
      </c>
      <c r="G27" s="189">
        <f t="shared" si="0"/>
        <v>2.6478239705301121</v>
      </c>
      <c r="H27" s="452">
        <f>+[5]원주!$E$15</f>
        <v>343.49999999999994</v>
      </c>
      <c r="I27" s="453">
        <f>+[5]원주!$F$15</f>
        <v>351.57756084725685</v>
      </c>
      <c r="J27" s="189">
        <f t="shared" si="1"/>
        <v>8.0775608472569047</v>
      </c>
      <c r="K27" s="511">
        <f>+([5]원주!$E$10*0.4+[5]원주!$E$11+[5]원주!$E$12+[5]원주!$E$13+[5]원주!$E$14)/[5]원주!$E$15</f>
        <v>0.24337700145560409</v>
      </c>
      <c r="L27" s="512">
        <f>+([5]원주!$F$10*0.4+[5]원주!$F$11+[5]원주!$F$12+[5]원주!$F$13+[5]원주!$F$14)/[5]원주!$F$15</f>
        <v>0.25322929217148127</v>
      </c>
      <c r="M27" s="513">
        <f t="shared" si="2"/>
        <v>9.8522907158771766E-3</v>
      </c>
      <c r="N27" s="452">
        <f>+[5]원주!$E$16</f>
        <v>815.90000000000009</v>
      </c>
      <c r="O27" s="453">
        <f>+[5]원주!$F$16</f>
        <v>837.49769767135899</v>
      </c>
      <c r="P27" s="189">
        <f t="shared" si="3"/>
        <v>21.597697671358901</v>
      </c>
      <c r="Q27" s="452">
        <f>+[5]원주!$E$17</f>
        <v>953.30000000000007</v>
      </c>
      <c r="R27" s="453">
        <f>+[5]원주!$F$17</f>
        <v>948.37850282857505</v>
      </c>
      <c r="S27" s="189">
        <f t="shared" si="4"/>
        <v>-4.9214971714250169</v>
      </c>
      <c r="T27" s="514">
        <f>+[5]원주!$E$19</f>
        <v>2.871</v>
      </c>
      <c r="U27" s="515">
        <f>+[5]원주!$F$19</f>
        <v>2.8189185633469283</v>
      </c>
      <c r="V27" s="516">
        <f t="shared" si="5"/>
        <v>-5.2081436653071744E-2</v>
      </c>
    </row>
    <row r="28" spans="4:22" ht="24" customHeight="1" x14ac:dyDescent="0.3">
      <c r="D28" s="500" t="s">
        <v>35</v>
      </c>
      <c r="E28" s="523">
        <f>+[5]제주!$E$9</f>
        <v>342.69999999999993</v>
      </c>
      <c r="F28" s="524">
        <f>+[5]제주!$F$9</f>
        <v>327.30178393649931</v>
      </c>
      <c r="G28" s="198">
        <f t="shared" si="0"/>
        <v>-15.398216063500627</v>
      </c>
      <c r="H28" s="523">
        <f>+[5]제주!$E$15</f>
        <v>342.69999999999993</v>
      </c>
      <c r="I28" s="524">
        <f>+[5]제주!$F$15</f>
        <v>327.30178393649931</v>
      </c>
      <c r="J28" s="198">
        <f t="shared" si="1"/>
        <v>-15.398216063500627</v>
      </c>
      <c r="K28" s="525">
        <f>+([5]제주!$E$10*0.4+[5]제주!$E$11+[5]제주!$E$12+[5]제주!$E$13+[5]제주!$E$14)/[5]제주!$E$15</f>
        <v>0</v>
      </c>
      <c r="L28" s="526">
        <f>+([5]제주!$F$10*0.4+[5]제주!$F$11+[5]제주!$F$12+[5]제주!$F$13+[5]제주!$F$14)/[5]제주!$F$15</f>
        <v>0</v>
      </c>
      <c r="M28" s="527">
        <f t="shared" si="2"/>
        <v>0</v>
      </c>
      <c r="N28" s="523">
        <f>+[5]제주!$E$16</f>
        <v>709.7</v>
      </c>
      <c r="O28" s="524">
        <f>+[5]제주!$F$16</f>
        <v>837.69675770213917</v>
      </c>
      <c r="P28" s="198">
        <f t="shared" si="3"/>
        <v>127.99675770213912</v>
      </c>
      <c r="Q28" s="523">
        <f>+[5]제주!$E$17</f>
        <v>1038.3</v>
      </c>
      <c r="R28" s="524">
        <f>+[5]제주!$F$17</f>
        <v>862.63823489842616</v>
      </c>
      <c r="S28" s="198">
        <f t="shared" si="4"/>
        <v>-175.66176510157379</v>
      </c>
      <c r="T28" s="528">
        <f>+[5]제주!$E$19</f>
        <v>3.04</v>
      </c>
      <c r="U28" s="529">
        <f>+[5]제주!$F$19</f>
        <v>2.7857554150410344</v>
      </c>
      <c r="V28" s="530">
        <f t="shared" si="5"/>
        <v>-0.25424458495896562</v>
      </c>
    </row>
    <row r="29" spans="4:22" ht="24" customHeight="1" x14ac:dyDescent="0.3"/>
    <row r="30" spans="4:22" ht="24" customHeight="1" x14ac:dyDescent="0.3"/>
    <row r="31" spans="4:22" ht="24" customHeight="1" x14ac:dyDescent="0.3"/>
    <row r="32" spans="4:22" ht="21.95" customHeight="1" x14ac:dyDescent="0.3"/>
    <row r="33" ht="21.95" customHeight="1" x14ac:dyDescent="0.3"/>
    <row r="34" ht="21.95" customHeight="1" x14ac:dyDescent="0.3"/>
    <row r="35" ht="21.95" customHeight="1" x14ac:dyDescent="0.3"/>
    <row r="36" ht="21.95" customHeight="1" x14ac:dyDescent="0.3"/>
    <row r="37" ht="21.95" customHeight="1" x14ac:dyDescent="0.3"/>
    <row r="38" ht="21.95" customHeight="1" x14ac:dyDescent="0.3"/>
    <row r="39" ht="21.95" customHeight="1" x14ac:dyDescent="0.3"/>
    <row r="40" ht="21.95" customHeight="1" x14ac:dyDescent="0.3"/>
    <row r="41" ht="21.95" customHeight="1" x14ac:dyDescent="0.3"/>
    <row r="42" ht="21.95" customHeight="1" x14ac:dyDescent="0.3"/>
    <row r="43" ht="21.95" customHeight="1" x14ac:dyDescent="0.3"/>
    <row r="44" ht="21.95" customHeight="1" x14ac:dyDescent="0.3"/>
    <row r="45" ht="21.95" customHeight="1" x14ac:dyDescent="0.3"/>
    <row r="46" ht="21.95" customHeight="1" x14ac:dyDescent="0.3"/>
    <row r="47" ht="21.95" customHeight="1" x14ac:dyDescent="0.3"/>
    <row r="48" ht="21.95" customHeight="1" x14ac:dyDescent="0.3"/>
    <row r="49" ht="21.95" customHeight="1" x14ac:dyDescent="0.3"/>
    <row r="50" ht="21.95" customHeight="1" x14ac:dyDescent="0.3"/>
    <row r="51" ht="21.95" customHeight="1" x14ac:dyDescent="0.3"/>
    <row r="52" ht="21.95" customHeight="1" x14ac:dyDescent="0.3"/>
  </sheetData>
  <mergeCells count="1">
    <mergeCell ref="D6:D7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7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D61FB-6B01-4C55-AA47-C5B05ACD7200}">
  <sheetPr>
    <tabColor theme="1" tint="0.249977111117893"/>
    <pageSetUpPr fitToPage="1"/>
  </sheetPr>
  <dimension ref="D3:AI55"/>
  <sheetViews>
    <sheetView showGridLines="0" view="pageBreakPreview" topLeftCell="A4" zoomScale="60" zoomScaleNormal="70" workbookViewId="0">
      <pane ySplit="6" topLeftCell="A10" activePane="bottomLeft" state="frozenSplit"/>
      <selection activeCell="C32" sqref="C32"/>
      <selection pane="bottomLeft" activeCell="C32" sqref="C32"/>
    </sheetView>
  </sheetViews>
  <sheetFormatPr defaultRowHeight="16.5" x14ac:dyDescent="0.3"/>
  <cols>
    <col min="1" max="3" width="5.625" style="6" customWidth="1"/>
    <col min="4" max="5" width="13" style="6" customWidth="1"/>
    <col min="6" max="15" width="15.75" style="6" customWidth="1"/>
    <col min="16" max="17" width="3.25" style="76" customWidth="1"/>
    <col min="18" max="18" width="9" style="6"/>
    <col min="19" max="21" width="10.25" style="6" hidden="1" customWidth="1"/>
    <col min="22" max="39" width="10.25" style="6" customWidth="1"/>
    <col min="40" max="16384" width="9" style="6"/>
  </cols>
  <sheetData>
    <row r="3" spans="4:17" ht="9.9499999999999993" customHeight="1" x14ac:dyDescent="0.3"/>
    <row r="5" spans="4:17" ht="9.9499999999999993" customHeight="1" x14ac:dyDescent="0.3"/>
    <row r="6" spans="4:17" ht="31.5" x14ac:dyDescent="0.3">
      <c r="D6" s="184" t="s">
        <v>224</v>
      </c>
      <c r="F6" s="184"/>
      <c r="G6" s="184"/>
      <c r="H6" s="184"/>
      <c r="I6" s="184"/>
      <c r="J6" s="184"/>
      <c r="K6" s="184"/>
      <c r="L6" s="184"/>
      <c r="M6" s="184"/>
    </row>
    <row r="7" spans="4:17" ht="21.95" customHeight="1" thickBot="1" x14ac:dyDescent="0.35">
      <c r="D7" s="185"/>
      <c r="O7" s="186" t="s">
        <v>76</v>
      </c>
    </row>
    <row r="8" spans="4:17" ht="25.5" customHeight="1" thickTop="1" x14ac:dyDescent="0.3">
      <c r="D8" s="825" t="s">
        <v>11</v>
      </c>
      <c r="E8" s="826"/>
      <c r="F8" s="835" t="s">
        <v>217</v>
      </c>
      <c r="G8" s="836"/>
      <c r="H8" s="836"/>
      <c r="I8" s="836"/>
      <c r="J8" s="837"/>
      <c r="K8" s="802" t="s">
        <v>225</v>
      </c>
      <c r="L8" s="802"/>
      <c r="M8" s="802"/>
      <c r="N8" s="802"/>
      <c r="O8" s="805"/>
      <c r="P8" s="187"/>
      <c r="Q8" s="187"/>
    </row>
    <row r="9" spans="4:17" ht="25.5" customHeight="1" x14ac:dyDescent="0.3">
      <c r="D9" s="827"/>
      <c r="E9" s="828"/>
      <c r="F9" s="569" t="s">
        <v>12</v>
      </c>
      <c r="G9" s="358" t="s">
        <v>13</v>
      </c>
      <c r="H9" s="367" t="s">
        <v>71</v>
      </c>
      <c r="I9" s="358" t="s">
        <v>14</v>
      </c>
      <c r="J9" s="570" t="s">
        <v>72</v>
      </c>
      <c r="K9" s="367" t="s">
        <v>12</v>
      </c>
      <c r="L9" s="358" t="s">
        <v>13</v>
      </c>
      <c r="M9" s="367" t="s">
        <v>71</v>
      </c>
      <c r="N9" s="358" t="s">
        <v>14</v>
      </c>
      <c r="O9" s="368" t="s">
        <v>72</v>
      </c>
      <c r="P9" s="187"/>
      <c r="Q9" s="187"/>
    </row>
    <row r="10" spans="4:17" ht="25.5" customHeight="1" x14ac:dyDescent="0.3">
      <c r="D10" s="71" t="s">
        <v>110</v>
      </c>
      <c r="E10" s="90" t="s">
        <v>86</v>
      </c>
      <c r="F10" s="571">
        <f>+IFERROR(HLOOKUP($F$8,[13]손익!$G$5:$AI$63,2,),)</f>
        <v>7600</v>
      </c>
      <c r="G10" s="359">
        <f>+'[7]5월'!$G$8</f>
        <v>9787.4410000000007</v>
      </c>
      <c r="H10" s="204">
        <f>+G10-F10</f>
        <v>2187.4410000000007</v>
      </c>
      <c r="I10" s="359">
        <f>+IFERROR(HLOOKUP($F$8,[8]월별!$E$2:$T$53,2,),)</f>
        <v>7344.996000000001</v>
      </c>
      <c r="J10" s="572">
        <f>+G10-I10</f>
        <v>2442.4449999999997</v>
      </c>
      <c r="K10" s="204">
        <f>+F10+[4]건자재!K10</f>
        <v>35500</v>
      </c>
      <c r="L10" s="359">
        <f>+G10+[4]건자재!L10</f>
        <v>40097.987000000001</v>
      </c>
      <c r="M10" s="204">
        <f>+L10-K10</f>
        <v>4597.987000000001</v>
      </c>
      <c r="N10" s="359">
        <f>+I10+[4]건자재!N10</f>
        <v>41870.298000000003</v>
      </c>
      <c r="O10" s="352">
        <f>+L10-N10</f>
        <v>-1772.3110000000015</v>
      </c>
      <c r="P10" s="77"/>
      <c r="Q10" s="77"/>
    </row>
    <row r="11" spans="4:17" ht="25.5" customHeight="1" x14ac:dyDescent="0.3">
      <c r="D11" s="72" t="s">
        <v>21</v>
      </c>
      <c r="E11" s="357" t="s">
        <v>122</v>
      </c>
      <c r="F11" s="573">
        <f>+F12/F10*1000</f>
        <v>977631.57894736843</v>
      </c>
      <c r="G11" s="360">
        <f t="shared" ref="G11" si="0">+G12/G10*1000</f>
        <v>811389.30758305453</v>
      </c>
      <c r="H11" s="214">
        <f t="shared" ref="H11:H28" si="1">+G11-F11</f>
        <v>-166242.2713643139</v>
      </c>
      <c r="I11" s="360">
        <f>+I12/I10*1000</f>
        <v>1064717.6492676102</v>
      </c>
      <c r="J11" s="574">
        <f t="shared" ref="J11:J28" si="2">+G11-I11</f>
        <v>-253328.34168455563</v>
      </c>
      <c r="K11" s="214">
        <f>+K12/K10*1000</f>
        <v>977887.32394366199</v>
      </c>
      <c r="L11" s="360">
        <f>+L12/L10*1000</f>
        <v>863632.68360578804</v>
      </c>
      <c r="M11" s="214">
        <f t="shared" ref="M11:M28" si="3">+L11-K11</f>
        <v>-114254.64033787395</v>
      </c>
      <c r="N11" s="360">
        <f>+N12/N10*1000</f>
        <v>1051340.8857037511</v>
      </c>
      <c r="O11" s="212">
        <f t="shared" ref="O11:O28" si="4">+L11-N11</f>
        <v>-187708.20209796308</v>
      </c>
      <c r="P11" s="77"/>
      <c r="Q11" s="77"/>
    </row>
    <row r="12" spans="4:17" ht="25.5" customHeight="1" x14ac:dyDescent="0.3">
      <c r="D12" s="188" t="s">
        <v>77</v>
      </c>
      <c r="E12" s="91" t="s">
        <v>122</v>
      </c>
      <c r="F12" s="418">
        <f>+IFERROR(HLOOKUP($F$8,[13]손익!$G$5:$AI$63,22,),)</f>
        <v>7430000</v>
      </c>
      <c r="G12" s="361">
        <f>+'[7]5월'!$G$9</f>
        <v>7941424.9759999998</v>
      </c>
      <c r="H12" s="196">
        <f t="shared" si="1"/>
        <v>511424.97599999979</v>
      </c>
      <c r="I12" s="361">
        <f>+IFERROR(HLOOKUP($F$8,[8]월별!$E$2:$T$53,5,),)</f>
        <v>7820346.875</v>
      </c>
      <c r="J12" s="419">
        <f t="shared" si="2"/>
        <v>121078.10099999979</v>
      </c>
      <c r="K12" s="196">
        <f>+F12+[4]건자재!K12</f>
        <v>34715000</v>
      </c>
      <c r="L12" s="361">
        <f>+G12+[4]건자재!L12</f>
        <v>34629932.120000005</v>
      </c>
      <c r="M12" s="196">
        <f t="shared" si="3"/>
        <v>-85067.879999995232</v>
      </c>
      <c r="N12" s="361">
        <f>+I12+[4]건자재!N12</f>
        <v>44019956.184</v>
      </c>
      <c r="O12" s="219">
        <f t="shared" si="4"/>
        <v>-9390024.0639999956</v>
      </c>
      <c r="P12" s="77"/>
      <c r="Q12" s="77"/>
    </row>
    <row r="13" spans="4:17" ht="25.5" customHeight="1" x14ac:dyDescent="0.3">
      <c r="D13" s="188"/>
      <c r="E13" s="92" t="s">
        <v>123</v>
      </c>
      <c r="F13" s="575">
        <f>+IFERROR(HLOOKUP($F$8,[13]손익!$G$5:$AI$63,23,),)</f>
        <v>1855688.4210526329</v>
      </c>
      <c r="G13" s="362">
        <f>+'[7]5월'!$J$9</f>
        <v>1833395.909</v>
      </c>
      <c r="H13" s="206">
        <f t="shared" si="1"/>
        <v>-22292.512052632868</v>
      </c>
      <c r="I13" s="362">
        <f>+IFERROR(HLOOKUP($F$8,[8]월별!$E$2:$T$53,6,),)</f>
        <v>1208776.7170000002</v>
      </c>
      <c r="J13" s="576">
        <f t="shared" si="2"/>
        <v>624619.19199999981</v>
      </c>
      <c r="K13" s="206">
        <f>+F13+[4]건자재!K13</f>
        <v>8707461.0526315831</v>
      </c>
      <c r="L13" s="362">
        <f>+G13+[4]건자재!L13</f>
        <v>6900461.1850000005</v>
      </c>
      <c r="M13" s="206">
        <f t="shared" si="3"/>
        <v>-1806999.8676315825</v>
      </c>
      <c r="N13" s="362">
        <f>+I13+[4]건자재!N13</f>
        <v>6380856.976999999</v>
      </c>
      <c r="O13" s="353">
        <f t="shared" si="4"/>
        <v>519604.2080000015</v>
      </c>
      <c r="P13" s="77"/>
      <c r="Q13" s="77"/>
    </row>
    <row r="14" spans="4:17" ht="25.5" customHeight="1" x14ac:dyDescent="0.3">
      <c r="D14" s="188"/>
      <c r="E14" s="94" t="s">
        <v>58</v>
      </c>
      <c r="F14" s="416">
        <f>SUM(F12:F13)</f>
        <v>9285688.4210526329</v>
      </c>
      <c r="G14" s="363">
        <f>SUM(G12:G13)</f>
        <v>9774820.8849999998</v>
      </c>
      <c r="H14" s="205">
        <f t="shared" si="1"/>
        <v>489132.46394736692</v>
      </c>
      <c r="I14" s="363">
        <f>SUM(I12:I13)</f>
        <v>9029123.5920000002</v>
      </c>
      <c r="J14" s="417">
        <f t="shared" si="2"/>
        <v>745697.2929999996</v>
      </c>
      <c r="K14" s="205">
        <f>SUM(K12:K13)</f>
        <v>43422461.052631587</v>
      </c>
      <c r="L14" s="363">
        <f>SUM(L12:L13)</f>
        <v>41530393.305000007</v>
      </c>
      <c r="M14" s="205">
        <f t="shared" si="3"/>
        <v>-1892067.7476315796</v>
      </c>
      <c r="N14" s="363">
        <f>SUM(N12:N13)</f>
        <v>50400813.160999998</v>
      </c>
      <c r="O14" s="222">
        <f t="shared" si="4"/>
        <v>-8870419.8559999913</v>
      </c>
      <c r="P14" s="77"/>
      <c r="Q14" s="77"/>
    </row>
    <row r="15" spans="4:17" ht="25.5" customHeight="1" x14ac:dyDescent="0.3">
      <c r="D15" s="71" t="s">
        <v>5</v>
      </c>
      <c r="E15" s="90" t="s">
        <v>122</v>
      </c>
      <c r="F15" s="571">
        <f>+IFERROR(HLOOKUP($F$8,[13]손익!$G$5:$AI$63,25,),)</f>
        <v>7256915</v>
      </c>
      <c r="G15" s="359">
        <f>+'[7]5월'!$G$11</f>
        <v>7737494.4589999998</v>
      </c>
      <c r="H15" s="204">
        <f t="shared" si="1"/>
        <v>480579.4589999998</v>
      </c>
      <c r="I15" s="359">
        <f>+IFERROR(HLOOKUP($F$8,[8]월별!$E$2:$T$53,8,),)</f>
        <v>7676800.0590000004</v>
      </c>
      <c r="J15" s="572">
        <f t="shared" si="2"/>
        <v>60694.399999999441</v>
      </c>
      <c r="K15" s="204">
        <f>+F15+[4]건자재!K15</f>
        <v>33905895</v>
      </c>
      <c r="L15" s="359">
        <f>+G15+[4]건자재!L15</f>
        <v>33826624.636</v>
      </c>
      <c r="M15" s="204">
        <f t="shared" si="3"/>
        <v>-79270.36400000006</v>
      </c>
      <c r="N15" s="359">
        <f>+I15+[4]건자재!N15</f>
        <v>43170576.046999998</v>
      </c>
      <c r="O15" s="352">
        <f t="shared" si="4"/>
        <v>-9343951.4109999985</v>
      </c>
      <c r="P15" s="77"/>
      <c r="Q15" s="77"/>
    </row>
    <row r="16" spans="4:17" ht="25.5" customHeight="1" x14ac:dyDescent="0.3">
      <c r="D16" s="188"/>
      <c r="E16" s="92" t="s">
        <v>123</v>
      </c>
      <c r="F16" s="575">
        <f>+IFERROR(HLOOKUP($F$8,[13]손익!$G$5:$AI$63,26,),)</f>
        <v>1791147.5777684227</v>
      </c>
      <c r="G16" s="362">
        <f>+'[7]5월'!$J$11</f>
        <v>1782403.8720000004</v>
      </c>
      <c r="H16" s="206">
        <f t="shared" si="1"/>
        <v>-8743.7057684222236</v>
      </c>
      <c r="I16" s="362">
        <f>+IFERROR(HLOOKUP($F$8,[8]월별!$E$2:$T$53,9,),)</f>
        <v>1185012.4639999997</v>
      </c>
      <c r="J16" s="576">
        <f t="shared" si="2"/>
        <v>597391.40800000075</v>
      </c>
      <c r="K16" s="206">
        <f>+F16+[4]건자재!K16</f>
        <v>8404615.5572210513</v>
      </c>
      <c r="L16" s="362">
        <f>+G16+[4]건자재!L16</f>
        <v>6752083.9679999994</v>
      </c>
      <c r="M16" s="206">
        <f t="shared" si="3"/>
        <v>-1652531.5892210519</v>
      </c>
      <c r="N16" s="362">
        <f>+I16+[4]건자재!N16</f>
        <v>6250741.5169999981</v>
      </c>
      <c r="O16" s="353">
        <f t="shared" si="4"/>
        <v>501342.45100000128</v>
      </c>
      <c r="P16" s="77"/>
      <c r="Q16" s="77"/>
    </row>
    <row r="17" spans="4:17" ht="25.5" customHeight="1" x14ac:dyDescent="0.3">
      <c r="D17" s="72"/>
      <c r="E17" s="369" t="s">
        <v>43</v>
      </c>
      <c r="F17" s="577">
        <f>SUM(F15:F16)</f>
        <v>9048062.5777684227</v>
      </c>
      <c r="G17" s="370">
        <f>SUM(G15:G16)</f>
        <v>9519898.3310000002</v>
      </c>
      <c r="H17" s="371">
        <f t="shared" si="1"/>
        <v>471835.75323157758</v>
      </c>
      <c r="I17" s="370">
        <f>SUM(I15:I16)</f>
        <v>8861812.523</v>
      </c>
      <c r="J17" s="578">
        <f t="shared" si="2"/>
        <v>658085.80800000019</v>
      </c>
      <c r="K17" s="371">
        <f>SUM(K15:K16)</f>
        <v>42310510.557221055</v>
      </c>
      <c r="L17" s="370">
        <f>SUM(L15:L16)</f>
        <v>40578708.604000002</v>
      </c>
      <c r="M17" s="371">
        <f t="shared" si="3"/>
        <v>-1731801.9532210529</v>
      </c>
      <c r="N17" s="370">
        <f>SUM(N15:N16)</f>
        <v>49421317.563999996</v>
      </c>
      <c r="O17" s="372">
        <f t="shared" si="4"/>
        <v>-8842608.9599999934</v>
      </c>
      <c r="P17" s="77"/>
      <c r="Q17" s="77"/>
    </row>
    <row r="18" spans="4:17" ht="25.5" customHeight="1" x14ac:dyDescent="0.3">
      <c r="D18" s="188" t="s">
        <v>18</v>
      </c>
      <c r="E18" s="91" t="s">
        <v>122</v>
      </c>
      <c r="F18" s="418">
        <f>+F12-F15</f>
        <v>173085</v>
      </c>
      <c r="G18" s="361">
        <f>+G12-G15</f>
        <v>203930.51699999999</v>
      </c>
      <c r="H18" s="196">
        <f t="shared" si="1"/>
        <v>30845.516999999993</v>
      </c>
      <c r="I18" s="361">
        <f>+I12-I15</f>
        <v>143546.81599999964</v>
      </c>
      <c r="J18" s="419">
        <f t="shared" si="2"/>
        <v>60383.70100000035</v>
      </c>
      <c r="K18" s="196">
        <f>+K12-K15</f>
        <v>809105</v>
      </c>
      <c r="L18" s="361">
        <f>+L12-L15</f>
        <v>803307.48400000483</v>
      </c>
      <c r="M18" s="196">
        <f t="shared" si="3"/>
        <v>-5797.515999995172</v>
      </c>
      <c r="N18" s="361">
        <f>+N12-N15</f>
        <v>849380.13700000197</v>
      </c>
      <c r="O18" s="219">
        <f t="shared" si="4"/>
        <v>-46072.652999997139</v>
      </c>
      <c r="P18" s="77"/>
      <c r="Q18" s="77"/>
    </row>
    <row r="19" spans="4:17" ht="25.5" customHeight="1" x14ac:dyDescent="0.3">
      <c r="D19" s="188"/>
      <c r="E19" s="194" t="s">
        <v>9</v>
      </c>
      <c r="F19" s="579">
        <f>+F18/F12</f>
        <v>2.329542395693136E-2</v>
      </c>
      <c r="G19" s="364">
        <f>+G18/G12</f>
        <v>2.5679335587291203E-2</v>
      </c>
      <c r="H19" s="197">
        <f t="shared" si="1"/>
        <v>2.3839116303598432E-3</v>
      </c>
      <c r="I19" s="364">
        <f>+I18/I12</f>
        <v>1.8355556127425569E-2</v>
      </c>
      <c r="J19" s="580">
        <f t="shared" si="2"/>
        <v>7.3237794598656342E-3</v>
      </c>
      <c r="K19" s="197">
        <f>+K18/K12</f>
        <v>2.3307071870949159E-2</v>
      </c>
      <c r="L19" s="364">
        <f>+L18/L12</f>
        <v>2.3196911885832616E-2</v>
      </c>
      <c r="M19" s="197">
        <f t="shared" si="3"/>
        <v>-1.1015998511654246E-4</v>
      </c>
      <c r="N19" s="364">
        <f>+N18/N12</f>
        <v>1.9295342627095285E-2</v>
      </c>
      <c r="O19" s="354">
        <f t="shared" si="4"/>
        <v>3.9015692587373307E-3</v>
      </c>
      <c r="P19" s="77"/>
      <c r="Q19" s="77"/>
    </row>
    <row r="20" spans="4:17" ht="25.5" customHeight="1" x14ac:dyDescent="0.3">
      <c r="D20" s="188"/>
      <c r="E20" s="93" t="s">
        <v>123</v>
      </c>
      <c r="F20" s="416">
        <f>+F13-F16</f>
        <v>64540.84328421019</v>
      </c>
      <c r="G20" s="363">
        <f>+G13-G16</f>
        <v>50992.036999999546</v>
      </c>
      <c r="H20" s="205">
        <f t="shared" si="1"/>
        <v>-13548.806284210645</v>
      </c>
      <c r="I20" s="363">
        <f>+I13-I16</f>
        <v>23764.253000000492</v>
      </c>
      <c r="J20" s="417">
        <f t="shared" si="2"/>
        <v>27227.783999999054</v>
      </c>
      <c r="K20" s="205">
        <f>+K13-K16</f>
        <v>302845.49541053176</v>
      </c>
      <c r="L20" s="363">
        <f>+L13-L16</f>
        <v>148377.21700000111</v>
      </c>
      <c r="M20" s="205">
        <f t="shared" si="3"/>
        <v>-154468.27841053065</v>
      </c>
      <c r="N20" s="363">
        <f>+N13-N16</f>
        <v>130115.46000000089</v>
      </c>
      <c r="O20" s="222">
        <f t="shared" si="4"/>
        <v>18261.757000000216</v>
      </c>
      <c r="P20" s="77"/>
      <c r="Q20" s="77"/>
    </row>
    <row r="21" spans="4:17" ht="25.5" customHeight="1" x14ac:dyDescent="0.3">
      <c r="D21" s="188"/>
      <c r="E21" s="195" t="s">
        <v>9</v>
      </c>
      <c r="F21" s="581">
        <f>+F20/F13</f>
        <v>3.4779999999999797E-2</v>
      </c>
      <c r="G21" s="365">
        <f>+G20/G13</f>
        <v>2.7812889049050205E-2</v>
      </c>
      <c r="H21" s="207">
        <f t="shared" si="1"/>
        <v>-6.967110950949592E-3</v>
      </c>
      <c r="I21" s="365">
        <f>+I20/I13</f>
        <v>1.9659754085088396E-2</v>
      </c>
      <c r="J21" s="582">
        <f t="shared" si="2"/>
        <v>8.1531349639618091E-3</v>
      </c>
      <c r="K21" s="207">
        <f>+K20/K13</f>
        <v>3.4780000000000609E-2</v>
      </c>
      <c r="L21" s="365">
        <f>+L20/L13</f>
        <v>2.1502507299445247E-2</v>
      </c>
      <c r="M21" s="207">
        <f t="shared" si="3"/>
        <v>-1.3277492700555362E-2</v>
      </c>
      <c r="N21" s="365">
        <f>+N20/N13</f>
        <v>2.0391533687247058E-2</v>
      </c>
      <c r="O21" s="355">
        <f t="shared" si="4"/>
        <v>1.1109736121981892E-3</v>
      </c>
      <c r="P21" s="77"/>
      <c r="Q21" s="77"/>
    </row>
    <row r="22" spans="4:17" ht="25.5" customHeight="1" x14ac:dyDescent="0.3">
      <c r="D22" s="188"/>
      <c r="E22" s="94" t="s">
        <v>58</v>
      </c>
      <c r="F22" s="416">
        <f>SUM(F18,F20)</f>
        <v>237625.84328421019</v>
      </c>
      <c r="G22" s="363">
        <f>SUM(G18,G20)</f>
        <v>254922.55399999954</v>
      </c>
      <c r="H22" s="205">
        <f t="shared" si="1"/>
        <v>17296.710715789348</v>
      </c>
      <c r="I22" s="363">
        <f>SUM(I18,I20)</f>
        <v>167311.06900000013</v>
      </c>
      <c r="J22" s="417">
        <f t="shared" si="2"/>
        <v>87611.484999999404</v>
      </c>
      <c r="K22" s="205">
        <f>+K14-K17</f>
        <v>1111950.4954105318</v>
      </c>
      <c r="L22" s="363">
        <f>+L14-L17</f>
        <v>951684.70100000501</v>
      </c>
      <c r="M22" s="205">
        <f t="shared" si="3"/>
        <v>-160265.79441052675</v>
      </c>
      <c r="N22" s="363">
        <f>+N14-N17</f>
        <v>979495.59700000286</v>
      </c>
      <c r="O22" s="222">
        <f t="shared" si="4"/>
        <v>-27810.895999997854</v>
      </c>
      <c r="P22" s="77"/>
      <c r="Q22" s="77"/>
    </row>
    <row r="23" spans="4:17" ht="25.5" customHeight="1" x14ac:dyDescent="0.3">
      <c r="D23" s="188"/>
      <c r="E23" s="373" t="s">
        <v>9</v>
      </c>
      <c r="F23" s="579">
        <f>+F22/F14</f>
        <v>2.5590546711158412E-2</v>
      </c>
      <c r="G23" s="364">
        <f>+G22/G14</f>
        <v>2.607951153265552E-2</v>
      </c>
      <c r="H23" s="197">
        <f t="shared" si="1"/>
        <v>4.889648214971079E-4</v>
      </c>
      <c r="I23" s="364">
        <f>+I22/I14</f>
        <v>1.8530156032889104E-2</v>
      </c>
      <c r="J23" s="580">
        <f t="shared" si="2"/>
        <v>7.5493554997664164E-3</v>
      </c>
      <c r="K23" s="197">
        <f>+K22/K14</f>
        <v>2.5607726242479818E-2</v>
      </c>
      <c r="L23" s="364">
        <f>+L22/L14</f>
        <v>2.2915378961398565E-2</v>
      </c>
      <c r="M23" s="197">
        <f t="shared" si="3"/>
        <v>-2.6923472810812532E-3</v>
      </c>
      <c r="N23" s="364">
        <f>+N22/N14</f>
        <v>1.9434122895420538E-2</v>
      </c>
      <c r="O23" s="354">
        <f t="shared" si="4"/>
        <v>3.4812560659780271E-3</v>
      </c>
      <c r="P23" s="77"/>
      <c r="Q23" s="77"/>
    </row>
    <row r="24" spans="4:17" ht="25.5" customHeight="1" x14ac:dyDescent="0.3">
      <c r="D24" s="71" t="s">
        <v>124</v>
      </c>
      <c r="E24" s="90" t="s">
        <v>125</v>
      </c>
      <c r="F24" s="571">
        <f>+IFERROR(HLOOKUP($F$8,[13]판매4!$G$4:$U$50,7,),)</f>
        <v>83504.47</v>
      </c>
      <c r="G24" s="359">
        <f>+'[7]5월'!$M$19</f>
        <v>89750.494999999995</v>
      </c>
      <c r="H24" s="204">
        <f t="shared" si="1"/>
        <v>6246.0249999999942</v>
      </c>
      <c r="I24" s="359">
        <f>+IFERROR(HLOOKUP($F$8,[8]월별!$E$2:$T$53,17,),)</f>
        <v>82628.777000000002</v>
      </c>
      <c r="J24" s="572">
        <f t="shared" si="2"/>
        <v>7121.7179999999935</v>
      </c>
      <c r="K24" s="204">
        <f>+F24+[4]건자재!K24</f>
        <v>414947.53</v>
      </c>
      <c r="L24" s="359">
        <f>+G24+[4]건자재!L24</f>
        <v>444815.83799999999</v>
      </c>
      <c r="M24" s="204">
        <f t="shared" si="3"/>
        <v>29868.307999999961</v>
      </c>
      <c r="N24" s="359">
        <f>+I24+[4]건자재!N24</f>
        <v>420576.12</v>
      </c>
      <c r="O24" s="352">
        <f t="shared" si="4"/>
        <v>24239.717999999993</v>
      </c>
      <c r="P24" s="77"/>
      <c r="Q24" s="77"/>
    </row>
    <row r="25" spans="4:17" ht="25.5" customHeight="1" x14ac:dyDescent="0.3">
      <c r="D25" s="188"/>
      <c r="E25" s="92" t="s">
        <v>126</v>
      </c>
      <c r="F25" s="575">
        <f>+IFERROR(HLOOKUP($F$8,[13]판매4!$G$4:$U$50,31,),)+IFERROR(HLOOKUP($F$8,[13]판매4!$G$4:$U$50,34,),)</f>
        <v>40573.589999999997</v>
      </c>
      <c r="G25" s="362">
        <f>+'[7]5월'!$M$37+'[7]5월'!$M$40</f>
        <v>42804.032000000014</v>
      </c>
      <c r="H25" s="206">
        <f t="shared" si="1"/>
        <v>2230.4420000000173</v>
      </c>
      <c r="I25" s="362">
        <f>+IFERROR(HLOOKUP($F$8,[8]월별!$E$2:$T$53,35,),)+IFERROR(HLOOKUP($F$8,[8]월별!$E$2:$T$53,38,),)</f>
        <v>30416.007000000001</v>
      </c>
      <c r="J25" s="576">
        <f t="shared" si="2"/>
        <v>12388.025000000012</v>
      </c>
      <c r="K25" s="206">
        <f>+F25+[4]건자재!K25</f>
        <v>215746.14</v>
      </c>
      <c r="L25" s="362">
        <f>+G25+[4]건자재!L25</f>
        <v>241916.26799999998</v>
      </c>
      <c r="M25" s="206">
        <f t="shared" si="3"/>
        <v>26170.127999999968</v>
      </c>
      <c r="N25" s="362">
        <f>+I25+[4]건자재!N25</f>
        <v>182050.41200000001</v>
      </c>
      <c r="O25" s="353">
        <f t="shared" si="4"/>
        <v>59865.855999999971</v>
      </c>
      <c r="P25" s="77"/>
      <c r="Q25" s="77"/>
    </row>
    <row r="26" spans="4:17" ht="25.5" customHeight="1" x14ac:dyDescent="0.3">
      <c r="D26" s="72"/>
      <c r="E26" s="369" t="s">
        <v>58</v>
      </c>
      <c r="F26" s="577">
        <f>SUM(F24:F25)</f>
        <v>124078.06</v>
      </c>
      <c r="G26" s="370">
        <f>SUM(G24:G25)</f>
        <v>132554.527</v>
      </c>
      <c r="H26" s="371">
        <f t="shared" si="1"/>
        <v>8476.4670000000042</v>
      </c>
      <c r="I26" s="370">
        <f>SUM(I24:I25)</f>
        <v>113044.784</v>
      </c>
      <c r="J26" s="578">
        <f t="shared" si="2"/>
        <v>19509.743000000002</v>
      </c>
      <c r="K26" s="371">
        <f>SUM(K24:K25)</f>
        <v>630693.67000000004</v>
      </c>
      <c r="L26" s="370">
        <f>SUM(L24:L25)</f>
        <v>686732.10599999991</v>
      </c>
      <c r="M26" s="371">
        <f t="shared" si="3"/>
        <v>56038.435999999871</v>
      </c>
      <c r="N26" s="370">
        <f>SUM(N24:N25)</f>
        <v>602626.53200000001</v>
      </c>
      <c r="O26" s="372">
        <f t="shared" si="4"/>
        <v>84105.573999999906</v>
      </c>
      <c r="P26" s="77"/>
      <c r="Q26" s="77"/>
    </row>
    <row r="27" spans="4:17" ht="25.5" customHeight="1" x14ac:dyDescent="0.3">
      <c r="D27" s="188" t="s">
        <v>7</v>
      </c>
      <c r="E27" s="373"/>
      <c r="F27" s="418">
        <f>+F22-F26</f>
        <v>113547.78328421019</v>
      </c>
      <c r="G27" s="361">
        <f>+G22-G26</f>
        <v>122368.02699999954</v>
      </c>
      <c r="H27" s="196">
        <f t="shared" si="1"/>
        <v>8820.2437157893437</v>
      </c>
      <c r="I27" s="361">
        <f>+I22-I26</f>
        <v>54266.285000000134</v>
      </c>
      <c r="J27" s="419">
        <f t="shared" si="2"/>
        <v>68101.741999999402</v>
      </c>
      <c r="K27" s="196">
        <f>+K22-K26</f>
        <v>481256.82541053172</v>
      </c>
      <c r="L27" s="361">
        <f>+L22-L26</f>
        <v>264952.59500000509</v>
      </c>
      <c r="M27" s="196">
        <f t="shared" si="3"/>
        <v>-216304.23041052662</v>
      </c>
      <c r="N27" s="361">
        <f>+N22-N26</f>
        <v>376869.06500000285</v>
      </c>
      <c r="O27" s="219">
        <f t="shared" si="4"/>
        <v>-111916.46999999776</v>
      </c>
      <c r="P27" s="77"/>
      <c r="Q27" s="77"/>
    </row>
    <row r="28" spans="4:17" ht="25.5" customHeight="1" thickBot="1" x14ac:dyDescent="0.35">
      <c r="D28" s="188"/>
      <c r="E28" s="568" t="s">
        <v>10</v>
      </c>
      <c r="F28" s="583">
        <f>+F27/F14</f>
        <v>1.2228256876116282E-2</v>
      </c>
      <c r="G28" s="584">
        <f>+G27/G14</f>
        <v>1.2518697625219916E-2</v>
      </c>
      <c r="H28" s="585">
        <f t="shared" si="1"/>
        <v>2.9044074910363447E-4</v>
      </c>
      <c r="I28" s="584">
        <f>+I27/I14</f>
        <v>6.0101386858943031E-3</v>
      </c>
      <c r="J28" s="586">
        <f t="shared" si="2"/>
        <v>6.5085589393256132E-3</v>
      </c>
      <c r="K28" s="208">
        <f>+K27/K14</f>
        <v>1.1083131028137926E-2</v>
      </c>
      <c r="L28" s="366">
        <f>+L27/L14</f>
        <v>6.3797275661270081E-3</v>
      </c>
      <c r="M28" s="208">
        <f t="shared" si="3"/>
        <v>-4.7034034620109175E-3</v>
      </c>
      <c r="N28" s="366">
        <f>+N27/N14</f>
        <v>7.4774401713745171E-3</v>
      </c>
      <c r="O28" s="356">
        <f t="shared" si="4"/>
        <v>-1.097712605247509E-3</v>
      </c>
      <c r="P28" s="77"/>
      <c r="Q28" s="77"/>
    </row>
    <row r="29" spans="4:17" ht="25.5" customHeight="1" thickTop="1" x14ac:dyDescent="0.3">
      <c r="D29" s="829" t="s">
        <v>129</v>
      </c>
      <c r="E29" s="830"/>
      <c r="F29" s="165"/>
      <c r="G29" s="165"/>
      <c r="H29" s="165"/>
      <c r="I29" s="165"/>
      <c r="J29" s="165"/>
      <c r="K29" s="165"/>
      <c r="L29" s="165"/>
      <c r="M29" s="165"/>
      <c r="N29" s="75"/>
      <c r="O29" s="189"/>
      <c r="P29" s="77"/>
      <c r="Q29" s="77"/>
    </row>
    <row r="30" spans="4:17" ht="25.5" customHeight="1" x14ac:dyDescent="0.3">
      <c r="D30" s="831"/>
      <c r="E30" s="832"/>
      <c r="F30" s="165"/>
      <c r="G30" s="165"/>
      <c r="H30" s="165"/>
      <c r="I30" s="165"/>
      <c r="J30" s="165"/>
      <c r="K30" s="165"/>
      <c r="L30" s="165"/>
      <c r="M30" s="165"/>
      <c r="N30" s="75"/>
      <c r="O30" s="189"/>
      <c r="P30" s="77"/>
      <c r="Q30" s="77"/>
    </row>
    <row r="31" spans="4:17" ht="25.5" customHeight="1" x14ac:dyDescent="0.3">
      <c r="D31" s="831"/>
      <c r="E31" s="832"/>
      <c r="F31" s="165"/>
      <c r="G31" s="165"/>
      <c r="H31" s="165"/>
      <c r="I31" s="165"/>
      <c r="J31" s="165"/>
      <c r="K31" s="165"/>
      <c r="L31" s="165"/>
      <c r="M31" s="165"/>
      <c r="N31" s="75"/>
      <c r="O31" s="189"/>
      <c r="P31" s="77"/>
      <c r="Q31" s="77"/>
    </row>
    <row r="32" spans="4:17" ht="25.5" customHeight="1" x14ac:dyDescent="0.3">
      <c r="D32" s="831"/>
      <c r="E32" s="832"/>
      <c r="F32" s="165"/>
      <c r="G32" s="165"/>
      <c r="H32" s="165"/>
      <c r="I32" s="165"/>
      <c r="J32" s="165"/>
      <c r="K32" s="165"/>
      <c r="L32" s="165"/>
      <c r="M32" s="165"/>
      <c r="N32" s="75"/>
      <c r="O32" s="189"/>
      <c r="P32" s="77"/>
      <c r="Q32" s="77"/>
    </row>
    <row r="33" spans="4:35" ht="25.5" customHeight="1" x14ac:dyDescent="0.3">
      <c r="D33" s="831"/>
      <c r="E33" s="832"/>
      <c r="F33" s="165"/>
      <c r="G33" s="165"/>
      <c r="H33" s="165"/>
      <c r="I33" s="165"/>
      <c r="J33" s="165"/>
      <c r="K33" s="165"/>
      <c r="L33" s="165"/>
      <c r="M33" s="165"/>
      <c r="N33" s="75"/>
      <c r="O33" s="189"/>
      <c r="P33" s="77"/>
      <c r="Q33" s="77"/>
    </row>
    <row r="34" spans="4:35" ht="25.5" customHeight="1" x14ac:dyDescent="0.3">
      <c r="D34" s="833"/>
      <c r="E34" s="834"/>
      <c r="F34" s="199"/>
      <c r="G34" s="199"/>
      <c r="H34" s="199"/>
      <c r="I34" s="199"/>
      <c r="J34" s="199"/>
      <c r="K34" s="199"/>
      <c r="L34" s="199"/>
      <c r="M34" s="199"/>
      <c r="N34" s="167"/>
      <c r="O34" s="198"/>
      <c r="R34" s="6" t="s">
        <v>164</v>
      </c>
    </row>
    <row r="35" spans="4:35" ht="21.95" customHeight="1" x14ac:dyDescent="0.3"/>
    <row r="36" spans="4:35" ht="21.95" customHeight="1" x14ac:dyDescent="0.3">
      <c r="F36" s="6">
        <f>+IFERROR(HLOOKUP($F$8,[13]손익!$G$5:$AJ$65,17,),)</f>
        <v>113547.78328421019</v>
      </c>
      <c r="G36" s="6">
        <f>+'[7]5월'!$M$41</f>
        <v>122368.02699999954</v>
      </c>
      <c r="I36" s="6">
        <f>+IFERROR(HLOOKUP($F$8,[8]월별!$E$2:$T$53,39,),)</f>
        <v>54266.285000000134</v>
      </c>
      <c r="K36" s="6">
        <f>+F36+[4]건자재!K36</f>
        <v>481256.82541053265</v>
      </c>
      <c r="L36" s="6">
        <f>+G36+[4]건자재!L36</f>
        <v>264952.59500000131</v>
      </c>
      <c r="N36" s="6">
        <f>+I36+[4]건자재!N36</f>
        <v>376869.06500000105</v>
      </c>
      <c r="R36" s="504"/>
      <c r="S36" s="593" t="s">
        <v>180</v>
      </c>
      <c r="T36" s="593" t="s">
        <v>179</v>
      </c>
      <c r="U36" s="593" t="s">
        <v>181</v>
      </c>
      <c r="V36" s="593" t="s">
        <v>173</v>
      </c>
      <c r="W36" s="593" t="s">
        <v>182</v>
      </c>
      <c r="X36" s="593" t="s">
        <v>183</v>
      </c>
      <c r="Y36" s="593" t="s">
        <v>185</v>
      </c>
      <c r="Z36" s="593" t="s">
        <v>189</v>
      </c>
      <c r="AA36" s="593" t="s">
        <v>190</v>
      </c>
      <c r="AB36" s="593" t="s">
        <v>191</v>
      </c>
      <c r="AC36" s="593" t="s">
        <v>192</v>
      </c>
      <c r="AD36" s="593" t="s">
        <v>193</v>
      </c>
      <c r="AE36" s="593" t="s">
        <v>180</v>
      </c>
      <c r="AF36" s="593" t="s">
        <v>204</v>
      </c>
      <c r="AG36" s="593" t="s">
        <v>211</v>
      </c>
      <c r="AH36" s="593" t="s">
        <v>214</v>
      </c>
      <c r="AI36" s="593" t="s">
        <v>217</v>
      </c>
    </row>
    <row r="37" spans="4:35" ht="21.95" customHeight="1" x14ac:dyDescent="0.3">
      <c r="F37" s="6" t="b">
        <f>+F27=F36</f>
        <v>1</v>
      </c>
      <c r="G37" s="6" t="b">
        <f>+G27=G36</f>
        <v>1</v>
      </c>
      <c r="I37" s="6" t="b">
        <f>+I27=I36</f>
        <v>1</v>
      </c>
      <c r="K37" s="6" t="b">
        <f>+K27=K36</f>
        <v>0</v>
      </c>
      <c r="L37" s="6" t="b">
        <f>+L27=L36</f>
        <v>0</v>
      </c>
      <c r="N37" s="6" t="b">
        <f>+N27=N36</f>
        <v>0</v>
      </c>
      <c r="R37" s="200" t="s">
        <v>121</v>
      </c>
      <c r="S37" s="210" t="s">
        <v>180</v>
      </c>
      <c r="T37" s="210" t="s">
        <v>179</v>
      </c>
      <c r="U37" s="210">
        <v>3</v>
      </c>
      <c r="V37" s="210" t="s">
        <v>173</v>
      </c>
      <c r="W37" s="210" t="s">
        <v>182</v>
      </c>
      <c r="X37" s="210" t="s">
        <v>183</v>
      </c>
      <c r="Y37" s="210" t="s">
        <v>185</v>
      </c>
      <c r="Z37" s="210" t="str">
        <f t="shared" ref="Z37:AE37" si="5">+Z36</f>
        <v>8월</v>
      </c>
      <c r="AA37" s="210" t="str">
        <f t="shared" si="5"/>
        <v>9월</v>
      </c>
      <c r="AB37" s="210" t="str">
        <f t="shared" si="5"/>
        <v>10월</v>
      </c>
      <c r="AC37" s="210" t="str">
        <f t="shared" si="5"/>
        <v>11월</v>
      </c>
      <c r="AD37" s="210" t="str">
        <f t="shared" si="5"/>
        <v>12월</v>
      </c>
      <c r="AE37" s="210" t="str">
        <f t="shared" si="5"/>
        <v>1월</v>
      </c>
      <c r="AF37" s="210" t="str">
        <f t="shared" ref="AF37:AG37" si="6">+AF36</f>
        <v>2월</v>
      </c>
      <c r="AG37" s="210" t="str">
        <f t="shared" si="6"/>
        <v>3월</v>
      </c>
      <c r="AH37" s="210" t="str">
        <f t="shared" ref="AH37:AI37" si="7">+AH36</f>
        <v>4월</v>
      </c>
      <c r="AI37" s="210" t="str">
        <f t="shared" si="7"/>
        <v>5월</v>
      </c>
    </row>
    <row r="38" spans="4:35" ht="21.95" customHeight="1" x14ac:dyDescent="0.3">
      <c r="K38" s="594">
        <f>+K27-K36</f>
        <v>-9.3132257461547852E-10</v>
      </c>
      <c r="L38" s="594">
        <f>+L27-L36</f>
        <v>3.7834979593753815E-9</v>
      </c>
      <c r="N38" s="99">
        <f>+N27-N36</f>
        <v>1.8044374883174896E-9</v>
      </c>
      <c r="R38" s="201" t="s">
        <v>127</v>
      </c>
      <c r="S38" s="74">
        <f>+IFERROR(HLOOKUP(S$36,[8]월별!$E$2:$S$67,42,),)</f>
        <v>1098907.8680546847</v>
      </c>
      <c r="T38" s="74">
        <f>+IFERROR(HLOOKUP(T$36,[8]월별!$E$2:$S$67,42,),)</f>
        <v>1027486.9738044508</v>
      </c>
      <c r="U38" s="74">
        <f>+IFERROR(HLOOKUP(U$36,[8]월별!$E$2:$S$67,42,),)</f>
        <v>1030973.3939193247</v>
      </c>
      <c r="V38" s="74">
        <f>+IFERROR(HLOOKUP(V$36,[8]월별!$E$2:$S$67,42,),)</f>
        <v>1048311.1321207784</v>
      </c>
      <c r="W38" s="74">
        <f>+IFERROR(HLOOKUP(W$36,[8]월별!$E$2:$S$67,42,),)</f>
        <v>1064717.6492676102</v>
      </c>
      <c r="X38" s="74">
        <f>+IFERROR(HLOOKUP(X$36,[8]월별!$E$2:$S$67,42,),)</f>
        <v>1043902.0889611768</v>
      </c>
      <c r="Y38" s="74">
        <f>+IFERROR(HLOOKUP(Y$36,[8]월별!$E$2:$S$67,42,),)</f>
        <v>1025254.3120930659</v>
      </c>
      <c r="Z38" s="74">
        <f>+IFERROR(HLOOKUP(Z$36,[8]월별!$E$2:$S$67,42,),)</f>
        <v>957693.63511625899</v>
      </c>
      <c r="AA38" s="74">
        <f>+IFERROR(HLOOKUP(AA$36,[8]월별!$E$2:$S$67,42,),)</f>
        <v>1007624.1816933632</v>
      </c>
      <c r="AB38" s="74">
        <f>+IFERROR(HLOOKUP(AB$36,[8]월별!$E$2:$S$67,42,),)</f>
        <v>964243.14311560732</v>
      </c>
      <c r="AC38" s="74">
        <f>+IFERROR(HLOOKUP(AC$36,[8]월별!$E$2:$S$67,42,),)</f>
        <v>985246.58044154115</v>
      </c>
      <c r="AD38" s="74">
        <f>+IFERROR(HLOOKUP(AD$36,[8]월별!$E$2:$S$67,42,),)</f>
        <v>951341.4287927025</v>
      </c>
      <c r="AE38" s="74">
        <f>+IFERROR(HLOOKUP(AE$36,[7]월별!$E$2:$S$67,42,),)</f>
        <v>920730.85338998202</v>
      </c>
      <c r="AF38" s="74">
        <f>+IFERROR(HLOOKUP(AF$36,[7]월별!$E$2:$S$67,42,),)</f>
        <v>886130.8859870329</v>
      </c>
      <c r="AG38" s="74">
        <f>+IFERROR(HLOOKUP(AG$36,[7]월별!$E$2:$S$67,42,),)</f>
        <v>873530.5235919673</v>
      </c>
      <c r="AH38" s="74">
        <f>+IFERROR(HLOOKUP(AH$36,[7]월별!$E$2:$S$67,42,),)</f>
        <v>853042.90795678552</v>
      </c>
      <c r="AI38" s="74">
        <f>+IFERROR(HLOOKUP(AI$36,[7]월별!$E$2:$S$67,42,),)</f>
        <v>811389.30758305453</v>
      </c>
    </row>
    <row r="39" spans="4:35" ht="21.95" customHeight="1" x14ac:dyDescent="0.3">
      <c r="R39" s="202" t="s">
        <v>128</v>
      </c>
      <c r="S39" s="203">
        <f>+IFERROR(HLOOKUP(S$36,[8]월별!$E$2:$S$67,43,),)</f>
        <v>1.9263299607757241E-2</v>
      </c>
      <c r="T39" s="203">
        <f>+IFERROR(HLOOKUP(T$36,[8]월별!$E$2:$S$67,43,),)</f>
        <v>2.0328430506478493E-2</v>
      </c>
      <c r="U39" s="203">
        <f>+IFERROR(HLOOKUP(U$36,[8]월별!$E$2:$S$67,43,),)</f>
        <v>1.815970186077798E-2</v>
      </c>
      <c r="V39" s="203">
        <f>+IFERROR(HLOOKUP(V$36,[8]월별!$E$2:$S$67,43,),)</f>
        <v>2.0783119934692784E-2</v>
      </c>
      <c r="W39" s="203">
        <f>+IFERROR(HLOOKUP(W$36,[8]월별!$E$2:$S$67,43,),)</f>
        <v>1.8530156032889104E-2</v>
      </c>
      <c r="X39" s="203">
        <f>+IFERROR(HLOOKUP(X$36,[8]월별!$E$2:$S$67,43,),)</f>
        <v>2.338088905753952E-2</v>
      </c>
      <c r="Y39" s="203">
        <f>+IFERROR(HLOOKUP(Y$36,[8]월별!$E$2:$S$67,43,),)</f>
        <v>2.4066421287530761E-2</v>
      </c>
      <c r="Z39" s="203">
        <f>+IFERROR(HLOOKUP(Z$36,[8]월별!$E$2:$S$67,43,),)</f>
        <v>2.751551238666371E-2</v>
      </c>
      <c r="AA39" s="203">
        <f>+IFERROR(HLOOKUP(AA$36,[8]월별!$E$2:$S$67,43,),)</f>
        <v>1.6738202604907604E-2</v>
      </c>
      <c r="AB39" s="203">
        <f>+IFERROR(HLOOKUP(AB$36,[8]월별!$E$2:$S$67,43,),)</f>
        <v>1.8118540365804674E-2</v>
      </c>
      <c r="AC39" s="203">
        <f>+IFERROR(HLOOKUP(AC$36,[8]월별!$E$2:$S$67,43,),)</f>
        <v>1.7419708473984639E-2</v>
      </c>
      <c r="AD39" s="203">
        <f>+IFERROR(HLOOKUP(AD$36,[8]월별!$E$2:$S$67,43,),)</f>
        <v>2.0746012557623313E-2</v>
      </c>
      <c r="AE39" s="203">
        <f>+IFERROR(HLOOKUP(AE$36,[8]월별!$E$2:$S$67,43,),)</f>
        <v>1.9263299607757241E-2</v>
      </c>
      <c r="AF39" s="203">
        <f>+IFERROR(HLOOKUP(AF$36,[8]월별!$E$2:$S$67,43,),)</f>
        <v>2.0328430506478493E-2</v>
      </c>
      <c r="AG39" s="203">
        <f>+IFERROR(HLOOKUP(AG$36,[8]월별!$E$2:$S$67,43,),)</f>
        <v>1.815970186077798E-2</v>
      </c>
      <c r="AH39" s="203">
        <f>+IFERROR(HLOOKUP(AH$36,[8]월별!$E$2:$S$67,43,),)</f>
        <v>2.0783119934692784E-2</v>
      </c>
      <c r="AI39" s="203">
        <f>+IFERROR(HLOOKUP(AI$36,[8]월별!$E$2:$S$67,43,),)</f>
        <v>1.8530156032889104E-2</v>
      </c>
    </row>
    <row r="40" spans="4:35" ht="21.95" customHeight="1" x14ac:dyDescent="0.3"/>
    <row r="41" spans="4:35" ht="21.95" customHeight="1" x14ac:dyDescent="0.3"/>
    <row r="42" spans="4:35" ht="21.95" customHeight="1" x14ac:dyDescent="0.3"/>
    <row r="43" spans="4:35" ht="21.95" customHeight="1" x14ac:dyDescent="0.3"/>
    <row r="44" spans="4:35" ht="21.95" customHeight="1" x14ac:dyDescent="0.3"/>
    <row r="45" spans="4:35" ht="21.95" customHeight="1" x14ac:dyDescent="0.3"/>
    <row r="46" spans="4:35" ht="21.95" customHeight="1" x14ac:dyDescent="0.3"/>
    <row r="47" spans="4:35" ht="21.95" customHeight="1" x14ac:dyDescent="0.3"/>
    <row r="48" spans="4:35" ht="21.95" customHeight="1" x14ac:dyDescent="0.3"/>
    <row r="49" ht="21.95" customHeight="1" x14ac:dyDescent="0.3"/>
    <row r="50" ht="21.95" customHeight="1" x14ac:dyDescent="0.3"/>
    <row r="51" ht="21.95" customHeight="1" x14ac:dyDescent="0.3"/>
    <row r="52" ht="21.95" customHeight="1" x14ac:dyDescent="0.3"/>
    <row r="53" ht="21.95" customHeight="1" x14ac:dyDescent="0.3"/>
    <row r="54" ht="21.95" customHeight="1" x14ac:dyDescent="0.3"/>
    <row r="55" ht="21.95" customHeight="1" x14ac:dyDescent="0.3"/>
  </sheetData>
  <mergeCells count="4">
    <mergeCell ref="D8:E9"/>
    <mergeCell ref="D29:E34"/>
    <mergeCell ref="K8:O8"/>
    <mergeCell ref="F8:J8"/>
  </mergeCells>
  <phoneticPr fontId="1" type="noConversion"/>
  <pageMargins left="0.23622047244094491" right="0.23622047244094491" top="0.39370078740157483" bottom="0.39370078740157483" header="0.31496062992125984" footer="0.31496062992125984"/>
  <pageSetup paperSize="9" scale="71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97A83-1708-4984-987D-736EDAE7F598}">
  <sheetPr>
    <tabColor theme="0" tint="-0.249977111117893"/>
    <pageSetUpPr fitToPage="1"/>
  </sheetPr>
  <dimension ref="A1:AJ53"/>
  <sheetViews>
    <sheetView showGridLines="0" showZeros="0" view="pageBreakPreview" zoomScale="60" zoomScaleNormal="85" workbookViewId="0">
      <pane xSplit="6" ySplit="7" topLeftCell="G8" activePane="bottomRight" state="frozen"/>
      <selection activeCell="C32" sqref="C32"/>
      <selection pane="topRight" activeCell="C32" sqref="C32"/>
      <selection pane="bottomLeft" activeCell="C32" sqref="C32"/>
      <selection pane="bottomRight" activeCell="C32" sqref="C32"/>
    </sheetView>
  </sheetViews>
  <sheetFormatPr defaultRowHeight="16.5" x14ac:dyDescent="0.3"/>
  <cols>
    <col min="1" max="3" width="5.625" style="6" customWidth="1"/>
    <col min="4" max="4" width="3.125" style="6" customWidth="1"/>
    <col min="5" max="6" width="8.625" style="6" customWidth="1"/>
    <col min="7" max="33" width="10.625" style="6" customWidth="1"/>
    <col min="34" max="34" width="9" style="6"/>
    <col min="35" max="36" width="14.25" style="6" customWidth="1"/>
    <col min="37" max="16384" width="9" style="6"/>
  </cols>
  <sheetData>
    <row r="1" spans="1:36" ht="22.5" customHeight="1" x14ac:dyDescent="0.3">
      <c r="A1" s="423" t="s">
        <v>217</v>
      </c>
    </row>
    <row r="2" spans="1:36" ht="9.75" customHeight="1" x14ac:dyDescent="0.3"/>
    <row r="3" spans="1:36" ht="9.9499999999999993" customHeight="1" x14ac:dyDescent="0.3"/>
    <row r="4" spans="1:36" ht="31.5" x14ac:dyDescent="0.3">
      <c r="D4" s="184" t="s">
        <v>226</v>
      </c>
      <c r="F4" s="184"/>
      <c r="I4" s="184"/>
    </row>
    <row r="5" spans="1:36" ht="21.95" customHeight="1" thickBot="1" x14ac:dyDescent="0.35">
      <c r="J5" s="76"/>
      <c r="AB5" s="76"/>
      <c r="AE5" s="76"/>
      <c r="AG5" s="186" t="s">
        <v>167</v>
      </c>
    </row>
    <row r="6" spans="1:36" ht="24" customHeight="1" thickTop="1" x14ac:dyDescent="0.3">
      <c r="D6" s="296" t="s">
        <v>15</v>
      </c>
      <c r="E6" s="838" t="s">
        <v>11</v>
      </c>
      <c r="F6" s="839"/>
      <c r="G6" s="294" t="s">
        <v>140</v>
      </c>
      <c r="H6" s="293"/>
      <c r="I6" s="293"/>
      <c r="J6" s="293" t="s">
        <v>139</v>
      </c>
      <c r="K6" s="293"/>
      <c r="L6" s="295"/>
      <c r="M6" s="293" t="s">
        <v>228</v>
      </c>
      <c r="N6" s="293"/>
      <c r="O6" s="295"/>
      <c r="P6" s="389" t="s">
        <v>138</v>
      </c>
      <c r="Q6" s="390"/>
      <c r="R6" s="391"/>
      <c r="S6" s="294" t="s">
        <v>186</v>
      </c>
      <c r="T6" s="293"/>
      <c r="U6" s="293"/>
      <c r="V6" s="293" t="s">
        <v>187</v>
      </c>
      <c r="W6" s="293"/>
      <c r="X6" s="295"/>
      <c r="Y6" s="389" t="s">
        <v>188</v>
      </c>
      <c r="Z6" s="390"/>
      <c r="AA6" s="391"/>
      <c r="AB6" s="388" t="s">
        <v>137</v>
      </c>
      <c r="AC6" s="293"/>
      <c r="AD6" s="295"/>
      <c r="AE6" s="389" t="s">
        <v>136</v>
      </c>
      <c r="AF6" s="390"/>
      <c r="AG6" s="391"/>
    </row>
    <row r="7" spans="1:36" ht="24" customHeight="1" x14ac:dyDescent="0.3">
      <c r="D7" s="292"/>
      <c r="E7" s="840"/>
      <c r="F7" s="841"/>
      <c r="G7" s="288" t="s">
        <v>12</v>
      </c>
      <c r="H7" s="374" t="s">
        <v>13</v>
      </c>
      <c r="I7" s="291" t="s">
        <v>36</v>
      </c>
      <c r="J7" s="290" t="s">
        <v>15</v>
      </c>
      <c r="K7" s="374" t="s">
        <v>16</v>
      </c>
      <c r="L7" s="289" t="s">
        <v>36</v>
      </c>
      <c r="M7" s="290" t="s">
        <v>15</v>
      </c>
      <c r="N7" s="374" t="s">
        <v>16</v>
      </c>
      <c r="O7" s="289" t="s">
        <v>36</v>
      </c>
      <c r="P7" s="392" t="s">
        <v>15</v>
      </c>
      <c r="Q7" s="374" t="s">
        <v>16</v>
      </c>
      <c r="R7" s="393" t="s">
        <v>36</v>
      </c>
      <c r="S7" s="288" t="s">
        <v>12</v>
      </c>
      <c r="T7" s="374" t="s">
        <v>13</v>
      </c>
      <c r="U7" s="291" t="s">
        <v>36</v>
      </c>
      <c r="V7" s="290" t="s">
        <v>15</v>
      </c>
      <c r="W7" s="374" t="s">
        <v>16</v>
      </c>
      <c r="X7" s="289" t="s">
        <v>36</v>
      </c>
      <c r="Y7" s="392" t="s">
        <v>15</v>
      </c>
      <c r="Z7" s="374" t="s">
        <v>16</v>
      </c>
      <c r="AA7" s="393" t="s">
        <v>36</v>
      </c>
      <c r="AB7" s="289" t="s">
        <v>15</v>
      </c>
      <c r="AC7" s="374" t="s">
        <v>16</v>
      </c>
      <c r="AD7" s="289" t="s">
        <v>36</v>
      </c>
      <c r="AE7" s="392" t="s">
        <v>15</v>
      </c>
      <c r="AF7" s="374" t="s">
        <v>16</v>
      </c>
      <c r="AG7" s="393" t="s">
        <v>36</v>
      </c>
    </row>
    <row r="8" spans="1:36" ht="24" customHeight="1" x14ac:dyDescent="0.3">
      <c r="D8" s="77"/>
      <c r="E8" s="265" t="s">
        <v>110</v>
      </c>
      <c r="F8" s="264" t="s">
        <v>132</v>
      </c>
      <c r="G8" s="260">
        <f>+IFERROR(HLOOKUP($A$1,[14]손익요약!$G$5:$AL$106,3,),)</f>
        <v>16581.599999999999</v>
      </c>
      <c r="H8" s="375">
        <f>+'[9]서부산크라샤(당월)'!$F$66</f>
        <v>15998</v>
      </c>
      <c r="I8" s="263">
        <f>H8-G8</f>
        <v>-583.59999999999854</v>
      </c>
      <c r="J8" s="262">
        <f>+IFERROR(HLOOKUP($A$1,[14]손익요약!$G$5:$AL$106,6,),)</f>
        <v>2344.4292266666662</v>
      </c>
      <c r="K8" s="375">
        <f>+'[9]서부산크라샤(당월)'!$I$66</f>
        <v>112</v>
      </c>
      <c r="L8" s="261">
        <f>K8-J8</f>
        <v>-2232.4292266666662</v>
      </c>
      <c r="M8" s="262">
        <f>+IFERROR(HLOOKUP($A$1,[14]손익요약!$G$5:$AL$106,9,),)</f>
        <v>0</v>
      </c>
      <c r="N8" s="375"/>
      <c r="O8" s="261">
        <f>N8-M8</f>
        <v>0</v>
      </c>
      <c r="P8" s="394">
        <f>+G8+J8+M8</f>
        <v>18926.029226666666</v>
      </c>
      <c r="Q8" s="375">
        <f>+H8+K8+N8</f>
        <v>16110</v>
      </c>
      <c r="R8" s="395">
        <f>Q8-P8</f>
        <v>-2816.0292266666656</v>
      </c>
      <c r="S8" s="260">
        <f>+IFERROR(HLOOKUP($A$1,[15]손익요약!$G$5:$AL$106,3,),)</f>
        <v>10809.035882592707</v>
      </c>
      <c r="T8" s="375">
        <f>+'[9]부산크라샤(당월)'!$F$66</f>
        <v>14800</v>
      </c>
      <c r="U8" s="263">
        <f>T8-S8</f>
        <v>3990.9641174072931</v>
      </c>
      <c r="V8" s="262">
        <f>+IFERROR(HLOOKUP($A$1,[15]손익요약!$G$5:$AL$106,6,),)</f>
        <v>10001.05548943125</v>
      </c>
      <c r="W8" s="375">
        <f>+'[9]부산크라샤(당월)'!$I$66</f>
        <v>14028</v>
      </c>
      <c r="X8" s="261">
        <f>W8-V8</f>
        <v>4026.94451056875</v>
      </c>
      <c r="Y8" s="394">
        <f>+S8+V8</f>
        <v>20810.091372023955</v>
      </c>
      <c r="Z8" s="375">
        <f>+T8+W8</f>
        <v>28828</v>
      </c>
      <c r="AA8" s="395">
        <f>Z8-Y8</f>
        <v>8017.908627976045</v>
      </c>
      <c r="AB8" s="261">
        <f>+IFERROR(HLOOKUP($A$1,[16]손익계획!$G$5:$AX$449,3,),)</f>
        <v>18519.294299382029</v>
      </c>
      <c r="AC8" s="375">
        <f>+'[9]부산모래장(당월)'!$R$48</f>
        <v>15938</v>
      </c>
      <c r="AD8" s="261">
        <f>AC8-AB8</f>
        <v>-2581.2942993820288</v>
      </c>
      <c r="AE8" s="394">
        <f>+P8+Y8+AB8</f>
        <v>58255.414898072646</v>
      </c>
      <c r="AF8" s="375">
        <f>+Q8+Z8+AC8</f>
        <v>60876</v>
      </c>
      <c r="AG8" s="395">
        <f>AF8-AE8</f>
        <v>2620.5851019273541</v>
      </c>
    </row>
    <row r="9" spans="1:36" ht="24" customHeight="1" x14ac:dyDescent="0.3">
      <c r="D9" s="77"/>
      <c r="E9" s="282"/>
      <c r="F9" s="287" t="s">
        <v>10</v>
      </c>
      <c r="G9" s="283">
        <f>+G8/G$12</f>
        <v>0.83401738290680827</v>
      </c>
      <c r="H9" s="376">
        <f>+H8/H$12</f>
        <v>0.69345470307758994</v>
      </c>
      <c r="I9" s="286">
        <f>+H9-G9</f>
        <v>-0.14056267982921833</v>
      </c>
      <c r="J9" s="285">
        <f>+J8/J$12</f>
        <v>0.25089057552881355</v>
      </c>
      <c r="K9" s="376">
        <f>+K8/K$12</f>
        <v>3.1963470319634701E-2</v>
      </c>
      <c r="L9" s="284">
        <f>+K9-J9</f>
        <v>-0.21892710520917885</v>
      </c>
      <c r="M9" s="285">
        <f>+M8/M$12</f>
        <v>0</v>
      </c>
      <c r="N9" s="376"/>
      <c r="O9" s="284">
        <f>+N9-M9</f>
        <v>0</v>
      </c>
      <c r="P9" s="396">
        <f>+P8/P$12</f>
        <v>0.36946118042689063</v>
      </c>
      <c r="Q9" s="376">
        <f>+Q8/Q$12</f>
        <v>0.60623165500112897</v>
      </c>
      <c r="R9" s="397">
        <f>+Q9-P9</f>
        <v>0.23677047457423833</v>
      </c>
      <c r="S9" s="283">
        <f>+S8/S$12</f>
        <v>0.64304912893823085</v>
      </c>
      <c r="T9" s="376">
        <f>+T8/T$12</f>
        <v>0.64147018030513181</v>
      </c>
      <c r="U9" s="286">
        <f>+T9-S9</f>
        <v>-1.5789486330990421E-3</v>
      </c>
      <c r="V9" s="285">
        <f>+V8/V$12</f>
        <v>0.40002533067689949</v>
      </c>
      <c r="W9" s="376">
        <f>+W8/W$12</f>
        <v>0.59050345175955543</v>
      </c>
      <c r="X9" s="284">
        <f>+W9-V9</f>
        <v>0.19047812108265594</v>
      </c>
      <c r="Y9" s="396">
        <f>+Y8/Y$12</f>
        <v>0.49772891398052388</v>
      </c>
      <c r="Z9" s="376">
        <f>+Z8/Z$12</f>
        <v>0.6156145895618006</v>
      </c>
      <c r="AA9" s="397">
        <f>+Z9-Y9</f>
        <v>0.11788567558127672</v>
      </c>
      <c r="AB9" s="284">
        <f>+AB8/AB$12</f>
        <v>0.6609479204403258</v>
      </c>
      <c r="AC9" s="376">
        <f>+AC8/AC$12</f>
        <v>0.61505807895650833</v>
      </c>
      <c r="AD9" s="284">
        <f>+AC9-AB9</f>
        <v>-4.5889841483817473E-2</v>
      </c>
      <c r="AE9" s="396">
        <f>+AE8/AE$12</f>
        <v>0.48122931920990958</v>
      </c>
      <c r="AF9" s="376">
        <f>+AF8/AF$12</f>
        <v>0.61295876755777068</v>
      </c>
      <c r="AG9" s="397">
        <f>+AF9-AE9</f>
        <v>0.1317294483478611</v>
      </c>
    </row>
    <row r="10" spans="1:36" ht="24" customHeight="1" x14ac:dyDescent="0.3">
      <c r="D10" s="258"/>
      <c r="E10" s="282"/>
      <c r="F10" s="281" t="s">
        <v>135</v>
      </c>
      <c r="G10" s="277">
        <f>+IFERROR(HLOOKUP($A$1,[14]손익요약!$G$5:$AL$106,2,),)</f>
        <v>3300</v>
      </c>
      <c r="H10" s="377">
        <f>+'[9]서부산크라샤(당월)'!$F$59</f>
        <v>7072</v>
      </c>
      <c r="I10" s="280">
        <f>H10-G10</f>
        <v>3772</v>
      </c>
      <c r="J10" s="279">
        <f>+IFERROR(HLOOKUP($A$1,[14]손익요약!$G$5:$AL$106,5,),)</f>
        <v>7000</v>
      </c>
      <c r="K10" s="377">
        <f>+'[9]서부산크라샤(당월)'!$I$59</f>
        <v>3392</v>
      </c>
      <c r="L10" s="278">
        <f>K10-J10</f>
        <v>-3608</v>
      </c>
      <c r="M10" s="279">
        <f>+IFERROR(HLOOKUP($A$1,[14]손익요약!$G$5:$AL$106,8,),)</f>
        <v>22000</v>
      </c>
      <c r="N10" s="377"/>
      <c r="O10" s="278">
        <f>N10-M10</f>
        <v>-22000</v>
      </c>
      <c r="P10" s="398">
        <f>+G10+J10+M10</f>
        <v>32300</v>
      </c>
      <c r="Q10" s="377">
        <f>+H10+K10+N10</f>
        <v>10464</v>
      </c>
      <c r="R10" s="399">
        <f>Q10-P10</f>
        <v>-21836</v>
      </c>
      <c r="S10" s="277">
        <f>+IFERROR(HLOOKUP($A$1,[15]손익요약!$G$5:$AL$106,2,),)</f>
        <v>6000</v>
      </c>
      <c r="T10" s="377">
        <f>+'[9]부산크라샤(당월)'!$F$59</f>
        <v>8272</v>
      </c>
      <c r="U10" s="280">
        <f>T10-S10</f>
        <v>2272</v>
      </c>
      <c r="V10" s="279">
        <f>+IFERROR(HLOOKUP($A$1,[15]손익요약!$G$5:$AL$106,5,),)</f>
        <v>15000</v>
      </c>
      <c r="W10" s="377">
        <f>+'[9]부산크라샤(당월)'!$I$59</f>
        <v>9728</v>
      </c>
      <c r="X10" s="278">
        <f>W10-V10</f>
        <v>-5272</v>
      </c>
      <c r="Y10" s="398">
        <f>+S10+V10</f>
        <v>21000</v>
      </c>
      <c r="Z10" s="377">
        <f>+T10+W10</f>
        <v>18000</v>
      </c>
      <c r="AA10" s="399">
        <f>Z10-Y10</f>
        <v>-3000</v>
      </c>
      <c r="AB10" s="278">
        <f>+IFERROR(HLOOKUP($A$1,[16]손익계획!$G$5:$AX$449,2,),)</f>
        <v>9500</v>
      </c>
      <c r="AC10" s="377">
        <f>+'[9]부산모래장(당월)'!$R$47</f>
        <v>9975</v>
      </c>
      <c r="AD10" s="278">
        <f>AC10-AB10</f>
        <v>475</v>
      </c>
      <c r="AE10" s="398">
        <f>+P10+Y10+AB10</f>
        <v>62800</v>
      </c>
      <c r="AF10" s="377">
        <f>+Q10+Z10+AC10</f>
        <v>38439</v>
      </c>
      <c r="AG10" s="399">
        <f>AF10-AE10</f>
        <v>-24361</v>
      </c>
    </row>
    <row r="11" spans="1:36" ht="24" customHeight="1" x14ac:dyDescent="0.3">
      <c r="D11" s="258"/>
      <c r="E11" s="259"/>
      <c r="F11" s="276" t="s">
        <v>10</v>
      </c>
      <c r="G11" s="272">
        <f>+G10/G$12</f>
        <v>0.1659826170931917</v>
      </c>
      <c r="H11" s="378">
        <f>+H10/H$12</f>
        <v>0.30654529692241006</v>
      </c>
      <c r="I11" s="275">
        <f>+H11-G11</f>
        <v>0.14056267982921836</v>
      </c>
      <c r="J11" s="274">
        <f>+J10/J$12</f>
        <v>0.74910942447118634</v>
      </c>
      <c r="K11" s="378">
        <f>+K10/K$12</f>
        <v>0.96803652968036524</v>
      </c>
      <c r="L11" s="273">
        <f>+K11-J11</f>
        <v>0.21892710520917891</v>
      </c>
      <c r="M11" s="274">
        <f>+M10/M$12</f>
        <v>1</v>
      </c>
      <c r="N11" s="378"/>
      <c r="O11" s="273">
        <f>+N11-M11</f>
        <v>-1</v>
      </c>
      <c r="P11" s="400">
        <f>+P10/P$12</f>
        <v>0.63053881957310942</v>
      </c>
      <c r="Q11" s="378">
        <f>+Q10/Q$12</f>
        <v>0.39376834499887109</v>
      </c>
      <c r="R11" s="401">
        <f>+Q11-P11</f>
        <v>-0.23677047457423833</v>
      </c>
      <c r="S11" s="272">
        <f>+S10/S$12</f>
        <v>0.35695087106176915</v>
      </c>
      <c r="T11" s="378">
        <f>+T10/T$12</f>
        <v>0.35852981969486825</v>
      </c>
      <c r="U11" s="275">
        <f>+T11-S11</f>
        <v>1.5789486330990976E-3</v>
      </c>
      <c r="V11" s="274">
        <f>+V10/V$12</f>
        <v>0.5999746693231004</v>
      </c>
      <c r="W11" s="378">
        <f>+W10/W$12</f>
        <v>0.40949654824044451</v>
      </c>
      <c r="X11" s="273">
        <f>+W11-V11</f>
        <v>-0.19047812108265588</v>
      </c>
      <c r="Y11" s="400">
        <f>+Y10/Y$12</f>
        <v>0.50227108601947612</v>
      </c>
      <c r="Z11" s="378">
        <f>+Z10/Z$12</f>
        <v>0.38438541043819935</v>
      </c>
      <c r="AA11" s="401">
        <f>+Z11-Y11</f>
        <v>-0.11788567558127677</v>
      </c>
      <c r="AB11" s="273">
        <f>+AB10/AB$12</f>
        <v>0.33905207955967415</v>
      </c>
      <c r="AC11" s="378">
        <f>+AC10/AC$12</f>
        <v>0.38494192104349167</v>
      </c>
      <c r="AD11" s="273">
        <f>+AC11-AB11</f>
        <v>4.5889841483817528E-2</v>
      </c>
      <c r="AE11" s="400">
        <f>+AE10/AE$12</f>
        <v>0.51877068079009037</v>
      </c>
      <c r="AF11" s="378">
        <f>+AF10/AF$12</f>
        <v>0.38704123244222927</v>
      </c>
      <c r="AG11" s="401">
        <f>+AF11-AE11</f>
        <v>-0.1317294483478611</v>
      </c>
    </row>
    <row r="12" spans="1:36" ht="24" customHeight="1" x14ac:dyDescent="0.3">
      <c r="D12" s="258"/>
      <c r="E12" s="271"/>
      <c r="F12" s="270" t="s">
        <v>43</v>
      </c>
      <c r="G12" s="266">
        <f>G8+G10</f>
        <v>19881.599999999999</v>
      </c>
      <c r="H12" s="379">
        <f>H8+H10</f>
        <v>23070</v>
      </c>
      <c r="I12" s="269">
        <f t="shared" ref="I12:I32" si="0">H12-G12</f>
        <v>3188.4000000000015</v>
      </c>
      <c r="J12" s="268">
        <f>J8+J10</f>
        <v>9344.4292266666671</v>
      </c>
      <c r="K12" s="379">
        <f>K8+K10</f>
        <v>3504</v>
      </c>
      <c r="L12" s="267">
        <f t="shared" ref="L12:L32" si="1">K12-J12</f>
        <v>-5840.4292266666671</v>
      </c>
      <c r="M12" s="268">
        <f>M8+M10</f>
        <v>22000</v>
      </c>
      <c r="N12" s="379"/>
      <c r="O12" s="267">
        <f t="shared" ref="O12:O32" si="2">N12-M12</f>
        <v>-22000</v>
      </c>
      <c r="P12" s="402">
        <f>P8+P10</f>
        <v>51226.029226666666</v>
      </c>
      <c r="Q12" s="379">
        <f>Q8+Q10</f>
        <v>26574</v>
      </c>
      <c r="R12" s="403">
        <f t="shared" ref="R12:R32" si="3">Q12-P12</f>
        <v>-24652.029226666666</v>
      </c>
      <c r="S12" s="266">
        <f>S8+S10</f>
        <v>16809.035882592707</v>
      </c>
      <c r="T12" s="379">
        <f>T8+T10</f>
        <v>23072</v>
      </c>
      <c r="U12" s="269">
        <f t="shared" ref="U12:U32" si="4">T12-S12</f>
        <v>6262.9641174072931</v>
      </c>
      <c r="V12" s="268">
        <f>V8+V10</f>
        <v>25001.055489431252</v>
      </c>
      <c r="W12" s="379">
        <f>W8+W10</f>
        <v>23756</v>
      </c>
      <c r="X12" s="267">
        <f t="shared" ref="X12:X32" si="5">W12-V12</f>
        <v>-1245.0554894312518</v>
      </c>
      <c r="Y12" s="402">
        <f>Y8+Y10</f>
        <v>41810.091372023955</v>
      </c>
      <c r="Z12" s="379">
        <f>Z8+Z10</f>
        <v>46828</v>
      </c>
      <c r="AA12" s="403">
        <f t="shared" ref="AA12:AA32" si="6">Z12-Y12</f>
        <v>5017.908627976045</v>
      </c>
      <c r="AB12" s="267">
        <f>AB8+AB10</f>
        <v>28019.294299382029</v>
      </c>
      <c r="AC12" s="379">
        <f>AC8+AC10</f>
        <v>25913</v>
      </c>
      <c r="AD12" s="267">
        <f t="shared" ref="AD12:AD32" si="7">AC12-AB12</f>
        <v>-2106.2942993820288</v>
      </c>
      <c r="AE12" s="402">
        <f>AE8+AE10</f>
        <v>121055.41489807265</v>
      </c>
      <c r="AF12" s="379">
        <f>AF8+AF10</f>
        <v>99315</v>
      </c>
      <c r="AG12" s="403">
        <f t="shared" ref="AG12:AG32" si="8">AF12-AE12</f>
        <v>-21740.414898072646</v>
      </c>
      <c r="AI12" s="6">
        <f>+'사업장별(당월)'!J32*1000</f>
        <v>121055.41489807266</v>
      </c>
      <c r="AJ12" s="6">
        <f>+'사업장별(당월)'!K32*1000</f>
        <v>99315</v>
      </c>
    </row>
    <row r="13" spans="1:36" ht="24" customHeight="1" x14ac:dyDescent="0.3">
      <c r="D13" s="258"/>
      <c r="E13" s="265" t="s">
        <v>77</v>
      </c>
      <c r="F13" s="264" t="s">
        <v>132</v>
      </c>
      <c r="G13" s="260">
        <f>+IFERROR(HLOOKUP($A$1,[14]손익요약!$G$5:$AL$106,15,),)</f>
        <v>251304</v>
      </c>
      <c r="H13" s="375">
        <f>+'[9]서부산크라샤(당월)'!$F$72</f>
        <v>256966</v>
      </c>
      <c r="I13" s="263">
        <f t="shared" si="0"/>
        <v>5662</v>
      </c>
      <c r="J13" s="262">
        <f>+IFERROR(HLOOKUP($A$1,[14]손익요약!$G$5:$AL$106,18,),)</f>
        <v>43671.905066666659</v>
      </c>
      <c r="K13" s="375">
        <f>+'[9]서부산크라샤(당월)'!$I$72</f>
        <v>1008</v>
      </c>
      <c r="L13" s="261">
        <f t="shared" si="1"/>
        <v>-42663.905066666659</v>
      </c>
      <c r="M13" s="262">
        <f>+IFERROR(HLOOKUP($A$1,[14]손익요약!$G$5:$AL$106,21,),)</f>
        <v>0</v>
      </c>
      <c r="N13" s="375"/>
      <c r="O13" s="261">
        <f t="shared" si="2"/>
        <v>0</v>
      </c>
      <c r="P13" s="394">
        <f>+G13+J13+M13</f>
        <v>294975.90506666666</v>
      </c>
      <c r="Q13" s="375">
        <f>+H13+K13+N13</f>
        <v>257974</v>
      </c>
      <c r="R13" s="395">
        <f t="shared" si="3"/>
        <v>-37001.905066666659</v>
      </c>
      <c r="S13" s="260">
        <f>+IFERROR(HLOOKUP($A$1,[15]손익요약!$G$5:$AL$106,12,),)</f>
        <v>172944.57412148331</v>
      </c>
      <c r="T13" s="375">
        <f>+'[9]부산크라샤(당월)'!$F$72</f>
        <v>259000</v>
      </c>
      <c r="U13" s="263">
        <f t="shared" si="4"/>
        <v>86055.425878516689</v>
      </c>
      <c r="V13" s="262">
        <f>+IFERROR(HLOOKUP($A$1,[15]손익요약!$G$5:$AL$106,15,),)</f>
        <v>220533.43754724131</v>
      </c>
      <c r="W13" s="375">
        <f>+'[9]부산크라샤(당월)'!$I$72</f>
        <v>315490</v>
      </c>
      <c r="X13" s="261">
        <f t="shared" si="5"/>
        <v>94956.562452758692</v>
      </c>
      <c r="Y13" s="394">
        <f>+S13+V13</f>
        <v>393478.01166872459</v>
      </c>
      <c r="Z13" s="375">
        <f>+T13+W13</f>
        <v>574490</v>
      </c>
      <c r="AA13" s="395">
        <f t="shared" si="6"/>
        <v>181011.98833127541</v>
      </c>
      <c r="AB13" s="261">
        <f>+IFERROR(HLOOKUP($A$1,[16]손익계획!$G$5:$AX$449,6,),)</f>
        <v>524932.27333394904</v>
      </c>
      <c r="AC13" s="375">
        <f>+'[9]부산모래장(당월)'!$R$54</f>
        <v>466472</v>
      </c>
      <c r="AD13" s="261">
        <f t="shared" si="7"/>
        <v>-58460.273333949037</v>
      </c>
      <c r="AE13" s="394">
        <f>+P13+Y13+AB13</f>
        <v>1213386.1900693402</v>
      </c>
      <c r="AF13" s="375">
        <f>+Q13+Z13+AC13</f>
        <v>1298936</v>
      </c>
      <c r="AG13" s="395">
        <f t="shared" si="8"/>
        <v>85549.809930659831</v>
      </c>
      <c r="AI13" s="6" t="b">
        <f>+AI12=AE12</f>
        <v>1</v>
      </c>
      <c r="AJ13" s="6" t="b">
        <f>+AJ12=AF12</f>
        <v>1</v>
      </c>
    </row>
    <row r="14" spans="1:36" ht="24" customHeight="1" x14ac:dyDescent="0.3">
      <c r="D14" s="258"/>
      <c r="E14" s="259"/>
      <c r="F14" s="257" t="s">
        <v>131</v>
      </c>
      <c r="G14" s="253">
        <f>+G13/G8*1000</f>
        <v>15155.59415255464</v>
      </c>
      <c r="H14" s="380">
        <f>+H13/H8*1000</f>
        <v>16062.382797849732</v>
      </c>
      <c r="I14" s="256">
        <f t="shared" si="0"/>
        <v>906.78864529509156</v>
      </c>
      <c r="J14" s="255">
        <f>+J13/J8*1000</f>
        <v>18627.947719607568</v>
      </c>
      <c r="K14" s="380">
        <f>+K13/K8*1000</f>
        <v>9000</v>
      </c>
      <c r="L14" s="254">
        <f t="shared" si="1"/>
        <v>-9627.9477196075677</v>
      </c>
      <c r="M14" s="255" t="e">
        <f>+M13/M8*1000</f>
        <v>#DIV/0!</v>
      </c>
      <c r="N14" s="380"/>
      <c r="O14" s="254" t="e">
        <f t="shared" si="2"/>
        <v>#DIV/0!</v>
      </c>
      <c r="P14" s="404">
        <f>+P13/P8*1000</f>
        <v>15585.725961526432</v>
      </c>
      <c r="Q14" s="380">
        <f>+Q13/Q8*1000</f>
        <v>16013.283674736191</v>
      </c>
      <c r="R14" s="405">
        <f t="shared" si="3"/>
        <v>427.55771320975873</v>
      </c>
      <c r="S14" s="253">
        <f>+S13/S8*1000</f>
        <v>16000</v>
      </c>
      <c r="T14" s="380">
        <f>+T13/T8*1000</f>
        <v>17500</v>
      </c>
      <c r="U14" s="256">
        <f t="shared" si="4"/>
        <v>1500</v>
      </c>
      <c r="V14" s="255">
        <f>+V13/V8*1000</f>
        <v>22051.016293259545</v>
      </c>
      <c r="W14" s="380">
        <f>+W13/W8*1000</f>
        <v>22490.019960079841</v>
      </c>
      <c r="X14" s="254">
        <f t="shared" si="5"/>
        <v>439.00366682029562</v>
      </c>
      <c r="Y14" s="404">
        <f>+Y13/Y8*1000</f>
        <v>18908.038635414006</v>
      </c>
      <c r="Z14" s="380">
        <f>+Z13/Z8*1000</f>
        <v>19928.194810600802</v>
      </c>
      <c r="AA14" s="405">
        <f t="shared" si="6"/>
        <v>1020.1561751867957</v>
      </c>
      <c r="AB14" s="254">
        <f>+AB13/AB8*1000</f>
        <v>28345.155320063441</v>
      </c>
      <c r="AC14" s="380">
        <f>+AC13/AC8*1000</f>
        <v>29267.913163508594</v>
      </c>
      <c r="AD14" s="254">
        <f t="shared" si="7"/>
        <v>922.75784344515341</v>
      </c>
      <c r="AE14" s="404">
        <f>+AE13/AE8*1000</f>
        <v>20828.727976486945</v>
      </c>
      <c r="AF14" s="380">
        <f>+AF13/AF8*1000</f>
        <v>21337.407188382942</v>
      </c>
      <c r="AG14" s="405">
        <f t="shared" si="8"/>
        <v>508.67921189599656</v>
      </c>
    </row>
    <row r="15" spans="1:36" ht="24" customHeight="1" x14ac:dyDescent="0.3">
      <c r="D15" s="258"/>
      <c r="E15" s="663"/>
      <c r="F15" s="224" t="s">
        <v>135</v>
      </c>
      <c r="G15" s="248">
        <f>+IFERROR(HLOOKUP($A$1,[14]손익요약!$G$5:$AL$106,14,),)</f>
        <v>37950</v>
      </c>
      <c r="H15" s="381">
        <f>+'[9]서부산크라샤(당월)'!$F$71</f>
        <v>81328</v>
      </c>
      <c r="I15" s="251">
        <f t="shared" si="0"/>
        <v>43378</v>
      </c>
      <c r="J15" s="250">
        <f>+IFERROR(HLOOKUP($A$1,[14]손익요약!$G$5:$AL$106,17,),)</f>
        <v>105000</v>
      </c>
      <c r="K15" s="381">
        <f>+'[9]서부산크라샤(당월)'!$I$71</f>
        <v>30528</v>
      </c>
      <c r="L15" s="249">
        <f t="shared" si="1"/>
        <v>-74472</v>
      </c>
      <c r="M15" s="250">
        <f>+IFERROR(HLOOKUP($A$1,[14]손익요약!$G$5:$AL$106,20,),)</f>
        <v>198000</v>
      </c>
      <c r="N15" s="381"/>
      <c r="O15" s="249">
        <f t="shared" si="2"/>
        <v>-198000</v>
      </c>
      <c r="P15" s="406">
        <f>+G15+J15+M15</f>
        <v>340950</v>
      </c>
      <c r="Q15" s="381">
        <f>+H15+K15+N15</f>
        <v>111856</v>
      </c>
      <c r="R15" s="407">
        <f t="shared" si="3"/>
        <v>-229094</v>
      </c>
      <c r="S15" s="248">
        <f>+IFERROR(HLOOKUP($A$1,[15]손익요약!$G$5:$AL$106,11,),)</f>
        <v>72000</v>
      </c>
      <c r="T15" s="381">
        <f>+'[9]부산크라샤(당월)'!$F$71</f>
        <v>107536</v>
      </c>
      <c r="U15" s="251">
        <f t="shared" si="4"/>
        <v>35536</v>
      </c>
      <c r="V15" s="250">
        <f>+IFERROR(HLOOKUP($A$1,[15]손익요약!$G$5:$AL$106,14,),)</f>
        <v>285000</v>
      </c>
      <c r="W15" s="381">
        <f>+'[9]부산크라샤(당월)'!$I$71</f>
        <v>175360</v>
      </c>
      <c r="X15" s="249">
        <f t="shared" si="5"/>
        <v>-109640</v>
      </c>
      <c r="Y15" s="406">
        <f>+S15+V15</f>
        <v>357000</v>
      </c>
      <c r="Z15" s="381">
        <f>+T15+W15</f>
        <v>282896</v>
      </c>
      <c r="AA15" s="407">
        <f t="shared" si="6"/>
        <v>-74104</v>
      </c>
      <c r="AB15" s="249">
        <f>+IFERROR(HLOOKUP($A$1,[16]손익계획!$G$5:$AX$449,5,),)</f>
        <v>270750</v>
      </c>
      <c r="AC15" s="381">
        <f>+'[9]부산모래장(당월)'!$R$53</f>
        <v>282090</v>
      </c>
      <c r="AD15" s="249">
        <f t="shared" si="7"/>
        <v>11340</v>
      </c>
      <c r="AE15" s="406">
        <f>+P15+Y15+AB15</f>
        <v>968700</v>
      </c>
      <c r="AF15" s="381">
        <f>+Q15+Z15+AC15</f>
        <v>676842</v>
      </c>
      <c r="AG15" s="407">
        <f t="shared" si="8"/>
        <v>-291858</v>
      </c>
    </row>
    <row r="16" spans="1:36" ht="24" customHeight="1" x14ac:dyDescent="0.3">
      <c r="D16" s="76"/>
      <c r="E16" s="663"/>
      <c r="F16" s="257" t="s">
        <v>131</v>
      </c>
      <c r="G16" s="253">
        <f>IFERROR(G15/G10,)*1000</f>
        <v>11500</v>
      </c>
      <c r="H16" s="380">
        <f>IFERROR(H15/H10,)*1000</f>
        <v>11500</v>
      </c>
      <c r="I16" s="256">
        <f t="shared" si="0"/>
        <v>0</v>
      </c>
      <c r="J16" s="255">
        <f>IFERROR(J15/J10,)*1000</f>
        <v>15000</v>
      </c>
      <c r="K16" s="380">
        <f>IFERROR(K15/K10,)*1000</f>
        <v>9000</v>
      </c>
      <c r="L16" s="254">
        <f t="shared" si="1"/>
        <v>-6000</v>
      </c>
      <c r="M16" s="255">
        <f>IFERROR(M15/M10,)*1000</f>
        <v>9000</v>
      </c>
      <c r="N16" s="380"/>
      <c r="O16" s="254">
        <f t="shared" si="2"/>
        <v>-9000</v>
      </c>
      <c r="P16" s="404">
        <f>IFERROR(P15/P10,)*1000</f>
        <v>10555.727554179568</v>
      </c>
      <c r="Q16" s="380">
        <f>IFERROR(Q15/Q10,)*1000</f>
        <v>10689.602446483181</v>
      </c>
      <c r="R16" s="405">
        <f t="shared" si="3"/>
        <v>133.8748923036128</v>
      </c>
      <c r="S16" s="253">
        <f>IFERROR(S15/S10,)*1000</f>
        <v>12000</v>
      </c>
      <c r="T16" s="380">
        <f>IFERROR(T15/T10,)*1000</f>
        <v>13000</v>
      </c>
      <c r="U16" s="256">
        <f t="shared" si="4"/>
        <v>1000</v>
      </c>
      <c r="V16" s="255">
        <f>IFERROR(V15/V10,)*1000</f>
        <v>19000</v>
      </c>
      <c r="W16" s="380">
        <f>IFERROR(W15/W10,)*1000</f>
        <v>18026.315789473683</v>
      </c>
      <c r="X16" s="254">
        <f t="shared" si="5"/>
        <v>-973.68421052631675</v>
      </c>
      <c r="Y16" s="404">
        <f>IFERROR(Y15/Y10,)*1000</f>
        <v>17000</v>
      </c>
      <c r="Z16" s="380">
        <f>IFERROR(Z15/Z10,)*1000</f>
        <v>15716.444444444445</v>
      </c>
      <c r="AA16" s="405">
        <f t="shared" si="6"/>
        <v>-1283.5555555555547</v>
      </c>
      <c r="AB16" s="254">
        <f>IFERROR(AB15/AB10,)*1000</f>
        <v>28500</v>
      </c>
      <c r="AC16" s="380">
        <f>IFERROR(AC15/AC10,)*1000</f>
        <v>28279.699248120301</v>
      </c>
      <c r="AD16" s="254">
        <f t="shared" si="7"/>
        <v>-220.30075187969851</v>
      </c>
      <c r="AE16" s="404">
        <f>IFERROR(AE15/AE10,)*1000</f>
        <v>15425.159235668791</v>
      </c>
      <c r="AF16" s="380">
        <f>IFERROR(AF15/AF10,)*1000</f>
        <v>17608.210411301025</v>
      </c>
      <c r="AG16" s="405">
        <f t="shared" si="8"/>
        <v>2183.0511756322339</v>
      </c>
    </row>
    <row r="17" spans="4:36" ht="24" customHeight="1" x14ac:dyDescent="0.3">
      <c r="D17" s="76"/>
      <c r="E17" s="663"/>
      <c r="F17" s="252" t="s">
        <v>43</v>
      </c>
      <c r="G17" s="248">
        <f>G13+G15</f>
        <v>289254</v>
      </c>
      <c r="H17" s="381">
        <f>H13+H15</f>
        <v>338294</v>
      </c>
      <c r="I17" s="251">
        <f t="shared" si="0"/>
        <v>49040</v>
      </c>
      <c r="J17" s="250">
        <f>J13+J15</f>
        <v>148671.90506666666</v>
      </c>
      <c r="K17" s="381">
        <f>K13+K15</f>
        <v>31536</v>
      </c>
      <c r="L17" s="249">
        <f t="shared" si="1"/>
        <v>-117135.90506666666</v>
      </c>
      <c r="M17" s="250">
        <f>M13+M15</f>
        <v>198000</v>
      </c>
      <c r="N17" s="381"/>
      <c r="O17" s="249">
        <f t="shared" si="2"/>
        <v>-198000</v>
      </c>
      <c r="P17" s="406">
        <f>P13+P15</f>
        <v>635925.90506666666</v>
      </c>
      <c r="Q17" s="381">
        <f>Q13+Q15</f>
        <v>369830</v>
      </c>
      <c r="R17" s="407">
        <f t="shared" si="3"/>
        <v>-266095.90506666666</v>
      </c>
      <c r="S17" s="248">
        <f>S13+S15</f>
        <v>244944.57412148331</v>
      </c>
      <c r="T17" s="381">
        <f>T13+T15</f>
        <v>366536</v>
      </c>
      <c r="U17" s="251">
        <f t="shared" si="4"/>
        <v>121591.42587851669</v>
      </c>
      <c r="V17" s="250">
        <f>V13+V15</f>
        <v>505533.43754724134</v>
      </c>
      <c r="W17" s="381">
        <f>W13+W15</f>
        <v>490850</v>
      </c>
      <c r="X17" s="249">
        <f t="shared" si="5"/>
        <v>-14683.437547241338</v>
      </c>
      <c r="Y17" s="406">
        <f>Y13+Y15</f>
        <v>750478.01166872459</v>
      </c>
      <c r="Z17" s="381">
        <f>Z13+Z15</f>
        <v>857386</v>
      </c>
      <c r="AA17" s="407">
        <f t="shared" si="6"/>
        <v>106907.98833127541</v>
      </c>
      <c r="AB17" s="249">
        <f>AB13+AB15</f>
        <v>795682.27333394904</v>
      </c>
      <c r="AC17" s="381">
        <f>AC13+AC15</f>
        <v>748562</v>
      </c>
      <c r="AD17" s="249">
        <f t="shared" si="7"/>
        <v>-47120.273333949037</v>
      </c>
      <c r="AE17" s="406">
        <f>AE13+AE15</f>
        <v>2182086.1900693402</v>
      </c>
      <c r="AF17" s="381">
        <f>AF13+AF15</f>
        <v>1975778</v>
      </c>
      <c r="AG17" s="407">
        <f t="shared" si="8"/>
        <v>-206308.19006934017</v>
      </c>
      <c r="AI17" s="6">
        <f>+'사업장별(당월)'!O32*1000</f>
        <v>2182086.1900693402</v>
      </c>
      <c r="AJ17" s="6">
        <f>+'사업장별(당월)'!P32*1000</f>
        <v>1975778</v>
      </c>
    </row>
    <row r="18" spans="4:36" ht="24" customHeight="1" x14ac:dyDescent="0.3">
      <c r="D18" s="76"/>
      <c r="E18" s="247" t="s">
        <v>7</v>
      </c>
      <c r="F18" s="246" t="s">
        <v>134</v>
      </c>
      <c r="G18" s="661">
        <f>+IFERROR(HLOOKUP($A$1,[14]손익요약!$G$5:$AL$106,80,),)</f>
        <v>74006.691006923749</v>
      </c>
      <c r="H18" s="382">
        <f>+'[9]서부산크라샤(당월)'!$F$87</f>
        <v>47341.986308843341</v>
      </c>
      <c r="I18" s="233">
        <f t="shared" si="0"/>
        <v>-26664.704698080408</v>
      </c>
      <c r="J18" s="232">
        <f>+IFERROR(HLOOKUP($A$1,[14]손익요약!$G$5:$AL$106,83,),)</f>
        <v>18472.202853620587</v>
      </c>
      <c r="K18" s="382">
        <f>+'[9]서부산크라샤(당월)'!$I$87</f>
        <v>375.82823495783413</v>
      </c>
      <c r="L18" s="231">
        <f t="shared" si="1"/>
        <v>-18096.374618662754</v>
      </c>
      <c r="M18" s="232">
        <f>+IFERROR(HLOOKUP($A$1,[14]손익요약!$G$5:$AL$106,86,),)</f>
        <v>0</v>
      </c>
      <c r="N18" s="382"/>
      <c r="O18" s="231">
        <f t="shared" si="2"/>
        <v>0</v>
      </c>
      <c r="P18" s="408">
        <f>+G18+J18+M18</f>
        <v>92478.89386054434</v>
      </c>
      <c r="Q18" s="382">
        <f>+H18+K18+N18</f>
        <v>47717.814543801178</v>
      </c>
      <c r="R18" s="409">
        <f t="shared" si="3"/>
        <v>-44761.079316743162</v>
      </c>
      <c r="S18" s="661">
        <f>+IFERROR(HLOOKUP($A$1,[15]손익요약!$G$5:$U$95,57,),)</f>
        <v>-19689.760795982533</v>
      </c>
      <c r="T18" s="382">
        <f>+'[9]부산크라샤(당월)'!$F$87</f>
        <v>13588.885663358342</v>
      </c>
      <c r="U18" s="233">
        <f t="shared" si="4"/>
        <v>33278.646459340875</v>
      </c>
      <c r="V18" s="232">
        <f>+IFERROR(HLOOKUP($A$1,[15]손익요약!$G$5:$AL$106,60,),)</f>
        <v>41316.615580749567</v>
      </c>
      <c r="W18" s="382">
        <f>+'[9]부산크라샤(당월)'!$I$87</f>
        <v>81431.718969840978</v>
      </c>
      <c r="X18" s="231">
        <f t="shared" si="5"/>
        <v>40115.103389091411</v>
      </c>
      <c r="Y18" s="408">
        <f>+S18+V18</f>
        <v>21626.854784767034</v>
      </c>
      <c r="Z18" s="382">
        <f>+T18+W18</f>
        <v>95020.604633199313</v>
      </c>
      <c r="AA18" s="409">
        <f t="shared" si="6"/>
        <v>73393.749848432286</v>
      </c>
      <c r="AB18" s="231">
        <f>+IFERROR(HLOOKUP($A$1,[16]손익계획!$G$5:$AX$449,25,),)</f>
        <v>38759.52082796731</v>
      </c>
      <c r="AC18" s="382">
        <f>+'[9]부산모래장(당월)'!$R$82</f>
        <v>42756.127</v>
      </c>
      <c r="AD18" s="231">
        <f t="shared" si="7"/>
        <v>3996.6061720326907</v>
      </c>
      <c r="AE18" s="408">
        <f t="shared" ref="AE18:AF19" si="9">+P18+Y18+AB18</f>
        <v>152865.26947327866</v>
      </c>
      <c r="AF18" s="382">
        <f t="shared" si="9"/>
        <v>185494.54617700051</v>
      </c>
      <c r="AG18" s="409">
        <f t="shared" si="8"/>
        <v>32629.276703721844</v>
      </c>
      <c r="AI18" s="6" t="b">
        <f>+AI17=AE17</f>
        <v>1</v>
      </c>
      <c r="AJ18" s="6" t="b">
        <f>+AJ17=AF17</f>
        <v>1</v>
      </c>
    </row>
    <row r="19" spans="4:36" ht="24" customHeight="1" x14ac:dyDescent="0.3">
      <c r="D19" s="76"/>
      <c r="E19" s="166"/>
      <c r="F19" s="245" t="s">
        <v>133</v>
      </c>
      <c r="G19" s="241">
        <f>+IFERROR(HLOOKUP($A$1,[14]손익요약!$G$5:$AL$106,79,),)</f>
        <v>2860.7901474376931</v>
      </c>
      <c r="H19" s="383">
        <f>+'[9]서부산크라샤(당월)'!$F$86</f>
        <v>-10613.977256264929</v>
      </c>
      <c r="I19" s="244">
        <f t="shared" si="0"/>
        <v>-13474.767403702623</v>
      </c>
      <c r="J19" s="243">
        <f>+IFERROR(HLOOKUP($A$1,[14]손익요약!$G$5:$AL$106,82,),)</f>
        <v>30170.78530825501</v>
      </c>
      <c r="K19" s="383">
        <f>+'[9]서부산크라샤(당월)'!$I$86</f>
        <v>11382.210830151547</v>
      </c>
      <c r="L19" s="242">
        <f t="shared" si="1"/>
        <v>-18788.574478103463</v>
      </c>
      <c r="M19" s="243">
        <f>+IFERROR(HLOOKUP($A$1,[14]손익요약!$G$5:$AL$106,85,),)</f>
        <v>33164.410176674668</v>
      </c>
      <c r="N19" s="383"/>
      <c r="O19" s="242">
        <f t="shared" si="2"/>
        <v>-33164.410176674668</v>
      </c>
      <c r="P19" s="410">
        <f>+G19+J19+M19</f>
        <v>66195.985632367374</v>
      </c>
      <c r="Q19" s="383">
        <f>+H19+K19+N19</f>
        <v>768.23357388661861</v>
      </c>
      <c r="R19" s="411">
        <f t="shared" si="3"/>
        <v>-65427.752058480757</v>
      </c>
      <c r="S19" s="241">
        <f>+IFERROR(HLOOKUP($A$1,[15]손익요약!$G$5:$AL$106,56,),)</f>
        <v>-34540.167662995351</v>
      </c>
      <c r="T19" s="383">
        <f>+'[9]부산크라샤(당월)'!$F$86</f>
        <v>-28830.203565203537</v>
      </c>
      <c r="U19" s="244">
        <f t="shared" si="4"/>
        <v>5709.9640977918134</v>
      </c>
      <c r="V19" s="243">
        <f>+IFERROR(HLOOKUP($A$1,[15]손익요약!$G$5:$AL$106,59,),)</f>
        <v>16945.763290794344</v>
      </c>
      <c r="W19" s="383">
        <f>+'[9]부산크라샤(당월)'!$I$86</f>
        <v>13979.23489200421</v>
      </c>
      <c r="X19" s="242">
        <f t="shared" si="5"/>
        <v>-2966.5283987901348</v>
      </c>
      <c r="Y19" s="410">
        <f>+S19+V19</f>
        <v>-17594.404372201006</v>
      </c>
      <c r="Z19" s="383">
        <f>+T19+W19</f>
        <v>-14850.968673199328</v>
      </c>
      <c r="AA19" s="411">
        <f t="shared" si="6"/>
        <v>2743.4356990016786</v>
      </c>
      <c r="AB19" s="242">
        <f>+IFERROR(HLOOKUP($A$1,[16]손익계획!$G$5:$AX$449,24,),)</f>
        <v>20959.555641065064</v>
      </c>
      <c r="AC19" s="383">
        <f>+'[9]부산모래장(당월)'!$I$81-'[9]부산모래장(당월)'!$R$82</f>
        <v>167.26604263207264</v>
      </c>
      <c r="AD19" s="242">
        <f t="shared" si="7"/>
        <v>-20792.289598432992</v>
      </c>
      <c r="AE19" s="410">
        <f t="shared" si="9"/>
        <v>69561.136901231424</v>
      </c>
      <c r="AF19" s="383">
        <f t="shared" si="9"/>
        <v>-13915.469056680637</v>
      </c>
      <c r="AG19" s="411">
        <f t="shared" si="8"/>
        <v>-83476.605957912063</v>
      </c>
    </row>
    <row r="20" spans="4:36" ht="24" customHeight="1" x14ac:dyDescent="0.3">
      <c r="D20" s="76"/>
      <c r="E20" s="664"/>
      <c r="F20" s="240" t="s">
        <v>58</v>
      </c>
      <c r="G20" s="236">
        <f>G18+G19</f>
        <v>76867.481154361449</v>
      </c>
      <c r="H20" s="384">
        <f>H18+H19</f>
        <v>36728.009052578411</v>
      </c>
      <c r="I20" s="239">
        <f t="shared" si="0"/>
        <v>-40139.472101783038</v>
      </c>
      <c r="J20" s="238">
        <f>J18+J19</f>
        <v>48642.988161875597</v>
      </c>
      <c r="K20" s="384">
        <f>K18+K19</f>
        <v>11758.039065109382</v>
      </c>
      <c r="L20" s="237">
        <f t="shared" si="1"/>
        <v>-36884.949096766213</v>
      </c>
      <c r="M20" s="238">
        <f>M18+M19</f>
        <v>33164.410176674668</v>
      </c>
      <c r="N20" s="384"/>
      <c r="O20" s="237">
        <f t="shared" si="2"/>
        <v>-33164.410176674668</v>
      </c>
      <c r="P20" s="412">
        <f>P18+P19</f>
        <v>158674.87949291171</v>
      </c>
      <c r="Q20" s="384">
        <f>Q18+Q19</f>
        <v>48486.048117687795</v>
      </c>
      <c r="R20" s="413">
        <f t="shared" si="3"/>
        <v>-110188.83137522392</v>
      </c>
      <c r="S20" s="236">
        <f>S18+S19</f>
        <v>-54229.928458977884</v>
      </c>
      <c r="T20" s="384">
        <f>T18+T19</f>
        <v>-15241.317901845196</v>
      </c>
      <c r="U20" s="239">
        <f t="shared" si="4"/>
        <v>38988.610557132692</v>
      </c>
      <c r="V20" s="238">
        <f>V18+V19</f>
        <v>58262.378871543915</v>
      </c>
      <c r="W20" s="384">
        <f>W18+W19</f>
        <v>95410.953861845192</v>
      </c>
      <c r="X20" s="237">
        <f t="shared" si="5"/>
        <v>37148.574990301277</v>
      </c>
      <c r="Y20" s="412">
        <f>Y18+Y19</f>
        <v>4032.4504125660278</v>
      </c>
      <c r="Z20" s="384">
        <f>Z18+Z19</f>
        <v>80169.635959999985</v>
      </c>
      <c r="AA20" s="413">
        <f t="shared" si="6"/>
        <v>76137.185547433954</v>
      </c>
      <c r="AB20" s="237">
        <f>AB18+AB19</f>
        <v>59719.07646903237</v>
      </c>
      <c r="AC20" s="384">
        <f>AC18+AC19</f>
        <v>42923.393042632073</v>
      </c>
      <c r="AD20" s="237">
        <f t="shared" si="7"/>
        <v>-16795.683426400297</v>
      </c>
      <c r="AE20" s="412">
        <f>AE18+AE19</f>
        <v>222426.40637451009</v>
      </c>
      <c r="AF20" s="384">
        <f>AF18+AF19</f>
        <v>171579.07712031988</v>
      </c>
      <c r="AG20" s="413">
        <f t="shared" si="8"/>
        <v>-50847.329254190205</v>
      </c>
      <c r="AI20" s="6">
        <f>+'사업장별(당월)'!T32*1000</f>
        <v>222426.40637451</v>
      </c>
      <c r="AJ20" s="6">
        <f>'사업장별(당월)'!U32*1000</f>
        <v>171579.07712031994</v>
      </c>
    </row>
    <row r="21" spans="4:36" ht="24" customHeight="1" x14ac:dyDescent="0.3">
      <c r="D21" s="76"/>
      <c r="E21" s="235" t="s">
        <v>132</v>
      </c>
      <c r="F21" s="234" t="s">
        <v>25</v>
      </c>
      <c r="G21" s="230">
        <f>+IFERROR(HLOOKUP($A$1,[14]손익!$G$5:$AB$252,3,),)</f>
        <v>0</v>
      </c>
      <c r="H21" s="382">
        <f>+'[9]서부산크라샤(당월)'!$F$60</f>
        <v>224</v>
      </c>
      <c r="I21" s="233">
        <f t="shared" si="0"/>
        <v>224</v>
      </c>
      <c r="J21" s="232">
        <f>+IFERROR(HLOOKUP($A$1,[14]손익!$G$5:$AB$252,12,),)</f>
        <v>0</v>
      </c>
      <c r="K21" s="382">
        <f>+'[9]서부산크라샤(당월)'!$I$60</f>
        <v>0</v>
      </c>
      <c r="L21" s="231">
        <f t="shared" si="1"/>
        <v>0</v>
      </c>
      <c r="M21" s="232"/>
      <c r="N21" s="382"/>
      <c r="O21" s="231">
        <f t="shared" si="2"/>
        <v>0</v>
      </c>
      <c r="P21" s="408">
        <f t="shared" ref="P21:P26" si="10">+G21+J21+M21</f>
        <v>0</v>
      </c>
      <c r="Q21" s="382">
        <f t="shared" ref="Q21:Q26" si="11">+H21+K21+N21</f>
        <v>224</v>
      </c>
      <c r="R21" s="409">
        <f t="shared" si="3"/>
        <v>224</v>
      </c>
      <c r="S21" s="230">
        <f>+IFERROR(HLOOKUP($A$1,[15]손익!$G$5:$AB$252,3,),)</f>
        <v>10809.035882592707</v>
      </c>
      <c r="T21" s="382">
        <f>+'[9]부산크라샤(당월)'!$F$60</f>
        <v>14800</v>
      </c>
      <c r="U21" s="233">
        <f t="shared" si="4"/>
        <v>3990.9641174072931</v>
      </c>
      <c r="V21" s="232">
        <f>+IFERROR(HLOOKUP($A$1,[15]손익!$G$5:$AB$252,12,),)</f>
        <v>7628.3458120118939</v>
      </c>
      <c r="W21" s="382">
        <f>+'[9]부산크라샤(당월)'!$I$60</f>
        <v>9980</v>
      </c>
      <c r="X21" s="231">
        <f t="shared" si="5"/>
        <v>2351.6541879881061</v>
      </c>
      <c r="Y21" s="408">
        <f t="shared" ref="Y21:Z26" si="12">+S21+V21</f>
        <v>18437.381694604599</v>
      </c>
      <c r="Z21" s="382">
        <f t="shared" si="12"/>
        <v>24780</v>
      </c>
      <c r="AA21" s="409">
        <f t="shared" si="6"/>
        <v>6342.618305395401</v>
      </c>
      <c r="AB21" s="231">
        <f>+IFERROR(HLOOKUP($A$1,[16]이송계획!$G$193:$U$216,16,),)</f>
        <v>4320.7418518295817</v>
      </c>
      <c r="AC21" s="382">
        <f>+'[9]부산모래장(당월)'!$R$64</f>
        <v>5890</v>
      </c>
      <c r="AD21" s="231">
        <f t="shared" si="7"/>
        <v>1569.2581481704183</v>
      </c>
      <c r="AE21" s="408">
        <f t="shared" ref="AE21:AF26" si="13">+P21+Y21+AB21</f>
        <v>22758.123546434181</v>
      </c>
      <c r="AF21" s="382">
        <f t="shared" si="13"/>
        <v>30894</v>
      </c>
      <c r="AG21" s="409">
        <f t="shared" si="8"/>
        <v>8135.8764535658192</v>
      </c>
      <c r="AI21" s="595" t="b">
        <f>+AI20=AE20</f>
        <v>1</v>
      </c>
      <c r="AJ21" s="595" t="b">
        <f>+AJ20=AF20</f>
        <v>1</v>
      </c>
    </row>
    <row r="22" spans="4:36" ht="24" customHeight="1" x14ac:dyDescent="0.3">
      <c r="D22" s="76"/>
      <c r="E22" s="166" t="s">
        <v>0</v>
      </c>
      <c r="F22" s="221" t="s">
        <v>26</v>
      </c>
      <c r="G22" s="226">
        <f>+IFERROR(HLOOKUP($A$1,[14]손익!$G$5:$AB$252,4,),)</f>
        <v>14248</v>
      </c>
      <c r="H22" s="385">
        <f>+'[9]서부산크라샤(당월)'!$F$61</f>
        <v>13230</v>
      </c>
      <c r="I22" s="229">
        <f t="shared" si="0"/>
        <v>-1018</v>
      </c>
      <c r="J22" s="228">
        <f>+IFERROR(HLOOKUP($A$1,[14]손익!$G$5:$AB$252,13,),)</f>
        <v>1215.0666666666666</v>
      </c>
      <c r="K22" s="385">
        <f>+'[9]서부산크라샤(당월)'!$I$61</f>
        <v>0</v>
      </c>
      <c r="L22" s="227">
        <f t="shared" si="1"/>
        <v>-1215.0666666666666</v>
      </c>
      <c r="M22" s="228"/>
      <c r="N22" s="385"/>
      <c r="O22" s="227">
        <f t="shared" si="2"/>
        <v>0</v>
      </c>
      <c r="P22" s="414">
        <f t="shared" si="10"/>
        <v>15463.066666666666</v>
      </c>
      <c r="Q22" s="385">
        <f t="shared" si="11"/>
        <v>13230</v>
      </c>
      <c r="R22" s="415">
        <f t="shared" si="3"/>
        <v>-2233.0666666666657</v>
      </c>
      <c r="S22" s="226">
        <f>+IFERROR(HLOOKUP($A$1,[15]손익!$G$5:$AB$252,4,),)</f>
        <v>0</v>
      </c>
      <c r="T22" s="385">
        <f>+'[9]부산크라샤(당월)'!$F$61</f>
        <v>0</v>
      </c>
      <c r="U22" s="229">
        <f t="shared" si="4"/>
        <v>0</v>
      </c>
      <c r="V22" s="228">
        <f>+IFERROR(HLOOKUP($A$1,[15]손익!$G$5:$AB$252,13,),)</f>
        <v>2372.7096774193556</v>
      </c>
      <c r="W22" s="385">
        <f>+'[9]부산크라샤(당월)'!$I$61</f>
        <v>4048</v>
      </c>
      <c r="X22" s="227">
        <f t="shared" si="5"/>
        <v>1675.2903225806444</v>
      </c>
      <c r="Y22" s="414">
        <f t="shared" si="12"/>
        <v>2372.7096774193556</v>
      </c>
      <c r="Z22" s="385">
        <f t="shared" si="12"/>
        <v>4048</v>
      </c>
      <c r="AA22" s="415">
        <f t="shared" si="6"/>
        <v>1675.2903225806444</v>
      </c>
      <c r="AB22" s="227">
        <f>+IFERROR(HLOOKUP($A$1,[16]이송계획!$G$193:$U$216,17,),)</f>
        <v>5378.9090909090919</v>
      </c>
      <c r="AC22" s="385">
        <f>+'[9]부산모래장(당월)'!$R$65</f>
        <v>3344</v>
      </c>
      <c r="AD22" s="227">
        <f t="shared" si="7"/>
        <v>-2034.9090909090919</v>
      </c>
      <c r="AE22" s="414">
        <f t="shared" si="13"/>
        <v>23214.685434995114</v>
      </c>
      <c r="AF22" s="385">
        <f t="shared" si="13"/>
        <v>20622</v>
      </c>
      <c r="AG22" s="415">
        <f t="shared" si="8"/>
        <v>-2592.6854349951136</v>
      </c>
      <c r="AI22" s="99">
        <f>+AE20-AI20</f>
        <v>0</v>
      </c>
      <c r="AJ22" s="99">
        <f>+AF20-AJ20</f>
        <v>0</v>
      </c>
    </row>
    <row r="23" spans="4:36" ht="24" customHeight="1" x14ac:dyDescent="0.3">
      <c r="D23" s="76"/>
      <c r="E23" s="166"/>
      <c r="F23" s="221" t="s">
        <v>27</v>
      </c>
      <c r="G23" s="226">
        <f>+IFERROR(HLOOKUP($A$1,[14]손익!$G$5:$AB$252,5,),)</f>
        <v>1328</v>
      </c>
      <c r="H23" s="385">
        <f>+'[9]서부산크라샤(당월)'!$F$62</f>
        <v>1392</v>
      </c>
      <c r="I23" s="229">
        <f t="shared" si="0"/>
        <v>64</v>
      </c>
      <c r="J23" s="228">
        <f>+IFERROR(HLOOKUP($A$1,[14]손익!$G$5:$AB$252,14,),)</f>
        <v>0</v>
      </c>
      <c r="K23" s="385">
        <f>+'[9]서부산크라샤(당월)'!$I$62</f>
        <v>0</v>
      </c>
      <c r="L23" s="227">
        <f t="shared" si="1"/>
        <v>0</v>
      </c>
      <c r="M23" s="228"/>
      <c r="N23" s="385"/>
      <c r="O23" s="227">
        <f t="shared" si="2"/>
        <v>0</v>
      </c>
      <c r="P23" s="414">
        <f t="shared" si="10"/>
        <v>1328</v>
      </c>
      <c r="Q23" s="385">
        <f t="shared" si="11"/>
        <v>1392</v>
      </c>
      <c r="R23" s="415">
        <f t="shared" si="3"/>
        <v>64</v>
      </c>
      <c r="S23" s="226">
        <f>+IFERROR(HLOOKUP($A$1,[15]손익!$G$5:$AB$252,5,),)</f>
        <v>0</v>
      </c>
      <c r="T23" s="385">
        <f>+'[9]부산크라샤(당월)'!$F$62</f>
        <v>0</v>
      </c>
      <c r="U23" s="229">
        <f t="shared" si="4"/>
        <v>0</v>
      </c>
      <c r="V23" s="228">
        <f>+IFERROR(HLOOKUP($A$1,[15]손익!$G$5:$AB$252,14,),)</f>
        <v>0</v>
      </c>
      <c r="W23" s="385">
        <f>+'[9]부산크라샤(당월)'!$I$62</f>
        <v>0</v>
      </c>
      <c r="X23" s="227">
        <f t="shared" si="5"/>
        <v>0</v>
      </c>
      <c r="Y23" s="414">
        <f t="shared" si="12"/>
        <v>0</v>
      </c>
      <c r="Z23" s="385">
        <f t="shared" si="12"/>
        <v>0</v>
      </c>
      <c r="AA23" s="415">
        <f t="shared" si="6"/>
        <v>0</v>
      </c>
      <c r="AB23" s="227">
        <f>+IFERROR(HLOOKUP($A$1,[16]이송계획!$G$193:$U$216,18,),)</f>
        <v>3188.8111888111889</v>
      </c>
      <c r="AC23" s="385">
        <f>+'[9]부산모래장(당월)'!$V$64</f>
        <v>0</v>
      </c>
      <c r="AD23" s="227">
        <f t="shared" si="7"/>
        <v>-3188.8111888111889</v>
      </c>
      <c r="AE23" s="414">
        <f t="shared" si="13"/>
        <v>4516.8111888111889</v>
      </c>
      <c r="AF23" s="385">
        <f t="shared" si="13"/>
        <v>1392</v>
      </c>
      <c r="AG23" s="415">
        <f t="shared" si="8"/>
        <v>-3124.8111888111889</v>
      </c>
    </row>
    <row r="24" spans="4:36" ht="24" customHeight="1" x14ac:dyDescent="0.3">
      <c r="D24" s="76"/>
      <c r="E24" s="166"/>
      <c r="F24" s="221" t="s">
        <v>28</v>
      </c>
      <c r="G24" s="226">
        <f>+IFERROR(HLOOKUP($A$1,[14]손익!$G$5:$AB$252,6,),)</f>
        <v>0</v>
      </c>
      <c r="H24" s="385">
        <f>+'[9]서부산크라샤(당월)'!$F$63</f>
        <v>0</v>
      </c>
      <c r="I24" s="229">
        <f t="shared" si="0"/>
        <v>0</v>
      </c>
      <c r="J24" s="228">
        <f>+IFERROR(HLOOKUP($A$1,[14]손익!$G$5:$AB$252,15,),)</f>
        <v>0</v>
      </c>
      <c r="K24" s="385">
        <f>+'[9]서부산크라샤(당월)'!$I$63</f>
        <v>0</v>
      </c>
      <c r="L24" s="227">
        <f t="shared" si="1"/>
        <v>0</v>
      </c>
      <c r="M24" s="228"/>
      <c r="N24" s="385"/>
      <c r="O24" s="227">
        <f t="shared" si="2"/>
        <v>0</v>
      </c>
      <c r="P24" s="414">
        <f t="shared" si="10"/>
        <v>0</v>
      </c>
      <c r="Q24" s="385">
        <f t="shared" si="11"/>
        <v>0</v>
      </c>
      <c r="R24" s="415">
        <f t="shared" si="3"/>
        <v>0</v>
      </c>
      <c r="S24" s="226">
        <f>+IFERROR(HLOOKUP($A$1,[15]손익!$G$5:$AB$252,6,),)</f>
        <v>0</v>
      </c>
      <c r="T24" s="385">
        <f>+'[9]부산크라샤(당월)'!$F$63</f>
        <v>0</v>
      </c>
      <c r="U24" s="229">
        <f t="shared" si="4"/>
        <v>0</v>
      </c>
      <c r="V24" s="228">
        <f>+IFERROR(HLOOKUP($A$1,[15]손익!$G$5:$AB$252,15,),)</f>
        <v>0</v>
      </c>
      <c r="W24" s="385">
        <f>+'[9]부산크라샤(당월)'!$I$63</f>
        <v>0</v>
      </c>
      <c r="X24" s="227">
        <f t="shared" si="5"/>
        <v>0</v>
      </c>
      <c r="Y24" s="414">
        <f t="shared" si="12"/>
        <v>0</v>
      </c>
      <c r="Z24" s="385">
        <f t="shared" si="12"/>
        <v>0</v>
      </c>
      <c r="AA24" s="415">
        <f t="shared" si="6"/>
        <v>0</v>
      </c>
      <c r="AB24" s="227">
        <f>+IFERROR(HLOOKUP($A$1,[16]이송계획!$G$193:$U$216,19,),)</f>
        <v>4168.9510489510485</v>
      </c>
      <c r="AC24" s="385">
        <f>+'[9]부산모래장(당월)'!$V$65</f>
        <v>0</v>
      </c>
      <c r="AD24" s="227">
        <f t="shared" si="7"/>
        <v>-4168.9510489510485</v>
      </c>
      <c r="AE24" s="414">
        <f t="shared" si="13"/>
        <v>4168.9510489510485</v>
      </c>
      <c r="AF24" s="385">
        <f t="shared" si="13"/>
        <v>0</v>
      </c>
      <c r="AG24" s="415">
        <f t="shared" si="8"/>
        <v>-4168.9510489510485</v>
      </c>
    </row>
    <row r="25" spans="4:36" ht="24" customHeight="1" x14ac:dyDescent="0.3">
      <c r="D25" s="76"/>
      <c r="E25" s="166"/>
      <c r="F25" s="221" t="s">
        <v>29</v>
      </c>
      <c r="G25" s="226">
        <f>+IFERROR(HLOOKUP($A$1,[14]손익!$G$5:$AB$252,7,),)</f>
        <v>0</v>
      </c>
      <c r="H25" s="385">
        <f>+'[9]서부산크라샤(당월)'!$F$64</f>
        <v>0</v>
      </c>
      <c r="I25" s="229">
        <f t="shared" si="0"/>
        <v>0</v>
      </c>
      <c r="J25" s="228">
        <f>+IFERROR(HLOOKUP($A$1,[14]손익!$G$5:$AB$252,16,),)</f>
        <v>548.56255999999996</v>
      </c>
      <c r="K25" s="385">
        <f>+'[9]서부산크라샤(당월)'!$I$64</f>
        <v>112</v>
      </c>
      <c r="L25" s="227">
        <f t="shared" si="1"/>
        <v>-436.56255999999996</v>
      </c>
      <c r="M25" s="228"/>
      <c r="N25" s="385"/>
      <c r="O25" s="227">
        <f t="shared" si="2"/>
        <v>0</v>
      </c>
      <c r="P25" s="414">
        <f t="shared" si="10"/>
        <v>548.56255999999996</v>
      </c>
      <c r="Q25" s="385">
        <f t="shared" si="11"/>
        <v>112</v>
      </c>
      <c r="R25" s="415">
        <f t="shared" si="3"/>
        <v>-436.56255999999996</v>
      </c>
      <c r="S25" s="226">
        <f>+IFERROR(HLOOKUP($A$1,[15]손익!$G$5:$AB$252,7,),)</f>
        <v>0</v>
      </c>
      <c r="T25" s="385">
        <f>+'[9]부산크라샤(당월)'!$F$64</f>
        <v>0</v>
      </c>
      <c r="U25" s="229">
        <f t="shared" si="4"/>
        <v>0</v>
      </c>
      <c r="V25" s="228">
        <f>+IFERROR(HLOOKUP($A$1,[15]손익!$G$5:$AB$252,16,),)</f>
        <v>0</v>
      </c>
      <c r="W25" s="385">
        <f>+'[9]부산크라샤(당월)'!$I$64</f>
        <v>0</v>
      </c>
      <c r="X25" s="227">
        <f t="shared" si="5"/>
        <v>0</v>
      </c>
      <c r="Y25" s="414">
        <f t="shared" si="12"/>
        <v>0</v>
      </c>
      <c r="Z25" s="385">
        <f t="shared" si="12"/>
        <v>0</v>
      </c>
      <c r="AA25" s="415">
        <f t="shared" si="6"/>
        <v>0</v>
      </c>
      <c r="AB25" s="227">
        <f>+IFERROR(HLOOKUP($A$1,[16]이송계획!$G$193:$U$216,20,),)</f>
        <v>1461.8811188811187</v>
      </c>
      <c r="AC25" s="385">
        <f>+'[9]부산모래장(당월)'!$R$66</f>
        <v>2816</v>
      </c>
      <c r="AD25" s="227">
        <f t="shared" si="7"/>
        <v>1354.1188811188813</v>
      </c>
      <c r="AE25" s="414">
        <f t="shared" si="13"/>
        <v>2010.4436788811186</v>
      </c>
      <c r="AF25" s="385">
        <f t="shared" si="13"/>
        <v>2928</v>
      </c>
      <c r="AG25" s="415">
        <f t="shared" si="8"/>
        <v>917.55632111888144</v>
      </c>
    </row>
    <row r="26" spans="4:36" ht="24" customHeight="1" x14ac:dyDescent="0.3">
      <c r="D26" s="76"/>
      <c r="E26" s="166"/>
      <c r="F26" s="221" t="s">
        <v>30</v>
      </c>
      <c r="G26" s="226">
        <f>+IFERROR(HLOOKUP($A$1,[14]손익!$G$5:$AB$252,8,),)</f>
        <v>1005.6</v>
      </c>
      <c r="H26" s="385">
        <f>+'[9]서부산크라샤(당월)'!$F$65</f>
        <v>1152</v>
      </c>
      <c r="I26" s="229">
        <f t="shared" si="0"/>
        <v>146.39999999999998</v>
      </c>
      <c r="J26" s="228">
        <f>+IFERROR(HLOOKUP($A$1,[14]손익!$G$5:$AB$252,17,),)</f>
        <v>580.79999999999995</v>
      </c>
      <c r="K26" s="385">
        <f>+'[9]서부산크라샤(당월)'!$I$65</f>
        <v>0</v>
      </c>
      <c r="L26" s="227">
        <f t="shared" si="1"/>
        <v>-580.79999999999995</v>
      </c>
      <c r="M26" s="228"/>
      <c r="N26" s="385"/>
      <c r="O26" s="227">
        <f t="shared" si="2"/>
        <v>0</v>
      </c>
      <c r="P26" s="414">
        <f t="shared" si="10"/>
        <v>1586.4</v>
      </c>
      <c r="Q26" s="383">
        <f t="shared" si="11"/>
        <v>1152</v>
      </c>
      <c r="R26" s="433">
        <f t="shared" si="3"/>
        <v>-434.40000000000009</v>
      </c>
      <c r="S26" s="226">
        <f>+IFERROR(HLOOKUP($A$1,[15]손익!$G$5:$AB$252,8,),)</f>
        <v>0</v>
      </c>
      <c r="T26" s="385">
        <f>+'[9]부산크라샤(당월)'!$F$65</f>
        <v>0</v>
      </c>
      <c r="U26" s="229">
        <f t="shared" si="4"/>
        <v>0</v>
      </c>
      <c r="V26" s="228">
        <f>+IFERROR(HLOOKUP($A$1,[15]손익!$G$5:$AB$252,17,),)</f>
        <v>0</v>
      </c>
      <c r="W26" s="385">
        <f>+'[9]부산크라샤(당월)'!$I$65</f>
        <v>0</v>
      </c>
      <c r="X26" s="227">
        <f t="shared" si="5"/>
        <v>0</v>
      </c>
      <c r="Y26" s="414">
        <f t="shared" si="12"/>
        <v>0</v>
      </c>
      <c r="Z26" s="383">
        <f t="shared" si="12"/>
        <v>0</v>
      </c>
      <c r="AA26" s="433">
        <f t="shared" si="6"/>
        <v>0</v>
      </c>
      <c r="AB26" s="227">
        <f>+IFERROR(HLOOKUP($A$1,[16]이송계획!$G$193:$U$216,21,),)</f>
        <v>0</v>
      </c>
      <c r="AC26" s="385"/>
      <c r="AD26" s="227">
        <f t="shared" si="7"/>
        <v>0</v>
      </c>
      <c r="AE26" s="414">
        <f t="shared" si="13"/>
        <v>1586.4</v>
      </c>
      <c r="AF26" s="383">
        <f t="shared" si="13"/>
        <v>1152</v>
      </c>
      <c r="AG26" s="415">
        <f t="shared" si="8"/>
        <v>-434.40000000000009</v>
      </c>
    </row>
    <row r="27" spans="4:36" ht="24" customHeight="1" x14ac:dyDescent="0.3">
      <c r="D27" s="76"/>
      <c r="E27" s="225" t="s">
        <v>132</v>
      </c>
      <c r="F27" s="224" t="s">
        <v>25</v>
      </c>
      <c r="G27" s="192">
        <f>+IFERROR(HLOOKUP($A$1,[14]손익!$G$5:$AB$252,31,),)</f>
        <v>0</v>
      </c>
      <c r="H27" s="386">
        <f t="shared" ref="H27:H32" si="14">IFERROR(H35/H21,)*1000</f>
        <v>12500</v>
      </c>
      <c r="I27" s="193">
        <f t="shared" si="0"/>
        <v>12500</v>
      </c>
      <c r="J27" s="223">
        <f>+IFERROR(HLOOKUP($A$1,[14]손익!$G$5:$AB$252,40,),)</f>
        <v>0</v>
      </c>
      <c r="K27" s="386">
        <f t="shared" ref="K27:K32" si="15">IFERROR(K35/K21,)*1000</f>
        <v>0</v>
      </c>
      <c r="L27" s="205">
        <f t="shared" si="1"/>
        <v>0</v>
      </c>
      <c r="M27" s="223"/>
      <c r="N27" s="386"/>
      <c r="O27" s="205">
        <f t="shared" si="2"/>
        <v>0</v>
      </c>
      <c r="P27" s="428">
        <f>+IFERROR(HLOOKUP($A$1,[14]손익!$G$5:$AB$252,48,),)</f>
        <v>9000</v>
      </c>
      <c r="Q27" s="424">
        <f t="shared" ref="Q27:Q32" si="16">IFERROR(Q35/Q21,)*1000</f>
        <v>12500</v>
      </c>
      <c r="R27" s="434">
        <f t="shared" si="3"/>
        <v>3500</v>
      </c>
      <c r="S27" s="192">
        <f>+IFERROR(HLOOKUP($A$1,[15]손익!$G$5:$AB$252,30,),)</f>
        <v>16000</v>
      </c>
      <c r="T27" s="386">
        <f t="shared" ref="T27:T32" si="17">IFERROR(T35/T21,)*1000</f>
        <v>17500</v>
      </c>
      <c r="U27" s="193">
        <f t="shared" si="4"/>
        <v>1500</v>
      </c>
      <c r="V27" s="223">
        <f>+IFERROR(HLOOKUP($A$1,[15]손익!$G$5:$AB$252,39,),)</f>
        <v>23000</v>
      </c>
      <c r="W27" s="386">
        <f t="shared" ref="W27:W32" si="18">IFERROR(W35/W21,)*1000</f>
        <v>23500</v>
      </c>
      <c r="X27" s="205">
        <f t="shared" si="5"/>
        <v>500</v>
      </c>
      <c r="Y27" s="428">
        <f>+IFERROR(HLOOKUP($A$1,[15]손익!$G$5:$AB$252,48,),)</f>
        <v>18896.204112306761</v>
      </c>
      <c r="Z27" s="424">
        <f t="shared" ref="Z27:Z32" si="19">IFERROR(Z35/Z21,)*1000</f>
        <v>19916.464891041163</v>
      </c>
      <c r="AA27" s="434">
        <f t="shared" si="6"/>
        <v>1020.2607787344023</v>
      </c>
      <c r="AB27" s="205">
        <f t="shared" ref="AB27:AC32" si="20">IFERROR(AB35/AB21,)*1000</f>
        <v>30499.999999999996</v>
      </c>
      <c r="AC27" s="386">
        <f t="shared" si="20"/>
        <v>32000</v>
      </c>
      <c r="AD27" s="205">
        <f t="shared" si="7"/>
        <v>1500.0000000000036</v>
      </c>
      <c r="AE27" s="416">
        <f t="shared" ref="AE27:AE32" si="21">+AE35/AE21*1000</f>
        <v>21099.241916796567</v>
      </c>
      <c r="AF27" s="386">
        <f t="shared" ref="AF27:AF32" si="22">IFERROR(AF35/AF21,)*1000</f>
        <v>22166.440085453487</v>
      </c>
      <c r="AG27" s="417">
        <f t="shared" si="8"/>
        <v>1067.1981686569197</v>
      </c>
    </row>
    <row r="28" spans="4:36" ht="24" customHeight="1" x14ac:dyDescent="0.3">
      <c r="D28" s="76"/>
      <c r="E28" s="166" t="s">
        <v>131</v>
      </c>
      <c r="F28" s="221" t="s">
        <v>26</v>
      </c>
      <c r="G28" s="190">
        <f>+IFERROR(HLOOKUP($A$1,[14]손익!$G$5:$AB$252,32,),)</f>
        <v>16000</v>
      </c>
      <c r="H28" s="95">
        <f t="shared" si="14"/>
        <v>17000</v>
      </c>
      <c r="I28" s="191">
        <f t="shared" si="0"/>
        <v>1000</v>
      </c>
      <c r="J28" s="220">
        <f>+IFERROR(HLOOKUP($A$1,[14]손익!$G$5:$AB$252,41,),)</f>
        <v>22000</v>
      </c>
      <c r="K28" s="95">
        <f t="shared" si="15"/>
        <v>0</v>
      </c>
      <c r="L28" s="196">
        <f t="shared" si="1"/>
        <v>-22000</v>
      </c>
      <c r="M28" s="220"/>
      <c r="N28" s="95"/>
      <c r="O28" s="196">
        <f t="shared" si="2"/>
        <v>0</v>
      </c>
      <c r="P28" s="429">
        <f>+IFERROR(HLOOKUP($A$1,[14]손익!$G$5:$AB$252,49,),)</f>
        <v>10555.727554179568</v>
      </c>
      <c r="Q28" s="425">
        <f t="shared" si="16"/>
        <v>17000</v>
      </c>
      <c r="R28" s="435">
        <f t="shared" si="3"/>
        <v>6444.272445820432</v>
      </c>
      <c r="S28" s="190">
        <f>+IFERROR(HLOOKUP($A$1,[15]손익!$G$5:$AB$252,31,),)</f>
        <v>0</v>
      </c>
      <c r="T28" s="95">
        <f t="shared" si="17"/>
        <v>0</v>
      </c>
      <c r="U28" s="191">
        <f t="shared" si="4"/>
        <v>0</v>
      </c>
      <c r="V28" s="220">
        <f>+IFERROR(HLOOKUP($A$1,[15]손익!$G$5:$AB$252,40,),)</f>
        <v>19000</v>
      </c>
      <c r="W28" s="95">
        <f t="shared" si="18"/>
        <v>20000</v>
      </c>
      <c r="X28" s="196">
        <f t="shared" si="5"/>
        <v>1000</v>
      </c>
      <c r="Y28" s="429">
        <f>+IFERROR(HLOOKUP($A$1,[15]손익!$G$5:$AB$252,49,),)</f>
        <v>18999.999999999996</v>
      </c>
      <c r="Z28" s="425">
        <f t="shared" si="19"/>
        <v>20000</v>
      </c>
      <c r="AA28" s="435">
        <f t="shared" si="6"/>
        <v>1000.0000000000036</v>
      </c>
      <c r="AB28" s="196">
        <f t="shared" si="20"/>
        <v>27999.999999999996</v>
      </c>
      <c r="AC28" s="95">
        <f t="shared" si="20"/>
        <v>28000</v>
      </c>
      <c r="AD28" s="196">
        <f t="shared" si="7"/>
        <v>0</v>
      </c>
      <c r="AE28" s="418">
        <f t="shared" si="21"/>
        <v>19401.098771906913</v>
      </c>
      <c r="AF28" s="95">
        <f t="shared" si="22"/>
        <v>19372.611773833771</v>
      </c>
      <c r="AG28" s="419">
        <f t="shared" si="8"/>
        <v>-28.486998073141876</v>
      </c>
    </row>
    <row r="29" spans="4:36" ht="24" customHeight="1" x14ac:dyDescent="0.3">
      <c r="D29" s="76"/>
      <c r="E29" s="166"/>
      <c r="F29" s="221" t="s">
        <v>27</v>
      </c>
      <c r="G29" s="190">
        <f>+IFERROR(HLOOKUP($A$1,[14]손익!$G$5:$AB$252,33,),)</f>
        <v>10000</v>
      </c>
      <c r="H29" s="95">
        <f t="shared" si="14"/>
        <v>11500</v>
      </c>
      <c r="I29" s="191">
        <f t="shared" si="0"/>
        <v>1500</v>
      </c>
      <c r="J29" s="220">
        <f>+IFERROR(HLOOKUP($A$1,[14]손익!$G$5:$AB$252,42,),)</f>
        <v>0</v>
      </c>
      <c r="K29" s="95">
        <f t="shared" si="15"/>
        <v>0</v>
      </c>
      <c r="L29" s="196">
        <f t="shared" si="1"/>
        <v>0</v>
      </c>
      <c r="M29" s="220"/>
      <c r="N29" s="95"/>
      <c r="O29" s="196">
        <f t="shared" si="2"/>
        <v>0</v>
      </c>
      <c r="P29" s="430">
        <f>+IFERROR(HLOOKUP($A$1,[14]손익!$G$5:$AB$252,50,),)</f>
        <v>0</v>
      </c>
      <c r="Q29" s="426">
        <f t="shared" si="16"/>
        <v>11500</v>
      </c>
      <c r="R29" s="435">
        <f t="shared" si="3"/>
        <v>11500</v>
      </c>
      <c r="S29" s="190">
        <f>+IFERROR(HLOOKUP($A$1,[15]손익!$G$5:$AB$252,32,),)</f>
        <v>0</v>
      </c>
      <c r="T29" s="95">
        <f t="shared" si="17"/>
        <v>0</v>
      </c>
      <c r="U29" s="191">
        <f t="shared" si="4"/>
        <v>0</v>
      </c>
      <c r="V29" s="220">
        <f>+IFERROR(HLOOKUP($A$1,[15]손익!$G$5:$AB$252,41,),)</f>
        <v>0</v>
      </c>
      <c r="W29" s="95">
        <f t="shared" si="18"/>
        <v>0</v>
      </c>
      <c r="X29" s="196">
        <f t="shared" si="5"/>
        <v>0</v>
      </c>
      <c r="Y29" s="430">
        <f>+IFERROR(HLOOKUP($A$1,[15]손익!$G$5:$AB$252,50,),)</f>
        <v>0</v>
      </c>
      <c r="Z29" s="426">
        <f t="shared" si="19"/>
        <v>0</v>
      </c>
      <c r="AA29" s="435">
        <f t="shared" si="6"/>
        <v>0</v>
      </c>
      <c r="AB29" s="196">
        <f t="shared" si="20"/>
        <v>27500.000000000004</v>
      </c>
      <c r="AC29" s="95">
        <f t="shared" si="20"/>
        <v>0</v>
      </c>
      <c r="AD29" s="196">
        <f t="shared" si="7"/>
        <v>-27500.000000000004</v>
      </c>
      <c r="AE29" s="418">
        <f t="shared" si="21"/>
        <v>22354.777180509798</v>
      </c>
      <c r="AF29" s="95">
        <f t="shared" si="22"/>
        <v>67132.183908045976</v>
      </c>
      <c r="AG29" s="419">
        <f t="shared" si="8"/>
        <v>44777.406727536174</v>
      </c>
    </row>
    <row r="30" spans="4:36" ht="24" customHeight="1" x14ac:dyDescent="0.3">
      <c r="D30" s="76"/>
      <c r="E30" s="166"/>
      <c r="F30" s="221" t="s">
        <v>28</v>
      </c>
      <c r="G30" s="190">
        <f>+IFERROR(HLOOKUP($A$1,[14]손익!$G$5:$AB$252,34,),)</f>
        <v>0</v>
      </c>
      <c r="H30" s="95">
        <f t="shared" si="14"/>
        <v>0</v>
      </c>
      <c r="I30" s="191">
        <f t="shared" si="0"/>
        <v>0</v>
      </c>
      <c r="J30" s="220">
        <f>+IFERROR(HLOOKUP($A$1,[14]손익!$G$5:$AB$252,43,),)</f>
        <v>0</v>
      </c>
      <c r="K30" s="95">
        <f t="shared" si="15"/>
        <v>0</v>
      </c>
      <c r="L30" s="196">
        <f t="shared" si="1"/>
        <v>0</v>
      </c>
      <c r="M30" s="220"/>
      <c r="N30" s="95"/>
      <c r="O30" s="196">
        <f t="shared" si="2"/>
        <v>0</v>
      </c>
      <c r="P30" s="430">
        <f>+IFERROR(HLOOKUP($A$1,[14]손익!$G$5:$AB$252,51,),)</f>
        <v>16471.471808093265</v>
      </c>
      <c r="Q30" s="55">
        <f t="shared" si="16"/>
        <v>0</v>
      </c>
      <c r="R30" s="436">
        <f t="shared" si="3"/>
        <v>-16471.471808093265</v>
      </c>
      <c r="S30" s="190">
        <f>+IFERROR(HLOOKUP($A$1,[15]손익!$G$5:$AB$252,33,),)</f>
        <v>0</v>
      </c>
      <c r="T30" s="95">
        <f t="shared" si="17"/>
        <v>0</v>
      </c>
      <c r="U30" s="191">
        <f t="shared" si="4"/>
        <v>0</v>
      </c>
      <c r="V30" s="220">
        <f>+IFERROR(HLOOKUP($A$1,[15]손익!$G$5:$AB$252,42,),)</f>
        <v>0</v>
      </c>
      <c r="W30" s="95">
        <f t="shared" si="18"/>
        <v>0</v>
      </c>
      <c r="X30" s="196">
        <f t="shared" si="5"/>
        <v>0</v>
      </c>
      <c r="Y30" s="430">
        <f>+IFERROR(HLOOKUP($A$1,[15]손익!$G$5:$AB$252,51,),)</f>
        <v>0</v>
      </c>
      <c r="Z30" s="55">
        <f t="shared" si="19"/>
        <v>0</v>
      </c>
      <c r="AA30" s="436">
        <f t="shared" si="6"/>
        <v>0</v>
      </c>
      <c r="AB30" s="196">
        <f t="shared" si="20"/>
        <v>27500.000000000004</v>
      </c>
      <c r="AC30" s="95">
        <f t="shared" si="20"/>
        <v>0</v>
      </c>
      <c r="AD30" s="196">
        <f t="shared" si="7"/>
        <v>-27500.000000000004</v>
      </c>
      <c r="AE30" s="418">
        <f t="shared" si="21"/>
        <v>27500.000000000004</v>
      </c>
      <c r="AF30" s="95">
        <f t="shared" si="22"/>
        <v>0</v>
      </c>
      <c r="AG30" s="419">
        <f t="shared" si="8"/>
        <v>-27500.000000000004</v>
      </c>
    </row>
    <row r="31" spans="4:36" ht="24" customHeight="1" x14ac:dyDescent="0.3">
      <c r="D31" s="76"/>
      <c r="E31" s="166"/>
      <c r="F31" s="221" t="s">
        <v>29</v>
      </c>
      <c r="G31" s="190">
        <f>+IFERROR(HLOOKUP($A$1,[14]손익!$G$5:$AB$252,35,),)</f>
        <v>0</v>
      </c>
      <c r="H31" s="95">
        <f t="shared" si="14"/>
        <v>0</v>
      </c>
      <c r="I31" s="191">
        <f t="shared" si="0"/>
        <v>0</v>
      </c>
      <c r="J31" s="220">
        <f>+IFERROR(HLOOKUP($A$1,[14]손익!$G$5:$AB$252,44,),)</f>
        <v>15000</v>
      </c>
      <c r="K31" s="95">
        <f t="shared" si="15"/>
        <v>9000</v>
      </c>
      <c r="L31" s="196">
        <f t="shared" si="1"/>
        <v>-6000</v>
      </c>
      <c r="M31" s="220"/>
      <c r="N31" s="95"/>
      <c r="O31" s="196">
        <f t="shared" si="2"/>
        <v>0</v>
      </c>
      <c r="P31" s="430">
        <f>+IFERROR(HLOOKUP($A$1,[14]손익!$G$5:$AB$252,52,),)</f>
        <v>10000</v>
      </c>
      <c r="Q31" s="55">
        <f t="shared" si="16"/>
        <v>9000</v>
      </c>
      <c r="R31" s="436">
        <f t="shared" si="3"/>
        <v>-1000</v>
      </c>
      <c r="S31" s="190">
        <f>+IFERROR(HLOOKUP($A$1,[15]손익!$G$5:$AB$252,34,),)</f>
        <v>0</v>
      </c>
      <c r="T31" s="95">
        <f t="shared" si="17"/>
        <v>0</v>
      </c>
      <c r="U31" s="191">
        <f t="shared" si="4"/>
        <v>0</v>
      </c>
      <c r="V31" s="220">
        <f>+IFERROR(HLOOKUP($A$1,[15]손익!$G$5:$AB$252,43,),)</f>
        <v>0</v>
      </c>
      <c r="W31" s="95">
        <f t="shared" si="18"/>
        <v>0</v>
      </c>
      <c r="X31" s="196">
        <f t="shared" si="5"/>
        <v>0</v>
      </c>
      <c r="Y31" s="430">
        <f>+IFERROR(HLOOKUP($A$1,[15]손익!$G$5:$AB$252,52,),)</f>
        <v>0</v>
      </c>
      <c r="Z31" s="55">
        <f t="shared" si="19"/>
        <v>0</v>
      </c>
      <c r="AA31" s="436">
        <f t="shared" si="6"/>
        <v>0</v>
      </c>
      <c r="AB31" s="196">
        <f t="shared" si="20"/>
        <v>27500</v>
      </c>
      <c r="AC31" s="95">
        <f t="shared" si="20"/>
        <v>0</v>
      </c>
      <c r="AD31" s="196">
        <f t="shared" si="7"/>
        <v>-27500</v>
      </c>
      <c r="AE31" s="418">
        <f t="shared" si="21"/>
        <v>24089.294158284418</v>
      </c>
      <c r="AF31" s="95">
        <f t="shared" si="22"/>
        <v>344.26229508196718</v>
      </c>
      <c r="AG31" s="419">
        <f t="shared" si="8"/>
        <v>-23745.03186320245</v>
      </c>
    </row>
    <row r="32" spans="4:36" ht="24" customHeight="1" thickBot="1" x14ac:dyDescent="0.35">
      <c r="D32" s="76"/>
      <c r="E32" s="218"/>
      <c r="F32" s="217" t="s">
        <v>30</v>
      </c>
      <c r="G32" s="213">
        <f>+IFERROR(HLOOKUP($A$1,[14]손익!$G$5:$AB$252,36,),)</f>
        <v>10000</v>
      </c>
      <c r="H32" s="387">
        <f t="shared" si="14"/>
        <v>11500</v>
      </c>
      <c r="I32" s="216">
        <f t="shared" si="0"/>
        <v>1500</v>
      </c>
      <c r="J32" s="215">
        <f>+IFERROR(HLOOKUP($A$1,[14]손익!$G$5:$AB$252,45,),)</f>
        <v>15000</v>
      </c>
      <c r="K32" s="387">
        <f t="shared" si="15"/>
        <v>0</v>
      </c>
      <c r="L32" s="214">
        <f t="shared" si="1"/>
        <v>-15000</v>
      </c>
      <c r="M32" s="215"/>
      <c r="N32" s="387"/>
      <c r="O32" s="214">
        <f t="shared" si="2"/>
        <v>0</v>
      </c>
      <c r="P32" s="431">
        <f>+IFERROR(HLOOKUP($A$1,[14]손익!$G$5:$AB$252,53,),)</f>
        <v>0</v>
      </c>
      <c r="Q32" s="427">
        <f t="shared" si="16"/>
        <v>11500</v>
      </c>
      <c r="R32" s="437">
        <f t="shared" si="3"/>
        <v>11500</v>
      </c>
      <c r="S32" s="213">
        <f>+IFERROR(HLOOKUP($A$1,[15]손익!$G$5:$AB$252,35,),)</f>
        <v>0</v>
      </c>
      <c r="T32" s="387">
        <f t="shared" si="17"/>
        <v>0</v>
      </c>
      <c r="U32" s="216">
        <f t="shared" si="4"/>
        <v>0</v>
      </c>
      <c r="V32" s="215">
        <f>+IFERROR(HLOOKUP($A$1,[15]손익!$G$5:$AB$252,44,),)</f>
        <v>0</v>
      </c>
      <c r="W32" s="387">
        <f t="shared" si="18"/>
        <v>0</v>
      </c>
      <c r="X32" s="214">
        <f t="shared" si="5"/>
        <v>0</v>
      </c>
      <c r="Y32" s="431">
        <f>+IFERROR(HLOOKUP($A$1,[15]손익!$G$5:$AB$252,53,),)</f>
        <v>0</v>
      </c>
      <c r="Z32" s="427">
        <f t="shared" si="19"/>
        <v>0</v>
      </c>
      <c r="AA32" s="437">
        <f t="shared" si="6"/>
        <v>0</v>
      </c>
      <c r="AB32" s="214">
        <f t="shared" si="20"/>
        <v>0</v>
      </c>
      <c r="AC32" s="387">
        <f t="shared" si="20"/>
        <v>0</v>
      </c>
      <c r="AD32" s="214">
        <f t="shared" si="7"/>
        <v>0</v>
      </c>
      <c r="AE32" s="420">
        <f t="shared" si="21"/>
        <v>11830.559757942512</v>
      </c>
      <c r="AF32" s="421">
        <f t="shared" si="22"/>
        <v>11500</v>
      </c>
      <c r="AG32" s="422">
        <f t="shared" si="8"/>
        <v>-330.55975794251208</v>
      </c>
    </row>
    <row r="33" spans="5:33" ht="21.95" customHeight="1" thickTop="1" x14ac:dyDescent="0.3">
      <c r="E33" s="6" t="s">
        <v>130</v>
      </c>
      <c r="G33" s="211"/>
      <c r="H33" s="211"/>
      <c r="I33" s="211"/>
      <c r="J33" s="76"/>
      <c r="M33" s="76"/>
      <c r="S33" s="211"/>
      <c r="T33" s="211"/>
      <c r="U33" s="211"/>
      <c r="V33" s="76"/>
      <c r="AB33" s="76"/>
      <c r="AE33" s="76"/>
    </row>
    <row r="34" spans="5:33" ht="21.95" customHeight="1" x14ac:dyDescent="0.3">
      <c r="J34" s="76"/>
      <c r="M34" s="76"/>
      <c r="V34" s="76"/>
      <c r="AB34" s="76"/>
      <c r="AC34" s="6" t="s">
        <v>164</v>
      </c>
      <c r="AE34" s="76"/>
    </row>
    <row r="35" spans="5:33" ht="21.95" customHeight="1" x14ac:dyDescent="0.3">
      <c r="E35" s="26" t="s">
        <v>132</v>
      </c>
      <c r="F35" s="432" t="s">
        <v>25</v>
      </c>
      <c r="G35" s="6">
        <f>+IFERROR(HLOOKUP($A$1,[14]손익!$G$5:$AB$252,59,),)</f>
        <v>0</v>
      </c>
      <c r="H35" s="6">
        <f>+IFERROR(VLOOKUP($F35,'[17]서부산(손익)'!$L$16:$R$29,4,),)/1000</f>
        <v>2800</v>
      </c>
      <c r="I35" s="6">
        <f t="shared" ref="I35:I41" si="23">+H35-G35</f>
        <v>2800</v>
      </c>
      <c r="J35" s="76">
        <f>+IFERROR(HLOOKUP($A$1,[14]손익!$G$5:$AB$252,68,),)</f>
        <v>0</v>
      </c>
      <c r="K35" s="6">
        <f>+IFERROR(VLOOKUP($F35,'[17]서부산(손익)'!$L$16:$R$29,3,),)/1000</f>
        <v>0</v>
      </c>
      <c r="L35" s="6">
        <f>+K35-J35</f>
        <v>0</v>
      </c>
      <c r="M35" s="76"/>
      <c r="O35" s="6">
        <f>+N35-M35</f>
        <v>0</v>
      </c>
      <c r="P35" s="6">
        <f>SUM(G35,J35,M35)</f>
        <v>0</v>
      </c>
      <c r="Q35" s="6">
        <f>SUM(H35,K35,N35)</f>
        <v>2800</v>
      </c>
      <c r="R35" s="6">
        <f t="shared" ref="R35:R41" si="24">+Q35-P35</f>
        <v>2800</v>
      </c>
      <c r="S35" s="6">
        <f>+IFERROR(HLOOKUP($A$1,[15]손익!$G$5:$AB$252,57,),)</f>
        <v>172944.57412148331</v>
      </c>
      <c r="T35" s="6">
        <f>+IFERROR(VLOOKUP($F35,'[17]부산크라샤(손익)'!$L$16:$R$29,3,),)/1000</f>
        <v>259000</v>
      </c>
      <c r="U35" s="6">
        <f t="shared" ref="U35:U41" si="25">+T35-S35</f>
        <v>86055.425878516689</v>
      </c>
      <c r="V35" s="76">
        <f>+IFERROR(HLOOKUP($A$1,[15]손익!$G$5:$AB$252,66,),)</f>
        <v>175451.95367627355</v>
      </c>
      <c r="W35" s="6">
        <f>+IFERROR(VLOOKUP($F35,'[17]부산크라샤(손익)'!$L$16:$R$29,4,),)/1000</f>
        <v>234530</v>
      </c>
      <c r="X35" s="6">
        <f>+W35-V35</f>
        <v>59078.046323726448</v>
      </c>
      <c r="Y35" s="6">
        <f>SUM(S35,V35)</f>
        <v>348396.52779775683</v>
      </c>
      <c r="Z35" s="6">
        <f t="shared" ref="Z35:Z41" si="26">SUM(T35,W35)</f>
        <v>493530</v>
      </c>
      <c r="AA35" s="6">
        <f t="shared" ref="AA35:AA41" si="27">+Z35-Y35</f>
        <v>145133.47220224317</v>
      </c>
      <c r="AB35" s="438">
        <f>+IFERROR(HLOOKUP($A$1,[16]이송계획!$G$70:$W$100,16,),)+IFERROR(HLOOKUP($A$1,[16]이송계획!$G$70:$W$100,23,),)</f>
        <v>131782.62648080222</v>
      </c>
      <c r="AC35" s="6">
        <f>+'[9]부산모래장(당월)'!R76</f>
        <v>188480</v>
      </c>
      <c r="AE35" s="76">
        <f t="shared" ref="AE35:AF41" si="28">+P35+Y35+AB35</f>
        <v>480179.15427855903</v>
      </c>
      <c r="AF35" s="76">
        <f t="shared" si="28"/>
        <v>684810</v>
      </c>
      <c r="AG35" s="6">
        <f t="shared" ref="AG35:AG41" si="29">+AF35-AE35</f>
        <v>204630.84572144097</v>
      </c>
    </row>
    <row r="36" spans="5:33" ht="21.95" customHeight="1" x14ac:dyDescent="0.3">
      <c r="E36" s="26" t="s">
        <v>77</v>
      </c>
      <c r="F36" s="432" t="s">
        <v>26</v>
      </c>
      <c r="G36" s="6">
        <f>+IFERROR(HLOOKUP($A$1,[14]손익!$G$5:$AB$252,60,),)</f>
        <v>227968</v>
      </c>
      <c r="H36" s="6">
        <f>+IFERROR(VLOOKUP($F36,'[17]서부산(손익)'!$L$16:$R$29,4,),)/1000</f>
        <v>224910</v>
      </c>
      <c r="I36" s="6">
        <f t="shared" si="23"/>
        <v>-3058</v>
      </c>
      <c r="J36" s="76">
        <f>+IFERROR(HLOOKUP($A$1,[14]손익!$G$5:$AB$252,69,),)</f>
        <v>26731.466666666664</v>
      </c>
      <c r="K36" s="6">
        <f>+IFERROR(VLOOKUP($F36,'[17]서부산(손익)'!$L$16:$R$29,3,),)/1000</f>
        <v>0</v>
      </c>
      <c r="L36" s="6">
        <f t="shared" ref="L36:L41" si="30">+K36-J36</f>
        <v>-26731.466666666664</v>
      </c>
      <c r="M36" s="76"/>
      <c r="O36" s="6">
        <f t="shared" ref="O36:O41" si="31">+N36-M36</f>
        <v>0</v>
      </c>
      <c r="P36" s="6">
        <f t="shared" ref="P36:P41" si="32">SUM(G36,J36,M36)</f>
        <v>254699.46666666667</v>
      </c>
      <c r="Q36" s="6">
        <f t="shared" ref="Q36:Q41" si="33">SUM(H36,K36,N36)</f>
        <v>224910</v>
      </c>
      <c r="R36" s="6">
        <f t="shared" si="24"/>
        <v>-29789.466666666674</v>
      </c>
      <c r="S36" s="6">
        <f>+IFERROR(HLOOKUP($A$1,[15]손익!$G$5:$AB$252,58,),)</f>
        <v>0</v>
      </c>
      <c r="T36" s="6">
        <f>+IFERROR(VLOOKUP($F36,'[17]부산크라샤(손익)'!$L$16:$R$29,3,),)/1000</f>
        <v>0</v>
      </c>
      <c r="U36" s="6">
        <f t="shared" si="25"/>
        <v>0</v>
      </c>
      <c r="V36" s="76">
        <f>+IFERROR(HLOOKUP($A$1,[15]손익!$G$5:$AB$252,67,),)</f>
        <v>45081.48387096775</v>
      </c>
      <c r="W36" s="6">
        <f>+IFERROR(VLOOKUP($F36,'[17]부산크라샤(손익)'!$L$16:$R$29,4,),)/1000</f>
        <v>80960</v>
      </c>
      <c r="X36" s="6">
        <f t="shared" ref="X36:X41" si="34">+W36-V36</f>
        <v>35878.51612903225</v>
      </c>
      <c r="Y36" s="6">
        <f t="shared" ref="Y36:Y41" si="35">SUM(S36,V36)</f>
        <v>45081.48387096775</v>
      </c>
      <c r="Z36" s="6">
        <f t="shared" si="26"/>
        <v>80960</v>
      </c>
      <c r="AA36" s="6">
        <f>+Z36-Y36</f>
        <v>35878.51612903225</v>
      </c>
      <c r="AB36" s="438">
        <f>+IFERROR(HLOOKUP($A$1,[16]이송계획!$G$70:$W$100,17,),)+IFERROR(HLOOKUP($A$1,[16]이송계획!$G$70:$W$100,24,),)</f>
        <v>150609.45454545456</v>
      </c>
      <c r="AC36" s="6">
        <f>+'[9]부산모래장(당월)'!R77</f>
        <v>93632</v>
      </c>
      <c r="AE36" s="6">
        <f t="shared" si="28"/>
        <v>450390.40508308902</v>
      </c>
      <c r="AF36" s="6">
        <f t="shared" si="28"/>
        <v>399502</v>
      </c>
      <c r="AG36" s="6">
        <f t="shared" si="29"/>
        <v>-50888.405083089019</v>
      </c>
    </row>
    <row r="37" spans="5:33" ht="21.95" customHeight="1" x14ac:dyDescent="0.3">
      <c r="F37" s="432" t="s">
        <v>27</v>
      </c>
      <c r="G37" s="6">
        <f>+IFERROR(HLOOKUP($A$1,[14]손익!$G$5:$AB$252,61,),)</f>
        <v>13280</v>
      </c>
      <c r="H37" s="6">
        <f>+IFERROR(VLOOKUP($F37,'[17]서부산(손익)'!$L$16:$R$29,4,),)/1000</f>
        <v>16008</v>
      </c>
      <c r="I37" s="6">
        <f t="shared" si="23"/>
        <v>2728</v>
      </c>
      <c r="J37" s="76">
        <f>+IFERROR(HLOOKUP($A$1,[14]손익!$G$5:$AB$252,70,),)</f>
        <v>0</v>
      </c>
      <c r="K37" s="6">
        <f>+IFERROR(VLOOKUP($F37,'[17]서부산(손익)'!$L$16:$R$29,3,),)/1000</f>
        <v>0</v>
      </c>
      <c r="L37" s="6">
        <f t="shared" si="30"/>
        <v>0</v>
      </c>
      <c r="M37" s="76"/>
      <c r="O37" s="6">
        <f t="shared" si="31"/>
        <v>0</v>
      </c>
      <c r="P37" s="6">
        <f t="shared" si="32"/>
        <v>13280</v>
      </c>
      <c r="Q37" s="6">
        <f t="shared" si="33"/>
        <v>16008</v>
      </c>
      <c r="R37" s="6">
        <f t="shared" si="24"/>
        <v>2728</v>
      </c>
      <c r="S37" s="6">
        <f>+IFERROR(HLOOKUP($A$1,[15]손익!$G$5:$AB$252,59,),)</f>
        <v>0</v>
      </c>
      <c r="T37" s="6">
        <f>+IFERROR(VLOOKUP($F37,'[17]부산크라샤(손익)'!$L$16:$R$29,3,),)/1000</f>
        <v>0</v>
      </c>
      <c r="U37" s="6">
        <f t="shared" si="25"/>
        <v>0</v>
      </c>
      <c r="V37" s="76">
        <f>+IFERROR(HLOOKUP($A$1,[15]손익!$G$5:$AB$252,68,),)</f>
        <v>0</v>
      </c>
      <c r="W37" s="6">
        <f>+IFERROR(VLOOKUP($F37,'[17]부산크라샤(손익)'!$L$16:$R$29,4,),)/1000</f>
        <v>0</v>
      </c>
      <c r="X37" s="6">
        <f t="shared" si="34"/>
        <v>0</v>
      </c>
      <c r="Y37" s="6">
        <f t="shared" si="35"/>
        <v>0</v>
      </c>
      <c r="Z37" s="6">
        <f t="shared" si="26"/>
        <v>0</v>
      </c>
      <c r="AA37" s="6">
        <f t="shared" si="27"/>
        <v>0</v>
      </c>
      <c r="AB37" s="438">
        <f>+IFERROR(HLOOKUP($A$1,[16]이송계획!$G$70:$W$100,18,),)+IFERROR(HLOOKUP($A$1,[16]이송계획!$G$70:$W$100,25,),)</f>
        <v>87692.307692307702</v>
      </c>
      <c r="AC37" s="6">
        <f>+'[9]부산모래장(당월)'!R78</f>
        <v>77440</v>
      </c>
      <c r="AE37" s="6">
        <f t="shared" si="28"/>
        <v>100972.3076923077</v>
      </c>
      <c r="AF37" s="6">
        <f t="shared" si="28"/>
        <v>93448</v>
      </c>
      <c r="AG37" s="6">
        <f t="shared" si="29"/>
        <v>-7524.3076923077024</v>
      </c>
    </row>
    <row r="38" spans="5:33" ht="21.95" customHeight="1" x14ac:dyDescent="0.3">
      <c r="F38" s="432" t="s">
        <v>28</v>
      </c>
      <c r="G38" s="6">
        <f>+IFERROR(HLOOKUP($A$1,[14]손익!$G$5:$AB$252,62,),)</f>
        <v>0</v>
      </c>
      <c r="H38" s="6">
        <f>+IFERROR(VLOOKUP($F38,'[17]서부산(손익)'!$L$16:$R$29,4,),)/1000</f>
        <v>0</v>
      </c>
      <c r="I38" s="6">
        <f t="shared" si="23"/>
        <v>0</v>
      </c>
      <c r="J38" s="76">
        <f>+IFERROR(HLOOKUP($A$1,[14]손익!$G$5:$AB$252,71,),)</f>
        <v>0</v>
      </c>
      <c r="K38" s="6">
        <f>+IFERROR(VLOOKUP($F38,'[17]서부산(손익)'!$L$16:$R$29,3,),)/1000</f>
        <v>0</v>
      </c>
      <c r="L38" s="6">
        <f t="shared" si="30"/>
        <v>0</v>
      </c>
      <c r="M38" s="76"/>
      <c r="O38" s="6">
        <f t="shared" si="31"/>
        <v>0</v>
      </c>
      <c r="P38" s="6">
        <f t="shared" si="32"/>
        <v>0</v>
      </c>
      <c r="Q38" s="6">
        <f t="shared" si="33"/>
        <v>0</v>
      </c>
      <c r="R38" s="6">
        <f t="shared" si="24"/>
        <v>0</v>
      </c>
      <c r="S38" s="6">
        <f>+IFERROR(HLOOKUP($A$1,[15]손익!$G$5:$AB$252,60,),)</f>
        <v>0</v>
      </c>
      <c r="T38" s="6">
        <f>+IFERROR(VLOOKUP($F38,'[17]부산크라샤(손익)'!$L$16:$R$29,3,),)/1000</f>
        <v>0</v>
      </c>
      <c r="U38" s="6">
        <f t="shared" si="25"/>
        <v>0</v>
      </c>
      <c r="V38" s="76">
        <f>+IFERROR(HLOOKUP($A$1,[15]손익!$G$5:$AB$252,69,),)</f>
        <v>0</v>
      </c>
      <c r="W38" s="6">
        <f>+IFERROR(VLOOKUP($F38,'[17]부산크라샤(손익)'!$L$16:$R$29,4,),)/1000</f>
        <v>0</v>
      </c>
      <c r="X38" s="6">
        <f t="shared" si="34"/>
        <v>0</v>
      </c>
      <c r="Y38" s="6">
        <f t="shared" si="35"/>
        <v>0</v>
      </c>
      <c r="Z38" s="6">
        <f t="shared" si="26"/>
        <v>0</v>
      </c>
      <c r="AA38" s="6">
        <f t="shared" si="27"/>
        <v>0</v>
      </c>
      <c r="AB38" s="438">
        <f>+IFERROR(HLOOKUP($A$1,[16]이송계획!$G$70:$W$100,19,),)+IFERROR(HLOOKUP($A$1,[16]이송계획!$G$70:$W$100,26,),)</f>
        <v>114646.15384615384</v>
      </c>
      <c r="AC38" s="6">
        <f>+'[9]부산모래장(당월)'!R79</f>
        <v>106920</v>
      </c>
      <c r="AE38" s="6">
        <f t="shared" si="28"/>
        <v>114646.15384615384</v>
      </c>
      <c r="AF38" s="6">
        <f t="shared" si="28"/>
        <v>106920</v>
      </c>
      <c r="AG38" s="6">
        <f t="shared" si="29"/>
        <v>-7726.1538461538439</v>
      </c>
    </row>
    <row r="39" spans="5:33" ht="21.95" customHeight="1" x14ac:dyDescent="0.3">
      <c r="F39" s="432" t="s">
        <v>29</v>
      </c>
      <c r="G39" s="6">
        <f>+IFERROR(HLOOKUP($A$1,[14]손익!$G$5:$AB$252,63,),)</f>
        <v>0</v>
      </c>
      <c r="H39" s="6">
        <f>+IFERROR(VLOOKUP($F39,'[17]서부산(손익)'!$L$16:$R$29,4,),)/1000</f>
        <v>0</v>
      </c>
      <c r="I39" s="6">
        <f t="shared" si="23"/>
        <v>0</v>
      </c>
      <c r="J39" s="76">
        <f>+IFERROR(HLOOKUP($A$1,[14]손익!$G$5:$AB$252,72,),)</f>
        <v>8228.4383999999991</v>
      </c>
      <c r="K39" s="6">
        <f>+IFERROR(VLOOKUP($F39,'[17]서부산(손익)'!$L$16:$R$29,3,),)/1000</f>
        <v>1008</v>
      </c>
      <c r="L39" s="6">
        <f t="shared" si="30"/>
        <v>-7220.4383999999991</v>
      </c>
      <c r="M39" s="76"/>
      <c r="O39" s="6">
        <f t="shared" si="31"/>
        <v>0</v>
      </c>
      <c r="P39" s="6">
        <f t="shared" si="32"/>
        <v>8228.4383999999991</v>
      </c>
      <c r="Q39" s="6">
        <f t="shared" si="33"/>
        <v>1008</v>
      </c>
      <c r="R39" s="6">
        <f t="shared" si="24"/>
        <v>-7220.4383999999991</v>
      </c>
      <c r="S39" s="6">
        <f>+IFERROR(HLOOKUP($A$1,[15]손익!$G$5:$AB$252,61,),)</f>
        <v>0</v>
      </c>
      <c r="T39" s="6">
        <f>+IFERROR(VLOOKUP($F39,'[17]부산크라샤(손익)'!$L$16:$R$29,3,),)/1000</f>
        <v>0</v>
      </c>
      <c r="U39" s="6">
        <f t="shared" si="25"/>
        <v>0</v>
      </c>
      <c r="V39" s="76">
        <f>+IFERROR(HLOOKUP($A$1,[15]손익!$G$5:$AB$252,70,),)</f>
        <v>0</v>
      </c>
      <c r="W39" s="6">
        <f>+IFERROR(VLOOKUP($F39,'[17]부산크라샤(손익)'!$L$16:$R$29,4,),)/1000</f>
        <v>0</v>
      </c>
      <c r="X39" s="6">
        <f t="shared" si="34"/>
        <v>0</v>
      </c>
      <c r="Y39" s="6">
        <f t="shared" si="35"/>
        <v>0</v>
      </c>
      <c r="Z39" s="6">
        <f t="shared" si="26"/>
        <v>0</v>
      </c>
      <c r="AA39" s="6">
        <f t="shared" si="27"/>
        <v>0</v>
      </c>
      <c r="AB39" s="438">
        <f>+IFERROR(HLOOKUP($A$1,[16]이송계획!$G$70:$W$100,20,),)+IFERROR(HLOOKUP($A$1,[16]이송계획!$G$70:$W$100,27,),)</f>
        <v>40201.730769230766</v>
      </c>
      <c r="AC39" s="6">
        <f>+'[9]부산모래장(당월)'!R80</f>
        <v>0</v>
      </c>
      <c r="AE39" s="6">
        <f t="shared" si="28"/>
        <v>48430.169169230765</v>
      </c>
      <c r="AF39" s="6">
        <f t="shared" si="28"/>
        <v>1008</v>
      </c>
      <c r="AG39" s="6">
        <f t="shared" si="29"/>
        <v>-47422.169169230765</v>
      </c>
    </row>
    <row r="40" spans="5:33" ht="21.95" customHeight="1" x14ac:dyDescent="0.3">
      <c r="F40" s="432" t="s">
        <v>30</v>
      </c>
      <c r="G40" s="6">
        <f>+IFERROR(HLOOKUP($A$1,[14]손익!$G$5:$AB$252,64,),)</f>
        <v>10056</v>
      </c>
      <c r="H40" s="6">
        <f>+IFERROR(VLOOKUP($F40,'[17]서부산(손익)'!$L$16:$R$29,4,),)/1000</f>
        <v>13248</v>
      </c>
      <c r="I40" s="6">
        <f t="shared" si="23"/>
        <v>3192</v>
      </c>
      <c r="J40" s="76">
        <f>+IFERROR(HLOOKUP($A$1,[14]손익!$G$5:$AB$252,73,),)</f>
        <v>8712</v>
      </c>
      <c r="K40" s="6">
        <f>+IFERROR(VLOOKUP($F40,'[17]서부산(손익)'!$L$16:$R$29,3,),)/1000</f>
        <v>0</v>
      </c>
      <c r="L40" s="6">
        <f t="shared" si="30"/>
        <v>-8712</v>
      </c>
      <c r="M40" s="76"/>
      <c r="O40" s="6">
        <f t="shared" si="31"/>
        <v>0</v>
      </c>
      <c r="P40" s="6">
        <f t="shared" si="32"/>
        <v>18768</v>
      </c>
      <c r="Q40" s="6">
        <f t="shared" si="33"/>
        <v>13248</v>
      </c>
      <c r="R40" s="6">
        <f t="shared" si="24"/>
        <v>-5520</v>
      </c>
      <c r="S40" s="6">
        <f>+IFERROR(HLOOKUP($A$1,[15]손익!$G$5:$AB$252,62,),)</f>
        <v>0</v>
      </c>
      <c r="T40" s="6">
        <f>+IFERROR(VLOOKUP($F40,'[17]부산크라샤(손익)'!$L$16:$R$29,3,),)/1000</f>
        <v>0</v>
      </c>
      <c r="U40" s="6">
        <f t="shared" si="25"/>
        <v>0</v>
      </c>
      <c r="V40" s="76">
        <f>+IFERROR(HLOOKUP($A$1,[15]손익!$G$5:$AB$252,71,),)</f>
        <v>0</v>
      </c>
      <c r="W40" s="6">
        <f>+IFERROR(VLOOKUP($F40,'[17]부산크라샤(손익)'!$L$16:$R$29,4,),)/1000</f>
        <v>0</v>
      </c>
      <c r="X40" s="6">
        <f t="shared" si="34"/>
        <v>0</v>
      </c>
      <c r="Y40" s="6">
        <f t="shared" si="35"/>
        <v>0</v>
      </c>
      <c r="Z40" s="6">
        <f t="shared" si="26"/>
        <v>0</v>
      </c>
      <c r="AA40" s="6">
        <f t="shared" si="27"/>
        <v>0</v>
      </c>
      <c r="AB40" s="438">
        <f>+IFERROR(HLOOKUP($A$1,[16]이송계획!$G$70:$W$100,21,),)+IFERROR(HLOOKUP($A$1,[16]이송계획!$G$70:$W$100,28,),)</f>
        <v>0</v>
      </c>
      <c r="AE40" s="6">
        <f t="shared" si="28"/>
        <v>18768</v>
      </c>
      <c r="AF40" s="6">
        <f t="shared" si="28"/>
        <v>13248</v>
      </c>
      <c r="AG40" s="6">
        <f t="shared" si="29"/>
        <v>-5520</v>
      </c>
    </row>
    <row r="41" spans="5:33" ht="21.95" customHeight="1" x14ac:dyDescent="0.3">
      <c r="F41" s="432" t="s">
        <v>8</v>
      </c>
      <c r="G41" s="6">
        <f>SUM(G35:G40)</f>
        <v>251304</v>
      </c>
      <c r="H41" s="6">
        <f>SUM(H35:H40)</f>
        <v>256966</v>
      </c>
      <c r="I41" s="6">
        <f t="shared" si="23"/>
        <v>5662</v>
      </c>
      <c r="J41" s="76">
        <f>SUM(J35:J40)</f>
        <v>43671.905066666659</v>
      </c>
      <c r="K41" s="76">
        <f>SUM(K35:K40)</f>
        <v>1008</v>
      </c>
      <c r="L41" s="6">
        <f t="shared" si="30"/>
        <v>-42663.905066666659</v>
      </c>
      <c r="M41" s="76"/>
      <c r="N41" s="76"/>
      <c r="O41" s="6">
        <f t="shared" si="31"/>
        <v>0</v>
      </c>
      <c r="P41" s="6">
        <f t="shared" si="32"/>
        <v>294975.90506666666</v>
      </c>
      <c r="Q41" s="6">
        <f t="shared" si="33"/>
        <v>257974</v>
      </c>
      <c r="R41" s="6">
        <f t="shared" si="24"/>
        <v>-37001.905066666659</v>
      </c>
      <c r="S41" s="6">
        <f>SUM(S35:S40)</f>
        <v>172944.57412148331</v>
      </c>
      <c r="T41" s="6">
        <f>SUM(T35:T40)</f>
        <v>259000</v>
      </c>
      <c r="U41" s="6">
        <f t="shared" si="25"/>
        <v>86055.425878516689</v>
      </c>
      <c r="V41" s="76">
        <f>SUM(V35:V40)</f>
        <v>220533.43754724131</v>
      </c>
      <c r="W41" s="76">
        <f>SUM(W35:W40)</f>
        <v>315490</v>
      </c>
      <c r="X41" s="6">
        <f t="shared" si="34"/>
        <v>94956.562452758692</v>
      </c>
      <c r="Y41" s="6">
        <f t="shared" si="35"/>
        <v>393478.01166872459</v>
      </c>
      <c r="Z41" s="6">
        <f t="shared" si="26"/>
        <v>574490</v>
      </c>
      <c r="AA41" s="6">
        <f t="shared" si="27"/>
        <v>181011.98833127541</v>
      </c>
      <c r="AB41" s="6">
        <f>SUM(AB35:AB40)</f>
        <v>524932.27333394904</v>
      </c>
      <c r="AC41" s="6">
        <f>SUM(AC35:AC40)</f>
        <v>466472</v>
      </c>
      <c r="AE41" s="6">
        <f t="shared" si="28"/>
        <v>1213386.1900693402</v>
      </c>
      <c r="AF41" s="6">
        <f t="shared" si="28"/>
        <v>1298936</v>
      </c>
      <c r="AG41" s="6">
        <f t="shared" si="29"/>
        <v>85549.809930659831</v>
      </c>
    </row>
    <row r="42" spans="5:33" ht="21.95" customHeight="1" x14ac:dyDescent="0.3">
      <c r="G42" s="6" t="b">
        <f>+G41=G13</f>
        <v>1</v>
      </c>
      <c r="H42" s="6" t="b">
        <f>+H41=H13</f>
        <v>1</v>
      </c>
      <c r="J42" s="6" t="b">
        <f>+J41=J13</f>
        <v>1</v>
      </c>
      <c r="K42" s="6" t="b">
        <f>+K41=K13</f>
        <v>1</v>
      </c>
      <c r="P42" s="6" t="b">
        <f>+P41=P13</f>
        <v>1</v>
      </c>
      <c r="Q42" s="6" t="b">
        <f>+Q41=Q13</f>
        <v>1</v>
      </c>
      <c r="S42" s="6" t="b">
        <f>+S41=S13</f>
        <v>1</v>
      </c>
      <c r="T42" s="6" t="b">
        <f>+T41=T13</f>
        <v>1</v>
      </c>
      <c r="V42" s="6" t="b">
        <f>+V41=V13</f>
        <v>1</v>
      </c>
      <c r="W42" s="6" t="b">
        <f>+W41=W13</f>
        <v>1</v>
      </c>
      <c r="Y42" s="6" t="b">
        <f>+Y41=Y13</f>
        <v>1</v>
      </c>
      <c r="Z42" s="6" t="b">
        <f>+Z41=Z13</f>
        <v>1</v>
      </c>
      <c r="AB42" s="6" t="b">
        <f>+AB41=AB13</f>
        <v>1</v>
      </c>
      <c r="AC42" s="6" t="b">
        <f>+AC41=AC13</f>
        <v>1</v>
      </c>
      <c r="AE42" s="6" t="b">
        <f>+AE41=AE13</f>
        <v>1</v>
      </c>
      <c r="AF42" s="6" t="b">
        <f>+AF41=AF13</f>
        <v>1</v>
      </c>
    </row>
    <row r="43" spans="5:33" ht="21.95" customHeight="1" x14ac:dyDescent="0.3"/>
    <row r="44" spans="5:33" ht="21.95" customHeight="1" x14ac:dyDescent="0.3"/>
    <row r="45" spans="5:33" ht="21.95" customHeight="1" x14ac:dyDescent="0.3"/>
    <row r="46" spans="5:33" ht="21.95" customHeight="1" x14ac:dyDescent="0.3"/>
    <row r="47" spans="5:33" ht="21.95" customHeight="1" x14ac:dyDescent="0.3"/>
    <row r="48" spans="5:33" ht="21.95" customHeight="1" x14ac:dyDescent="0.3"/>
    <row r="49" ht="21.95" customHeight="1" x14ac:dyDescent="0.3"/>
    <row r="50" ht="21.95" customHeight="1" x14ac:dyDescent="0.3"/>
    <row r="51" ht="21.95" customHeight="1" x14ac:dyDescent="0.3"/>
    <row r="52" ht="21.95" customHeight="1" x14ac:dyDescent="0.3"/>
    <row r="53" ht="21.95" customHeight="1" x14ac:dyDescent="0.3"/>
  </sheetData>
  <mergeCells count="1">
    <mergeCell ref="E6:F7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42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C6ED8-5E52-4D82-B96B-B96DE3FEDC7F}">
  <sheetPr>
    <tabColor theme="0" tint="-0.249977111117893"/>
    <pageSetUpPr fitToPage="1"/>
  </sheetPr>
  <dimension ref="A1:AJ53"/>
  <sheetViews>
    <sheetView showGridLines="0" showZeros="0" view="pageBreakPreview" zoomScale="60" zoomScaleNormal="85" workbookViewId="0">
      <pane xSplit="6" ySplit="7" topLeftCell="G8" activePane="bottomRight" state="frozen"/>
      <selection activeCell="C32" sqref="C32"/>
      <selection pane="topRight" activeCell="C32" sqref="C32"/>
      <selection pane="bottomLeft" activeCell="C32" sqref="C32"/>
      <selection pane="bottomRight" activeCell="AI16" sqref="AI16"/>
    </sheetView>
  </sheetViews>
  <sheetFormatPr defaultRowHeight="16.5" x14ac:dyDescent="0.3"/>
  <cols>
    <col min="1" max="3" width="5.625" style="6" customWidth="1"/>
    <col min="4" max="4" width="3.125" style="6" customWidth="1"/>
    <col min="5" max="6" width="8.625" style="6" customWidth="1"/>
    <col min="7" max="33" width="10.625" style="6" customWidth="1"/>
    <col min="34" max="34" width="9" style="6"/>
    <col min="35" max="36" width="14.25" style="6" customWidth="1"/>
    <col min="37" max="16384" width="9" style="6"/>
  </cols>
  <sheetData>
    <row r="1" spans="1:36" ht="22.5" customHeight="1" x14ac:dyDescent="0.3">
      <c r="A1" s="423" t="s">
        <v>229</v>
      </c>
    </row>
    <row r="2" spans="1:36" ht="9.75" customHeight="1" x14ac:dyDescent="0.3"/>
    <row r="3" spans="1:36" ht="9.9499999999999993" customHeight="1" x14ac:dyDescent="0.3"/>
    <row r="4" spans="1:36" ht="31.5" x14ac:dyDescent="0.3">
      <c r="D4" s="184" t="s">
        <v>230</v>
      </c>
      <c r="F4" s="184"/>
      <c r="I4" s="184"/>
    </row>
    <row r="5" spans="1:36" ht="21.95" customHeight="1" thickBot="1" x14ac:dyDescent="0.35">
      <c r="J5" s="76"/>
      <c r="AB5" s="76"/>
      <c r="AE5" s="76"/>
      <c r="AG5" s="186" t="s">
        <v>167</v>
      </c>
    </row>
    <row r="6" spans="1:36" ht="24" customHeight="1" thickTop="1" x14ac:dyDescent="0.3">
      <c r="D6" s="296" t="s">
        <v>15</v>
      </c>
      <c r="E6" s="838" t="s">
        <v>11</v>
      </c>
      <c r="F6" s="839"/>
      <c r="G6" s="294" t="s">
        <v>140</v>
      </c>
      <c r="H6" s="293"/>
      <c r="I6" s="293"/>
      <c r="J6" s="293" t="s">
        <v>139</v>
      </c>
      <c r="K6" s="293"/>
      <c r="L6" s="295"/>
      <c r="M6" s="293" t="s">
        <v>227</v>
      </c>
      <c r="N6" s="293"/>
      <c r="O6" s="295"/>
      <c r="P6" s="389" t="s">
        <v>138</v>
      </c>
      <c r="Q6" s="390"/>
      <c r="R6" s="391"/>
      <c r="S6" s="294" t="s">
        <v>186</v>
      </c>
      <c r="T6" s="293"/>
      <c r="U6" s="293"/>
      <c r="V6" s="293" t="s">
        <v>187</v>
      </c>
      <c r="W6" s="293"/>
      <c r="X6" s="295"/>
      <c r="Y6" s="389" t="s">
        <v>188</v>
      </c>
      <c r="Z6" s="390"/>
      <c r="AA6" s="391"/>
      <c r="AB6" s="388" t="s">
        <v>137</v>
      </c>
      <c r="AC6" s="293"/>
      <c r="AD6" s="295"/>
      <c r="AE6" s="389" t="s">
        <v>136</v>
      </c>
      <c r="AF6" s="390"/>
      <c r="AG6" s="391"/>
    </row>
    <row r="7" spans="1:36" ht="24" customHeight="1" x14ac:dyDescent="0.3">
      <c r="D7" s="292"/>
      <c r="E7" s="840"/>
      <c r="F7" s="841"/>
      <c r="G7" s="288" t="s">
        <v>12</v>
      </c>
      <c r="H7" s="374" t="s">
        <v>13</v>
      </c>
      <c r="I7" s="291" t="s">
        <v>36</v>
      </c>
      <c r="J7" s="290" t="s">
        <v>15</v>
      </c>
      <c r="K7" s="374" t="s">
        <v>16</v>
      </c>
      <c r="L7" s="289" t="s">
        <v>36</v>
      </c>
      <c r="M7" s="290" t="s">
        <v>15</v>
      </c>
      <c r="N7" s="374" t="s">
        <v>16</v>
      </c>
      <c r="O7" s="289" t="s">
        <v>36</v>
      </c>
      <c r="P7" s="392" t="s">
        <v>15</v>
      </c>
      <c r="Q7" s="374" t="s">
        <v>16</v>
      </c>
      <c r="R7" s="393" t="s">
        <v>36</v>
      </c>
      <c r="S7" s="288" t="s">
        <v>12</v>
      </c>
      <c r="T7" s="374" t="s">
        <v>13</v>
      </c>
      <c r="U7" s="291" t="s">
        <v>36</v>
      </c>
      <c r="V7" s="290" t="s">
        <v>15</v>
      </c>
      <c r="W7" s="374" t="s">
        <v>16</v>
      </c>
      <c r="X7" s="289" t="s">
        <v>36</v>
      </c>
      <c r="Y7" s="392" t="s">
        <v>15</v>
      </c>
      <c r="Z7" s="374" t="s">
        <v>16</v>
      </c>
      <c r="AA7" s="393" t="s">
        <v>36</v>
      </c>
      <c r="AB7" s="289" t="s">
        <v>15</v>
      </c>
      <c r="AC7" s="374" t="s">
        <v>16</v>
      </c>
      <c r="AD7" s="289" t="s">
        <v>36</v>
      </c>
      <c r="AE7" s="392" t="s">
        <v>15</v>
      </c>
      <c r="AF7" s="374" t="s">
        <v>16</v>
      </c>
      <c r="AG7" s="393" t="s">
        <v>36</v>
      </c>
    </row>
    <row r="8" spans="1:36" ht="24" customHeight="1" x14ac:dyDescent="0.3">
      <c r="D8" s="77"/>
      <c r="E8" s="265" t="s">
        <v>110</v>
      </c>
      <c r="F8" s="264" t="s">
        <v>132</v>
      </c>
      <c r="G8" s="260">
        <f>+'골재사업소(당월)'!G8+'[4]골재사업소(누계)'!G8</f>
        <v>38339.599999999999</v>
      </c>
      <c r="H8" s="375">
        <f>+'골재사업소(당월)'!H8+'[4]골재사업소(누계)'!H8</f>
        <v>71216</v>
      </c>
      <c r="I8" s="263">
        <f>H8-G8</f>
        <v>32876.400000000001</v>
      </c>
      <c r="J8" s="262">
        <f>+'골재사업소(당월)'!J8+'[4]골재사업소(누계)'!J8</f>
        <v>4096.0292266666665</v>
      </c>
      <c r="K8" s="375">
        <f>+'골재사업소(당월)'!K8+'[4]골재사업소(누계)'!K8</f>
        <v>1920</v>
      </c>
      <c r="L8" s="261">
        <f>K8-J8</f>
        <v>-2176.0292266666665</v>
      </c>
      <c r="M8" s="262">
        <f>+'골재사업소(당월)'!M8</f>
        <v>0</v>
      </c>
      <c r="N8" s="375">
        <f>+'골재사업소(당월)'!N8</f>
        <v>0</v>
      </c>
      <c r="O8" s="261">
        <f>N8-M8</f>
        <v>0</v>
      </c>
      <c r="P8" s="394">
        <f>+G8+J8+M8</f>
        <v>42435.629226666664</v>
      </c>
      <c r="Q8" s="375">
        <f>+H8+K8+N8</f>
        <v>73136</v>
      </c>
      <c r="R8" s="395">
        <f>Q8-P8</f>
        <v>30700.370773333336</v>
      </c>
      <c r="S8" s="260">
        <f>+'골재사업소(당월)'!S8+'[4]골재사업소(누계)'!P8</f>
        <v>50660.443846685463</v>
      </c>
      <c r="T8" s="375">
        <f>+'골재사업소(당월)'!T8+'[4]골재사업소(누계)'!Q8</f>
        <v>57370</v>
      </c>
      <c r="U8" s="263">
        <f>T8-S8</f>
        <v>6709.5561533145374</v>
      </c>
      <c r="V8" s="262">
        <f>+'골재사업소(당월)'!V8+'[4]골재사업소(누계)'!S8</f>
        <v>46080.633962338004</v>
      </c>
      <c r="W8" s="375">
        <f>+'골재사업소(당월)'!W8+'[4]골재사업소(누계)'!T8</f>
        <v>63287</v>
      </c>
      <c r="X8" s="261">
        <f>W8-V8</f>
        <v>17206.366037661996</v>
      </c>
      <c r="Y8" s="394">
        <f>+S8+V8</f>
        <v>96741.077809023467</v>
      </c>
      <c r="Z8" s="375">
        <f>+T8+W8</f>
        <v>120657</v>
      </c>
      <c r="AA8" s="395">
        <f>Z8-Y8</f>
        <v>23915.922190976533</v>
      </c>
      <c r="AB8" s="261">
        <f>+'골재사업소(당월)'!AB8+'[4]골재사업소(누계)'!Y8</f>
        <v>66247.068086481857</v>
      </c>
      <c r="AC8" s="375">
        <f>+'골재사업소(당월)'!AC8+'[4]골재사업소(누계)'!Z8</f>
        <v>66007</v>
      </c>
      <c r="AD8" s="261">
        <f>AC8-AB8</f>
        <v>-240.06808648185688</v>
      </c>
      <c r="AE8" s="394">
        <f>+P8+Y8+AB8</f>
        <v>205423.775122172</v>
      </c>
      <c r="AF8" s="375">
        <f>+Q8+Z8+AC8</f>
        <v>259800</v>
      </c>
      <c r="AG8" s="395">
        <f>AF8-AE8</f>
        <v>54376.224877828005</v>
      </c>
    </row>
    <row r="9" spans="1:36" ht="24" customHeight="1" x14ac:dyDescent="0.3">
      <c r="D9" s="77"/>
      <c r="E9" s="282"/>
      <c r="F9" s="287" t="s">
        <v>10</v>
      </c>
      <c r="G9" s="283">
        <f>+G8/G$12</f>
        <v>0.92074851823744708</v>
      </c>
      <c r="H9" s="376">
        <f>+H8/H$12</f>
        <v>0.62681312491198427</v>
      </c>
      <c r="I9" s="286">
        <f>+H9-G9</f>
        <v>-0.29393539332546281</v>
      </c>
      <c r="J9" s="285">
        <f>+J8/J$12</f>
        <v>0.36914369482939313</v>
      </c>
      <c r="K9" s="376">
        <f>+K8/K$12</f>
        <v>0.15151515151515152</v>
      </c>
      <c r="L9" s="284">
        <f>+K9-J9</f>
        <v>-0.21762854331424161</v>
      </c>
      <c r="M9" s="285">
        <f>+M8/M$12</f>
        <v>0</v>
      </c>
      <c r="N9" s="376" t="e">
        <f>+N8/N$12</f>
        <v>#DIV/0!</v>
      </c>
      <c r="O9" s="284" t="e">
        <f>+N9-M9</f>
        <v>#DIV/0!</v>
      </c>
      <c r="P9" s="396">
        <f>+P8/P$12</f>
        <v>0.56780988754323702</v>
      </c>
      <c r="Q9" s="376">
        <f>+Q8/Q$12</f>
        <v>0.57912073989611046</v>
      </c>
      <c r="R9" s="397">
        <f>+Q9-P9</f>
        <v>1.1310852352873435E-2</v>
      </c>
      <c r="S9" s="283">
        <f>+S8/S$12</f>
        <v>0.62807048201938731</v>
      </c>
      <c r="T9" s="376">
        <f>+T8/T$12</f>
        <v>0.66368200643205844</v>
      </c>
      <c r="U9" s="286">
        <f>+T9-S9</f>
        <v>3.5611524412671125E-2</v>
      </c>
      <c r="V9" s="285">
        <f>+V8/V$12</f>
        <v>0.37746063783182782</v>
      </c>
      <c r="W9" s="376">
        <f>+W8/W$12</f>
        <v>0.66584952707607814</v>
      </c>
      <c r="X9" s="284">
        <f>+W9-V9</f>
        <v>0.28838888924425032</v>
      </c>
      <c r="Y9" s="396">
        <f>+Y8/Y$12</f>
        <v>0.4771656481976036</v>
      </c>
      <c r="Z9" s="376">
        <f>+Z8/Z$12</f>
        <v>0.66481715145270515</v>
      </c>
      <c r="AA9" s="397">
        <f>+Z9-Y9</f>
        <v>0.18765150325510155</v>
      </c>
      <c r="AB9" s="284">
        <f>+AB8/AB$12</f>
        <v>0.64475871983735755</v>
      </c>
      <c r="AC9" s="376">
        <f>+AC8/AC$12</f>
        <v>0.58621822767722342</v>
      </c>
      <c r="AD9" s="284">
        <f>+AC9-AB9</f>
        <v>-5.8540492160134128E-2</v>
      </c>
      <c r="AE9" s="396">
        <f>+AE8/AE$12</f>
        <v>0.54027072624842054</v>
      </c>
      <c r="AF9" s="376">
        <f>+AF8/AF$12</f>
        <v>0.6180196253345227</v>
      </c>
      <c r="AG9" s="397">
        <f>+AF9-AE9</f>
        <v>7.7748899086102163E-2</v>
      </c>
    </row>
    <row r="10" spans="1:36" ht="24" customHeight="1" x14ac:dyDescent="0.3">
      <c r="D10" s="258"/>
      <c r="E10" s="282"/>
      <c r="F10" s="281" t="s">
        <v>135</v>
      </c>
      <c r="G10" s="277">
        <f>+'골재사업소(당월)'!G10+'[4]골재사업소(누계)'!G10</f>
        <v>3300</v>
      </c>
      <c r="H10" s="377">
        <f>+'골재사업소(당월)'!H10+'[4]골재사업소(누계)'!H10</f>
        <v>42400</v>
      </c>
      <c r="I10" s="280">
        <f>H10-G10</f>
        <v>39100</v>
      </c>
      <c r="J10" s="279">
        <f>+'골재사업소(당월)'!J10+'[4]골재사업소(누계)'!J10</f>
        <v>7000</v>
      </c>
      <c r="K10" s="377">
        <f>+'골재사업소(당월)'!K10+'[4]골재사업소(누계)'!K10</f>
        <v>10752</v>
      </c>
      <c r="L10" s="278">
        <f>K10-J10</f>
        <v>3752</v>
      </c>
      <c r="M10" s="279">
        <f>+'골재사업소(당월)'!M10</f>
        <v>22000</v>
      </c>
      <c r="N10" s="377">
        <f>+'골재사업소(당월)'!N10</f>
        <v>0</v>
      </c>
      <c r="O10" s="278">
        <f>N10-M10</f>
        <v>-22000</v>
      </c>
      <c r="P10" s="398">
        <f>+G10+J10+M10</f>
        <v>32300</v>
      </c>
      <c r="Q10" s="377">
        <f>+H10+K10+N10</f>
        <v>53152</v>
      </c>
      <c r="R10" s="399">
        <f>Q10-P10</f>
        <v>20852</v>
      </c>
      <c r="S10" s="277">
        <f>+'골재사업소(당월)'!S10+'[4]골재사업소(누계)'!P10</f>
        <v>30000</v>
      </c>
      <c r="T10" s="377">
        <f>+'골재사업소(당월)'!T10+'[4]골재사업소(누계)'!Q10</f>
        <v>29072</v>
      </c>
      <c r="U10" s="280">
        <f>T10-S10</f>
        <v>-928</v>
      </c>
      <c r="V10" s="279">
        <f>+'골재사업소(당월)'!V10+'[4]골재사업소(누계)'!S10</f>
        <v>76000</v>
      </c>
      <c r="W10" s="377">
        <f>+'골재사업소(당월)'!W10+'[4]골재사업소(누계)'!T10</f>
        <v>31760</v>
      </c>
      <c r="X10" s="278">
        <f>W10-V10</f>
        <v>-44240</v>
      </c>
      <c r="Y10" s="398">
        <f>+S10+V10</f>
        <v>106000</v>
      </c>
      <c r="Z10" s="377">
        <f>+T10+W10</f>
        <v>60832</v>
      </c>
      <c r="AA10" s="399">
        <f>Z10-Y10</f>
        <v>-45168</v>
      </c>
      <c r="AB10" s="278">
        <f>+'골재사업소(당월)'!AB10+'[4]골재사업소(누계)'!Y10</f>
        <v>36500</v>
      </c>
      <c r="AC10" s="377">
        <f>+'골재사업소(당월)'!AC10+'[4]골재사업소(누계)'!Z10</f>
        <v>46591</v>
      </c>
      <c r="AD10" s="278">
        <f>AC10-AB10</f>
        <v>10091</v>
      </c>
      <c r="AE10" s="398">
        <f>+P10+Y10+AB10</f>
        <v>174800</v>
      </c>
      <c r="AF10" s="377">
        <f>+Q10+Z10+AC10</f>
        <v>160575</v>
      </c>
      <c r="AG10" s="399">
        <f>AF10-AE10</f>
        <v>-14225</v>
      </c>
    </row>
    <row r="11" spans="1:36" ht="24" customHeight="1" x14ac:dyDescent="0.3">
      <c r="D11" s="258"/>
      <c r="E11" s="259"/>
      <c r="F11" s="276" t="s">
        <v>10</v>
      </c>
      <c r="G11" s="272">
        <f>+G10/G$12</f>
        <v>7.9251481762552964E-2</v>
      </c>
      <c r="H11" s="378">
        <f>+H10/H$12</f>
        <v>0.37318687508801579</v>
      </c>
      <c r="I11" s="275">
        <f>+H11-G11</f>
        <v>0.29393539332546281</v>
      </c>
      <c r="J11" s="274">
        <f>+J10/J$12</f>
        <v>0.63085630517060698</v>
      </c>
      <c r="K11" s="378">
        <f>+K10/K$12</f>
        <v>0.84848484848484851</v>
      </c>
      <c r="L11" s="273">
        <f>+K11-J11</f>
        <v>0.21762854331424153</v>
      </c>
      <c r="M11" s="274">
        <f>+M10/M$12</f>
        <v>1</v>
      </c>
      <c r="N11" s="378" t="e">
        <f>+N10/N$12</f>
        <v>#DIV/0!</v>
      </c>
      <c r="O11" s="273" t="e">
        <f>+N11-M11</f>
        <v>#DIV/0!</v>
      </c>
      <c r="P11" s="400">
        <f>+P10/P$12</f>
        <v>0.43219011245676281</v>
      </c>
      <c r="Q11" s="378">
        <f>+Q10/Q$12</f>
        <v>0.42087926010388954</v>
      </c>
      <c r="R11" s="401">
        <f>+Q11-P11</f>
        <v>-1.1310852352873269E-2</v>
      </c>
      <c r="S11" s="272">
        <f>+S10/S$12</f>
        <v>0.37192951798061269</v>
      </c>
      <c r="T11" s="378">
        <f>+T10/T$12</f>
        <v>0.33631799356794151</v>
      </c>
      <c r="U11" s="275">
        <f>+T11-S11</f>
        <v>-3.5611524412671181E-2</v>
      </c>
      <c r="V11" s="274">
        <f>+V10/V$12</f>
        <v>0.62253936216817218</v>
      </c>
      <c r="W11" s="378">
        <f>+W10/W$12</f>
        <v>0.33415047292392186</v>
      </c>
      <c r="X11" s="273">
        <f>+W11-V11</f>
        <v>-0.28838888924425032</v>
      </c>
      <c r="Y11" s="400">
        <f>+Y10/Y$12</f>
        <v>0.52283435180239646</v>
      </c>
      <c r="Z11" s="378">
        <f>+Z10/Z$12</f>
        <v>0.33518284854729485</v>
      </c>
      <c r="AA11" s="401">
        <f>+Z11-Y11</f>
        <v>-0.1876515032551016</v>
      </c>
      <c r="AB11" s="273">
        <f>+AB10/AB$12</f>
        <v>0.35524128016264245</v>
      </c>
      <c r="AC11" s="378">
        <f>+AC10/AC$12</f>
        <v>0.41378177232277663</v>
      </c>
      <c r="AD11" s="273">
        <f>+AC11-AB11</f>
        <v>5.8540492160134183E-2</v>
      </c>
      <c r="AE11" s="400">
        <f>+AE10/AE$12</f>
        <v>0.45972927375157951</v>
      </c>
      <c r="AF11" s="378">
        <f>+AF10/AF$12</f>
        <v>0.38198037466547724</v>
      </c>
      <c r="AG11" s="401">
        <f>+AF11-AE11</f>
        <v>-7.7748899086102274E-2</v>
      </c>
    </row>
    <row r="12" spans="1:36" ht="24" customHeight="1" x14ac:dyDescent="0.3">
      <c r="D12" s="258"/>
      <c r="E12" s="271"/>
      <c r="F12" s="270" t="s">
        <v>43</v>
      </c>
      <c r="G12" s="266">
        <f>G8+G10</f>
        <v>41639.599999999999</v>
      </c>
      <c r="H12" s="379">
        <f>H8+H10</f>
        <v>113616</v>
      </c>
      <c r="I12" s="269">
        <f t="shared" ref="I12:I32" si="0">H12-G12</f>
        <v>71976.399999999994</v>
      </c>
      <c r="J12" s="268">
        <f>J8+J10</f>
        <v>11096.029226666666</v>
      </c>
      <c r="K12" s="379">
        <f>K8+K10</f>
        <v>12672</v>
      </c>
      <c r="L12" s="267">
        <f t="shared" ref="L12:L32" si="1">K12-J12</f>
        <v>1575.9707733333344</v>
      </c>
      <c r="M12" s="268">
        <f>M8+M10</f>
        <v>22000</v>
      </c>
      <c r="N12" s="379">
        <f>N8+N10</f>
        <v>0</v>
      </c>
      <c r="O12" s="267">
        <f t="shared" ref="O12:O32" si="2">N12-M12</f>
        <v>-22000</v>
      </c>
      <c r="P12" s="402">
        <f>P8+P10</f>
        <v>74735.629226666671</v>
      </c>
      <c r="Q12" s="379">
        <f>Q8+Q10</f>
        <v>126288</v>
      </c>
      <c r="R12" s="403">
        <f t="shared" ref="R12:R32" si="3">Q12-P12</f>
        <v>51552.370773333329</v>
      </c>
      <c r="S12" s="266">
        <f>S8+S10</f>
        <v>80660.443846685463</v>
      </c>
      <c r="T12" s="379">
        <f>T8+T10</f>
        <v>86442</v>
      </c>
      <c r="U12" s="269">
        <f t="shared" ref="U12:U32" si="4">T12-S12</f>
        <v>5781.5561533145374</v>
      </c>
      <c r="V12" s="268">
        <f>V8+V10</f>
        <v>122080.633962338</v>
      </c>
      <c r="W12" s="379">
        <f>W8+W10</f>
        <v>95047</v>
      </c>
      <c r="X12" s="267">
        <f t="shared" ref="X12:X32" si="5">W12-V12</f>
        <v>-27033.633962338004</v>
      </c>
      <c r="Y12" s="402">
        <f>Y8+Y10</f>
        <v>202741.07780902347</v>
      </c>
      <c r="Z12" s="379">
        <f>Z8+Z10</f>
        <v>181489</v>
      </c>
      <c r="AA12" s="403">
        <f t="shared" ref="AA12:AA32" si="6">Z12-Y12</f>
        <v>-21252.077809023467</v>
      </c>
      <c r="AB12" s="267">
        <f>AB8+AB10</f>
        <v>102747.06808648186</v>
      </c>
      <c r="AC12" s="379">
        <f>AC8+AC10</f>
        <v>112598</v>
      </c>
      <c r="AD12" s="267">
        <f t="shared" ref="AD12:AD32" si="7">AC12-AB12</f>
        <v>9850.9319135181431</v>
      </c>
      <c r="AE12" s="402">
        <f>AE8+AE10</f>
        <v>380223.77512217197</v>
      </c>
      <c r="AF12" s="379">
        <f>AF8+AF10</f>
        <v>420375</v>
      </c>
      <c r="AG12" s="403">
        <f t="shared" ref="AG12:AG32" si="8">AF12-AE12</f>
        <v>40151.224877828034</v>
      </c>
      <c r="AI12" s="6">
        <f>+'골재사업소(당월)'!AI12+'[4]골재사업소(누계)'!AF12</f>
        <v>380223.77512217197</v>
      </c>
      <c r="AJ12" s="6">
        <f>+'골재사업소(당월)'!AJ12+'[4]골재사업소(누계)'!AG12</f>
        <v>420375</v>
      </c>
    </row>
    <row r="13" spans="1:36" ht="24" customHeight="1" x14ac:dyDescent="0.3">
      <c r="D13" s="258"/>
      <c r="E13" s="265" t="s">
        <v>77</v>
      </c>
      <c r="F13" s="264" t="s">
        <v>132</v>
      </c>
      <c r="G13" s="260">
        <f>+'골재사업소(당월)'!G13+'[4]골재사업소(누계)'!G13</f>
        <v>599432</v>
      </c>
      <c r="H13" s="375">
        <f>+'골재사업소(당월)'!H13+'[4]골재사업소(누계)'!H13</f>
        <v>1150896</v>
      </c>
      <c r="I13" s="263">
        <f t="shared" si="0"/>
        <v>551464</v>
      </c>
      <c r="J13" s="262">
        <f>+'골재사업소(당월)'!J13+'[4]골재사업소(누계)'!J13</f>
        <v>62063.705066666662</v>
      </c>
      <c r="K13" s="375">
        <f>+'골재사업소(당월)'!K13+'[4]골재사업소(누계)'!K13</f>
        <v>18240</v>
      </c>
      <c r="L13" s="261">
        <f t="shared" si="1"/>
        <v>-43823.705066666662</v>
      </c>
      <c r="M13" s="262">
        <f>+'골재사업소(당월)'!M13</f>
        <v>0</v>
      </c>
      <c r="N13" s="375">
        <f>+'골재사업소(당월)'!N13</f>
        <v>0</v>
      </c>
      <c r="O13" s="261">
        <f t="shared" si="2"/>
        <v>0</v>
      </c>
      <c r="P13" s="394">
        <f>+G13+J13+M13</f>
        <v>661495.70506666671</v>
      </c>
      <c r="Q13" s="375">
        <f>+H13+K13+N13</f>
        <v>1169136</v>
      </c>
      <c r="R13" s="395">
        <f t="shared" si="3"/>
        <v>507640.29493333329</v>
      </c>
      <c r="S13" s="260">
        <f>+'골재사업소(당월)'!S13+'[4]골재사업소(누계)'!P13</f>
        <v>810567.1015469674</v>
      </c>
      <c r="T13" s="375">
        <f>+'골재사업소(당월)'!T13+'[4]골재사업소(누계)'!Q13</f>
        <v>1003007</v>
      </c>
      <c r="U13" s="263">
        <f t="shared" si="4"/>
        <v>192439.8984530326</v>
      </c>
      <c r="V13" s="262">
        <f>+'골재사업소(당월)'!V13+'[4]골재사업소(누계)'!S13</f>
        <v>1016887.6004886128</v>
      </c>
      <c r="W13" s="375">
        <f>+'골재사업소(당월)'!W13+'[4]골재사업소(누계)'!T13</f>
        <v>1406596.5</v>
      </c>
      <c r="X13" s="261">
        <f t="shared" si="5"/>
        <v>389708.89951138722</v>
      </c>
      <c r="Y13" s="394">
        <f>+S13+V13</f>
        <v>1827454.7020355803</v>
      </c>
      <c r="Z13" s="375">
        <f>+T13+W13</f>
        <v>2409603.5</v>
      </c>
      <c r="AA13" s="395">
        <f t="shared" si="6"/>
        <v>582148.7979644197</v>
      </c>
      <c r="AB13" s="261">
        <f>+'골재사업소(당월)'!AB13+'[4]골재사업소(누계)'!Y13</f>
        <v>1994158.6975564491</v>
      </c>
      <c r="AC13" s="375">
        <f>+'골재사업소(당월)'!AC13+'[4]골재사업소(누계)'!Z13</f>
        <v>1973610.08</v>
      </c>
      <c r="AD13" s="261">
        <f t="shared" si="7"/>
        <v>-20548.617556449026</v>
      </c>
      <c r="AE13" s="394">
        <f>+P13+Y13+AB13</f>
        <v>4483109.1046586959</v>
      </c>
      <c r="AF13" s="375">
        <f>+Q13+Z13+AC13</f>
        <v>5552349.5800000001</v>
      </c>
      <c r="AG13" s="395">
        <f t="shared" si="8"/>
        <v>1069240.4753413042</v>
      </c>
      <c r="AI13" s="6" t="b">
        <f>+AI12=AE12</f>
        <v>1</v>
      </c>
      <c r="AJ13" s="6" t="b">
        <f>+AJ12=AF12</f>
        <v>1</v>
      </c>
    </row>
    <row r="14" spans="1:36" ht="24" customHeight="1" x14ac:dyDescent="0.3">
      <c r="D14" s="258"/>
      <c r="E14" s="259"/>
      <c r="F14" s="257" t="s">
        <v>131</v>
      </c>
      <c r="G14" s="253">
        <f>+G13/G8*1000</f>
        <v>15634.800571732623</v>
      </c>
      <c r="H14" s="380">
        <f>+H13/H8*1000</f>
        <v>16160.638058863178</v>
      </c>
      <c r="I14" s="256">
        <f t="shared" si="0"/>
        <v>525.83748713055502</v>
      </c>
      <c r="J14" s="255">
        <f>+J13/J8*1000</f>
        <v>15152.16362779078</v>
      </c>
      <c r="K14" s="380">
        <f>+K13/K8*1000</f>
        <v>9500</v>
      </c>
      <c r="L14" s="254">
        <f t="shared" si="1"/>
        <v>-5652.1636277907801</v>
      </c>
      <c r="M14" s="255" t="e">
        <f>+M13/M8*1000</f>
        <v>#DIV/0!</v>
      </c>
      <c r="N14" s="380" t="e">
        <f>+N13/N8*1000</f>
        <v>#DIV/0!</v>
      </c>
      <c r="O14" s="254" t="e">
        <f t="shared" si="2"/>
        <v>#DIV/0!</v>
      </c>
      <c r="P14" s="404">
        <f>+P13/P8*1000</f>
        <v>15588.214835541568</v>
      </c>
      <c r="Q14" s="380">
        <f>+Q13/Q8*1000</f>
        <v>15985.779916867206</v>
      </c>
      <c r="R14" s="405">
        <f t="shared" si="3"/>
        <v>397.56508132563795</v>
      </c>
      <c r="S14" s="253">
        <f>+S13/S8*1000</f>
        <v>16000</v>
      </c>
      <c r="T14" s="380">
        <f>+T13/T8*1000</f>
        <v>17483.127069897157</v>
      </c>
      <c r="U14" s="256">
        <f t="shared" si="4"/>
        <v>1483.1270698971566</v>
      </c>
      <c r="V14" s="255">
        <f>+V13/V8*1000</f>
        <v>22067.569671886926</v>
      </c>
      <c r="W14" s="380">
        <f>+W13/W8*1000</f>
        <v>22225.678259358163</v>
      </c>
      <c r="X14" s="254">
        <f t="shared" si="5"/>
        <v>158.10858747123712</v>
      </c>
      <c r="Y14" s="404">
        <f>+Y13/Y8*1000</f>
        <v>18890.162725322931</v>
      </c>
      <c r="Z14" s="380">
        <f>+Z13/Z8*1000</f>
        <v>19970.689640882832</v>
      </c>
      <c r="AA14" s="405">
        <f t="shared" si="6"/>
        <v>1080.5269155599017</v>
      </c>
      <c r="AB14" s="254">
        <f>+AB13/AB8*1000</f>
        <v>30101.840808308465</v>
      </c>
      <c r="AC14" s="380">
        <f>+AC13/AC8*1000</f>
        <v>29900.011816928509</v>
      </c>
      <c r="AD14" s="254">
        <f t="shared" si="7"/>
        <v>-201.82899137995628</v>
      </c>
      <c r="AE14" s="404">
        <f>+AE13/AE8*1000</f>
        <v>21823.711018807095</v>
      </c>
      <c r="AF14" s="380">
        <f>+AF13/AF8*1000</f>
        <v>21371.63040800616</v>
      </c>
      <c r="AG14" s="405">
        <f t="shared" si="8"/>
        <v>-452.08061080093466</v>
      </c>
    </row>
    <row r="15" spans="1:36" ht="24" customHeight="1" x14ac:dyDescent="0.3">
      <c r="D15" s="258"/>
      <c r="E15" s="666"/>
      <c r="F15" s="224" t="s">
        <v>135</v>
      </c>
      <c r="G15" s="248">
        <f>+'골재사업소(당월)'!G15+'[4]골재사업소(누계)'!G15</f>
        <v>37950</v>
      </c>
      <c r="H15" s="381">
        <f>+'골재사업소(당월)'!H15+'[4]골재사업소(누계)'!H15</f>
        <v>495456</v>
      </c>
      <c r="I15" s="251">
        <f t="shared" si="0"/>
        <v>457506</v>
      </c>
      <c r="J15" s="250">
        <f>+'골재사업소(당월)'!J15+'[4]골재사업소(누계)'!J15</f>
        <v>105000</v>
      </c>
      <c r="K15" s="381">
        <f>+'골재사업소(당월)'!K15+'[4]골재사업소(누계)'!K15</f>
        <v>89600</v>
      </c>
      <c r="L15" s="249">
        <f t="shared" si="1"/>
        <v>-15400</v>
      </c>
      <c r="M15" s="250">
        <f>+'골재사업소(당월)'!M15</f>
        <v>198000</v>
      </c>
      <c r="N15" s="381">
        <f>+'골재사업소(당월)'!N15</f>
        <v>0</v>
      </c>
      <c r="O15" s="249">
        <f t="shared" si="2"/>
        <v>-198000</v>
      </c>
      <c r="P15" s="406">
        <f>+G15+J15+M15</f>
        <v>340950</v>
      </c>
      <c r="Q15" s="381">
        <f>+H15+K15+N15</f>
        <v>585056</v>
      </c>
      <c r="R15" s="407">
        <f t="shared" si="3"/>
        <v>244106</v>
      </c>
      <c r="S15" s="248">
        <f>+'골재사업소(당월)'!S15+'[4]골재사업소(누계)'!P15</f>
        <v>360000</v>
      </c>
      <c r="T15" s="381">
        <f>+'골재사업소(당월)'!T15+'[4]골재사업소(누계)'!Q15</f>
        <v>377936</v>
      </c>
      <c r="U15" s="251">
        <f t="shared" si="4"/>
        <v>17936</v>
      </c>
      <c r="V15" s="250">
        <f>+'골재사업소(당월)'!V15+'[4]골재사업소(누계)'!S15</f>
        <v>1444000</v>
      </c>
      <c r="W15" s="381">
        <f>+'골재사업소(당월)'!W15+'[4]골재사업소(누계)'!T15</f>
        <v>577440</v>
      </c>
      <c r="X15" s="249">
        <f t="shared" si="5"/>
        <v>-866560</v>
      </c>
      <c r="Y15" s="406">
        <f>+S15+V15</f>
        <v>1804000</v>
      </c>
      <c r="Z15" s="381">
        <f>+T15+W15</f>
        <v>955376</v>
      </c>
      <c r="AA15" s="407">
        <f t="shared" si="6"/>
        <v>-848624</v>
      </c>
      <c r="AB15" s="249">
        <f>+'골재사업소(당월)'!AB15+'[4]골재사업소(누계)'!Y15</f>
        <v>1118250</v>
      </c>
      <c r="AC15" s="381">
        <f>+'골재사업소(당월)'!AC15+'[4]골재사업소(누계)'!Z15</f>
        <v>1411426</v>
      </c>
      <c r="AD15" s="249">
        <f t="shared" si="7"/>
        <v>293176</v>
      </c>
      <c r="AE15" s="406">
        <f>+P15+Y15+AB15</f>
        <v>3263200</v>
      </c>
      <c r="AF15" s="381">
        <f>+Q15+Z15+AC15</f>
        <v>2951858</v>
      </c>
      <c r="AG15" s="407">
        <f t="shared" si="8"/>
        <v>-311342</v>
      </c>
    </row>
    <row r="16" spans="1:36" ht="24" customHeight="1" x14ac:dyDescent="0.3">
      <c r="D16" s="76"/>
      <c r="E16" s="666"/>
      <c r="F16" s="257" t="s">
        <v>131</v>
      </c>
      <c r="G16" s="253">
        <f>IFERROR(G15/G10,)*1000</f>
        <v>11500</v>
      </c>
      <c r="H16" s="380">
        <f>IFERROR(H15/H10,)*1000</f>
        <v>11685.283018867924</v>
      </c>
      <c r="I16" s="256">
        <f t="shared" si="0"/>
        <v>185.2830188679236</v>
      </c>
      <c r="J16" s="255">
        <f>IFERROR(J15/J10,)*1000</f>
        <v>15000</v>
      </c>
      <c r="K16" s="380">
        <f>IFERROR(K15/K10,)*1000</f>
        <v>8333.3333333333339</v>
      </c>
      <c r="L16" s="254">
        <f t="shared" si="1"/>
        <v>-6666.6666666666661</v>
      </c>
      <c r="M16" s="255">
        <f>IFERROR(M15/M10,)*1000</f>
        <v>9000</v>
      </c>
      <c r="N16" s="380">
        <f>IFERROR(N15/N10,)*1000</f>
        <v>0</v>
      </c>
      <c r="O16" s="254">
        <f t="shared" si="2"/>
        <v>-9000</v>
      </c>
      <c r="P16" s="404">
        <f>IFERROR(P15/P10,)*1000</f>
        <v>10555.727554179568</v>
      </c>
      <c r="Q16" s="380">
        <f>IFERROR(Q15/Q10,)*1000</f>
        <v>11007.224563515954</v>
      </c>
      <c r="R16" s="405">
        <f t="shared" si="3"/>
        <v>451.49700933638633</v>
      </c>
      <c r="S16" s="253">
        <f>IFERROR(S15/S10,)*1000</f>
        <v>12000</v>
      </c>
      <c r="T16" s="380">
        <f>IFERROR(T15/T10,)*1000</f>
        <v>13000</v>
      </c>
      <c r="U16" s="256">
        <f t="shared" si="4"/>
        <v>1000</v>
      </c>
      <c r="V16" s="255">
        <f>IFERROR(V15/V10,)*1000</f>
        <v>19000</v>
      </c>
      <c r="W16" s="380">
        <f>IFERROR(W15/W10,)*1000</f>
        <v>18181.360201511336</v>
      </c>
      <c r="X16" s="254">
        <f t="shared" si="5"/>
        <v>-818.63979848866438</v>
      </c>
      <c r="Y16" s="404">
        <f>IFERROR(Y15/Y10,)*1000</f>
        <v>17018.867924528302</v>
      </c>
      <c r="Z16" s="380">
        <f>IFERROR(Z15/Z10,)*1000</f>
        <v>15705.155181483431</v>
      </c>
      <c r="AA16" s="405">
        <f t="shared" si="6"/>
        <v>-1313.7127430448709</v>
      </c>
      <c r="AB16" s="254">
        <f>IFERROR(AB15/AB10,)*1000</f>
        <v>30636.986301369863</v>
      </c>
      <c r="AC16" s="380">
        <f>IFERROR(AC15/AC10,)*1000</f>
        <v>30293.962353244191</v>
      </c>
      <c r="AD16" s="254">
        <f t="shared" si="7"/>
        <v>-343.02394812567218</v>
      </c>
      <c r="AE16" s="404">
        <f>IFERROR(AE15/AE10,)*1000</f>
        <v>18668.192219679633</v>
      </c>
      <c r="AF16" s="380">
        <f>IFERROR(AF15/AF10,)*1000</f>
        <v>18383.048419741554</v>
      </c>
      <c r="AG16" s="405">
        <f t="shared" si="8"/>
        <v>-285.14379993807961</v>
      </c>
    </row>
    <row r="17" spans="4:36" ht="24" customHeight="1" x14ac:dyDescent="0.3">
      <c r="D17" s="76"/>
      <c r="E17" s="666"/>
      <c r="F17" s="252" t="s">
        <v>43</v>
      </c>
      <c r="G17" s="248">
        <f>G13+G15</f>
        <v>637382</v>
      </c>
      <c r="H17" s="381">
        <f>H13+H15</f>
        <v>1646352</v>
      </c>
      <c r="I17" s="251">
        <f t="shared" si="0"/>
        <v>1008970</v>
      </c>
      <c r="J17" s="250">
        <f>J13+J15</f>
        <v>167063.70506666665</v>
      </c>
      <c r="K17" s="381">
        <f>K13+K15</f>
        <v>107840</v>
      </c>
      <c r="L17" s="249">
        <f t="shared" si="1"/>
        <v>-59223.705066666647</v>
      </c>
      <c r="M17" s="250">
        <f>M13+M15</f>
        <v>198000</v>
      </c>
      <c r="N17" s="381">
        <f>N13+N15</f>
        <v>0</v>
      </c>
      <c r="O17" s="249">
        <f t="shared" si="2"/>
        <v>-198000</v>
      </c>
      <c r="P17" s="406">
        <f>P13+P15</f>
        <v>1002445.7050666667</v>
      </c>
      <c r="Q17" s="381">
        <f>Q13+Q15</f>
        <v>1754192</v>
      </c>
      <c r="R17" s="407">
        <f t="shared" si="3"/>
        <v>751746.29493333329</v>
      </c>
      <c r="S17" s="248">
        <f>S13+S15</f>
        <v>1170567.1015469674</v>
      </c>
      <c r="T17" s="381">
        <f>T13+T15</f>
        <v>1380943</v>
      </c>
      <c r="U17" s="251">
        <f t="shared" si="4"/>
        <v>210375.8984530326</v>
      </c>
      <c r="V17" s="250">
        <f>V13+V15</f>
        <v>2460887.6004886129</v>
      </c>
      <c r="W17" s="381">
        <f>W13+W15</f>
        <v>1984036.5</v>
      </c>
      <c r="X17" s="249">
        <f t="shared" si="5"/>
        <v>-476851.10048861289</v>
      </c>
      <c r="Y17" s="406">
        <f>Y13+Y15</f>
        <v>3631454.7020355803</v>
      </c>
      <c r="Z17" s="381">
        <f>Z13+Z15</f>
        <v>3364979.5</v>
      </c>
      <c r="AA17" s="407">
        <f t="shared" si="6"/>
        <v>-266475.2020355803</v>
      </c>
      <c r="AB17" s="249">
        <f>AB13+AB15</f>
        <v>3112408.6975564491</v>
      </c>
      <c r="AC17" s="381">
        <f>AC13+AC15</f>
        <v>3385036.08</v>
      </c>
      <c r="AD17" s="249">
        <f t="shared" si="7"/>
        <v>272627.38244355097</v>
      </c>
      <c r="AE17" s="406">
        <f>AE13+AE15</f>
        <v>7746309.1046586959</v>
      </c>
      <c r="AF17" s="381">
        <f>AF13+AF15</f>
        <v>8504207.5800000001</v>
      </c>
      <c r="AG17" s="407">
        <f t="shared" si="8"/>
        <v>757898.47534130421</v>
      </c>
      <c r="AI17" s="6">
        <f>+'골재사업소(당월)'!AI17+'[4]골재사업소(누계)'!AF17</f>
        <v>7746309.1046586949</v>
      </c>
      <c r="AJ17" s="6">
        <f>+'골재사업소(당월)'!AJ17+'[4]골재사업소(누계)'!AG17</f>
        <v>8504207.5800000001</v>
      </c>
    </row>
    <row r="18" spans="4:36" ht="24" customHeight="1" x14ac:dyDescent="0.3">
      <c r="D18" s="76"/>
      <c r="E18" s="247" t="s">
        <v>7</v>
      </c>
      <c r="F18" s="246" t="s">
        <v>134</v>
      </c>
      <c r="G18" s="230">
        <f>+'골재사업소(당월)'!G18+'[4]골재사업소(누계)'!G18</f>
        <v>28411.222712749775</v>
      </c>
      <c r="H18" s="382">
        <f>+'골재사업소(당월)'!H18+'[4]골재사업소(누계)'!H18</f>
        <v>240977.03866694088</v>
      </c>
      <c r="I18" s="233">
        <f t="shared" si="0"/>
        <v>212565.81595419109</v>
      </c>
      <c r="J18" s="232">
        <f>+'골재사업소(당월)'!J18+'[4]골재사업소(누계)'!J18</f>
        <v>20505.505120656464</v>
      </c>
      <c r="K18" s="382">
        <f>+'골재사업소(당월)'!K18+'[4]골재사업소(누계)'!K18</f>
        <v>8860.8583389168198</v>
      </c>
      <c r="L18" s="231">
        <f t="shared" si="1"/>
        <v>-11644.646781739644</v>
      </c>
      <c r="M18" s="232">
        <f>+'골재사업소(당월)'!M18</f>
        <v>0</v>
      </c>
      <c r="N18" s="382">
        <f>+'골재사업소(당월)'!N18</f>
        <v>0</v>
      </c>
      <c r="O18" s="231">
        <f t="shared" si="2"/>
        <v>0</v>
      </c>
      <c r="P18" s="408">
        <f>+G18+J18+M18</f>
        <v>48916.727833406243</v>
      </c>
      <c r="Q18" s="382">
        <f>+H18+K18+N18</f>
        <v>249837.8970058577</v>
      </c>
      <c r="R18" s="409">
        <f t="shared" si="3"/>
        <v>200921.16917245145</v>
      </c>
      <c r="S18" s="661">
        <f>+'골재사업소(당월)'!S18+'[4]골재사업소(누계)'!P18</f>
        <v>-81823.046162299463</v>
      </c>
      <c r="T18" s="382">
        <f>+'골재사업소(당월)'!T18+'[4]골재사업소(누계)'!Q18</f>
        <v>18919.831845522021</v>
      </c>
      <c r="U18" s="233">
        <f t="shared" si="4"/>
        <v>100742.87800782148</v>
      </c>
      <c r="V18" s="232">
        <f>+'골재사업소(당월)'!V18+'[4]골재사업소(누계)'!S18</f>
        <v>198859.91638275178</v>
      </c>
      <c r="W18" s="382">
        <f>+'골재사업소(당월)'!W18+'[4]골재사업소(누계)'!T18</f>
        <v>321094.71010733926</v>
      </c>
      <c r="X18" s="231">
        <f t="shared" si="5"/>
        <v>122234.79372458748</v>
      </c>
      <c r="Y18" s="408">
        <f>+S18+V18</f>
        <v>117036.87022045231</v>
      </c>
      <c r="Z18" s="382">
        <f>+T18+W18</f>
        <v>340014.5419528613</v>
      </c>
      <c r="AA18" s="409">
        <f t="shared" si="6"/>
        <v>222977.67173240898</v>
      </c>
      <c r="AB18" s="231">
        <f>+'골재사업소(당월)'!AB18+'[4]골재사업소(누계)'!Y18</f>
        <v>106035.16034632326</v>
      </c>
      <c r="AC18" s="382">
        <f>+'골재사업소(당월)'!AC18+'[4]골재사업소(누계)'!Z18</f>
        <v>191171.62299999999</v>
      </c>
      <c r="AD18" s="231">
        <f t="shared" si="7"/>
        <v>85136.462653676732</v>
      </c>
      <c r="AE18" s="408">
        <f t="shared" ref="AE18:AF19" si="9">+P18+Y18+AB18</f>
        <v>271988.75840018183</v>
      </c>
      <c r="AF18" s="382">
        <f t="shared" si="9"/>
        <v>781024.06195871904</v>
      </c>
      <c r="AG18" s="409">
        <f t="shared" si="8"/>
        <v>509035.30355853721</v>
      </c>
      <c r="AI18" s="6" t="b">
        <f>+AI17=AE17</f>
        <v>0</v>
      </c>
      <c r="AJ18" s="6" t="b">
        <f>+AJ17=AF17</f>
        <v>1</v>
      </c>
    </row>
    <row r="19" spans="4:36" ht="24" customHeight="1" x14ac:dyDescent="0.3">
      <c r="D19" s="76"/>
      <c r="E19" s="166"/>
      <c r="F19" s="245" t="s">
        <v>133</v>
      </c>
      <c r="G19" s="241">
        <f>+'골재사업소(당월)'!G19+'[4]골재사업소(누계)'!G19</f>
        <v>2860.7901474376931</v>
      </c>
      <c r="H19" s="383">
        <f>+'골재사업소(당월)'!H19+'[4]골재사업소(누계)'!H19</f>
        <v>-36293.820537326857</v>
      </c>
      <c r="I19" s="244">
        <f t="shared" si="0"/>
        <v>-39154.61068476455</v>
      </c>
      <c r="J19" s="243">
        <f>+'골재사업소(당월)'!J19+'[4]골재사업소(누계)'!J19</f>
        <v>30170.78530825501</v>
      </c>
      <c r="K19" s="383">
        <f>+'골재사업소(당월)'!K19+'[4]골재사업소(누계)'!K19</f>
        <v>33050.571478103033</v>
      </c>
      <c r="L19" s="242">
        <f t="shared" si="1"/>
        <v>2879.7861698480228</v>
      </c>
      <c r="M19" s="243">
        <f>+'골재사업소(당월)'!M19</f>
        <v>33164.410176674668</v>
      </c>
      <c r="N19" s="383">
        <f>+'골재사업소(당월)'!N19</f>
        <v>0</v>
      </c>
      <c r="O19" s="242">
        <f t="shared" si="2"/>
        <v>-33164.410176674668</v>
      </c>
      <c r="P19" s="410">
        <f>+G19+J19+M19</f>
        <v>66195.985632367374</v>
      </c>
      <c r="Q19" s="383">
        <f>+H19+K19+N19</f>
        <v>-3243.2490592238246</v>
      </c>
      <c r="R19" s="411">
        <f t="shared" si="3"/>
        <v>-69439.234691591206</v>
      </c>
      <c r="S19" s="241">
        <f>+'골재사업소(당월)'!S19+'[4]골재사업소(누계)'!P19</f>
        <v>-166568.9524116469</v>
      </c>
      <c r="T19" s="383">
        <f>+'골재사업소(당월)'!T19+'[4]골재사업소(누계)'!Q19</f>
        <v>-116553.41218916484</v>
      </c>
      <c r="U19" s="244">
        <f t="shared" si="4"/>
        <v>50015.540222482057</v>
      </c>
      <c r="V19" s="243">
        <f>+'골재사업소(당월)'!V19+'[4]골재사업소(누계)'!S19</f>
        <v>97842.396754009984</v>
      </c>
      <c r="W19" s="383">
        <f>+'골재사업소(당월)'!W19+'[4]골재사업소(누계)'!T19</f>
        <v>37221.357746303547</v>
      </c>
      <c r="X19" s="242">
        <f t="shared" si="5"/>
        <v>-60621.039007706437</v>
      </c>
      <c r="Y19" s="410">
        <f>+S19+V19</f>
        <v>-68726.555657636913</v>
      </c>
      <c r="Z19" s="383">
        <f>+T19+W19</f>
        <v>-79332.054442861292</v>
      </c>
      <c r="AA19" s="411">
        <f t="shared" si="6"/>
        <v>-10605.498785224379</v>
      </c>
      <c r="AB19" s="242">
        <f>+'골재사업소(당월)'!AB19+'[4]골재사업소(누계)'!Y19</f>
        <v>61691.789407351753</v>
      </c>
      <c r="AC19" s="383">
        <f>+'골재사업소(당월)'!AC19+'[4]골재사업소(누계)'!Z19</f>
        <v>46128.457040407375</v>
      </c>
      <c r="AD19" s="242">
        <f t="shared" si="7"/>
        <v>-15563.332366944378</v>
      </c>
      <c r="AE19" s="410">
        <f t="shared" si="9"/>
        <v>59161.219382082214</v>
      </c>
      <c r="AF19" s="383">
        <f t="shared" si="9"/>
        <v>-36446.846461677749</v>
      </c>
      <c r="AG19" s="411">
        <f t="shared" si="8"/>
        <v>-95608.065843759963</v>
      </c>
    </row>
    <row r="20" spans="4:36" ht="24" customHeight="1" x14ac:dyDescent="0.3">
      <c r="D20" s="76"/>
      <c r="E20" s="667"/>
      <c r="F20" s="240" t="s">
        <v>58</v>
      </c>
      <c r="G20" s="236">
        <f>G18+G19</f>
        <v>31272.012860187468</v>
      </c>
      <c r="H20" s="384">
        <f>H18+H19</f>
        <v>204683.21812961402</v>
      </c>
      <c r="I20" s="239">
        <f t="shared" si="0"/>
        <v>173411.20526942654</v>
      </c>
      <c r="J20" s="238">
        <f>J18+J19</f>
        <v>50676.290428911474</v>
      </c>
      <c r="K20" s="384">
        <f>K18+K19</f>
        <v>41911.429817019853</v>
      </c>
      <c r="L20" s="237">
        <f t="shared" si="1"/>
        <v>-8764.8606118916214</v>
      </c>
      <c r="M20" s="238">
        <f>M18+M19</f>
        <v>33164.410176674668</v>
      </c>
      <c r="N20" s="384">
        <f>N18+N19</f>
        <v>0</v>
      </c>
      <c r="O20" s="237">
        <f t="shared" si="2"/>
        <v>-33164.410176674668</v>
      </c>
      <c r="P20" s="412">
        <f>P18+P19</f>
        <v>115112.71346577362</v>
      </c>
      <c r="Q20" s="384">
        <f>Q18+Q19</f>
        <v>246594.64794663386</v>
      </c>
      <c r="R20" s="413">
        <f t="shared" si="3"/>
        <v>131481.93448086025</v>
      </c>
      <c r="S20" s="236">
        <f>S18+S19</f>
        <v>-248391.99857394636</v>
      </c>
      <c r="T20" s="384">
        <f>T18+T19</f>
        <v>-97633.580343642825</v>
      </c>
      <c r="U20" s="239">
        <f t="shared" si="4"/>
        <v>150758.41823030353</v>
      </c>
      <c r="V20" s="238">
        <f>V18+V19</f>
        <v>296702.31313676178</v>
      </c>
      <c r="W20" s="384">
        <f>W18+W19</f>
        <v>358316.0678536428</v>
      </c>
      <c r="X20" s="237">
        <f t="shared" si="5"/>
        <v>61613.754716881027</v>
      </c>
      <c r="Y20" s="412">
        <f>Y18+Y19</f>
        <v>48310.314562815402</v>
      </c>
      <c r="Z20" s="384">
        <f>Z18+Z19</f>
        <v>260682.48751000001</v>
      </c>
      <c r="AA20" s="413">
        <f t="shared" si="6"/>
        <v>212372.17294718459</v>
      </c>
      <c r="AB20" s="237">
        <f>AB18+AB19</f>
        <v>167726.94975367503</v>
      </c>
      <c r="AC20" s="384">
        <f>AC18+AC19</f>
        <v>237300.08004040737</v>
      </c>
      <c r="AD20" s="237">
        <f t="shared" si="7"/>
        <v>69573.130286732339</v>
      </c>
      <c r="AE20" s="412">
        <f>AE18+AE19</f>
        <v>331149.97778226406</v>
      </c>
      <c r="AF20" s="384">
        <f>AF18+AF19</f>
        <v>744577.21549704135</v>
      </c>
      <c r="AG20" s="413">
        <f t="shared" si="8"/>
        <v>413427.23771477729</v>
      </c>
      <c r="AI20" s="6">
        <f>+'골재사업소(당월)'!AI20+'[4]골재사업소(누계)'!AF20</f>
        <v>331149.97778226371</v>
      </c>
      <c r="AJ20" s="6">
        <f>+'골재사업소(당월)'!AJ20+'[4]골재사업소(누계)'!AG20</f>
        <v>744577.21548704151</v>
      </c>
    </row>
    <row r="21" spans="4:36" ht="24" customHeight="1" x14ac:dyDescent="0.3">
      <c r="D21" s="76"/>
      <c r="E21" s="235" t="s">
        <v>132</v>
      </c>
      <c r="F21" s="234" t="s">
        <v>25</v>
      </c>
      <c r="G21" s="230">
        <f>+'골재사업소(당월)'!G21+'[4]골재사업소(누계)'!G21</f>
        <v>0</v>
      </c>
      <c r="H21" s="382">
        <f>+'골재사업소(당월)'!H21+'[4]골재사업소(누계)'!H21</f>
        <v>4112</v>
      </c>
      <c r="I21" s="233">
        <f t="shared" si="0"/>
        <v>4112</v>
      </c>
      <c r="J21" s="232">
        <f>+'골재사업소(당월)'!J21+'[4]골재사업소(누계)'!J21</f>
        <v>0</v>
      </c>
      <c r="K21" s="382">
        <f>+'골재사업소(당월)'!K21+'[4]골재사업소(누계)'!K21</f>
        <v>0</v>
      </c>
      <c r="L21" s="231">
        <f t="shared" si="1"/>
        <v>0</v>
      </c>
      <c r="M21" s="232">
        <f>+'골재사업소(당월)'!M21</f>
        <v>0</v>
      </c>
      <c r="N21" s="382">
        <f>+'골재사업소(당월)'!N21</f>
        <v>0</v>
      </c>
      <c r="O21" s="231">
        <f t="shared" si="2"/>
        <v>0</v>
      </c>
      <c r="P21" s="408">
        <f t="shared" ref="P21:Q26" si="10">+G21+J21+M21</f>
        <v>0</v>
      </c>
      <c r="Q21" s="382">
        <f t="shared" si="10"/>
        <v>4112</v>
      </c>
      <c r="R21" s="409">
        <f t="shared" si="3"/>
        <v>4112</v>
      </c>
      <c r="S21" s="230">
        <f>+'골재사업소(당월)'!S21+'[4]골재사업소(누계)'!P21</f>
        <v>50660.443846685463</v>
      </c>
      <c r="T21" s="382">
        <f>+'골재사업소(당월)'!T21+'[4]골재사업소(누계)'!Q21</f>
        <v>57194</v>
      </c>
      <c r="U21" s="233">
        <f t="shared" si="4"/>
        <v>6533.5561533145374</v>
      </c>
      <c r="V21" s="232">
        <f>+'골재사업소(당월)'!V21+'[4]골재사업소(누계)'!S21</f>
        <v>35338.888801047673</v>
      </c>
      <c r="W21" s="382">
        <f>+'골재사업소(당월)'!W21+'[4]골재사업소(누계)'!T21</f>
        <v>40903</v>
      </c>
      <c r="X21" s="231">
        <f t="shared" si="5"/>
        <v>5564.111198952327</v>
      </c>
      <c r="Y21" s="408">
        <f t="shared" ref="Y21:Z26" si="11">+S21+V21</f>
        <v>85999.332647733128</v>
      </c>
      <c r="Z21" s="382">
        <f t="shared" si="11"/>
        <v>98097</v>
      </c>
      <c r="AA21" s="409">
        <f t="shared" si="6"/>
        <v>12097.667352266872</v>
      </c>
      <c r="AB21" s="231">
        <f>+'골재사업소(당월)'!AB21+'[4]골재사업소(누계)'!Y21</f>
        <v>19943.026128439888</v>
      </c>
      <c r="AC21" s="382">
        <f>+'골재사업소(당월)'!AC21+'[4]골재사업소(누계)'!Z21</f>
        <v>24023</v>
      </c>
      <c r="AD21" s="231">
        <f t="shared" si="7"/>
        <v>4079.9738715601125</v>
      </c>
      <c r="AE21" s="408">
        <f t="shared" ref="AE21:AF26" si="12">+P21+Y21+AB21</f>
        <v>105942.35877617302</v>
      </c>
      <c r="AF21" s="382">
        <f t="shared" si="12"/>
        <v>126232</v>
      </c>
      <c r="AG21" s="409">
        <f t="shared" si="8"/>
        <v>20289.641223826984</v>
      </c>
      <c r="AI21" s="595" t="b">
        <f>+AI20=AE20</f>
        <v>1</v>
      </c>
      <c r="AJ21" s="595" t="b">
        <f>+AJ20=AF20</f>
        <v>0</v>
      </c>
    </row>
    <row r="22" spans="4:36" ht="24" customHeight="1" x14ac:dyDescent="0.3">
      <c r="D22" s="76"/>
      <c r="E22" s="166" t="s">
        <v>0</v>
      </c>
      <c r="F22" s="221" t="s">
        <v>26</v>
      </c>
      <c r="G22" s="226">
        <f>+'골재사업소(당월)'!G22+'[4]골재사업소(누계)'!G22</f>
        <v>36006</v>
      </c>
      <c r="H22" s="385">
        <f>+'골재사업소(당월)'!H22+'[4]골재사업소(누계)'!H22</f>
        <v>59600</v>
      </c>
      <c r="I22" s="229">
        <f t="shared" si="0"/>
        <v>23594</v>
      </c>
      <c r="J22" s="228">
        <f>+'골재사업소(당월)'!J22+'[4]골재사업소(누계)'!J22</f>
        <v>2966.666666666667</v>
      </c>
      <c r="K22" s="385">
        <f>+'골재사업소(당월)'!K22+'[4]골재사업소(누계)'!K22</f>
        <v>640</v>
      </c>
      <c r="L22" s="227">
        <f t="shared" si="1"/>
        <v>-2326.666666666667</v>
      </c>
      <c r="M22" s="228">
        <f>+'골재사업소(당월)'!M22</f>
        <v>0</v>
      </c>
      <c r="N22" s="385">
        <f>+'골재사업소(당월)'!N22</f>
        <v>0</v>
      </c>
      <c r="O22" s="227">
        <f t="shared" si="2"/>
        <v>0</v>
      </c>
      <c r="P22" s="414">
        <f t="shared" si="10"/>
        <v>38972.666666666664</v>
      </c>
      <c r="Q22" s="385">
        <f t="shared" si="10"/>
        <v>60240</v>
      </c>
      <c r="R22" s="415">
        <f t="shared" si="3"/>
        <v>21267.333333333336</v>
      </c>
      <c r="S22" s="226">
        <f>+'골재사업소(당월)'!S22+'[4]골재사업소(누계)'!P22</f>
        <v>0</v>
      </c>
      <c r="T22" s="385">
        <f>+'골재사업소(당월)'!T22+'[4]골재사업소(누계)'!Q22</f>
        <v>176</v>
      </c>
      <c r="U22" s="229">
        <f t="shared" si="4"/>
        <v>176</v>
      </c>
      <c r="V22" s="228">
        <f>+'골재사업소(당월)'!V22+'[4]골재사업소(누계)'!S22</f>
        <v>10741.745161290324</v>
      </c>
      <c r="W22" s="385">
        <f>+'골재사업소(당월)'!W22+'[4]골재사업소(누계)'!T22</f>
        <v>20080</v>
      </c>
      <c r="X22" s="227">
        <f t="shared" si="5"/>
        <v>9338.2548387096758</v>
      </c>
      <c r="Y22" s="414">
        <f t="shared" si="11"/>
        <v>10741.745161290324</v>
      </c>
      <c r="Z22" s="385">
        <f t="shared" si="11"/>
        <v>20256</v>
      </c>
      <c r="AA22" s="415">
        <f t="shared" si="6"/>
        <v>9514.2548387096758</v>
      </c>
      <c r="AB22" s="227">
        <f>+'골재사업소(당월)'!AB22+'[4]골재사업소(누계)'!Y22</f>
        <v>12305.734265734267</v>
      </c>
      <c r="AC22" s="385">
        <f>+'골재사업소(당월)'!AC22+'[4]골재사업소(누계)'!Z22</f>
        <v>13664</v>
      </c>
      <c r="AD22" s="227">
        <f t="shared" si="7"/>
        <v>1358.265734265733</v>
      </c>
      <c r="AE22" s="414">
        <f t="shared" si="12"/>
        <v>62020.146093691255</v>
      </c>
      <c r="AF22" s="385">
        <f t="shared" si="12"/>
        <v>94160</v>
      </c>
      <c r="AG22" s="415">
        <f t="shared" si="8"/>
        <v>32139.853906308745</v>
      </c>
      <c r="AI22" s="99">
        <f>+AE20-AI20</f>
        <v>0</v>
      </c>
      <c r="AJ22" s="99">
        <f>+AF20-AJ20</f>
        <v>9.9998433142900467E-6</v>
      </c>
    </row>
    <row r="23" spans="4:36" ht="24" customHeight="1" x14ac:dyDescent="0.3">
      <c r="D23" s="76"/>
      <c r="E23" s="166"/>
      <c r="F23" s="221" t="s">
        <v>27</v>
      </c>
      <c r="G23" s="226">
        <f>+'골재사업소(당월)'!G23+'[4]골재사업소(누계)'!G23</f>
        <v>1328</v>
      </c>
      <c r="H23" s="385">
        <f>+'골재사업소(당월)'!H23+'[4]골재사업소(누계)'!H23</f>
        <v>5088</v>
      </c>
      <c r="I23" s="229">
        <f t="shared" si="0"/>
        <v>3760</v>
      </c>
      <c r="J23" s="228">
        <f>+'골재사업소(당월)'!J23+'[4]골재사업소(누계)'!J23</f>
        <v>0</v>
      </c>
      <c r="K23" s="385">
        <f>+'골재사업소(당월)'!K23+'[4]골재사업소(누계)'!K23</f>
        <v>0</v>
      </c>
      <c r="L23" s="227">
        <f t="shared" si="1"/>
        <v>0</v>
      </c>
      <c r="M23" s="228">
        <f>+'골재사업소(당월)'!M23</f>
        <v>0</v>
      </c>
      <c r="N23" s="385">
        <f>+'골재사업소(당월)'!N23</f>
        <v>0</v>
      </c>
      <c r="O23" s="227">
        <f t="shared" si="2"/>
        <v>0</v>
      </c>
      <c r="P23" s="414">
        <f t="shared" si="10"/>
        <v>1328</v>
      </c>
      <c r="Q23" s="385">
        <f t="shared" si="10"/>
        <v>5088</v>
      </c>
      <c r="R23" s="415">
        <f t="shared" si="3"/>
        <v>3760</v>
      </c>
      <c r="S23" s="226">
        <f>+'골재사업소(당월)'!S23+'[4]골재사업소(누계)'!P23</f>
        <v>0</v>
      </c>
      <c r="T23" s="385">
        <f>+'골재사업소(당월)'!T23+'[4]골재사업소(누계)'!Q23</f>
        <v>0</v>
      </c>
      <c r="U23" s="229">
        <f t="shared" si="4"/>
        <v>0</v>
      </c>
      <c r="V23" s="228">
        <f>+'골재사업소(당월)'!V23+'[4]골재사업소(누계)'!S23</f>
        <v>0</v>
      </c>
      <c r="W23" s="385">
        <f>+'골재사업소(당월)'!W23+'[4]골재사업소(누계)'!T23</f>
        <v>0</v>
      </c>
      <c r="X23" s="227">
        <f t="shared" si="5"/>
        <v>0</v>
      </c>
      <c r="Y23" s="414">
        <f t="shared" si="11"/>
        <v>0</v>
      </c>
      <c r="Z23" s="385">
        <f t="shared" si="11"/>
        <v>0</v>
      </c>
      <c r="AA23" s="415">
        <f t="shared" si="6"/>
        <v>0</v>
      </c>
      <c r="AB23" s="227">
        <f>+'골재사업소(당월)'!AB23+'[4]골재사업소(누계)'!Y23</f>
        <v>8902.097902097903</v>
      </c>
      <c r="AC23" s="385">
        <f>+'골재사업소(당월)'!AC23+'[4]골재사업소(누계)'!Z23</f>
        <v>0</v>
      </c>
      <c r="AD23" s="227">
        <f t="shared" si="7"/>
        <v>-8902.097902097903</v>
      </c>
      <c r="AE23" s="414">
        <f t="shared" si="12"/>
        <v>10230.097902097903</v>
      </c>
      <c r="AF23" s="385">
        <f t="shared" si="12"/>
        <v>5088</v>
      </c>
      <c r="AG23" s="415">
        <f t="shared" si="8"/>
        <v>-5142.097902097903</v>
      </c>
    </row>
    <row r="24" spans="4:36" ht="24" customHeight="1" x14ac:dyDescent="0.3">
      <c r="D24" s="76"/>
      <c r="E24" s="166"/>
      <c r="F24" s="221" t="s">
        <v>28</v>
      </c>
      <c r="G24" s="226">
        <f>+'골재사업소(당월)'!G24+'[4]골재사업소(누계)'!G24</f>
        <v>0</v>
      </c>
      <c r="H24" s="385">
        <f>+'골재사업소(당월)'!H24+'[4]골재사업소(누계)'!H24</f>
        <v>0</v>
      </c>
      <c r="I24" s="229">
        <f t="shared" si="0"/>
        <v>0</v>
      </c>
      <c r="J24" s="228">
        <f>+'골재사업소(당월)'!J24+'[4]골재사업소(누계)'!J24</f>
        <v>0</v>
      </c>
      <c r="K24" s="385">
        <f>+'골재사업소(당월)'!K24+'[4]골재사업소(누계)'!K24</f>
        <v>0</v>
      </c>
      <c r="L24" s="227">
        <f t="shared" si="1"/>
        <v>0</v>
      </c>
      <c r="M24" s="228">
        <f>+'골재사업소(당월)'!M24</f>
        <v>0</v>
      </c>
      <c r="N24" s="385">
        <f>+'골재사업소(당월)'!N24</f>
        <v>0</v>
      </c>
      <c r="O24" s="227">
        <f t="shared" si="2"/>
        <v>0</v>
      </c>
      <c r="P24" s="414">
        <f t="shared" si="10"/>
        <v>0</v>
      </c>
      <c r="Q24" s="385">
        <f t="shared" si="10"/>
        <v>0</v>
      </c>
      <c r="R24" s="415">
        <f t="shared" si="3"/>
        <v>0</v>
      </c>
      <c r="S24" s="226">
        <f>+'골재사업소(당월)'!S24+'[4]골재사업소(누계)'!P24</f>
        <v>0</v>
      </c>
      <c r="T24" s="385">
        <f>+'골재사업소(당월)'!T24+'[4]골재사업소(누계)'!Q24</f>
        <v>0</v>
      </c>
      <c r="U24" s="229">
        <f t="shared" si="4"/>
        <v>0</v>
      </c>
      <c r="V24" s="228">
        <f>+'골재사업소(당월)'!V24+'[4]골재사업소(누계)'!S24</f>
        <v>0</v>
      </c>
      <c r="W24" s="385">
        <f>+'골재사업소(당월)'!W24+'[4]골재사업소(누계)'!T24</f>
        <v>2064</v>
      </c>
      <c r="X24" s="227">
        <f t="shared" si="5"/>
        <v>2064</v>
      </c>
      <c r="Y24" s="414">
        <f t="shared" si="11"/>
        <v>0</v>
      </c>
      <c r="Z24" s="385">
        <f t="shared" si="11"/>
        <v>2064</v>
      </c>
      <c r="AA24" s="415">
        <f t="shared" si="6"/>
        <v>2064</v>
      </c>
      <c r="AB24" s="227">
        <f>+'골재사업소(당월)'!AB24+'[4]골재사업소(누계)'!Y24</f>
        <v>20381.538461538461</v>
      </c>
      <c r="AC24" s="385">
        <f>+'골재사업소(당월)'!AC24+'[4]골재사업소(누계)'!Z24</f>
        <v>0</v>
      </c>
      <c r="AD24" s="227">
        <f t="shared" si="7"/>
        <v>-20381.538461538461</v>
      </c>
      <c r="AE24" s="414">
        <f t="shared" si="12"/>
        <v>20381.538461538461</v>
      </c>
      <c r="AF24" s="385">
        <f t="shared" si="12"/>
        <v>2064</v>
      </c>
      <c r="AG24" s="415">
        <f t="shared" si="8"/>
        <v>-18317.538461538461</v>
      </c>
    </row>
    <row r="25" spans="4:36" ht="24" customHeight="1" x14ac:dyDescent="0.3">
      <c r="D25" s="76"/>
      <c r="E25" s="166"/>
      <c r="F25" s="221" t="s">
        <v>29</v>
      </c>
      <c r="G25" s="226">
        <f>+'골재사업소(당월)'!G25+'[4]골재사업소(누계)'!G25</f>
        <v>0</v>
      </c>
      <c r="H25" s="385">
        <f>+'골재사업소(당월)'!H25+'[4]골재사업소(누계)'!H25</f>
        <v>0</v>
      </c>
      <c r="I25" s="229">
        <f t="shared" si="0"/>
        <v>0</v>
      </c>
      <c r="J25" s="228">
        <f>+'골재사업소(당월)'!J25+'[4]골재사업소(누계)'!J25</f>
        <v>548.56255999999996</v>
      </c>
      <c r="K25" s="385">
        <f>+'골재사업소(당월)'!K25+'[4]골재사업소(누계)'!K25</f>
        <v>1040</v>
      </c>
      <c r="L25" s="227">
        <f t="shared" si="1"/>
        <v>491.43744000000004</v>
      </c>
      <c r="M25" s="228">
        <f>+'골재사업소(당월)'!M25</f>
        <v>0</v>
      </c>
      <c r="N25" s="385">
        <f>+'골재사업소(당월)'!N25</f>
        <v>0</v>
      </c>
      <c r="O25" s="227">
        <f t="shared" si="2"/>
        <v>0</v>
      </c>
      <c r="P25" s="414">
        <f t="shared" si="10"/>
        <v>548.56255999999996</v>
      </c>
      <c r="Q25" s="385">
        <f t="shared" si="10"/>
        <v>1040</v>
      </c>
      <c r="R25" s="415">
        <f t="shared" si="3"/>
        <v>491.43744000000004</v>
      </c>
      <c r="S25" s="226">
        <f>+'골재사업소(당월)'!S25+'[4]골재사업소(누계)'!P25</f>
        <v>0</v>
      </c>
      <c r="T25" s="385">
        <f>+'골재사업소(당월)'!T25+'[4]골재사업소(누계)'!Q25</f>
        <v>0</v>
      </c>
      <c r="U25" s="229">
        <f t="shared" si="4"/>
        <v>0</v>
      </c>
      <c r="V25" s="228">
        <f>+'골재사업소(당월)'!V25+'[4]골재사업소(누계)'!S25</f>
        <v>0</v>
      </c>
      <c r="W25" s="385">
        <f>+'골재사업소(당월)'!W25+'[4]골재사업소(누계)'!T25</f>
        <v>240</v>
      </c>
      <c r="X25" s="227">
        <f t="shared" si="5"/>
        <v>240</v>
      </c>
      <c r="Y25" s="414">
        <f t="shared" si="11"/>
        <v>0</v>
      </c>
      <c r="Z25" s="385">
        <f t="shared" si="11"/>
        <v>240</v>
      </c>
      <c r="AA25" s="415">
        <f t="shared" si="6"/>
        <v>240</v>
      </c>
      <c r="AB25" s="227">
        <f>+'골재사업소(당월)'!AB25+'[4]골재사업소(누계)'!Y25</f>
        <v>4714.6713286713284</v>
      </c>
      <c r="AC25" s="385">
        <f>+'골재사업소(당월)'!AC25+'[4]골재사업소(누계)'!Z25</f>
        <v>11440</v>
      </c>
      <c r="AD25" s="227">
        <f t="shared" si="7"/>
        <v>6725.3286713286716</v>
      </c>
      <c r="AE25" s="414">
        <f t="shared" si="12"/>
        <v>5263.2338886713287</v>
      </c>
      <c r="AF25" s="385">
        <f t="shared" si="12"/>
        <v>12720</v>
      </c>
      <c r="AG25" s="415">
        <f t="shared" si="8"/>
        <v>7456.7661113286713</v>
      </c>
    </row>
    <row r="26" spans="4:36" ht="24" customHeight="1" x14ac:dyDescent="0.3">
      <c r="D26" s="76"/>
      <c r="E26" s="166"/>
      <c r="F26" s="221" t="s">
        <v>30</v>
      </c>
      <c r="G26" s="226">
        <f>+'골재사업소(당월)'!G26+'[4]골재사업소(누계)'!G26</f>
        <v>1005.6</v>
      </c>
      <c r="H26" s="385">
        <f>+'골재사업소(당월)'!H26+'[4]골재사업소(누계)'!H26</f>
        <v>2416</v>
      </c>
      <c r="I26" s="229">
        <f t="shared" si="0"/>
        <v>1410.4</v>
      </c>
      <c r="J26" s="228">
        <f>+'골재사업소(당월)'!J26+'[4]골재사업소(누계)'!J26</f>
        <v>580.79999999999995</v>
      </c>
      <c r="K26" s="385">
        <f>+'골재사업소(당월)'!K26+'[4]골재사업소(누계)'!K26</f>
        <v>240</v>
      </c>
      <c r="L26" s="227">
        <f t="shared" si="1"/>
        <v>-340.79999999999995</v>
      </c>
      <c r="M26" s="228">
        <f>+'골재사업소(당월)'!M26</f>
        <v>0</v>
      </c>
      <c r="N26" s="385">
        <f>+'골재사업소(당월)'!N26</f>
        <v>0</v>
      </c>
      <c r="O26" s="227">
        <f t="shared" si="2"/>
        <v>0</v>
      </c>
      <c r="P26" s="414">
        <f t="shared" si="10"/>
        <v>1586.4</v>
      </c>
      <c r="Q26" s="383">
        <f t="shared" si="10"/>
        <v>2656</v>
      </c>
      <c r="R26" s="433">
        <f t="shared" si="3"/>
        <v>1069.5999999999999</v>
      </c>
      <c r="S26" s="226">
        <f>+'골재사업소(당월)'!S26+'[4]골재사업소(누계)'!P26</f>
        <v>0</v>
      </c>
      <c r="T26" s="385">
        <f>+'골재사업소(당월)'!T26+'[4]골재사업소(누계)'!Q26</f>
        <v>0</v>
      </c>
      <c r="U26" s="229">
        <f t="shared" si="4"/>
        <v>0</v>
      </c>
      <c r="V26" s="228">
        <f>+'골재사업소(당월)'!V26+'[4]골재사업소(누계)'!S26</f>
        <v>0</v>
      </c>
      <c r="W26" s="385">
        <f>+'골재사업소(당월)'!W26+'[4]골재사업소(누계)'!T26</f>
        <v>0</v>
      </c>
      <c r="X26" s="227">
        <f t="shared" si="5"/>
        <v>0</v>
      </c>
      <c r="Y26" s="414">
        <f t="shared" si="11"/>
        <v>0</v>
      </c>
      <c r="Z26" s="383">
        <f t="shared" si="11"/>
        <v>0</v>
      </c>
      <c r="AA26" s="433">
        <f t="shared" si="6"/>
        <v>0</v>
      </c>
      <c r="AB26" s="227">
        <f>+'골재사업소(당월)'!AB26+'[4]골재사업소(누계)'!Y26</f>
        <v>0</v>
      </c>
      <c r="AC26" s="385">
        <f>+'골재사업소(당월)'!AC26+'[4]골재사업소(누계)'!Z26</f>
        <v>0</v>
      </c>
      <c r="AD26" s="227">
        <f t="shared" si="7"/>
        <v>0</v>
      </c>
      <c r="AE26" s="414">
        <f t="shared" si="12"/>
        <v>1586.4</v>
      </c>
      <c r="AF26" s="383">
        <f t="shared" si="12"/>
        <v>2656</v>
      </c>
      <c r="AG26" s="415">
        <f t="shared" si="8"/>
        <v>1069.5999999999999</v>
      </c>
    </row>
    <row r="27" spans="4:36" ht="24" customHeight="1" x14ac:dyDescent="0.3">
      <c r="D27" s="76"/>
      <c r="E27" s="225" t="s">
        <v>132</v>
      </c>
      <c r="F27" s="224" t="s">
        <v>25</v>
      </c>
      <c r="G27" s="192">
        <f>IFERROR(G35/G21,)*1000</f>
        <v>0</v>
      </c>
      <c r="H27" s="386">
        <f t="shared" ref="H27:H32" si="13">IFERROR(H35/H21,)*1000</f>
        <v>12500</v>
      </c>
      <c r="I27" s="193">
        <f t="shared" si="0"/>
        <v>12500</v>
      </c>
      <c r="J27" s="223">
        <f t="shared" ref="J27:K27" si="14">IFERROR(J35/J21,)*1000</f>
        <v>0</v>
      </c>
      <c r="K27" s="386">
        <f t="shared" si="14"/>
        <v>0</v>
      </c>
      <c r="L27" s="205">
        <f t="shared" si="1"/>
        <v>0</v>
      </c>
      <c r="M27" s="223">
        <f t="shared" ref="M27:N27" si="15">IFERROR(M35/M21,)*1000</f>
        <v>0</v>
      </c>
      <c r="N27" s="386">
        <f t="shared" si="15"/>
        <v>0</v>
      </c>
      <c r="O27" s="205">
        <f t="shared" si="2"/>
        <v>0</v>
      </c>
      <c r="P27" s="428">
        <f>+IFERROR(HLOOKUP($A$1,[14]손익!$G$5:$AB$252,48,),)</f>
        <v>9000</v>
      </c>
      <c r="Q27" s="424">
        <f t="shared" ref="Q27:Q32" si="16">IFERROR(Q35/Q21,)*1000</f>
        <v>12500</v>
      </c>
      <c r="R27" s="434">
        <f t="shared" si="3"/>
        <v>3500</v>
      </c>
      <c r="S27" s="192">
        <f t="shared" ref="S27:T27" si="17">IFERROR(S35/S21,)*1000</f>
        <v>16000</v>
      </c>
      <c r="T27" s="386">
        <f t="shared" si="17"/>
        <v>17500</v>
      </c>
      <c r="U27" s="193">
        <f t="shared" si="4"/>
        <v>1500</v>
      </c>
      <c r="V27" s="223">
        <f t="shared" ref="V27:W27" si="18">IFERROR(V35/V21,)*1000</f>
        <v>23000.000000000004</v>
      </c>
      <c r="W27" s="386">
        <f t="shared" si="18"/>
        <v>23500</v>
      </c>
      <c r="X27" s="205">
        <f t="shared" si="5"/>
        <v>499.99999999999636</v>
      </c>
      <c r="Y27" s="428">
        <f>+IFERROR(HLOOKUP($A$1,[15]손익!$G$5:$AB$252,48,),)</f>
        <v>18896.204112306761</v>
      </c>
      <c r="Z27" s="424">
        <f t="shared" ref="Z27:Z32" si="19">IFERROR(Z35/Z21,)*1000</f>
        <v>20001.789045536563</v>
      </c>
      <c r="AA27" s="434">
        <f t="shared" si="6"/>
        <v>1105.5849332298021</v>
      </c>
      <c r="AB27" s="205">
        <f t="shared" ref="AB27:AC27" si="20">IFERROR(AB35/AB21,)*1000</f>
        <v>32365.061341897181</v>
      </c>
      <c r="AC27" s="386">
        <f t="shared" si="20"/>
        <v>32533.255630021231</v>
      </c>
      <c r="AD27" s="205">
        <f t="shared" si="7"/>
        <v>168.19428812405022</v>
      </c>
      <c r="AE27" s="416">
        <f t="shared" ref="AE27:AE32" si="21">+AE35/AE21*1000</f>
        <v>21415.596501437805</v>
      </c>
      <c r="AF27" s="386">
        <f t="shared" ref="AF27:AF32" si="22">IFERROR(AF35/AF21,)*1000</f>
        <v>22142.261074846312</v>
      </c>
      <c r="AG27" s="417">
        <f t="shared" si="8"/>
        <v>726.66457340850684</v>
      </c>
    </row>
    <row r="28" spans="4:36" ht="24" customHeight="1" x14ac:dyDescent="0.3">
      <c r="D28" s="76"/>
      <c r="E28" s="166" t="s">
        <v>131</v>
      </c>
      <c r="F28" s="221" t="s">
        <v>26</v>
      </c>
      <c r="G28" s="190">
        <f t="shared" ref="G28" si="23">IFERROR(G36/G22,)*1000</f>
        <v>16000</v>
      </c>
      <c r="H28" s="95">
        <f t="shared" si="13"/>
        <v>17000</v>
      </c>
      <c r="I28" s="191">
        <f t="shared" si="0"/>
        <v>1000</v>
      </c>
      <c r="J28" s="220">
        <f t="shared" ref="J28:K28" si="24">IFERROR(J36/J22,)*1000</f>
        <v>15210.089887640446</v>
      </c>
      <c r="K28" s="95">
        <f t="shared" si="24"/>
        <v>10500</v>
      </c>
      <c r="L28" s="196">
        <f t="shared" si="1"/>
        <v>-4710.0898876404462</v>
      </c>
      <c r="M28" s="220">
        <f t="shared" ref="M28:N28" si="25">IFERROR(M36/M22,)*1000</f>
        <v>0</v>
      </c>
      <c r="N28" s="95">
        <f t="shared" si="25"/>
        <v>0</v>
      </c>
      <c r="O28" s="196">
        <f t="shared" si="2"/>
        <v>0</v>
      </c>
      <c r="P28" s="429">
        <f>+IFERROR(HLOOKUP($A$1,[14]손익!$G$5:$AB$252,49,),)</f>
        <v>10555.727554179568</v>
      </c>
      <c r="Q28" s="425">
        <f t="shared" si="16"/>
        <v>16930.942895086322</v>
      </c>
      <c r="R28" s="435">
        <f t="shared" si="3"/>
        <v>6375.2153409067541</v>
      </c>
      <c r="S28" s="190">
        <f t="shared" ref="S28:T28" si="26">IFERROR(S36/S22,)*1000</f>
        <v>0</v>
      </c>
      <c r="T28" s="95">
        <f t="shared" si="26"/>
        <v>12000</v>
      </c>
      <c r="U28" s="191">
        <f t="shared" si="4"/>
        <v>12000</v>
      </c>
      <c r="V28" s="220">
        <f t="shared" ref="V28:W28" si="27">IFERROR(V36/V22,)*1000</f>
        <v>19000</v>
      </c>
      <c r="W28" s="95">
        <f t="shared" si="27"/>
        <v>20000</v>
      </c>
      <c r="X28" s="196">
        <f t="shared" si="5"/>
        <v>1000</v>
      </c>
      <c r="Y28" s="429">
        <f>+IFERROR(HLOOKUP($A$1,[15]손익!$G$5:$AB$252,49,),)</f>
        <v>18999.999999999996</v>
      </c>
      <c r="Z28" s="425">
        <f t="shared" si="19"/>
        <v>19930.489731437599</v>
      </c>
      <c r="AA28" s="435">
        <f t="shared" si="6"/>
        <v>930.48973143760304</v>
      </c>
      <c r="AB28" s="196">
        <f t="shared" ref="AB28:AC28" si="28">IFERROR(AB36/AB22,)*1000</f>
        <v>28000</v>
      </c>
      <c r="AC28" s="95">
        <f t="shared" si="28"/>
        <v>28006.977751756436</v>
      </c>
      <c r="AD28" s="196">
        <f t="shared" si="7"/>
        <v>6.9777517564361915</v>
      </c>
      <c r="AE28" s="418">
        <f t="shared" si="21"/>
        <v>18862.789881282504</v>
      </c>
      <c r="AF28" s="95">
        <f t="shared" si="22"/>
        <v>19183.510450297366</v>
      </c>
      <c r="AG28" s="419">
        <f t="shared" si="8"/>
        <v>320.72056901486212</v>
      </c>
    </row>
    <row r="29" spans="4:36" ht="24" customHeight="1" x14ac:dyDescent="0.3">
      <c r="D29" s="76"/>
      <c r="E29" s="166"/>
      <c r="F29" s="221" t="s">
        <v>27</v>
      </c>
      <c r="G29" s="190">
        <f t="shared" ref="G29" si="29">IFERROR(G37/G23,)*1000</f>
        <v>10000</v>
      </c>
      <c r="H29" s="95">
        <f t="shared" si="13"/>
        <v>11500</v>
      </c>
      <c r="I29" s="191">
        <f t="shared" si="0"/>
        <v>1500</v>
      </c>
      <c r="J29" s="220">
        <f t="shared" ref="J29:K29" si="30">IFERROR(J37/J23,)*1000</f>
        <v>0</v>
      </c>
      <c r="K29" s="95">
        <f t="shared" si="30"/>
        <v>0</v>
      </c>
      <c r="L29" s="196">
        <f t="shared" si="1"/>
        <v>0</v>
      </c>
      <c r="M29" s="220">
        <f t="shared" ref="M29:N29" si="31">IFERROR(M37/M23,)*1000</f>
        <v>0</v>
      </c>
      <c r="N29" s="95">
        <f t="shared" si="31"/>
        <v>0</v>
      </c>
      <c r="O29" s="196">
        <f t="shared" si="2"/>
        <v>0</v>
      </c>
      <c r="P29" s="430">
        <f>+IFERROR(HLOOKUP($A$1,[14]손익!$G$5:$AB$252,50,),)</f>
        <v>0</v>
      </c>
      <c r="Q29" s="426">
        <f t="shared" si="16"/>
        <v>11500</v>
      </c>
      <c r="R29" s="435">
        <f t="shared" si="3"/>
        <v>11500</v>
      </c>
      <c r="S29" s="190">
        <f t="shared" ref="S29:T29" si="32">IFERROR(S37/S23,)*1000</f>
        <v>0</v>
      </c>
      <c r="T29" s="95">
        <f t="shared" si="32"/>
        <v>0</v>
      </c>
      <c r="U29" s="191">
        <f t="shared" si="4"/>
        <v>0</v>
      </c>
      <c r="V29" s="220">
        <f t="shared" ref="V29:W29" si="33">IFERROR(V37/V23,)*1000</f>
        <v>0</v>
      </c>
      <c r="W29" s="95">
        <f t="shared" si="33"/>
        <v>0</v>
      </c>
      <c r="X29" s="196">
        <f t="shared" si="5"/>
        <v>0</v>
      </c>
      <c r="Y29" s="430">
        <f>+IFERROR(HLOOKUP($A$1,[15]손익!$G$5:$AB$252,50,),)</f>
        <v>0</v>
      </c>
      <c r="Z29" s="426">
        <f t="shared" si="19"/>
        <v>0</v>
      </c>
      <c r="AA29" s="435">
        <f t="shared" si="6"/>
        <v>0</v>
      </c>
      <c r="AB29" s="196">
        <f t="shared" ref="AB29:AC29" si="34">IFERROR(AB37/AB23,)*1000</f>
        <v>27499.999999999996</v>
      </c>
      <c r="AC29" s="95">
        <f t="shared" si="34"/>
        <v>0</v>
      </c>
      <c r="AD29" s="196">
        <f t="shared" si="7"/>
        <v>-27499.999999999996</v>
      </c>
      <c r="AE29" s="418">
        <f t="shared" si="21"/>
        <v>25228.271985037976</v>
      </c>
      <c r="AF29" s="95">
        <f t="shared" si="22"/>
        <v>75600.61635220125</v>
      </c>
      <c r="AG29" s="419">
        <f t="shared" si="8"/>
        <v>50372.34436716327</v>
      </c>
    </row>
    <row r="30" spans="4:36" ht="24" customHeight="1" x14ac:dyDescent="0.3">
      <c r="D30" s="76"/>
      <c r="E30" s="166"/>
      <c r="F30" s="221" t="s">
        <v>28</v>
      </c>
      <c r="G30" s="190">
        <f t="shared" ref="G30" si="35">IFERROR(G38/G24,)*1000</f>
        <v>0</v>
      </c>
      <c r="H30" s="95">
        <f t="shared" si="13"/>
        <v>0</v>
      </c>
      <c r="I30" s="191">
        <f t="shared" si="0"/>
        <v>0</v>
      </c>
      <c r="J30" s="220">
        <f t="shared" ref="J30:K30" si="36">IFERROR(J38/J24,)*1000</f>
        <v>0</v>
      </c>
      <c r="K30" s="95">
        <f t="shared" si="36"/>
        <v>0</v>
      </c>
      <c r="L30" s="196">
        <f t="shared" si="1"/>
        <v>0</v>
      </c>
      <c r="M30" s="220">
        <f t="shared" ref="M30:N30" si="37">IFERROR(M38/M24,)*1000</f>
        <v>0</v>
      </c>
      <c r="N30" s="95">
        <f t="shared" si="37"/>
        <v>0</v>
      </c>
      <c r="O30" s="196">
        <f t="shared" si="2"/>
        <v>0</v>
      </c>
      <c r="P30" s="430">
        <f>+IFERROR(HLOOKUP($A$1,[14]손익!$G$5:$AB$252,51,),)</f>
        <v>16471.471808093265</v>
      </c>
      <c r="Q30" s="55">
        <f t="shared" si="16"/>
        <v>0</v>
      </c>
      <c r="R30" s="436">
        <f t="shared" si="3"/>
        <v>-16471.471808093265</v>
      </c>
      <c r="S30" s="190">
        <f t="shared" ref="S30:T30" si="38">IFERROR(S38/S24,)*1000</f>
        <v>0</v>
      </c>
      <c r="T30" s="95">
        <f t="shared" si="38"/>
        <v>0</v>
      </c>
      <c r="U30" s="191">
        <f t="shared" si="4"/>
        <v>0</v>
      </c>
      <c r="V30" s="220">
        <f t="shared" ref="V30:W30" si="39">IFERROR(V38/V24,)*1000</f>
        <v>0</v>
      </c>
      <c r="W30" s="95">
        <f t="shared" si="39"/>
        <v>19000</v>
      </c>
      <c r="X30" s="196">
        <f t="shared" si="5"/>
        <v>19000</v>
      </c>
      <c r="Y30" s="430">
        <f>+IFERROR(HLOOKUP($A$1,[15]손익!$G$5:$AB$252,51,),)</f>
        <v>0</v>
      </c>
      <c r="Z30" s="55">
        <f t="shared" si="19"/>
        <v>19000</v>
      </c>
      <c r="AA30" s="436">
        <f t="shared" si="6"/>
        <v>19000</v>
      </c>
      <c r="AB30" s="196">
        <f t="shared" ref="AB30:AC30" si="40">IFERROR(AB38/AB24,)*1000</f>
        <v>30284.090909090912</v>
      </c>
      <c r="AC30" s="95">
        <f t="shared" si="40"/>
        <v>0</v>
      </c>
      <c r="AD30" s="196">
        <f t="shared" si="7"/>
        <v>-30284.090909090912</v>
      </c>
      <c r="AE30" s="418">
        <f t="shared" si="21"/>
        <v>30284.090909090912</v>
      </c>
      <c r="AF30" s="95">
        <f t="shared" si="22"/>
        <v>237461.43410852712</v>
      </c>
      <c r="AG30" s="419">
        <f t="shared" si="8"/>
        <v>207177.3431994362</v>
      </c>
    </row>
    <row r="31" spans="4:36" ht="24" customHeight="1" x14ac:dyDescent="0.3">
      <c r="D31" s="76"/>
      <c r="E31" s="166"/>
      <c r="F31" s="221" t="s">
        <v>29</v>
      </c>
      <c r="G31" s="190">
        <f t="shared" ref="G31" si="41">IFERROR(G39/G25,)*1000</f>
        <v>0</v>
      </c>
      <c r="H31" s="95">
        <f t="shared" si="13"/>
        <v>0</v>
      </c>
      <c r="I31" s="191">
        <f t="shared" si="0"/>
        <v>0</v>
      </c>
      <c r="J31" s="220">
        <f t="shared" ref="J31:K31" si="42">IFERROR(J39/J25,)*1000</f>
        <v>15000</v>
      </c>
      <c r="K31" s="95">
        <f t="shared" si="42"/>
        <v>9000</v>
      </c>
      <c r="L31" s="196">
        <f t="shared" si="1"/>
        <v>-6000</v>
      </c>
      <c r="M31" s="220">
        <f t="shared" ref="M31:N31" si="43">IFERROR(M39/M25,)*1000</f>
        <v>0</v>
      </c>
      <c r="N31" s="95">
        <f t="shared" si="43"/>
        <v>0</v>
      </c>
      <c r="O31" s="196">
        <f t="shared" si="2"/>
        <v>0</v>
      </c>
      <c r="P31" s="430">
        <f>+IFERROR(HLOOKUP($A$1,[14]손익!$G$5:$AB$252,52,),)</f>
        <v>10000</v>
      </c>
      <c r="Q31" s="55">
        <f t="shared" si="16"/>
        <v>9000</v>
      </c>
      <c r="R31" s="436">
        <f t="shared" si="3"/>
        <v>-1000</v>
      </c>
      <c r="S31" s="190">
        <f t="shared" ref="S31:T31" si="44">IFERROR(S39/S25,)*1000</f>
        <v>0</v>
      </c>
      <c r="T31" s="95">
        <f t="shared" si="44"/>
        <v>0</v>
      </c>
      <c r="U31" s="191">
        <f t="shared" si="4"/>
        <v>0</v>
      </c>
      <c r="V31" s="220">
        <f t="shared" ref="V31:W31" si="45">IFERROR(V39/V25,)*1000</f>
        <v>0</v>
      </c>
      <c r="W31" s="95">
        <f t="shared" si="45"/>
        <v>19000</v>
      </c>
      <c r="X31" s="196">
        <f t="shared" si="5"/>
        <v>19000</v>
      </c>
      <c r="Y31" s="430">
        <f>+IFERROR(HLOOKUP($A$1,[15]손익!$G$5:$AB$252,52,),)</f>
        <v>0</v>
      </c>
      <c r="Z31" s="55">
        <f t="shared" si="19"/>
        <v>19000</v>
      </c>
      <c r="AA31" s="436">
        <f t="shared" si="6"/>
        <v>19000</v>
      </c>
      <c r="AB31" s="196">
        <f t="shared" ref="AB31:AC31" si="46">IFERROR(AB39/AB25,)*1000</f>
        <v>30139.284008555351</v>
      </c>
      <c r="AC31" s="95">
        <f t="shared" si="46"/>
        <v>2825.8741258741261</v>
      </c>
      <c r="AD31" s="196">
        <f t="shared" si="7"/>
        <v>-27313.409882681226</v>
      </c>
      <c r="AE31" s="418">
        <f t="shared" si="21"/>
        <v>28561.386357041953</v>
      </c>
      <c r="AF31" s="95">
        <f t="shared" si="22"/>
        <v>3635.8490566037735</v>
      </c>
      <c r="AG31" s="419">
        <f t="shared" si="8"/>
        <v>-24925.53730043818</v>
      </c>
    </row>
    <row r="32" spans="4:36" ht="24" customHeight="1" thickBot="1" x14ac:dyDescent="0.35">
      <c r="D32" s="76"/>
      <c r="E32" s="218"/>
      <c r="F32" s="217" t="s">
        <v>30</v>
      </c>
      <c r="G32" s="213">
        <f t="shared" ref="G32" si="47">IFERROR(G40/G26,)*1000</f>
        <v>10000</v>
      </c>
      <c r="H32" s="387">
        <f t="shared" si="13"/>
        <v>11500</v>
      </c>
      <c r="I32" s="216">
        <f t="shared" si="0"/>
        <v>1500</v>
      </c>
      <c r="J32" s="215">
        <f t="shared" ref="J32:K32" si="48">IFERROR(J40/J26,)*1000</f>
        <v>15000.000000000002</v>
      </c>
      <c r="K32" s="387">
        <f t="shared" si="48"/>
        <v>9000</v>
      </c>
      <c r="L32" s="214">
        <f t="shared" si="1"/>
        <v>-6000.0000000000018</v>
      </c>
      <c r="M32" s="215">
        <f t="shared" ref="M32:N32" si="49">IFERROR(M40/M26,)*1000</f>
        <v>0</v>
      </c>
      <c r="N32" s="387">
        <f t="shared" si="49"/>
        <v>0</v>
      </c>
      <c r="O32" s="214">
        <f t="shared" si="2"/>
        <v>0</v>
      </c>
      <c r="P32" s="431">
        <f>+IFERROR(HLOOKUP($A$1,[14]손익!$G$5:$AB$252,53,),)</f>
        <v>0</v>
      </c>
      <c r="Q32" s="427">
        <f t="shared" si="16"/>
        <v>11274.096385542169</v>
      </c>
      <c r="R32" s="437">
        <f t="shared" si="3"/>
        <v>11274.096385542169</v>
      </c>
      <c r="S32" s="213">
        <f t="shared" ref="S32:T32" si="50">IFERROR(S40/S26,)*1000</f>
        <v>0</v>
      </c>
      <c r="T32" s="387">
        <f t="shared" si="50"/>
        <v>0</v>
      </c>
      <c r="U32" s="216">
        <f t="shared" si="4"/>
        <v>0</v>
      </c>
      <c r="V32" s="215">
        <f t="shared" ref="V32:W32" si="51">IFERROR(V40/V26,)*1000</f>
        <v>0</v>
      </c>
      <c r="W32" s="387">
        <f t="shared" si="51"/>
        <v>0</v>
      </c>
      <c r="X32" s="214">
        <f t="shared" si="5"/>
        <v>0</v>
      </c>
      <c r="Y32" s="431">
        <f>+IFERROR(HLOOKUP($A$1,[15]손익!$G$5:$AB$252,53,),)</f>
        <v>0</v>
      </c>
      <c r="Z32" s="427">
        <f t="shared" si="19"/>
        <v>0</v>
      </c>
      <c r="AA32" s="437">
        <f t="shared" si="6"/>
        <v>0</v>
      </c>
      <c r="AB32" s="214">
        <f t="shared" ref="AB32:AC32" si="52">IFERROR(AB40/AB26,)*1000</f>
        <v>0</v>
      </c>
      <c r="AC32" s="387">
        <f t="shared" si="52"/>
        <v>0</v>
      </c>
      <c r="AD32" s="214">
        <f t="shared" si="7"/>
        <v>0</v>
      </c>
      <c r="AE32" s="420">
        <f t="shared" si="21"/>
        <v>11830.559757942512</v>
      </c>
      <c r="AF32" s="421">
        <f t="shared" si="22"/>
        <v>11274.096385542169</v>
      </c>
      <c r="AG32" s="422">
        <f t="shared" si="8"/>
        <v>-556.46337240034336</v>
      </c>
    </row>
    <row r="33" spans="5:33" ht="21.95" customHeight="1" thickTop="1" x14ac:dyDescent="0.3">
      <c r="E33" s="6" t="s">
        <v>130</v>
      </c>
      <c r="G33" s="211"/>
      <c r="H33" s="211"/>
      <c r="I33" s="211"/>
      <c r="J33" s="76"/>
      <c r="M33" s="76"/>
      <c r="S33" s="211"/>
      <c r="T33" s="211"/>
      <c r="U33" s="211"/>
      <c r="V33" s="76"/>
      <c r="AB33" s="76"/>
      <c r="AE33" s="76"/>
    </row>
    <row r="34" spans="5:33" ht="21.95" customHeight="1" x14ac:dyDescent="0.3">
      <c r="J34" s="76"/>
      <c r="M34" s="76"/>
      <c r="V34" s="76"/>
      <c r="AB34" s="76"/>
      <c r="AC34" s="6" t="s">
        <v>164</v>
      </c>
      <c r="AE34" s="76"/>
    </row>
    <row r="35" spans="5:33" ht="21.95" customHeight="1" x14ac:dyDescent="0.3">
      <c r="E35" s="26" t="s">
        <v>132</v>
      </c>
      <c r="F35" s="432" t="s">
        <v>25</v>
      </c>
      <c r="G35" s="6">
        <f>+'골재사업소(당월)'!G35+'[4]골재사업소(누계)'!G35</f>
        <v>0</v>
      </c>
      <c r="H35" s="6">
        <f>+'골재사업소(당월)'!H35+'[4]골재사업소(누계)'!H35</f>
        <v>51400</v>
      </c>
      <c r="I35" s="6">
        <f t="shared" ref="I35:I41" si="53">+H35-G35</f>
        <v>51400</v>
      </c>
      <c r="J35" s="76">
        <f>+'골재사업소(당월)'!J35+'[4]골재사업소(누계)'!J35</f>
        <v>0</v>
      </c>
      <c r="K35" s="6">
        <f>+'골재사업소(당월)'!K35+'[4]골재사업소(누계)'!K35</f>
        <v>0</v>
      </c>
      <c r="L35" s="6">
        <f>+K35-J35</f>
        <v>0</v>
      </c>
      <c r="M35" s="76">
        <f>+'골재사업소(당월)'!M35</f>
        <v>0</v>
      </c>
      <c r="N35" s="6">
        <f>+'골재사업소(당월)'!N35</f>
        <v>0</v>
      </c>
      <c r="O35" s="6">
        <f>+N35-M35</f>
        <v>0</v>
      </c>
      <c r="P35" s="6">
        <f>SUM(G35,J35,M35)</f>
        <v>0</v>
      </c>
      <c r="Q35" s="6">
        <f>SUM(H35,K35,N35)</f>
        <v>51400</v>
      </c>
      <c r="R35" s="6">
        <f t="shared" ref="R35:R41" si="54">+Q35-P35</f>
        <v>51400</v>
      </c>
      <c r="S35" s="6">
        <f>+'골재사업소(당월)'!S35+'[4]골재사업소(누계)'!P35</f>
        <v>810567.1015469674</v>
      </c>
      <c r="T35" s="6">
        <f>+'골재사업소(당월)'!T35+'[4]골재사업소(누계)'!Q35</f>
        <v>1000895</v>
      </c>
      <c r="U35" s="6">
        <f t="shared" ref="U35:U41" si="55">+T35-S35</f>
        <v>190327.8984530326</v>
      </c>
      <c r="V35" s="76">
        <f>+'골재사업소(당월)'!V35+'[4]골재사업소(누계)'!S35</f>
        <v>812794.44242409663</v>
      </c>
      <c r="W35" s="6">
        <f>+'골재사업소(당월)'!W35+'[4]골재사업소(누계)'!T35</f>
        <v>961220.5</v>
      </c>
      <c r="X35" s="6">
        <f>+W35-V35</f>
        <v>148426.05757590337</v>
      </c>
      <c r="Y35" s="6">
        <f>SUM(S35,V35)</f>
        <v>1623361.543971064</v>
      </c>
      <c r="Z35" s="6">
        <f t="shared" ref="Z35:Z41" si="56">SUM(T35,W35)</f>
        <v>1962115.5</v>
      </c>
      <c r="AA35" s="6">
        <f t="shared" ref="AA35:AA41" si="57">+Z35-Y35</f>
        <v>338753.95602893597</v>
      </c>
      <c r="AB35" s="438">
        <f>+'골재사업소(당월)'!AB35+'[4]골재사업소(누계)'!Y35</f>
        <v>645457.26399001526</v>
      </c>
      <c r="AC35" s="6">
        <f>+'골재사업소(당월)'!AC35+'[4]골재사업소(누계)'!Z35</f>
        <v>781546.4</v>
      </c>
      <c r="AE35" s="76">
        <f t="shared" ref="AE35:AF41" si="58">+P35+Y35+AB35</f>
        <v>2268818.8079610793</v>
      </c>
      <c r="AF35" s="76">
        <f t="shared" si="58"/>
        <v>2795061.9</v>
      </c>
      <c r="AG35" s="6">
        <f t="shared" ref="AG35:AG41" si="59">+AF35-AE35</f>
        <v>526243.09203892061</v>
      </c>
    </row>
    <row r="36" spans="5:33" ht="21.95" customHeight="1" x14ac:dyDescent="0.3">
      <c r="E36" s="26" t="s">
        <v>77</v>
      </c>
      <c r="F36" s="432" t="s">
        <v>26</v>
      </c>
      <c r="G36" s="6">
        <f>+'골재사업소(당월)'!G36+'[4]골재사업소(누계)'!G36</f>
        <v>576096</v>
      </c>
      <c r="H36" s="6">
        <f>+'골재사업소(당월)'!H36+'[4]골재사업소(누계)'!H36</f>
        <v>1013200</v>
      </c>
      <c r="I36" s="6">
        <f t="shared" si="53"/>
        <v>437104</v>
      </c>
      <c r="J36" s="76">
        <f>+'골재사업소(당월)'!J36+'[4]골재사업소(누계)'!J36</f>
        <v>45123.266666666663</v>
      </c>
      <c r="K36" s="6">
        <f>+'골재사업소(당월)'!K36+'[4]골재사업소(누계)'!K36</f>
        <v>6720</v>
      </c>
      <c r="L36" s="6">
        <f t="shared" ref="L36:L41" si="60">+K36-J36</f>
        <v>-38403.266666666663</v>
      </c>
      <c r="M36" s="76">
        <f>+'골재사업소(당월)'!M36</f>
        <v>0</v>
      </c>
      <c r="N36" s="6">
        <f>+'골재사업소(당월)'!N36</f>
        <v>0</v>
      </c>
      <c r="O36" s="6">
        <f t="shared" ref="O36:O41" si="61">+N36-M36</f>
        <v>0</v>
      </c>
      <c r="P36" s="6">
        <f t="shared" ref="P36:Q41" si="62">SUM(G36,J36,M36)</f>
        <v>621219.2666666666</v>
      </c>
      <c r="Q36" s="6">
        <f t="shared" si="62"/>
        <v>1019920</v>
      </c>
      <c r="R36" s="6">
        <f t="shared" si="54"/>
        <v>398700.7333333334</v>
      </c>
      <c r="S36" s="6">
        <f>+'골재사업소(당월)'!S36+'[4]골재사업소(누계)'!P36</f>
        <v>0</v>
      </c>
      <c r="T36" s="6">
        <f>+'골재사업소(당월)'!T36+'[4]골재사업소(누계)'!Q36</f>
        <v>2112</v>
      </c>
      <c r="U36" s="6">
        <f t="shared" si="55"/>
        <v>2112</v>
      </c>
      <c r="V36" s="76">
        <f>+'골재사업소(당월)'!V36+'[4]골재사업소(누계)'!S36</f>
        <v>204093.15806451614</v>
      </c>
      <c r="W36" s="6">
        <f>+'골재사업소(당월)'!W36+'[4]골재사업소(누계)'!T36</f>
        <v>401600</v>
      </c>
      <c r="X36" s="6">
        <f t="shared" ref="X36:X41" si="63">+W36-V36</f>
        <v>197506.84193548386</v>
      </c>
      <c r="Y36" s="6">
        <f t="shared" ref="Y36:Y41" si="64">SUM(S36,V36)</f>
        <v>204093.15806451614</v>
      </c>
      <c r="Z36" s="6">
        <f t="shared" si="56"/>
        <v>403712</v>
      </c>
      <c r="AA36" s="6">
        <f>+Z36-Y36</f>
        <v>199618.84193548386</v>
      </c>
      <c r="AB36" s="438">
        <f>+'골재사업소(당월)'!AB36+'[4]골재사업소(누계)'!Y36</f>
        <v>344560.55944055947</v>
      </c>
      <c r="AC36" s="6">
        <f>+'골재사업소(당월)'!AC36+'[4]골재사업소(누계)'!Z36</f>
        <v>382687.34399999998</v>
      </c>
      <c r="AE36" s="6">
        <f t="shared" si="58"/>
        <v>1169872.9841717421</v>
      </c>
      <c r="AF36" s="6">
        <f t="shared" si="58"/>
        <v>1806319.344</v>
      </c>
      <c r="AG36" s="6">
        <f t="shared" si="59"/>
        <v>636446.35982825793</v>
      </c>
    </row>
    <row r="37" spans="5:33" ht="21.95" customHeight="1" x14ac:dyDescent="0.3">
      <c r="F37" s="432" t="s">
        <v>27</v>
      </c>
      <c r="G37" s="6">
        <f>+'골재사업소(당월)'!G37+'[4]골재사업소(누계)'!G37</f>
        <v>13280</v>
      </c>
      <c r="H37" s="6">
        <f>+'골재사업소(당월)'!H37+'[4]골재사업소(누계)'!H37</f>
        <v>58512</v>
      </c>
      <c r="I37" s="6">
        <f t="shared" si="53"/>
        <v>45232</v>
      </c>
      <c r="J37" s="76">
        <f>+'골재사업소(당월)'!J37+'[4]골재사업소(누계)'!J37</f>
        <v>0</v>
      </c>
      <c r="K37" s="6">
        <f>+'골재사업소(당월)'!K37+'[4]골재사업소(누계)'!K37</f>
        <v>0</v>
      </c>
      <c r="L37" s="6">
        <f t="shared" si="60"/>
        <v>0</v>
      </c>
      <c r="M37" s="76">
        <f>+'골재사업소(당월)'!M37</f>
        <v>0</v>
      </c>
      <c r="N37" s="6">
        <f>+'골재사업소(당월)'!N37</f>
        <v>0</v>
      </c>
      <c r="O37" s="6">
        <f t="shared" si="61"/>
        <v>0</v>
      </c>
      <c r="P37" s="6">
        <f t="shared" si="62"/>
        <v>13280</v>
      </c>
      <c r="Q37" s="6">
        <f t="shared" si="62"/>
        <v>58512</v>
      </c>
      <c r="R37" s="6">
        <f t="shared" si="54"/>
        <v>45232</v>
      </c>
      <c r="S37" s="6">
        <f>+'골재사업소(당월)'!S37+'[4]골재사업소(누계)'!P37</f>
        <v>0</v>
      </c>
      <c r="T37" s="6">
        <f>+'골재사업소(당월)'!T37+'[4]골재사업소(누계)'!Q37</f>
        <v>0</v>
      </c>
      <c r="U37" s="6">
        <f t="shared" si="55"/>
        <v>0</v>
      </c>
      <c r="V37" s="76">
        <f>+'골재사업소(당월)'!V37+'[4]골재사업소(누계)'!S37</f>
        <v>0</v>
      </c>
      <c r="W37" s="6">
        <f>+'골재사업소(당월)'!W37+'[4]골재사업소(누계)'!T37</f>
        <v>0</v>
      </c>
      <c r="X37" s="6">
        <f t="shared" si="63"/>
        <v>0</v>
      </c>
      <c r="Y37" s="6">
        <f t="shared" si="64"/>
        <v>0</v>
      </c>
      <c r="Z37" s="6">
        <f t="shared" si="56"/>
        <v>0</v>
      </c>
      <c r="AA37" s="6">
        <f t="shared" si="57"/>
        <v>0</v>
      </c>
      <c r="AB37" s="438">
        <f>+'골재사업소(당월)'!AB37+'[4]골재사업소(누계)'!Y37</f>
        <v>244807.69230769231</v>
      </c>
      <c r="AC37" s="6">
        <f>+'골재사업소(당월)'!AC37+'[4]골재사업소(누계)'!Z37</f>
        <v>326143.93599999999</v>
      </c>
      <c r="AE37" s="6">
        <f t="shared" si="58"/>
        <v>258087.69230769231</v>
      </c>
      <c r="AF37" s="6">
        <f t="shared" si="58"/>
        <v>384655.93599999999</v>
      </c>
      <c r="AG37" s="6">
        <f t="shared" si="59"/>
        <v>126568.24369230767</v>
      </c>
    </row>
    <row r="38" spans="5:33" ht="21.95" customHeight="1" x14ac:dyDescent="0.3">
      <c r="F38" s="432" t="s">
        <v>28</v>
      </c>
      <c r="G38" s="6">
        <f>+'골재사업소(당월)'!G38+'[4]골재사업소(누계)'!G38</f>
        <v>0</v>
      </c>
      <c r="H38" s="6">
        <f>+'골재사업소(당월)'!H38+'[4]골재사업소(누계)'!H38</f>
        <v>0</v>
      </c>
      <c r="I38" s="6">
        <f t="shared" si="53"/>
        <v>0</v>
      </c>
      <c r="J38" s="76">
        <f>+'골재사업소(당월)'!J38+'[4]골재사업소(누계)'!J38</f>
        <v>0</v>
      </c>
      <c r="K38" s="6">
        <f>+'골재사업소(당월)'!K38+'[4]골재사업소(누계)'!K38</f>
        <v>0</v>
      </c>
      <c r="L38" s="6">
        <f t="shared" si="60"/>
        <v>0</v>
      </c>
      <c r="M38" s="76">
        <f>+'골재사업소(당월)'!M38</f>
        <v>0</v>
      </c>
      <c r="N38" s="6">
        <f>+'골재사업소(당월)'!N38</f>
        <v>0</v>
      </c>
      <c r="O38" s="6">
        <f t="shared" si="61"/>
        <v>0</v>
      </c>
      <c r="P38" s="6">
        <f t="shared" si="62"/>
        <v>0</v>
      </c>
      <c r="Q38" s="6">
        <f t="shared" si="62"/>
        <v>0</v>
      </c>
      <c r="R38" s="6">
        <f t="shared" si="54"/>
        <v>0</v>
      </c>
      <c r="S38" s="6">
        <f>+'골재사업소(당월)'!S38+'[4]골재사업소(누계)'!P38</f>
        <v>0</v>
      </c>
      <c r="T38" s="6">
        <f>+'골재사업소(당월)'!T38+'[4]골재사업소(누계)'!Q38</f>
        <v>0</v>
      </c>
      <c r="U38" s="6">
        <f t="shared" si="55"/>
        <v>0</v>
      </c>
      <c r="V38" s="76">
        <f>+'골재사업소(당월)'!V38+'[4]골재사업소(누계)'!S38</f>
        <v>0</v>
      </c>
      <c r="W38" s="6">
        <f>+'골재사업소(당월)'!W38+'[4]골재사업소(누계)'!T38</f>
        <v>39216</v>
      </c>
      <c r="X38" s="6">
        <f t="shared" si="63"/>
        <v>39216</v>
      </c>
      <c r="Y38" s="6">
        <f t="shared" si="64"/>
        <v>0</v>
      </c>
      <c r="Z38" s="6">
        <f t="shared" si="56"/>
        <v>39216</v>
      </c>
      <c r="AA38" s="6">
        <f t="shared" si="57"/>
        <v>39216</v>
      </c>
      <c r="AB38" s="438">
        <f>+'골재사업소(당월)'!AB38+'[4]골재사업소(누계)'!Y38</f>
        <v>617236.36363636365</v>
      </c>
      <c r="AC38" s="6">
        <f>+'골재사업소(당월)'!AC38+'[4]골재사업소(누계)'!Z38</f>
        <v>450904.4</v>
      </c>
      <c r="AE38" s="6">
        <f t="shared" si="58"/>
        <v>617236.36363636365</v>
      </c>
      <c r="AF38" s="6">
        <f t="shared" si="58"/>
        <v>490120.4</v>
      </c>
      <c r="AG38" s="6">
        <f t="shared" si="59"/>
        <v>-127115.96363636362</v>
      </c>
    </row>
    <row r="39" spans="5:33" ht="21.95" customHeight="1" x14ac:dyDescent="0.3">
      <c r="F39" s="432" t="s">
        <v>29</v>
      </c>
      <c r="G39" s="6">
        <f>+'골재사업소(당월)'!G39+'[4]골재사업소(누계)'!G39</f>
        <v>0</v>
      </c>
      <c r="H39" s="6">
        <f>+'골재사업소(당월)'!H39+'[4]골재사업소(누계)'!H39</f>
        <v>0</v>
      </c>
      <c r="I39" s="6">
        <f t="shared" si="53"/>
        <v>0</v>
      </c>
      <c r="J39" s="76">
        <f>+'골재사업소(당월)'!J39+'[4]골재사업소(누계)'!J39</f>
        <v>8228.4383999999991</v>
      </c>
      <c r="K39" s="6">
        <f>+'골재사업소(당월)'!K39+'[4]골재사업소(누계)'!K39</f>
        <v>9360</v>
      </c>
      <c r="L39" s="6">
        <f t="shared" si="60"/>
        <v>1131.5616000000009</v>
      </c>
      <c r="M39" s="76">
        <f>+'골재사업소(당월)'!M39</f>
        <v>0</v>
      </c>
      <c r="N39" s="6">
        <f>+'골재사업소(당월)'!N39</f>
        <v>0</v>
      </c>
      <c r="O39" s="6">
        <f t="shared" si="61"/>
        <v>0</v>
      </c>
      <c r="P39" s="6">
        <f t="shared" si="62"/>
        <v>8228.4383999999991</v>
      </c>
      <c r="Q39" s="6">
        <f t="shared" si="62"/>
        <v>9360</v>
      </c>
      <c r="R39" s="6">
        <f t="shared" si="54"/>
        <v>1131.5616000000009</v>
      </c>
      <c r="S39" s="6">
        <f>+'골재사업소(당월)'!S39+'[4]골재사업소(누계)'!P39</f>
        <v>0</v>
      </c>
      <c r="T39" s="6">
        <f>+'골재사업소(당월)'!T39+'[4]골재사업소(누계)'!Q39</f>
        <v>0</v>
      </c>
      <c r="U39" s="6">
        <f t="shared" si="55"/>
        <v>0</v>
      </c>
      <c r="V39" s="76">
        <f>+'골재사업소(당월)'!V39+'[4]골재사업소(누계)'!S39</f>
        <v>0</v>
      </c>
      <c r="W39" s="6">
        <f>+'골재사업소(당월)'!W39+'[4]골재사업소(누계)'!T39</f>
        <v>4560</v>
      </c>
      <c r="X39" s="6">
        <f t="shared" si="63"/>
        <v>4560</v>
      </c>
      <c r="Y39" s="6">
        <f t="shared" si="64"/>
        <v>0</v>
      </c>
      <c r="Z39" s="6">
        <f t="shared" si="56"/>
        <v>4560</v>
      </c>
      <c r="AA39" s="6">
        <f t="shared" si="57"/>
        <v>4560</v>
      </c>
      <c r="AB39" s="438">
        <f>+'골재사업소(당월)'!AB39+'[4]골재사업소(누계)'!Y39</f>
        <v>142096.81818181818</v>
      </c>
      <c r="AC39" s="6">
        <f>+'골재사업소(당월)'!AC39+'[4]골재사업소(누계)'!Z39</f>
        <v>32328</v>
      </c>
      <c r="AE39" s="6">
        <f t="shared" si="58"/>
        <v>150325.25658181816</v>
      </c>
      <c r="AF39" s="6">
        <f t="shared" si="58"/>
        <v>46248</v>
      </c>
      <c r="AG39" s="6">
        <f t="shared" si="59"/>
        <v>-104077.25658181816</v>
      </c>
    </row>
    <row r="40" spans="5:33" ht="21.95" customHeight="1" x14ac:dyDescent="0.3">
      <c r="F40" s="432" t="s">
        <v>30</v>
      </c>
      <c r="G40" s="6">
        <f>+'골재사업소(당월)'!G40+'[4]골재사업소(누계)'!G40</f>
        <v>10056</v>
      </c>
      <c r="H40" s="6">
        <f>+'골재사업소(당월)'!H40+'[4]골재사업소(누계)'!H40</f>
        <v>27784</v>
      </c>
      <c r="I40" s="6">
        <f t="shared" si="53"/>
        <v>17728</v>
      </c>
      <c r="J40" s="76">
        <f>+'골재사업소(당월)'!J40+'[4]골재사업소(누계)'!J40</f>
        <v>8712</v>
      </c>
      <c r="K40" s="6">
        <f>+'골재사업소(당월)'!K40+'[4]골재사업소(누계)'!K40</f>
        <v>2160</v>
      </c>
      <c r="L40" s="6">
        <f t="shared" si="60"/>
        <v>-6552</v>
      </c>
      <c r="M40" s="76">
        <f>+'골재사업소(당월)'!M40</f>
        <v>0</v>
      </c>
      <c r="N40" s="6">
        <f>+'골재사업소(당월)'!N40</f>
        <v>0</v>
      </c>
      <c r="O40" s="6">
        <f t="shared" si="61"/>
        <v>0</v>
      </c>
      <c r="P40" s="6">
        <f t="shared" si="62"/>
        <v>18768</v>
      </c>
      <c r="Q40" s="6">
        <f t="shared" si="62"/>
        <v>29944</v>
      </c>
      <c r="R40" s="6">
        <f t="shared" si="54"/>
        <v>11176</v>
      </c>
      <c r="S40" s="6">
        <f>+'골재사업소(당월)'!S40+'[4]골재사업소(누계)'!P40</f>
        <v>0</v>
      </c>
      <c r="T40" s="6">
        <f>+'골재사업소(당월)'!T40+'[4]골재사업소(누계)'!Q40</f>
        <v>0</v>
      </c>
      <c r="U40" s="6">
        <f t="shared" si="55"/>
        <v>0</v>
      </c>
      <c r="V40" s="76">
        <f>+'골재사업소(당월)'!V40+'[4]골재사업소(누계)'!S40</f>
        <v>0</v>
      </c>
      <c r="W40" s="6">
        <f>+'골재사업소(당월)'!W40+'[4]골재사업소(누계)'!T40</f>
        <v>0</v>
      </c>
      <c r="X40" s="6">
        <f t="shared" si="63"/>
        <v>0</v>
      </c>
      <c r="Y40" s="6">
        <f t="shared" si="64"/>
        <v>0</v>
      </c>
      <c r="Z40" s="6">
        <f t="shared" si="56"/>
        <v>0</v>
      </c>
      <c r="AA40" s="6">
        <f t="shared" si="57"/>
        <v>0</v>
      </c>
      <c r="AB40" s="438">
        <f>+'골재사업소(당월)'!AB40+'[4]골재사업소(누계)'!Y40</f>
        <v>0</v>
      </c>
      <c r="AC40" s="6">
        <f>+'골재사업소(당월)'!AC40+'[4]골재사업소(누계)'!Z40</f>
        <v>0</v>
      </c>
      <c r="AE40" s="6">
        <f t="shared" si="58"/>
        <v>18768</v>
      </c>
      <c r="AF40" s="6">
        <f t="shared" si="58"/>
        <v>29944</v>
      </c>
      <c r="AG40" s="6">
        <f t="shared" si="59"/>
        <v>11176</v>
      </c>
    </row>
    <row r="41" spans="5:33" ht="21.95" customHeight="1" x14ac:dyDescent="0.3">
      <c r="F41" s="432" t="s">
        <v>8</v>
      </c>
      <c r="G41" s="6">
        <f>SUM(G35:G40)</f>
        <v>599432</v>
      </c>
      <c r="H41" s="6">
        <f>SUM(H35:H40)</f>
        <v>1150896</v>
      </c>
      <c r="I41" s="6">
        <f t="shared" si="53"/>
        <v>551464</v>
      </c>
      <c r="J41" s="76">
        <f>SUM(J35:J40)</f>
        <v>62063.705066666662</v>
      </c>
      <c r="K41" s="76">
        <f>SUM(K35:K40)</f>
        <v>18240</v>
      </c>
      <c r="L41" s="6">
        <f t="shared" si="60"/>
        <v>-43823.705066666662</v>
      </c>
      <c r="M41" s="76">
        <f>SUM(M35:M40)</f>
        <v>0</v>
      </c>
      <c r="N41" s="76">
        <f>SUM(N35:N40)</f>
        <v>0</v>
      </c>
      <c r="O41" s="6">
        <f t="shared" si="61"/>
        <v>0</v>
      </c>
      <c r="P41" s="6">
        <f t="shared" si="62"/>
        <v>661495.70506666671</v>
      </c>
      <c r="Q41" s="6">
        <f t="shared" si="62"/>
        <v>1169136</v>
      </c>
      <c r="R41" s="6">
        <f t="shared" si="54"/>
        <v>507640.29493333329</v>
      </c>
      <c r="S41" s="6">
        <f>SUM(S35:S40)</f>
        <v>810567.1015469674</v>
      </c>
      <c r="T41" s="6">
        <f>SUM(T35:T40)</f>
        <v>1003007</v>
      </c>
      <c r="U41" s="6">
        <f t="shared" si="55"/>
        <v>192439.8984530326</v>
      </c>
      <c r="V41" s="76">
        <f>SUM(V35:V40)</f>
        <v>1016887.6004886128</v>
      </c>
      <c r="W41" s="76">
        <f>SUM(W35:W40)</f>
        <v>1406596.5</v>
      </c>
      <c r="X41" s="6">
        <f t="shared" si="63"/>
        <v>389708.89951138722</v>
      </c>
      <c r="Y41" s="6">
        <f t="shared" si="64"/>
        <v>1827454.7020355803</v>
      </c>
      <c r="Z41" s="6">
        <f t="shared" si="56"/>
        <v>2409603.5</v>
      </c>
      <c r="AA41" s="6">
        <f t="shared" si="57"/>
        <v>582148.7979644197</v>
      </c>
      <c r="AB41" s="6">
        <f>SUM(AB35:AB40)</f>
        <v>1994158.6975564489</v>
      </c>
      <c r="AC41" s="6">
        <f>SUM(AC35:AC40)</f>
        <v>1973610.08</v>
      </c>
      <c r="AE41" s="6">
        <f t="shared" si="58"/>
        <v>4483109.1046586959</v>
      </c>
      <c r="AF41" s="6">
        <f t="shared" si="58"/>
        <v>5552349.5800000001</v>
      </c>
      <c r="AG41" s="6">
        <f t="shared" si="59"/>
        <v>1069240.4753413042</v>
      </c>
    </row>
    <row r="42" spans="5:33" ht="21.95" customHeight="1" x14ac:dyDescent="0.3">
      <c r="G42" s="6" t="b">
        <f>+G41=G13</f>
        <v>1</v>
      </c>
      <c r="H42" s="6" t="b">
        <f>+H41=H13</f>
        <v>1</v>
      </c>
      <c r="J42" s="6" t="b">
        <f>+J41=J13</f>
        <v>1</v>
      </c>
      <c r="K42" s="6" t="b">
        <f>+K41=K13</f>
        <v>1</v>
      </c>
      <c r="M42" s="6" t="b">
        <f>+M41=M13</f>
        <v>1</v>
      </c>
      <c r="N42" s="6" t="b">
        <f>+N41=N13</f>
        <v>1</v>
      </c>
      <c r="P42" s="6" t="b">
        <f>+P41=P13</f>
        <v>1</v>
      </c>
      <c r="Q42" s="6" t="b">
        <f>+Q41=Q13</f>
        <v>1</v>
      </c>
      <c r="S42" s="6" t="b">
        <f>+S41=S13</f>
        <v>1</v>
      </c>
      <c r="T42" s="6" t="b">
        <f>+T41=T13</f>
        <v>1</v>
      </c>
      <c r="V42" s="6" t="b">
        <f>+V41=V13</f>
        <v>1</v>
      </c>
      <c r="W42" s="6" t="b">
        <f>+W41=W13</f>
        <v>1</v>
      </c>
      <c r="Y42" s="6" t="b">
        <f>+Y41=Y13</f>
        <v>1</v>
      </c>
      <c r="Z42" s="6" t="b">
        <f>+Z41=Z13</f>
        <v>1</v>
      </c>
      <c r="AB42" s="6" t="b">
        <f>+AB41=AB13</f>
        <v>1</v>
      </c>
      <c r="AC42" s="6" t="b">
        <f>+AC41=AC13</f>
        <v>1</v>
      </c>
      <c r="AE42" s="6" t="b">
        <f>+AE41=AE13</f>
        <v>1</v>
      </c>
      <c r="AF42" s="6" t="b">
        <f>+AF41=AF13</f>
        <v>1</v>
      </c>
    </row>
    <row r="43" spans="5:33" ht="21.95" customHeight="1" x14ac:dyDescent="0.3"/>
    <row r="44" spans="5:33" ht="21.95" customHeight="1" x14ac:dyDescent="0.3"/>
    <row r="45" spans="5:33" ht="21.95" customHeight="1" x14ac:dyDescent="0.3"/>
    <row r="46" spans="5:33" ht="21.95" customHeight="1" x14ac:dyDescent="0.3"/>
    <row r="47" spans="5:33" ht="21.95" customHeight="1" x14ac:dyDescent="0.3"/>
    <row r="48" spans="5:33" ht="21.95" customHeight="1" x14ac:dyDescent="0.3"/>
    <row r="49" ht="21.95" customHeight="1" x14ac:dyDescent="0.3"/>
    <row r="50" ht="21.95" customHeight="1" x14ac:dyDescent="0.3"/>
    <row r="51" ht="21.95" customHeight="1" x14ac:dyDescent="0.3"/>
    <row r="52" ht="21.95" customHeight="1" x14ac:dyDescent="0.3"/>
    <row r="53" ht="21.95" customHeight="1" x14ac:dyDescent="0.3"/>
  </sheetData>
  <mergeCells count="1">
    <mergeCell ref="E6:F7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4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11</vt:i4>
      </vt:variant>
      <vt:variant>
        <vt:lpstr>이름 지정된 범위</vt:lpstr>
      </vt:variant>
      <vt:variant>
        <vt:i4>10</vt:i4>
      </vt:variant>
    </vt:vector>
  </HeadingPairs>
  <TitlesOfParts>
    <vt:vector size="21" baseType="lpstr">
      <vt:lpstr>표지</vt:lpstr>
      <vt:lpstr>손익총괄</vt:lpstr>
      <vt:lpstr>사업장별(당월)</vt:lpstr>
      <vt:lpstr>사업장별(누계)</vt:lpstr>
      <vt:lpstr>영업이익</vt:lpstr>
      <vt:lpstr>공헌이익</vt:lpstr>
      <vt:lpstr>재료비단가</vt:lpstr>
      <vt:lpstr>원단위</vt:lpstr>
      <vt:lpstr>건자재</vt:lpstr>
      <vt:lpstr>골재사업소(당월)</vt:lpstr>
      <vt:lpstr>골재사업소(누계)</vt:lpstr>
      <vt:lpstr>건자재!Print_Area</vt:lpstr>
      <vt:lpstr>'골재사업소(누계)'!Print_Area</vt:lpstr>
      <vt:lpstr>'골재사업소(당월)'!Print_Area</vt:lpstr>
      <vt:lpstr>공헌이익!Print_Area</vt:lpstr>
      <vt:lpstr>'사업장별(누계)'!Print_Area</vt:lpstr>
      <vt:lpstr>'사업장별(당월)'!Print_Area</vt:lpstr>
      <vt:lpstr>손익총괄!Print_Area</vt:lpstr>
      <vt:lpstr>영업이익!Print_Area</vt:lpstr>
      <vt:lpstr>원단위!Print_Area</vt:lpstr>
      <vt:lpstr>재료비단가!Print_Area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</dc:creator>
  <cp:lastModifiedBy>김 창환</cp:lastModifiedBy>
  <cp:lastPrinted>2024-06-17T00:24:33Z</cp:lastPrinted>
  <dcterms:created xsi:type="dcterms:W3CDTF">2018-12-20T00:38:36Z</dcterms:created>
  <dcterms:modified xsi:type="dcterms:W3CDTF">2024-09-04T05:21:08Z</dcterms:modified>
</cp:coreProperties>
</file>