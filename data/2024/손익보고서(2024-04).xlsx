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07\00_보고서\"/>
    </mc:Choice>
  </mc:AlternateContent>
  <xr:revisionPtr revIDLastSave="0" documentId="13_ncr:1_{7ED72B2D-10D9-4C23-9557-29E3289A536B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영업이익" sheetId="33" r:id="rId5"/>
    <sheet name="공헌이익" sheetId="34" r:id="rId6"/>
    <sheet name="재료비단가" sheetId="36" r:id="rId7"/>
    <sheet name="원단위" sheetId="37" r:id="rId8"/>
    <sheet name="건자재" sheetId="29" r:id="rId9"/>
    <sheet name="골재사업소(당월)" sheetId="41" r:id="rId10"/>
    <sheet name="골재사업소(누계)" sheetId="4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'골재사업소(누계)'!$D$4:$AD$33</definedName>
    <definedName name="_xlnm.Print_Area" localSheetId="9">'골재사업소(당월)'!$D$4:$AD$33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G31" i="2" l="1"/>
  <c r="G30" i="2"/>
  <c r="G29" i="2"/>
  <c r="G39" i="2"/>
  <c r="G38" i="2"/>
  <c r="G37" i="2"/>
  <c r="G36" i="2"/>
  <c r="G35" i="2"/>
  <c r="G34" i="2"/>
  <c r="G33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Z40" i="43" l="1"/>
  <c r="Z26" i="43"/>
  <c r="G18" i="41"/>
  <c r="G18" i="43" s="1"/>
  <c r="T40" i="41" l="1"/>
  <c r="T40" i="43" s="1"/>
  <c r="Q40" i="41"/>
  <c r="Q40" i="43" s="1"/>
  <c r="K40" i="41"/>
  <c r="K40" i="43" s="1"/>
  <c r="H40" i="41"/>
  <c r="H40" i="43" s="1"/>
  <c r="Z39" i="41"/>
  <c r="Z39" i="43" s="1"/>
  <c r="T39" i="41"/>
  <c r="T39" i="43" s="1"/>
  <c r="Q39" i="41"/>
  <c r="Q39" i="43" s="1"/>
  <c r="K39" i="41"/>
  <c r="K39" i="43" s="1"/>
  <c r="H39" i="41"/>
  <c r="H39" i="43" s="1"/>
  <c r="Z38" i="41"/>
  <c r="Z38" i="43" s="1"/>
  <c r="T38" i="41"/>
  <c r="T38" i="43" s="1"/>
  <c r="Q38" i="41"/>
  <c r="Q38" i="43" s="1"/>
  <c r="K38" i="41"/>
  <c r="K38" i="43" s="1"/>
  <c r="H38" i="41"/>
  <c r="H38" i="43" s="1"/>
  <c r="Z37" i="41"/>
  <c r="Z37" i="43" s="1"/>
  <c r="T37" i="41"/>
  <c r="T37" i="43" s="1"/>
  <c r="Q37" i="41"/>
  <c r="Q37" i="43" s="1"/>
  <c r="K37" i="41"/>
  <c r="K37" i="43" s="1"/>
  <c r="H37" i="41"/>
  <c r="H37" i="43" s="1"/>
  <c r="Z36" i="41"/>
  <c r="Z36" i="43" s="1"/>
  <c r="T36" i="41"/>
  <c r="T36" i="43" s="1"/>
  <c r="Q36" i="41"/>
  <c r="Q36" i="43" s="1"/>
  <c r="K36" i="41"/>
  <c r="K36" i="43" s="1"/>
  <c r="H36" i="41"/>
  <c r="H36" i="43" s="1"/>
  <c r="Z35" i="41"/>
  <c r="Z35" i="43" s="1"/>
  <c r="T35" i="41"/>
  <c r="T35" i="43" s="1"/>
  <c r="Q35" i="41"/>
  <c r="Q35" i="43" s="1"/>
  <c r="K35" i="41"/>
  <c r="K35" i="43" s="1"/>
  <c r="H35" i="41"/>
  <c r="H35" i="43" s="1"/>
  <c r="T26" i="41"/>
  <c r="T26" i="43" s="1"/>
  <c r="Q26" i="41"/>
  <c r="Q26" i="43" s="1"/>
  <c r="K26" i="41"/>
  <c r="K26" i="43" s="1"/>
  <c r="H26" i="41"/>
  <c r="H26" i="43" s="1"/>
  <c r="Z25" i="41"/>
  <c r="Z25" i="43" s="1"/>
  <c r="T25" i="41"/>
  <c r="T25" i="43" s="1"/>
  <c r="Q25" i="41"/>
  <c r="Q25" i="43" s="1"/>
  <c r="K25" i="41"/>
  <c r="K25" i="43" s="1"/>
  <c r="H25" i="41"/>
  <c r="H25" i="43" s="1"/>
  <c r="Z24" i="41"/>
  <c r="Z24" i="43" s="1"/>
  <c r="T24" i="41"/>
  <c r="T24" i="43" s="1"/>
  <c r="Q24" i="41"/>
  <c r="Q24" i="43" s="1"/>
  <c r="K24" i="41"/>
  <c r="K24" i="43" s="1"/>
  <c r="H24" i="41"/>
  <c r="H24" i="43" s="1"/>
  <c r="Z23" i="41"/>
  <c r="Z23" i="43" s="1"/>
  <c r="T23" i="41"/>
  <c r="T23" i="43" s="1"/>
  <c r="Q23" i="41"/>
  <c r="Q23" i="43" s="1"/>
  <c r="K23" i="41"/>
  <c r="K23" i="43" s="1"/>
  <c r="H23" i="41"/>
  <c r="H23" i="43" s="1"/>
  <c r="Z22" i="41"/>
  <c r="Z22" i="43" s="1"/>
  <c r="T22" i="41"/>
  <c r="T22" i="43" s="1"/>
  <c r="Q22" i="41"/>
  <c r="Q22" i="43" s="1"/>
  <c r="K22" i="41"/>
  <c r="K22" i="43" s="1"/>
  <c r="H22" i="41"/>
  <c r="H22" i="43" s="1"/>
  <c r="Z21" i="41"/>
  <c r="Z21" i="43" s="1"/>
  <c r="T21" i="41"/>
  <c r="T21" i="43" s="1"/>
  <c r="Q21" i="41"/>
  <c r="Q21" i="43" s="1"/>
  <c r="K21" i="41"/>
  <c r="K21" i="43" s="1"/>
  <c r="H21" i="41"/>
  <c r="H21" i="43" s="1"/>
  <c r="Z19" i="41"/>
  <c r="Z19" i="43" s="1"/>
  <c r="T19" i="41"/>
  <c r="T19" i="43" s="1"/>
  <c r="Q19" i="41"/>
  <c r="Q19" i="43" s="1"/>
  <c r="K19" i="41"/>
  <c r="K19" i="43" s="1"/>
  <c r="H19" i="41"/>
  <c r="H19" i="43" s="1"/>
  <c r="Z18" i="41"/>
  <c r="Z18" i="43" s="1"/>
  <c r="T18" i="41"/>
  <c r="T18" i="43" s="1"/>
  <c r="Q18" i="41"/>
  <c r="Q18" i="43" s="1"/>
  <c r="K18" i="41"/>
  <c r="K18" i="43" s="1"/>
  <c r="H18" i="41"/>
  <c r="H18" i="43" s="1"/>
  <c r="Z15" i="41"/>
  <c r="Z15" i="43" s="1"/>
  <c r="T15" i="41"/>
  <c r="T15" i="43" s="1"/>
  <c r="Q15" i="41"/>
  <c r="Q15" i="43" s="1"/>
  <c r="K15" i="41"/>
  <c r="K15" i="43" s="1"/>
  <c r="H15" i="41"/>
  <c r="H15" i="43" s="1"/>
  <c r="Z13" i="41"/>
  <c r="Z13" i="43" s="1"/>
  <c r="T13" i="41"/>
  <c r="T13" i="43" s="1"/>
  <c r="Q13" i="41"/>
  <c r="Q13" i="43" s="1"/>
  <c r="K13" i="41"/>
  <c r="K13" i="43" s="1"/>
  <c r="H13" i="41"/>
  <c r="H13" i="43" s="1"/>
  <c r="Z10" i="41"/>
  <c r="Z10" i="43" s="1"/>
  <c r="T10" i="41"/>
  <c r="T10" i="43" s="1"/>
  <c r="Q10" i="41"/>
  <c r="Q10" i="43" s="1"/>
  <c r="K10" i="41"/>
  <c r="K10" i="43" s="1"/>
  <c r="H10" i="41"/>
  <c r="H10" i="43" s="1"/>
  <c r="Z8" i="41"/>
  <c r="Z8" i="43" s="1"/>
  <c r="T8" i="41"/>
  <c r="T8" i="43" s="1"/>
  <c r="Q8" i="41"/>
  <c r="Q8" i="43" s="1"/>
  <c r="K8" i="41"/>
  <c r="K8" i="43" s="1"/>
  <c r="H8" i="41"/>
  <c r="H8" i="43" s="1"/>
  <c r="G36" i="29"/>
  <c r="L36" i="29" l="1"/>
  <c r="G25" i="29"/>
  <c r="L25" i="29" s="1"/>
  <c r="G24" i="29"/>
  <c r="L24" i="29" s="1"/>
  <c r="AH39" i="29"/>
  <c r="AH37" i="29"/>
  <c r="W40" i="42"/>
  <c r="U40" i="42"/>
  <c r="T40" i="42"/>
  <c r="R40" i="42"/>
  <c r="P40" i="42"/>
  <c r="O40" i="42"/>
  <c r="R38" i="42"/>
  <c r="P38" i="42"/>
  <c r="O38" i="42"/>
  <c r="T37" i="42"/>
  <c r="R37" i="42"/>
  <c r="P37" i="42"/>
  <c r="O37" i="42"/>
  <c r="R36" i="42"/>
  <c r="P36" i="42"/>
  <c r="O36" i="42"/>
  <c r="R35" i="42"/>
  <c r="P35" i="42"/>
  <c r="O35" i="42"/>
  <c r="W46" i="2"/>
  <c r="W46" i="42" s="1"/>
  <c r="R46" i="2"/>
  <c r="R46" i="42" s="1"/>
  <c r="M46" i="2"/>
  <c r="M46" i="42" s="1"/>
  <c r="W39" i="2"/>
  <c r="W39" i="42" s="1"/>
  <c r="R39" i="2"/>
  <c r="R39" i="42" s="1"/>
  <c r="W38" i="2"/>
  <c r="W38" i="42" s="1"/>
  <c r="W37" i="2"/>
  <c r="W37" i="42" s="1"/>
  <c r="W36" i="2"/>
  <c r="W36" i="42" s="1"/>
  <c r="W35" i="2"/>
  <c r="W35" i="42" s="1"/>
  <c r="W34" i="2"/>
  <c r="W34" i="42" s="1"/>
  <c r="R34" i="2"/>
  <c r="R34" i="42" s="1"/>
  <c r="W33" i="2"/>
  <c r="W33" i="42" s="1"/>
  <c r="R33" i="2"/>
  <c r="R33" i="42" s="1"/>
  <c r="W31" i="2"/>
  <c r="W31" i="42" s="1"/>
  <c r="R31" i="2"/>
  <c r="R31" i="42" s="1"/>
  <c r="M31" i="2"/>
  <c r="M31" i="42" s="1"/>
  <c r="W30" i="2"/>
  <c r="W30" i="42" s="1"/>
  <c r="R30" i="2"/>
  <c r="R30" i="42" s="1"/>
  <c r="M30" i="2"/>
  <c r="M30" i="42" s="1"/>
  <c r="W29" i="2"/>
  <c r="W29" i="42" s="1"/>
  <c r="R29" i="2"/>
  <c r="R29" i="42" s="1"/>
  <c r="M29" i="2"/>
  <c r="M29" i="42" s="1"/>
  <c r="W28" i="2"/>
  <c r="W28" i="42" s="1"/>
  <c r="R28" i="2"/>
  <c r="R28" i="42" s="1"/>
  <c r="M28" i="2"/>
  <c r="M28" i="42" s="1"/>
  <c r="W23" i="2"/>
  <c r="R23" i="2"/>
  <c r="M23" i="2"/>
  <c r="W22" i="2"/>
  <c r="R22" i="2"/>
  <c r="M22" i="2"/>
  <c r="W21" i="2"/>
  <c r="R21" i="2"/>
  <c r="M21" i="2"/>
  <c r="W20" i="2"/>
  <c r="R20" i="2"/>
  <c r="M20" i="2"/>
  <c r="W19" i="2"/>
  <c r="R19" i="2"/>
  <c r="M19" i="2"/>
  <c r="W18" i="2"/>
  <c r="R18" i="2"/>
  <c r="M18" i="2"/>
  <c r="W17" i="2"/>
  <c r="R17" i="2"/>
  <c r="M17" i="2"/>
  <c r="W16" i="2"/>
  <c r="R16" i="2"/>
  <c r="M16" i="2"/>
  <c r="W15" i="2"/>
  <c r="R15" i="2"/>
  <c r="M15" i="2"/>
  <c r="W14" i="2"/>
  <c r="R14" i="2"/>
  <c r="M14" i="2"/>
  <c r="W13" i="2"/>
  <c r="R13" i="2"/>
  <c r="M13" i="2"/>
  <c r="W12" i="2"/>
  <c r="R12" i="2"/>
  <c r="M12" i="2"/>
  <c r="W11" i="2"/>
  <c r="R11" i="2"/>
  <c r="M11" i="2"/>
  <c r="W10" i="2"/>
  <c r="R10" i="2"/>
  <c r="M10" i="2"/>
  <c r="W9" i="2"/>
  <c r="R9" i="2"/>
  <c r="M9" i="2"/>
  <c r="W8" i="2"/>
  <c r="R8" i="2"/>
  <c r="M8" i="2"/>
  <c r="W7" i="2"/>
  <c r="R7" i="2"/>
  <c r="M7" i="2"/>
  <c r="AD27" i="42"/>
  <c r="AC27" i="42"/>
  <c r="AB27" i="42"/>
  <c r="AA27" i="42"/>
  <c r="Z27" i="42"/>
  <c r="Y27" i="42"/>
  <c r="AD26" i="42"/>
  <c r="AC26" i="42"/>
  <c r="AB26" i="42"/>
  <c r="AA26" i="42"/>
  <c r="Z26" i="42"/>
  <c r="Y26" i="42"/>
  <c r="AD25" i="42"/>
  <c r="AC25" i="42"/>
  <c r="AB25" i="42"/>
  <c r="AA25" i="42"/>
  <c r="Z25" i="42"/>
  <c r="Y25" i="42"/>
  <c r="AD24" i="42"/>
  <c r="AC24" i="42"/>
  <c r="AB24" i="42"/>
  <c r="AA24" i="42"/>
  <c r="Z24" i="42"/>
  <c r="Y24" i="42"/>
  <c r="AD23" i="42"/>
  <c r="AC23" i="42"/>
  <c r="AB23" i="42"/>
  <c r="AA23" i="42"/>
  <c r="Z23" i="42"/>
  <c r="Y23" i="42"/>
  <c r="AD22" i="42"/>
  <c r="AC22" i="42"/>
  <c r="AB22" i="42"/>
  <c r="AA22" i="42"/>
  <c r="Z22" i="42"/>
  <c r="Y22" i="42"/>
  <c r="AD21" i="42"/>
  <c r="AC21" i="42"/>
  <c r="AB21" i="42"/>
  <c r="AA21" i="42"/>
  <c r="Z21" i="42"/>
  <c r="Y21" i="42"/>
  <c r="AD20" i="42"/>
  <c r="AC20" i="42"/>
  <c r="AB20" i="42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Z18" i="42"/>
  <c r="Y18" i="42"/>
  <c r="AD17" i="42"/>
  <c r="AC17" i="42"/>
  <c r="AB17" i="42"/>
  <c r="AA17" i="42"/>
  <c r="Z17" i="42"/>
  <c r="Y17" i="42"/>
  <c r="AD16" i="42"/>
  <c r="AC16" i="42"/>
  <c r="AB16" i="42"/>
  <c r="AA16" i="42"/>
  <c r="Z16" i="42"/>
  <c r="Y16" i="42"/>
  <c r="AD15" i="42"/>
  <c r="AC15" i="42"/>
  <c r="AB15" i="42"/>
  <c r="AA15" i="42"/>
  <c r="Z15" i="42"/>
  <c r="Y15" i="42"/>
  <c r="AD14" i="42"/>
  <c r="AC14" i="42"/>
  <c r="AB14" i="42"/>
  <c r="AA14" i="42"/>
  <c r="Z14" i="42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D11" i="42"/>
  <c r="AC11" i="42"/>
  <c r="AB11" i="42"/>
  <c r="AA11" i="42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Y9" i="42"/>
  <c r="AD8" i="42"/>
  <c r="AC8" i="42"/>
  <c r="AB8" i="42"/>
  <c r="AA8" i="42"/>
  <c r="Z8" i="42"/>
  <c r="Y8" i="42"/>
  <c r="AD7" i="42"/>
  <c r="AC7" i="42"/>
  <c r="AB7" i="42"/>
  <c r="AA7" i="42"/>
  <c r="Z7" i="42"/>
  <c r="Y7" i="42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V28" i="1"/>
  <c r="V27" i="1"/>
  <c r="V24" i="1"/>
  <c r="V23" i="1"/>
  <c r="T28" i="1"/>
  <c r="S28" i="1"/>
  <c r="T27" i="1"/>
  <c r="S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H38" i="1"/>
  <c r="M38" i="1" s="1"/>
  <c r="H27" i="1"/>
  <c r="M27" i="1" s="1"/>
  <c r="H26" i="1"/>
  <c r="M26" i="1" s="1"/>
  <c r="H25" i="1"/>
  <c r="M25" i="1" s="1"/>
  <c r="H17" i="1"/>
  <c r="M17" i="1" s="1"/>
  <c r="H16" i="1"/>
  <c r="M16" i="1" s="1"/>
  <c r="H15" i="1"/>
  <c r="M15" i="1" s="1"/>
  <c r="H12" i="1"/>
  <c r="M12" i="1" s="1"/>
  <c r="H11" i="1"/>
  <c r="M11" i="1" s="1"/>
  <c r="H10" i="1"/>
  <c r="H9" i="1"/>
  <c r="M9" i="1" s="1"/>
  <c r="H8" i="1"/>
  <c r="M8" i="1" s="1"/>
  <c r="H7" i="1"/>
  <c r="M7" i="1" s="1"/>
  <c r="M7" i="42" l="1"/>
  <c r="W20" i="42"/>
  <c r="W7" i="42"/>
  <c r="M15" i="42"/>
  <c r="W8" i="42"/>
  <c r="R15" i="42"/>
  <c r="M22" i="42"/>
  <c r="M9" i="42"/>
  <c r="W15" i="42"/>
  <c r="R22" i="42"/>
  <c r="R9" i="42"/>
  <c r="M10" i="42"/>
  <c r="W16" i="42"/>
  <c r="R23" i="42"/>
  <c r="W13" i="42"/>
  <c r="M23" i="42"/>
  <c r="R10" i="42"/>
  <c r="M17" i="42"/>
  <c r="W23" i="42"/>
  <c r="M16" i="42"/>
  <c r="W10" i="42"/>
  <c r="R17" i="42"/>
  <c r="W14" i="42"/>
  <c r="M11" i="42"/>
  <c r="W17" i="42"/>
  <c r="M8" i="42"/>
  <c r="R11" i="42"/>
  <c r="M18" i="42"/>
  <c r="R21" i="42"/>
  <c r="W11" i="42"/>
  <c r="R18" i="42"/>
  <c r="M14" i="42"/>
  <c r="M12" i="42"/>
  <c r="W18" i="42"/>
  <c r="R7" i="42"/>
  <c r="R12" i="42"/>
  <c r="M19" i="42"/>
  <c r="W21" i="42"/>
  <c r="W12" i="42"/>
  <c r="R19" i="42"/>
  <c r="R20" i="42"/>
  <c r="M21" i="42"/>
  <c r="W22" i="42"/>
  <c r="R16" i="42"/>
  <c r="M13" i="42"/>
  <c r="W19" i="42"/>
  <c r="R14" i="42"/>
  <c r="R8" i="42"/>
  <c r="W9" i="42"/>
  <c r="R13" i="42"/>
  <c r="M20" i="42"/>
  <c r="H13" i="1"/>
  <c r="M13" i="1" s="1"/>
  <c r="H18" i="1"/>
  <c r="M18" i="1" s="1"/>
  <c r="H28" i="1"/>
  <c r="M28" i="1" s="1"/>
  <c r="M10" i="1"/>
  <c r="AG39" i="29" l="1"/>
  <c r="AG37" i="29"/>
  <c r="AA21" i="1" l="1"/>
  <c r="AA19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Z32" i="43" l="1"/>
  <c r="V32" i="43" l="1"/>
  <c r="M32" i="43"/>
  <c r="V31" i="43"/>
  <c r="M31" i="43"/>
  <c r="V30" i="43"/>
  <c r="M30" i="43"/>
  <c r="V29" i="43"/>
  <c r="M29" i="43"/>
  <c r="V28" i="43"/>
  <c r="M28" i="43"/>
  <c r="V27" i="43"/>
  <c r="M27" i="43"/>
  <c r="Z27" i="43"/>
  <c r="AF39" i="29"/>
  <c r="AF37" i="29"/>
  <c r="AG26" i="42"/>
  <c r="AE26" i="42"/>
  <c r="AG25" i="42"/>
  <c r="AF25" i="42"/>
  <c r="AE25" i="42"/>
  <c r="AG23" i="42"/>
  <c r="AF22" i="42"/>
  <c r="AE22" i="42"/>
  <c r="AG21" i="42"/>
  <c r="AG20" i="42"/>
  <c r="AF20" i="42"/>
  <c r="AE20" i="42"/>
  <c r="AG18" i="42"/>
  <c r="AF18" i="42"/>
  <c r="AG16" i="42"/>
  <c r="AG15" i="42"/>
  <c r="AF15" i="42"/>
  <c r="AE15" i="42"/>
  <c r="AG14" i="42"/>
  <c r="AF14" i="42"/>
  <c r="AE12" i="42"/>
  <c r="AG11" i="42"/>
  <c r="AF9" i="42"/>
  <c r="AG8" i="42"/>
  <c r="AF8" i="42"/>
  <c r="V40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E23" i="42"/>
  <c r="AE13" i="42"/>
  <c r="AF12" i="42"/>
  <c r="AG9" i="42"/>
  <c r="AE7" i="42" l="1"/>
  <c r="AE17" i="42"/>
  <c r="AE11" i="42"/>
  <c r="AE8" i="42"/>
  <c r="AE18" i="42"/>
  <c r="Q35" i="42"/>
  <c r="Q40" i="42"/>
  <c r="S38" i="42"/>
  <c r="S40" i="42"/>
  <c r="AE9" i="42"/>
  <c r="Q36" i="42"/>
  <c r="AE27" i="42"/>
  <c r="Q38" i="42"/>
  <c r="AF17" i="42"/>
  <c r="AF27" i="42"/>
  <c r="AG7" i="42"/>
  <c r="AE14" i="42"/>
  <c r="AG17" i="42"/>
  <c r="AE24" i="42"/>
  <c r="AG27" i="42"/>
  <c r="Z31" i="43"/>
  <c r="Z20" i="43"/>
  <c r="Z28" i="43"/>
  <c r="Z14" i="43"/>
  <c r="Z12" i="43"/>
  <c r="Z11" i="43" s="1"/>
  <c r="AF24" i="42"/>
  <c r="AG24" i="42"/>
  <c r="S37" i="42"/>
  <c r="AF11" i="42"/>
  <c r="AF21" i="42"/>
  <c r="S36" i="42"/>
  <c r="AG12" i="42"/>
  <c r="AE19" i="42"/>
  <c r="AG22" i="42"/>
  <c r="Z29" i="43"/>
  <c r="AF19" i="42"/>
  <c r="AE21" i="42"/>
  <c r="AE16" i="42"/>
  <c r="AG19" i="42"/>
  <c r="S35" i="42"/>
  <c r="Z41" i="43"/>
  <c r="Z42" i="43" s="1"/>
  <c r="AF13" i="42"/>
  <c r="AF23" i="42"/>
  <c r="Z30" i="43"/>
  <c r="AE10" i="42"/>
  <c r="AG13" i="42"/>
  <c r="AF16" i="42"/>
  <c r="AF26" i="42"/>
  <c r="AF10" i="42"/>
  <c r="AF7" i="42"/>
  <c r="AG10" i="42"/>
  <c r="Z16" i="43"/>
  <c r="Z17" i="43"/>
  <c r="Q37" i="42"/>
  <c r="L41" i="42"/>
  <c r="M41" i="42"/>
  <c r="N41" i="42" s="1"/>
  <c r="Z9" i="43" l="1"/>
  <c r="AE12" i="1" l="1"/>
  <c r="AE11" i="1"/>
  <c r="AE10" i="1"/>
  <c r="AE9" i="1"/>
  <c r="AE8" i="1"/>
  <c r="AE7" i="1"/>
  <c r="AE13" i="1" l="1"/>
  <c r="AE14" i="1" s="1"/>
  <c r="P19" i="41"/>
  <c r="P19" i="43" s="1"/>
  <c r="P18" i="41"/>
  <c r="P18" i="43" s="1"/>
  <c r="Y40" i="41" l="1"/>
  <c r="Y40" i="43" s="1"/>
  <c r="Y39" i="41"/>
  <c r="Y39" i="43" s="1"/>
  <c r="Y38" i="41"/>
  <c r="Y38" i="43" s="1"/>
  <c r="Y37" i="41"/>
  <c r="Y37" i="43" s="1"/>
  <c r="Y36" i="41"/>
  <c r="Y36" i="43" s="1"/>
  <c r="Y35" i="41"/>
  <c r="Y35" i="43" s="1"/>
  <c r="Y19" i="41"/>
  <c r="Y19" i="43" s="1"/>
  <c r="Y18" i="41"/>
  <c r="Y18" i="43" s="1"/>
  <c r="Y26" i="41" l="1"/>
  <c r="Y26" i="43" s="1"/>
  <c r="Y25" i="41"/>
  <c r="Y25" i="43" s="1"/>
  <c r="Y24" i="41"/>
  <c r="Y24" i="43" s="1"/>
  <c r="Y23" i="41"/>
  <c r="Y23" i="43" s="1"/>
  <c r="Y22" i="41"/>
  <c r="Y22" i="43" s="1"/>
  <c r="Y21" i="41"/>
  <c r="Y21" i="43" s="1"/>
  <c r="Y15" i="41"/>
  <c r="Y15" i="43" s="1"/>
  <c r="Y13" i="41"/>
  <c r="Y13" i="43" s="1"/>
  <c r="Y10" i="41"/>
  <c r="Y10" i="43" s="1"/>
  <c r="Y8" i="41"/>
  <c r="Y8" i="43" s="1"/>
  <c r="S19" i="41" l="1"/>
  <c r="S19" i="43" s="1"/>
  <c r="S18" i="41" l="1"/>
  <c r="S18" i="43" s="1"/>
  <c r="S40" i="41" l="1"/>
  <c r="S40" i="43" s="1"/>
  <c r="P40" i="41"/>
  <c r="P40" i="43" s="1"/>
  <c r="S39" i="41"/>
  <c r="S39" i="43" s="1"/>
  <c r="P39" i="41"/>
  <c r="P39" i="43" s="1"/>
  <c r="S38" i="41"/>
  <c r="S38" i="43" s="1"/>
  <c r="P38" i="41"/>
  <c r="P38" i="43" s="1"/>
  <c r="S37" i="41"/>
  <c r="S37" i="43" s="1"/>
  <c r="P37" i="41"/>
  <c r="P37" i="43" s="1"/>
  <c r="S36" i="41"/>
  <c r="S36" i="43" s="1"/>
  <c r="P36" i="41"/>
  <c r="P36" i="43" s="1"/>
  <c r="S35" i="41"/>
  <c r="S35" i="43" s="1"/>
  <c r="P35" i="41"/>
  <c r="P35" i="43" s="1"/>
  <c r="V32" i="41"/>
  <c r="S32" i="41"/>
  <c r="P32" i="41"/>
  <c r="V31" i="41"/>
  <c r="S31" i="41"/>
  <c r="P31" i="41"/>
  <c r="V30" i="41"/>
  <c r="S30" i="41"/>
  <c r="P30" i="41"/>
  <c r="V29" i="41"/>
  <c r="S29" i="41"/>
  <c r="P29" i="41"/>
  <c r="V28" i="41"/>
  <c r="S28" i="41"/>
  <c r="P28" i="41"/>
  <c r="V27" i="41"/>
  <c r="S27" i="41"/>
  <c r="P27" i="41"/>
  <c r="S26" i="41"/>
  <c r="S26" i="43" s="1"/>
  <c r="P26" i="41"/>
  <c r="P26" i="43" s="1"/>
  <c r="S25" i="41"/>
  <c r="S25" i="43" s="1"/>
  <c r="P25" i="41"/>
  <c r="P25" i="43" s="1"/>
  <c r="S24" i="41"/>
  <c r="S24" i="43" s="1"/>
  <c r="P24" i="41"/>
  <c r="P24" i="43" s="1"/>
  <c r="S23" i="41"/>
  <c r="S23" i="43" s="1"/>
  <c r="P23" i="41"/>
  <c r="P23" i="43" s="1"/>
  <c r="S22" i="41"/>
  <c r="S22" i="43" s="1"/>
  <c r="P22" i="41"/>
  <c r="P22" i="43" s="1"/>
  <c r="S21" i="41"/>
  <c r="S21" i="43" s="1"/>
  <c r="P21" i="41"/>
  <c r="P21" i="43" s="1"/>
  <c r="S15" i="41"/>
  <c r="S15" i="43" s="1"/>
  <c r="P15" i="41"/>
  <c r="P15" i="43" s="1"/>
  <c r="S13" i="41"/>
  <c r="S13" i="43" s="1"/>
  <c r="P13" i="41"/>
  <c r="P13" i="43" s="1"/>
  <c r="S10" i="41"/>
  <c r="S10" i="43" s="1"/>
  <c r="P10" i="41"/>
  <c r="P10" i="43" s="1"/>
  <c r="S8" i="41"/>
  <c r="S8" i="43" s="1"/>
  <c r="P8" i="41"/>
  <c r="P8" i="43" s="1"/>
  <c r="J40" i="41"/>
  <c r="J40" i="43" s="1"/>
  <c r="J39" i="41"/>
  <c r="J39" i="43" s="1"/>
  <c r="J38" i="41"/>
  <c r="J38" i="43" s="1"/>
  <c r="J37" i="41"/>
  <c r="J37" i="43" s="1"/>
  <c r="J36" i="41"/>
  <c r="J36" i="43" s="1"/>
  <c r="J35" i="41"/>
  <c r="J35" i="43" s="1"/>
  <c r="J32" i="41"/>
  <c r="J31" i="41"/>
  <c r="J30" i="41"/>
  <c r="J29" i="41"/>
  <c r="J28" i="41"/>
  <c r="J27" i="41"/>
  <c r="J19" i="41"/>
  <c r="J19" i="43" s="1"/>
  <c r="J18" i="41"/>
  <c r="J18" i="43" s="1"/>
  <c r="J15" i="41"/>
  <c r="J15" i="43" s="1"/>
  <c r="J13" i="41"/>
  <c r="J13" i="43" s="1"/>
  <c r="G40" i="41"/>
  <c r="G40" i="43" s="1"/>
  <c r="G39" i="41"/>
  <c r="G39" i="43" s="1"/>
  <c r="G38" i="41"/>
  <c r="G38" i="43" s="1"/>
  <c r="G37" i="41"/>
  <c r="G37" i="43" s="1"/>
  <c r="G36" i="41"/>
  <c r="G36" i="43" s="1"/>
  <c r="G35" i="41"/>
  <c r="G35" i="43" s="1"/>
  <c r="G32" i="41"/>
  <c r="G31" i="41"/>
  <c r="G30" i="41"/>
  <c r="G29" i="41"/>
  <c r="G28" i="41"/>
  <c r="G27" i="41"/>
  <c r="G19" i="41"/>
  <c r="G19" i="43" s="1"/>
  <c r="G15" i="41"/>
  <c r="G15" i="43" s="1"/>
  <c r="G13" i="41"/>
  <c r="G13" i="43" s="1"/>
  <c r="M32" i="41" l="1"/>
  <c r="M31" i="41"/>
  <c r="M30" i="41"/>
  <c r="M29" i="41"/>
  <c r="M28" i="41"/>
  <c r="M27" i="41"/>
  <c r="J26" i="41"/>
  <c r="J26" i="43" s="1"/>
  <c r="G26" i="41"/>
  <c r="G26" i="43" s="1"/>
  <c r="J25" i="41"/>
  <c r="J25" i="43" s="1"/>
  <c r="G25" i="41"/>
  <c r="G25" i="43" s="1"/>
  <c r="J24" i="41"/>
  <c r="J24" i="43" s="1"/>
  <c r="G24" i="41"/>
  <c r="G24" i="43" s="1"/>
  <c r="J23" i="41"/>
  <c r="J23" i="43" s="1"/>
  <c r="G23" i="41"/>
  <c r="G23" i="43" s="1"/>
  <c r="J22" i="41"/>
  <c r="J22" i="43" s="1"/>
  <c r="G22" i="41"/>
  <c r="G22" i="43" s="1"/>
  <c r="J21" i="41"/>
  <c r="J21" i="43" s="1"/>
  <c r="G21" i="41"/>
  <c r="G21" i="43" s="1"/>
  <c r="J10" i="41"/>
  <c r="J10" i="43" s="1"/>
  <c r="G10" i="41"/>
  <c r="G10" i="43" s="1"/>
  <c r="J8" i="41"/>
  <c r="J8" i="43" s="1"/>
  <c r="G8" i="41"/>
  <c r="G8" i="43" s="1"/>
  <c r="V40" i="41" l="1"/>
  <c r="M39" i="41"/>
  <c r="M38" i="41"/>
  <c r="Y29" i="41"/>
  <c r="M37" i="41"/>
  <c r="Y28" i="41"/>
  <c r="M36" i="41"/>
  <c r="V35" i="41"/>
  <c r="Z32" i="41"/>
  <c r="Y30" i="41"/>
  <c r="AA26" i="41"/>
  <c r="M26" i="41"/>
  <c r="Y31" i="41"/>
  <c r="M25" i="41"/>
  <c r="AA24" i="41"/>
  <c r="V24" i="41"/>
  <c r="M24" i="41"/>
  <c r="V23" i="41"/>
  <c r="M23" i="41"/>
  <c r="V22" i="41"/>
  <c r="M22" i="41"/>
  <c r="M21" i="41"/>
  <c r="V19" i="41"/>
  <c r="S20" i="41"/>
  <c r="P20" i="41"/>
  <c r="J20" i="41"/>
  <c r="J17" i="41"/>
  <c r="V15" i="41"/>
  <c r="J14" i="41"/>
  <c r="Y14" i="41"/>
  <c r="S17" i="41"/>
  <c r="V13" i="41"/>
  <c r="G14" i="41"/>
  <c r="G12" i="41"/>
  <c r="G9" i="41" s="1"/>
  <c r="S16" i="41"/>
  <c r="M8" i="41"/>
  <c r="G11" i="41" l="1"/>
  <c r="AB22" i="41"/>
  <c r="V26" i="41"/>
  <c r="AB26" i="41" s="1"/>
  <c r="P14" i="41"/>
  <c r="Y20" i="41"/>
  <c r="Y32" i="41"/>
  <c r="AA32" i="41" s="1"/>
  <c r="V36" i="41"/>
  <c r="AB36" i="41" s="1"/>
  <c r="V39" i="41"/>
  <c r="V25" i="41"/>
  <c r="AB25" i="41" s="1"/>
  <c r="V21" i="41"/>
  <c r="AB21" i="41" s="1"/>
  <c r="V17" i="41"/>
  <c r="AB24" i="41"/>
  <c r="S41" i="41"/>
  <c r="S42" i="41" s="1"/>
  <c r="V37" i="41"/>
  <c r="AB37" i="41" s="1"/>
  <c r="M40" i="41"/>
  <c r="AB40" i="41" s="1"/>
  <c r="J41" i="41"/>
  <c r="J42" i="41" s="1"/>
  <c r="Y17" i="41"/>
  <c r="Y16" i="41"/>
  <c r="M19" i="41"/>
  <c r="AB19" i="41" s="1"/>
  <c r="G20" i="41"/>
  <c r="AB23" i="41"/>
  <c r="M35" i="41"/>
  <c r="AB35" i="41" s="1"/>
  <c r="S12" i="41"/>
  <c r="S11" i="41" s="1"/>
  <c r="M15" i="41"/>
  <c r="G16" i="41"/>
  <c r="M18" i="41"/>
  <c r="Y41" i="41"/>
  <c r="Y42" i="41" s="1"/>
  <c r="Y27" i="41"/>
  <c r="G41" i="41"/>
  <c r="P41" i="41"/>
  <c r="V38" i="41"/>
  <c r="AB38" i="41" s="1"/>
  <c r="J16" i="41"/>
  <c r="M10" i="41"/>
  <c r="S14" i="41"/>
  <c r="P12" i="41"/>
  <c r="P9" i="41" s="1"/>
  <c r="V8" i="41"/>
  <c r="AB8" i="41" s="1"/>
  <c r="P16" i="41"/>
  <c r="V10" i="41"/>
  <c r="P17" i="41"/>
  <c r="AA23" i="41"/>
  <c r="Y12" i="41"/>
  <c r="Y11" i="41" s="1"/>
  <c r="G17" i="41"/>
  <c r="V18" i="41"/>
  <c r="V20" i="41" s="1"/>
  <c r="J12" i="41"/>
  <c r="J9" i="41" s="1"/>
  <c r="M13" i="41"/>
  <c r="AB28" i="41" l="1"/>
  <c r="S9" i="41"/>
  <c r="Y9" i="41"/>
  <c r="AB32" i="41"/>
  <c r="V14" i="41"/>
  <c r="AB39" i="41"/>
  <c r="AB31" i="41" s="1"/>
  <c r="AB27" i="41"/>
  <c r="M17" i="41"/>
  <c r="AB13" i="41"/>
  <c r="M14" i="41"/>
  <c r="AB10" i="41"/>
  <c r="AB12" i="41" s="1"/>
  <c r="J11" i="41"/>
  <c r="AB30" i="41"/>
  <c r="AB18" i="41"/>
  <c r="AB20" i="41" s="1"/>
  <c r="M20" i="41"/>
  <c r="AB29" i="41"/>
  <c r="M16" i="41"/>
  <c r="AB15" i="41"/>
  <c r="P11" i="41"/>
  <c r="M41" i="41"/>
  <c r="G42" i="41"/>
  <c r="V16" i="41"/>
  <c r="V41" i="41"/>
  <c r="V42" i="41" s="1"/>
  <c r="P42" i="41"/>
  <c r="M12" i="41"/>
  <c r="M9" i="41" s="1"/>
  <c r="V12" i="41"/>
  <c r="V11" i="41" s="1"/>
  <c r="AB16" i="41" l="1"/>
  <c r="AB11" i="41"/>
  <c r="M11" i="41"/>
  <c r="V9" i="41"/>
  <c r="AB9" i="41"/>
  <c r="AB17" i="41"/>
  <c r="AB14" i="41"/>
  <c r="M42" i="41"/>
  <c r="AB41" i="41"/>
  <c r="AB42" i="41" s="1"/>
  <c r="AE39" i="29" l="1"/>
  <c r="AE37" i="29"/>
  <c r="I36" i="29"/>
  <c r="N36" i="29" s="1"/>
  <c r="I25" i="29" l="1"/>
  <c r="N25" i="29" s="1"/>
  <c r="I24" i="29"/>
  <c r="N24" i="29" s="1"/>
  <c r="I16" i="29"/>
  <c r="N16" i="29" s="1"/>
  <c r="I15" i="29"/>
  <c r="N15" i="29" s="1"/>
  <c r="I13" i="29"/>
  <c r="N13" i="29" s="1"/>
  <c r="I12" i="29"/>
  <c r="N12" i="29" s="1"/>
  <c r="I10" i="29"/>
  <c r="N10" i="29" s="1"/>
  <c r="F16" i="29"/>
  <c r="K16" i="29" s="1"/>
  <c r="F15" i="29"/>
  <c r="K15" i="29" s="1"/>
  <c r="F13" i="29"/>
  <c r="K13" i="29" s="1"/>
  <c r="F12" i="29"/>
  <c r="K12" i="29" s="1"/>
  <c r="F10" i="29"/>
  <c r="K10" i="29" s="1"/>
  <c r="F25" i="29" l="1"/>
  <c r="K25" i="29" s="1"/>
  <c r="F24" i="29"/>
  <c r="K24" i="29" s="1"/>
  <c r="F36" i="29" l="1"/>
  <c r="K36" i="29" s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I11" i="29" l="1"/>
  <c r="F11" i="29" l="1"/>
  <c r="V29" i="1" l="1"/>
  <c r="I20" i="29" l="1"/>
  <c r="I18" i="29"/>
  <c r="I19" i="29" l="1"/>
  <c r="I21" i="29"/>
  <c r="I22" i="29"/>
  <c r="I26" i="29"/>
  <c r="I17" i="29"/>
  <c r="I14" i="29"/>
  <c r="I27" i="29" l="1"/>
  <c r="I23" i="29"/>
  <c r="F18" i="29"/>
  <c r="F20" i="29"/>
  <c r="F14" i="29"/>
  <c r="F26" i="29"/>
  <c r="F17" i="29"/>
  <c r="I37" i="29" l="1"/>
  <c r="I28" i="29"/>
  <c r="F22" i="29"/>
  <c r="F19" i="29"/>
  <c r="F21" i="29"/>
  <c r="F23" i="29" l="1"/>
  <c r="F27" i="29"/>
  <c r="F37" i="29" l="1"/>
  <c r="F28" i="29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V12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AE19" i="1" s="1"/>
  <c r="AE20" i="1" s="1"/>
  <c r="H29" i="1"/>
  <c r="H35" i="1" l="1"/>
  <c r="H36" i="1" l="1"/>
  <c r="AE21" i="1" s="1"/>
  <c r="W41" i="2" l="1"/>
  <c r="H40" i="1"/>
  <c r="H39" i="1"/>
  <c r="V36" i="1" l="1"/>
  <c r="W43" i="2"/>
  <c r="W47" i="2" l="1"/>
  <c r="V35" i="1"/>
  <c r="Z29" i="41" l="1"/>
  <c r="AA29" i="41" s="1"/>
  <c r="Z30" i="41"/>
  <c r="AA30" i="41" s="1"/>
  <c r="AA25" i="41"/>
  <c r="Z31" i="41"/>
  <c r="AA31" i="41" s="1"/>
  <c r="AA18" i="41" l="1"/>
  <c r="AA22" i="41" l="1"/>
  <c r="Z28" i="41"/>
  <c r="AA28" i="41" s="1"/>
  <c r="AA21" i="41" l="1"/>
  <c r="Z27" i="41"/>
  <c r="AA27" i="41" s="1"/>
  <c r="Z41" i="41"/>
  <c r="AA15" i="41" l="1"/>
  <c r="Z14" i="41"/>
  <c r="AA14" i="41" s="1"/>
  <c r="Z42" i="41"/>
  <c r="AA13" i="41"/>
  <c r="Z17" i="41"/>
  <c r="AA17" i="41" s="1"/>
  <c r="Z12" i="41"/>
  <c r="AA8" i="41"/>
  <c r="Z9" i="41" l="1"/>
  <c r="AA9" i="41" s="1"/>
  <c r="AA12" i="41"/>
  <c r="AA10" i="41"/>
  <c r="Z11" i="41"/>
  <c r="AA11" i="41" s="1"/>
  <c r="Z16" i="41"/>
  <c r="AA16" i="41" s="1"/>
  <c r="Z20" i="41" l="1"/>
  <c r="AA20" i="41" s="1"/>
  <c r="AA19" i="41"/>
  <c r="M26" i="2" l="1"/>
  <c r="M24" i="2" l="1"/>
  <c r="M25" i="2"/>
  <c r="M32" i="2"/>
  <c r="M27" i="2" l="1"/>
  <c r="M47" i="2"/>
  <c r="W35" i="41" l="1"/>
  <c r="R35" i="41"/>
  <c r="Q41" i="41"/>
  <c r="R36" i="41"/>
  <c r="W36" i="41"/>
  <c r="W37" i="41"/>
  <c r="R37" i="41"/>
  <c r="R38" i="41"/>
  <c r="W38" i="41"/>
  <c r="W39" i="41"/>
  <c r="R39" i="41"/>
  <c r="R40" i="41"/>
  <c r="W40" i="41"/>
  <c r="U35" i="41"/>
  <c r="T41" i="41"/>
  <c r="U36" i="41"/>
  <c r="U37" i="41"/>
  <c r="U38" i="41"/>
  <c r="U39" i="41"/>
  <c r="U40" i="41"/>
  <c r="W39" i="43" l="1"/>
  <c r="X37" i="41"/>
  <c r="X38" i="41"/>
  <c r="W36" i="43"/>
  <c r="X39" i="41"/>
  <c r="W38" i="43"/>
  <c r="W37" i="43"/>
  <c r="U41" i="41"/>
  <c r="X36" i="41"/>
  <c r="X40" i="41"/>
  <c r="W41" i="41"/>
  <c r="R41" i="41"/>
  <c r="T41" i="43"/>
  <c r="W40" i="43"/>
  <c r="X35" i="41"/>
  <c r="Q41" i="43"/>
  <c r="W35" i="43"/>
  <c r="W41" i="43" l="1"/>
  <c r="X41" i="41"/>
  <c r="L35" i="41" l="1"/>
  <c r="K41" i="41"/>
  <c r="N35" i="41"/>
  <c r="H41" i="41"/>
  <c r="I35" i="41"/>
  <c r="L36" i="41"/>
  <c r="N36" i="41"/>
  <c r="I36" i="41"/>
  <c r="L37" i="41"/>
  <c r="I37" i="41"/>
  <c r="N37" i="41"/>
  <c r="L38" i="41"/>
  <c r="I38" i="41"/>
  <c r="N38" i="41"/>
  <c r="L39" i="41"/>
  <c r="N39" i="41"/>
  <c r="I39" i="41"/>
  <c r="L40" i="41"/>
  <c r="N40" i="41"/>
  <c r="I40" i="41"/>
  <c r="N39" i="43" l="1"/>
  <c r="O36" i="41"/>
  <c r="AC36" i="41"/>
  <c r="N36" i="43"/>
  <c r="N38" i="43"/>
  <c r="N41" i="41"/>
  <c r="I41" i="41"/>
  <c r="O35" i="41"/>
  <c r="AC35" i="41"/>
  <c r="O38" i="41"/>
  <c r="AC38" i="41"/>
  <c r="N35" i="43"/>
  <c r="H41" i="43"/>
  <c r="L41" i="41"/>
  <c r="N37" i="43"/>
  <c r="O40" i="41"/>
  <c r="AC40" i="41"/>
  <c r="O37" i="41"/>
  <c r="AC37" i="41"/>
  <c r="O39" i="41"/>
  <c r="AC39" i="41"/>
  <c r="N40" i="43"/>
  <c r="K41" i="43"/>
  <c r="N41" i="43" l="1"/>
  <c r="AC36" i="43"/>
  <c r="AC37" i="43"/>
  <c r="AD36" i="41"/>
  <c r="AC40" i="43"/>
  <c r="AD38" i="41"/>
  <c r="O41" i="41"/>
  <c r="AC41" i="41"/>
  <c r="AC35" i="43"/>
  <c r="AC38" i="43"/>
  <c r="AD39" i="41"/>
  <c r="AD37" i="41"/>
  <c r="AD35" i="41"/>
  <c r="AD40" i="41"/>
  <c r="AC39" i="43"/>
  <c r="AC41" i="43" l="1"/>
  <c r="AD41" i="41"/>
  <c r="I40" i="43" l="1"/>
  <c r="AA26" i="43"/>
  <c r="AA25" i="43"/>
  <c r="AA24" i="43"/>
  <c r="AA23" i="43"/>
  <c r="AA22" i="43"/>
  <c r="AA21" i="43"/>
  <c r="AA19" i="43"/>
  <c r="AA10" i="43"/>
  <c r="R32" i="42" l="1"/>
  <c r="M25" i="42"/>
  <c r="M26" i="42"/>
  <c r="M24" i="42"/>
  <c r="W25" i="42"/>
  <c r="G32" i="43"/>
  <c r="M26" i="43"/>
  <c r="P12" i="43"/>
  <c r="V8" i="43"/>
  <c r="P28" i="43"/>
  <c r="V22" i="43"/>
  <c r="S29" i="43"/>
  <c r="U37" i="43"/>
  <c r="R39" i="43"/>
  <c r="P31" i="43"/>
  <c r="V39" i="43"/>
  <c r="X39" i="43" s="1"/>
  <c r="S16" i="43"/>
  <c r="S27" i="43"/>
  <c r="U35" i="43"/>
  <c r="R26" i="42"/>
  <c r="W41" i="42"/>
  <c r="V13" i="43"/>
  <c r="P17" i="43"/>
  <c r="P14" i="43"/>
  <c r="V24" i="43"/>
  <c r="R37" i="43"/>
  <c r="P29" i="43"/>
  <c r="V37" i="43"/>
  <c r="X37" i="43" s="1"/>
  <c r="V26" i="43"/>
  <c r="Y27" i="43"/>
  <c r="AA27" i="43" s="1"/>
  <c r="Y41" i="43"/>
  <c r="Y42" i="43" s="1"/>
  <c r="S41" i="43"/>
  <c r="S31" i="43"/>
  <c r="U39" i="43"/>
  <c r="S17" i="43"/>
  <c r="M39" i="43"/>
  <c r="G31" i="43"/>
  <c r="I39" i="43"/>
  <c r="M8" i="43"/>
  <c r="G12" i="43"/>
  <c r="J12" i="43"/>
  <c r="J9" i="43" s="1"/>
  <c r="S14" i="43"/>
  <c r="S12" i="43"/>
  <c r="Y29" i="43"/>
  <c r="AA29" i="43" s="1"/>
  <c r="R24" i="42"/>
  <c r="W26" i="42"/>
  <c r="AA8" i="43"/>
  <c r="Y12" i="43"/>
  <c r="Y9" i="43" s="1"/>
  <c r="AA9" i="43" s="1"/>
  <c r="J20" i="43"/>
  <c r="M36" i="43"/>
  <c r="G28" i="43"/>
  <c r="I36" i="43"/>
  <c r="M38" i="43"/>
  <c r="I38" i="43"/>
  <c r="G30" i="43"/>
  <c r="Y31" i="43"/>
  <c r="AA31" i="43" s="1"/>
  <c r="R41" i="42"/>
  <c r="Y14" i="43"/>
  <c r="AA14" i="43" s="1"/>
  <c r="AA13" i="43"/>
  <c r="Y17" i="43"/>
  <c r="AA17" i="43" s="1"/>
  <c r="M21" i="43"/>
  <c r="L37" i="43"/>
  <c r="J29" i="43"/>
  <c r="M10" i="43"/>
  <c r="V18" i="43"/>
  <c r="M23" i="43"/>
  <c r="L36" i="43"/>
  <c r="J28" i="43"/>
  <c r="J30" i="43"/>
  <c r="L38" i="43"/>
  <c r="W24" i="42"/>
  <c r="M25" i="43"/>
  <c r="M27" i="42"/>
  <c r="M24" i="43"/>
  <c r="R25" i="42"/>
  <c r="M32" i="42"/>
  <c r="J16" i="43"/>
  <c r="S20" i="43"/>
  <c r="V36" i="43"/>
  <c r="X36" i="43" s="1"/>
  <c r="R36" i="43"/>
  <c r="M40" i="43"/>
  <c r="J32" i="43"/>
  <c r="L40" i="43"/>
  <c r="M22" i="43"/>
  <c r="L39" i="43"/>
  <c r="J31" i="43"/>
  <c r="G16" i="43"/>
  <c r="M15" i="43"/>
  <c r="P41" i="43"/>
  <c r="P30" i="43"/>
  <c r="V38" i="43"/>
  <c r="X38" i="43" s="1"/>
  <c r="R38" i="43"/>
  <c r="V10" i="43"/>
  <c r="AA18" i="43"/>
  <c r="Y20" i="43"/>
  <c r="AA20" i="43" s="1"/>
  <c r="P27" i="43"/>
  <c r="V21" i="43"/>
  <c r="V23" i="43"/>
  <c r="S28" i="43"/>
  <c r="U36" i="43"/>
  <c r="V40" i="43"/>
  <c r="X40" i="43" s="1"/>
  <c r="P32" i="43"/>
  <c r="R40" i="43"/>
  <c r="G14" i="43"/>
  <c r="G17" i="43"/>
  <c r="Y16" i="43"/>
  <c r="AA16" i="43" s="1"/>
  <c r="AA15" i="43"/>
  <c r="U38" i="43"/>
  <c r="S30" i="43"/>
  <c r="S11" i="43"/>
  <c r="M19" i="43"/>
  <c r="V25" i="43"/>
  <c r="Y28" i="43"/>
  <c r="AA28" i="43" s="1"/>
  <c r="U40" i="43"/>
  <c r="S32" i="43"/>
  <c r="J27" i="43"/>
  <c r="L35" i="43"/>
  <c r="J41" i="43"/>
  <c r="I35" i="43"/>
  <c r="M35" i="43"/>
  <c r="G27" i="43"/>
  <c r="G41" i="43"/>
  <c r="Y30" i="43"/>
  <c r="AA30" i="43" s="1"/>
  <c r="R35" i="43"/>
  <c r="V35" i="43"/>
  <c r="X35" i="43" s="1"/>
  <c r="W32" i="42"/>
  <c r="G29" i="43"/>
  <c r="M37" i="43"/>
  <c r="I37" i="43"/>
  <c r="Y32" i="43"/>
  <c r="AA32" i="43" s="1"/>
  <c r="M47" i="42" l="1"/>
  <c r="W27" i="42"/>
  <c r="O39" i="43"/>
  <c r="AB39" i="43"/>
  <c r="P20" i="43"/>
  <c r="V19" i="43"/>
  <c r="AB10" i="43"/>
  <c r="V14" i="43"/>
  <c r="G11" i="43"/>
  <c r="G20" i="43"/>
  <c r="M18" i="43"/>
  <c r="J17" i="43"/>
  <c r="J14" i="43"/>
  <c r="W43" i="42"/>
  <c r="L41" i="43"/>
  <c r="J42" i="43"/>
  <c r="AB24" i="43"/>
  <c r="R27" i="42"/>
  <c r="R43" i="42" s="1"/>
  <c r="G42" i="43"/>
  <c r="I41" i="43"/>
  <c r="M41" i="43"/>
  <c r="S9" i="43"/>
  <c r="O37" i="43"/>
  <c r="AB37" i="43"/>
  <c r="AB35" i="43"/>
  <c r="O35" i="43"/>
  <c r="Y11" i="43"/>
  <c r="AA11" i="43" s="1"/>
  <c r="AA12" i="43"/>
  <c r="AB22" i="43"/>
  <c r="AB38" i="43"/>
  <c r="O38" i="43"/>
  <c r="AB26" i="43"/>
  <c r="P16" i="43"/>
  <c r="V15" i="43"/>
  <c r="AB25" i="43"/>
  <c r="AB21" i="43"/>
  <c r="M16" i="43"/>
  <c r="P11" i="43"/>
  <c r="J11" i="43"/>
  <c r="R41" i="43"/>
  <c r="P42" i="43"/>
  <c r="V41" i="43"/>
  <c r="M13" i="43"/>
  <c r="AB23" i="43"/>
  <c r="AB36" i="43"/>
  <c r="O36" i="43"/>
  <c r="U41" i="43"/>
  <c r="S42" i="43"/>
  <c r="V12" i="43"/>
  <c r="V9" i="43" s="1"/>
  <c r="AB8" i="43"/>
  <c r="M12" i="43"/>
  <c r="AB40" i="43"/>
  <c r="O40" i="43"/>
  <c r="G9" i="43"/>
  <c r="P9" i="43"/>
  <c r="R47" i="42" l="1"/>
  <c r="W47" i="42"/>
  <c r="AB19" i="43"/>
  <c r="V20" i="43"/>
  <c r="AD40" i="43"/>
  <c r="AB32" i="43"/>
  <c r="M9" i="43"/>
  <c r="V16" i="43"/>
  <c r="AB15" i="43"/>
  <c r="AD38" i="43"/>
  <c r="AB30" i="43"/>
  <c r="V17" i="43"/>
  <c r="M11" i="43"/>
  <c r="AB29" i="43"/>
  <c r="AD37" i="43"/>
  <c r="AD35" i="43"/>
  <c r="AB27" i="43"/>
  <c r="X41" i="43"/>
  <c r="V42" i="43"/>
  <c r="AB41" i="43"/>
  <c r="M42" i="43"/>
  <c r="O41" i="43"/>
  <c r="AB28" i="43"/>
  <c r="AD36" i="43"/>
  <c r="AB12" i="43"/>
  <c r="AB9" i="43" s="1"/>
  <c r="V11" i="43"/>
  <c r="AB18" i="43"/>
  <c r="M20" i="43"/>
  <c r="AB31" i="43"/>
  <c r="AD39" i="43"/>
  <c r="M17" i="43"/>
  <c r="AB13" i="43"/>
  <c r="M14" i="43"/>
  <c r="AB20" i="43" l="1"/>
  <c r="AB42" i="43"/>
  <c r="AD41" i="43"/>
  <c r="AB14" i="43"/>
  <c r="AB17" i="43"/>
  <c r="AB11" i="43"/>
  <c r="AB16" i="43"/>
  <c r="K20" i="29" l="1"/>
  <c r="K17" i="29"/>
  <c r="N11" i="29"/>
  <c r="N18" i="29"/>
  <c r="N14" i="29"/>
  <c r="N20" i="29"/>
  <c r="N17" i="29"/>
  <c r="N26" i="29"/>
  <c r="K14" i="29"/>
  <c r="K11" i="29"/>
  <c r="K18" i="29"/>
  <c r="K19" i="29" l="1"/>
  <c r="K26" i="29"/>
  <c r="N21" i="29"/>
  <c r="N22" i="29"/>
  <c r="K22" i="29"/>
  <c r="N19" i="29"/>
  <c r="K21" i="29"/>
  <c r="K27" i="29" l="1"/>
  <c r="K23" i="29"/>
  <c r="N23" i="29"/>
  <c r="N27" i="29"/>
  <c r="N28" i="29" l="1"/>
  <c r="N37" i="29"/>
  <c r="N38" i="29"/>
  <c r="K37" i="29"/>
  <c r="K38" i="29"/>
  <c r="K28" i="29"/>
  <c r="AJ12" i="1" l="1"/>
  <c r="AJ11" i="1"/>
  <c r="AJ10" i="1" l="1"/>
  <c r="AJ13" i="1" l="1"/>
  <c r="AJ14" i="1" s="1"/>
  <c r="M14" i="1"/>
  <c r="M21" i="1" l="1"/>
  <c r="M22" i="1" l="1"/>
  <c r="M20" i="1" l="1"/>
  <c r="M23" i="1" l="1"/>
  <c r="M19" i="1"/>
  <c r="M24" i="1" l="1"/>
  <c r="M33" i="1" l="1"/>
  <c r="AJ18" i="1" s="1"/>
  <c r="M32" i="1" l="1"/>
  <c r="AJ17" i="1" s="1"/>
  <c r="M30" i="1" l="1"/>
  <c r="AJ15" i="1" l="1"/>
  <c r="M31" i="1"/>
  <c r="AJ16" i="1" s="1"/>
  <c r="M34" i="1" l="1"/>
  <c r="M29" i="1"/>
  <c r="AJ19" i="1" l="1"/>
  <c r="AJ20" i="1" s="1"/>
  <c r="M35" i="1"/>
  <c r="M36" i="1" l="1"/>
  <c r="AJ21" i="1" s="1"/>
  <c r="M40" i="1" l="1"/>
  <c r="M39" i="1"/>
  <c r="AJ8" i="1" l="1"/>
  <c r="AJ9" i="1" l="1"/>
  <c r="AJ7" i="1" l="1"/>
  <c r="J25" i="29" l="1"/>
  <c r="H25" i="29"/>
  <c r="H24" i="29" l="1"/>
  <c r="J24" i="29"/>
  <c r="G26" i="29"/>
  <c r="O25" i="29"/>
  <c r="M25" i="29"/>
  <c r="J26" i="29" l="1"/>
  <c r="H26" i="29"/>
  <c r="L26" i="29"/>
  <c r="O24" i="29"/>
  <c r="M24" i="29"/>
  <c r="O26" i="29" l="1"/>
  <c r="M26" i="29"/>
  <c r="R21" i="41" l="1"/>
  <c r="W21" i="41"/>
  <c r="Q27" i="41"/>
  <c r="R27" i="41" s="1"/>
  <c r="T17" i="41"/>
  <c r="U17" i="41" s="1"/>
  <c r="U13" i="41"/>
  <c r="T42" i="41"/>
  <c r="W10" i="41"/>
  <c r="R10" i="41"/>
  <c r="U10" i="43"/>
  <c r="U10" i="41"/>
  <c r="U26" i="41"/>
  <c r="T32" i="41"/>
  <c r="U32" i="41" s="1"/>
  <c r="R26" i="41"/>
  <c r="W26" i="41"/>
  <c r="Q32" i="41"/>
  <c r="R32" i="41" s="1"/>
  <c r="W25" i="41"/>
  <c r="R25" i="41"/>
  <c r="Q31" i="41"/>
  <c r="R31" i="41" s="1"/>
  <c r="R23" i="41"/>
  <c r="W23" i="41"/>
  <c r="Q29" i="41"/>
  <c r="R29" i="41" s="1"/>
  <c r="U25" i="41"/>
  <c r="T31" i="41"/>
  <c r="U31" i="41" s="1"/>
  <c r="U24" i="41"/>
  <c r="T30" i="41"/>
  <c r="U30" i="41" s="1"/>
  <c r="W24" i="41"/>
  <c r="R24" i="41"/>
  <c r="Q30" i="41"/>
  <c r="R30" i="41" s="1"/>
  <c r="W13" i="41"/>
  <c r="Q17" i="41"/>
  <c r="R17" i="41" s="1"/>
  <c r="R13" i="41"/>
  <c r="Q42" i="41"/>
  <c r="U21" i="41"/>
  <c r="T27" i="41"/>
  <c r="U27" i="41" s="1"/>
  <c r="R22" i="41"/>
  <c r="W22" i="41"/>
  <c r="Q28" i="41"/>
  <c r="R28" i="41" s="1"/>
  <c r="U23" i="41"/>
  <c r="T29" i="41"/>
  <c r="U29" i="41" s="1"/>
  <c r="U15" i="41"/>
  <c r="T16" i="41"/>
  <c r="U16" i="41" s="1"/>
  <c r="R15" i="41"/>
  <c r="W15" i="41"/>
  <c r="Q16" i="41"/>
  <c r="R16" i="41" s="1"/>
  <c r="U22" i="41"/>
  <c r="T28" i="41"/>
  <c r="U28" i="41" s="1"/>
  <c r="X24" i="41" l="1"/>
  <c r="W30" i="41"/>
  <c r="X30" i="41" s="1"/>
  <c r="W24" i="43"/>
  <c r="Q30" i="43"/>
  <c r="R30" i="43" s="1"/>
  <c r="R24" i="43"/>
  <c r="T32" i="43"/>
  <c r="U32" i="43" s="1"/>
  <c r="U26" i="43"/>
  <c r="K17" i="41"/>
  <c r="L17" i="41" s="1"/>
  <c r="L13" i="41"/>
  <c r="K42" i="41"/>
  <c r="T29" i="43"/>
  <c r="U29" i="43" s="1"/>
  <c r="U23" i="43"/>
  <c r="T30" i="43"/>
  <c r="U30" i="43" s="1"/>
  <c r="U24" i="43"/>
  <c r="L15" i="41"/>
  <c r="T31" i="43"/>
  <c r="U31" i="43" s="1"/>
  <c r="U25" i="43"/>
  <c r="W22" i="43"/>
  <c r="Q28" i="43"/>
  <c r="R28" i="43" s="1"/>
  <c r="R22" i="43"/>
  <c r="X10" i="41"/>
  <c r="X23" i="41"/>
  <c r="W29" i="41"/>
  <c r="X29" i="41" s="1"/>
  <c r="W10" i="43"/>
  <c r="R10" i="43"/>
  <c r="T27" i="43"/>
  <c r="U27" i="43" s="1"/>
  <c r="U21" i="43"/>
  <c r="W23" i="43"/>
  <c r="Q29" i="43"/>
  <c r="R29" i="43" s="1"/>
  <c r="R23" i="43"/>
  <c r="T16" i="43"/>
  <c r="U16" i="43" s="1"/>
  <c r="U15" i="43"/>
  <c r="T28" i="43"/>
  <c r="U28" i="43" s="1"/>
  <c r="U22" i="43"/>
  <c r="X25" i="41"/>
  <c r="W31" i="41"/>
  <c r="X31" i="41" s="1"/>
  <c r="T17" i="43"/>
  <c r="U17" i="43" s="1"/>
  <c r="T42" i="43"/>
  <c r="U13" i="43"/>
  <c r="W26" i="43"/>
  <c r="Q32" i="43"/>
  <c r="R32" i="43" s="1"/>
  <c r="R26" i="43"/>
  <c r="H17" i="41"/>
  <c r="I17" i="41" s="1"/>
  <c r="I13" i="41"/>
  <c r="N13" i="41"/>
  <c r="H42" i="41"/>
  <c r="W25" i="43"/>
  <c r="Q31" i="43"/>
  <c r="R31" i="43" s="1"/>
  <c r="R25" i="43"/>
  <c r="X22" i="41"/>
  <c r="W28" i="41"/>
  <c r="X28" i="41" s="1"/>
  <c r="X15" i="41"/>
  <c r="W16" i="41"/>
  <c r="X16" i="41" s="1"/>
  <c r="W17" i="41"/>
  <c r="X17" i="41" s="1"/>
  <c r="X13" i="41"/>
  <c r="W42" i="41"/>
  <c r="X21" i="41"/>
  <c r="W27" i="41"/>
  <c r="X27" i="41" s="1"/>
  <c r="W13" i="43"/>
  <c r="Q17" i="43"/>
  <c r="R17" i="43" s="1"/>
  <c r="Q42" i="43"/>
  <c r="R13" i="43"/>
  <c r="X26" i="41"/>
  <c r="W32" i="41"/>
  <c r="X32" i="41" s="1"/>
  <c r="N15" i="41"/>
  <c r="I15" i="41"/>
  <c r="H16" i="41"/>
  <c r="I16" i="41" s="1"/>
  <c r="W15" i="43"/>
  <c r="Q16" i="43"/>
  <c r="R16" i="43" s="1"/>
  <c r="R15" i="43"/>
  <c r="W21" i="43"/>
  <c r="Q27" i="43"/>
  <c r="R27" i="43" s="1"/>
  <c r="R21" i="43"/>
  <c r="W31" i="43" l="1"/>
  <c r="X31" i="43" s="1"/>
  <c r="X25" i="43"/>
  <c r="O13" i="41"/>
  <c r="N17" i="41"/>
  <c r="O17" i="41" s="1"/>
  <c r="AC13" i="41"/>
  <c r="N42" i="41"/>
  <c r="L21" i="41"/>
  <c r="K27" i="41"/>
  <c r="L27" i="41" s="1"/>
  <c r="N22" i="41"/>
  <c r="I22" i="41"/>
  <c r="H28" i="41"/>
  <c r="I28" i="41" s="1"/>
  <c r="N13" i="43"/>
  <c r="H17" i="43"/>
  <c r="I17" i="43" s="1"/>
  <c r="H42" i="43"/>
  <c r="I13" i="43"/>
  <c r="W29" i="43"/>
  <c r="X29" i="43" s="1"/>
  <c r="X23" i="43"/>
  <c r="W28" i="43"/>
  <c r="X28" i="43" s="1"/>
  <c r="X22" i="43"/>
  <c r="L24" i="41"/>
  <c r="K30" i="41"/>
  <c r="L30" i="41" s="1"/>
  <c r="W27" i="43"/>
  <c r="X27" i="43" s="1"/>
  <c r="X21" i="43"/>
  <c r="I26" i="41"/>
  <c r="N26" i="41"/>
  <c r="H32" i="41"/>
  <c r="I32" i="41" s="1"/>
  <c r="W17" i="43"/>
  <c r="X17" i="43" s="1"/>
  <c r="W42" i="43"/>
  <c r="X13" i="43"/>
  <c r="K17" i="43"/>
  <c r="L17" i="43" s="1"/>
  <c r="K42" i="43"/>
  <c r="L13" i="43"/>
  <c r="W32" i="43"/>
  <c r="X32" i="43" s="1"/>
  <c r="X26" i="43"/>
  <c r="H16" i="43"/>
  <c r="I16" i="43" s="1"/>
  <c r="N10" i="41"/>
  <c r="N16" i="41" s="1"/>
  <c r="O16" i="41" s="1"/>
  <c r="I10" i="41"/>
  <c r="L25" i="41"/>
  <c r="K31" i="41"/>
  <c r="L31" i="41" s="1"/>
  <c r="N24" i="41"/>
  <c r="I24" i="41"/>
  <c r="H30" i="41"/>
  <c r="I30" i="41" s="1"/>
  <c r="W16" i="43"/>
  <c r="X16" i="43" s="1"/>
  <c r="X15" i="43"/>
  <c r="L10" i="43"/>
  <c r="L10" i="41"/>
  <c r="L23" i="41"/>
  <c r="K29" i="41"/>
  <c r="L29" i="41" s="1"/>
  <c r="I25" i="41"/>
  <c r="N25" i="41"/>
  <c r="H31" i="41"/>
  <c r="I31" i="41" s="1"/>
  <c r="O15" i="41"/>
  <c r="AC15" i="41"/>
  <c r="L26" i="41"/>
  <c r="K32" i="41"/>
  <c r="L32" i="41" s="1"/>
  <c r="N23" i="41"/>
  <c r="I23" i="41"/>
  <c r="H29" i="41"/>
  <c r="I29" i="41" s="1"/>
  <c r="L22" i="41"/>
  <c r="K28" i="41"/>
  <c r="L28" i="41" s="1"/>
  <c r="K16" i="41"/>
  <c r="L16" i="41" s="1"/>
  <c r="W30" i="43"/>
  <c r="X30" i="43" s="1"/>
  <c r="X24" i="43"/>
  <c r="N21" i="41"/>
  <c r="I21" i="41"/>
  <c r="H27" i="41"/>
  <c r="I27" i="41" s="1"/>
  <c r="N15" i="43"/>
  <c r="I15" i="43"/>
  <c r="X10" i="43"/>
  <c r="L15" i="43"/>
  <c r="AC23" i="41" l="1"/>
  <c r="O23" i="41"/>
  <c r="N29" i="41"/>
  <c r="O29" i="41" s="1"/>
  <c r="K29" i="43"/>
  <c r="L29" i="43" s="1"/>
  <c r="L23" i="43"/>
  <c r="K28" i="43"/>
  <c r="L28" i="43" s="1"/>
  <c r="L22" i="43"/>
  <c r="AC24" i="41"/>
  <c r="O24" i="41"/>
  <c r="N30" i="41"/>
  <c r="O30" i="41" s="1"/>
  <c r="AC26" i="41"/>
  <c r="O26" i="41"/>
  <c r="N32" i="41"/>
  <c r="O32" i="41" s="1"/>
  <c r="O22" i="41"/>
  <c r="AC22" i="41"/>
  <c r="N28" i="41"/>
  <c r="O28" i="41" s="1"/>
  <c r="N24" i="43"/>
  <c r="H30" i="43"/>
  <c r="I30" i="43" s="1"/>
  <c r="I24" i="43"/>
  <c r="N22" i="43"/>
  <c r="H28" i="43"/>
  <c r="I28" i="43" s="1"/>
  <c r="I22" i="43"/>
  <c r="N26" i="43"/>
  <c r="H32" i="43"/>
  <c r="I32" i="43" s="1"/>
  <c r="I26" i="43"/>
  <c r="N16" i="43"/>
  <c r="O16" i="43" s="1"/>
  <c r="AC15" i="43"/>
  <c r="O15" i="43"/>
  <c r="K27" i="43"/>
  <c r="L27" i="43" s="1"/>
  <c r="L21" i="43"/>
  <c r="K16" i="43"/>
  <c r="L16" i="43" s="1"/>
  <c r="AC10" i="41"/>
  <c r="O10" i="41"/>
  <c r="K30" i="43"/>
  <c r="L30" i="43" s="1"/>
  <c r="L24" i="43"/>
  <c r="AD13" i="41"/>
  <c r="AC17" i="41"/>
  <c r="AC42" i="41"/>
  <c r="N23" i="43"/>
  <c r="H29" i="43"/>
  <c r="I29" i="43" s="1"/>
  <c r="I23" i="43"/>
  <c r="N10" i="43"/>
  <c r="I10" i="43"/>
  <c r="O21" i="41"/>
  <c r="AC21" i="41"/>
  <c r="N27" i="41"/>
  <c r="O27" i="41" s="1"/>
  <c r="N21" i="43"/>
  <c r="H27" i="43"/>
  <c r="I27" i="43" s="1"/>
  <c r="I21" i="43"/>
  <c r="N25" i="43"/>
  <c r="H31" i="43"/>
  <c r="I31" i="43" s="1"/>
  <c r="I25" i="43"/>
  <c r="K32" i="43"/>
  <c r="L32" i="43" s="1"/>
  <c r="L26" i="43"/>
  <c r="AD15" i="41"/>
  <c r="AC16" i="41"/>
  <c r="AD16" i="41" s="1"/>
  <c r="O25" i="41"/>
  <c r="AC25" i="41"/>
  <c r="N31" i="41"/>
  <c r="O31" i="41" s="1"/>
  <c r="AC13" i="43"/>
  <c r="N17" i="43"/>
  <c r="O17" i="43" s="1"/>
  <c r="N42" i="43"/>
  <c r="O13" i="43"/>
  <c r="K31" i="43"/>
  <c r="L31" i="43" s="1"/>
  <c r="L25" i="43"/>
  <c r="AD22" i="41" l="1"/>
  <c r="AC28" i="41"/>
  <c r="AD28" i="41" s="1"/>
  <c r="AD17" i="41"/>
  <c r="AD24" i="41"/>
  <c r="AC30" i="41"/>
  <c r="AD30" i="41" s="1"/>
  <c r="AC24" i="43"/>
  <c r="N30" i="43"/>
  <c r="O30" i="43" s="1"/>
  <c r="O24" i="43"/>
  <c r="AD10" i="41"/>
  <c r="AC10" i="43"/>
  <c r="AD10" i="43" s="1"/>
  <c r="O10" i="43"/>
  <c r="AC22" i="43"/>
  <c r="N28" i="43"/>
  <c r="O28" i="43" s="1"/>
  <c r="O22" i="43"/>
  <c r="AC25" i="43"/>
  <c r="N31" i="43"/>
  <c r="O31" i="43" s="1"/>
  <c r="O25" i="43"/>
  <c r="AC21" i="43"/>
  <c r="N27" i="43"/>
  <c r="O27" i="43" s="1"/>
  <c r="O21" i="43"/>
  <c r="AC26" i="43"/>
  <c r="N32" i="43"/>
  <c r="O32" i="43" s="1"/>
  <c r="O26" i="43"/>
  <c r="AD26" i="41"/>
  <c r="AC32" i="41"/>
  <c r="AD32" i="41" s="1"/>
  <c r="AC17" i="43"/>
  <c r="AD15" i="43"/>
  <c r="AD21" i="41"/>
  <c r="AC27" i="41"/>
  <c r="AD27" i="41" s="1"/>
  <c r="AC42" i="43"/>
  <c r="AD13" i="43"/>
  <c r="AD25" i="41"/>
  <c r="AC31" i="41"/>
  <c r="AD31" i="41" s="1"/>
  <c r="N29" i="43"/>
  <c r="O29" i="43" s="1"/>
  <c r="O23" i="43"/>
  <c r="AC23" i="43"/>
  <c r="AD23" i="41"/>
  <c r="AC29" i="41"/>
  <c r="AD29" i="41" s="1"/>
  <c r="AC28" i="43" l="1"/>
  <c r="AD28" i="43" s="1"/>
  <c r="AD22" i="43"/>
  <c r="AC16" i="43"/>
  <c r="AD16" i="43" s="1"/>
  <c r="AC31" i="43"/>
  <c r="AD31" i="43" s="1"/>
  <c r="AD25" i="43"/>
  <c r="AC30" i="43"/>
  <c r="AD30" i="43" s="1"/>
  <c r="AD24" i="43"/>
  <c r="AC32" i="43"/>
  <c r="AD32" i="43" s="1"/>
  <c r="AD26" i="43"/>
  <c r="AD17" i="43"/>
  <c r="AC29" i="43"/>
  <c r="AD29" i="43" s="1"/>
  <c r="AD23" i="43"/>
  <c r="AC27" i="43"/>
  <c r="AD27" i="43" s="1"/>
  <c r="AD21" i="43"/>
  <c r="S29" i="1" l="1"/>
  <c r="W8" i="41" l="1"/>
  <c r="R8" i="41"/>
  <c r="Q12" i="41"/>
  <c r="Q9" i="41"/>
  <c r="R9" i="41" s="1"/>
  <c r="Q14" i="41"/>
  <c r="R14" i="41" s="1"/>
  <c r="U8" i="41"/>
  <c r="T12" i="41"/>
  <c r="T9" i="41" s="1"/>
  <c r="U9" i="41" s="1"/>
  <c r="T14" i="41"/>
  <c r="U14" i="41" s="1"/>
  <c r="U12" i="41" l="1"/>
  <c r="T11" i="41"/>
  <c r="U11" i="41" s="1"/>
  <c r="T12" i="43"/>
  <c r="T9" i="43"/>
  <c r="U9" i="43" s="1"/>
  <c r="U8" i="43"/>
  <c r="T14" i="43"/>
  <c r="U14" i="43" s="1"/>
  <c r="R12" i="41"/>
  <c r="Q11" i="41"/>
  <c r="R11" i="41" s="1"/>
  <c r="X8" i="41"/>
  <c r="W12" i="41"/>
  <c r="W9" i="41" s="1"/>
  <c r="X9" i="41" s="1"/>
  <c r="W14" i="41"/>
  <c r="X14" i="41" s="1"/>
  <c r="W8" i="43"/>
  <c r="Q12" i="43"/>
  <c r="R8" i="43"/>
  <c r="Q14" i="43"/>
  <c r="R14" i="43" s="1"/>
  <c r="U19" i="43" l="1"/>
  <c r="U19" i="41"/>
  <c r="Q9" i="43"/>
  <c r="R9" i="43" s="1"/>
  <c r="R12" i="43"/>
  <c r="Q11" i="43"/>
  <c r="R11" i="43" s="1"/>
  <c r="W12" i="43"/>
  <c r="X8" i="43"/>
  <c r="W14" i="43"/>
  <c r="X14" i="43" s="1"/>
  <c r="X12" i="41"/>
  <c r="W11" i="41"/>
  <c r="X11" i="41" s="1"/>
  <c r="T11" i="43"/>
  <c r="U11" i="43" s="1"/>
  <c r="U12" i="43"/>
  <c r="R18" i="41" l="1"/>
  <c r="Q20" i="41"/>
  <c r="R20" i="41" s="1"/>
  <c r="W9" i="43"/>
  <c r="X9" i="43" s="1"/>
  <c r="X12" i="43"/>
  <c r="W11" i="43"/>
  <c r="X11" i="43" s="1"/>
  <c r="R19" i="41"/>
  <c r="W19" i="41"/>
  <c r="X19" i="41" s="1"/>
  <c r="W19" i="43" l="1"/>
  <c r="X19" i="43" s="1"/>
  <c r="R19" i="43"/>
  <c r="W18" i="43"/>
  <c r="T20" i="41"/>
  <c r="U20" i="41" s="1"/>
  <c r="U18" i="41"/>
  <c r="W18" i="41"/>
  <c r="Q20" i="43"/>
  <c r="R20" i="43" s="1"/>
  <c r="R18" i="43"/>
  <c r="W20" i="43" l="1"/>
  <c r="X20" i="43" s="1"/>
  <c r="X18" i="43"/>
  <c r="W20" i="41"/>
  <c r="X20" i="41" s="1"/>
  <c r="X18" i="41"/>
  <c r="T20" i="43"/>
  <c r="U20" i="43" s="1"/>
  <c r="U18" i="43"/>
  <c r="L8" i="41" l="1"/>
  <c r="K12" i="41"/>
  <c r="K9" i="41" s="1"/>
  <c r="L9" i="41" s="1"/>
  <c r="K14" i="41"/>
  <c r="L14" i="41" s="1"/>
  <c r="I8" i="41"/>
  <c r="N8" i="41"/>
  <c r="H12" i="41"/>
  <c r="H9" i="41" s="1"/>
  <c r="I9" i="41" s="1"/>
  <c r="H14" i="41"/>
  <c r="I14" i="41" s="1"/>
  <c r="I12" i="41" l="1"/>
  <c r="H11" i="41"/>
  <c r="I11" i="41" s="1"/>
  <c r="O8" i="41"/>
  <c r="N12" i="41"/>
  <c r="AC8" i="41"/>
  <c r="N9" i="41"/>
  <c r="O9" i="41" s="1"/>
  <c r="N14" i="41"/>
  <c r="O14" i="41" s="1"/>
  <c r="N8" i="43"/>
  <c r="H12" i="43"/>
  <c r="I8" i="43"/>
  <c r="H14" i="43"/>
  <c r="I14" i="43" s="1"/>
  <c r="U28" i="1"/>
  <c r="W28" i="1"/>
  <c r="L12" i="41"/>
  <c r="K11" i="41"/>
  <c r="L11" i="41" s="1"/>
  <c r="K12" i="43"/>
  <c r="L8" i="43"/>
  <c r="K14" i="43"/>
  <c r="L14" i="43" s="1"/>
  <c r="K11" i="43" l="1"/>
  <c r="L11" i="43" s="1"/>
  <c r="L12" i="43"/>
  <c r="H9" i="43"/>
  <c r="I9" i="43" s="1"/>
  <c r="I12" i="43"/>
  <c r="H11" i="43"/>
  <c r="I11" i="43" s="1"/>
  <c r="K9" i="43"/>
  <c r="L9" i="43" s="1"/>
  <c r="O8" i="43"/>
  <c r="N14" i="43"/>
  <c r="O14" i="43" s="1"/>
  <c r="N12" i="43"/>
  <c r="AC8" i="43"/>
  <c r="T29" i="1"/>
  <c r="W27" i="1"/>
  <c r="U27" i="1"/>
  <c r="AC12" i="41"/>
  <c r="AD8" i="41"/>
  <c r="AC9" i="41"/>
  <c r="AD9" i="41" s="1"/>
  <c r="AC14" i="41"/>
  <c r="AD14" i="41" s="1"/>
  <c r="O12" i="41"/>
  <c r="N11" i="41"/>
  <c r="O11" i="41" s="1"/>
  <c r="N9" i="43" l="1"/>
  <c r="O9" i="43" s="1"/>
  <c r="O12" i="43"/>
  <c r="N11" i="43"/>
  <c r="O11" i="43" s="1"/>
  <c r="AD12" i="41"/>
  <c r="AC11" i="41"/>
  <c r="AD11" i="41" s="1"/>
  <c r="AC12" i="43"/>
  <c r="AC9" i="43" s="1"/>
  <c r="AD9" i="43" s="1"/>
  <c r="AD8" i="43"/>
  <c r="AC14" i="43"/>
  <c r="AD14" i="43" s="1"/>
  <c r="U29" i="1"/>
  <c r="W29" i="1"/>
  <c r="I18" i="41"/>
  <c r="H20" i="41"/>
  <c r="I20" i="41" s="1"/>
  <c r="N18" i="41"/>
  <c r="L19" i="43"/>
  <c r="L19" i="41"/>
  <c r="K20" i="41"/>
  <c r="L20" i="41" s="1"/>
  <c r="L18" i="41"/>
  <c r="O18" i="41" l="1"/>
  <c r="AC18" i="41"/>
  <c r="N18" i="43"/>
  <c r="I18" i="43"/>
  <c r="AC11" i="43"/>
  <c r="AD11" i="43" s="1"/>
  <c r="AD12" i="43"/>
  <c r="N19" i="41"/>
  <c r="I19" i="41"/>
  <c r="K20" i="43"/>
  <c r="L20" i="43" s="1"/>
  <c r="L18" i="43"/>
  <c r="N19" i="43" l="1"/>
  <c r="I19" i="43"/>
  <c r="H20" i="43"/>
  <c r="I20" i="43" s="1"/>
  <c r="O19" i="41"/>
  <c r="AC19" i="41"/>
  <c r="AD19" i="41" s="1"/>
  <c r="AC18" i="43"/>
  <c r="N20" i="43"/>
  <c r="O20" i="43" s="1"/>
  <c r="O18" i="43"/>
  <c r="AD18" i="41"/>
  <c r="AC20" i="41"/>
  <c r="N20" i="41"/>
  <c r="O20" i="41" s="1"/>
  <c r="AD20" i="41" l="1"/>
  <c r="AD18" i="43"/>
  <c r="AC19" i="43"/>
  <c r="AD19" i="43" s="1"/>
  <c r="O19" i="43"/>
  <c r="AC20" i="43" l="1"/>
  <c r="AD20" i="43" l="1"/>
  <c r="G15" i="29" l="1"/>
  <c r="G13" i="29"/>
  <c r="L13" i="29" l="1"/>
  <c r="J13" i="29"/>
  <c r="H13" i="29"/>
  <c r="G12" i="29"/>
  <c r="L15" i="29"/>
  <c r="J15" i="29"/>
  <c r="H15" i="29"/>
  <c r="G10" i="29"/>
  <c r="G16" i="29"/>
  <c r="G17" i="29" s="1"/>
  <c r="AH38" i="29"/>
  <c r="S24" i="1"/>
  <c r="T23" i="1"/>
  <c r="W23" i="1" s="1"/>
  <c r="H17" i="29" l="1"/>
  <c r="J17" i="29"/>
  <c r="L16" i="29"/>
  <c r="H16" i="29"/>
  <c r="J16" i="29"/>
  <c r="M15" i="29"/>
  <c r="O15" i="29"/>
  <c r="L17" i="29"/>
  <c r="L12" i="29"/>
  <c r="G11" i="29"/>
  <c r="G18" i="29"/>
  <c r="J12" i="29"/>
  <c r="H12" i="29"/>
  <c r="G14" i="29"/>
  <c r="L10" i="29"/>
  <c r="J10" i="29"/>
  <c r="H10" i="29"/>
  <c r="G20" i="29"/>
  <c r="M13" i="29"/>
  <c r="L20" i="29"/>
  <c r="O13" i="29"/>
  <c r="S23" i="1"/>
  <c r="U23" i="1" s="1"/>
  <c r="J14" i="29" l="1"/>
  <c r="H14" i="29"/>
  <c r="J11" i="29"/>
  <c r="H11" i="29"/>
  <c r="L18" i="29"/>
  <c r="L11" i="29"/>
  <c r="O12" i="29"/>
  <c r="M12" i="29"/>
  <c r="L14" i="29"/>
  <c r="M17" i="29"/>
  <c r="O17" i="29"/>
  <c r="T24" i="1"/>
  <c r="G19" i="29"/>
  <c r="J18" i="29"/>
  <c r="H18" i="29"/>
  <c r="G22" i="29"/>
  <c r="O10" i="29"/>
  <c r="M10" i="29"/>
  <c r="H20" i="29"/>
  <c r="G21" i="29"/>
  <c r="J20" i="29"/>
  <c r="L21" i="29"/>
  <c r="M20" i="29"/>
  <c r="O20" i="29"/>
  <c r="M16" i="29"/>
  <c r="O16" i="29"/>
  <c r="H22" i="29" l="1"/>
  <c r="G23" i="29"/>
  <c r="J22" i="29"/>
  <c r="G27" i="29"/>
  <c r="W24" i="1"/>
  <c r="U24" i="1"/>
  <c r="L19" i="29"/>
  <c r="M18" i="29"/>
  <c r="O18" i="29"/>
  <c r="H21" i="29"/>
  <c r="J21" i="29"/>
  <c r="J19" i="29"/>
  <c r="H19" i="29"/>
  <c r="O14" i="29"/>
  <c r="L22" i="29"/>
  <c r="M14" i="29"/>
  <c r="O11" i="29"/>
  <c r="M11" i="29"/>
  <c r="M21" i="29"/>
  <c r="O21" i="29"/>
  <c r="AG38" i="29"/>
  <c r="O19" i="29" l="1"/>
  <c r="M19" i="29"/>
  <c r="L23" i="29"/>
  <c r="O22" i="29"/>
  <c r="M22" i="29"/>
  <c r="L27" i="29"/>
  <c r="G37" i="29"/>
  <c r="J27" i="29"/>
  <c r="H27" i="29"/>
  <c r="G28" i="29"/>
  <c r="J23" i="29"/>
  <c r="H23" i="29"/>
  <c r="AF38" i="29"/>
  <c r="H28" i="29" l="1"/>
  <c r="J28" i="29"/>
  <c r="L28" i="29"/>
  <c r="L38" i="29"/>
  <c r="L37" i="29"/>
  <c r="O27" i="29"/>
  <c r="M27" i="29"/>
  <c r="O23" i="29"/>
  <c r="M23" i="29"/>
  <c r="M28" i="29" l="1"/>
  <c r="O28" i="29"/>
  <c r="AE38" i="29" l="1"/>
  <c r="F8" i="1" l="1"/>
  <c r="K28" i="2"/>
  <c r="K28" i="42" l="1"/>
  <c r="N28" i="2"/>
  <c r="K8" i="1"/>
  <c r="AC8" i="1"/>
  <c r="I8" i="1"/>
  <c r="AF8" i="1" l="1"/>
  <c r="AH8" i="1"/>
  <c r="N8" i="1"/>
  <c r="N28" i="42"/>
  <c r="AK8" i="1" l="1"/>
  <c r="K20" i="2" l="1"/>
  <c r="K19" i="2"/>
  <c r="K18" i="2"/>
  <c r="K31" i="2"/>
  <c r="K30" i="2"/>
  <c r="K17" i="2"/>
  <c r="K16" i="2"/>
  <c r="K15" i="2"/>
  <c r="K14" i="2"/>
  <c r="K13" i="2"/>
  <c r="K12" i="2"/>
  <c r="K9" i="2"/>
  <c r="K8" i="2"/>
  <c r="K23" i="2"/>
  <c r="K21" i="2"/>
  <c r="K10" i="2"/>
  <c r="P19" i="2"/>
  <c r="P18" i="2"/>
  <c r="P18" i="42" l="1"/>
  <c r="S18" i="2"/>
  <c r="P19" i="42"/>
  <c r="S19" i="2"/>
  <c r="K31" i="42"/>
  <c r="N31" i="2"/>
  <c r="N18" i="2"/>
  <c r="K18" i="42"/>
  <c r="K30" i="42"/>
  <c r="N30" i="2"/>
  <c r="K23" i="42"/>
  <c r="N23" i="2"/>
  <c r="K8" i="42"/>
  <c r="N8" i="2"/>
  <c r="N19" i="2"/>
  <c r="K19" i="42"/>
  <c r="K10" i="42"/>
  <c r="N10" i="2"/>
  <c r="K9" i="42"/>
  <c r="N9" i="2"/>
  <c r="K12" i="42"/>
  <c r="N12" i="2"/>
  <c r="N20" i="2"/>
  <c r="K20" i="42"/>
  <c r="K16" i="42"/>
  <c r="N16" i="2"/>
  <c r="K13" i="42"/>
  <c r="N13" i="2"/>
  <c r="K14" i="42"/>
  <c r="N14" i="2"/>
  <c r="K17" i="42"/>
  <c r="N17" i="2"/>
  <c r="K15" i="42"/>
  <c r="N15" i="2"/>
  <c r="K21" i="42"/>
  <c r="N21" i="2"/>
  <c r="P10" i="2"/>
  <c r="K22" i="2"/>
  <c r="P11" i="2"/>
  <c r="P29" i="2"/>
  <c r="P20" i="2"/>
  <c r="P7" i="2"/>
  <c r="K7" i="2"/>
  <c r="P12" i="2"/>
  <c r="P17" i="2"/>
  <c r="P22" i="2"/>
  <c r="K11" i="2"/>
  <c r="F16" i="1"/>
  <c r="K29" i="2"/>
  <c r="K26" i="2" l="1"/>
  <c r="P9" i="2"/>
  <c r="P22" i="42"/>
  <c r="S22" i="2"/>
  <c r="P21" i="2"/>
  <c r="P8" i="2"/>
  <c r="P16" i="2"/>
  <c r="P14" i="2"/>
  <c r="F11" i="1"/>
  <c r="P28" i="2"/>
  <c r="P7" i="42"/>
  <c r="S7" i="2"/>
  <c r="P12" i="42"/>
  <c r="S12" i="2"/>
  <c r="P17" i="42"/>
  <c r="S17" i="2"/>
  <c r="P31" i="2"/>
  <c r="P32" i="2" s="1"/>
  <c r="P10" i="42"/>
  <c r="S10" i="2"/>
  <c r="P20" i="42"/>
  <c r="S20" i="2"/>
  <c r="S19" i="42"/>
  <c r="P13" i="2"/>
  <c r="P30" i="2"/>
  <c r="P15" i="2"/>
  <c r="P23" i="2"/>
  <c r="K16" i="1"/>
  <c r="I16" i="1"/>
  <c r="P29" i="42"/>
  <c r="S29" i="2"/>
  <c r="S18" i="42"/>
  <c r="P11" i="42"/>
  <c r="S11" i="2"/>
  <c r="N13" i="42"/>
  <c r="N26" i="2"/>
  <c r="N8" i="42"/>
  <c r="N14" i="42"/>
  <c r="N20" i="42"/>
  <c r="N23" i="42"/>
  <c r="K25" i="2"/>
  <c r="K11" i="42"/>
  <c r="N11" i="2"/>
  <c r="N7" i="2"/>
  <c r="K7" i="42"/>
  <c r="K24" i="2"/>
  <c r="N21" i="42"/>
  <c r="N12" i="42"/>
  <c r="N30" i="42"/>
  <c r="N18" i="42"/>
  <c r="N10" i="42"/>
  <c r="N15" i="42"/>
  <c r="N9" i="42"/>
  <c r="K29" i="42"/>
  <c r="N29" i="2"/>
  <c r="K32" i="2"/>
  <c r="N19" i="42"/>
  <c r="N16" i="42"/>
  <c r="N22" i="2"/>
  <c r="K22" i="42"/>
  <c r="N17" i="42"/>
  <c r="N31" i="42"/>
  <c r="P34" i="2"/>
  <c r="U31" i="2"/>
  <c r="P33" i="2"/>
  <c r="F9" i="1"/>
  <c r="F12" i="1"/>
  <c r="F7" i="1"/>
  <c r="F10" i="1"/>
  <c r="P25" i="2" l="1"/>
  <c r="AG17" i="41"/>
  <c r="S32" i="2"/>
  <c r="S25" i="2"/>
  <c r="S11" i="42"/>
  <c r="P28" i="42"/>
  <c r="S28" i="2"/>
  <c r="S7" i="42"/>
  <c r="K10" i="1"/>
  <c r="I10" i="1"/>
  <c r="AC10" i="1"/>
  <c r="K11" i="1"/>
  <c r="F21" i="1"/>
  <c r="AC11" i="1"/>
  <c r="I11" i="1"/>
  <c r="P14" i="42"/>
  <c r="S14" i="2"/>
  <c r="U23" i="2"/>
  <c r="S20" i="42"/>
  <c r="U31" i="42"/>
  <c r="X31" i="2"/>
  <c r="P16" i="42"/>
  <c r="S16" i="2"/>
  <c r="S29" i="42"/>
  <c r="S10" i="42"/>
  <c r="P8" i="42"/>
  <c r="S8" i="2"/>
  <c r="P31" i="42"/>
  <c r="S31" i="2"/>
  <c r="P33" i="42"/>
  <c r="S33" i="2"/>
  <c r="N16" i="1"/>
  <c r="P21" i="42"/>
  <c r="S21" i="2"/>
  <c r="K12" i="1"/>
  <c r="AC12" i="1"/>
  <c r="I12" i="1"/>
  <c r="F17" i="1"/>
  <c r="F15" i="1"/>
  <c r="F20" i="1" s="1"/>
  <c r="P23" i="42"/>
  <c r="S23" i="2"/>
  <c r="P15" i="42"/>
  <c r="S15" i="2"/>
  <c r="S17" i="42"/>
  <c r="U12" i="2"/>
  <c r="P34" i="42"/>
  <c r="S34" i="2"/>
  <c r="S22" i="42"/>
  <c r="P30" i="42"/>
  <c r="S30" i="2"/>
  <c r="P9" i="42"/>
  <c r="S9" i="2"/>
  <c r="S12" i="42"/>
  <c r="P13" i="42"/>
  <c r="S13" i="2"/>
  <c r="P24" i="2"/>
  <c r="P26" i="2"/>
  <c r="N24" i="2"/>
  <c r="K27" i="2"/>
  <c r="K24" i="42"/>
  <c r="N7" i="42"/>
  <c r="AG12" i="41"/>
  <c r="N32" i="2"/>
  <c r="N29" i="42"/>
  <c r="K32" i="42"/>
  <c r="K25" i="42"/>
  <c r="N11" i="42"/>
  <c r="N25" i="2"/>
  <c r="K26" i="42"/>
  <c r="N22" i="42"/>
  <c r="AC9" i="1"/>
  <c r="K9" i="1"/>
  <c r="I9" i="1"/>
  <c r="I7" i="1"/>
  <c r="AC7" i="1"/>
  <c r="K7" i="1"/>
  <c r="F27" i="1"/>
  <c r="K46" i="2"/>
  <c r="P24" i="42" l="1"/>
  <c r="AF10" i="1"/>
  <c r="U17" i="2"/>
  <c r="U21" i="2"/>
  <c r="AH12" i="1"/>
  <c r="N12" i="1"/>
  <c r="U36" i="2"/>
  <c r="S34" i="42"/>
  <c r="S21" i="42"/>
  <c r="P26" i="42"/>
  <c r="S16" i="42"/>
  <c r="U15" i="2"/>
  <c r="U10" i="2"/>
  <c r="U12" i="42"/>
  <c r="X12" i="2"/>
  <c r="N10" i="1"/>
  <c r="AH10" i="1"/>
  <c r="AF12" i="1"/>
  <c r="U19" i="2"/>
  <c r="S24" i="42"/>
  <c r="S26" i="2"/>
  <c r="X31" i="42"/>
  <c r="U20" i="2"/>
  <c r="K27" i="1"/>
  <c r="I27" i="1"/>
  <c r="U30" i="2"/>
  <c r="S24" i="2"/>
  <c r="P27" i="2"/>
  <c r="U11" i="2"/>
  <c r="U14" i="2"/>
  <c r="U37" i="2"/>
  <c r="S33" i="42"/>
  <c r="U23" i="42"/>
  <c r="X23" i="2"/>
  <c r="F26" i="1"/>
  <c r="F32" i="1" s="1"/>
  <c r="S13" i="42"/>
  <c r="S15" i="42"/>
  <c r="S28" i="42"/>
  <c r="P25" i="42"/>
  <c r="U13" i="2"/>
  <c r="U38" i="2"/>
  <c r="U16" i="2"/>
  <c r="S31" i="42"/>
  <c r="U9" i="2"/>
  <c r="S23" i="42"/>
  <c r="S14" i="42"/>
  <c r="U18" i="2"/>
  <c r="K15" i="1"/>
  <c r="I15" i="1"/>
  <c r="S9" i="42"/>
  <c r="K17" i="1"/>
  <c r="I17" i="1"/>
  <c r="S8" i="42"/>
  <c r="I20" i="1"/>
  <c r="U22" i="2"/>
  <c r="F22" i="1"/>
  <c r="AF11" i="1"/>
  <c r="F18" i="1"/>
  <c r="F19" i="1" s="1"/>
  <c r="I21" i="1"/>
  <c r="U8" i="2"/>
  <c r="U35" i="2"/>
  <c r="S30" i="42"/>
  <c r="P32" i="42"/>
  <c r="AH11" i="1"/>
  <c r="N11" i="1"/>
  <c r="K21" i="1"/>
  <c r="AG17" i="43"/>
  <c r="AG18" i="41"/>
  <c r="N25" i="42"/>
  <c r="N26" i="42"/>
  <c r="N32" i="42"/>
  <c r="AH7" i="1"/>
  <c r="N7" i="1"/>
  <c r="AG12" i="43"/>
  <c r="AG13" i="41"/>
  <c r="AF7" i="1"/>
  <c r="N24" i="42"/>
  <c r="K27" i="42"/>
  <c r="N9" i="1"/>
  <c r="AH9" i="1"/>
  <c r="N27" i="2"/>
  <c r="K47" i="2"/>
  <c r="K46" i="42"/>
  <c r="AF9" i="1"/>
  <c r="U29" i="2"/>
  <c r="F25" i="1"/>
  <c r="AG13" i="43" l="1"/>
  <c r="AG18" i="43"/>
  <c r="P27" i="42"/>
  <c r="U8" i="42"/>
  <c r="X8" i="2"/>
  <c r="N17" i="1"/>
  <c r="U38" i="42"/>
  <c r="X38" i="2"/>
  <c r="U14" i="42"/>
  <c r="X14" i="2"/>
  <c r="S26" i="42"/>
  <c r="U13" i="42"/>
  <c r="X13" i="2"/>
  <c r="U19" i="42"/>
  <c r="X19" i="2"/>
  <c r="U26" i="2"/>
  <c r="P46" i="2"/>
  <c r="P39" i="2"/>
  <c r="F13" i="1"/>
  <c r="U11" i="42"/>
  <c r="X11" i="2"/>
  <c r="U25" i="2"/>
  <c r="U34" i="2"/>
  <c r="I19" i="1"/>
  <c r="S25" i="42"/>
  <c r="U7" i="2"/>
  <c r="AC17" i="1"/>
  <c r="I32" i="1"/>
  <c r="S27" i="2"/>
  <c r="U36" i="42"/>
  <c r="X36" i="2"/>
  <c r="K18" i="1"/>
  <c r="I18" i="1"/>
  <c r="N15" i="1"/>
  <c r="K19" i="1"/>
  <c r="AK10" i="1"/>
  <c r="U37" i="42"/>
  <c r="V37" i="2"/>
  <c r="X37" i="2"/>
  <c r="U18" i="42"/>
  <c r="X18" i="2"/>
  <c r="U30" i="42"/>
  <c r="X30" i="2"/>
  <c r="K25" i="1"/>
  <c r="I25" i="1"/>
  <c r="K20" i="1"/>
  <c r="K22" i="1"/>
  <c r="U16" i="42"/>
  <c r="X16" i="2"/>
  <c r="I22" i="1"/>
  <c r="F33" i="1"/>
  <c r="AK12" i="1"/>
  <c r="U22" i="42"/>
  <c r="X22" i="2"/>
  <c r="K26" i="1"/>
  <c r="I26" i="1"/>
  <c r="U21" i="42"/>
  <c r="X21" i="2"/>
  <c r="N21" i="1"/>
  <c r="U28" i="2"/>
  <c r="N27" i="1"/>
  <c r="S27" i="42"/>
  <c r="U20" i="42"/>
  <c r="X20" i="2"/>
  <c r="X12" i="42"/>
  <c r="U17" i="42"/>
  <c r="X17" i="2"/>
  <c r="U9" i="42"/>
  <c r="X9" i="2"/>
  <c r="U10" i="42"/>
  <c r="X10" i="2"/>
  <c r="U35" i="42"/>
  <c r="X35" i="2"/>
  <c r="T34" i="1"/>
  <c r="AK11" i="1"/>
  <c r="X23" i="42"/>
  <c r="U33" i="2"/>
  <c r="U29" i="42"/>
  <c r="U32" i="2"/>
  <c r="X29" i="2"/>
  <c r="S32" i="42"/>
  <c r="F30" i="1"/>
  <c r="U15" i="42"/>
  <c r="X15" i="2"/>
  <c r="N27" i="42"/>
  <c r="AK7" i="1"/>
  <c r="K47" i="42"/>
  <c r="AK9" i="1"/>
  <c r="X22" i="42" l="1"/>
  <c r="X18" i="42"/>
  <c r="X19" i="42"/>
  <c r="U26" i="42"/>
  <c r="X20" i="42"/>
  <c r="AF17" i="1"/>
  <c r="U7" i="42"/>
  <c r="X7" i="2"/>
  <c r="U24" i="2"/>
  <c r="X26" i="2"/>
  <c r="W34" i="1"/>
  <c r="V37" i="42"/>
  <c r="X37" i="42"/>
  <c r="X13" i="42"/>
  <c r="I33" i="1"/>
  <c r="AC18" i="1"/>
  <c r="X35" i="42"/>
  <c r="U28" i="42"/>
  <c r="X28" i="2"/>
  <c r="N19" i="1"/>
  <c r="N26" i="1"/>
  <c r="U34" i="42"/>
  <c r="T33" i="1"/>
  <c r="X34" i="2"/>
  <c r="X14" i="42"/>
  <c r="X30" i="42"/>
  <c r="X15" i="42"/>
  <c r="X10" i="42"/>
  <c r="K32" i="1"/>
  <c r="N22" i="1"/>
  <c r="K33" i="1"/>
  <c r="I30" i="1"/>
  <c r="AC15" i="1"/>
  <c r="F31" i="1"/>
  <c r="N20" i="1"/>
  <c r="K30" i="1"/>
  <c r="X25" i="2"/>
  <c r="X38" i="42"/>
  <c r="X9" i="42"/>
  <c r="N18" i="1"/>
  <c r="X11" i="42"/>
  <c r="U25" i="42"/>
  <c r="X32" i="2"/>
  <c r="AG20" i="41"/>
  <c r="X21" i="42"/>
  <c r="N25" i="1"/>
  <c r="K13" i="1"/>
  <c r="AC13" i="1"/>
  <c r="F23" i="1"/>
  <c r="I13" i="1"/>
  <c r="F14" i="1"/>
  <c r="X36" i="42"/>
  <c r="P39" i="42"/>
  <c r="S39" i="2"/>
  <c r="P41" i="2"/>
  <c r="U33" i="42"/>
  <c r="X33" i="2"/>
  <c r="T32" i="1"/>
  <c r="X16" i="42"/>
  <c r="X29" i="42"/>
  <c r="U32" i="42"/>
  <c r="X17" i="42"/>
  <c r="P46" i="42"/>
  <c r="X8" i="42"/>
  <c r="F28" i="1"/>
  <c r="W33" i="1" l="1"/>
  <c r="AG20" i="43"/>
  <c r="AG22" i="41"/>
  <c r="AG21" i="41"/>
  <c r="X34" i="42"/>
  <c r="AC16" i="1"/>
  <c r="I31" i="1"/>
  <c r="U27" i="2"/>
  <c r="X24" i="2"/>
  <c r="X33" i="42"/>
  <c r="AF15" i="1"/>
  <c r="K31" i="1"/>
  <c r="AH15" i="1"/>
  <c r="N30" i="1"/>
  <c r="S41" i="2"/>
  <c r="P43" i="2"/>
  <c r="X25" i="42"/>
  <c r="X7" i="42"/>
  <c r="U24" i="42"/>
  <c r="N33" i="1"/>
  <c r="AH18" i="1"/>
  <c r="S39" i="42"/>
  <c r="P41" i="42"/>
  <c r="X28" i="42"/>
  <c r="AH17" i="1"/>
  <c r="N32" i="1"/>
  <c r="I14" i="1"/>
  <c r="X26" i="42"/>
  <c r="AF18" i="1"/>
  <c r="I23" i="1"/>
  <c r="F34" i="1"/>
  <c r="F24" i="1"/>
  <c r="AF13" i="1"/>
  <c r="AC14" i="1"/>
  <c r="K28" i="1"/>
  <c r="I28" i="1"/>
  <c r="F29" i="1"/>
  <c r="X32" i="42"/>
  <c r="N13" i="1"/>
  <c r="K23" i="1"/>
  <c r="AH13" i="1"/>
  <c r="K14" i="1"/>
  <c r="W32" i="1"/>
  <c r="S41" i="42" l="1"/>
  <c r="P43" i="42"/>
  <c r="AK18" i="1"/>
  <c r="N28" i="1"/>
  <c r="K29" i="1"/>
  <c r="U27" i="42"/>
  <c r="X24" i="42"/>
  <c r="X27" i="2"/>
  <c r="AF14" i="1"/>
  <c r="I24" i="1"/>
  <c r="S43" i="2"/>
  <c r="P47" i="2"/>
  <c r="AK13" i="1"/>
  <c r="AH14" i="1"/>
  <c r="AG22" i="43"/>
  <c r="AG21" i="43"/>
  <c r="I34" i="1"/>
  <c r="AC19" i="1"/>
  <c r="F35" i="1"/>
  <c r="N14" i="1"/>
  <c r="K34" i="1"/>
  <c r="N23" i="1"/>
  <c r="K24" i="1"/>
  <c r="AK15" i="1"/>
  <c r="AF16" i="1"/>
  <c r="I29" i="1"/>
  <c r="AK17" i="1"/>
  <c r="N31" i="1"/>
  <c r="AH16" i="1"/>
  <c r="AH19" i="1" l="1"/>
  <c r="N34" i="1"/>
  <c r="K35" i="1"/>
  <c r="N24" i="1"/>
  <c r="U46" i="2"/>
  <c r="F38" i="1"/>
  <c r="K38" i="1" s="1"/>
  <c r="U39" i="2"/>
  <c r="F36" i="1"/>
  <c r="I35" i="1"/>
  <c r="F39" i="1"/>
  <c r="F40" i="1"/>
  <c r="AF19" i="1"/>
  <c r="AC20" i="1"/>
  <c r="AK16" i="1"/>
  <c r="X27" i="42"/>
  <c r="N29" i="1"/>
  <c r="AK14" i="1"/>
  <c r="S43" i="42"/>
  <c r="P47" i="42"/>
  <c r="AC21" i="1" l="1"/>
  <c r="I36" i="1"/>
  <c r="AF21" i="1" s="1"/>
  <c r="AF20" i="1"/>
  <c r="U39" i="42"/>
  <c r="X39" i="2"/>
  <c r="U41" i="2"/>
  <c r="K36" i="1"/>
  <c r="N35" i="1"/>
  <c r="K40" i="1"/>
  <c r="K39" i="1"/>
  <c r="U46" i="42"/>
  <c r="AK19" i="1"/>
  <c r="AH20" i="1"/>
  <c r="AH21" i="1" l="1"/>
  <c r="N36" i="1"/>
  <c r="AK21" i="1" s="1"/>
  <c r="T36" i="1"/>
  <c r="X41" i="2"/>
  <c r="U43" i="2"/>
  <c r="X39" i="42"/>
  <c r="U41" i="42"/>
  <c r="AK20" i="1"/>
  <c r="X41" i="42" l="1"/>
  <c r="U43" i="42"/>
  <c r="U44" i="2"/>
  <c r="X43" i="2"/>
  <c r="U47" i="2"/>
  <c r="W36" i="1"/>
  <c r="T35" i="1"/>
  <c r="W35" i="1" l="1"/>
  <c r="U44" i="42"/>
  <c r="X43" i="42"/>
  <c r="U47" i="42"/>
  <c r="T36" i="2" l="1"/>
  <c r="T36" i="42" l="1"/>
  <c r="V36" i="42" s="1"/>
  <c r="V36" i="2"/>
  <c r="O28" i="2" l="1"/>
  <c r="E11" i="1"/>
  <c r="E16" i="1"/>
  <c r="E8" i="1"/>
  <c r="J28" i="2"/>
  <c r="J16" i="1" l="1"/>
  <c r="L16" i="1" s="1"/>
  <c r="G16" i="1"/>
  <c r="J28" i="42"/>
  <c r="L28" i="42" s="1"/>
  <c r="L28" i="2"/>
  <c r="J11" i="1"/>
  <c r="AB11" i="1"/>
  <c r="AD11" i="1" s="1"/>
  <c r="E21" i="1"/>
  <c r="G11" i="1"/>
  <c r="J8" i="1"/>
  <c r="AB8" i="1"/>
  <c r="AD8" i="1" s="1"/>
  <c r="G8" i="1"/>
  <c r="O28" i="42"/>
  <c r="Q28" i="42" s="1"/>
  <c r="Q28" i="2"/>
  <c r="G21" i="1" l="1"/>
  <c r="AG11" i="1"/>
  <c r="AI11" i="1" s="1"/>
  <c r="J21" i="1"/>
  <c r="L11" i="1"/>
  <c r="AG8" i="1"/>
  <c r="AI8" i="1" s="1"/>
  <c r="L8" i="1"/>
  <c r="L21" i="1" l="1"/>
  <c r="J30" i="2" l="1"/>
  <c r="J30" i="42" l="1"/>
  <c r="L30" i="42" s="1"/>
  <c r="L30" i="2"/>
  <c r="O30" i="2"/>
  <c r="O30" i="42" l="1"/>
  <c r="Q30" i="42" s="1"/>
  <c r="Q30" i="2"/>
  <c r="J29" i="2" l="1"/>
  <c r="J29" i="42" l="1"/>
  <c r="L29" i="2"/>
  <c r="O29" i="2"/>
  <c r="L29" i="42" l="1"/>
  <c r="O29" i="42"/>
  <c r="Q29" i="2"/>
  <c r="Q29" i="42" l="1"/>
  <c r="O34" i="2" l="1"/>
  <c r="O34" i="42" l="1"/>
  <c r="Q34" i="42" s="1"/>
  <c r="Q34" i="2"/>
  <c r="O33" i="2"/>
  <c r="O33" i="42" l="1"/>
  <c r="Q33" i="2"/>
  <c r="Q33" i="42" l="1"/>
  <c r="O39" i="2" l="1"/>
  <c r="O39" i="42" l="1"/>
  <c r="Q39" i="2"/>
  <c r="O41" i="2"/>
  <c r="Q41" i="2" s="1"/>
  <c r="Q39" i="42" l="1"/>
  <c r="O41" i="42"/>
  <c r="Q41" i="42" s="1"/>
  <c r="J31" i="2" l="1"/>
  <c r="J31" i="42" l="1"/>
  <c r="L31" i="2"/>
  <c r="J32" i="2"/>
  <c r="O31" i="2"/>
  <c r="AF12" i="41" l="1"/>
  <c r="L32" i="2"/>
  <c r="L31" i="42"/>
  <c r="J32" i="42"/>
  <c r="L32" i="42" s="1"/>
  <c r="O31" i="42"/>
  <c r="Q31" i="2"/>
  <c r="O32" i="2"/>
  <c r="E9" i="1"/>
  <c r="Q31" i="42" l="1"/>
  <c r="O32" i="42"/>
  <c r="Q32" i="42" s="1"/>
  <c r="E12" i="1"/>
  <c r="AF12" i="43"/>
  <c r="AF13" i="43" s="1"/>
  <c r="AF13" i="41"/>
  <c r="AF17" i="41"/>
  <c r="Q32" i="2"/>
  <c r="J9" i="1"/>
  <c r="AB9" i="1"/>
  <c r="AD9" i="1" s="1"/>
  <c r="G9" i="1"/>
  <c r="J12" i="1" l="1"/>
  <c r="AB12" i="1"/>
  <c r="AD12" i="1" s="1"/>
  <c r="G12" i="1"/>
  <c r="AF17" i="43"/>
  <c r="AF18" i="43" s="1"/>
  <c r="AF18" i="41"/>
  <c r="AG9" i="1"/>
  <c r="AI9" i="1" s="1"/>
  <c r="L9" i="1"/>
  <c r="AG12" i="1" l="1"/>
  <c r="AI12" i="1" s="1"/>
  <c r="L12" i="1"/>
  <c r="T34" i="2" l="1"/>
  <c r="T34" i="42" l="1"/>
  <c r="S33" i="1"/>
  <c r="U33" i="1" s="1"/>
  <c r="V34" i="2"/>
  <c r="V34" i="42" l="1"/>
  <c r="T33" i="2" l="1"/>
  <c r="T33" i="42" l="1"/>
  <c r="S32" i="1"/>
  <c r="U32" i="1" s="1"/>
  <c r="V33" i="2"/>
  <c r="V33" i="42" l="1"/>
  <c r="T28" i="2" l="1"/>
  <c r="E26" i="1"/>
  <c r="J26" i="1" l="1"/>
  <c r="G26" i="1"/>
  <c r="E32" i="1"/>
  <c r="T28" i="42"/>
  <c r="V28" i="42" s="1"/>
  <c r="V28" i="2"/>
  <c r="AB17" i="1" l="1"/>
  <c r="AD17" i="1" s="1"/>
  <c r="G32" i="1"/>
  <c r="L26" i="1"/>
  <c r="J32" i="1"/>
  <c r="AG17" i="1" l="1"/>
  <c r="AI17" i="1" s="1"/>
  <c r="L32" i="1"/>
  <c r="T30" i="2" l="1"/>
  <c r="T30" i="42" l="1"/>
  <c r="V30" i="42" s="1"/>
  <c r="V30" i="2"/>
  <c r="T31" i="2" l="1"/>
  <c r="T31" i="42" l="1"/>
  <c r="V31" i="42" s="1"/>
  <c r="V31" i="2"/>
  <c r="E17" i="1" l="1"/>
  <c r="J17" i="1" l="1"/>
  <c r="G17" i="1"/>
  <c r="E22" i="1"/>
  <c r="L17" i="1" l="1"/>
  <c r="J22" i="1"/>
  <c r="G22" i="1"/>
  <c r="L22" i="1" l="1"/>
  <c r="E27" i="1" l="1"/>
  <c r="T29" i="2"/>
  <c r="J27" i="1" l="1"/>
  <c r="G27" i="1"/>
  <c r="E33" i="1"/>
  <c r="T29" i="42"/>
  <c r="T32" i="2"/>
  <c r="V29" i="2"/>
  <c r="AF20" i="41" l="1"/>
  <c r="V32" i="2"/>
  <c r="T32" i="42"/>
  <c r="V32" i="42" s="1"/>
  <c r="V29" i="42"/>
  <c r="AB18" i="1"/>
  <c r="AD18" i="1" s="1"/>
  <c r="G33" i="1"/>
  <c r="L27" i="1"/>
  <c r="J33" i="1"/>
  <c r="AF20" i="43" l="1"/>
  <c r="AF22" i="41"/>
  <c r="AF21" i="41"/>
  <c r="AG18" i="1"/>
  <c r="AI18" i="1" s="1"/>
  <c r="L33" i="1"/>
  <c r="AF22" i="43" l="1"/>
  <c r="AF21" i="43"/>
  <c r="T38" i="2" l="1"/>
  <c r="T38" i="42" l="1"/>
  <c r="V38" i="42" s="1"/>
  <c r="V38" i="2"/>
  <c r="O23" i="2" l="1"/>
  <c r="O23" i="42" l="1"/>
  <c r="Q23" i="42" s="1"/>
  <c r="Q23" i="2"/>
  <c r="J23" i="2"/>
  <c r="J23" i="42" l="1"/>
  <c r="L23" i="42" s="1"/>
  <c r="L23" i="2"/>
  <c r="T23" i="2" l="1"/>
  <c r="T23" i="42" l="1"/>
  <c r="V23" i="42" s="1"/>
  <c r="V23" i="2"/>
  <c r="O14" i="2" l="1"/>
  <c r="O16" i="2"/>
  <c r="O12" i="2"/>
  <c r="O16" i="42" l="1"/>
  <c r="Q16" i="42" s="1"/>
  <c r="Q16" i="2"/>
  <c r="O12" i="42"/>
  <c r="Q12" i="42" s="1"/>
  <c r="Q12" i="2"/>
  <c r="O14" i="42"/>
  <c r="Q14" i="42" s="1"/>
  <c r="Q14" i="2"/>
  <c r="J12" i="2"/>
  <c r="J16" i="2"/>
  <c r="J14" i="2"/>
  <c r="J16" i="42" l="1"/>
  <c r="L16" i="42" s="1"/>
  <c r="L16" i="2"/>
  <c r="J12" i="42"/>
  <c r="L12" i="42" s="1"/>
  <c r="L12" i="2"/>
  <c r="J14" i="42"/>
  <c r="L14" i="42" s="1"/>
  <c r="L14" i="2"/>
  <c r="T16" i="2" l="1"/>
  <c r="T14" i="2"/>
  <c r="T14" i="42" l="1"/>
  <c r="V14" i="42" s="1"/>
  <c r="V14" i="2"/>
  <c r="T16" i="42"/>
  <c r="V16" i="42" s="1"/>
  <c r="V16" i="2"/>
  <c r="O20" i="2" l="1"/>
  <c r="O20" i="42" l="1"/>
  <c r="Q20" i="42" s="1"/>
  <c r="Q20" i="2"/>
  <c r="J20" i="2"/>
  <c r="J20" i="42" l="1"/>
  <c r="L20" i="42" s="1"/>
  <c r="L20" i="2"/>
  <c r="T20" i="2" l="1"/>
  <c r="T20" i="42" l="1"/>
  <c r="V20" i="42" s="1"/>
  <c r="V20" i="2"/>
  <c r="O8" i="2" l="1"/>
  <c r="O8" i="42" l="1"/>
  <c r="Q8" i="42" s="1"/>
  <c r="Q8" i="2"/>
  <c r="J8" i="2"/>
  <c r="J8" i="42" l="1"/>
  <c r="L8" i="42" s="1"/>
  <c r="L8" i="2"/>
  <c r="O22" i="2" l="1"/>
  <c r="O22" i="42" l="1"/>
  <c r="Q22" i="42" s="1"/>
  <c r="Q22" i="2"/>
  <c r="J22" i="2"/>
  <c r="J22" i="42" l="1"/>
  <c r="L22" i="42" s="1"/>
  <c r="L22" i="2"/>
  <c r="O18" i="2" l="1"/>
  <c r="O18" i="42" l="1"/>
  <c r="Q18" i="42" s="1"/>
  <c r="Q18" i="2"/>
  <c r="J18" i="2"/>
  <c r="J18" i="42" l="1"/>
  <c r="L18" i="42" s="1"/>
  <c r="L18" i="2"/>
  <c r="O15" i="2" l="1"/>
  <c r="O15" i="42" l="1"/>
  <c r="Q15" i="42" s="1"/>
  <c r="Q15" i="2"/>
  <c r="J15" i="2"/>
  <c r="J15" i="42" l="1"/>
  <c r="L15" i="42" s="1"/>
  <c r="L15" i="2"/>
  <c r="J7" i="2" l="1"/>
  <c r="O7" i="2"/>
  <c r="J7" i="42" l="1"/>
  <c r="L7" i="2"/>
  <c r="O7" i="42"/>
  <c r="Q7" i="2"/>
  <c r="Q7" i="42" l="1"/>
  <c r="L7" i="42"/>
  <c r="O19" i="2" l="1"/>
  <c r="O19" i="42" l="1"/>
  <c r="Q19" i="2"/>
  <c r="J19" i="2"/>
  <c r="J19" i="42" l="1"/>
  <c r="L19" i="2"/>
  <c r="Q19" i="42"/>
  <c r="L19" i="42" l="1"/>
  <c r="O11" i="2" l="1"/>
  <c r="J11" i="2" l="1"/>
  <c r="O11" i="42"/>
  <c r="Q11" i="2"/>
  <c r="Q11" i="42" l="1"/>
  <c r="J11" i="42"/>
  <c r="L11" i="2"/>
  <c r="L11" i="42" l="1"/>
  <c r="O17" i="2" l="1"/>
  <c r="J17" i="2" l="1"/>
  <c r="O17" i="42"/>
  <c r="Q17" i="42" s="1"/>
  <c r="Q17" i="2"/>
  <c r="J17" i="42" l="1"/>
  <c r="L17" i="42" s="1"/>
  <c r="L17" i="2"/>
  <c r="O13" i="2" l="1"/>
  <c r="O13" i="42" l="1"/>
  <c r="Q13" i="2"/>
  <c r="O25" i="2"/>
  <c r="Q25" i="2" s="1"/>
  <c r="J13" i="2"/>
  <c r="J13" i="42" l="1"/>
  <c r="L13" i="2"/>
  <c r="J25" i="2"/>
  <c r="L25" i="2" s="1"/>
  <c r="Q13" i="42"/>
  <c r="O25" i="42"/>
  <c r="Q25" i="42" s="1"/>
  <c r="L13" i="42" l="1"/>
  <c r="J25" i="42"/>
  <c r="L25" i="42" s="1"/>
  <c r="O10" i="2" l="1"/>
  <c r="J10" i="2" l="1"/>
  <c r="O10" i="42"/>
  <c r="Q10" i="42" s="1"/>
  <c r="Q10" i="2"/>
  <c r="J10" i="42" l="1"/>
  <c r="L10" i="42" s="1"/>
  <c r="L10" i="2"/>
  <c r="O21" i="2" l="1"/>
  <c r="O21" i="42" l="1"/>
  <c r="Q21" i="2"/>
  <c r="O26" i="2"/>
  <c r="Q26" i="2" s="1"/>
  <c r="J21" i="2"/>
  <c r="J21" i="42" l="1"/>
  <c r="L21" i="2"/>
  <c r="J26" i="2"/>
  <c r="L26" i="2" s="1"/>
  <c r="Q21" i="42"/>
  <c r="O26" i="42"/>
  <c r="Q26" i="42" s="1"/>
  <c r="L21" i="42" l="1"/>
  <c r="J26" i="42"/>
  <c r="L26" i="42" s="1"/>
  <c r="J9" i="2" l="1"/>
  <c r="O9" i="2"/>
  <c r="J9" i="42" l="1"/>
  <c r="L9" i="2"/>
  <c r="J24" i="2"/>
  <c r="O9" i="42"/>
  <c r="Q9" i="2"/>
  <c r="O24" i="2"/>
  <c r="O27" i="2" l="1"/>
  <c r="Q24" i="2"/>
  <c r="Q9" i="42"/>
  <c r="O24" i="42"/>
  <c r="J27" i="2"/>
  <c r="G27" i="2" s="1"/>
  <c r="L24" i="2"/>
  <c r="E7" i="1"/>
  <c r="J46" i="2"/>
  <c r="E10" i="1"/>
  <c r="L9" i="42"/>
  <c r="J24" i="42"/>
  <c r="J27" i="42" l="1"/>
  <c r="L24" i="42"/>
  <c r="J10" i="1"/>
  <c r="AB10" i="1"/>
  <c r="G10" i="1"/>
  <c r="L27" i="2"/>
  <c r="J46" i="42"/>
  <c r="J47" i="2"/>
  <c r="J7" i="1"/>
  <c r="AB7" i="1"/>
  <c r="AD7" i="1" s="1"/>
  <c r="G7" i="1"/>
  <c r="O27" i="42"/>
  <c r="Q24" i="42"/>
  <c r="O43" i="2"/>
  <c r="G43" i="2" s="1"/>
  <c r="Q27" i="2"/>
  <c r="O46" i="2"/>
  <c r="E13" i="1"/>
  <c r="E14" i="1" s="1"/>
  <c r="G14" i="1" s="1"/>
  <c r="Q43" i="2" l="1"/>
  <c r="O43" i="42"/>
  <c r="Q27" i="42"/>
  <c r="AD10" i="1"/>
  <c r="J47" i="42"/>
  <c r="L27" i="42"/>
  <c r="AG10" i="1"/>
  <c r="AI10" i="1" s="1"/>
  <c r="L10" i="1"/>
  <c r="J13" i="1"/>
  <c r="AB13" i="1"/>
  <c r="AD13" i="1" s="1"/>
  <c r="G13" i="1"/>
  <c r="AG7" i="1"/>
  <c r="AI7" i="1" s="1"/>
  <c r="L7" i="1"/>
  <c r="O46" i="42"/>
  <c r="O47" i="2"/>
  <c r="AB14" i="1" l="1"/>
  <c r="AD14" i="1" s="1"/>
  <c r="O47" i="42"/>
  <c r="G43" i="42"/>
  <c r="Q43" i="42"/>
  <c r="AG13" i="1"/>
  <c r="L13" i="1"/>
  <c r="J14" i="1"/>
  <c r="L14" i="1" s="1"/>
  <c r="AG14" i="1" l="1"/>
  <c r="AI14" i="1" s="1"/>
  <c r="AI13" i="1"/>
  <c r="T7" i="2" l="1"/>
  <c r="T7" i="42" l="1"/>
  <c r="V7" i="2"/>
  <c r="V7" i="42" l="1"/>
  <c r="T19" i="2" l="1"/>
  <c r="T19" i="42" l="1"/>
  <c r="V19" i="2"/>
  <c r="V19" i="42" l="1"/>
  <c r="T8" i="2" l="1"/>
  <c r="T8" i="42" l="1"/>
  <c r="V8" i="2"/>
  <c r="V8" i="42" l="1"/>
  <c r="T11" i="2" l="1"/>
  <c r="T11" i="42" l="1"/>
  <c r="V11" i="2"/>
  <c r="V11" i="42" l="1"/>
  <c r="T17" i="2" l="1"/>
  <c r="T17" i="42" l="1"/>
  <c r="V17" i="2"/>
  <c r="V17" i="42" l="1"/>
  <c r="T12" i="2" l="1"/>
  <c r="T12" i="42" l="1"/>
  <c r="V12" i="2"/>
  <c r="V12" i="42" l="1"/>
  <c r="T10" i="2" l="1"/>
  <c r="T10" i="42" l="1"/>
  <c r="V10" i="2"/>
  <c r="V10" i="42" l="1"/>
  <c r="T13" i="2" l="1"/>
  <c r="T13" i="42" l="1"/>
  <c r="V13" i="2"/>
  <c r="V13" i="42" l="1"/>
  <c r="T21" i="2" l="1"/>
  <c r="T21" i="42" l="1"/>
  <c r="V21" i="2"/>
  <c r="V21" i="42" l="1"/>
  <c r="T18" i="2" l="1"/>
  <c r="T18" i="42" l="1"/>
  <c r="V18" i="42" s="1"/>
  <c r="V18" i="2"/>
  <c r="T22" i="2" l="1"/>
  <c r="T22" i="42" l="1"/>
  <c r="V22" i="2"/>
  <c r="T26" i="2"/>
  <c r="V26" i="2" s="1"/>
  <c r="V22" i="42" l="1"/>
  <c r="T26" i="42"/>
  <c r="V26" i="42" s="1"/>
  <c r="T15" i="2" l="1"/>
  <c r="T15" i="42" l="1"/>
  <c r="V15" i="2"/>
  <c r="T25" i="2"/>
  <c r="V25" i="2" s="1"/>
  <c r="V15" i="42" l="1"/>
  <c r="T25" i="42"/>
  <c r="V25" i="42" l="1"/>
  <c r="E25" i="1" l="1"/>
  <c r="J25" i="1" l="1"/>
  <c r="G25" i="1"/>
  <c r="L25" i="1" l="1"/>
  <c r="T9" i="2" l="1"/>
  <c r="E15" i="1" l="1"/>
  <c r="T9" i="42"/>
  <c r="V9" i="2"/>
  <c r="T24" i="2"/>
  <c r="T27" i="2" l="1"/>
  <c r="V24" i="2"/>
  <c r="V9" i="42"/>
  <c r="T24" i="42"/>
  <c r="E18" i="1"/>
  <c r="E19" i="1" s="1"/>
  <c r="G19" i="1" s="1"/>
  <c r="J15" i="1"/>
  <c r="G15" i="1"/>
  <c r="E20" i="1"/>
  <c r="E30" i="1" l="1"/>
  <c r="E24" i="1"/>
  <c r="G24" i="1" s="1"/>
  <c r="G20" i="1"/>
  <c r="L15" i="1"/>
  <c r="J20" i="1"/>
  <c r="J18" i="1"/>
  <c r="J19" i="1" s="1"/>
  <c r="L19" i="1" s="1"/>
  <c r="G18" i="1"/>
  <c r="E23" i="1"/>
  <c r="V24" i="42"/>
  <c r="T27" i="42"/>
  <c r="V27" i="2"/>
  <c r="J30" i="1" l="1"/>
  <c r="L20" i="1"/>
  <c r="AB15" i="1"/>
  <c r="E31" i="1"/>
  <c r="G30" i="1"/>
  <c r="V27" i="42"/>
  <c r="G23" i="1"/>
  <c r="L18" i="1"/>
  <c r="J23" i="1"/>
  <c r="L23" i="1" l="1"/>
  <c r="J24" i="1"/>
  <c r="L24" i="1" s="1"/>
  <c r="AG15" i="1"/>
  <c r="AI15" i="1" s="1"/>
  <c r="J31" i="1"/>
  <c r="L30" i="1"/>
  <c r="AB16" i="1"/>
  <c r="AD16" i="1" s="1"/>
  <c r="G31" i="1"/>
  <c r="AD15" i="1"/>
  <c r="AG16" i="1" l="1"/>
  <c r="AI16" i="1" s="1"/>
  <c r="L31" i="1"/>
  <c r="T35" i="2" l="1"/>
  <c r="T35" i="42" l="1"/>
  <c r="S34" i="1"/>
  <c r="U34" i="1" s="1"/>
  <c r="V35" i="2"/>
  <c r="E28" i="1" l="1"/>
  <c r="V35" i="42"/>
  <c r="J28" i="1" l="1"/>
  <c r="G28" i="1"/>
  <c r="E29" i="1"/>
  <c r="G29" i="1" s="1"/>
  <c r="E34" i="1"/>
  <c r="T46" i="2"/>
  <c r="T39" i="2"/>
  <c r="E38" i="1"/>
  <c r="J38" i="1" s="1"/>
  <c r="AB19" i="1" l="1"/>
  <c r="G34" i="1"/>
  <c r="E35" i="1"/>
  <c r="L28" i="1"/>
  <c r="J29" i="1"/>
  <c r="L29" i="1" s="1"/>
  <c r="J34" i="1"/>
  <c r="T39" i="42"/>
  <c r="V39" i="2"/>
  <c r="T41" i="2"/>
  <c r="T46" i="42"/>
  <c r="S36" i="1" l="1"/>
  <c r="V41" i="2"/>
  <c r="T43" i="2"/>
  <c r="G44" i="2" s="1"/>
  <c r="J35" i="1"/>
  <c r="AG19" i="1"/>
  <c r="L34" i="1"/>
  <c r="E40" i="1"/>
  <c r="E39" i="1"/>
  <c r="E36" i="1"/>
  <c r="G35" i="1"/>
  <c r="AD19" i="1"/>
  <c r="AB20" i="1"/>
  <c r="AD20" i="1" s="1"/>
  <c r="V39" i="42"/>
  <c r="T41" i="42"/>
  <c r="V41" i="42" l="1"/>
  <c r="T43" i="42"/>
  <c r="AB21" i="1"/>
  <c r="G36" i="1"/>
  <c r="AD21" i="1" s="1"/>
  <c r="AG20" i="1"/>
  <c r="AI20" i="1" s="1"/>
  <c r="AI19" i="1"/>
  <c r="T44" i="2"/>
  <c r="V43" i="2"/>
  <c r="T47" i="2"/>
  <c r="S35" i="1"/>
  <c r="U35" i="1" s="1"/>
  <c r="U36" i="1"/>
  <c r="J36" i="1"/>
  <c r="J40" i="1"/>
  <c r="J39" i="1"/>
  <c r="L35" i="1"/>
  <c r="AG21" i="1" l="1"/>
  <c r="L36" i="1"/>
  <c r="AI21" i="1" s="1"/>
  <c r="T44" i="42"/>
  <c r="G44" i="42"/>
  <c r="V43" i="42"/>
  <c r="T47" i="42"/>
</calcChain>
</file>

<file path=xl/sharedStrings.xml><?xml version="1.0" encoding="utf-8"?>
<sst xmlns="http://schemas.openxmlformats.org/spreadsheetml/2006/main" count="753" uniqueCount="235">
  <si>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</si>
  <si>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</si>
  <si>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</si>
  <si>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</si>
  <si>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</si>
  <si>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</si>
  <si>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</si>
  <si>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</si>
  <si>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</si>
  <si>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</si>
  <si>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</si>
  <si>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</si>
  <si>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</si>
  <si>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</si>
  <si>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</si>
  <si>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</si>
  <si>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</si>
  <si>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</si>
  <si>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</si>
  <si>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</si>
  <si>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</si>
  <si>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</si>
  <si>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</si>
  <si>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</si>
  <si>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</si>
  <si>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</si>
  <si>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</si>
  <si>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</si>
  <si>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</si>
  <si>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</si>
  <si>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</si>
  <si>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</si>
  <si>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</si>
  <si>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</si>
  <si>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</si>
  <si>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</si>
  <si>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</si>
  <si>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</si>
  <si>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</si>
  <si>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</si>
  <si>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</si>
  <si>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</si>
  <si>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</si>
  <si>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</si>
  <si>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</si>
  <si>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</si>
  <si>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</si>
  <si>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</si>
  <si>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</si>
  <si>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</si>
  <si>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</si>
  <si>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</si>
  <si>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</si>
  <si>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</si>
  <si>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</si>
  <si>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</si>
  <si>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</si>
  <si>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</si>
  <si>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</si>
  <si>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</si>
  <si>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</si>
  <si>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</si>
  <si>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</si>
  <si>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</si>
  <si>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</si>
  <si>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</si>
  <si>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</si>
  <si>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</si>
  <si>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</si>
  <si>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</si>
  <si>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</si>
  <si>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</si>
  <si>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</si>
  <si>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</si>
  <si>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</si>
  <si>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</si>
  <si>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</si>
  <si>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</si>
  <si>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</si>
  <si>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</si>
  <si>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</si>
  <si>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</si>
  <si>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</si>
  <si>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</si>
  <si>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</si>
  <si>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</si>
  <si>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</si>
  <si>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</si>
  <si>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</si>
  <si>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</si>
  <si>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</si>
  <si>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</si>
  <si>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</si>
  <si>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</si>
  <si>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</si>
  <si>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</si>
  <si>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</si>
  <si>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</si>
  <si>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</si>
  <si>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</si>
  <si>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</si>
  <si>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</si>
  <si>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</si>
  <si>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</si>
  <si>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</si>
  <si>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</si>
  <si>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</si>
  <si>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</si>
  <si>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</si>
  <si>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</si>
  <si>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</si>
  <si>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</si>
  <si>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</si>
  <si>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</si>
  <si>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</si>
  <si>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</si>
  <si>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</si>
  <si>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</si>
  <si>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</si>
  <si>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</si>
  <si>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</si>
  <si>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</si>
  <si>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</si>
  <si>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</si>
  <si>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</si>
  <si>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</si>
  <si>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</si>
  <si>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</si>
  <si>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</si>
  <si>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</si>
  <si>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</si>
  <si>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</si>
  <si>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</si>
  <si>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</si>
  <si>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</si>
  <si>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</si>
  <si>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</si>
  <si>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</si>
  <si>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</si>
  <si>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</si>
  <si>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</si>
  <si>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</si>
  <si>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</si>
  <si>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</si>
  <si>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</si>
  <si>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</si>
  <si>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</si>
  <si>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</si>
  <si>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</si>
  <si>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</si>
  <si>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</si>
  <si>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</si>
  <si>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</si>
  <si>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</si>
  <si>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</si>
  <si>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</si>
  <si>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</si>
  <si>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</si>
  <si>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</si>
  <si>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</si>
  <si>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</si>
  <si>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</si>
  <si>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</si>
  <si>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</si>
  <si>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</si>
  <si>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</si>
  <si>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</si>
  <si>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</si>
  <si>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</si>
  <si>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</si>
  <si>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</si>
  <si>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</si>
  <si>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</si>
  <si>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</si>
  <si>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</si>
  <si>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</si>
  <si>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</si>
  <si>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</si>
  <si>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</si>
  <si>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</si>
  <si>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</si>
  <si>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</si>
  <si>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5월</t>
    <phoneticPr fontId="1" type="noConversion"/>
  </si>
  <si>
    <t>6월</t>
  </si>
  <si>
    <t>□ 기타내역(영업이익)</t>
    <phoneticPr fontId="1" type="noConversion"/>
  </si>
  <si>
    <t>7월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</si>
  <si>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</si>
  <si>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</si>
  <si>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</si>
  <si>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</si>
  <si>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</si>
  <si>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</si>
  <si>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</si>
  <si>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</si>
  <si>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</si>
  <si>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</si>
  <si>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</si>
  <si>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</si>
  <si>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</si>
  <si>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</si>
  <si>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</si>
  <si>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</si>
  <si>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</si>
  <si>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</si>
  <si>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</si>
  <si>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</si>
  <si>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</si>
  <si>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</si>
  <si>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</si>
  <si>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</si>
  <si>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</si>
  <si>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</si>
  <si>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>□ 건자재 손익실적(2024-03)</t>
    <phoneticPr fontId="1" type="noConversion"/>
  </si>
  <si>
    <t xml:space="preserve">  - 대손 16억 : 개별 10억(선원건설 7.9억, 송학건설 1억, 계원토건 1.2억) + 집합 9억</t>
    <phoneticPr fontId="1" type="noConversion"/>
  </si>
  <si>
    <t xml:space="preserve">                     태영건설 3억 환입</t>
    <phoneticPr fontId="1" type="noConversion"/>
  </si>
  <si>
    <t>2024년 4월 마감 손익</t>
    <phoneticPr fontId="1" type="noConversion"/>
  </si>
  <si>
    <t>4월</t>
  </si>
  <si>
    <t>4월 누계</t>
  </si>
  <si>
    <t>□ 건재사업본부 손익실적(2024-04)</t>
    <phoneticPr fontId="1" type="noConversion"/>
  </si>
  <si>
    <t>4월 주요지표</t>
    <phoneticPr fontId="1" type="noConversion"/>
  </si>
  <si>
    <t>□ 사업장별 손익실적(2024-04)</t>
  </si>
  <si>
    <t>□ 레미콘 원재료 원단위(2024-04)</t>
  </si>
  <si>
    <t>□ 2024년 레미콘 원재료단가(2024-04)</t>
  </si>
  <si>
    <t>□ 레미콘 단위당 공헌이익(2024-04)</t>
  </si>
  <si>
    <t>□ 레미콘 영업이익 차이분석(2024-04)</t>
  </si>
  <si>
    <t>□ 사업장별 손익실적(2024-04누계)</t>
  </si>
  <si>
    <t>4월누계</t>
    <phoneticPr fontId="1" type="noConversion"/>
  </si>
  <si>
    <t>4월</t>
    <phoneticPr fontId="1" type="noConversion"/>
  </si>
  <si>
    <t>□ 2024년 골재사업소 손익(2024-04)</t>
  </si>
  <si>
    <t>□ 2024년 골재사업소 손익(2024-04누계)</t>
  </si>
  <si>
    <t>□ 건재부문 실적(4월)</t>
    <phoneticPr fontId="1" type="noConversion"/>
  </si>
  <si>
    <t xml:space="preserve">  * 4월누계 기타차이 : 대손 16억</t>
    <phoneticPr fontId="1" type="noConversion"/>
  </si>
  <si>
    <t>부산모래장</t>
  </si>
  <si>
    <t>서부산CR</t>
  </si>
  <si>
    <t>부산CR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</si>
</sst>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45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3" fontId="0" fillId="0" borderId="0" xfId="0" applyNumberFormat="1" applyFont="1">
      <alignment vertical="center"/>
    </xf>
    <xf numFmtId="178" fontId="6" fillId="4" borderId="1" xfId="0" applyNumberFormat="1" applyFont="1" applyFill="1" applyBorder="1" applyAlignment="1">
      <alignment vertical="center"/>
    </xf>
    <xf numFmtId="178" fontId="6" fillId="9" borderId="0" xfId="0" applyNumberFormat="1" applyFont="1" applyFill="1" applyBorder="1" applyAlignment="1">
      <alignment horizontal="left"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  <xf numFmtId="14" fontId="0" fillId="0" borderId="0" xfId="0" applyNumberFormat="1" applyFont="1">
      <alignment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건자재!$V$37:$AH$37</c:f>
              <c:strCache>
                <c:ptCount val="1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  <c:pt idx="3">
                  <c:v>7월</c:v>
                </c:pt>
                <c:pt idx="4">
                  <c:v>8월</c:v>
                </c:pt>
                <c:pt idx="5">
                  <c:v>9월</c:v>
                </c:pt>
                <c:pt idx="6">
                  <c:v>10월</c:v>
                </c:pt>
                <c:pt idx="7">
                  <c:v>11월</c:v>
                </c:pt>
                <c:pt idx="8">
                  <c:v>12월</c:v>
                </c:pt>
                <c:pt idx="9">
                  <c:v>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</c:strCache>
            </c:strRef>
          </c:cat>
          <c:val>
            <c:numRef>
              <c:f>건자재!$V$38:$AH$38</c:f>
              <c:numCache>
                <c:formatCode>#,##0_);[Red]\(#,##0\)</c:formatCode>
                <c:ptCount val="13"/>
                <c:pt idx="0">
                  <c:v>1048311.1321207784</c:v>
                </c:pt>
                <c:pt idx="1">
                  <c:v>1064717.6492676102</c:v>
                </c:pt>
                <c:pt idx="2">
                  <c:v>1043902.0889611768</c:v>
                </c:pt>
                <c:pt idx="3">
                  <c:v>1025254.3120930659</c:v>
                </c:pt>
                <c:pt idx="4">
                  <c:v>957693.63511625899</c:v>
                </c:pt>
                <c:pt idx="5">
                  <c:v>1007624.1816933632</c:v>
                </c:pt>
                <c:pt idx="6">
                  <c:v>964243.14311560732</c:v>
                </c:pt>
                <c:pt idx="7">
                  <c:v>985246.58044154115</c:v>
                </c:pt>
                <c:pt idx="8">
                  <c:v>951341.4287927025</c:v>
                </c:pt>
                <c:pt idx="9">
                  <c:v>920730.85338998202</c:v>
                </c:pt>
                <c:pt idx="10">
                  <c:v>886130.8859870329</c:v>
                </c:pt>
                <c:pt idx="11">
                  <c:v>873530.5235919673</c:v>
                </c:pt>
                <c:pt idx="12">
                  <c:v>853042.90795678552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건자재!$V$37:$AH$37</c:f>
              <c:strCache>
                <c:ptCount val="1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  <c:pt idx="3">
                  <c:v>7월</c:v>
                </c:pt>
                <c:pt idx="4">
                  <c:v>8월</c:v>
                </c:pt>
                <c:pt idx="5">
                  <c:v>9월</c:v>
                </c:pt>
                <c:pt idx="6">
                  <c:v>10월</c:v>
                </c:pt>
                <c:pt idx="7">
                  <c:v>11월</c:v>
                </c:pt>
                <c:pt idx="8">
                  <c:v>12월</c:v>
                </c:pt>
                <c:pt idx="9">
                  <c:v>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</c:strCache>
            </c:strRef>
          </c:cat>
          <c:val>
            <c:numRef>
              <c:f>건자재!$V$39:$AH$39</c:f>
              <c:numCache>
                <c:formatCode>0.0%</c:formatCode>
                <c:ptCount val="13"/>
                <c:pt idx="0">
                  <c:v>2.0783119934692784E-2</c:v>
                </c:pt>
                <c:pt idx="1">
                  <c:v>1.8530156032889104E-2</c:v>
                </c:pt>
                <c:pt idx="2">
                  <c:v>2.338088905753952E-2</c:v>
                </c:pt>
                <c:pt idx="3">
                  <c:v>2.4066421287530761E-2</c:v>
                </c:pt>
                <c:pt idx="4">
                  <c:v>2.751551238666371E-2</c:v>
                </c:pt>
                <c:pt idx="5">
                  <c:v>1.6738202604907604E-2</c:v>
                </c:pt>
                <c:pt idx="6">
                  <c:v>1.8118540365804674E-2</c:v>
                </c:pt>
                <c:pt idx="7">
                  <c:v>1.7419708473984639E-2</c:v>
                </c:pt>
                <c:pt idx="8">
                  <c:v>2.0746012557623313E-2</c:v>
                </c:pt>
                <c:pt idx="9">
                  <c:v>1.9263299607757241E-2</c:v>
                </c:pt>
                <c:pt idx="10">
                  <c:v>2.0328430506478493E-2</c:v>
                </c:pt>
                <c:pt idx="11">
                  <c:v>1.815970186077798E-2</c:v>
                </c:pt>
                <c:pt idx="12">
                  <c:v>2.0783119934692784E-2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394607</xdr:colOff>
      <xdr:row>27</xdr:row>
      <xdr:rowOff>299358</xdr:rowOff>
    </xdr:from>
    <xdr:to>
      <xdr:col>14</xdr:col>
      <xdr:colOff>830036</xdr:colOff>
      <xdr:row>33</xdr:row>
      <xdr:rowOff>317500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3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4/01_&#47112;&#48120;&#53080;/&#47112;&#48120;&#53080;&#50896;&#44032;&#49552;&#51061;(2024-04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4/01_&#47112;&#48120;&#53080;/&#47112;&#48120;&#53080;&#50896;&#44032;&#49552;&#51061;(2024-04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4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4/03_&#44264;&#51116;/&#44264;&#51116;&#50896;&#44032;&#49552;&#51061;(2024-04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4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4/01_&#47112;&#48120;&#53080;/&#47112;&#48120;&#53080;&#50896;&#44032;&#49552;&#51061;(2024-04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4/01_&#47112;&#48120;&#53080;/&#47112;&#48120;&#53080;&#50896;&#44032;&#49552;&#51061;(2024-04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4/03_&#44264;&#51116;/&#44264;&#51116;&#49892;&#51201;(2024-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7">
          <cell r="Z7">
            <v>241000</v>
          </cell>
        </row>
      </sheetData>
      <sheetData sheetId="4">
        <row r="7">
          <cell r="Z7">
            <v>229000</v>
          </cell>
        </row>
      </sheetData>
      <sheetData sheetId="5">
        <row r="6">
          <cell r="D6" t="str">
            <v>구분</v>
          </cell>
        </row>
      </sheetData>
      <sheetData sheetId="6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44000</v>
          </cell>
          <cell r="G7">
            <v>35000</v>
          </cell>
          <cell r="H7">
            <v>27000</v>
          </cell>
          <cell r="I7">
            <v>16500</v>
          </cell>
          <cell r="J7">
            <v>20000</v>
          </cell>
          <cell r="K7">
            <v>26000</v>
          </cell>
          <cell r="L7">
            <v>12000</v>
          </cell>
          <cell r="M7">
            <v>18000</v>
          </cell>
          <cell r="N7">
            <v>11000</v>
          </cell>
          <cell r="O7">
            <v>18000</v>
          </cell>
          <cell r="P7">
            <v>16500</v>
          </cell>
          <cell r="Q7">
            <v>8000</v>
          </cell>
          <cell r="R7">
            <v>25000</v>
          </cell>
          <cell r="S7">
            <v>12000</v>
          </cell>
          <cell r="T7">
            <v>7500</v>
          </cell>
          <cell r="U7">
            <v>6000</v>
          </cell>
          <cell r="V7">
            <v>6000</v>
          </cell>
          <cell r="W7">
            <v>0</v>
          </cell>
          <cell r="X7">
            <v>0</v>
          </cell>
          <cell r="Y7">
            <v>0</v>
          </cell>
          <cell r="Z7">
            <v>308500</v>
          </cell>
          <cell r="AA7">
            <v>7300</v>
          </cell>
          <cell r="AB7">
            <v>0</v>
          </cell>
          <cell r="AC7">
            <v>41833.975250037794</v>
          </cell>
          <cell r="AD7">
            <v>17196.307872616711</v>
          </cell>
          <cell r="AE7">
            <v>59030.283122654509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41860841.306465246</v>
          </cell>
          <cell r="F8">
            <v>4438375.3500000006</v>
          </cell>
          <cell r="G8">
            <v>3585550.4299999997</v>
          </cell>
          <cell r="H8">
            <v>2690006.6318998877</v>
          </cell>
          <cell r="I8">
            <v>1580276.5</v>
          </cell>
          <cell r="J8">
            <v>2152002.31</v>
          </cell>
          <cell r="K8">
            <v>2694403.54</v>
          </cell>
          <cell r="L8">
            <v>1212002.3999999999</v>
          </cell>
          <cell r="M8">
            <v>1872000</v>
          </cell>
          <cell r="N8">
            <v>1063869.4700000002</v>
          </cell>
          <cell r="O8">
            <v>1793003.5</v>
          </cell>
          <cell r="P8">
            <v>1613700</v>
          </cell>
          <cell r="Q8">
            <v>784045.4</v>
          </cell>
          <cell r="R8">
            <v>2525003.7999999998</v>
          </cell>
          <cell r="S8">
            <v>1244685.24</v>
          </cell>
          <cell r="T8">
            <v>820367.33400000003</v>
          </cell>
          <cell r="U8">
            <v>647400</v>
          </cell>
          <cell r="V8">
            <v>760200</v>
          </cell>
          <cell r="W8">
            <v>0</v>
          </cell>
          <cell r="X8">
            <v>0</v>
          </cell>
          <cell r="Y8">
            <v>0</v>
          </cell>
          <cell r="Z8">
            <v>31476891.905899882</v>
          </cell>
          <cell r="AA8">
            <v>8929315.7894736845</v>
          </cell>
          <cell r="AB8">
            <v>0</v>
          </cell>
          <cell r="AC8">
            <v>750636.99937211617</v>
          </cell>
          <cell r="AD8">
            <v>539089.11138622963</v>
          </cell>
          <cell r="AE8">
            <v>1289726.1107583458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100872.16704545457</v>
          </cell>
          <cell r="G9">
            <v>102444.298</v>
          </cell>
          <cell r="H9">
            <v>99629.875255551393</v>
          </cell>
          <cell r="I9">
            <v>95774.333333333328</v>
          </cell>
          <cell r="J9">
            <v>107600.1155</v>
          </cell>
          <cell r="K9">
            <v>103630.90538461538</v>
          </cell>
          <cell r="L9">
            <v>101000.2</v>
          </cell>
          <cell r="M9">
            <v>104000</v>
          </cell>
          <cell r="N9">
            <v>96715.406363636372</v>
          </cell>
          <cell r="O9">
            <v>99611.305555555562</v>
          </cell>
          <cell r="P9">
            <v>97800</v>
          </cell>
          <cell r="Q9">
            <v>98005.675000000003</v>
          </cell>
          <cell r="R9">
            <v>101000.15199999999</v>
          </cell>
          <cell r="S9">
            <v>103723.77</v>
          </cell>
          <cell r="T9">
            <v>109382.3112</v>
          </cell>
          <cell r="U9">
            <v>107900</v>
          </cell>
          <cell r="V9">
            <v>126700</v>
          </cell>
          <cell r="W9">
            <v>0</v>
          </cell>
          <cell r="X9">
            <v>0</v>
          </cell>
          <cell r="Y9">
            <v>0</v>
          </cell>
          <cell r="Z9">
            <v>102032.06452479702</v>
          </cell>
          <cell r="AA9">
            <v>1223193.9437635185</v>
          </cell>
          <cell r="AB9">
            <v>0</v>
          </cell>
          <cell r="AC9">
            <v>17943.238596992716</v>
          </cell>
          <cell r="AD9">
            <v>31349.119554010289</v>
          </cell>
          <cell r="AE9">
            <v>21848.550312362939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35415740.535576232</v>
          </cell>
          <cell r="F10">
            <v>3658998.4679322322</v>
          </cell>
          <cell r="G10">
            <v>3025434.9288948486</v>
          </cell>
          <cell r="H10">
            <v>2227588.7976476229</v>
          </cell>
          <cell r="I10">
            <v>1276764.9919101917</v>
          </cell>
          <cell r="J10">
            <v>1752591.0950816348</v>
          </cell>
          <cell r="K10">
            <v>2148529.1532980748</v>
          </cell>
          <cell r="L10">
            <v>1006002.0310441212</v>
          </cell>
          <cell r="M10">
            <v>1529857.8955858119</v>
          </cell>
          <cell r="N10">
            <v>862435.26295055309</v>
          </cell>
          <cell r="O10">
            <v>1409697.4840214073</v>
          </cell>
          <cell r="P10">
            <v>1277151.3894704594</v>
          </cell>
          <cell r="Q10">
            <v>714344.8620797809</v>
          </cell>
          <cell r="R10">
            <v>2039405.4301124783</v>
          </cell>
          <cell r="S10">
            <v>989610.6239176318</v>
          </cell>
          <cell r="T10">
            <v>574465.85094813281</v>
          </cell>
          <cell r="U10">
            <v>512713.98433888872</v>
          </cell>
          <cell r="V10">
            <v>608644.51811576961</v>
          </cell>
          <cell r="W10">
            <v>0</v>
          </cell>
          <cell r="X10">
            <v>0</v>
          </cell>
          <cell r="Y10">
            <v>0</v>
          </cell>
          <cell r="Z10">
            <v>25614236.767349638</v>
          </cell>
          <cell r="AA10">
            <v>8700442.2863157876</v>
          </cell>
          <cell r="AB10">
            <v>0</v>
          </cell>
          <cell r="AC10">
            <v>606594.20675026462</v>
          </cell>
          <cell r="AD10">
            <v>456272.91116054065</v>
          </cell>
          <cell r="AE10">
            <v>1062867.1179108052</v>
          </cell>
          <cell r="AF10">
            <v>137.01400000000001</v>
          </cell>
          <cell r="AG10">
            <v>755.50800000000004</v>
          </cell>
          <cell r="AH10">
            <v>444.46899999999999</v>
          </cell>
          <cell r="AI10">
            <v>264.589</v>
          </cell>
          <cell r="AJ10">
            <v>184.95400000000001</v>
          </cell>
          <cell r="AK10">
            <v>0</v>
          </cell>
          <cell r="AL10">
            <v>1786.5339999999999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</row>
        <row r="11">
          <cell r="D11" t="str">
            <v xml:space="preserve"> - 단  위  당</v>
          </cell>
          <cell r="F11">
            <v>83159.056089368911</v>
          </cell>
          <cell r="G11">
            <v>86440.997968424243</v>
          </cell>
          <cell r="H11">
            <v>82503.288801763818</v>
          </cell>
          <cell r="I11">
            <v>77379.696479405553</v>
          </cell>
          <cell r="J11">
            <v>87629.554754081735</v>
          </cell>
          <cell r="K11">
            <v>82635.736665310571</v>
          </cell>
          <cell r="L11">
            <v>83833.502587010109</v>
          </cell>
          <cell r="M11">
            <v>84992.105310322891</v>
          </cell>
          <cell r="N11">
            <v>78403.205722777551</v>
          </cell>
          <cell r="O11">
            <v>78316.526890078181</v>
          </cell>
          <cell r="P11">
            <v>77403.114513361172</v>
          </cell>
          <cell r="Q11">
            <v>89293.107759972612</v>
          </cell>
          <cell r="R11">
            <v>81576.217204499131</v>
          </cell>
          <cell r="S11">
            <v>82467.551993135989</v>
          </cell>
          <cell r="T11">
            <v>76595.446793084382</v>
          </cell>
          <cell r="U11">
            <v>85452.330723148116</v>
          </cell>
          <cell r="V11">
            <v>101440.75301929493</v>
          </cell>
          <cell r="W11">
            <v>0</v>
          </cell>
          <cell r="X11">
            <v>0</v>
          </cell>
          <cell r="Y11">
            <v>0</v>
          </cell>
          <cell r="Z11">
            <v>83028.320153483437</v>
          </cell>
          <cell r="AA11">
            <v>1191841.4090843543</v>
          </cell>
          <cell r="AB11">
            <v>0</v>
          </cell>
          <cell r="AC11">
            <v>14500.037424717762</v>
          </cell>
          <cell r="AD11">
            <v>26533.190411594493</v>
          </cell>
          <cell r="AE11">
            <v>18005.455194960778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6445100.770889014</v>
          </cell>
          <cell r="F12">
            <v>779376.88206776837</v>
          </cell>
          <cell r="G12">
            <v>560115.50110515114</v>
          </cell>
          <cell r="H12">
            <v>462417.83425226482</v>
          </cell>
          <cell r="I12">
            <v>303511.50808980828</v>
          </cell>
          <cell r="J12">
            <v>399411.21491836524</v>
          </cell>
          <cell r="K12">
            <v>545874.38670192519</v>
          </cell>
          <cell r="L12">
            <v>206000.36895587866</v>
          </cell>
          <cell r="M12">
            <v>342142.10441418807</v>
          </cell>
          <cell r="N12">
            <v>201434.20704944711</v>
          </cell>
          <cell r="O12">
            <v>383306.01597859268</v>
          </cell>
          <cell r="P12">
            <v>336548.61052954057</v>
          </cell>
          <cell r="Q12">
            <v>69700.537920219125</v>
          </cell>
          <cell r="R12">
            <v>485598.36988752149</v>
          </cell>
          <cell r="S12">
            <v>255074.61608236819</v>
          </cell>
          <cell r="T12">
            <v>245901.48305186722</v>
          </cell>
          <cell r="U12">
            <v>134686.01566111128</v>
          </cell>
          <cell r="V12">
            <v>151555.48188423039</v>
          </cell>
          <cell r="W12">
            <v>0</v>
          </cell>
          <cell r="X12">
            <v>0</v>
          </cell>
          <cell r="Y12">
            <v>0</v>
          </cell>
          <cell r="Z12">
            <v>5862655.1385502443</v>
          </cell>
          <cell r="AA12">
            <v>228873.50315789692</v>
          </cell>
          <cell r="AB12">
            <v>0</v>
          </cell>
          <cell r="AC12">
            <v>144042.79262185155</v>
          </cell>
          <cell r="AD12">
            <v>82816.200225688983</v>
          </cell>
          <cell r="AE12">
            <v>226858.99284754065</v>
          </cell>
          <cell r="AF12">
            <v>12362.986000000001</v>
          </cell>
          <cell r="AG12">
            <v>49244.491999999998</v>
          </cell>
          <cell r="AH12">
            <v>27895.530999999999</v>
          </cell>
          <cell r="AI12">
            <v>66782.911333333323</v>
          </cell>
          <cell r="AJ12">
            <v>5065.0460000000003</v>
          </cell>
          <cell r="AK12">
            <v>0</v>
          </cell>
          <cell r="AL12">
            <v>161350.96633333332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</row>
        <row r="13">
          <cell r="D13" t="str">
            <v>판 관 비</v>
          </cell>
          <cell r="E13">
            <v>862579.3330000001</v>
          </cell>
          <cell r="F13">
            <v>65676.599999999991</v>
          </cell>
          <cell r="G13">
            <v>61311.44</v>
          </cell>
          <cell r="H13">
            <v>46035.41</v>
          </cell>
          <cell r="I13">
            <v>35003.03</v>
          </cell>
          <cell r="J13">
            <v>53537.16</v>
          </cell>
          <cell r="K13">
            <v>48930</v>
          </cell>
          <cell r="L13">
            <v>35087.57</v>
          </cell>
          <cell r="M13">
            <v>46069.53</v>
          </cell>
          <cell r="N13">
            <v>34626.870000000003</v>
          </cell>
          <cell r="O13">
            <v>39656.69</v>
          </cell>
          <cell r="P13">
            <v>34381.94</v>
          </cell>
          <cell r="Q13">
            <v>25905.420000000002</v>
          </cell>
          <cell r="R13">
            <v>40361.259999999995</v>
          </cell>
          <cell r="S13">
            <v>24635.47</v>
          </cell>
          <cell r="T13">
            <v>9943.1500000000015</v>
          </cell>
          <cell r="U13">
            <v>9866.630000000001</v>
          </cell>
          <cell r="V13">
            <v>14861.39</v>
          </cell>
          <cell r="W13">
            <v>0</v>
          </cell>
          <cell r="X13">
            <v>0</v>
          </cell>
          <cell r="Y13">
            <v>0</v>
          </cell>
          <cell r="Z13">
            <v>625889.56000000006</v>
          </cell>
          <cell r="AA13">
            <v>116595.95999999999</v>
          </cell>
          <cell r="AB13">
            <v>82817.489999999991</v>
          </cell>
          <cell r="AC13">
            <v>0</v>
          </cell>
          <cell r="AD13">
            <v>0</v>
          </cell>
          <cell r="AE13">
            <v>82817.489999999991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410.08199999999999</v>
          </cell>
          <cell r="AN13">
            <v>236.14099999999999</v>
          </cell>
          <cell r="AO13">
            <v>145.001</v>
          </cell>
          <cell r="AP13">
            <v>150</v>
          </cell>
          <cell r="AQ13">
            <v>9446.5290000000005</v>
          </cell>
          <cell r="AR13">
            <v>26888.569999999996</v>
          </cell>
          <cell r="AS13">
            <v>0</v>
          </cell>
          <cell r="AT13">
            <v>0</v>
          </cell>
          <cell r="AU13">
            <v>37276.322999999997</v>
          </cell>
        </row>
        <row r="14">
          <cell r="D14" t="str">
            <v xml:space="preserve"> - 노   무   비</v>
          </cell>
          <cell r="E14">
            <v>604015.99000000011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38227.43</v>
          </cell>
          <cell r="AC14">
            <v>0</v>
          </cell>
          <cell r="AD14">
            <v>0</v>
          </cell>
          <cell r="AE14">
            <v>38227.43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</row>
        <row r="15">
          <cell r="D15" t="str">
            <v xml:space="preserve"> - 경        비</v>
          </cell>
          <cell r="E15">
            <v>258563.34299999999</v>
          </cell>
          <cell r="F15">
            <v>17380.059999999998</v>
          </cell>
          <cell r="G15">
            <v>15233.51</v>
          </cell>
          <cell r="H15">
            <v>11872.37</v>
          </cell>
          <cell r="I15">
            <v>9618.5300000000007</v>
          </cell>
          <cell r="J15">
            <v>13173.16</v>
          </cell>
          <cell r="K15">
            <v>15447.169999999998</v>
          </cell>
          <cell r="L15">
            <v>9649.83</v>
          </cell>
          <cell r="M15">
            <v>13013.220000000001</v>
          </cell>
          <cell r="N15">
            <v>8428.85</v>
          </cell>
          <cell r="O15">
            <v>9555.7999999999993</v>
          </cell>
          <cell r="P15">
            <v>8863.02</v>
          </cell>
          <cell r="Q15">
            <v>7047.37</v>
          </cell>
          <cell r="R15">
            <v>11118.380000000001</v>
          </cell>
          <cell r="S15">
            <v>6674.84</v>
          </cell>
          <cell r="T15">
            <v>3202.3900000000003</v>
          </cell>
          <cell r="U15">
            <v>3885.08</v>
          </cell>
          <cell r="V15">
            <v>4307.8599999999997</v>
          </cell>
          <cell r="W15">
            <v>0</v>
          </cell>
          <cell r="X15">
            <v>0</v>
          </cell>
          <cell r="Y15">
            <v>0</v>
          </cell>
          <cell r="Z15">
            <v>168471.44</v>
          </cell>
          <cell r="AA15">
            <v>33091.49</v>
          </cell>
          <cell r="AB15">
            <v>44590.06</v>
          </cell>
          <cell r="AC15">
            <v>0</v>
          </cell>
          <cell r="AD15">
            <v>0</v>
          </cell>
          <cell r="AE15">
            <v>44590.06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410.08199999999999</v>
          </cell>
          <cell r="AN15">
            <v>236.14099999999999</v>
          </cell>
          <cell r="AO15">
            <v>145.001</v>
          </cell>
          <cell r="AP15">
            <v>150</v>
          </cell>
          <cell r="AQ15">
            <v>9446.5290000000005</v>
          </cell>
          <cell r="AR15">
            <v>2022.6</v>
          </cell>
          <cell r="AS15">
            <v>0</v>
          </cell>
          <cell r="AT15">
            <v>0</v>
          </cell>
          <cell r="AU15">
            <v>12410.353000000001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5582521.4378890134</v>
          </cell>
          <cell r="F17">
            <v>713700.28206776839</v>
          </cell>
          <cell r="G17">
            <v>498804.06110515114</v>
          </cell>
          <cell r="H17">
            <v>416382.42425226478</v>
          </cell>
          <cell r="I17">
            <v>268508.47808980825</v>
          </cell>
          <cell r="J17">
            <v>345874.0549183652</v>
          </cell>
          <cell r="K17">
            <v>496944.38670192519</v>
          </cell>
          <cell r="L17">
            <v>170912.79895587865</v>
          </cell>
          <cell r="M17">
            <v>296072.57441418804</v>
          </cell>
          <cell r="N17">
            <v>166807.33704944712</v>
          </cell>
          <cell r="O17">
            <v>343649.32597859268</v>
          </cell>
          <cell r="P17">
            <v>302166.67052954057</v>
          </cell>
          <cell r="Q17">
            <v>43795.117920219127</v>
          </cell>
          <cell r="R17">
            <v>445237.10988752148</v>
          </cell>
          <cell r="S17">
            <v>230439.14608236818</v>
          </cell>
          <cell r="T17">
            <v>235958.33305186723</v>
          </cell>
          <cell r="U17">
            <v>124819.38566111127</v>
          </cell>
          <cell r="V17">
            <v>136694.09188423038</v>
          </cell>
          <cell r="W17">
            <v>0</v>
          </cell>
          <cell r="X17">
            <v>0</v>
          </cell>
          <cell r="Y17">
            <v>0</v>
          </cell>
          <cell r="Z17">
            <v>5236765.5785502438</v>
          </cell>
          <cell r="AA17">
            <v>112277.54315789693</v>
          </cell>
          <cell r="AB17">
            <v>-82817.489999999991</v>
          </cell>
          <cell r="AC17">
            <v>144042.79262185155</v>
          </cell>
          <cell r="AD17">
            <v>82816.200225688983</v>
          </cell>
          <cell r="AE17">
            <v>144041.50284754066</v>
          </cell>
          <cell r="AF17">
            <v>12362.986000000001</v>
          </cell>
          <cell r="AG17">
            <v>49244.491999999998</v>
          </cell>
          <cell r="AH17">
            <v>27895.530999999999</v>
          </cell>
          <cell r="AI17">
            <v>66782.911333333323</v>
          </cell>
          <cell r="AJ17">
            <v>5065.0460000000003</v>
          </cell>
          <cell r="AK17">
            <v>0</v>
          </cell>
          <cell r="AL17">
            <v>161350.96633333332</v>
          </cell>
          <cell r="AM17">
            <v>-410.08199999999999</v>
          </cell>
          <cell r="AN17">
            <v>-236.14099999999999</v>
          </cell>
          <cell r="AO17">
            <v>-145.001</v>
          </cell>
          <cell r="AP17">
            <v>-150</v>
          </cell>
          <cell r="AQ17">
            <v>-9446.5290000000005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-71914.152999999991</v>
          </cell>
        </row>
        <row r="18">
          <cell r="D18" t="str">
            <v>감가상각비</v>
          </cell>
          <cell r="E18">
            <v>548269.90566750558</v>
          </cell>
          <cell r="F18">
            <v>29991.771777777776</v>
          </cell>
          <cell r="G18">
            <v>34252.868350577788</v>
          </cell>
          <cell r="H18">
            <v>19365.797555555557</v>
          </cell>
          <cell r="I18">
            <v>19199.545555555553</v>
          </cell>
          <cell r="J18">
            <v>47248.159333333337</v>
          </cell>
          <cell r="K18">
            <v>26997.944555555558</v>
          </cell>
          <cell r="L18">
            <v>13037.444888888889</v>
          </cell>
          <cell r="M18">
            <v>24416.41333333333</v>
          </cell>
          <cell r="N18">
            <v>11475.898111111112</v>
          </cell>
          <cell r="O18">
            <v>32560.991888888886</v>
          </cell>
          <cell r="P18">
            <v>14759.142141342974</v>
          </cell>
          <cell r="Q18">
            <v>12467.427666666666</v>
          </cell>
          <cell r="R18">
            <v>34063.269</v>
          </cell>
          <cell r="S18">
            <v>23400.329333333335</v>
          </cell>
          <cell r="T18">
            <v>10246.369555555555</v>
          </cell>
          <cell r="U18">
            <v>5428.9927777777775</v>
          </cell>
          <cell r="V18">
            <v>10054.094953347427</v>
          </cell>
          <cell r="W18">
            <v>0</v>
          </cell>
          <cell r="X18">
            <v>0</v>
          </cell>
          <cell r="Y18">
            <v>0</v>
          </cell>
          <cell r="Z18">
            <v>368966.46077860147</v>
          </cell>
          <cell r="AA18">
            <v>4908.0999999999995</v>
          </cell>
          <cell r="AB18">
            <v>12255.822555555556</v>
          </cell>
          <cell r="AC18">
            <v>56856.659666666674</v>
          </cell>
          <cell r="AD18">
            <v>35106.999222222214</v>
          </cell>
          <cell r="AE18">
            <v>104219.48144444445</v>
          </cell>
          <cell r="AF18">
            <v>3388.672</v>
          </cell>
          <cell r="AG18">
            <v>5622.5950000000003</v>
          </cell>
          <cell r="AH18">
            <v>8281.2160000000003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27094.983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18257.885000000002</v>
          </cell>
          <cell r="AR18">
            <v>0</v>
          </cell>
          <cell r="AS18">
            <v>0</v>
          </cell>
          <cell r="AT18">
            <v>17755.408000000003</v>
          </cell>
          <cell r="AU18">
            <v>43080.880444459646</v>
          </cell>
        </row>
        <row r="19">
          <cell r="D19" t="str">
            <v xml:space="preserve"> - 제        조</v>
          </cell>
          <cell r="E19">
            <v>462658.10266749037</v>
          </cell>
          <cell r="F19">
            <v>27664.149777777777</v>
          </cell>
          <cell r="G19">
            <v>31642.98635057779</v>
          </cell>
          <cell r="H19">
            <v>17300.203555555556</v>
          </cell>
          <cell r="I19">
            <v>18007.557555555552</v>
          </cell>
          <cell r="J19">
            <v>44145.857333333333</v>
          </cell>
          <cell r="K19">
            <v>25433.542555555559</v>
          </cell>
          <cell r="L19">
            <v>11843.845888888889</v>
          </cell>
          <cell r="M19">
            <v>22558.761333333332</v>
          </cell>
          <cell r="N19">
            <v>9988.6461111111112</v>
          </cell>
          <cell r="O19">
            <v>31342.225888888886</v>
          </cell>
          <cell r="P19">
            <v>13553.754141342974</v>
          </cell>
          <cell r="Q19">
            <v>11365.272666666666</v>
          </cell>
          <cell r="R19">
            <v>32475.067999999999</v>
          </cell>
          <cell r="S19">
            <v>22557.171333333335</v>
          </cell>
          <cell r="T19">
            <v>9803.5005555555545</v>
          </cell>
          <cell r="U19">
            <v>5058.5927777777779</v>
          </cell>
          <cell r="V19">
            <v>9228.724953347426</v>
          </cell>
          <cell r="W19">
            <v>0</v>
          </cell>
          <cell r="X19">
            <v>0</v>
          </cell>
          <cell r="Y19">
            <v>0</v>
          </cell>
          <cell r="Z19">
            <v>343969.86077860149</v>
          </cell>
          <cell r="AA19">
            <v>0</v>
          </cell>
          <cell r="AB19">
            <v>0</v>
          </cell>
          <cell r="AC19">
            <v>56856.659666666674</v>
          </cell>
          <cell r="AD19">
            <v>34736.599222222212</v>
          </cell>
          <cell r="AE19">
            <v>91593.258888888886</v>
          </cell>
          <cell r="AF19">
            <v>3388.672</v>
          </cell>
          <cell r="AG19">
            <v>5622.5950000000003</v>
          </cell>
          <cell r="AH19">
            <v>8281.2160000000003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27094.983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85611.803000015207</v>
          </cell>
          <cell r="F20">
            <v>2327.6220000000003</v>
          </cell>
          <cell r="G20">
            <v>2609.8820000000001</v>
          </cell>
          <cell r="H20">
            <v>2065.5940000000001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24996.6</v>
          </cell>
          <cell r="AA20">
            <v>4908.0999999999995</v>
          </cell>
          <cell r="AB20">
            <v>12255.822555555556</v>
          </cell>
          <cell r="AC20">
            <v>0</v>
          </cell>
          <cell r="AD20">
            <v>370.4</v>
          </cell>
          <cell r="AE20">
            <v>12626.222555555556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18257.885000000002</v>
          </cell>
          <cell r="AR20">
            <v>0</v>
          </cell>
          <cell r="AS20">
            <v>0</v>
          </cell>
          <cell r="AT20">
            <v>17755.408000000003</v>
          </cell>
          <cell r="AU20">
            <v>43080.880444459646</v>
          </cell>
        </row>
        <row r="21">
          <cell r="D21" t="str">
            <v>영업이익 I</v>
          </cell>
          <cell r="E21">
            <v>5034251.5322215082</v>
          </cell>
          <cell r="F21">
            <v>683708.51028999058</v>
          </cell>
          <cell r="G21">
            <v>464551.19275457336</v>
          </cell>
          <cell r="H21">
            <v>397016.62669670925</v>
          </cell>
          <cell r="I21">
            <v>249308.9325342527</v>
          </cell>
          <cell r="J21">
            <v>298625.89558503189</v>
          </cell>
          <cell r="K21">
            <v>469946.44214636961</v>
          </cell>
          <cell r="L21">
            <v>157875.35406698976</v>
          </cell>
          <cell r="M21">
            <v>271656.16108085471</v>
          </cell>
          <cell r="N21">
            <v>155331.43893833601</v>
          </cell>
          <cell r="O21">
            <v>311088.3340897038</v>
          </cell>
          <cell r="P21">
            <v>287407.52838819759</v>
          </cell>
          <cell r="Q21">
            <v>31327.69025355246</v>
          </cell>
          <cell r="R21">
            <v>411173.84088752151</v>
          </cell>
          <cell r="S21">
            <v>207038.81674903486</v>
          </cell>
          <cell r="T21">
            <v>225711.96349631168</v>
          </cell>
          <cell r="U21">
            <v>119390.39288333349</v>
          </cell>
          <cell r="V21">
            <v>126639.99693088295</v>
          </cell>
          <cell r="W21">
            <v>0</v>
          </cell>
          <cell r="X21">
            <v>0</v>
          </cell>
          <cell r="Y21">
            <v>0</v>
          </cell>
          <cell r="Z21">
            <v>4867799.1177716423</v>
          </cell>
          <cell r="AA21">
            <v>107369.44315789692</v>
          </cell>
          <cell r="AB21">
            <v>-95073.312555555545</v>
          </cell>
          <cell r="AC21">
            <v>87186.132955184876</v>
          </cell>
          <cell r="AD21">
            <v>47709.201003466769</v>
          </cell>
          <cell r="AE21">
            <v>39822.021403096209</v>
          </cell>
          <cell r="AF21">
            <v>8974.3140000000003</v>
          </cell>
          <cell r="AG21">
            <v>43621.896999999997</v>
          </cell>
          <cell r="AH21">
            <v>19614.314999999999</v>
          </cell>
          <cell r="AI21">
            <v>58293.303333333322</v>
          </cell>
          <cell r="AJ21">
            <v>3752.1540000000005</v>
          </cell>
          <cell r="AK21">
            <v>0</v>
          </cell>
          <cell r="AL21">
            <v>134255.98333333331</v>
          </cell>
          <cell r="AM21">
            <v>-5635.3704444596397</v>
          </cell>
          <cell r="AN21">
            <v>-1292.5980000000002</v>
          </cell>
          <cell r="AO21">
            <v>-498.673</v>
          </cell>
          <cell r="AP21">
            <v>-582.17000000000007</v>
          </cell>
          <cell r="AQ21">
            <v>-27704.414000000004</v>
          </cell>
          <cell r="AR21">
            <v>-63296.399999999994</v>
          </cell>
          <cell r="AS21">
            <v>0</v>
          </cell>
          <cell r="AT21">
            <v>-15985.408000000003</v>
          </cell>
          <cell r="AU21">
            <v>-114995.03344445964</v>
          </cell>
        </row>
        <row r="22">
          <cell r="D22" t="str">
            <v>공    통    비</v>
          </cell>
          <cell r="E22">
            <v>1578257.6471925727</v>
          </cell>
          <cell r="F22">
            <v>218678.43231317238</v>
          </cell>
          <cell r="G22">
            <v>176659.81021912012</v>
          </cell>
          <cell r="H22">
            <v>132536.43209241063</v>
          </cell>
          <cell r="I22">
            <v>77860.108798897971</v>
          </cell>
          <cell r="J22">
            <v>106250.40329981571</v>
          </cell>
          <cell r="K22">
            <v>133030.27670888099</v>
          </cell>
          <cell r="L22">
            <v>59839.965413580125</v>
          </cell>
          <cell r="M22">
            <v>92425.902171663998</v>
          </cell>
          <cell r="N22">
            <v>52526.226259423107</v>
          </cell>
          <cell r="O22">
            <v>88525.622908360674</v>
          </cell>
          <cell r="P22">
            <v>79672.905093169989</v>
          </cell>
          <cell r="Q22">
            <v>38710.525341102126</v>
          </cell>
          <cell r="R22">
            <v>120597.80971576049</v>
          </cell>
          <cell r="S22">
            <v>59447.955575170105</v>
          </cell>
          <cell r="T22">
            <v>39181.922673842215</v>
          </cell>
          <cell r="U22">
            <v>30920.754261828577</v>
          </cell>
          <cell r="V22">
            <v>36308.244346373322</v>
          </cell>
          <cell r="W22">
            <v>0</v>
          </cell>
          <cell r="X22">
            <v>0</v>
          </cell>
          <cell r="Y22">
            <v>0</v>
          </cell>
          <cell r="Z22">
            <v>1543173.2971925726</v>
          </cell>
          <cell r="AA22">
            <v>0</v>
          </cell>
          <cell r="AB22">
            <v>0</v>
          </cell>
          <cell r="AC22">
            <v>20419.537907498845</v>
          </cell>
          <cell r="AD22">
            <v>14664.812092501146</v>
          </cell>
          <cell r="AE22">
            <v>35084.349999999991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256420.2433333334</v>
          </cell>
          <cell r="F23">
            <v>32293.748350865593</v>
          </cell>
          <cell r="G23">
            <v>26088.56938739034</v>
          </cell>
          <cell r="H23">
            <v>19572.566622319246</v>
          </cell>
          <cell r="I23">
            <v>11498.137852578566</v>
          </cell>
          <cell r="J23">
            <v>15879.436717301647</v>
          </cell>
          <cell r="K23">
            <v>19881.767926310236</v>
          </cell>
          <cell r="L23">
            <v>8943.2596436282238</v>
          </cell>
          <cell r="M23">
            <v>13813.324175655127</v>
          </cell>
          <cell r="N23">
            <v>7850.1997167160316</v>
          </cell>
          <cell r="O23">
            <v>13230.415915376207</v>
          </cell>
          <cell r="P23">
            <v>11907.351080264252</v>
          </cell>
          <cell r="Q23">
            <v>5785.402392431195</v>
          </cell>
          <cell r="R23">
            <v>14563.056421038922</v>
          </cell>
          <cell r="S23">
            <v>7178.7699394964757</v>
          </cell>
          <cell r="T23">
            <v>4731.5001153737994</v>
          </cell>
          <cell r="U23">
            <v>3733.9043715421726</v>
          </cell>
          <cell r="V23">
            <v>4384.4827050453505</v>
          </cell>
          <cell r="W23">
            <v>0</v>
          </cell>
          <cell r="X23">
            <v>0</v>
          </cell>
          <cell r="Y23">
            <v>0</v>
          </cell>
          <cell r="Z23">
            <v>221335.89333333343</v>
          </cell>
          <cell r="AA23">
            <v>0</v>
          </cell>
          <cell r="AB23">
            <v>0</v>
          </cell>
          <cell r="AC23">
            <v>20419.537907498845</v>
          </cell>
          <cell r="AD23">
            <v>14664.812092501146</v>
          </cell>
          <cell r="AE23">
            <v>35084.349999999991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366616.78877777781</v>
          </cell>
          <cell r="F24">
            <v>51694.523178206618</v>
          </cell>
          <cell r="G24">
            <v>41761.52425014339</v>
          </cell>
          <cell r="H24">
            <v>31330.971181217974</v>
          </cell>
          <cell r="I24">
            <v>18405.752942284438</v>
          </cell>
          <cell r="J24">
            <v>25064.742055637358</v>
          </cell>
          <cell r="K24">
            <v>31382.182728184976</v>
          </cell>
          <cell r="L24">
            <v>14116.400984166883</v>
          </cell>
          <cell r="M24">
            <v>21803.506859689722</v>
          </cell>
          <cell r="N24">
            <v>12391.071200298864</v>
          </cell>
          <cell r="O24">
            <v>20883.420999838505</v>
          </cell>
          <cell r="P24">
            <v>18795.042211261381</v>
          </cell>
          <cell r="Q24">
            <v>9131.9119963718877</v>
          </cell>
          <cell r="R24">
            <v>29409.154740407375</v>
          </cell>
          <cell r="S24">
            <v>14497.063658383839</v>
          </cell>
          <cell r="T24">
            <v>9554.9598260333169</v>
          </cell>
          <cell r="U24">
            <v>7540.3794556426947</v>
          </cell>
          <cell r="V24">
            <v>8854.1805100086149</v>
          </cell>
          <cell r="W24">
            <v>0</v>
          </cell>
          <cell r="X24">
            <v>0</v>
          </cell>
          <cell r="Y24">
            <v>0</v>
          </cell>
          <cell r="Z24">
            <v>366616.78877777781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955220.6150814615</v>
          </cell>
          <cell r="F25">
            <v>134690.16078410015</v>
          </cell>
          <cell r="G25">
            <v>108809.7165815864</v>
          </cell>
          <cell r="H25">
            <v>81632.894288873416</v>
          </cell>
          <cell r="I25">
            <v>47956.21800403497</v>
          </cell>
          <cell r="J25">
            <v>65306.2245268767</v>
          </cell>
          <cell r="K25">
            <v>81766.326054385776</v>
          </cell>
          <cell r="L25">
            <v>36780.304785785018</v>
          </cell>
          <cell r="M25">
            <v>56809.071136319159</v>
          </cell>
          <cell r="N25">
            <v>32284.955342408211</v>
          </cell>
          <cell r="O25">
            <v>54411.785993145961</v>
          </cell>
          <cell r="P25">
            <v>48970.511801644352</v>
          </cell>
          <cell r="Q25">
            <v>23793.210952299047</v>
          </cell>
          <cell r="R25">
            <v>76625.598554314201</v>
          </cell>
          <cell r="S25">
            <v>37772.121977289789</v>
          </cell>
          <cell r="T25">
            <v>24895.462732435099</v>
          </cell>
          <cell r="U25">
            <v>19646.47043464371</v>
          </cell>
          <cell r="V25">
            <v>23069.581131319352</v>
          </cell>
          <cell r="W25">
            <v>0</v>
          </cell>
          <cell r="X25">
            <v>0</v>
          </cell>
          <cell r="Y25">
            <v>0</v>
          </cell>
          <cell r="Z25">
            <v>955220.6150814615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3455993.8850289355</v>
          </cell>
          <cell r="F26">
            <v>465030.0779768182</v>
          </cell>
          <cell r="G26">
            <v>287891.38253545325</v>
          </cell>
          <cell r="H26">
            <v>264480.19460429862</v>
          </cell>
          <cell r="I26">
            <v>171448.82373535473</v>
          </cell>
          <cell r="J26">
            <v>192375.49228521617</v>
          </cell>
          <cell r="K26">
            <v>336916.16543748858</v>
          </cell>
          <cell r="L26">
            <v>98035.388653409638</v>
          </cell>
          <cell r="M26">
            <v>179230.25890919071</v>
          </cell>
          <cell r="N26">
            <v>102805.21267891291</v>
          </cell>
          <cell r="O26">
            <v>222562.71118134313</v>
          </cell>
          <cell r="P26">
            <v>207734.62329502759</v>
          </cell>
          <cell r="Q26">
            <v>-7382.8350875496653</v>
          </cell>
          <cell r="R26">
            <v>290576.03117176099</v>
          </cell>
          <cell r="S26">
            <v>147590.86117386475</v>
          </cell>
          <cell r="T26">
            <v>186530.04082246945</v>
          </cell>
          <cell r="U26">
            <v>88469.638621504913</v>
          </cell>
          <cell r="V26">
            <v>90331.752584509624</v>
          </cell>
          <cell r="W26">
            <v>0</v>
          </cell>
          <cell r="X26">
            <v>0</v>
          </cell>
          <cell r="Y26">
            <v>0</v>
          </cell>
          <cell r="Z26">
            <v>3324625.8205790697</v>
          </cell>
          <cell r="AA26">
            <v>107369.44315789692</v>
          </cell>
          <cell r="AB26">
            <v>-95073.312555555545</v>
          </cell>
          <cell r="AC26">
            <v>66766.595047686031</v>
          </cell>
          <cell r="AD26">
            <v>33044.388910965623</v>
          </cell>
          <cell r="AE26">
            <v>4737.6714030962175</v>
          </cell>
          <cell r="AF26">
            <v>8974.3140000000003</v>
          </cell>
          <cell r="AG26">
            <v>43621.896999999997</v>
          </cell>
          <cell r="AH26">
            <v>19614.314999999999</v>
          </cell>
          <cell r="AI26">
            <v>58293.303333333322</v>
          </cell>
          <cell r="AJ26">
            <v>3752.1540000000005</v>
          </cell>
          <cell r="AK26">
            <v>0</v>
          </cell>
          <cell r="AL26">
            <v>134255.98333333331</v>
          </cell>
          <cell r="AM26">
            <v>-5635.3704444596397</v>
          </cell>
          <cell r="AN26">
            <v>-1292.5980000000002</v>
          </cell>
          <cell r="AO26">
            <v>-498.673</v>
          </cell>
          <cell r="AP26">
            <v>-582.17000000000007</v>
          </cell>
          <cell r="AQ26">
            <v>-27704.414000000004</v>
          </cell>
          <cell r="AR26">
            <v>-63296.399999999994</v>
          </cell>
          <cell r="AS26">
            <v>0</v>
          </cell>
          <cell r="AT26">
            <v>-15985.408000000003</v>
          </cell>
          <cell r="AU26">
            <v>-114995.03344445964</v>
          </cell>
        </row>
        <row r="27">
          <cell r="E27">
            <v>3521186.97202894</v>
          </cell>
          <cell r="F27">
            <v>465030.0779768182</v>
          </cell>
          <cell r="G27">
            <v>287891.38253545325</v>
          </cell>
          <cell r="H27">
            <v>264480.19460429862</v>
          </cell>
          <cell r="I27">
            <v>171448.82373535476</v>
          </cell>
          <cell r="J27">
            <v>192375.49228521617</v>
          </cell>
          <cell r="K27">
            <v>336916.16543748858</v>
          </cell>
          <cell r="L27">
            <v>98035.388653409638</v>
          </cell>
          <cell r="M27">
            <v>179230.25890919071</v>
          </cell>
          <cell r="N27">
            <v>102805.21267891288</v>
          </cell>
          <cell r="O27">
            <v>222562.71118134313</v>
          </cell>
          <cell r="P27">
            <v>207734.62329502759</v>
          </cell>
          <cell r="Q27">
            <v>-7382.835087549669</v>
          </cell>
          <cell r="R27">
            <v>290576.03117176099</v>
          </cell>
          <cell r="S27">
            <v>147590.86117386475</v>
          </cell>
          <cell r="T27">
            <v>186530.04082246945</v>
          </cell>
          <cell r="U27">
            <v>88469.638621504913</v>
          </cell>
          <cell r="V27">
            <v>90331.752584509653</v>
          </cell>
          <cell r="W27">
            <v>0</v>
          </cell>
          <cell r="X27">
            <v>0</v>
          </cell>
          <cell r="Y27">
            <v>0</v>
          </cell>
          <cell r="Z27">
            <v>3324625.8205790739</v>
          </cell>
          <cell r="AA27">
            <v>107369.44315789692</v>
          </cell>
          <cell r="AB27">
            <v>-95073.312555555545</v>
          </cell>
          <cell r="AC27">
            <v>66766.595047686031</v>
          </cell>
          <cell r="AD27">
            <v>33044.388910965623</v>
          </cell>
          <cell r="AE27">
            <v>4737.6714030961084</v>
          </cell>
          <cell r="AF27">
            <v>8974.3140000000003</v>
          </cell>
          <cell r="AG27">
            <v>43621.896999999997</v>
          </cell>
          <cell r="AH27">
            <v>19614.314999999999</v>
          </cell>
          <cell r="AI27">
            <v>58293.303333333322</v>
          </cell>
          <cell r="AJ27">
            <v>3752.1540000000005</v>
          </cell>
          <cell r="AK27">
            <v>0</v>
          </cell>
          <cell r="AL27">
            <v>134255.98333333334</v>
          </cell>
          <cell r="AM27">
            <v>-5635.3704444596397</v>
          </cell>
          <cell r="AN27">
            <v>-1292.5980000000002</v>
          </cell>
          <cell r="AO27">
            <v>0</v>
          </cell>
          <cell r="AP27">
            <v>0</v>
          </cell>
          <cell r="AQ27">
            <v>-17755.408000000003</v>
          </cell>
          <cell r="AR27">
            <v>0</v>
          </cell>
          <cell r="AS27">
            <v>0</v>
          </cell>
          <cell r="AT27">
            <v>-25118.569999999996</v>
          </cell>
          <cell r="AU27">
            <v>-49801.946444459638</v>
          </cell>
        </row>
        <row r="28">
          <cell r="E28">
            <v>-65193.087000004482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-4.1909515857696533E-9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-498.673</v>
          </cell>
          <cell r="AP28">
            <v>-582.17000000000007</v>
          </cell>
          <cell r="AQ28">
            <v>-9949.0060000000012</v>
          </cell>
          <cell r="AR28">
            <v>-63296.399999999994</v>
          </cell>
          <cell r="AS28">
            <v>0</v>
          </cell>
          <cell r="AT28">
            <v>9133.161999999993</v>
          </cell>
          <cell r="AU28">
            <v>-65193.087</v>
          </cell>
        </row>
        <row r="30">
          <cell r="E30">
            <v>374830.28312265454</v>
          </cell>
          <cell r="F30">
            <v>44000</v>
          </cell>
          <cell r="G30">
            <v>35000</v>
          </cell>
          <cell r="H30">
            <v>27000</v>
          </cell>
          <cell r="I30">
            <v>16500</v>
          </cell>
          <cell r="J30">
            <v>20000</v>
          </cell>
          <cell r="K30">
            <v>26000</v>
          </cell>
          <cell r="L30">
            <v>12000</v>
          </cell>
          <cell r="M30">
            <v>18000</v>
          </cell>
          <cell r="N30">
            <v>11000</v>
          </cell>
          <cell r="O30">
            <v>18000</v>
          </cell>
          <cell r="P30">
            <v>16500</v>
          </cell>
          <cell r="Q30">
            <v>8000</v>
          </cell>
          <cell r="R30">
            <v>25000</v>
          </cell>
          <cell r="S30">
            <v>12000</v>
          </cell>
          <cell r="T30">
            <v>7500</v>
          </cell>
          <cell r="U30">
            <v>6000</v>
          </cell>
          <cell r="V30">
            <v>6000</v>
          </cell>
          <cell r="W30">
            <v>0</v>
          </cell>
          <cell r="X30">
            <v>0</v>
          </cell>
          <cell r="Y30">
            <v>0</v>
          </cell>
          <cell r="Z30">
            <v>308500</v>
          </cell>
          <cell r="AA30">
            <v>7300</v>
          </cell>
          <cell r="AB30">
            <v>0</v>
          </cell>
          <cell r="AC30">
            <v>41833.975250037794</v>
          </cell>
          <cell r="AD30">
            <v>17196.307872616711</v>
          </cell>
          <cell r="AE30">
            <v>59030.283122654509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41860841.306465246</v>
          </cell>
          <cell r="F31">
            <v>4438375.3500000006</v>
          </cell>
          <cell r="G31">
            <v>3585550.4299999997</v>
          </cell>
          <cell r="H31">
            <v>2690006.6318998877</v>
          </cell>
          <cell r="I31">
            <v>1580276.5</v>
          </cell>
          <cell r="J31">
            <v>2152002.31</v>
          </cell>
          <cell r="K31">
            <v>2694403.54</v>
          </cell>
          <cell r="L31">
            <v>1212002.3999999999</v>
          </cell>
          <cell r="M31">
            <v>1872000</v>
          </cell>
          <cell r="N31">
            <v>1063869.4700000002</v>
          </cell>
          <cell r="O31">
            <v>1793003.5</v>
          </cell>
          <cell r="P31">
            <v>1613700</v>
          </cell>
          <cell r="Q31">
            <v>784045.4</v>
          </cell>
          <cell r="R31">
            <v>2525003.7999999998</v>
          </cell>
          <cell r="S31">
            <v>1244685.24</v>
          </cell>
          <cell r="T31">
            <v>820367.33400000003</v>
          </cell>
          <cell r="U31">
            <v>647400</v>
          </cell>
          <cell r="V31">
            <v>760200</v>
          </cell>
          <cell r="W31">
            <v>0</v>
          </cell>
          <cell r="X31">
            <v>0</v>
          </cell>
          <cell r="Y31">
            <v>0</v>
          </cell>
          <cell r="Z31">
            <v>31476891.905899882</v>
          </cell>
          <cell r="AA31">
            <v>8929315.7894736845</v>
          </cell>
          <cell r="AB31">
            <v>0</v>
          </cell>
          <cell r="AC31">
            <v>750636.99937211617</v>
          </cell>
          <cell r="AD31">
            <v>539089.11138622963</v>
          </cell>
          <cell r="AE31">
            <v>1289726.1107583458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35878398.63824372</v>
          </cell>
          <cell r="F32">
            <v>3686662.6177100101</v>
          </cell>
          <cell r="G32">
            <v>3057077.9152454264</v>
          </cell>
          <cell r="H32">
            <v>2244889.0012031784</v>
          </cell>
          <cell r="I32">
            <v>1294772.5494657473</v>
          </cell>
          <cell r="J32">
            <v>1796736.9524149681</v>
          </cell>
          <cell r="K32">
            <v>2173962.6958536305</v>
          </cell>
          <cell r="L32">
            <v>1017845.8769330102</v>
          </cell>
          <cell r="M32">
            <v>1552416.6569191453</v>
          </cell>
          <cell r="N32">
            <v>872423.90906166425</v>
          </cell>
          <cell r="O32">
            <v>1441039.7099102961</v>
          </cell>
          <cell r="P32">
            <v>1290705.1436118025</v>
          </cell>
          <cell r="Q32">
            <v>725710.13474644755</v>
          </cell>
          <cell r="R32">
            <v>2071880.4981124783</v>
          </cell>
          <cell r="S32">
            <v>1012167.7952509652</v>
          </cell>
          <cell r="T32">
            <v>584269.35150368838</v>
          </cell>
          <cell r="U32">
            <v>517772.57711666648</v>
          </cell>
          <cell r="V32">
            <v>617873.24306911707</v>
          </cell>
          <cell r="W32">
            <v>0</v>
          </cell>
          <cell r="X32">
            <v>0</v>
          </cell>
          <cell r="Y32">
            <v>0</v>
          </cell>
          <cell r="Z32">
            <v>25958206.628128238</v>
          </cell>
          <cell r="AA32">
            <v>8700442.2863157876</v>
          </cell>
          <cell r="AB32">
            <v>0</v>
          </cell>
          <cell r="AC32">
            <v>663450.86641693127</v>
          </cell>
          <cell r="AD32">
            <v>491009.51038276288</v>
          </cell>
          <cell r="AE32">
            <v>1154460.376799694</v>
          </cell>
          <cell r="AF32">
            <v>3525.6860000000001</v>
          </cell>
          <cell r="AG32">
            <v>6378.1030000000001</v>
          </cell>
          <cell r="AH32">
            <v>8725.6849999999995</v>
          </cell>
          <cell r="AI32">
            <v>8754.1970000000001</v>
          </cell>
          <cell r="AJ32">
            <v>1497.846</v>
          </cell>
          <cell r="AK32">
            <v>0</v>
          </cell>
          <cell r="AL32">
            <v>28881.517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5982442.6682215268</v>
          </cell>
          <cell r="F33">
            <v>751712.73228999041</v>
          </cell>
          <cell r="G33">
            <v>528472.51475457335</v>
          </cell>
          <cell r="H33">
            <v>445117.63069670927</v>
          </cell>
          <cell r="I33">
            <v>285503.95053425268</v>
          </cell>
          <cell r="J33">
            <v>355265.357585032</v>
          </cell>
          <cell r="K33">
            <v>520440.84414636949</v>
          </cell>
          <cell r="L33">
            <v>194156.52306698973</v>
          </cell>
          <cell r="M33">
            <v>319583.34308085474</v>
          </cell>
          <cell r="N33">
            <v>191445.56093833596</v>
          </cell>
          <cell r="O33">
            <v>351963.79008970386</v>
          </cell>
          <cell r="P33">
            <v>322994.85638819751</v>
          </cell>
          <cell r="Q33">
            <v>58335.265253552468</v>
          </cell>
          <cell r="R33">
            <v>453123.30188752152</v>
          </cell>
          <cell r="S33">
            <v>232517.44474903482</v>
          </cell>
          <cell r="T33">
            <v>236097.98249631166</v>
          </cell>
          <cell r="U33">
            <v>129627.42288333352</v>
          </cell>
          <cell r="V33">
            <v>142326.75693088293</v>
          </cell>
          <cell r="W33">
            <v>0</v>
          </cell>
          <cell r="X33">
            <v>0</v>
          </cell>
          <cell r="Y33">
            <v>0</v>
          </cell>
          <cell r="Z33">
            <v>5518685.2777716443</v>
          </cell>
          <cell r="AA33">
            <v>228873.50315789692</v>
          </cell>
          <cell r="AB33">
            <v>0</v>
          </cell>
          <cell r="AC33">
            <v>87186.132955184905</v>
          </cell>
          <cell r="AD33">
            <v>48079.601003466756</v>
          </cell>
          <cell r="AE33">
            <v>135265.73395865178</v>
          </cell>
          <cell r="AF33">
            <v>8974.3140000000003</v>
          </cell>
          <cell r="AG33">
            <v>43621.896999999997</v>
          </cell>
          <cell r="AH33">
            <v>19614.315000000002</v>
          </cell>
          <cell r="AI33">
            <v>58293.30333333333</v>
          </cell>
          <cell r="AJ33">
            <v>3752.154</v>
          </cell>
          <cell r="AK33">
            <v>0</v>
          </cell>
          <cell r="AL33">
            <v>134255.98333333334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2526448.783192588</v>
          </cell>
          <cell r="F34">
            <v>286682.65431317233</v>
          </cell>
          <cell r="G34">
            <v>240581.13221912013</v>
          </cell>
          <cell r="H34">
            <v>180637.43609241064</v>
          </cell>
          <cell r="I34">
            <v>114055.12679889797</v>
          </cell>
          <cell r="J34">
            <v>162889.86529981569</v>
          </cell>
          <cell r="K34">
            <v>183524.67870888099</v>
          </cell>
          <cell r="L34">
            <v>96121.134413580134</v>
          </cell>
          <cell r="M34">
            <v>140353.084171664</v>
          </cell>
          <cell r="N34">
            <v>88640.348259423103</v>
          </cell>
          <cell r="O34">
            <v>129401.07890836068</v>
          </cell>
          <cell r="P34">
            <v>115260.23309317</v>
          </cell>
          <cell r="Q34">
            <v>65718.100341102123</v>
          </cell>
          <cell r="R34">
            <v>162547.27071576047</v>
          </cell>
          <cell r="S34">
            <v>84926.583575170109</v>
          </cell>
          <cell r="T34">
            <v>49567.941673842215</v>
          </cell>
          <cell r="U34">
            <v>41157.784261828579</v>
          </cell>
          <cell r="V34">
            <v>51995.004346373324</v>
          </cell>
          <cell r="W34">
            <v>0</v>
          </cell>
          <cell r="X34">
            <v>0</v>
          </cell>
          <cell r="Y34">
            <v>0</v>
          </cell>
          <cell r="Z34">
            <v>2194059.4571925728</v>
          </cell>
          <cell r="AA34">
            <v>121504.06</v>
          </cell>
          <cell r="AB34">
            <v>95073.312555555545</v>
          </cell>
          <cell r="AC34">
            <v>20419.537907498845</v>
          </cell>
          <cell r="AD34">
            <v>15035.212092501146</v>
          </cell>
          <cell r="AE34">
            <v>130528.06255555555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5635.3704444596397</v>
          </cell>
          <cell r="AN34">
            <v>1292.5980000000002</v>
          </cell>
          <cell r="AO34">
            <v>498.673</v>
          </cell>
          <cell r="AP34">
            <v>582.17000000000007</v>
          </cell>
          <cell r="AQ34">
            <v>27704.414000000004</v>
          </cell>
          <cell r="AR34">
            <v>26888.569999999996</v>
          </cell>
          <cell r="AS34">
            <v>0</v>
          </cell>
          <cell r="AT34">
            <v>17755.408000000003</v>
          </cell>
          <cell r="AU34">
            <v>80357.20344445965</v>
          </cell>
        </row>
        <row r="35">
          <cell r="D35" t="str">
            <v>영업이익</v>
          </cell>
          <cell r="E35">
            <v>3455993.8850289383</v>
          </cell>
          <cell r="F35">
            <v>465030.07797681808</v>
          </cell>
          <cell r="G35">
            <v>287891.38253545319</v>
          </cell>
          <cell r="H35">
            <v>264480.19460429862</v>
          </cell>
          <cell r="I35">
            <v>171448.8237353547</v>
          </cell>
          <cell r="J35">
            <v>192375.49228521631</v>
          </cell>
          <cell r="K35">
            <v>336916.16543748847</v>
          </cell>
          <cell r="L35">
            <v>98035.388653409595</v>
          </cell>
          <cell r="M35">
            <v>179230.25890919074</v>
          </cell>
          <cell r="N35">
            <v>102805.21267891285</v>
          </cell>
          <cell r="O35">
            <v>222562.71118134318</v>
          </cell>
          <cell r="P35">
            <v>207734.62329502753</v>
          </cell>
          <cell r="Q35">
            <v>-7382.8350875496544</v>
          </cell>
          <cell r="R35">
            <v>290576.03117176105</v>
          </cell>
          <cell r="S35">
            <v>147590.86117386472</v>
          </cell>
          <cell r="T35">
            <v>186530.04082246945</v>
          </cell>
          <cell r="U35">
            <v>88469.638621504942</v>
          </cell>
          <cell r="V35">
            <v>90331.75258450961</v>
          </cell>
          <cell r="W35">
            <v>0</v>
          </cell>
          <cell r="X35">
            <v>0</v>
          </cell>
          <cell r="Y35">
            <v>0</v>
          </cell>
          <cell r="Z35">
            <v>3324625.8205790715</v>
          </cell>
          <cell r="AA35">
            <v>107369.44315789692</v>
          </cell>
          <cell r="AB35">
            <v>-95073.312555555545</v>
          </cell>
          <cell r="AC35">
            <v>66766.59504768606</v>
          </cell>
          <cell r="AD35">
            <v>33044.388910965608</v>
          </cell>
          <cell r="AE35">
            <v>4737.6714030962321</v>
          </cell>
          <cell r="AF35">
            <v>8974.3140000000003</v>
          </cell>
          <cell r="AG35">
            <v>43621.896999999997</v>
          </cell>
          <cell r="AH35">
            <v>19614.315000000002</v>
          </cell>
          <cell r="AI35">
            <v>58293.30333333333</v>
          </cell>
          <cell r="AJ35">
            <v>3752.154</v>
          </cell>
          <cell r="AK35">
            <v>0</v>
          </cell>
          <cell r="AL35">
            <v>134255.98333333334</v>
          </cell>
          <cell r="AM35">
            <v>-5635.3704444596397</v>
          </cell>
          <cell r="AN35">
            <v>-1292.5980000000002</v>
          </cell>
          <cell r="AO35">
            <v>-498.673</v>
          </cell>
          <cell r="AP35">
            <v>-582.17000000000007</v>
          </cell>
          <cell r="AQ35">
            <v>-27704.414000000004</v>
          </cell>
          <cell r="AR35">
            <v>-63296.399999999994</v>
          </cell>
          <cell r="AS35">
            <v>0</v>
          </cell>
          <cell r="AT35">
            <v>-15985.408000000003</v>
          </cell>
          <cell r="AU35">
            <v>-114995.03344445964</v>
          </cell>
        </row>
      </sheetData>
      <sheetData sheetId="7">
        <row r="6">
          <cell r="D6" t="str">
            <v>구분</v>
          </cell>
        </row>
      </sheetData>
      <sheetData sheetId="8">
        <row r="6">
          <cell r="D6" t="str">
            <v>구분</v>
          </cell>
        </row>
      </sheetData>
      <sheetData sheetId="9">
        <row r="6">
          <cell r="D6" t="str">
            <v>구분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 t="str">
            <v>구분</v>
          </cell>
        </row>
      </sheetData>
      <sheetData sheetId="18">
        <row r="6">
          <cell r="D6" t="str">
            <v>구분</v>
          </cell>
        </row>
      </sheetData>
      <sheetData sheetId="19">
        <row r="6">
          <cell r="D6" t="str">
            <v>구분</v>
          </cell>
        </row>
      </sheetData>
      <sheetData sheetId="20">
        <row r="6">
          <cell r="D6" t="str">
            <v>구분</v>
          </cell>
        </row>
      </sheetData>
      <sheetData sheetId="21"/>
      <sheetData sheetId="22"/>
      <sheetData sheetId="23"/>
      <sheetData sheetId="24"/>
      <sheetData sheetId="25">
        <row r="6">
          <cell r="D6" t="str">
            <v>구분</v>
          </cell>
        </row>
      </sheetData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G6" t="str">
            <v>안양</v>
          </cell>
        </row>
      </sheetData>
      <sheetData sheetId="5">
        <row r="6">
          <cell r="G6" t="str">
            <v>안양</v>
          </cell>
        </row>
      </sheetData>
      <sheetData sheetId="6"/>
      <sheetData sheetId="7">
        <row r="6">
          <cell r="F6" t="str">
            <v>합계</v>
          </cell>
        </row>
      </sheetData>
      <sheetData sheetId="8"/>
      <sheetData sheetId="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46247</v>
          </cell>
          <cell r="H7">
            <v>30095</v>
          </cell>
          <cell r="I7">
            <v>28573</v>
          </cell>
          <cell r="J7">
            <v>17598.5</v>
          </cell>
          <cell r="K7">
            <v>22909</v>
          </cell>
          <cell r="L7">
            <v>25120</v>
          </cell>
          <cell r="M7">
            <v>17236</v>
          </cell>
          <cell r="N7">
            <v>21272</v>
          </cell>
          <cell r="O7">
            <v>12804</v>
          </cell>
          <cell r="P7">
            <v>19111.5</v>
          </cell>
          <cell r="Q7">
            <v>17659</v>
          </cell>
          <cell r="R7">
            <v>11110</v>
          </cell>
          <cell r="S7">
            <v>30069</v>
          </cell>
          <cell r="T7">
            <v>6925.5</v>
          </cell>
          <cell r="U7">
            <v>10980</v>
          </cell>
          <cell r="V7">
            <v>9772</v>
          </cell>
          <cell r="W7">
            <v>3556</v>
          </cell>
          <cell r="Z7">
            <v>331037.5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331037.5</v>
          </cell>
          <cell r="AJ7">
            <v>20579</v>
          </cell>
          <cell r="AK7">
            <v>27240</v>
          </cell>
          <cell r="AL7">
            <v>38524</v>
          </cell>
          <cell r="AN7">
            <v>86343</v>
          </cell>
          <cell r="AO7">
            <v>8574.9830000000002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44468098.589999996</v>
          </cell>
          <cell r="G8">
            <v>4615887.5729999999</v>
          </cell>
          <cell r="H8">
            <v>3074429.1430000002</v>
          </cell>
          <cell r="I8">
            <v>2775487.3820000002</v>
          </cell>
          <cell r="J8">
            <v>1762167.7180000001</v>
          </cell>
          <cell r="K8">
            <v>2386548.0279999999</v>
          </cell>
          <cell r="L8">
            <v>2565497.7999999998</v>
          </cell>
          <cell r="M8">
            <v>1721967.8</v>
          </cell>
          <cell r="N8">
            <v>2214588.9</v>
          </cell>
          <cell r="O8">
            <v>1198363.9450000001</v>
          </cell>
          <cell r="P8">
            <v>1984487.55</v>
          </cell>
          <cell r="Q8">
            <v>1760586.2</v>
          </cell>
          <cell r="R8">
            <v>1127667.3</v>
          </cell>
          <cell r="S8">
            <v>3153816.1999999997</v>
          </cell>
          <cell r="T8">
            <v>765701.14500000002</v>
          </cell>
          <cell r="U8">
            <v>1236607.08</v>
          </cell>
          <cell r="V8">
            <v>934794.41899999999</v>
          </cell>
          <cell r="W8">
            <v>454841.413</v>
          </cell>
          <cell r="Z8">
            <v>33733439.596000001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33824279.596000001</v>
          </cell>
          <cell r="AJ8">
            <v>653706.40800000005</v>
          </cell>
          <cell r="AK8">
            <v>382248</v>
          </cell>
          <cell r="AL8">
            <v>710866</v>
          </cell>
          <cell r="AN8">
            <v>1746820.4080000001</v>
          </cell>
          <cell r="AO8">
            <v>8822039.4920000006</v>
          </cell>
          <cell r="AP8">
            <v>0</v>
          </cell>
          <cell r="AS8">
            <v>8822039.4920000006</v>
          </cell>
          <cell r="AT8">
            <v>5250</v>
          </cell>
          <cell r="AU8">
            <v>6650</v>
          </cell>
          <cell r="AV8">
            <v>61356.694000000003</v>
          </cell>
          <cell r="BA8">
            <v>73256.694000000003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1702.4</v>
          </cell>
        </row>
        <row r="9">
          <cell r="G9">
            <v>99809.44867775208</v>
          </cell>
          <cell r="H9">
            <v>102157.47276956306</v>
          </cell>
          <cell r="I9">
            <v>97136.715850628214</v>
          </cell>
          <cell r="J9">
            <v>100131.69974713755</v>
          </cell>
          <cell r="K9">
            <v>104175.12890130516</v>
          </cell>
          <cell r="L9">
            <v>102129.68949044586</v>
          </cell>
          <cell r="M9">
            <v>99905.302854490597</v>
          </cell>
          <cell r="N9">
            <v>104108.16566378337</v>
          </cell>
          <cell r="O9">
            <v>93592.935410809136</v>
          </cell>
          <cell r="P9">
            <v>103837.35185621223</v>
          </cell>
          <cell r="Q9">
            <v>99699.088283594756</v>
          </cell>
          <cell r="R9">
            <v>101500.20702070207</v>
          </cell>
          <cell r="S9">
            <v>104885.968938109</v>
          </cell>
          <cell r="T9">
            <v>110562.57959714101</v>
          </cell>
          <cell r="U9">
            <v>112623.59562841531</v>
          </cell>
          <cell r="V9">
            <v>95660.50133033155</v>
          </cell>
          <cell r="W9">
            <v>127908.1588863892</v>
          </cell>
          <cell r="Z9">
            <v>101902.16998376317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102176.57998263037</v>
          </cell>
          <cell r="AJ9">
            <v>31765.703289761412</v>
          </cell>
          <cell r="AK9">
            <v>14032.599118942731</v>
          </cell>
          <cell r="AL9">
            <v>18452.549060326033</v>
          </cell>
          <cell r="AO9">
            <v>1028811.309830002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38125853.059769996</v>
          </cell>
          <cell r="G10">
            <v>3921013.26076</v>
          </cell>
          <cell r="H10">
            <v>2646870.8644300001</v>
          </cell>
          <cell r="I10">
            <v>2480296.3330199998</v>
          </cell>
          <cell r="J10">
            <v>1434318.9763800001</v>
          </cell>
          <cell r="K10">
            <v>2002249.78841</v>
          </cell>
          <cell r="L10">
            <v>2111511.9391300003</v>
          </cell>
          <cell r="M10">
            <v>1458634.5395500001</v>
          </cell>
          <cell r="N10">
            <v>1891295.0524300002</v>
          </cell>
          <cell r="O10">
            <v>1044357.9973899999</v>
          </cell>
          <cell r="P10">
            <v>1558736.3909100001</v>
          </cell>
          <cell r="Q10">
            <v>1423569.46423</v>
          </cell>
          <cell r="R10">
            <v>953468.24714999995</v>
          </cell>
          <cell r="S10">
            <v>2526083.1865700004</v>
          </cell>
          <cell r="T10">
            <v>579680.12858999998</v>
          </cell>
          <cell r="U10">
            <v>820737.60366000002</v>
          </cell>
          <cell r="V10">
            <v>783428.53055000002</v>
          </cell>
          <cell r="W10">
            <v>375939.44257999997</v>
          </cell>
          <cell r="Z10">
            <v>28012191.745739996</v>
          </cell>
          <cell r="AA10">
            <v>498.19499999999999</v>
          </cell>
          <cell r="AB10">
            <v>0</v>
          </cell>
          <cell r="AC10">
            <v>3462.127</v>
          </cell>
          <cell r="AD10">
            <v>8714.1990000000005</v>
          </cell>
          <cell r="AH10">
            <v>12674.521000000001</v>
          </cell>
          <cell r="AI10">
            <v>28024866.266739998</v>
          </cell>
          <cell r="AJ10">
            <v>563963.38375000004</v>
          </cell>
          <cell r="AK10">
            <v>298603.61174999998</v>
          </cell>
          <cell r="AL10">
            <v>579037.57352999994</v>
          </cell>
          <cell r="AN10">
            <v>1441604.5690299999</v>
          </cell>
          <cell r="AO10">
            <v>8659085.7879999988</v>
          </cell>
          <cell r="AP10">
            <v>0</v>
          </cell>
          <cell r="AS10">
            <v>8659085.7879999988</v>
          </cell>
          <cell r="AT10">
            <v>121.962</v>
          </cell>
          <cell r="AU10">
            <v>174.47399999999999</v>
          </cell>
          <cell r="AV10">
            <v>0</v>
          </cell>
          <cell r="BA10">
            <v>296.43599999999998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J10">
            <v>0</v>
          </cell>
        </row>
        <row r="11">
          <cell r="G11">
            <v>84784.164610893684</v>
          </cell>
          <cell r="H11">
            <v>87950.518838012969</v>
          </cell>
          <cell r="I11">
            <v>86805.597347845862</v>
          </cell>
          <cell r="J11">
            <v>81502.342607608618</v>
          </cell>
          <cell r="K11">
            <v>87400.13917717927</v>
          </cell>
          <cell r="L11">
            <v>84057.003946257973</v>
          </cell>
          <cell r="M11">
            <v>84627.206982478543</v>
          </cell>
          <cell r="N11">
            <v>88910.072039770603</v>
          </cell>
          <cell r="O11">
            <v>81564.979490003112</v>
          </cell>
          <cell r="P11">
            <v>81560.128242681123</v>
          </cell>
          <cell r="Q11">
            <v>80614.387237669172</v>
          </cell>
          <cell r="R11">
            <v>85820.724315931584</v>
          </cell>
          <cell r="S11">
            <v>84009.550918554</v>
          </cell>
          <cell r="T11">
            <v>83702.278332250367</v>
          </cell>
          <cell r="U11">
            <v>74748.415633879791</v>
          </cell>
          <cell r="V11">
            <v>80170.746065288578</v>
          </cell>
          <cell r="W11">
            <v>105719.75325646794</v>
          </cell>
          <cell r="Z11">
            <v>84619.391294762667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84657.678561311026</v>
          </cell>
          <cell r="AJ11">
            <v>27404.80022109918</v>
          </cell>
          <cell r="AK11">
            <v>10961.953441629956</v>
          </cell>
          <cell r="AL11">
            <v>15030.567270532654</v>
          </cell>
          <cell r="AO11">
            <v>1009807.9247504045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6342245.5302300006</v>
          </cell>
          <cell r="G12">
            <v>694874.31223999988</v>
          </cell>
          <cell r="H12">
            <v>427558.27857000008</v>
          </cell>
          <cell r="I12">
            <v>295191.04898000043</v>
          </cell>
          <cell r="J12">
            <v>327848.74161999999</v>
          </cell>
          <cell r="K12">
            <v>384298.2395899999</v>
          </cell>
          <cell r="L12">
            <v>453985.86086999951</v>
          </cell>
          <cell r="M12">
            <v>263333.26044999994</v>
          </cell>
          <cell r="N12">
            <v>323293.84756999975</v>
          </cell>
          <cell r="O12">
            <v>154005.94761000015</v>
          </cell>
          <cell r="P12">
            <v>425751.15908999997</v>
          </cell>
          <cell r="Q12">
            <v>337016.73576999991</v>
          </cell>
          <cell r="R12">
            <v>174199.05285000009</v>
          </cell>
          <cell r="S12">
            <v>627733.01342999935</v>
          </cell>
          <cell r="T12">
            <v>186021.01641000004</v>
          </cell>
          <cell r="U12">
            <v>415869.47634000005</v>
          </cell>
          <cell r="V12">
            <v>151365.88844999997</v>
          </cell>
          <cell r="W12">
            <v>78901.970420000027</v>
          </cell>
          <cell r="Z12">
            <v>5721247.8502599997</v>
          </cell>
          <cell r="AA12">
            <v>49501.805</v>
          </cell>
          <cell r="AB12">
            <v>0</v>
          </cell>
          <cell r="AC12">
            <v>9037.8729999999996</v>
          </cell>
          <cell r="AD12">
            <v>19625.800999999999</v>
          </cell>
          <cell r="AH12">
            <v>78165.478999999992</v>
          </cell>
          <cell r="AI12">
            <v>5799413.3292600028</v>
          </cell>
          <cell r="AJ12">
            <v>89743.024250000017</v>
          </cell>
          <cell r="AK12">
            <v>83644.388250000018</v>
          </cell>
          <cell r="AL12">
            <v>131828.42647000006</v>
          </cell>
          <cell r="AN12">
            <v>305215.83897000016</v>
          </cell>
          <cell r="AO12">
            <v>162953.70400000177</v>
          </cell>
          <cell r="AP12">
            <v>0</v>
          </cell>
          <cell r="AS12">
            <v>162953.70400000177</v>
          </cell>
          <cell r="AT12">
            <v>5128.0379999999996</v>
          </cell>
          <cell r="AU12">
            <v>6475.5259999999998</v>
          </cell>
          <cell r="AV12">
            <v>61356.694000000003</v>
          </cell>
          <cell r="BA12">
            <v>72960.258000000002</v>
          </cell>
          <cell r="BB12">
            <v>0</v>
          </cell>
          <cell r="BC12">
            <v>1702.4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J12">
            <v>1702.4</v>
          </cell>
        </row>
        <row r="13">
          <cell r="F13">
            <v>836858.39700000011</v>
          </cell>
          <cell r="G13">
            <v>75611.620999999999</v>
          </cell>
          <cell r="H13">
            <v>63012.643000000004</v>
          </cell>
          <cell r="I13">
            <v>43407.336000000003</v>
          </cell>
          <cell r="J13">
            <v>36458.442999999999</v>
          </cell>
          <cell r="K13">
            <v>46214.19</v>
          </cell>
          <cell r="L13">
            <v>53763.000999999997</v>
          </cell>
          <cell r="M13">
            <v>36945.553999999996</v>
          </cell>
          <cell r="N13">
            <v>47510.608</v>
          </cell>
          <cell r="O13">
            <v>28305.902000000002</v>
          </cell>
          <cell r="P13">
            <v>43861.745999999999</v>
          </cell>
          <cell r="Q13">
            <v>34913.93</v>
          </cell>
          <cell r="R13">
            <v>28195</v>
          </cell>
          <cell r="S13">
            <v>53273.491999999998</v>
          </cell>
          <cell r="T13">
            <v>10037.968000000001</v>
          </cell>
          <cell r="U13">
            <v>12524.875</v>
          </cell>
          <cell r="V13">
            <v>31601.616000000002</v>
          </cell>
          <cell r="W13">
            <v>15134.940999999999</v>
          </cell>
          <cell r="Z13">
            <v>660772.86600000015</v>
          </cell>
          <cell r="AA13">
            <v>0</v>
          </cell>
          <cell r="AB13">
            <v>180.54900000000001</v>
          </cell>
          <cell r="AC13">
            <v>0</v>
          </cell>
          <cell r="AD13">
            <v>0</v>
          </cell>
          <cell r="AH13">
            <v>180.54900000000001</v>
          </cell>
          <cell r="AI13">
            <v>660953.41500000004</v>
          </cell>
          <cell r="AJ13">
            <v>460</v>
          </cell>
          <cell r="AK13">
            <v>2039.1179999999999</v>
          </cell>
          <cell r="AL13">
            <v>0</v>
          </cell>
          <cell r="AN13">
            <v>2499.1179999999999</v>
          </cell>
          <cell r="AO13">
            <v>163585.99699999997</v>
          </cell>
          <cell r="AP13">
            <v>0</v>
          </cell>
          <cell r="AS13">
            <v>163585.99699999997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9819.8670000000002</v>
          </cell>
          <cell r="BG13">
            <v>0</v>
          </cell>
          <cell r="BJ13">
            <v>9819.8670000000002</v>
          </cell>
        </row>
        <row r="14">
          <cell r="F14">
            <v>534014.05900000012</v>
          </cell>
          <cell r="G14">
            <v>47666.655999999995</v>
          </cell>
          <cell r="H14">
            <v>40823.361000000004</v>
          </cell>
          <cell r="I14">
            <v>28390.163</v>
          </cell>
          <cell r="J14">
            <v>25933.763999999999</v>
          </cell>
          <cell r="K14">
            <v>31694.621999999999</v>
          </cell>
          <cell r="L14">
            <v>33662.964999999997</v>
          </cell>
          <cell r="M14">
            <v>25713.399999999998</v>
          </cell>
          <cell r="N14">
            <v>33584.612000000001</v>
          </cell>
          <cell r="O14">
            <v>20714.653000000002</v>
          </cell>
          <cell r="P14">
            <v>32039.942999999999</v>
          </cell>
          <cell r="Q14">
            <v>25688.857</v>
          </cell>
          <cell r="R14">
            <v>18601.067999999999</v>
          </cell>
          <cell r="S14">
            <v>32117.581000000002</v>
          </cell>
          <cell r="T14">
            <v>7016.6719999999996</v>
          </cell>
          <cell r="U14">
            <v>6915.8850000000002</v>
          </cell>
          <cell r="V14">
            <v>22809.253000000001</v>
          </cell>
          <cell r="W14">
            <v>10360.079</v>
          </cell>
          <cell r="Z14">
            <v>443733.5340000001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443733.5340000001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90280.524999999994</v>
          </cell>
          <cell r="AP14">
            <v>0</v>
          </cell>
          <cell r="AS14">
            <v>90280.524999999994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302844.33799999999</v>
          </cell>
          <cell r="G15">
            <v>27944.965</v>
          </cell>
          <cell r="H15">
            <v>22189.281999999999</v>
          </cell>
          <cell r="I15">
            <v>15017.173000000001</v>
          </cell>
          <cell r="J15">
            <v>10524.679000000002</v>
          </cell>
          <cell r="K15">
            <v>14519.568000000001</v>
          </cell>
          <cell r="L15">
            <v>20100.036</v>
          </cell>
          <cell r="M15">
            <v>11232.154</v>
          </cell>
          <cell r="N15">
            <v>13925.996000000001</v>
          </cell>
          <cell r="O15">
            <v>7591.2489999999998</v>
          </cell>
          <cell r="P15">
            <v>11821.802999999998</v>
          </cell>
          <cell r="Q15">
            <v>9225.0730000000003</v>
          </cell>
          <cell r="R15">
            <v>9593.9319999999989</v>
          </cell>
          <cell r="S15">
            <v>21155.911</v>
          </cell>
          <cell r="T15">
            <v>3021.2960000000003</v>
          </cell>
          <cell r="U15">
            <v>5608.99</v>
          </cell>
          <cell r="V15">
            <v>8792.3630000000012</v>
          </cell>
          <cell r="W15">
            <v>4774.8619999999992</v>
          </cell>
          <cell r="Z15">
            <v>217039.33199999999</v>
          </cell>
          <cell r="AA15">
            <v>0</v>
          </cell>
          <cell r="AB15">
            <v>180.54900000000001</v>
          </cell>
          <cell r="AC15">
            <v>0</v>
          </cell>
          <cell r="AD15">
            <v>0</v>
          </cell>
          <cell r="AH15">
            <v>180.54900000000001</v>
          </cell>
          <cell r="AI15">
            <v>217219.88099999999</v>
          </cell>
          <cell r="AJ15">
            <v>460</v>
          </cell>
          <cell r="AK15">
            <v>2039.1179999999999</v>
          </cell>
          <cell r="AL15">
            <v>0</v>
          </cell>
          <cell r="AN15">
            <v>2499.1179999999999</v>
          </cell>
          <cell r="AO15">
            <v>73305.471999999994</v>
          </cell>
          <cell r="AP15">
            <v>0</v>
          </cell>
          <cell r="AS15">
            <v>73305.471999999994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9819.8670000000002</v>
          </cell>
          <cell r="BG15">
            <v>0</v>
          </cell>
          <cell r="BJ15">
            <v>9819.8670000000002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5505387.1332300007</v>
          </cell>
          <cell r="G17">
            <v>619262.69123999984</v>
          </cell>
          <cell r="H17">
            <v>364545.6355700001</v>
          </cell>
          <cell r="I17">
            <v>251783.71298000042</v>
          </cell>
          <cell r="J17">
            <v>291390.29862000002</v>
          </cell>
          <cell r="K17">
            <v>338084.04958999989</v>
          </cell>
          <cell r="L17">
            <v>400222.85986999952</v>
          </cell>
          <cell r="M17">
            <v>226387.70644999994</v>
          </cell>
          <cell r="N17">
            <v>275783.23956999974</v>
          </cell>
          <cell r="O17">
            <v>125700.04561000015</v>
          </cell>
          <cell r="P17">
            <v>381889.41308999999</v>
          </cell>
          <cell r="Q17">
            <v>302102.80576999992</v>
          </cell>
          <cell r="R17">
            <v>146004.05285000009</v>
          </cell>
          <cell r="S17">
            <v>574459.52142999938</v>
          </cell>
          <cell r="T17">
            <v>175983.04841000005</v>
          </cell>
          <cell r="U17">
            <v>403344.60134000005</v>
          </cell>
          <cell r="V17">
            <v>119764.27244999996</v>
          </cell>
          <cell r="W17">
            <v>63767.029420000028</v>
          </cell>
          <cell r="Z17">
            <v>5060474.9842599994</v>
          </cell>
          <cell r="AA17">
            <v>49501.805</v>
          </cell>
          <cell r="AB17">
            <v>-180.54900000000001</v>
          </cell>
          <cell r="AC17">
            <v>9037.8729999999996</v>
          </cell>
          <cell r="AD17">
            <v>19625.800999999999</v>
          </cell>
          <cell r="AH17">
            <v>77984.929999999993</v>
          </cell>
          <cell r="AI17">
            <v>5138459.9142600028</v>
          </cell>
          <cell r="AJ17">
            <v>89283.024250000017</v>
          </cell>
          <cell r="AK17">
            <v>81605.270250000016</v>
          </cell>
          <cell r="AL17">
            <v>131828.42647000006</v>
          </cell>
          <cell r="AN17">
            <v>302716.72097000014</v>
          </cell>
          <cell r="AO17">
            <v>-632.29299999820068</v>
          </cell>
          <cell r="AP17">
            <v>0</v>
          </cell>
          <cell r="AS17">
            <v>-632.29299999820068</v>
          </cell>
          <cell r="AT17">
            <v>5128.0379999999996</v>
          </cell>
          <cell r="AU17">
            <v>6475.5259999999998</v>
          </cell>
          <cell r="AV17">
            <v>61356.694000000003</v>
          </cell>
          <cell r="BA17">
            <v>72960.258000000002</v>
          </cell>
          <cell r="BB17">
            <v>0</v>
          </cell>
          <cell r="BC17">
            <v>1702.4</v>
          </cell>
          <cell r="BD17">
            <v>0</v>
          </cell>
          <cell r="BE17">
            <v>0</v>
          </cell>
          <cell r="BF17">
            <v>-9819.8670000000002</v>
          </cell>
          <cell r="BG17">
            <v>0</v>
          </cell>
          <cell r="BJ17">
            <v>-8117.4670000000006</v>
          </cell>
        </row>
        <row r="18">
          <cell r="F18">
            <v>592586.69223000004</v>
          </cell>
          <cell r="G18">
            <v>29493.904239999996</v>
          </cell>
          <cell r="H18">
            <v>33535.650569999998</v>
          </cell>
          <cell r="I18">
            <v>19057.429980000001</v>
          </cell>
          <cell r="J18">
            <v>18877.556620000003</v>
          </cell>
          <cell r="K18">
            <v>85501.527589999998</v>
          </cell>
          <cell r="L18">
            <v>41248.107869999993</v>
          </cell>
          <cell r="M18">
            <v>17235.309450000001</v>
          </cell>
          <cell r="N18">
            <v>28407.086569999999</v>
          </cell>
          <cell r="O18">
            <v>10987.648609999998</v>
          </cell>
          <cell r="P18">
            <v>30998.433089999999</v>
          </cell>
          <cell r="Q18">
            <v>14419.286770000001</v>
          </cell>
          <cell r="R18">
            <v>12831.36585</v>
          </cell>
          <cell r="S18">
            <v>35625.107429999996</v>
          </cell>
          <cell r="T18">
            <v>5774.1664100000007</v>
          </cell>
          <cell r="U18">
            <v>10169.027340000001</v>
          </cell>
          <cell r="V18">
            <v>20789.674450000002</v>
          </cell>
          <cell r="W18">
            <v>10277.52542</v>
          </cell>
          <cell r="Z18">
            <v>425228.80825999996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H18">
            <v>6026.2630000000008</v>
          </cell>
          <cell r="AI18">
            <v>431255.07126</v>
          </cell>
          <cell r="AJ18">
            <v>32566.251250000001</v>
          </cell>
          <cell r="AK18">
            <v>11087.98525</v>
          </cell>
          <cell r="AL18">
            <v>62182.784469999999</v>
          </cell>
          <cell r="AN18">
            <v>105837.02097</v>
          </cell>
          <cell r="AO18">
            <v>5550.375</v>
          </cell>
          <cell r="AP18">
            <v>855.83600000000001</v>
          </cell>
          <cell r="AS18">
            <v>6406.2110000000002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15307.942999999999</v>
          </cell>
          <cell r="BD18">
            <v>0</v>
          </cell>
          <cell r="BE18">
            <v>0</v>
          </cell>
          <cell r="BF18">
            <v>23977.946</v>
          </cell>
          <cell r="BG18">
            <v>0</v>
          </cell>
          <cell r="BJ18">
            <v>39285.888999999996</v>
          </cell>
        </row>
        <row r="19">
          <cell r="F19">
            <v>524477.54523000005</v>
          </cell>
          <cell r="G19">
            <v>27166.287239999998</v>
          </cell>
          <cell r="H19">
            <v>31590.51957</v>
          </cell>
          <cell r="I19">
            <v>17286.185980000002</v>
          </cell>
          <cell r="J19">
            <v>17685.570620000002</v>
          </cell>
          <cell r="K19">
            <v>83625.464590000003</v>
          </cell>
          <cell r="L19">
            <v>39683.708869999995</v>
          </cell>
          <cell r="M19">
            <v>16041.712449999999</v>
          </cell>
          <cell r="N19">
            <v>26843.78457</v>
          </cell>
          <cell r="O19">
            <v>10237.614609999999</v>
          </cell>
          <cell r="P19">
            <v>29779.669089999999</v>
          </cell>
          <cell r="Q19">
            <v>13213.90077</v>
          </cell>
          <cell r="R19">
            <v>11729.21185</v>
          </cell>
          <cell r="S19">
            <v>34036.90943</v>
          </cell>
          <cell r="T19">
            <v>5403.7674100000004</v>
          </cell>
          <cell r="U19">
            <v>9726.15834</v>
          </cell>
          <cell r="V19">
            <v>19662.811450000001</v>
          </cell>
          <cell r="W19">
            <v>9452.1564199999993</v>
          </cell>
          <cell r="Z19">
            <v>403165.43325999996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H19">
            <v>5672.5910000000003</v>
          </cell>
          <cell r="AI19">
            <v>408838.02425999998</v>
          </cell>
          <cell r="AJ19">
            <v>32566.251250000001</v>
          </cell>
          <cell r="AK19">
            <v>11087.98525</v>
          </cell>
          <cell r="AL19">
            <v>62182.784469999999</v>
          </cell>
          <cell r="AN19">
            <v>105837.02097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68109.146999999997</v>
          </cell>
          <cell r="G20">
            <v>2327.6170000000002</v>
          </cell>
          <cell r="H20">
            <v>1945.1310000000001</v>
          </cell>
          <cell r="I20">
            <v>1771.2439999999999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1205.386</v>
          </cell>
          <cell r="R20">
            <v>1102.154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1126.8630000000001</v>
          </cell>
          <cell r="W20">
            <v>825.36900000000003</v>
          </cell>
          <cell r="Z20">
            <v>22063.374999999996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22417.046999999995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5550.375</v>
          </cell>
          <cell r="AP20">
            <v>855.83600000000001</v>
          </cell>
          <cell r="AS20">
            <v>6406.2110000000002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15307.942999999999</v>
          </cell>
          <cell r="BD20">
            <v>0</v>
          </cell>
          <cell r="BE20">
            <v>0</v>
          </cell>
          <cell r="BF20">
            <v>23977.946</v>
          </cell>
          <cell r="BG20">
            <v>0</v>
          </cell>
          <cell r="BJ20">
            <v>39285.888999999996</v>
          </cell>
        </row>
        <row r="21">
          <cell r="F21">
            <v>4912800.4410000006</v>
          </cell>
          <cell r="G21">
            <v>589768.78699999989</v>
          </cell>
          <cell r="H21">
            <v>331009.9850000001</v>
          </cell>
          <cell r="I21">
            <v>232726.2830000004</v>
          </cell>
          <cell r="J21">
            <v>272512.74200000003</v>
          </cell>
          <cell r="K21">
            <v>252582.52199999988</v>
          </cell>
          <cell r="L21">
            <v>358974.75199999951</v>
          </cell>
          <cell r="M21">
            <v>209152.39699999994</v>
          </cell>
          <cell r="N21">
            <v>247376.15299999976</v>
          </cell>
          <cell r="O21">
            <v>114712.39700000014</v>
          </cell>
          <cell r="P21">
            <v>350890.98</v>
          </cell>
          <cell r="Q21">
            <v>287683.51899999991</v>
          </cell>
          <cell r="R21">
            <v>133172.68700000009</v>
          </cell>
          <cell r="S21">
            <v>538834.41399999941</v>
          </cell>
          <cell r="T21">
            <v>170208.88200000004</v>
          </cell>
          <cell r="U21">
            <v>393175.57400000002</v>
          </cell>
          <cell r="V21">
            <v>98974.597999999954</v>
          </cell>
          <cell r="W21">
            <v>53489.50400000003</v>
          </cell>
          <cell r="Z21">
            <v>4635246.175999999</v>
          </cell>
          <cell r="AA21">
            <v>43829.214</v>
          </cell>
          <cell r="AB21">
            <v>-534.221</v>
          </cell>
          <cell r="AC21">
            <v>9037.8729999999996</v>
          </cell>
          <cell r="AD21">
            <v>19625.800999999999</v>
          </cell>
          <cell r="AH21">
            <v>71958.666999999987</v>
          </cell>
          <cell r="AI21">
            <v>4707204.8430000031</v>
          </cell>
          <cell r="AJ21">
            <v>56716.773000000016</v>
          </cell>
          <cell r="AK21">
            <v>70517.285000000018</v>
          </cell>
          <cell r="AL21">
            <v>69645.642000000065</v>
          </cell>
          <cell r="AN21">
            <v>196879.70000000013</v>
          </cell>
          <cell r="AO21">
            <v>-6182.6679999982007</v>
          </cell>
          <cell r="AP21">
            <v>-855.83600000000001</v>
          </cell>
          <cell r="AS21">
            <v>-7038.5039999982009</v>
          </cell>
          <cell r="AT21">
            <v>3815.1459999999997</v>
          </cell>
          <cell r="AU21">
            <v>-2014.0820000000003</v>
          </cell>
          <cell r="AV21">
            <v>61356.694000000003</v>
          </cell>
          <cell r="BA21">
            <v>63157.758000000002</v>
          </cell>
          <cell r="BB21">
            <v>0</v>
          </cell>
          <cell r="BC21">
            <v>-13605.543</v>
          </cell>
          <cell r="BD21">
            <v>0</v>
          </cell>
          <cell r="BE21">
            <v>0</v>
          </cell>
          <cell r="BF21">
            <v>-33797.813000000002</v>
          </cell>
          <cell r="BG21">
            <v>0</v>
          </cell>
          <cell r="BJ21">
            <v>-47403.356</v>
          </cell>
        </row>
        <row r="22">
          <cell r="F22">
            <v>1610425.0869965013</v>
          </cell>
          <cell r="G22">
            <v>214204.81239740641</v>
          </cell>
          <cell r="H22">
            <v>142671.91464055056</v>
          </cell>
          <cell r="I22">
            <v>128799.22757440149</v>
          </cell>
          <cell r="J22">
            <v>81775.12980491214</v>
          </cell>
          <cell r="K22">
            <v>112658.71586671386</v>
          </cell>
          <cell r="L22">
            <v>121106.16853962574</v>
          </cell>
          <cell r="M22">
            <v>81286.728293670167</v>
          </cell>
          <cell r="N22">
            <v>104541.26157090618</v>
          </cell>
          <cell r="O22">
            <v>56569.631786462967</v>
          </cell>
          <cell r="P22">
            <v>93679.161874583951</v>
          </cell>
          <cell r="Q22">
            <v>83109.737636781152</v>
          </cell>
          <cell r="R22">
            <v>53232.34582014638</v>
          </cell>
          <cell r="S22">
            <v>141550.14955715754</v>
          </cell>
          <cell r="T22">
            <v>34366.337388601394</v>
          </cell>
          <cell r="U22">
            <v>55501.622801430189</v>
          </cell>
          <cell r="V22">
            <v>41955.612319654581</v>
          </cell>
          <cell r="W22">
            <v>20414.274628603554</v>
          </cell>
          <cell r="Z22">
            <v>1567422.8325016084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1567422.8325016084</v>
          </cell>
          <cell r="AJ22">
            <v>16092.581238062527</v>
          </cell>
          <cell r="AK22">
            <v>9409.9689368303152</v>
          </cell>
          <cell r="AL22">
            <v>17499.704320000001</v>
          </cell>
          <cell r="AN22">
            <v>43002.254494892841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J22">
            <v>0</v>
          </cell>
        </row>
        <row r="23">
          <cell r="F23">
            <v>268934.28299650108</v>
          </cell>
          <cell r="G23">
            <v>30643.017168804057</v>
          </cell>
          <cell r="H23">
            <v>20409.895935136665</v>
          </cell>
          <cell r="I23">
            <v>18425.342072001338</v>
          </cell>
          <cell r="J23">
            <v>11698.321240066796</v>
          </cell>
          <cell r="K23">
            <v>17751.932828616496</v>
          </cell>
          <cell r="L23">
            <v>19083.020363822066</v>
          </cell>
          <cell r="M23">
            <v>12808.565492921447</v>
          </cell>
          <cell r="N23">
            <v>16472.844013428625</v>
          </cell>
          <cell r="O23">
            <v>8913.827002971957</v>
          </cell>
          <cell r="P23">
            <v>14761.274138844074</v>
          </cell>
          <cell r="Q23">
            <v>13095.821912949647</v>
          </cell>
          <cell r="R23">
            <v>8387.9619968944244</v>
          </cell>
          <cell r="S23">
            <v>16131.114899692588</v>
          </cell>
          <cell r="T23">
            <v>3916.4023410182167</v>
          </cell>
          <cell r="U23">
            <v>6324.9884039701965</v>
          </cell>
          <cell r="V23">
            <v>4781.2793213759187</v>
          </cell>
          <cell r="W23">
            <v>2326.4193690937132</v>
          </cell>
          <cell r="Z23">
            <v>225932.02850160826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225932.02850160826</v>
          </cell>
          <cell r="AJ23">
            <v>16092.581238062527</v>
          </cell>
          <cell r="AK23">
            <v>9409.9689368303152</v>
          </cell>
          <cell r="AL23">
            <v>17499.704320000001</v>
          </cell>
          <cell r="AN23">
            <v>43002.254494892841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374885.92299999995</v>
          </cell>
          <cell r="G24">
            <v>51297.208170658159</v>
          </cell>
          <cell r="H24">
            <v>34166.696926699427</v>
          </cell>
          <cell r="I24">
            <v>30844.502115322437</v>
          </cell>
          <cell r="J24">
            <v>19583.294183898368</v>
          </cell>
          <cell r="K24">
            <v>26522.14748853237</v>
          </cell>
          <cell r="L24">
            <v>28510.849241164029</v>
          </cell>
          <cell r="M24">
            <v>19136.545096214428</v>
          </cell>
          <cell r="N24">
            <v>24611.134049327691</v>
          </cell>
          <cell r="O24">
            <v>13317.639084290615</v>
          </cell>
          <cell r="P24">
            <v>22053.975395736834</v>
          </cell>
          <cell r="Q24">
            <v>19565.718483279881</v>
          </cell>
          <cell r="R24">
            <v>12531.97425641546</v>
          </cell>
          <cell r="S24">
            <v>35048.939902634425</v>
          </cell>
          <cell r="T24">
            <v>8509.3777546336933</v>
          </cell>
          <cell r="U24">
            <v>13742.642082342099</v>
          </cell>
          <cell r="V24">
            <v>10388.542430864889</v>
          </cell>
          <cell r="W24">
            <v>5054.7363379851768</v>
          </cell>
          <cell r="Z24">
            <v>374885.92299999995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374885.92299999995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966604.88100000017</v>
          </cell>
          <cell r="G25">
            <v>132264.58705794418</v>
          </cell>
          <cell r="H25">
            <v>88095.321778714453</v>
          </cell>
          <cell r="I25">
            <v>79529.383387077716</v>
          </cell>
          <cell r="J25">
            <v>50493.514380946966</v>
          </cell>
          <cell r="K25">
            <v>68384.635549564991</v>
          </cell>
          <cell r="L25">
            <v>73512.298934639635</v>
          </cell>
          <cell r="M25">
            <v>49341.617704534299</v>
          </cell>
          <cell r="N25">
            <v>63457.283508149871</v>
          </cell>
          <cell r="O25">
            <v>34338.165699200392</v>
          </cell>
          <cell r="P25">
            <v>56863.912340003044</v>
          </cell>
          <cell r="Q25">
            <v>50448.197240551628</v>
          </cell>
          <cell r="R25">
            <v>32312.409566836493</v>
          </cell>
          <cell r="S25">
            <v>90370.094754830527</v>
          </cell>
          <cell r="T25">
            <v>21940.557292949485</v>
          </cell>
          <cell r="U25">
            <v>35433.992315117895</v>
          </cell>
          <cell r="V25">
            <v>26785.790567413776</v>
          </cell>
          <cell r="W25">
            <v>13033.118921524663</v>
          </cell>
          <cell r="Z25">
            <v>966604.88100000017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966604.88100000017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J25">
            <v>0</v>
          </cell>
        </row>
        <row r="26">
          <cell r="F26">
            <v>3302375.3540034993</v>
          </cell>
          <cell r="G26">
            <v>375563.97460259346</v>
          </cell>
          <cell r="H26">
            <v>188338.07035944954</v>
          </cell>
          <cell r="I26">
            <v>103927.05542559891</v>
          </cell>
          <cell r="J26">
            <v>190737.61219508789</v>
          </cell>
          <cell r="K26">
            <v>139923.80613328604</v>
          </cell>
          <cell r="L26">
            <v>237868.58346037377</v>
          </cell>
          <cell r="M26">
            <v>127865.66870632977</v>
          </cell>
          <cell r="N26">
            <v>142834.89142909358</v>
          </cell>
          <cell r="O26">
            <v>58142.765213537175</v>
          </cell>
          <cell r="P26">
            <v>257211.81812541603</v>
          </cell>
          <cell r="Q26">
            <v>204573.78136321876</v>
          </cell>
          <cell r="R26">
            <v>79940.341179853713</v>
          </cell>
          <cell r="S26">
            <v>397284.26444284187</v>
          </cell>
          <cell r="T26">
            <v>135842.54461139865</v>
          </cell>
          <cell r="U26">
            <v>337673.95119856985</v>
          </cell>
          <cell r="V26">
            <v>57018.985680345373</v>
          </cell>
          <cell r="W26">
            <v>33075.229371396475</v>
          </cell>
          <cell r="Z26">
            <v>3067823.3434983906</v>
          </cell>
          <cell r="AA26">
            <v>43829.214</v>
          </cell>
          <cell r="AB26">
            <v>-534.221</v>
          </cell>
          <cell r="AC26">
            <v>9037.8729999999996</v>
          </cell>
          <cell r="AD26">
            <v>19625.800999999999</v>
          </cell>
          <cell r="AH26">
            <v>71958.666999999987</v>
          </cell>
          <cell r="AI26">
            <v>3139782.0104983947</v>
          </cell>
          <cell r="AJ26">
            <v>40624.191761937487</v>
          </cell>
          <cell r="AK26">
            <v>61107.316063169703</v>
          </cell>
          <cell r="AL26">
            <v>52145.937680000061</v>
          </cell>
          <cell r="AN26">
            <v>153877.44550510729</v>
          </cell>
          <cell r="AO26">
            <v>-6182.6679999982007</v>
          </cell>
          <cell r="AP26">
            <v>-855.83600000000001</v>
          </cell>
          <cell r="AS26">
            <v>-7038.5039999982009</v>
          </cell>
          <cell r="AT26">
            <v>3815.1459999999997</v>
          </cell>
          <cell r="AU26">
            <v>-2014.0820000000003</v>
          </cell>
          <cell r="AV26">
            <v>61356.694000000003</v>
          </cell>
          <cell r="BA26">
            <v>63157.758000000002</v>
          </cell>
          <cell r="BB26">
            <v>0</v>
          </cell>
          <cell r="BC26">
            <v>-13605.543</v>
          </cell>
          <cell r="BD26">
            <v>0</v>
          </cell>
          <cell r="BE26">
            <v>0</v>
          </cell>
          <cell r="BF26">
            <v>-33797.813000000002</v>
          </cell>
          <cell r="BG26">
            <v>0</v>
          </cell>
          <cell r="BJ26">
            <v>-47403.356</v>
          </cell>
        </row>
        <row r="27">
          <cell r="F27">
            <v>3302375.3540035007</v>
          </cell>
          <cell r="G27">
            <v>375563.97460259352</v>
          </cell>
          <cell r="H27">
            <v>188338.07035944951</v>
          </cell>
          <cell r="I27">
            <v>103927.05542559893</v>
          </cell>
          <cell r="J27">
            <v>190737.61219508783</v>
          </cell>
          <cell r="K27">
            <v>139923.80613328601</v>
          </cell>
          <cell r="L27">
            <v>237868.58346037375</v>
          </cell>
          <cell r="M27">
            <v>127865.66870632979</v>
          </cell>
          <cell r="N27">
            <v>142834.89142909355</v>
          </cell>
          <cell r="O27">
            <v>58142.765213537212</v>
          </cell>
          <cell r="P27">
            <v>257211.81812541606</v>
          </cell>
          <cell r="Q27">
            <v>204573.78136321873</v>
          </cell>
          <cell r="R27">
            <v>79940.341179853727</v>
          </cell>
          <cell r="S27">
            <v>397284.26444284187</v>
          </cell>
          <cell r="T27">
            <v>135842.54461139863</v>
          </cell>
          <cell r="U27">
            <v>337673.95119856979</v>
          </cell>
          <cell r="V27">
            <v>57018.985680345395</v>
          </cell>
          <cell r="W27">
            <v>33075.229371396483</v>
          </cell>
          <cell r="Z27">
            <v>3067823.3434983911</v>
          </cell>
          <cell r="AA27">
            <v>43829.214</v>
          </cell>
          <cell r="AB27">
            <v>-534.221</v>
          </cell>
          <cell r="AC27">
            <v>9037.8729999999996</v>
          </cell>
          <cell r="AD27">
            <v>19625.800999999999</v>
          </cell>
          <cell r="AH27">
            <v>71958.667000000001</v>
          </cell>
          <cell r="AI27">
            <v>3139782.010498391</v>
          </cell>
          <cell r="AJ27">
            <v>40624.191761937487</v>
          </cell>
          <cell r="AK27">
            <v>61107.31606316971</v>
          </cell>
          <cell r="AL27">
            <v>52145.937680000061</v>
          </cell>
          <cell r="AN27">
            <v>153877.44550510726</v>
          </cell>
          <cell r="AO27">
            <v>-6182.6679999982152</v>
          </cell>
          <cell r="AP27">
            <v>-855.83600000000001</v>
          </cell>
          <cell r="AS27">
            <v>-7038.5039999982155</v>
          </cell>
          <cell r="AT27">
            <v>3815.1459999999997</v>
          </cell>
          <cell r="AU27">
            <v>-2014.0820000000003</v>
          </cell>
          <cell r="AV27">
            <v>61356.694000000003</v>
          </cell>
          <cell r="BA27">
            <v>63157.758000000002</v>
          </cell>
          <cell r="BB27">
            <v>0</v>
          </cell>
          <cell r="BC27">
            <v>-13605.543</v>
          </cell>
          <cell r="BD27">
            <v>0</v>
          </cell>
          <cell r="BE27">
            <v>0</v>
          </cell>
          <cell r="BF27">
            <v>-33797.813000000002</v>
          </cell>
          <cell r="BG27">
            <v>0</v>
          </cell>
          <cell r="BJ27">
            <v>-47403.356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3.7252902984619141E-9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1.4551915228366852E-11</v>
          </cell>
          <cell r="AP28">
            <v>0</v>
          </cell>
          <cell r="AS28">
            <v>1.4551915228366852E-11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46247</v>
          </cell>
          <cell r="H31">
            <v>30095</v>
          </cell>
          <cell r="I31">
            <v>28573</v>
          </cell>
          <cell r="J31">
            <v>17598.5</v>
          </cell>
          <cell r="K31">
            <v>22909</v>
          </cell>
          <cell r="L31">
            <v>25120</v>
          </cell>
          <cell r="M31">
            <v>17236</v>
          </cell>
          <cell r="N31">
            <v>21272</v>
          </cell>
          <cell r="O31">
            <v>12804</v>
          </cell>
          <cell r="P31">
            <v>19111.5</v>
          </cell>
          <cell r="Q31">
            <v>17659</v>
          </cell>
          <cell r="R31">
            <v>11110</v>
          </cell>
          <cell r="S31">
            <v>30069</v>
          </cell>
          <cell r="T31">
            <v>6925.5</v>
          </cell>
          <cell r="U31">
            <v>10980</v>
          </cell>
          <cell r="V31">
            <v>9772</v>
          </cell>
          <cell r="W31">
            <v>3556</v>
          </cell>
          <cell r="X31">
            <v>0</v>
          </cell>
          <cell r="Y31">
            <v>0</v>
          </cell>
          <cell r="Z31">
            <v>331037.5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331037.5</v>
          </cell>
          <cell r="AJ31">
            <v>20579</v>
          </cell>
          <cell r="AK31">
            <v>27240</v>
          </cell>
          <cell r="AL31">
            <v>38524</v>
          </cell>
          <cell r="AN31">
            <v>86343</v>
          </cell>
          <cell r="AO31">
            <v>8574.9830000000002</v>
          </cell>
          <cell r="AP31">
            <v>0</v>
          </cell>
          <cell r="AS31">
            <v>8574.9830000000002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44468098.589999996</v>
          </cell>
          <cell r="G32">
            <v>4615887.5729999999</v>
          </cell>
          <cell r="H32">
            <v>3074429.1430000002</v>
          </cell>
          <cell r="I32">
            <v>2775487.3820000002</v>
          </cell>
          <cell r="J32">
            <v>1762167.7180000001</v>
          </cell>
          <cell r="K32">
            <v>2386548.0279999999</v>
          </cell>
          <cell r="L32">
            <v>2565497.7999999998</v>
          </cell>
          <cell r="M32">
            <v>1721967.8</v>
          </cell>
          <cell r="N32">
            <v>2214588.9</v>
          </cell>
          <cell r="O32">
            <v>1198363.9450000001</v>
          </cell>
          <cell r="P32">
            <v>1984487.55</v>
          </cell>
          <cell r="Q32">
            <v>1760586.2</v>
          </cell>
          <cell r="R32">
            <v>1127667.3</v>
          </cell>
          <cell r="S32">
            <v>3153816.1999999997</v>
          </cell>
          <cell r="T32">
            <v>765701.14500000002</v>
          </cell>
          <cell r="U32">
            <v>1236607.08</v>
          </cell>
          <cell r="V32">
            <v>934794.41899999999</v>
          </cell>
          <cell r="W32">
            <v>454841.413</v>
          </cell>
          <cell r="X32">
            <v>0</v>
          </cell>
          <cell r="Y32">
            <v>0</v>
          </cell>
          <cell r="Z32">
            <v>33733439.596000001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33824279.596000001</v>
          </cell>
          <cell r="AJ32">
            <v>653706.40800000005</v>
          </cell>
          <cell r="AK32">
            <v>382248</v>
          </cell>
          <cell r="AL32">
            <v>710866</v>
          </cell>
          <cell r="AN32">
            <v>1746820.4080000001</v>
          </cell>
          <cell r="AO32">
            <v>8822039.4920000006</v>
          </cell>
          <cell r="AP32">
            <v>0</v>
          </cell>
          <cell r="AS32">
            <v>8822039.4920000006</v>
          </cell>
          <cell r="AT32">
            <v>5250</v>
          </cell>
          <cell r="AU32">
            <v>6650</v>
          </cell>
          <cell r="AV32">
            <v>61356.694000000003</v>
          </cell>
          <cell r="BA32">
            <v>73256.694000000003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1702.4</v>
          </cell>
        </row>
        <row r="33">
          <cell r="F33">
            <v>38650330.604999997</v>
          </cell>
          <cell r="G33">
            <v>3948179.548</v>
          </cell>
          <cell r="H33">
            <v>2678461.3840000001</v>
          </cell>
          <cell r="I33">
            <v>2497582.5189999999</v>
          </cell>
          <cell r="J33">
            <v>1452004.547</v>
          </cell>
          <cell r="K33">
            <v>2085875.253</v>
          </cell>
          <cell r="L33">
            <v>2151195.6480000005</v>
          </cell>
          <cell r="M33">
            <v>1474676.2520000001</v>
          </cell>
          <cell r="N33">
            <v>1918138.8370000001</v>
          </cell>
          <cell r="O33">
            <v>1054595.612</v>
          </cell>
          <cell r="P33">
            <v>1588516.06</v>
          </cell>
          <cell r="Q33">
            <v>1436783.365</v>
          </cell>
          <cell r="R33">
            <v>965197.45899999992</v>
          </cell>
          <cell r="S33">
            <v>2560120.0960000004</v>
          </cell>
          <cell r="T33">
            <v>585083.89599999995</v>
          </cell>
          <cell r="U33">
            <v>830463.76199999999</v>
          </cell>
          <cell r="V33">
            <v>803091.34200000006</v>
          </cell>
          <cell r="W33">
            <v>385391.59899999999</v>
          </cell>
          <cell r="X33">
            <v>0</v>
          </cell>
          <cell r="Y33">
            <v>0</v>
          </cell>
          <cell r="Z33">
            <v>28415357.178999998</v>
          </cell>
          <cell r="AA33">
            <v>6170.7860000000001</v>
          </cell>
          <cell r="AB33">
            <v>0</v>
          </cell>
          <cell r="AC33">
            <v>3462.127</v>
          </cell>
          <cell r="AD33">
            <v>8714.1990000000005</v>
          </cell>
          <cell r="AH33">
            <v>18347.112000000001</v>
          </cell>
          <cell r="AI33">
            <v>28433704.290999997</v>
          </cell>
          <cell r="AJ33">
            <v>596529.63500000001</v>
          </cell>
          <cell r="AK33">
            <v>309691.59700000001</v>
          </cell>
          <cell r="AL33">
            <v>641220.35799999989</v>
          </cell>
          <cell r="AN33">
            <v>1547441.5899999999</v>
          </cell>
          <cell r="AO33">
            <v>8659085.7879999988</v>
          </cell>
          <cell r="AP33">
            <v>0</v>
          </cell>
          <cell r="AS33">
            <v>8659085.7879999988</v>
          </cell>
          <cell r="AT33">
            <v>1434.854</v>
          </cell>
          <cell r="AU33">
            <v>8664.0820000000003</v>
          </cell>
          <cell r="AV33">
            <v>0</v>
          </cell>
          <cell r="BA33">
            <v>10098.936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J33">
            <v>0</v>
          </cell>
        </row>
        <row r="34">
          <cell r="F34">
            <v>5817767.9849999994</v>
          </cell>
          <cell r="G34">
            <v>667708.02499999991</v>
          </cell>
          <cell r="H34">
            <v>395967.75900000008</v>
          </cell>
          <cell r="I34">
            <v>277904.86300000036</v>
          </cell>
          <cell r="J34">
            <v>310163.17100000009</v>
          </cell>
          <cell r="K34">
            <v>300672.77499999991</v>
          </cell>
          <cell r="L34">
            <v>414302.1519999993</v>
          </cell>
          <cell r="M34">
            <v>247291.54799999995</v>
          </cell>
          <cell r="N34">
            <v>296450.06299999985</v>
          </cell>
          <cell r="O34">
            <v>143768.3330000001</v>
          </cell>
          <cell r="P34">
            <v>395971.49</v>
          </cell>
          <cell r="Q34">
            <v>323802.83499999996</v>
          </cell>
          <cell r="R34">
            <v>162469.84100000013</v>
          </cell>
          <cell r="S34">
            <v>593696.10399999935</v>
          </cell>
          <cell r="T34">
            <v>180617.24900000007</v>
          </cell>
          <cell r="U34">
            <v>406143.31800000009</v>
          </cell>
          <cell r="V34">
            <v>131703.07699999993</v>
          </cell>
          <cell r="W34">
            <v>69449.814000000013</v>
          </cell>
          <cell r="X34">
            <v>0</v>
          </cell>
          <cell r="Y34">
            <v>0</v>
          </cell>
          <cell r="Z34">
            <v>5318082.4170000032</v>
          </cell>
          <cell r="AA34">
            <v>43829.214</v>
          </cell>
          <cell r="AB34">
            <v>0</v>
          </cell>
          <cell r="AC34">
            <v>9037.8729999999996</v>
          </cell>
          <cell r="AD34">
            <v>19625.800999999999</v>
          </cell>
          <cell r="AH34">
            <v>72492.888000000006</v>
          </cell>
          <cell r="AI34">
            <v>5390575.3050000034</v>
          </cell>
          <cell r="AJ34">
            <v>57176.773000000045</v>
          </cell>
          <cell r="AK34">
            <v>72556.402999999991</v>
          </cell>
          <cell r="AL34">
            <v>69645.642000000109</v>
          </cell>
          <cell r="AN34">
            <v>199378.8180000002</v>
          </cell>
          <cell r="AO34">
            <v>162953.70400000177</v>
          </cell>
          <cell r="AP34">
            <v>0</v>
          </cell>
          <cell r="AS34">
            <v>162953.70400000177</v>
          </cell>
          <cell r="AT34">
            <v>3815.1459999999997</v>
          </cell>
          <cell r="AU34">
            <v>-2014.0820000000003</v>
          </cell>
          <cell r="AV34">
            <v>61356.694000000003</v>
          </cell>
          <cell r="BA34">
            <v>63157.758000000002</v>
          </cell>
          <cell r="BB34">
            <v>0</v>
          </cell>
          <cell r="BC34">
            <v>1702.4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J34">
            <v>1702.4</v>
          </cell>
        </row>
        <row r="35">
          <cell r="F35">
            <v>2515392.6309965011</v>
          </cell>
          <cell r="G35">
            <v>292144.05039740645</v>
          </cell>
          <cell r="H35">
            <v>207629.68864055056</v>
          </cell>
          <cell r="I35">
            <v>173977.80757440149</v>
          </cell>
          <cell r="J35">
            <v>119425.55880491214</v>
          </cell>
          <cell r="K35">
            <v>160748.96886671384</v>
          </cell>
          <cell r="L35">
            <v>176433.56853962573</v>
          </cell>
          <cell r="M35">
            <v>119425.87929367016</v>
          </cell>
          <cell r="N35">
            <v>153615.17157090618</v>
          </cell>
          <cell r="O35">
            <v>85625.567786462969</v>
          </cell>
          <cell r="P35">
            <v>138759.67187458396</v>
          </cell>
          <cell r="Q35">
            <v>119229.05363678114</v>
          </cell>
          <cell r="R35">
            <v>82529.499820146375</v>
          </cell>
          <cell r="S35">
            <v>196411.83955715754</v>
          </cell>
          <cell r="T35">
            <v>44774.704388601393</v>
          </cell>
          <cell r="U35">
            <v>68469.366801430195</v>
          </cell>
          <cell r="V35">
            <v>74684.091319654588</v>
          </cell>
          <cell r="W35">
            <v>36374.584628603552</v>
          </cell>
          <cell r="X35">
            <v>0</v>
          </cell>
          <cell r="Y35">
            <v>0</v>
          </cell>
          <cell r="Z35">
            <v>2250259.0735016083</v>
          </cell>
          <cell r="AA35">
            <v>0</v>
          </cell>
          <cell r="AB35">
            <v>534.221</v>
          </cell>
          <cell r="AC35">
            <v>0</v>
          </cell>
          <cell r="AD35">
            <v>0</v>
          </cell>
          <cell r="AH35">
            <v>534.221</v>
          </cell>
          <cell r="AI35">
            <v>2250793.2945016082</v>
          </cell>
          <cell r="AJ35">
            <v>16552.581238062528</v>
          </cell>
          <cell r="AK35">
            <v>11449.086936830316</v>
          </cell>
          <cell r="AL35">
            <v>17499.704320000001</v>
          </cell>
          <cell r="AN35">
            <v>45501.372494892843</v>
          </cell>
          <cell r="AO35">
            <v>169136.37199999997</v>
          </cell>
          <cell r="AP35">
            <v>855.83600000000001</v>
          </cell>
          <cell r="AS35">
            <v>169992.20799999998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15307.942999999999</v>
          </cell>
          <cell r="BD35">
            <v>0</v>
          </cell>
          <cell r="BE35">
            <v>0</v>
          </cell>
          <cell r="BF35">
            <v>33797.813000000002</v>
          </cell>
          <cell r="BG35">
            <v>0</v>
          </cell>
          <cell r="BJ35">
            <v>49105.756000000001</v>
          </cell>
        </row>
        <row r="36">
          <cell r="F36">
            <v>3302375.3540034983</v>
          </cell>
          <cell r="G36">
            <v>375563.97460259346</v>
          </cell>
          <cell r="H36">
            <v>188338.07035944951</v>
          </cell>
          <cell r="I36">
            <v>103927.05542559887</v>
          </cell>
          <cell r="J36">
            <v>190737.61219508795</v>
          </cell>
          <cell r="K36">
            <v>139923.80613328607</v>
          </cell>
          <cell r="L36">
            <v>237868.58346037357</v>
          </cell>
          <cell r="M36">
            <v>127865.66870632979</v>
          </cell>
          <cell r="N36">
            <v>142834.89142909367</v>
          </cell>
          <cell r="O36">
            <v>58142.765213537132</v>
          </cell>
          <cell r="P36">
            <v>257211.81812541603</v>
          </cell>
          <cell r="Q36">
            <v>204573.78136321882</v>
          </cell>
          <cell r="R36">
            <v>79940.341179853756</v>
          </cell>
          <cell r="S36">
            <v>397284.26444284181</v>
          </cell>
          <cell r="T36">
            <v>135842.54461139868</v>
          </cell>
          <cell r="U36">
            <v>337673.95119856991</v>
          </cell>
          <cell r="V36">
            <v>57018.985680345344</v>
          </cell>
          <cell r="W36">
            <v>33075.229371396461</v>
          </cell>
          <cell r="X36">
            <v>0</v>
          </cell>
          <cell r="Y36">
            <v>0</v>
          </cell>
          <cell r="Z36">
            <v>3067823.3434983948</v>
          </cell>
          <cell r="AA36">
            <v>43829.214</v>
          </cell>
          <cell r="AB36">
            <v>-534.221</v>
          </cell>
          <cell r="AC36">
            <v>9037.8729999999996</v>
          </cell>
          <cell r="AD36">
            <v>19625.800999999999</v>
          </cell>
          <cell r="AH36">
            <v>71958.667000000001</v>
          </cell>
          <cell r="AI36">
            <v>3139782.0104983952</v>
          </cell>
          <cell r="AJ36">
            <v>40624.191761937516</v>
          </cell>
          <cell r="AK36">
            <v>61107.316063169674</v>
          </cell>
          <cell r="AL36">
            <v>52145.937680000105</v>
          </cell>
          <cell r="AN36">
            <v>153877.44550510735</v>
          </cell>
          <cell r="AO36">
            <v>-6182.6679999982007</v>
          </cell>
          <cell r="AP36">
            <v>-855.83600000000001</v>
          </cell>
          <cell r="AS36">
            <v>-7038.5039999982109</v>
          </cell>
          <cell r="AT36">
            <v>3815.1459999999997</v>
          </cell>
          <cell r="AU36">
            <v>-2014.0820000000003</v>
          </cell>
          <cell r="AV36">
            <v>61356.694000000003</v>
          </cell>
          <cell r="BA36">
            <v>63157.758000000002</v>
          </cell>
          <cell r="BB36">
            <v>0</v>
          </cell>
          <cell r="BC36">
            <v>-13605.543</v>
          </cell>
          <cell r="BD36">
            <v>0</v>
          </cell>
          <cell r="BE36">
            <v>0</v>
          </cell>
          <cell r="BF36">
            <v>-33797.813000000002</v>
          </cell>
          <cell r="BG36">
            <v>0</v>
          </cell>
          <cell r="BJ36">
            <v>-47403.356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-10516</v>
          </cell>
          <cell r="AK38">
            <v>-16984</v>
          </cell>
          <cell r="AL38">
            <v>-24316</v>
          </cell>
          <cell r="AN38">
            <v>-51816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-1088746.4080000001</v>
          </cell>
          <cell r="Z39">
            <v>0</v>
          </cell>
          <cell r="AH39">
            <v>0</v>
          </cell>
          <cell r="AI39">
            <v>0</v>
          </cell>
          <cell r="AJ39">
            <v>-330200.408</v>
          </cell>
          <cell r="AK39">
            <v>-271440</v>
          </cell>
          <cell r="AL39">
            <v>-487106</v>
          </cell>
          <cell r="AN39">
            <v>-1088746.4080000001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-1088746.4080000001</v>
          </cell>
          <cell r="K40">
            <v>-90892.085000000006</v>
          </cell>
          <cell r="L40">
            <v>-80320.510999999999</v>
          </cell>
          <cell r="M40">
            <v>-925.98199999999997</v>
          </cell>
          <cell r="N40">
            <v>-5065.1639999999998</v>
          </cell>
          <cell r="O40">
            <v>-611.24400000000003</v>
          </cell>
          <cell r="P40">
            <v>494.35399999999998</v>
          </cell>
          <cell r="Z40">
            <v>-177320.63200000001</v>
          </cell>
          <cell r="AH40">
            <v>0</v>
          </cell>
          <cell r="AI40">
            <v>-177320.63200000001</v>
          </cell>
          <cell r="AJ40">
            <v>-304810.29399999999</v>
          </cell>
          <cell r="AK40">
            <v>-201885.43599999999</v>
          </cell>
          <cell r="AL40">
            <v>-404730.04599999997</v>
          </cell>
          <cell r="AN40">
            <v>-911425.77599999995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90892.085000000006</v>
          </cell>
          <cell r="L41">
            <v>80320.510999999999</v>
          </cell>
          <cell r="M41">
            <v>925.98199999999997</v>
          </cell>
          <cell r="N41">
            <v>5065.1639999999998</v>
          </cell>
          <cell r="O41">
            <v>611.24400000000003</v>
          </cell>
          <cell r="P41">
            <v>-494.35399999999998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177320.63200000001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177320.63200000001</v>
          </cell>
          <cell r="AJ41">
            <v>-25390.114000000001</v>
          </cell>
          <cell r="AK41">
            <v>-69554.564000000013</v>
          </cell>
          <cell r="AL41">
            <v>-82375.954000000027</v>
          </cell>
          <cell r="AN41">
            <v>-177320.6320000001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90892.085000000006</v>
          </cell>
          <cell r="L43">
            <v>80320.510999999999</v>
          </cell>
          <cell r="M43">
            <v>925.98199999999997</v>
          </cell>
          <cell r="N43">
            <v>5065.1639999999998</v>
          </cell>
          <cell r="O43">
            <v>611.24400000000003</v>
          </cell>
          <cell r="P43">
            <v>-494.35399999999998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177320.63200000001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177320.63200000001</v>
          </cell>
          <cell r="AJ43">
            <v>-25390.114000000001</v>
          </cell>
          <cell r="AK43">
            <v>-69554.564000000013</v>
          </cell>
          <cell r="AL43">
            <v>-82375.954000000027</v>
          </cell>
          <cell r="AN43">
            <v>-177320.6320000001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46247</v>
          </cell>
          <cell r="H45">
            <v>30095</v>
          </cell>
          <cell r="I45">
            <v>28573</v>
          </cell>
          <cell r="J45">
            <v>17598.5</v>
          </cell>
          <cell r="K45">
            <v>22909</v>
          </cell>
          <cell r="L45">
            <v>25120</v>
          </cell>
          <cell r="M45">
            <v>17236</v>
          </cell>
          <cell r="N45">
            <v>21272</v>
          </cell>
          <cell r="O45">
            <v>12804</v>
          </cell>
          <cell r="P45">
            <v>19111.5</v>
          </cell>
          <cell r="Q45">
            <v>17659</v>
          </cell>
          <cell r="R45">
            <v>11110</v>
          </cell>
          <cell r="S45">
            <v>30069</v>
          </cell>
          <cell r="T45">
            <v>6925.5</v>
          </cell>
          <cell r="U45">
            <v>10980</v>
          </cell>
          <cell r="V45">
            <v>9772</v>
          </cell>
          <cell r="W45">
            <v>3556</v>
          </cell>
          <cell r="X45">
            <v>0</v>
          </cell>
          <cell r="Y45">
            <v>0</v>
          </cell>
          <cell r="Z45">
            <v>331037.5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331037.5</v>
          </cell>
          <cell r="AJ45">
            <v>10063</v>
          </cell>
          <cell r="AK45">
            <v>10256</v>
          </cell>
          <cell r="AL45">
            <v>14208</v>
          </cell>
          <cell r="AN45">
            <v>34527</v>
          </cell>
          <cell r="AO45">
            <v>8574.9830000000002</v>
          </cell>
          <cell r="AP45">
            <v>0</v>
          </cell>
          <cell r="AS45">
            <v>8574.9830000000002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43379352.181999996</v>
          </cell>
          <cell r="G46">
            <v>4615887.5729999999</v>
          </cell>
          <cell r="H46">
            <v>3074429.1430000002</v>
          </cell>
          <cell r="I46">
            <v>2775487.3820000002</v>
          </cell>
          <cell r="J46">
            <v>1762167.7180000001</v>
          </cell>
          <cell r="K46">
            <v>2386548.0279999999</v>
          </cell>
          <cell r="L46">
            <v>2565497.7999999998</v>
          </cell>
          <cell r="M46">
            <v>1721967.8</v>
          </cell>
          <cell r="N46">
            <v>2214588.9</v>
          </cell>
          <cell r="O46">
            <v>1198363.9450000001</v>
          </cell>
          <cell r="P46">
            <v>1984487.55</v>
          </cell>
          <cell r="Q46">
            <v>1760586.2</v>
          </cell>
          <cell r="R46">
            <v>1127667.3</v>
          </cell>
          <cell r="S46">
            <v>3153816.1999999997</v>
          </cell>
          <cell r="T46">
            <v>765701.14500000002</v>
          </cell>
          <cell r="U46">
            <v>1236607.08</v>
          </cell>
          <cell r="V46">
            <v>934794.41899999999</v>
          </cell>
          <cell r="W46">
            <v>454841.413</v>
          </cell>
          <cell r="X46">
            <v>0</v>
          </cell>
          <cell r="Y46">
            <v>0</v>
          </cell>
          <cell r="Z46">
            <v>33733439.596000001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33824279.596000001</v>
          </cell>
          <cell r="AJ46">
            <v>323506.00000000006</v>
          </cell>
          <cell r="AK46">
            <v>110808</v>
          </cell>
          <cell r="AL46">
            <v>223760</v>
          </cell>
          <cell r="AN46">
            <v>658074</v>
          </cell>
          <cell r="AO46">
            <v>8822039.4920000006</v>
          </cell>
          <cell r="AP46">
            <v>0</v>
          </cell>
          <cell r="AS46">
            <v>8822039.4920000006</v>
          </cell>
          <cell r="AT46">
            <v>5250</v>
          </cell>
          <cell r="AU46">
            <v>6650</v>
          </cell>
          <cell r="AV46">
            <v>61356.694000000003</v>
          </cell>
          <cell r="BA46">
            <v>73256.694000000003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1702.4</v>
          </cell>
        </row>
        <row r="47">
          <cell r="F47">
            <v>37561584.196999989</v>
          </cell>
          <cell r="G47">
            <v>3948179.548</v>
          </cell>
          <cell r="H47">
            <v>2678461.3840000001</v>
          </cell>
          <cell r="I47">
            <v>2497582.5189999999</v>
          </cell>
          <cell r="J47">
            <v>1452004.547</v>
          </cell>
          <cell r="K47">
            <v>1994983.1680000001</v>
          </cell>
          <cell r="L47">
            <v>2070875.1370000006</v>
          </cell>
          <cell r="M47">
            <v>1473750.27</v>
          </cell>
          <cell r="N47">
            <v>1913073.673</v>
          </cell>
          <cell r="O47">
            <v>1053984.368</v>
          </cell>
          <cell r="P47">
            <v>1589010.4140000001</v>
          </cell>
          <cell r="Q47">
            <v>1436783.365</v>
          </cell>
          <cell r="R47">
            <v>965197.45899999992</v>
          </cell>
          <cell r="S47">
            <v>2560120.0960000004</v>
          </cell>
          <cell r="T47">
            <v>585083.89599999995</v>
          </cell>
          <cell r="U47">
            <v>830463.76199999999</v>
          </cell>
          <cell r="V47">
            <v>803091.34200000006</v>
          </cell>
          <cell r="W47">
            <v>385391.59899999999</v>
          </cell>
          <cell r="X47">
            <v>0</v>
          </cell>
          <cell r="Y47">
            <v>0</v>
          </cell>
          <cell r="Z47">
            <v>28238036.546999998</v>
          </cell>
          <cell r="AA47">
            <v>6170.7860000000001</v>
          </cell>
          <cell r="AB47">
            <v>0</v>
          </cell>
          <cell r="AC47">
            <v>3462.127</v>
          </cell>
          <cell r="AD47">
            <v>8714.1990000000005</v>
          </cell>
          <cell r="AH47">
            <v>18347.112000000001</v>
          </cell>
          <cell r="AI47">
            <v>28256383.658999998</v>
          </cell>
          <cell r="AJ47">
            <v>291719.34100000001</v>
          </cell>
          <cell r="AK47">
            <v>107806.16100000002</v>
          </cell>
          <cell r="AL47">
            <v>236490.31199999992</v>
          </cell>
          <cell r="AN47">
            <v>636015.81400000001</v>
          </cell>
          <cell r="AO47">
            <v>8659085.7879999988</v>
          </cell>
          <cell r="AP47">
            <v>0</v>
          </cell>
          <cell r="AS47">
            <v>8659085.7879999988</v>
          </cell>
          <cell r="AT47">
            <v>1434.854</v>
          </cell>
          <cell r="AU47">
            <v>8664.0820000000003</v>
          </cell>
          <cell r="AV47">
            <v>0</v>
          </cell>
          <cell r="BA47">
            <v>10098.936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J47">
            <v>0</v>
          </cell>
        </row>
        <row r="48">
          <cell r="F48">
            <v>5817767.9850000069</v>
          </cell>
          <cell r="G48">
            <v>667708.02499999991</v>
          </cell>
          <cell r="H48">
            <v>395967.75900000008</v>
          </cell>
          <cell r="I48">
            <v>277904.86300000036</v>
          </cell>
          <cell r="J48">
            <v>310163.17100000009</v>
          </cell>
          <cell r="K48">
            <v>391564.85999999987</v>
          </cell>
          <cell r="L48">
            <v>494622.66299999924</v>
          </cell>
          <cell r="M48">
            <v>248217.53000000003</v>
          </cell>
          <cell r="N48">
            <v>301515.22699999996</v>
          </cell>
          <cell r="O48">
            <v>144379.57700000005</v>
          </cell>
          <cell r="P48">
            <v>395477.13599999994</v>
          </cell>
          <cell r="Q48">
            <v>323802.83499999996</v>
          </cell>
          <cell r="R48">
            <v>162469.84100000013</v>
          </cell>
          <cell r="S48">
            <v>593696.10399999935</v>
          </cell>
          <cell r="T48">
            <v>180617.24900000007</v>
          </cell>
          <cell r="U48">
            <v>406143.31800000009</v>
          </cell>
          <cell r="V48">
            <v>131703.07699999993</v>
          </cell>
          <cell r="W48">
            <v>69449.814000000013</v>
          </cell>
          <cell r="X48">
            <v>0</v>
          </cell>
          <cell r="Y48">
            <v>0</v>
          </cell>
          <cell r="Z48">
            <v>5495403.0490000024</v>
          </cell>
          <cell r="AA48">
            <v>43829.214</v>
          </cell>
          <cell r="AB48">
            <v>0</v>
          </cell>
          <cell r="AC48">
            <v>9037.8729999999996</v>
          </cell>
          <cell r="AD48">
            <v>19625.800999999999</v>
          </cell>
          <cell r="AH48">
            <v>72492.888000000006</v>
          </cell>
          <cell r="AI48">
            <v>5567895.9370000027</v>
          </cell>
          <cell r="AJ48">
            <v>31786.659000000043</v>
          </cell>
          <cell r="AK48">
            <v>3001.8389999999781</v>
          </cell>
          <cell r="AL48">
            <v>-12730.311999999918</v>
          </cell>
          <cell r="AN48">
            <v>22058.185999999987</v>
          </cell>
          <cell r="AO48">
            <v>162953.70400000177</v>
          </cell>
          <cell r="AP48">
            <v>0</v>
          </cell>
          <cell r="AS48">
            <v>162953.70400000177</v>
          </cell>
          <cell r="AT48">
            <v>3815.1459999999997</v>
          </cell>
          <cell r="AU48">
            <v>-2014.0820000000003</v>
          </cell>
          <cell r="AV48">
            <v>61356.694000000003</v>
          </cell>
          <cell r="BA48">
            <v>63157.758000000002</v>
          </cell>
          <cell r="BB48">
            <v>0</v>
          </cell>
          <cell r="BC48">
            <v>1702.4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J48">
            <v>1702.4</v>
          </cell>
        </row>
        <row r="49">
          <cell r="F49">
            <v>2515392.6309965011</v>
          </cell>
          <cell r="G49">
            <v>292144.05039740645</v>
          </cell>
          <cell r="H49">
            <v>207629.68864055056</v>
          </cell>
          <cell r="I49">
            <v>173977.80757440149</v>
          </cell>
          <cell r="J49">
            <v>119425.55880491214</v>
          </cell>
          <cell r="K49">
            <v>160748.96886671384</v>
          </cell>
          <cell r="L49">
            <v>176433.56853962573</v>
          </cell>
          <cell r="M49">
            <v>119425.87929367016</v>
          </cell>
          <cell r="N49">
            <v>153615.17157090618</v>
          </cell>
          <cell r="O49">
            <v>85625.567786462969</v>
          </cell>
          <cell r="P49">
            <v>138759.67187458396</v>
          </cell>
          <cell r="Q49">
            <v>119229.05363678114</v>
          </cell>
          <cell r="R49">
            <v>82529.499820146375</v>
          </cell>
          <cell r="S49">
            <v>196411.83955715754</v>
          </cell>
          <cell r="T49">
            <v>44774.704388601393</v>
          </cell>
          <cell r="U49">
            <v>68469.366801430195</v>
          </cell>
          <cell r="V49">
            <v>74684.091319654588</v>
          </cell>
          <cell r="W49">
            <v>36374.584628603552</v>
          </cell>
          <cell r="X49">
            <v>0</v>
          </cell>
          <cell r="Y49">
            <v>0</v>
          </cell>
          <cell r="Z49">
            <v>2250259.0735016083</v>
          </cell>
          <cell r="AA49">
            <v>0</v>
          </cell>
          <cell r="AB49">
            <v>534.221</v>
          </cell>
          <cell r="AC49">
            <v>0</v>
          </cell>
          <cell r="AD49">
            <v>0</v>
          </cell>
          <cell r="AH49">
            <v>534.221</v>
          </cell>
          <cell r="AI49">
            <v>2250793.2945016082</v>
          </cell>
          <cell r="AJ49">
            <v>16552.581238062528</v>
          </cell>
          <cell r="AK49">
            <v>11449.086936830316</v>
          </cell>
          <cell r="AL49">
            <v>17499.704320000001</v>
          </cell>
          <cell r="AN49">
            <v>45501.372494892843</v>
          </cell>
          <cell r="AO49">
            <v>169136.37199999997</v>
          </cell>
          <cell r="AP49">
            <v>855.83600000000001</v>
          </cell>
          <cell r="AS49">
            <v>169992.20799999998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15307.942999999999</v>
          </cell>
          <cell r="BD49">
            <v>0</v>
          </cell>
          <cell r="BE49">
            <v>0</v>
          </cell>
          <cell r="BF49">
            <v>33797.813000000002</v>
          </cell>
          <cell r="BG49">
            <v>0</v>
          </cell>
          <cell r="BJ49">
            <v>49105.756000000001</v>
          </cell>
        </row>
        <row r="50">
          <cell r="F50">
            <v>3302375.3540035058</v>
          </cell>
          <cell r="G50">
            <v>375563.97460259346</v>
          </cell>
          <cell r="H50">
            <v>188338.07035944951</v>
          </cell>
          <cell r="I50">
            <v>103927.05542559887</v>
          </cell>
          <cell r="J50">
            <v>190737.61219508795</v>
          </cell>
          <cell r="K50">
            <v>230815.89113328603</v>
          </cell>
          <cell r="L50">
            <v>318189.09446037351</v>
          </cell>
          <cell r="M50">
            <v>128791.65070632986</v>
          </cell>
          <cell r="N50">
            <v>147900.05542909377</v>
          </cell>
          <cell r="O50">
            <v>58754.00921353708</v>
          </cell>
          <cell r="P50">
            <v>256717.46412541598</v>
          </cell>
          <cell r="Q50">
            <v>204573.78136321882</v>
          </cell>
          <cell r="R50">
            <v>79940.341179853756</v>
          </cell>
          <cell r="S50">
            <v>397284.26444284181</v>
          </cell>
          <cell r="T50">
            <v>135842.54461139868</v>
          </cell>
          <cell r="U50">
            <v>337673.95119856991</v>
          </cell>
          <cell r="V50">
            <v>57018.985680345344</v>
          </cell>
          <cell r="W50">
            <v>33075.229371396461</v>
          </cell>
          <cell r="X50">
            <v>0</v>
          </cell>
          <cell r="Y50">
            <v>0</v>
          </cell>
          <cell r="Z50">
            <v>3245143.9754983941</v>
          </cell>
          <cell r="AA50">
            <v>43829.214</v>
          </cell>
          <cell r="AB50">
            <v>-534.221</v>
          </cell>
          <cell r="AC50">
            <v>9037.8729999999996</v>
          </cell>
          <cell r="AD50">
            <v>19625.800999999999</v>
          </cell>
          <cell r="AH50">
            <v>71958.667000000001</v>
          </cell>
          <cell r="AI50">
            <v>3317102.6424983945</v>
          </cell>
          <cell r="AJ50">
            <v>15234.077761937515</v>
          </cell>
          <cell r="AK50">
            <v>-8447.2479368303375</v>
          </cell>
          <cell r="AL50">
            <v>-30230.016319999919</v>
          </cell>
          <cell r="AN50">
            <v>-23443.186494892856</v>
          </cell>
          <cell r="AO50">
            <v>-6182.6679999982007</v>
          </cell>
          <cell r="AP50">
            <v>-855.83600000000001</v>
          </cell>
          <cell r="AS50">
            <v>-7038.5039999982109</v>
          </cell>
          <cell r="AT50">
            <v>3815.1459999999997</v>
          </cell>
          <cell r="AU50">
            <v>-2014.0820000000003</v>
          </cell>
          <cell r="AV50">
            <v>61356.694000000003</v>
          </cell>
          <cell r="BA50">
            <v>63157.758000000002</v>
          </cell>
          <cell r="BB50">
            <v>0</v>
          </cell>
          <cell r="BC50">
            <v>-13605.543</v>
          </cell>
          <cell r="BD50">
            <v>0</v>
          </cell>
          <cell r="BE50">
            <v>0</v>
          </cell>
          <cell r="BF50">
            <v>-33797.813000000002</v>
          </cell>
          <cell r="BG50">
            <v>0</v>
          </cell>
          <cell r="BJ50">
            <v>-47403.356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0"/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>
        <row r="6">
          <cell r="G6" t="str">
            <v>안양</v>
          </cell>
        </row>
      </sheetData>
      <sheetData sheetId="5">
        <row r="6">
          <cell r="G6" t="str">
            <v>안양</v>
          </cell>
        </row>
      </sheetData>
      <sheetData sheetId="6"/>
      <sheetData sheetId="7">
        <row r="6">
          <cell r="F6" t="str">
            <v>합계</v>
          </cell>
        </row>
      </sheetData>
      <sheetData sheetId="8"/>
      <sheetData sheetId="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40841</v>
          </cell>
          <cell r="H7">
            <v>38927</v>
          </cell>
          <cell r="I7">
            <v>21850</v>
          </cell>
          <cell r="J7">
            <v>21233</v>
          </cell>
          <cell r="K7">
            <v>24598.5</v>
          </cell>
          <cell r="L7">
            <v>19461</v>
          </cell>
          <cell r="M7">
            <v>14880</v>
          </cell>
          <cell r="N7">
            <v>18648</v>
          </cell>
          <cell r="O7">
            <v>14434</v>
          </cell>
          <cell r="P7">
            <v>22036</v>
          </cell>
          <cell r="Q7">
            <v>18676</v>
          </cell>
          <cell r="R7">
            <v>8022.5</v>
          </cell>
          <cell r="S7">
            <v>26625</v>
          </cell>
          <cell r="T7">
            <v>3997.5</v>
          </cell>
          <cell r="U7">
            <v>8262</v>
          </cell>
          <cell r="V7">
            <v>12617.5</v>
          </cell>
          <cell r="W7">
            <v>7665.5</v>
          </cell>
          <cell r="X7"/>
          <cell r="Y7"/>
          <cell r="Z7">
            <v>322774.5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322774.5</v>
          </cell>
          <cell r="AJ7">
            <v>22427</v>
          </cell>
          <cell r="AK7">
            <v>35812</v>
          </cell>
          <cell r="AL7">
            <v>0</v>
          </cell>
          <cell r="AM7"/>
          <cell r="AN7">
            <v>58239</v>
          </cell>
          <cell r="AO7">
            <v>9357.5969999999998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43208984.908000007</v>
          </cell>
          <cell r="G8">
            <v>3686753.8</v>
          </cell>
          <cell r="H8">
            <v>3633231.2280000001</v>
          </cell>
          <cell r="I8">
            <v>1956229.1869999999</v>
          </cell>
          <cell r="J8">
            <v>1864212.3020000001</v>
          </cell>
          <cell r="K8">
            <v>2432174.5499999998</v>
          </cell>
          <cell r="L8">
            <v>1977278.3</v>
          </cell>
          <cell r="M8">
            <v>1389396</v>
          </cell>
          <cell r="N8">
            <v>1832643.02</v>
          </cell>
          <cell r="O8">
            <v>1350396.84</v>
          </cell>
          <cell r="P8">
            <v>2037477.3</v>
          </cell>
          <cell r="Q8">
            <v>1734694.85</v>
          </cell>
          <cell r="R8">
            <v>747846.20000000007</v>
          </cell>
          <cell r="S8">
            <v>2530026.8000000003</v>
          </cell>
          <cell r="T8">
            <v>400580.2</v>
          </cell>
          <cell r="U8">
            <v>809255.2</v>
          </cell>
          <cell r="V8">
            <v>1241873.0460000001</v>
          </cell>
          <cell r="W8">
            <v>906962.65599999996</v>
          </cell>
          <cell r="X8"/>
          <cell r="Y8"/>
          <cell r="Z8">
            <v>30531031.479000002</v>
          </cell>
          <cell r="AA8">
            <v>50000</v>
          </cell>
          <cell r="AB8">
            <v>0</v>
          </cell>
          <cell r="AC8">
            <v>0</v>
          </cell>
          <cell r="AD8">
            <v>28340</v>
          </cell>
          <cell r="AE8">
            <v>0</v>
          </cell>
          <cell r="AF8"/>
          <cell r="AG8"/>
          <cell r="AH8">
            <v>78340</v>
          </cell>
          <cell r="AI8">
            <v>30609371.479000002</v>
          </cell>
          <cell r="AJ8">
            <v>695295.6</v>
          </cell>
          <cell r="AK8">
            <v>422382</v>
          </cell>
          <cell r="AL8">
            <v>0</v>
          </cell>
          <cell r="AM8"/>
          <cell r="AN8">
            <v>1117677.6000000001</v>
          </cell>
          <cell r="AO8">
            <v>11408615.007999999</v>
          </cell>
          <cell r="AP8">
            <v>0</v>
          </cell>
          <cell r="AQ8"/>
          <cell r="AR8"/>
          <cell r="AS8">
            <v>11408615.007999999</v>
          </cell>
          <cell r="AT8">
            <v>5000</v>
          </cell>
          <cell r="AU8">
            <v>-13952</v>
          </cell>
          <cell r="AV8">
            <v>0</v>
          </cell>
          <cell r="AW8">
            <v>80529.120999999999</v>
          </cell>
          <cell r="AX8">
            <v>0</v>
          </cell>
          <cell r="AY8"/>
          <cell r="AZ8"/>
          <cell r="BA8">
            <v>71577.120999999999</v>
          </cell>
          <cell r="BB8">
            <v>0</v>
          </cell>
          <cell r="BC8">
            <v>1743.7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1743.7</v>
          </cell>
          <cell r="BK8"/>
          <cell r="BL8"/>
          <cell r="BM8"/>
          <cell r="BN8"/>
          <cell r="BO8"/>
        </row>
        <row r="9">
          <cell r="F9"/>
          <cell r="G9">
            <v>90270.899341348151</v>
          </cell>
          <cell r="H9">
            <v>93334.478074344283</v>
          </cell>
          <cell r="I9">
            <v>89529.939908466811</v>
          </cell>
          <cell r="J9">
            <v>87797.876042010088</v>
          </cell>
          <cell r="K9">
            <v>98874.913104457577</v>
          </cell>
          <cell r="L9">
            <v>101602.09136221161</v>
          </cell>
          <cell r="M9">
            <v>93373.387096774197</v>
          </cell>
          <cell r="N9">
            <v>98275.580223080222</v>
          </cell>
          <cell r="O9">
            <v>93556.66066232507</v>
          </cell>
          <cell r="P9">
            <v>92461.304229442729</v>
          </cell>
          <cell r="Q9">
            <v>92883.639430284864</v>
          </cell>
          <cell r="R9">
            <v>93218.597693985677</v>
          </cell>
          <cell r="S9">
            <v>95024.480751173731</v>
          </cell>
          <cell r="T9">
            <v>100207.67979987492</v>
          </cell>
          <cell r="U9">
            <v>97949.068022270643</v>
          </cell>
          <cell r="V9">
            <v>98424.65195165445</v>
          </cell>
          <cell r="W9">
            <v>118317.48170373752</v>
          </cell>
          <cell r="X9"/>
          <cell r="Y9"/>
          <cell r="Z9">
            <v>94589.354112546076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94832.062257086611</v>
          </cell>
          <cell r="AJ9">
            <v>31002.612921924465</v>
          </cell>
          <cell r="AK9">
            <v>11794.426449234892</v>
          </cell>
          <cell r="AL9">
            <v>0</v>
          </cell>
          <cell r="AM9"/>
          <cell r="AN9"/>
          <cell r="AO9">
            <v>1219182.1263514552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37022915.425920002</v>
          </cell>
          <cell r="G10">
            <v>3111919.4166000001</v>
          </cell>
          <cell r="H10">
            <v>3132026.3814400001</v>
          </cell>
          <cell r="I10">
            <v>1711287.71175</v>
          </cell>
          <cell r="J10">
            <v>1557208.3932699999</v>
          </cell>
          <cell r="K10">
            <v>1944889.3367399999</v>
          </cell>
          <cell r="L10">
            <v>1594499.7841199997</v>
          </cell>
          <cell r="M10">
            <v>1161648.66753</v>
          </cell>
          <cell r="N10">
            <v>1508346.1785599999</v>
          </cell>
          <cell r="O10">
            <v>1054178.8198299999</v>
          </cell>
          <cell r="P10">
            <v>1610488.4402200002</v>
          </cell>
          <cell r="Q10">
            <v>1361076.9490399999</v>
          </cell>
          <cell r="R10">
            <v>670608.14821999997</v>
          </cell>
          <cell r="S10">
            <v>1908616.15292</v>
          </cell>
          <cell r="T10">
            <v>329019.22506000003</v>
          </cell>
          <cell r="U10">
            <v>616959.30420000001</v>
          </cell>
          <cell r="V10">
            <v>966747.12763999996</v>
          </cell>
          <cell r="W10">
            <v>703567.30712000001</v>
          </cell>
          <cell r="X10"/>
          <cell r="Y10"/>
          <cell r="Z10">
            <v>24943087.344260003</v>
          </cell>
          <cell r="AA10">
            <v>318.47300000000001</v>
          </cell>
          <cell r="AB10">
            <v>0</v>
          </cell>
          <cell r="AC10">
            <v>0</v>
          </cell>
          <cell r="AD10">
            <v>8655.9240000000009</v>
          </cell>
          <cell r="AE10">
            <v>0</v>
          </cell>
          <cell r="AF10"/>
          <cell r="AG10"/>
          <cell r="AH10">
            <v>8974.3970000000008</v>
          </cell>
          <cell r="AI10">
            <v>24952061.741260003</v>
          </cell>
          <cell r="AJ10">
            <v>580118.19892999995</v>
          </cell>
          <cell r="AK10">
            <v>318972.35372999997</v>
          </cell>
          <cell r="AL10">
            <v>0</v>
          </cell>
          <cell r="AM10"/>
          <cell r="AN10">
            <v>899090.55265999993</v>
          </cell>
          <cell r="AO10">
            <v>11171508.393999999</v>
          </cell>
          <cell r="AP10">
            <v>0</v>
          </cell>
          <cell r="AQ10"/>
          <cell r="AR10"/>
          <cell r="AS10">
            <v>11171508.393999999</v>
          </cell>
          <cell r="AT10">
            <v>95.221000000000004</v>
          </cell>
          <cell r="AU10">
            <v>159.517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254.738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76195.965245708969</v>
          </cell>
          <cell r="H11">
            <v>80458.971445012459</v>
          </cell>
          <cell r="I11">
            <v>78319.803741418771</v>
          </cell>
          <cell r="J11">
            <v>73339.066230396071</v>
          </cell>
          <cell r="K11">
            <v>79065.363202634297</v>
          </cell>
          <cell r="L11">
            <v>81933.085870201932</v>
          </cell>
          <cell r="M11">
            <v>78067.786796370972</v>
          </cell>
          <cell r="N11">
            <v>80885.144710424705</v>
          </cell>
          <cell r="O11">
            <v>73034.420107385333</v>
          </cell>
          <cell r="P11">
            <v>73084.427310764208</v>
          </cell>
          <cell r="Q11">
            <v>72878.397357035763</v>
          </cell>
          <cell r="R11">
            <v>83590.919067622308</v>
          </cell>
          <cell r="S11">
            <v>71685.113724694835</v>
          </cell>
          <cell r="T11">
            <v>82306.247669793622</v>
          </cell>
          <cell r="U11">
            <v>74674.328758169941</v>
          </cell>
          <cell r="V11">
            <v>76619.546474341187</v>
          </cell>
          <cell r="W11">
            <v>91783.615826756242</v>
          </cell>
          <cell r="X11"/>
          <cell r="Y11"/>
          <cell r="Z11">
            <v>77277.131075286321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77304.934997219432</v>
          </cell>
          <cell r="AJ11">
            <v>25866.954961876305</v>
          </cell>
          <cell r="AK11">
            <v>8906.8567443873544</v>
          </cell>
          <cell r="AL11">
            <v>0</v>
          </cell>
          <cell r="AM11"/>
          <cell r="AN11"/>
          <cell r="AO11">
            <v>1193843.7179972592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6186069.4820800051</v>
          </cell>
          <cell r="G12">
            <v>574834.3833999997</v>
          </cell>
          <cell r="H12">
            <v>501204.84655999998</v>
          </cell>
          <cell r="I12">
            <v>244941.4752499999</v>
          </cell>
          <cell r="J12">
            <v>307003.90873000026</v>
          </cell>
          <cell r="K12">
            <v>487285.21325999987</v>
          </cell>
          <cell r="L12">
            <v>382778.51588000031</v>
          </cell>
          <cell r="M12">
            <v>227747.33247000002</v>
          </cell>
          <cell r="N12">
            <v>324296.84144000011</v>
          </cell>
          <cell r="O12">
            <v>296218.02017000015</v>
          </cell>
          <cell r="P12">
            <v>426988.85977999982</v>
          </cell>
          <cell r="Q12">
            <v>373617.90096000023</v>
          </cell>
          <cell r="R12">
            <v>77238.051780000096</v>
          </cell>
          <cell r="S12">
            <v>621410.64708000026</v>
          </cell>
          <cell r="T12">
            <v>71560.974939999986</v>
          </cell>
          <cell r="U12">
            <v>192295.89579999994</v>
          </cell>
          <cell r="V12">
            <v>275125.91836000013</v>
          </cell>
          <cell r="W12">
            <v>203395.34887999995</v>
          </cell>
          <cell r="X12"/>
          <cell r="Y12"/>
          <cell r="Z12">
            <v>5587944.1347400006</v>
          </cell>
          <cell r="AA12">
            <v>49681.527000000002</v>
          </cell>
          <cell r="AB12">
            <v>0</v>
          </cell>
          <cell r="AC12">
            <v>0</v>
          </cell>
          <cell r="AD12">
            <v>19684.076000000001</v>
          </cell>
          <cell r="AE12">
            <v>0</v>
          </cell>
          <cell r="AF12"/>
          <cell r="AG12"/>
          <cell r="AH12">
            <v>69365.603000000003</v>
          </cell>
          <cell r="AI12">
            <v>5657309.7377399988</v>
          </cell>
          <cell r="AJ12">
            <v>115177.40107000002</v>
          </cell>
          <cell r="AK12">
            <v>103409.64627000003</v>
          </cell>
          <cell r="AL12">
            <v>0</v>
          </cell>
          <cell r="AM12"/>
          <cell r="AN12">
            <v>218587.04734000016</v>
          </cell>
          <cell r="AO12">
            <v>237106.61400000006</v>
          </cell>
          <cell r="AP12">
            <v>0</v>
          </cell>
          <cell r="AQ12"/>
          <cell r="AR12"/>
          <cell r="AS12">
            <v>237106.61400000006</v>
          </cell>
          <cell r="AT12">
            <v>4904.7790000000005</v>
          </cell>
          <cell r="AU12">
            <v>-14111.517</v>
          </cell>
          <cell r="AV12">
            <v>0</v>
          </cell>
          <cell r="AW12">
            <v>80529.120999999999</v>
          </cell>
          <cell r="AX12">
            <v>0</v>
          </cell>
          <cell r="AY12"/>
          <cell r="AZ12"/>
          <cell r="BA12">
            <v>71322.383000000002</v>
          </cell>
          <cell r="BB12">
            <v>0</v>
          </cell>
          <cell r="BC12">
            <v>1743.7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1743.7</v>
          </cell>
          <cell r="BK12"/>
          <cell r="BL12"/>
          <cell r="BM12"/>
          <cell r="BN12"/>
          <cell r="BO12"/>
        </row>
        <row r="13">
          <cell r="F13">
            <v>846071.29600000009</v>
          </cell>
          <cell r="G13">
            <v>75465.235000000001</v>
          </cell>
          <cell r="H13">
            <v>63442.016999999993</v>
          </cell>
          <cell r="I13">
            <v>48512.322999999997</v>
          </cell>
          <cell r="J13">
            <v>30444.729000000003</v>
          </cell>
          <cell r="K13">
            <v>64446.801999999996</v>
          </cell>
          <cell r="L13">
            <v>46943.488999999994</v>
          </cell>
          <cell r="M13">
            <v>40714.824999999997</v>
          </cell>
          <cell r="N13">
            <v>49133.749000000003</v>
          </cell>
          <cell r="O13">
            <v>38682.61</v>
          </cell>
          <cell r="P13">
            <v>41805.154000000002</v>
          </cell>
          <cell r="Q13">
            <v>36313.476000000002</v>
          </cell>
          <cell r="R13">
            <v>25309.286999999997</v>
          </cell>
          <cell r="S13">
            <v>44739.585999999996</v>
          </cell>
          <cell r="T13">
            <v>11229.269</v>
          </cell>
          <cell r="U13">
            <v>12275.313999999998</v>
          </cell>
          <cell r="V13">
            <v>25068.549999999996</v>
          </cell>
          <cell r="W13">
            <v>9949.9330000000009</v>
          </cell>
          <cell r="X13"/>
          <cell r="Y13"/>
          <cell r="Z13">
            <v>664476.348</v>
          </cell>
          <cell r="AA13">
            <v>0</v>
          </cell>
          <cell r="AB13">
            <v>245.178</v>
          </cell>
          <cell r="AC13">
            <v>77.564999999999998</v>
          </cell>
          <cell r="AD13">
            <v>0</v>
          </cell>
          <cell r="AE13">
            <v>0</v>
          </cell>
          <cell r="AF13"/>
          <cell r="AG13"/>
          <cell r="AH13">
            <v>322.74299999999999</v>
          </cell>
          <cell r="AI13">
            <v>664799.09100000001</v>
          </cell>
          <cell r="AJ13">
            <v>10243.643</v>
          </cell>
          <cell r="AK13">
            <v>0</v>
          </cell>
          <cell r="AL13">
            <v>27277.190999999995</v>
          </cell>
          <cell r="AM13"/>
          <cell r="AN13">
            <v>37520.833999999995</v>
          </cell>
          <cell r="AO13">
            <v>117830.18100000001</v>
          </cell>
          <cell r="AP13">
            <v>0</v>
          </cell>
          <cell r="AQ13"/>
          <cell r="AR13"/>
          <cell r="AS13">
            <v>117830.18100000001</v>
          </cell>
          <cell r="AT13">
            <v>0</v>
          </cell>
          <cell r="AU13">
            <v>0</v>
          </cell>
          <cell r="AV13">
            <v>176.03399999999999</v>
          </cell>
          <cell r="AW13">
            <v>0</v>
          </cell>
          <cell r="AX13">
            <v>7880.26</v>
          </cell>
          <cell r="AY13"/>
          <cell r="AZ13"/>
          <cell r="BA13">
            <v>8056.2939999999999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17864.896000000001</v>
          </cell>
          <cell r="BG13">
            <v>0</v>
          </cell>
          <cell r="BH13"/>
          <cell r="BI13"/>
          <cell r="BJ13">
            <v>17864.896000000001</v>
          </cell>
          <cell r="BK13"/>
          <cell r="BL13"/>
          <cell r="BM13"/>
          <cell r="BN13"/>
          <cell r="BO13"/>
        </row>
        <row r="14">
          <cell r="F14">
            <v>555331.33200000005</v>
          </cell>
          <cell r="G14">
            <v>49143.054000000004</v>
          </cell>
          <cell r="H14">
            <v>45278.775999999998</v>
          </cell>
          <cell r="I14">
            <v>34552.862999999998</v>
          </cell>
          <cell r="J14">
            <v>21589.652000000002</v>
          </cell>
          <cell r="K14">
            <v>40847.502</v>
          </cell>
          <cell r="L14">
            <v>33008.981999999996</v>
          </cell>
          <cell r="M14">
            <v>25698.35</v>
          </cell>
          <cell r="N14">
            <v>33403.469000000005</v>
          </cell>
          <cell r="O14">
            <v>25014.932000000001</v>
          </cell>
          <cell r="P14">
            <v>26417.054</v>
          </cell>
          <cell r="Q14">
            <v>25803.352999999999</v>
          </cell>
          <cell r="R14">
            <v>17686.723999999998</v>
          </cell>
          <cell r="S14">
            <v>28837.873</v>
          </cell>
          <cell r="T14">
            <v>5498.52</v>
          </cell>
          <cell r="U14">
            <v>6914.3289999999997</v>
          </cell>
          <cell r="V14">
            <v>17535.254999999997</v>
          </cell>
          <cell r="W14">
            <v>5665.509</v>
          </cell>
          <cell r="X14"/>
          <cell r="Y14"/>
          <cell r="Z14">
            <v>442896.19700000004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442896.19700000004</v>
          </cell>
          <cell r="AJ14">
            <v>7160.87</v>
          </cell>
          <cell r="AK14">
            <v>0</v>
          </cell>
          <cell r="AL14">
            <v>21116.407999999996</v>
          </cell>
          <cell r="AM14"/>
          <cell r="AN14">
            <v>28277.277999999995</v>
          </cell>
          <cell r="AO14">
            <v>84157.857000000004</v>
          </cell>
          <cell r="AP14">
            <v>0</v>
          </cell>
          <cell r="AQ14"/>
          <cell r="AR14"/>
          <cell r="AS14">
            <v>84157.857000000004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290619.96400000004</v>
          </cell>
          <cell r="G15">
            <v>26322.180999999997</v>
          </cell>
          <cell r="H15">
            <v>18163.240999999998</v>
          </cell>
          <cell r="I15">
            <v>13959.460000000001</v>
          </cell>
          <cell r="J15">
            <v>8855.0770000000011</v>
          </cell>
          <cell r="K15">
            <v>23599.3</v>
          </cell>
          <cell r="L15">
            <v>13934.507</v>
          </cell>
          <cell r="M15">
            <v>15016.475</v>
          </cell>
          <cell r="N15">
            <v>15730.28</v>
          </cell>
          <cell r="O15">
            <v>13667.678</v>
          </cell>
          <cell r="P15">
            <v>15388.1</v>
          </cell>
          <cell r="Q15">
            <v>10510.123000000001</v>
          </cell>
          <cell r="R15">
            <v>7622.5630000000001</v>
          </cell>
          <cell r="S15">
            <v>15901.712999999998</v>
          </cell>
          <cell r="T15">
            <v>5730.7489999999998</v>
          </cell>
          <cell r="U15">
            <v>5360.9849999999997</v>
          </cell>
          <cell r="V15">
            <v>7533.2949999999992</v>
          </cell>
          <cell r="W15">
            <v>4284.424</v>
          </cell>
          <cell r="X15"/>
          <cell r="Y15"/>
          <cell r="Z15">
            <v>221580.15100000001</v>
          </cell>
          <cell r="AA15">
            <v>0</v>
          </cell>
          <cell r="AB15">
            <v>245.178</v>
          </cell>
          <cell r="AC15">
            <v>77.564999999999998</v>
          </cell>
          <cell r="AD15">
            <v>0</v>
          </cell>
          <cell r="AE15">
            <v>0</v>
          </cell>
          <cell r="AF15"/>
          <cell r="AG15"/>
          <cell r="AH15">
            <v>322.74299999999999</v>
          </cell>
          <cell r="AI15">
            <v>221902.894</v>
          </cell>
          <cell r="AJ15">
            <v>3082.7730000000001</v>
          </cell>
          <cell r="AK15">
            <v>0</v>
          </cell>
          <cell r="AL15">
            <v>6160.7829999999994</v>
          </cell>
          <cell r="AM15"/>
          <cell r="AN15">
            <v>9243.5560000000005</v>
          </cell>
          <cell r="AO15">
            <v>33672.324000000001</v>
          </cell>
          <cell r="AP15">
            <v>0</v>
          </cell>
          <cell r="AQ15"/>
          <cell r="AR15"/>
          <cell r="AS15">
            <v>33672.324000000001</v>
          </cell>
          <cell r="AT15">
            <v>0</v>
          </cell>
          <cell r="AU15">
            <v>0</v>
          </cell>
          <cell r="AV15">
            <v>176.03399999999999</v>
          </cell>
          <cell r="AW15">
            <v>0</v>
          </cell>
          <cell r="AX15">
            <v>7880.26</v>
          </cell>
          <cell r="AY15"/>
          <cell r="AZ15"/>
          <cell r="BA15">
            <v>8056.2939999999999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17744.896000000001</v>
          </cell>
          <cell r="BG15">
            <v>0</v>
          </cell>
          <cell r="BH15"/>
          <cell r="BI15"/>
          <cell r="BJ15">
            <v>17744.896000000001</v>
          </cell>
          <cell r="BK15"/>
          <cell r="BL15"/>
          <cell r="BM15"/>
          <cell r="BN15"/>
          <cell r="BO15"/>
        </row>
        <row r="16">
          <cell r="F16">
            <v>120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120</v>
          </cell>
          <cell r="BG16">
            <v>0</v>
          </cell>
          <cell r="BH16"/>
          <cell r="BI16"/>
          <cell r="BJ16">
            <v>120</v>
          </cell>
          <cell r="BK16"/>
          <cell r="BL16"/>
          <cell r="BM16"/>
          <cell r="BN16"/>
          <cell r="BO16"/>
        </row>
        <row r="17">
          <cell r="F17">
            <v>5339998.186080005</v>
          </cell>
          <cell r="G17">
            <v>499369.14839999971</v>
          </cell>
          <cell r="H17">
            <v>437762.82955999998</v>
          </cell>
          <cell r="I17">
            <v>196429.1522499999</v>
          </cell>
          <cell r="J17">
            <v>276559.17973000027</v>
          </cell>
          <cell r="K17">
            <v>422838.41125999985</v>
          </cell>
          <cell r="L17">
            <v>335835.02688000031</v>
          </cell>
          <cell r="M17">
            <v>187032.50747000001</v>
          </cell>
          <cell r="N17">
            <v>275163.09244000009</v>
          </cell>
          <cell r="O17">
            <v>257535.41017000016</v>
          </cell>
          <cell r="P17">
            <v>385183.70577999984</v>
          </cell>
          <cell r="Q17">
            <v>337304.42496000021</v>
          </cell>
          <cell r="R17">
            <v>51928.7647800001</v>
          </cell>
          <cell r="S17">
            <v>576671.06108000025</v>
          </cell>
          <cell r="T17">
            <v>60331.705939999985</v>
          </cell>
          <cell r="U17">
            <v>180020.58179999993</v>
          </cell>
          <cell r="V17">
            <v>250057.36836000014</v>
          </cell>
          <cell r="W17">
            <v>193445.41587999996</v>
          </cell>
          <cell r="X17"/>
          <cell r="Y17"/>
          <cell r="Z17">
            <v>4923467.7867400004</v>
          </cell>
          <cell r="AA17">
            <v>49681.527000000002</v>
          </cell>
          <cell r="AB17">
            <v>-245.178</v>
          </cell>
          <cell r="AC17">
            <v>-77.564999999999998</v>
          </cell>
          <cell r="AD17">
            <v>19684.076000000001</v>
          </cell>
          <cell r="AE17">
            <v>0</v>
          </cell>
          <cell r="AF17"/>
          <cell r="AG17"/>
          <cell r="AH17">
            <v>69042.86</v>
          </cell>
          <cell r="AI17">
            <v>4992510.6467399988</v>
          </cell>
          <cell r="AJ17">
            <v>104933.75807000003</v>
          </cell>
          <cell r="AK17">
            <v>103409.64627000003</v>
          </cell>
          <cell r="AL17">
            <v>-27277.190999999995</v>
          </cell>
          <cell r="AM17"/>
          <cell r="AN17">
            <v>181066.21334000016</v>
          </cell>
          <cell r="AO17">
            <v>119276.43300000005</v>
          </cell>
          <cell r="AP17">
            <v>0</v>
          </cell>
          <cell r="AQ17"/>
          <cell r="AR17"/>
          <cell r="AS17">
            <v>119276.43300000005</v>
          </cell>
          <cell r="AT17">
            <v>4904.7790000000005</v>
          </cell>
          <cell r="AU17">
            <v>-14111.517</v>
          </cell>
          <cell r="AV17">
            <v>-176.03399999999999</v>
          </cell>
          <cell r="AW17">
            <v>80529.120999999999</v>
          </cell>
          <cell r="AX17">
            <v>-7880.26</v>
          </cell>
          <cell r="AY17"/>
          <cell r="AZ17"/>
          <cell r="BA17">
            <v>63266.089</v>
          </cell>
          <cell r="BB17">
            <v>0</v>
          </cell>
          <cell r="BC17">
            <v>1743.7</v>
          </cell>
          <cell r="BD17">
            <v>0</v>
          </cell>
          <cell r="BE17">
            <v>0</v>
          </cell>
          <cell r="BF17">
            <v>-17864.896000000001</v>
          </cell>
          <cell r="BG17">
            <v>0</v>
          </cell>
          <cell r="BH17"/>
          <cell r="BI17"/>
          <cell r="BJ17">
            <v>-16121.196</v>
          </cell>
          <cell r="BK17"/>
          <cell r="BL17"/>
          <cell r="BM17"/>
          <cell r="BN17"/>
          <cell r="BO17"/>
        </row>
        <row r="18">
          <cell r="F18">
            <v>463572.60307999997</v>
          </cell>
          <cell r="G18">
            <v>30033.888410000003</v>
          </cell>
          <cell r="H18">
            <v>33273.80356</v>
          </cell>
          <cell r="I18">
            <v>18939.235249999998</v>
          </cell>
          <cell r="J18">
            <v>16482.976730000002</v>
          </cell>
          <cell r="K18">
            <v>32770.266259999997</v>
          </cell>
          <cell r="L18">
            <v>31628.975879999998</v>
          </cell>
          <cell r="M18">
            <v>12056.99847</v>
          </cell>
          <cell r="N18">
            <v>27429.09044</v>
          </cell>
          <cell r="O18">
            <v>11986.478169999998</v>
          </cell>
          <cell r="P18">
            <v>31689.379780000003</v>
          </cell>
          <cell r="Q18">
            <v>13533.114960000001</v>
          </cell>
          <cell r="R18">
            <v>11193.923779999999</v>
          </cell>
          <cell r="S18">
            <v>33277.926079999997</v>
          </cell>
          <cell r="T18">
            <v>5096.4559400000007</v>
          </cell>
          <cell r="U18">
            <v>9395.1527999999998</v>
          </cell>
          <cell r="V18">
            <v>22966.855359999998</v>
          </cell>
          <cell r="W18">
            <v>8457.9368800000011</v>
          </cell>
          <cell r="X18"/>
          <cell r="Y18"/>
          <cell r="Z18">
            <v>350212.45874999993</v>
          </cell>
          <cell r="AA18">
            <v>5622.5950000000003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5976.2669999999998</v>
          </cell>
          <cell r="AI18">
            <v>356188.72574999998</v>
          </cell>
          <cell r="AJ18">
            <v>35394.322060000006</v>
          </cell>
          <cell r="AK18">
            <v>11796.742269999999</v>
          </cell>
          <cell r="AL18">
            <v>0</v>
          </cell>
          <cell r="AM18"/>
          <cell r="AN18">
            <v>47191.064330000008</v>
          </cell>
          <cell r="AO18">
            <v>2877.7269999999999</v>
          </cell>
          <cell r="AP18">
            <v>855.83600000000001</v>
          </cell>
          <cell r="AQ18"/>
          <cell r="AR18"/>
          <cell r="AS18">
            <v>3733.5630000000001</v>
          </cell>
          <cell r="AT18">
            <v>1312.8920000000001</v>
          </cell>
          <cell r="AU18">
            <v>8489.6080000000002</v>
          </cell>
          <cell r="AV18">
            <v>432.17</v>
          </cell>
          <cell r="AW18">
            <v>0</v>
          </cell>
          <cell r="AX18">
            <v>18257.884999999998</v>
          </cell>
          <cell r="AY18"/>
          <cell r="AZ18"/>
          <cell r="BA18">
            <v>28492.555</v>
          </cell>
          <cell r="BB18">
            <v>0</v>
          </cell>
          <cell r="BC18">
            <v>18212.808000000001</v>
          </cell>
          <cell r="BD18">
            <v>0</v>
          </cell>
          <cell r="BE18">
            <v>0</v>
          </cell>
          <cell r="BF18">
            <v>9753.8870000000006</v>
          </cell>
          <cell r="BG18">
            <v>0</v>
          </cell>
          <cell r="BH18"/>
          <cell r="BI18"/>
          <cell r="BJ18">
            <v>27966.695</v>
          </cell>
          <cell r="BK18"/>
          <cell r="BL18"/>
          <cell r="BM18"/>
          <cell r="BN18"/>
          <cell r="BO18"/>
        </row>
        <row r="19">
          <cell r="F19">
            <v>398103.75007999997</v>
          </cell>
          <cell r="G19">
            <v>28304.362410000002</v>
          </cell>
          <cell r="H19">
            <v>31526.418559999998</v>
          </cell>
          <cell r="I19">
            <v>17524.135249999999</v>
          </cell>
          <cell r="J19">
            <v>15579.400730000001</v>
          </cell>
          <cell r="K19">
            <v>31544.69426</v>
          </cell>
          <cell r="L19">
            <v>30715.066879999998</v>
          </cell>
          <cell r="M19">
            <v>11518.270470000001</v>
          </cell>
          <cell r="N19">
            <v>26221.93244</v>
          </cell>
          <cell r="O19">
            <v>10779.320169999999</v>
          </cell>
          <cell r="P19">
            <v>31015.106780000002</v>
          </cell>
          <cell r="Q19">
            <v>12872.21896</v>
          </cell>
          <cell r="R19">
            <v>10905.037779999999</v>
          </cell>
          <cell r="S19">
            <v>32340.219079999999</v>
          </cell>
          <cell r="T19">
            <v>4832.0569400000004</v>
          </cell>
          <cell r="U19">
            <v>9395.1527999999998</v>
          </cell>
          <cell r="V19">
            <v>22297.789359999999</v>
          </cell>
          <cell r="W19">
            <v>8445.8358800000005</v>
          </cell>
          <cell r="X19"/>
          <cell r="Y19"/>
          <cell r="Z19">
            <v>335817.01874999999</v>
          </cell>
          <cell r="AA19">
            <v>5622.5950000000003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5622.5950000000003</v>
          </cell>
          <cell r="AI19">
            <v>341439.61374999996</v>
          </cell>
          <cell r="AJ19">
            <v>35064.894060000006</v>
          </cell>
          <cell r="AK19">
            <v>11796.742269999999</v>
          </cell>
          <cell r="AL19">
            <v>0</v>
          </cell>
          <cell r="AM19"/>
          <cell r="AN19">
            <v>46861.636330000008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65468.852999999996</v>
          </cell>
          <cell r="G20">
            <v>1729.5260000000001</v>
          </cell>
          <cell r="H20">
            <v>1747.385</v>
          </cell>
          <cell r="I20">
            <v>1415.1</v>
          </cell>
          <cell r="J20">
            <v>903.57600000000002</v>
          </cell>
          <cell r="K20">
            <v>1225.5719999999999</v>
          </cell>
          <cell r="L20">
            <v>913.90899999999999</v>
          </cell>
          <cell r="M20">
            <v>538.72799999999995</v>
          </cell>
          <cell r="N20">
            <v>1207.1579999999999</v>
          </cell>
          <cell r="O20">
            <v>1207.1579999999999</v>
          </cell>
          <cell r="P20">
            <v>674.27300000000002</v>
          </cell>
          <cell r="Q20">
            <v>660.89599999999996</v>
          </cell>
          <cell r="R20">
            <v>288.88600000000002</v>
          </cell>
          <cell r="S20">
            <v>937.70699999999999</v>
          </cell>
          <cell r="T20">
            <v>264.399</v>
          </cell>
          <cell r="U20">
            <v>0</v>
          </cell>
          <cell r="V20">
            <v>669.06600000000003</v>
          </cell>
          <cell r="W20">
            <v>12.101000000000001</v>
          </cell>
          <cell r="X20"/>
          <cell r="Y20"/>
          <cell r="Z20">
            <v>14395.44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353.67200000000003</v>
          </cell>
          <cell r="AI20">
            <v>14749.112000000001</v>
          </cell>
          <cell r="AJ20">
            <v>329.428</v>
          </cell>
          <cell r="AK20">
            <v>0</v>
          </cell>
          <cell r="AL20">
            <v>0</v>
          </cell>
          <cell r="AM20"/>
          <cell r="AN20">
            <v>329.428</v>
          </cell>
          <cell r="AO20">
            <v>2877.7269999999999</v>
          </cell>
          <cell r="AP20">
            <v>855.83600000000001</v>
          </cell>
          <cell r="AQ20"/>
          <cell r="AR20"/>
          <cell r="AS20">
            <v>3733.5630000000001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18257.884999999998</v>
          </cell>
          <cell r="AY20"/>
          <cell r="AZ20"/>
          <cell r="BA20">
            <v>18690.054999999997</v>
          </cell>
          <cell r="BB20">
            <v>0</v>
          </cell>
          <cell r="BC20">
            <v>18212.808000000001</v>
          </cell>
          <cell r="BD20">
            <v>0</v>
          </cell>
          <cell r="BE20">
            <v>0</v>
          </cell>
          <cell r="BF20">
            <v>9753.8870000000006</v>
          </cell>
          <cell r="BG20">
            <v>0</v>
          </cell>
          <cell r="BH20"/>
          <cell r="BI20"/>
          <cell r="BJ20">
            <v>27966.695</v>
          </cell>
          <cell r="BK20"/>
          <cell r="BL20"/>
          <cell r="BM20"/>
          <cell r="BN20"/>
          <cell r="BO20"/>
        </row>
        <row r="21">
          <cell r="F21">
            <v>4876425.5830000052</v>
          </cell>
          <cell r="G21">
            <v>469335.2599899997</v>
          </cell>
          <cell r="H21">
            <v>404489.02599999995</v>
          </cell>
          <cell r="I21">
            <v>177489.9169999999</v>
          </cell>
          <cell r="J21">
            <v>260076.20300000027</v>
          </cell>
          <cell r="K21">
            <v>390068.14499999984</v>
          </cell>
          <cell r="L21">
            <v>304206.05100000033</v>
          </cell>
          <cell r="M21">
            <v>174975.50900000002</v>
          </cell>
          <cell r="N21">
            <v>247734.00200000009</v>
          </cell>
          <cell r="O21">
            <v>245548.93200000018</v>
          </cell>
          <cell r="P21">
            <v>353494.32599999983</v>
          </cell>
          <cell r="Q21">
            <v>323771.31000000023</v>
          </cell>
          <cell r="R21">
            <v>40734.841000000102</v>
          </cell>
          <cell r="S21">
            <v>543393.13500000024</v>
          </cell>
          <cell r="T21">
            <v>55235.249999999985</v>
          </cell>
          <cell r="U21">
            <v>170625.42899999992</v>
          </cell>
          <cell r="V21">
            <v>227090.51300000015</v>
          </cell>
          <cell r="W21">
            <v>184987.47899999996</v>
          </cell>
          <cell r="X21"/>
          <cell r="Y21"/>
          <cell r="Z21">
            <v>4573255.3279900001</v>
          </cell>
          <cell r="AA21">
            <v>44058.932000000001</v>
          </cell>
          <cell r="AB21">
            <v>-598.85</v>
          </cell>
          <cell r="AC21">
            <v>-77.564999999999998</v>
          </cell>
          <cell r="AD21">
            <v>19684.076000000001</v>
          </cell>
          <cell r="AE21">
            <v>0</v>
          </cell>
          <cell r="AF21"/>
          <cell r="AG21"/>
          <cell r="AH21">
            <v>63066.593000000001</v>
          </cell>
          <cell r="AI21">
            <v>4636321.9209899986</v>
          </cell>
          <cell r="AJ21">
            <v>69539.436010000019</v>
          </cell>
          <cell r="AK21">
            <v>91612.904000000024</v>
          </cell>
          <cell r="AL21">
            <v>-27277.190999999995</v>
          </cell>
          <cell r="AM21"/>
          <cell r="AN21">
            <v>133875.14901000017</v>
          </cell>
          <cell r="AO21">
            <v>116398.70600000005</v>
          </cell>
          <cell r="AP21">
            <v>-855.83600000000001</v>
          </cell>
          <cell r="AQ21"/>
          <cell r="AR21"/>
          <cell r="AS21">
            <v>115542.87000000005</v>
          </cell>
          <cell r="AT21">
            <v>3591.8870000000006</v>
          </cell>
          <cell r="AU21">
            <v>-22601.125</v>
          </cell>
          <cell r="AV21">
            <v>-608.20399999999995</v>
          </cell>
          <cell r="AW21">
            <v>80529.120999999999</v>
          </cell>
          <cell r="AX21">
            <v>-26138.144999999997</v>
          </cell>
          <cell r="AY21"/>
          <cell r="AZ21"/>
          <cell r="BA21">
            <v>34773.534</v>
          </cell>
          <cell r="BB21">
            <v>0</v>
          </cell>
          <cell r="BC21">
            <v>-16469.108</v>
          </cell>
          <cell r="BD21">
            <v>0</v>
          </cell>
          <cell r="BE21">
            <v>0</v>
          </cell>
          <cell r="BF21">
            <v>-27618.783000000003</v>
          </cell>
          <cell r="BG21">
            <v>0</v>
          </cell>
          <cell r="BH21"/>
          <cell r="BI21"/>
          <cell r="BJ21">
            <v>-44087.891000000003</v>
          </cell>
          <cell r="BK21"/>
          <cell r="BL21"/>
          <cell r="BM21"/>
          <cell r="BN21"/>
          <cell r="BO21"/>
        </row>
        <row r="22">
          <cell r="F22">
            <v>1336339.3189999999</v>
          </cell>
          <cell r="G22">
            <v>162699.69118923234</v>
          </cell>
          <cell r="H22">
            <v>160337.69296302769</v>
          </cell>
          <cell r="I22">
            <v>86330.116380503387</v>
          </cell>
          <cell r="J22">
            <v>82269.330229365471</v>
          </cell>
          <cell r="K22">
            <v>107106.1103301713</v>
          </cell>
          <cell r="L22">
            <v>87073.761935899529</v>
          </cell>
          <cell r="M22">
            <v>61185.082817472416</v>
          </cell>
          <cell r="N22">
            <v>80704.431964366348</v>
          </cell>
          <cell r="O22">
            <v>59467.669758551951</v>
          </cell>
          <cell r="P22">
            <v>89724.75618126156</v>
          </cell>
          <cell r="Q22">
            <v>76391.070695678471</v>
          </cell>
          <cell r="R22">
            <v>32933.038299903012</v>
          </cell>
          <cell r="S22">
            <v>107460.36327200758</v>
          </cell>
          <cell r="T22">
            <v>17014.244201513378</v>
          </cell>
          <cell r="U22">
            <v>34372.306954124419</v>
          </cell>
          <cell r="V22">
            <v>52747.318194761639</v>
          </cell>
          <cell r="W22">
            <v>38522.333632159483</v>
          </cell>
          <cell r="X22"/>
          <cell r="Y22"/>
          <cell r="Z22">
            <v>1336339.3189999999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1336339.3189999999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168064.16099999996</v>
          </cell>
          <cell r="G23">
            <v>21625.424466057291</v>
          </cell>
          <cell r="H23">
            <v>21311.476640733265</v>
          </cell>
          <cell r="I23">
            <v>11474.670893880999</v>
          </cell>
          <cell r="J23">
            <v>10934.926635349448</v>
          </cell>
          <cell r="K23">
            <v>14038.533866557629</v>
          </cell>
          <cell r="L23">
            <v>11412.868528765544</v>
          </cell>
          <cell r="M23">
            <v>8019.606487560568</v>
          </cell>
          <cell r="N23">
            <v>10578.032362677444</v>
          </cell>
          <cell r="O23">
            <v>7794.5029774414852</v>
          </cell>
          <cell r="P23">
            <v>11760.337710298136</v>
          </cell>
          <cell r="Q23">
            <v>10012.674624799485</v>
          </cell>
          <cell r="R23">
            <v>4316.5751428804451</v>
          </cell>
          <cell r="S23">
            <v>10648.453672841742</v>
          </cell>
          <cell r="T23">
            <v>1685.9741177277963</v>
          </cell>
          <cell r="U23">
            <v>3406.0178756629289</v>
          </cell>
          <cell r="V23">
            <v>5226.8330113664651</v>
          </cell>
          <cell r="W23">
            <v>3817.2519853993249</v>
          </cell>
          <cell r="X23"/>
          <cell r="Y23"/>
          <cell r="Z23">
            <v>168064.16099999996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168064.16099999996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262206.98099999997</v>
          </cell>
          <cell r="G24">
            <v>31662.624443369787</v>
          </cell>
          <cell r="H24">
            <v>31202.961230578305</v>
          </cell>
          <cell r="I24">
            <v>16800.511624383384</v>
          </cell>
          <cell r="J24">
            <v>16010.251078044828</v>
          </cell>
          <cell r="K24">
            <v>20888.031459375426</v>
          </cell>
          <cell r="L24">
            <v>16981.285876188605</v>
          </cell>
          <cell r="M24">
            <v>11932.427858654464</v>
          </cell>
          <cell r="N24">
            <v>15739.127381118595</v>
          </cell>
          <cell r="O24">
            <v>11597.494791877158</v>
          </cell>
          <cell r="P24">
            <v>17498.287670251015</v>
          </cell>
          <cell r="Q24">
            <v>14897.927699809434</v>
          </cell>
          <cell r="R24">
            <v>6422.6619558922575</v>
          </cell>
          <cell r="S24">
            <v>21728.407359357887</v>
          </cell>
          <cell r="T24">
            <v>3440.2678128520429</v>
          </cell>
          <cell r="U24">
            <v>6950.0554868741447</v>
          </cell>
          <cell r="V24">
            <v>10665.469406132217</v>
          </cell>
          <cell r="W24">
            <v>7789.1878652404685</v>
          </cell>
          <cell r="X24"/>
          <cell r="Y24"/>
          <cell r="Z24">
            <v>262206.98099999997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262206.98099999997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906068.17700000003</v>
          </cell>
          <cell r="G25">
            <v>109411.64227980528</v>
          </cell>
          <cell r="H25">
            <v>107823.2550917161</v>
          </cell>
          <cell r="I25">
            <v>58054.933862239006</v>
          </cell>
          <cell r="J25">
            <v>55324.152515971196</v>
          </cell>
          <cell r="K25">
            <v>72179.545004238244</v>
          </cell>
          <cell r="L25">
            <v>58679.607530945388</v>
          </cell>
          <cell r="M25">
            <v>41233.048471257382</v>
          </cell>
          <cell r="N25">
            <v>54387.27222057031</v>
          </cell>
          <cell r="O25">
            <v>40075.671989233306</v>
          </cell>
          <cell r="P25">
            <v>60466.130800712403</v>
          </cell>
          <cell r="Q25">
            <v>51480.468371069554</v>
          </cell>
          <cell r="R25">
            <v>22193.801201130307</v>
          </cell>
          <cell r="S25">
            <v>75083.50223980796</v>
          </cell>
          <cell r="T25">
            <v>11888.002270933539</v>
          </cell>
          <cell r="U25">
            <v>24016.233591587341</v>
          </cell>
          <cell r="V25">
            <v>36855.015777262961</v>
          </cell>
          <cell r="W25">
            <v>26915.893781519691</v>
          </cell>
          <cell r="X25"/>
          <cell r="Y25"/>
          <cell r="Z25">
            <v>906068.17700000003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906068.17700000003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3540086.2640000051</v>
          </cell>
          <cell r="G26">
            <v>306635.56880076736</v>
          </cell>
          <cell r="H26">
            <v>244151.33303697227</v>
          </cell>
          <cell r="I26">
            <v>91159.800619496513</v>
          </cell>
          <cell r="J26">
            <v>177806.8727706348</v>
          </cell>
          <cell r="K26">
            <v>282962.03466982854</v>
          </cell>
          <cell r="L26">
            <v>217132.2890641008</v>
          </cell>
          <cell r="M26">
            <v>113790.4261825276</v>
          </cell>
          <cell r="N26">
            <v>167029.57003563375</v>
          </cell>
          <cell r="O26">
            <v>186081.26224144822</v>
          </cell>
          <cell r="P26">
            <v>263769.56981873827</v>
          </cell>
          <cell r="Q26">
            <v>247380.23930432176</v>
          </cell>
          <cell r="R26">
            <v>7801.8027000970906</v>
          </cell>
          <cell r="S26">
            <v>435932.77172799269</v>
          </cell>
          <cell r="T26">
            <v>38221.005798486607</v>
          </cell>
          <cell r="U26">
            <v>136253.1220458755</v>
          </cell>
          <cell r="V26">
            <v>174343.19480523851</v>
          </cell>
          <cell r="W26">
            <v>146465.14536784048</v>
          </cell>
          <cell r="X26"/>
          <cell r="Y26"/>
          <cell r="Z26">
            <v>3236916.00899</v>
          </cell>
          <cell r="AA26">
            <v>44058.932000000001</v>
          </cell>
          <cell r="AB26">
            <v>-598.85</v>
          </cell>
          <cell r="AC26">
            <v>-77.564999999999998</v>
          </cell>
          <cell r="AD26">
            <v>19684.076000000001</v>
          </cell>
          <cell r="AE26">
            <v>0</v>
          </cell>
          <cell r="AF26"/>
          <cell r="AG26"/>
          <cell r="AH26">
            <v>63066.593000000001</v>
          </cell>
          <cell r="AI26">
            <v>3299982.6019899985</v>
          </cell>
          <cell r="AJ26">
            <v>69539.436010000019</v>
          </cell>
          <cell r="AK26">
            <v>91612.904000000024</v>
          </cell>
          <cell r="AL26">
            <v>-27277.190999999995</v>
          </cell>
          <cell r="AM26"/>
          <cell r="AN26">
            <v>133875.14901000017</v>
          </cell>
          <cell r="AO26">
            <v>116398.70600000005</v>
          </cell>
          <cell r="AP26">
            <v>-855.83600000000001</v>
          </cell>
          <cell r="AQ26"/>
          <cell r="AR26"/>
          <cell r="AS26">
            <v>115542.87000000005</v>
          </cell>
          <cell r="AT26">
            <v>3591.8870000000006</v>
          </cell>
          <cell r="AU26">
            <v>-22601.125</v>
          </cell>
          <cell r="AV26">
            <v>-608.20399999999995</v>
          </cell>
          <cell r="AW26">
            <v>80529.120999999999</v>
          </cell>
          <cell r="AX26">
            <v>-26138.144999999997</v>
          </cell>
          <cell r="AY26"/>
          <cell r="AZ26"/>
          <cell r="BA26">
            <v>34773.534</v>
          </cell>
          <cell r="BB26">
            <v>0</v>
          </cell>
          <cell r="BC26">
            <v>-16469.108</v>
          </cell>
          <cell r="BD26">
            <v>0</v>
          </cell>
          <cell r="BE26">
            <v>0</v>
          </cell>
          <cell r="BF26">
            <v>-27618.783000000003</v>
          </cell>
          <cell r="BG26">
            <v>0</v>
          </cell>
          <cell r="BH26"/>
          <cell r="BI26"/>
          <cell r="BJ26">
            <v>-44087.891000000003</v>
          </cell>
          <cell r="BK26"/>
          <cell r="BL26"/>
          <cell r="BM26"/>
          <cell r="BN26"/>
          <cell r="BO26"/>
        </row>
        <row r="27">
          <cell r="F27">
            <v>3540086.2640000009</v>
          </cell>
          <cell r="G27">
            <v>306635.56880076736</v>
          </cell>
          <cell r="H27">
            <v>244151.33303697236</v>
          </cell>
          <cell r="I27">
            <v>91159.800619496498</v>
          </cell>
          <cell r="J27">
            <v>177806.8727706348</v>
          </cell>
          <cell r="K27">
            <v>282962.0346698286</v>
          </cell>
          <cell r="L27">
            <v>217132.28906410074</v>
          </cell>
          <cell r="M27">
            <v>113790.42618252758</v>
          </cell>
          <cell r="N27">
            <v>167029.57003563375</v>
          </cell>
          <cell r="O27">
            <v>186081.26224144819</v>
          </cell>
          <cell r="P27">
            <v>263769.56981873832</v>
          </cell>
          <cell r="Q27">
            <v>247380.23930432176</v>
          </cell>
          <cell r="R27">
            <v>7801.8027000970887</v>
          </cell>
          <cell r="S27">
            <v>435932.77172799257</v>
          </cell>
          <cell r="T27">
            <v>38221.005798486607</v>
          </cell>
          <cell r="U27">
            <v>136253.12204587556</v>
          </cell>
          <cell r="V27">
            <v>174343.19480523851</v>
          </cell>
          <cell r="W27">
            <v>146465.14536784048</v>
          </cell>
          <cell r="X27"/>
          <cell r="Y27"/>
          <cell r="Z27">
            <v>3236916.0089900009</v>
          </cell>
          <cell r="AA27">
            <v>44058.932000000001</v>
          </cell>
          <cell r="AB27">
            <v>-598.85</v>
          </cell>
          <cell r="AC27">
            <v>-77.564999999999998</v>
          </cell>
          <cell r="AD27">
            <v>19684.076000000001</v>
          </cell>
          <cell r="AE27">
            <v>0</v>
          </cell>
          <cell r="AF27"/>
          <cell r="AG27"/>
          <cell r="AH27">
            <v>63066.593000000001</v>
          </cell>
          <cell r="AI27">
            <v>3299982.6019900008</v>
          </cell>
          <cell r="AJ27">
            <v>69539.436010000019</v>
          </cell>
          <cell r="AK27">
            <v>91612.904000000024</v>
          </cell>
          <cell r="AL27">
            <v>-27277.190999999995</v>
          </cell>
          <cell r="AM27"/>
          <cell r="AN27">
            <v>133875.14901000005</v>
          </cell>
          <cell r="AO27">
            <v>116398.70600000005</v>
          </cell>
          <cell r="AP27">
            <v>-855.83600000000001</v>
          </cell>
          <cell r="AQ27"/>
          <cell r="AR27"/>
          <cell r="AS27">
            <v>115542.87000000005</v>
          </cell>
          <cell r="AT27">
            <v>3591.8870000000006</v>
          </cell>
          <cell r="AU27">
            <v>-22601.125</v>
          </cell>
          <cell r="AV27">
            <v>-608.20399999999995</v>
          </cell>
          <cell r="AW27">
            <v>80529.120999999999</v>
          </cell>
          <cell r="AX27">
            <v>-26138.144999999997</v>
          </cell>
          <cell r="AY27"/>
          <cell r="AZ27"/>
          <cell r="BA27">
            <v>34773.534000000007</v>
          </cell>
          <cell r="BB27">
            <v>0</v>
          </cell>
          <cell r="BC27">
            <v>-16469.108</v>
          </cell>
          <cell r="BD27">
            <v>0</v>
          </cell>
          <cell r="BE27">
            <v>0</v>
          </cell>
          <cell r="BF27">
            <v>-27618.782999999999</v>
          </cell>
          <cell r="BG27">
            <v>0</v>
          </cell>
          <cell r="BH27"/>
          <cell r="BI27"/>
          <cell r="BJ27">
            <v>-44087.891000000003</v>
          </cell>
          <cell r="BK27"/>
          <cell r="BL27"/>
          <cell r="BM27"/>
          <cell r="BN27"/>
          <cell r="BO27"/>
        </row>
        <row r="28">
          <cell r="F28">
            <v>4.1909515857696533E-9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40841</v>
          </cell>
          <cell r="H31">
            <v>38927</v>
          </cell>
          <cell r="I31">
            <v>21850</v>
          </cell>
          <cell r="J31">
            <v>21233</v>
          </cell>
          <cell r="K31">
            <v>24598.5</v>
          </cell>
          <cell r="L31">
            <v>19461</v>
          </cell>
          <cell r="M31">
            <v>14880</v>
          </cell>
          <cell r="N31">
            <v>18648</v>
          </cell>
          <cell r="O31">
            <v>14434</v>
          </cell>
          <cell r="P31">
            <v>22036</v>
          </cell>
          <cell r="Q31">
            <v>18676</v>
          </cell>
          <cell r="R31">
            <v>8022.5</v>
          </cell>
          <cell r="S31">
            <v>26625</v>
          </cell>
          <cell r="T31">
            <v>3997.5</v>
          </cell>
          <cell r="U31">
            <v>8262</v>
          </cell>
          <cell r="V31">
            <v>12617.5</v>
          </cell>
          <cell r="W31">
            <v>7665.5</v>
          </cell>
          <cell r="X31">
            <v>0</v>
          </cell>
          <cell r="Y31">
            <v>0</v>
          </cell>
          <cell r="Z31">
            <v>322774.5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322774.5</v>
          </cell>
          <cell r="AJ31">
            <v>22427</v>
          </cell>
          <cell r="AK31">
            <v>35812</v>
          </cell>
          <cell r="AL31">
            <v>0</v>
          </cell>
          <cell r="AM31"/>
          <cell r="AN31">
            <v>58239</v>
          </cell>
          <cell r="AO31">
            <v>9357.5969999999998</v>
          </cell>
          <cell r="AP31">
            <v>0</v>
          </cell>
          <cell r="AQ31"/>
          <cell r="AR31"/>
          <cell r="AS31">
            <v>9357.5969999999998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43208984.908000007</v>
          </cell>
          <cell r="G32">
            <v>3686753.8</v>
          </cell>
          <cell r="H32">
            <v>3633231.2280000001</v>
          </cell>
          <cell r="I32">
            <v>1956229.1869999999</v>
          </cell>
          <cell r="J32">
            <v>1864212.3020000001</v>
          </cell>
          <cell r="K32">
            <v>2432174.5499999998</v>
          </cell>
          <cell r="L32">
            <v>1977278.3</v>
          </cell>
          <cell r="M32">
            <v>1389396</v>
          </cell>
          <cell r="N32">
            <v>1832643.02</v>
          </cell>
          <cell r="O32">
            <v>1350396.84</v>
          </cell>
          <cell r="P32">
            <v>2037477.3</v>
          </cell>
          <cell r="Q32">
            <v>1734694.85</v>
          </cell>
          <cell r="R32">
            <v>747846.20000000007</v>
          </cell>
          <cell r="S32">
            <v>2530026.8000000003</v>
          </cell>
          <cell r="T32">
            <v>400580.2</v>
          </cell>
          <cell r="U32">
            <v>809255.2</v>
          </cell>
          <cell r="V32">
            <v>1241873.0460000001</v>
          </cell>
          <cell r="W32">
            <v>906962.65599999996</v>
          </cell>
          <cell r="X32">
            <v>0</v>
          </cell>
          <cell r="Y32">
            <v>0</v>
          </cell>
          <cell r="Z32">
            <v>30531031.479000002</v>
          </cell>
          <cell r="AA32">
            <v>50000</v>
          </cell>
          <cell r="AB32">
            <v>0</v>
          </cell>
          <cell r="AC32">
            <v>0</v>
          </cell>
          <cell r="AD32">
            <v>28340</v>
          </cell>
          <cell r="AE32">
            <v>0</v>
          </cell>
          <cell r="AF32"/>
          <cell r="AG32"/>
          <cell r="AH32">
            <v>78340</v>
          </cell>
          <cell r="AI32">
            <v>30609371.479000002</v>
          </cell>
          <cell r="AJ32">
            <v>695295.6</v>
          </cell>
          <cell r="AK32">
            <v>422382</v>
          </cell>
          <cell r="AL32">
            <v>0</v>
          </cell>
          <cell r="AM32"/>
          <cell r="AN32">
            <v>1117677.6000000001</v>
          </cell>
          <cell r="AO32">
            <v>11408615.007999999</v>
          </cell>
          <cell r="AP32">
            <v>0</v>
          </cell>
          <cell r="AQ32"/>
          <cell r="AR32"/>
          <cell r="AS32">
            <v>11408615.007999999</v>
          </cell>
          <cell r="AT32">
            <v>5000</v>
          </cell>
          <cell r="AU32">
            <v>-13952</v>
          </cell>
          <cell r="AV32">
            <v>0</v>
          </cell>
          <cell r="AW32">
            <v>80529.120999999999</v>
          </cell>
          <cell r="AX32">
            <v>0</v>
          </cell>
          <cell r="AY32"/>
          <cell r="AZ32"/>
          <cell r="BA32">
            <v>71577.120999999999</v>
          </cell>
          <cell r="BB32">
            <v>0</v>
          </cell>
          <cell r="BC32">
            <v>1743.7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1743.7</v>
          </cell>
        </row>
        <row r="33">
          <cell r="F33">
            <v>37421019.175999999</v>
          </cell>
          <cell r="G33">
            <v>3140223.7790100002</v>
          </cell>
          <cell r="H33">
            <v>3163552.8000000003</v>
          </cell>
          <cell r="I33">
            <v>1728811.8470000001</v>
          </cell>
          <cell r="J33">
            <v>1572787.794</v>
          </cell>
          <cell r="K33">
            <v>1976434.031</v>
          </cell>
          <cell r="L33">
            <v>1625214.8509999998</v>
          </cell>
          <cell r="M33">
            <v>1173166.9380000001</v>
          </cell>
          <cell r="N33">
            <v>1534568.1109999998</v>
          </cell>
          <cell r="O33">
            <v>1064958.1399999999</v>
          </cell>
          <cell r="P33">
            <v>1641503.5470000003</v>
          </cell>
          <cell r="Q33">
            <v>1373949.1679999998</v>
          </cell>
          <cell r="R33">
            <v>681513.18599999999</v>
          </cell>
          <cell r="S33">
            <v>1940956.372</v>
          </cell>
          <cell r="T33">
            <v>333851.28200000001</v>
          </cell>
          <cell r="U33">
            <v>626354.45700000005</v>
          </cell>
          <cell r="V33">
            <v>989044.91700000002</v>
          </cell>
          <cell r="W33">
            <v>712013.14300000004</v>
          </cell>
          <cell r="X33">
            <v>0</v>
          </cell>
          <cell r="Y33">
            <v>0</v>
          </cell>
          <cell r="Z33">
            <v>25278904.36301</v>
          </cell>
          <cell r="AA33">
            <v>5941.0680000000002</v>
          </cell>
          <cell r="AB33">
            <v>0</v>
          </cell>
          <cell r="AC33">
            <v>0</v>
          </cell>
          <cell r="AD33">
            <v>8655.9240000000009</v>
          </cell>
          <cell r="AE33">
            <v>0</v>
          </cell>
          <cell r="AF33"/>
          <cell r="AG33"/>
          <cell r="AH33">
            <v>14596.992000000002</v>
          </cell>
          <cell r="AI33">
            <v>25293501.355009999</v>
          </cell>
          <cell r="AJ33">
            <v>615183.09298999992</v>
          </cell>
          <cell r="AK33">
            <v>330769.09599999996</v>
          </cell>
          <cell r="AL33">
            <v>0</v>
          </cell>
          <cell r="AM33"/>
          <cell r="AN33">
            <v>945952.18898999994</v>
          </cell>
          <cell r="AO33">
            <v>11171508.393999999</v>
          </cell>
          <cell r="AP33">
            <v>0</v>
          </cell>
          <cell r="AQ33"/>
          <cell r="AR33"/>
          <cell r="AS33">
            <v>11171508.393999999</v>
          </cell>
          <cell r="AT33">
            <v>1408.1130000000001</v>
          </cell>
          <cell r="AU33">
            <v>8649.125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10057.237999999999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0</v>
          </cell>
        </row>
        <row r="34">
          <cell r="F34">
            <v>5787965.7320000082</v>
          </cell>
          <cell r="G34">
            <v>546530.02098999964</v>
          </cell>
          <cell r="H34">
            <v>469678.42799999984</v>
          </cell>
          <cell r="I34">
            <v>227417.33999999985</v>
          </cell>
          <cell r="J34">
            <v>291424.50800000015</v>
          </cell>
          <cell r="K34">
            <v>455740.51899999985</v>
          </cell>
          <cell r="L34">
            <v>352063.44900000026</v>
          </cell>
          <cell r="M34">
            <v>216229.06199999992</v>
          </cell>
          <cell r="N34">
            <v>298074.90900000022</v>
          </cell>
          <cell r="O34">
            <v>285438.70000000019</v>
          </cell>
          <cell r="P34">
            <v>395973.75299999979</v>
          </cell>
          <cell r="Q34">
            <v>360745.68200000026</v>
          </cell>
          <cell r="R34">
            <v>66333.014000000083</v>
          </cell>
          <cell r="S34">
            <v>589070.42800000031</v>
          </cell>
          <cell r="T34">
            <v>66728.918000000005</v>
          </cell>
          <cell r="U34">
            <v>182900.7429999999</v>
          </cell>
          <cell r="V34">
            <v>252828.12900000007</v>
          </cell>
          <cell r="W34">
            <v>194949.51299999992</v>
          </cell>
          <cell r="X34">
            <v>0</v>
          </cell>
          <cell r="Y34">
            <v>0</v>
          </cell>
          <cell r="Z34">
            <v>5252127.1159900017</v>
          </cell>
          <cell r="AA34">
            <v>44058.932000000001</v>
          </cell>
          <cell r="AB34">
            <v>0</v>
          </cell>
          <cell r="AC34">
            <v>0</v>
          </cell>
          <cell r="AD34">
            <v>19684.076000000001</v>
          </cell>
          <cell r="AE34">
            <v>0</v>
          </cell>
          <cell r="AF34"/>
          <cell r="AG34"/>
          <cell r="AH34">
            <v>63743.008000000002</v>
          </cell>
          <cell r="AI34">
            <v>5315870.123990003</v>
          </cell>
          <cell r="AJ34">
            <v>80112.507010000059</v>
          </cell>
          <cell r="AK34">
            <v>91612.904000000039</v>
          </cell>
          <cell r="AL34">
            <v>0</v>
          </cell>
          <cell r="AM34"/>
          <cell r="AN34">
            <v>171725.41101000016</v>
          </cell>
          <cell r="AO34">
            <v>237106.61400000006</v>
          </cell>
          <cell r="AP34">
            <v>0</v>
          </cell>
          <cell r="AQ34"/>
          <cell r="AR34"/>
          <cell r="AS34">
            <v>237106.61400000006</v>
          </cell>
          <cell r="AT34">
            <v>3591.8869999999997</v>
          </cell>
          <cell r="AU34">
            <v>-22601.125</v>
          </cell>
          <cell r="AV34">
            <v>0</v>
          </cell>
          <cell r="AW34">
            <v>80529.120999999999</v>
          </cell>
          <cell r="AX34">
            <v>0</v>
          </cell>
          <cell r="AY34"/>
          <cell r="AZ34"/>
          <cell r="BA34">
            <v>61519.883000000002</v>
          </cell>
          <cell r="BB34">
            <v>0</v>
          </cell>
          <cell r="BC34">
            <v>1743.7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1743.7</v>
          </cell>
        </row>
        <row r="35">
          <cell r="F35">
            <v>2247879.4679999999</v>
          </cell>
          <cell r="G35">
            <v>239894.45218923234</v>
          </cell>
          <cell r="H35">
            <v>225527.09496302769</v>
          </cell>
          <cell r="I35">
            <v>136257.53938050338</v>
          </cell>
          <cell r="J35">
            <v>113617.63522936548</v>
          </cell>
          <cell r="K35">
            <v>172778.48433017128</v>
          </cell>
          <cell r="L35">
            <v>134931.15993589954</v>
          </cell>
          <cell r="M35">
            <v>102438.63581747242</v>
          </cell>
          <cell r="N35">
            <v>131045.33896436635</v>
          </cell>
          <cell r="O35">
            <v>99357.43775855194</v>
          </cell>
          <cell r="P35">
            <v>132204.18318126156</v>
          </cell>
          <cell r="Q35">
            <v>113365.44269567846</v>
          </cell>
          <cell r="R35">
            <v>58531.211299903007</v>
          </cell>
          <cell r="S35">
            <v>153137.65627200756</v>
          </cell>
          <cell r="T35">
            <v>28507.91220151338</v>
          </cell>
          <cell r="U35">
            <v>46647.620954124417</v>
          </cell>
          <cell r="V35">
            <v>78484.934194761634</v>
          </cell>
          <cell r="W35">
            <v>48484.36763215949</v>
          </cell>
          <cell r="X35">
            <v>0</v>
          </cell>
          <cell r="Y35">
            <v>0</v>
          </cell>
          <cell r="Z35">
            <v>2015211.1069999998</v>
          </cell>
          <cell r="AA35">
            <v>0</v>
          </cell>
          <cell r="AB35">
            <v>598.85</v>
          </cell>
          <cell r="AC35">
            <v>77.564999999999998</v>
          </cell>
          <cell r="AD35">
            <v>0</v>
          </cell>
          <cell r="AE35">
            <v>0</v>
          </cell>
          <cell r="AF35"/>
          <cell r="AG35"/>
          <cell r="AH35">
            <v>676.41499999999996</v>
          </cell>
          <cell r="AI35">
            <v>2015887.5219999999</v>
          </cell>
          <cell r="AJ35">
            <v>10573.071</v>
          </cell>
          <cell r="AK35">
            <v>0</v>
          </cell>
          <cell r="AL35">
            <v>27277.190999999995</v>
          </cell>
          <cell r="AM35"/>
          <cell r="AN35">
            <v>37850.261999999995</v>
          </cell>
          <cell r="AO35">
            <v>120707.90800000001</v>
          </cell>
          <cell r="AP35">
            <v>855.83600000000001</v>
          </cell>
          <cell r="AQ35"/>
          <cell r="AR35"/>
          <cell r="AS35">
            <v>121563.74400000001</v>
          </cell>
          <cell r="AT35">
            <v>0</v>
          </cell>
          <cell r="AU35">
            <v>0</v>
          </cell>
          <cell r="AV35">
            <v>608.20399999999995</v>
          </cell>
          <cell r="AW35">
            <v>0</v>
          </cell>
          <cell r="AX35">
            <v>26138.144999999997</v>
          </cell>
          <cell r="AY35"/>
          <cell r="AZ35"/>
          <cell r="BA35">
            <v>26746.348999999998</v>
          </cell>
          <cell r="BB35">
            <v>0</v>
          </cell>
          <cell r="BC35">
            <v>18212.808000000001</v>
          </cell>
          <cell r="BD35">
            <v>0</v>
          </cell>
          <cell r="BE35">
            <v>0</v>
          </cell>
          <cell r="BF35">
            <v>27618.783000000003</v>
          </cell>
          <cell r="BG35">
            <v>0</v>
          </cell>
          <cell r="BH35"/>
          <cell r="BI35"/>
          <cell r="BJ35">
            <v>45831.591</v>
          </cell>
        </row>
        <row r="36">
          <cell r="F36">
            <v>3540086.2640000083</v>
          </cell>
          <cell r="G36">
            <v>306635.5688007673</v>
          </cell>
          <cell r="H36">
            <v>244151.33303697215</v>
          </cell>
          <cell r="I36">
            <v>91159.800619496469</v>
          </cell>
          <cell r="J36">
            <v>177806.87277063465</v>
          </cell>
          <cell r="K36">
            <v>282962.0346698286</v>
          </cell>
          <cell r="L36">
            <v>217132.28906410071</v>
          </cell>
          <cell r="M36">
            <v>113790.4261825275</v>
          </cell>
          <cell r="N36">
            <v>167029.57003563386</v>
          </cell>
          <cell r="O36">
            <v>186081.26224144825</v>
          </cell>
          <cell r="P36">
            <v>263769.56981873827</v>
          </cell>
          <cell r="Q36">
            <v>247380.23930432182</v>
          </cell>
          <cell r="R36">
            <v>7801.802700097076</v>
          </cell>
          <cell r="S36">
            <v>435932.77172799275</v>
          </cell>
          <cell r="T36">
            <v>38221.005798486629</v>
          </cell>
          <cell r="U36">
            <v>136253.12204587547</v>
          </cell>
          <cell r="V36">
            <v>174343.19480523845</v>
          </cell>
          <cell r="W36">
            <v>146465.14536784042</v>
          </cell>
          <cell r="X36">
            <v>0</v>
          </cell>
          <cell r="Y36">
            <v>0</v>
          </cell>
          <cell r="Z36">
            <v>3236916.0089900019</v>
          </cell>
          <cell r="AA36">
            <v>44058.932000000001</v>
          </cell>
          <cell r="AB36">
            <v>-598.85</v>
          </cell>
          <cell r="AC36">
            <v>-77.564999999999998</v>
          </cell>
          <cell r="AD36">
            <v>19684.076000000001</v>
          </cell>
          <cell r="AE36">
            <v>0</v>
          </cell>
          <cell r="AF36"/>
          <cell r="AG36"/>
          <cell r="AH36">
            <v>63066.593000000001</v>
          </cell>
          <cell r="AI36">
            <v>3299982.6019900031</v>
          </cell>
          <cell r="AJ36">
            <v>69539.436010000063</v>
          </cell>
          <cell r="AK36">
            <v>91612.904000000039</v>
          </cell>
          <cell r="AL36">
            <v>-27277.190999999995</v>
          </cell>
          <cell r="AM36"/>
          <cell r="AN36">
            <v>133875.14901000017</v>
          </cell>
          <cell r="AO36">
            <v>116398.70600000005</v>
          </cell>
          <cell r="AP36">
            <v>-855.83600000000001</v>
          </cell>
          <cell r="AQ36"/>
          <cell r="AR36"/>
          <cell r="AS36">
            <v>115542.87000000005</v>
          </cell>
          <cell r="AT36">
            <v>3591.8869999999997</v>
          </cell>
          <cell r="AU36">
            <v>-22601.125</v>
          </cell>
          <cell r="AV36">
            <v>-608.20399999999995</v>
          </cell>
          <cell r="AW36">
            <v>80529.120999999999</v>
          </cell>
          <cell r="AX36">
            <v>-26138.144999999997</v>
          </cell>
          <cell r="AY36"/>
          <cell r="AZ36"/>
          <cell r="BA36">
            <v>34773.534</v>
          </cell>
          <cell r="BB36">
            <v>0</v>
          </cell>
          <cell r="BC36">
            <v>-16469.108</v>
          </cell>
          <cell r="BD36">
            <v>0</v>
          </cell>
          <cell r="BE36">
            <v>0</v>
          </cell>
          <cell r="BF36">
            <v>-27618.783000000003</v>
          </cell>
          <cell r="BG36">
            <v>0</v>
          </cell>
          <cell r="BH36"/>
          <cell r="BI36"/>
          <cell r="BJ36">
            <v>-44087.891000000003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-13088</v>
          </cell>
          <cell r="AK38">
            <v>-19252</v>
          </cell>
          <cell r="AL38"/>
          <cell r="AM38"/>
          <cell r="AN38">
            <v>-32340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-642742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-398280</v>
          </cell>
          <cell r="AK39">
            <v>-244462</v>
          </cell>
          <cell r="AL39"/>
          <cell r="AM39"/>
          <cell r="AN39">
            <v>-642742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-642742.00000000012</v>
          </cell>
          <cell r="G40"/>
          <cell r="H40"/>
          <cell r="I40"/>
          <cell r="J40"/>
          <cell r="K40">
            <v>-29201.395</v>
          </cell>
          <cell r="L40">
            <v>-67820.460999999996</v>
          </cell>
          <cell r="M40">
            <v>2115.0929999999998</v>
          </cell>
          <cell r="N40">
            <v>-6749.59</v>
          </cell>
          <cell r="O40">
            <v>-3053.366</v>
          </cell>
          <cell r="P40">
            <v>-4647.0119999999997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-109356.731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-109356.731</v>
          </cell>
          <cell r="AJ40">
            <v>-364853.38400000002</v>
          </cell>
          <cell r="AK40">
            <v>-168531.88500000001</v>
          </cell>
          <cell r="AL40"/>
          <cell r="AM40"/>
          <cell r="AN40">
            <v>-533385.26900000009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29201.395</v>
          </cell>
          <cell r="L41">
            <v>67820.460999999996</v>
          </cell>
          <cell r="M41">
            <v>-2115.0929999999998</v>
          </cell>
          <cell r="N41">
            <v>6749.59</v>
          </cell>
          <cell r="O41">
            <v>3053.366</v>
          </cell>
          <cell r="P41">
            <v>4647.0119999999997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109356.731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109356.731</v>
          </cell>
          <cell r="AJ41">
            <v>-33426.61599999998</v>
          </cell>
          <cell r="AK41">
            <v>-75930.114999999991</v>
          </cell>
          <cell r="AL41">
            <v>0</v>
          </cell>
          <cell r="AM41"/>
          <cell r="AN41">
            <v>-109356.73099999991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29201.395</v>
          </cell>
          <cell r="L43">
            <v>67820.460999999996</v>
          </cell>
          <cell r="M43">
            <v>-2115.0929999999998</v>
          </cell>
          <cell r="N43">
            <v>6749.59</v>
          </cell>
          <cell r="O43">
            <v>3053.366</v>
          </cell>
          <cell r="P43">
            <v>4647.0119999999997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109356.731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109356.731</v>
          </cell>
          <cell r="AJ43">
            <v>-33426.61599999998</v>
          </cell>
          <cell r="AK43">
            <v>-75930.114999999991</v>
          </cell>
          <cell r="AL43">
            <v>0</v>
          </cell>
          <cell r="AM43"/>
          <cell r="AN43">
            <v>-109356.73099999991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40841</v>
          </cell>
          <cell r="H45">
            <v>38927</v>
          </cell>
          <cell r="I45">
            <v>21850</v>
          </cell>
          <cell r="J45">
            <v>21233</v>
          </cell>
          <cell r="K45">
            <v>24598.5</v>
          </cell>
          <cell r="L45">
            <v>19461</v>
          </cell>
          <cell r="M45">
            <v>14880</v>
          </cell>
          <cell r="N45">
            <v>18648</v>
          </cell>
          <cell r="O45">
            <v>14434</v>
          </cell>
          <cell r="P45">
            <v>22036</v>
          </cell>
          <cell r="Q45">
            <v>18676</v>
          </cell>
          <cell r="R45">
            <v>8022.5</v>
          </cell>
          <cell r="S45">
            <v>26625</v>
          </cell>
          <cell r="T45">
            <v>3997.5</v>
          </cell>
          <cell r="U45">
            <v>8262</v>
          </cell>
          <cell r="V45">
            <v>12617.5</v>
          </cell>
          <cell r="W45">
            <v>7665.5</v>
          </cell>
          <cell r="X45">
            <v>0</v>
          </cell>
          <cell r="Y45">
            <v>0</v>
          </cell>
          <cell r="Z45">
            <v>322774.5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322774.5</v>
          </cell>
          <cell r="AJ45">
            <v>9339</v>
          </cell>
          <cell r="AK45">
            <v>16560</v>
          </cell>
          <cell r="AL45">
            <v>0</v>
          </cell>
          <cell r="AM45"/>
          <cell r="AN45">
            <v>25899</v>
          </cell>
          <cell r="AO45">
            <v>9357.5969999999998</v>
          </cell>
          <cell r="AP45">
            <v>0</v>
          </cell>
          <cell r="AQ45"/>
          <cell r="AR45"/>
          <cell r="AS45">
            <v>9357.5969999999998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42566242.908000007</v>
          </cell>
          <cell r="G46">
            <v>3686753.8</v>
          </cell>
          <cell r="H46">
            <v>3633231.2280000001</v>
          </cell>
          <cell r="I46">
            <v>1956229.1869999999</v>
          </cell>
          <cell r="J46">
            <v>1864212.3020000001</v>
          </cell>
          <cell r="K46">
            <v>2432174.5499999998</v>
          </cell>
          <cell r="L46">
            <v>1977278.3</v>
          </cell>
          <cell r="M46">
            <v>1389396</v>
          </cell>
          <cell r="N46">
            <v>1832643.02</v>
          </cell>
          <cell r="O46">
            <v>1350396.84</v>
          </cell>
          <cell r="P46">
            <v>2037477.3</v>
          </cell>
          <cell r="Q46">
            <v>1734694.85</v>
          </cell>
          <cell r="R46">
            <v>747846.20000000007</v>
          </cell>
          <cell r="S46">
            <v>2530026.8000000003</v>
          </cell>
          <cell r="T46">
            <v>400580.2</v>
          </cell>
          <cell r="U46">
            <v>809255.2</v>
          </cell>
          <cell r="V46">
            <v>1241873.0460000001</v>
          </cell>
          <cell r="W46">
            <v>906962.65599999996</v>
          </cell>
          <cell r="X46">
            <v>0</v>
          </cell>
          <cell r="Y46">
            <v>0</v>
          </cell>
          <cell r="Z46">
            <v>30531031.479000002</v>
          </cell>
          <cell r="AA46">
            <v>50000</v>
          </cell>
          <cell r="AB46">
            <v>0</v>
          </cell>
          <cell r="AC46">
            <v>0</v>
          </cell>
          <cell r="AD46">
            <v>28340</v>
          </cell>
          <cell r="AE46">
            <v>0</v>
          </cell>
          <cell r="AF46"/>
          <cell r="AG46"/>
          <cell r="AH46">
            <v>78340</v>
          </cell>
          <cell r="AI46">
            <v>30609371.479000002</v>
          </cell>
          <cell r="AJ46">
            <v>297015.59999999998</v>
          </cell>
          <cell r="AK46">
            <v>177920</v>
          </cell>
          <cell r="AL46">
            <v>0</v>
          </cell>
          <cell r="AM46"/>
          <cell r="AN46">
            <v>474935.6</v>
          </cell>
          <cell r="AO46">
            <v>11408615.007999999</v>
          </cell>
          <cell r="AP46">
            <v>0</v>
          </cell>
          <cell r="AQ46"/>
          <cell r="AR46"/>
          <cell r="AS46">
            <v>11408615.007999999</v>
          </cell>
          <cell r="AT46">
            <v>5000</v>
          </cell>
          <cell r="AU46">
            <v>-13952</v>
          </cell>
          <cell r="AV46">
            <v>0</v>
          </cell>
          <cell r="AW46">
            <v>80529.120999999999</v>
          </cell>
          <cell r="AX46">
            <v>0</v>
          </cell>
          <cell r="AY46"/>
          <cell r="AZ46"/>
          <cell r="BA46">
            <v>71577.120999999999</v>
          </cell>
          <cell r="BB46">
            <v>0</v>
          </cell>
          <cell r="BC46">
            <v>1743.7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1743.7</v>
          </cell>
        </row>
        <row r="47">
          <cell r="F47">
            <v>36778277.175999999</v>
          </cell>
          <cell r="G47">
            <v>3140223.7790100002</v>
          </cell>
          <cell r="H47">
            <v>3163552.8000000003</v>
          </cell>
          <cell r="I47">
            <v>1728811.8470000001</v>
          </cell>
          <cell r="J47">
            <v>1572787.794</v>
          </cell>
          <cell r="K47">
            <v>1947232.6359999999</v>
          </cell>
          <cell r="L47">
            <v>1557394.39</v>
          </cell>
          <cell r="M47">
            <v>1175282.0310000002</v>
          </cell>
          <cell r="N47">
            <v>1527818.5209999997</v>
          </cell>
          <cell r="O47">
            <v>1061904.774</v>
          </cell>
          <cell r="P47">
            <v>1636856.5350000001</v>
          </cell>
          <cell r="Q47">
            <v>1373949.1679999998</v>
          </cell>
          <cell r="R47">
            <v>681513.18599999999</v>
          </cell>
          <cell r="S47">
            <v>1940956.372</v>
          </cell>
          <cell r="T47">
            <v>333851.28200000001</v>
          </cell>
          <cell r="U47">
            <v>626354.45700000005</v>
          </cell>
          <cell r="V47">
            <v>989044.91700000002</v>
          </cell>
          <cell r="W47">
            <v>712013.14300000004</v>
          </cell>
          <cell r="X47">
            <v>0</v>
          </cell>
          <cell r="Y47">
            <v>0</v>
          </cell>
          <cell r="Z47">
            <v>25169547.632010002</v>
          </cell>
          <cell r="AA47">
            <v>5941.0680000000002</v>
          </cell>
          <cell r="AB47">
            <v>0</v>
          </cell>
          <cell r="AC47">
            <v>0</v>
          </cell>
          <cell r="AD47">
            <v>8655.9240000000009</v>
          </cell>
          <cell r="AE47">
            <v>0</v>
          </cell>
          <cell r="AF47"/>
          <cell r="AG47"/>
          <cell r="AH47">
            <v>14596.992000000002</v>
          </cell>
          <cell r="AI47">
            <v>25184144.62401</v>
          </cell>
          <cell r="AJ47">
            <v>250329.7089899999</v>
          </cell>
          <cell r="AK47">
            <v>162237.21099999995</v>
          </cell>
          <cell r="AL47">
            <v>0</v>
          </cell>
          <cell r="AM47"/>
          <cell r="AN47">
            <v>412566.91998999985</v>
          </cell>
          <cell r="AO47">
            <v>11171508.393999999</v>
          </cell>
          <cell r="AP47">
            <v>0</v>
          </cell>
          <cell r="AQ47"/>
          <cell r="AR47"/>
          <cell r="AS47">
            <v>11171508.393999999</v>
          </cell>
          <cell r="AT47">
            <v>1408.1130000000001</v>
          </cell>
          <cell r="AU47">
            <v>8649.125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10057.237999999999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0</v>
          </cell>
        </row>
        <row r="48">
          <cell r="F48">
            <v>5787965.7320000082</v>
          </cell>
          <cell r="G48">
            <v>546530.02098999964</v>
          </cell>
          <cell r="H48">
            <v>469678.42799999984</v>
          </cell>
          <cell r="I48">
            <v>227417.33999999985</v>
          </cell>
          <cell r="J48">
            <v>291424.50800000015</v>
          </cell>
          <cell r="K48">
            <v>484941.91399999987</v>
          </cell>
          <cell r="L48">
            <v>419883.91000000015</v>
          </cell>
          <cell r="M48">
            <v>214113.96899999981</v>
          </cell>
          <cell r="N48">
            <v>304824.4990000003</v>
          </cell>
          <cell r="O48">
            <v>288492.06600000011</v>
          </cell>
          <cell r="P48">
            <v>400620.7649999999</v>
          </cell>
          <cell r="Q48">
            <v>360745.68200000026</v>
          </cell>
          <cell r="R48">
            <v>66333.014000000083</v>
          </cell>
          <cell r="S48">
            <v>589070.42800000031</v>
          </cell>
          <cell r="T48">
            <v>66728.918000000005</v>
          </cell>
          <cell r="U48">
            <v>182900.7429999999</v>
          </cell>
          <cell r="V48">
            <v>252828.12900000007</v>
          </cell>
          <cell r="W48">
            <v>194949.51299999992</v>
          </cell>
          <cell r="X48">
            <v>0</v>
          </cell>
          <cell r="Y48">
            <v>0</v>
          </cell>
          <cell r="Z48">
            <v>5361483.8469900005</v>
          </cell>
          <cell r="AA48">
            <v>44058.932000000001</v>
          </cell>
          <cell r="AB48">
            <v>0</v>
          </cell>
          <cell r="AC48">
            <v>0</v>
          </cell>
          <cell r="AD48">
            <v>19684.076000000001</v>
          </cell>
          <cell r="AE48">
            <v>0</v>
          </cell>
          <cell r="AF48"/>
          <cell r="AG48"/>
          <cell r="AH48">
            <v>63743.008000000002</v>
          </cell>
          <cell r="AI48">
            <v>5425226.8549900018</v>
          </cell>
          <cell r="AJ48">
            <v>46685.891010000079</v>
          </cell>
          <cell r="AK48">
            <v>15682.789000000048</v>
          </cell>
          <cell r="AL48">
            <v>0</v>
          </cell>
          <cell r="AM48"/>
          <cell r="AN48">
            <v>62368.680010000127</v>
          </cell>
          <cell r="AO48">
            <v>237106.61400000006</v>
          </cell>
          <cell r="AP48">
            <v>0</v>
          </cell>
          <cell r="AQ48"/>
          <cell r="AR48"/>
          <cell r="AS48">
            <v>237106.61400000006</v>
          </cell>
          <cell r="AT48">
            <v>3591.8869999999997</v>
          </cell>
          <cell r="AU48">
            <v>-22601.125</v>
          </cell>
          <cell r="AV48">
            <v>0</v>
          </cell>
          <cell r="AW48">
            <v>80529.120999999999</v>
          </cell>
          <cell r="AX48">
            <v>0</v>
          </cell>
          <cell r="AY48"/>
          <cell r="AZ48"/>
          <cell r="BA48">
            <v>61519.883000000002</v>
          </cell>
          <cell r="BB48">
            <v>0</v>
          </cell>
          <cell r="BC48">
            <v>1743.7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1743.7</v>
          </cell>
        </row>
        <row r="49">
          <cell r="F49">
            <v>2247879.4679999999</v>
          </cell>
          <cell r="G49">
            <v>239894.45218923234</v>
          </cell>
          <cell r="H49">
            <v>225527.09496302769</v>
          </cell>
          <cell r="I49">
            <v>136257.53938050338</v>
          </cell>
          <cell r="J49">
            <v>113617.63522936548</v>
          </cell>
          <cell r="K49">
            <v>172778.48433017128</v>
          </cell>
          <cell r="L49">
            <v>134931.15993589954</v>
          </cell>
          <cell r="M49">
            <v>102438.63581747242</v>
          </cell>
          <cell r="N49">
            <v>131045.33896436635</v>
          </cell>
          <cell r="O49">
            <v>99357.43775855194</v>
          </cell>
          <cell r="P49">
            <v>132204.18318126156</v>
          </cell>
          <cell r="Q49">
            <v>113365.44269567846</v>
          </cell>
          <cell r="R49">
            <v>58531.211299903007</v>
          </cell>
          <cell r="S49">
            <v>153137.65627200756</v>
          </cell>
          <cell r="T49">
            <v>28507.91220151338</v>
          </cell>
          <cell r="U49">
            <v>46647.620954124417</v>
          </cell>
          <cell r="V49">
            <v>78484.934194761634</v>
          </cell>
          <cell r="W49">
            <v>48484.36763215949</v>
          </cell>
          <cell r="X49">
            <v>0</v>
          </cell>
          <cell r="Y49">
            <v>0</v>
          </cell>
          <cell r="Z49">
            <v>2015211.1069999998</v>
          </cell>
          <cell r="AA49">
            <v>0</v>
          </cell>
          <cell r="AB49">
            <v>598.85</v>
          </cell>
          <cell r="AC49">
            <v>77.564999999999998</v>
          </cell>
          <cell r="AD49">
            <v>0</v>
          </cell>
          <cell r="AE49">
            <v>0</v>
          </cell>
          <cell r="AF49"/>
          <cell r="AG49"/>
          <cell r="AH49">
            <v>676.41499999999996</v>
          </cell>
          <cell r="AI49">
            <v>2015887.5219999999</v>
          </cell>
          <cell r="AJ49">
            <v>10573.071</v>
          </cell>
          <cell r="AK49">
            <v>0</v>
          </cell>
          <cell r="AL49">
            <v>27277.190999999995</v>
          </cell>
          <cell r="AM49"/>
          <cell r="AN49">
            <v>37850.261999999995</v>
          </cell>
          <cell r="AO49">
            <v>120707.90800000001</v>
          </cell>
          <cell r="AP49">
            <v>855.83600000000001</v>
          </cell>
          <cell r="AQ49"/>
          <cell r="AR49"/>
          <cell r="AS49">
            <v>121563.74400000001</v>
          </cell>
          <cell r="AT49">
            <v>0</v>
          </cell>
          <cell r="AU49">
            <v>0</v>
          </cell>
          <cell r="AV49">
            <v>608.20399999999995</v>
          </cell>
          <cell r="AW49">
            <v>0</v>
          </cell>
          <cell r="AX49">
            <v>26138.144999999997</v>
          </cell>
          <cell r="AY49"/>
          <cell r="AZ49"/>
          <cell r="BA49">
            <v>26746.348999999998</v>
          </cell>
          <cell r="BB49">
            <v>0</v>
          </cell>
          <cell r="BC49">
            <v>18212.808000000001</v>
          </cell>
          <cell r="BD49">
            <v>0</v>
          </cell>
          <cell r="BE49">
            <v>0</v>
          </cell>
          <cell r="BF49">
            <v>27618.783000000003</v>
          </cell>
          <cell r="BG49">
            <v>0</v>
          </cell>
          <cell r="BH49"/>
          <cell r="BI49"/>
          <cell r="BJ49">
            <v>45831.591</v>
          </cell>
        </row>
        <row r="50">
          <cell r="F50">
            <v>3540086.2640000083</v>
          </cell>
          <cell r="G50">
            <v>306635.5688007673</v>
          </cell>
          <cell r="H50">
            <v>244151.33303697215</v>
          </cell>
          <cell r="I50">
            <v>91159.800619496469</v>
          </cell>
          <cell r="J50">
            <v>177806.87277063465</v>
          </cell>
          <cell r="K50">
            <v>312163.42966982862</v>
          </cell>
          <cell r="L50">
            <v>284952.7500641006</v>
          </cell>
          <cell r="M50">
            <v>111675.33318252739</v>
          </cell>
          <cell r="N50">
            <v>173779.16003563395</v>
          </cell>
          <cell r="O50">
            <v>189134.62824144817</v>
          </cell>
          <cell r="P50">
            <v>268416.58181873837</v>
          </cell>
          <cell r="Q50">
            <v>247380.23930432182</v>
          </cell>
          <cell r="R50">
            <v>7801.802700097076</v>
          </cell>
          <cell r="S50">
            <v>435932.77172799275</v>
          </cell>
          <cell r="T50">
            <v>38221.005798486629</v>
          </cell>
          <cell r="U50">
            <v>136253.12204587547</v>
          </cell>
          <cell r="V50">
            <v>174343.19480523845</v>
          </cell>
          <cell r="W50">
            <v>146465.14536784042</v>
          </cell>
          <cell r="X50">
            <v>0</v>
          </cell>
          <cell r="Y50">
            <v>0</v>
          </cell>
          <cell r="Z50">
            <v>3346272.7399900006</v>
          </cell>
          <cell r="AA50">
            <v>44058.932000000001</v>
          </cell>
          <cell r="AB50">
            <v>-598.85</v>
          </cell>
          <cell r="AC50">
            <v>-77.564999999999998</v>
          </cell>
          <cell r="AD50">
            <v>19684.076000000001</v>
          </cell>
          <cell r="AE50">
            <v>0</v>
          </cell>
          <cell r="AF50"/>
          <cell r="AG50"/>
          <cell r="AH50">
            <v>63066.593000000001</v>
          </cell>
          <cell r="AI50">
            <v>3409339.3329900019</v>
          </cell>
          <cell r="AJ50">
            <v>36112.820010000083</v>
          </cell>
          <cell r="AK50">
            <v>15682.789000000048</v>
          </cell>
          <cell r="AL50">
            <v>-27277.190999999995</v>
          </cell>
          <cell r="AM50"/>
          <cell r="AN50">
            <v>24518.418010000132</v>
          </cell>
          <cell r="AO50">
            <v>116398.70600000005</v>
          </cell>
          <cell r="AP50">
            <v>-855.83600000000001</v>
          </cell>
          <cell r="AQ50"/>
          <cell r="AR50"/>
          <cell r="AS50">
            <v>115542.87000000005</v>
          </cell>
          <cell r="AT50">
            <v>3591.8869999999997</v>
          </cell>
          <cell r="AU50">
            <v>-22601.125</v>
          </cell>
          <cell r="AV50">
            <v>-608.20399999999995</v>
          </cell>
          <cell r="AW50">
            <v>80529.120999999999</v>
          </cell>
          <cell r="AX50">
            <v>-26138.144999999997</v>
          </cell>
          <cell r="AY50"/>
          <cell r="AZ50"/>
          <cell r="BA50">
            <v>34773.534</v>
          </cell>
          <cell r="BB50">
            <v>0</v>
          </cell>
          <cell r="BC50">
            <v>-16469.108</v>
          </cell>
          <cell r="BD50">
            <v>0</v>
          </cell>
          <cell r="BE50">
            <v>0</v>
          </cell>
          <cell r="BF50">
            <v>-27618.783000000003</v>
          </cell>
          <cell r="BG50">
            <v>0</v>
          </cell>
          <cell r="BH50"/>
          <cell r="BI50"/>
          <cell r="BJ50">
            <v>-44087.891000000003</v>
          </cell>
        </row>
        <row r="53">
          <cell r="J53"/>
        </row>
        <row r="54">
          <cell r="J54"/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>
        <row r="6">
          <cell r="F6" t="str">
            <v>합계</v>
          </cell>
        </row>
      </sheetData>
      <sheetData sheetId="16">
        <row r="6">
          <cell r="F6" t="str">
            <v>합계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756</v>
          </cell>
          <cell r="K7">
            <v>794.92849999999999</v>
          </cell>
          <cell r="M7">
            <v>956.87300000000005</v>
          </cell>
        </row>
        <row r="8">
          <cell r="J8">
            <v>20600</v>
          </cell>
          <cell r="K8">
            <v>21735.562999999998</v>
          </cell>
          <cell r="M8">
            <v>25167.705000000002</v>
          </cell>
        </row>
        <row r="9">
          <cell r="J9">
            <v>200.13807710144482</v>
          </cell>
          <cell r="K9">
            <v>234.71699999999998</v>
          </cell>
          <cell r="M9">
            <v>187.09300000000002</v>
          </cell>
        </row>
        <row r="10">
          <cell r="J10">
            <v>76183.360114594674</v>
          </cell>
          <cell r="K10">
            <v>80602.440437999991</v>
          </cell>
          <cell r="M10">
            <v>89505.51654099999</v>
          </cell>
        </row>
        <row r="11">
          <cell r="J11">
            <v>25207.456842105268</v>
          </cell>
          <cell r="K11">
            <v>22933.532928000001</v>
          </cell>
          <cell r="M11">
            <v>29963.074561000001</v>
          </cell>
        </row>
        <row r="12">
          <cell r="J12">
            <v>4274.4968038310089</v>
          </cell>
          <cell r="K12">
            <v>4781.6091720000004</v>
          </cell>
          <cell r="M12">
            <v>3527.6313</v>
          </cell>
        </row>
        <row r="13">
          <cell r="J13">
            <v>494.72250099998791</v>
          </cell>
          <cell r="K13">
            <v>493.55453799999714</v>
          </cell>
          <cell r="M13">
            <v>545.8715430000002</v>
          </cell>
        </row>
        <row r="15">
          <cell r="J15">
            <v>65799.017354875585</v>
          </cell>
          <cell r="K15">
            <v>70916.89882100001</v>
          </cell>
          <cell r="M15">
            <v>75054.710357000004</v>
          </cell>
        </row>
        <row r="16">
          <cell r="J16">
            <v>24562.005693136838</v>
          </cell>
          <cell r="K16">
            <v>22399.724484999999</v>
          </cell>
          <cell r="M16">
            <v>29387.996647</v>
          </cell>
        </row>
        <row r="17">
          <cell r="J17">
            <v>3968.9272812707959</v>
          </cell>
          <cell r="K17">
            <v>4229.31046401</v>
          </cell>
          <cell r="M17">
            <v>3155.43311799</v>
          </cell>
        </row>
        <row r="18">
          <cell r="J18">
            <v>107.32467299999416</v>
          </cell>
          <cell r="K18">
            <v>71.477030000003651</v>
          </cell>
          <cell r="M18">
            <v>31.449464000012313</v>
          </cell>
        </row>
        <row r="25">
          <cell r="J25">
            <v>2009.2377839999999</v>
          </cell>
          <cell r="K25">
            <v>1972.1540499999999</v>
          </cell>
          <cell r="M25">
            <v>1984.7361330000003</v>
          </cell>
        </row>
        <row r="26">
          <cell r="J26">
            <v>385.11155000000008</v>
          </cell>
          <cell r="K26">
            <v>385.04120699999999</v>
          </cell>
          <cell r="M26">
            <v>368.87383999999997</v>
          </cell>
        </row>
        <row r="27">
          <cell r="J27">
            <v>201.58362255555556</v>
          </cell>
          <cell r="K27">
            <v>133.17801512838568</v>
          </cell>
          <cell r="M27">
            <v>56.715780999999993</v>
          </cell>
        </row>
        <row r="28">
          <cell r="J28">
            <v>3815.3610685015974</v>
          </cell>
          <cell r="K28">
            <v>5552.3339358742596</v>
          </cell>
          <cell r="M28">
            <v>3481.8859279999997</v>
          </cell>
        </row>
        <row r="38">
          <cell r="J38">
            <v>5311.4672341905753</v>
          </cell>
          <cell r="K38">
            <v>3151.0190679873385</v>
          </cell>
          <cell r="M38">
            <v>10020.292677010002</v>
          </cell>
        </row>
      </sheetData>
      <sheetData sheetId="2"/>
      <sheetData sheetId="3">
        <row r="7">
          <cell r="J7">
            <v>114</v>
          </cell>
          <cell r="K7">
            <v>124.45100000000002</v>
          </cell>
          <cell r="M7">
            <v>133.29300000000001</v>
          </cell>
          <cell r="O7">
            <v>11192.550450000001</v>
          </cell>
          <cell r="P7">
            <v>12223.781814</v>
          </cell>
          <cell r="R7">
            <v>12041.664016999999</v>
          </cell>
          <cell r="T7">
            <v>1164.903400891289</v>
          </cell>
          <cell r="U7">
            <v>1191.1608039999999</v>
          </cell>
          <cell r="W7">
            <v>1394.5361759900006</v>
          </cell>
        </row>
        <row r="8">
          <cell r="J8">
            <v>80</v>
          </cell>
          <cell r="K8">
            <v>83.656000000000006</v>
          </cell>
          <cell r="M8">
            <v>105.474</v>
          </cell>
          <cell r="O8">
            <v>7957.9825099999998</v>
          </cell>
          <cell r="P8">
            <v>8443.3819490000005</v>
          </cell>
          <cell r="R8">
            <v>9553.4930010000007</v>
          </cell>
          <cell r="T8">
            <v>466.8225260649707</v>
          </cell>
          <cell r="U8">
            <v>624.52589400000056</v>
          </cell>
          <cell r="W8">
            <v>805.21397699999943</v>
          </cell>
        </row>
        <row r="9">
          <cell r="J9">
            <v>68</v>
          </cell>
          <cell r="K9">
            <v>66.204000000000008</v>
          </cell>
          <cell r="M9">
            <v>69.881</v>
          </cell>
          <cell r="O9">
            <v>6557.4778733446765</v>
          </cell>
          <cell r="P9">
            <v>6763.0588109999999</v>
          </cell>
          <cell r="R9">
            <v>6213.3584989999999</v>
          </cell>
          <cell r="T9">
            <v>632.69682044302647</v>
          </cell>
          <cell r="U9">
            <v>487.94201200000026</v>
          </cell>
          <cell r="W9">
            <v>362.7215680100004</v>
          </cell>
        </row>
        <row r="10">
          <cell r="J10">
            <v>30.5</v>
          </cell>
          <cell r="K10">
            <v>23.558999999999997</v>
          </cell>
          <cell r="M10">
            <v>42.215499999999999</v>
          </cell>
          <cell r="O10">
            <v>2841.2685000000001</v>
          </cell>
          <cell r="P10">
            <v>2263.1289269999997</v>
          </cell>
          <cell r="R10">
            <v>3636.2373689999999</v>
          </cell>
          <cell r="T10">
            <v>132.60506915218133</v>
          </cell>
          <cell r="U10">
            <v>-5.5885100000000136</v>
          </cell>
          <cell r="W10">
            <v>366.43109200000004</v>
          </cell>
        </row>
        <row r="11">
          <cell r="J11">
            <v>53</v>
          </cell>
          <cell r="K11">
            <v>62.108000000000004</v>
          </cell>
          <cell r="M11">
            <v>76.331999999999994</v>
          </cell>
          <cell r="O11">
            <v>5702.8014752500003</v>
          </cell>
          <cell r="P11">
            <v>6695.4014079999997</v>
          </cell>
          <cell r="R11">
            <v>7796.9946</v>
          </cell>
          <cell r="T11">
            <v>725.7529142792423</v>
          </cell>
          <cell r="U11">
            <v>737.33396599999969</v>
          </cell>
          <cell r="W11">
            <v>1517.0039209999998</v>
          </cell>
        </row>
        <row r="12">
          <cell r="J12">
            <v>64</v>
          </cell>
          <cell r="K12">
            <v>63.855000000000004</v>
          </cell>
          <cell r="M12">
            <v>69.296999999999997</v>
          </cell>
          <cell r="O12">
            <v>6629.7964800000009</v>
          </cell>
          <cell r="P12">
            <v>6421.5315200000005</v>
          </cell>
          <cell r="R12">
            <v>6626.9685000000009</v>
          </cell>
          <cell r="T12">
            <v>1036.9187868248384</v>
          </cell>
          <cell r="U12">
            <v>663.07388399999991</v>
          </cell>
          <cell r="W12">
            <v>1141.9587549999997</v>
          </cell>
        </row>
        <row r="13">
          <cell r="J13">
            <v>33</v>
          </cell>
          <cell r="K13">
            <v>35.106000000000002</v>
          </cell>
          <cell r="M13">
            <v>39.024000000000001</v>
          </cell>
          <cell r="O13">
            <v>3332.9940000000001</v>
          </cell>
          <cell r="P13">
            <v>3478.5254</v>
          </cell>
          <cell r="R13">
            <v>3719.4778999999999</v>
          </cell>
          <cell r="T13">
            <v>337.11235923164253</v>
          </cell>
          <cell r="U13">
            <v>199.92358199999984</v>
          </cell>
          <cell r="W13">
            <v>446.21318699999989</v>
          </cell>
        </row>
        <row r="14">
          <cell r="J14">
            <v>52</v>
          </cell>
          <cell r="K14">
            <v>57.172499999999999</v>
          </cell>
          <cell r="M14">
            <v>61.599999999999994</v>
          </cell>
          <cell r="O14">
            <v>5408</v>
          </cell>
          <cell r="P14">
            <v>5849.31675</v>
          </cell>
          <cell r="R14">
            <v>6096.0357199999999</v>
          </cell>
          <cell r="T14">
            <v>697.10379037432153</v>
          </cell>
          <cell r="U14">
            <v>538.13684699999953</v>
          </cell>
          <cell r="W14">
            <v>1002.3761910000003</v>
          </cell>
        </row>
        <row r="15">
          <cell r="J15">
            <v>31</v>
          </cell>
          <cell r="K15">
            <v>36.892000000000003</v>
          </cell>
          <cell r="M15">
            <v>43.084000000000003</v>
          </cell>
          <cell r="O15">
            <v>2987.555934</v>
          </cell>
          <cell r="P15">
            <v>3466.62961</v>
          </cell>
          <cell r="R15">
            <v>4005.2567319999998</v>
          </cell>
          <cell r="T15">
            <v>329.78580105806907</v>
          </cell>
          <cell r="U15">
            <v>383.7613960000001</v>
          </cell>
          <cell r="W15">
            <v>639.5405169999998</v>
          </cell>
        </row>
        <row r="16">
          <cell r="J16">
            <v>46</v>
          </cell>
          <cell r="K16">
            <v>51.491</v>
          </cell>
          <cell r="M16">
            <v>60.343000000000004</v>
          </cell>
          <cell r="O16">
            <v>4581.8505000000005</v>
          </cell>
          <cell r="P16">
            <v>5287.2833000000001</v>
          </cell>
          <cell r="R16">
            <v>5589.3901000000005</v>
          </cell>
          <cell r="T16">
            <v>678.42541275883059</v>
          </cell>
          <cell r="U16">
            <v>842.19534899999996</v>
          </cell>
          <cell r="W16">
            <v>1061.4460699999997</v>
          </cell>
        </row>
        <row r="17">
          <cell r="J17">
            <v>43</v>
          </cell>
          <cell r="K17">
            <v>44.323499999999996</v>
          </cell>
          <cell r="M17">
            <v>63.897499999999994</v>
          </cell>
          <cell r="O17">
            <v>4205.3999999999996</v>
          </cell>
          <cell r="P17">
            <v>4483.1214419999997</v>
          </cell>
          <cell r="R17">
            <v>5783.3633499999996</v>
          </cell>
          <cell r="T17">
            <v>610.41077592178897</v>
          </cell>
          <cell r="U17">
            <v>620.05234100000007</v>
          </cell>
          <cell r="W17">
            <v>1017.9512619999999</v>
          </cell>
        </row>
        <row r="18">
          <cell r="J18">
            <v>16</v>
          </cell>
          <cell r="K18">
            <v>17.354500000000002</v>
          </cell>
          <cell r="M18">
            <v>29.939499999999999</v>
          </cell>
          <cell r="O18">
            <v>1565.8749600000001</v>
          </cell>
          <cell r="P18">
            <v>1808.5360919999998</v>
          </cell>
          <cell r="R18">
            <v>2821.4144500000002</v>
          </cell>
          <cell r="T18">
            <v>-117.46497822654854</v>
          </cell>
          <cell r="U18">
            <v>-37.876098999999954</v>
          </cell>
          <cell r="W18">
            <v>226.12245000000001</v>
          </cell>
        </row>
        <row r="19">
          <cell r="J19">
            <v>54</v>
          </cell>
          <cell r="K19">
            <v>68.24199999999999</v>
          </cell>
          <cell r="M19">
            <v>78.647999999999996</v>
          </cell>
          <cell r="O19">
            <v>5453.9843000000001</v>
          </cell>
          <cell r="P19">
            <v>6832.5552510000007</v>
          </cell>
          <cell r="R19">
            <v>7318.3110419999994</v>
          </cell>
          <cell r="T19">
            <v>627.50770456767793</v>
          </cell>
          <cell r="U19">
            <v>580.27092800000048</v>
          </cell>
          <cell r="W19">
            <v>1140.0005379999993</v>
          </cell>
        </row>
        <row r="20">
          <cell r="J20">
            <v>32</v>
          </cell>
          <cell r="K20">
            <v>15.963000000000001</v>
          </cell>
          <cell r="M20">
            <v>28.244500000000002</v>
          </cell>
          <cell r="O20">
            <v>3260.2907970000006</v>
          </cell>
          <cell r="P20">
            <v>1542.6619289999999</v>
          </cell>
          <cell r="R20">
            <v>2504.7447000000002</v>
          </cell>
          <cell r="T20">
            <v>423.25094730111471</v>
          </cell>
          <cell r="U20">
            <v>-46.418492000000043</v>
          </cell>
          <cell r="W20">
            <v>166.62544100000014</v>
          </cell>
        </row>
        <row r="21">
          <cell r="J21">
            <v>15.5</v>
          </cell>
          <cell r="K21">
            <v>21.895000000000003</v>
          </cell>
          <cell r="M21">
            <v>22.1205</v>
          </cell>
          <cell r="O21">
            <v>1690.3323350000001</v>
          </cell>
          <cell r="P21">
            <v>2347.45181</v>
          </cell>
          <cell r="R21">
            <v>2061.4803120000001</v>
          </cell>
          <cell r="T21">
            <v>355.97933532616707</v>
          </cell>
          <cell r="U21">
            <v>575.76975100000016</v>
          </cell>
          <cell r="W21">
            <v>420.31722900000005</v>
          </cell>
        </row>
        <row r="22">
          <cell r="J22">
            <v>12</v>
          </cell>
          <cell r="K22">
            <v>13.148</v>
          </cell>
          <cell r="M22">
            <v>11.7265</v>
          </cell>
          <cell r="O22">
            <v>1294.8</v>
          </cell>
          <cell r="P22">
            <v>1468.9101999999998</v>
          </cell>
          <cell r="R22">
            <v>1165.2837179999999</v>
          </cell>
          <cell r="T22">
            <v>131.69105126166431</v>
          </cell>
          <cell r="U22">
            <v>235.63579099999998</v>
          </cell>
          <cell r="W22">
            <v>158.28419899999994</v>
          </cell>
        </row>
        <row r="23">
          <cell r="J23">
            <v>12</v>
          </cell>
          <cell r="K23">
            <v>9.5079999999999991</v>
          </cell>
          <cell r="M23">
            <v>21.753</v>
          </cell>
          <cell r="O23">
            <v>1520.4</v>
          </cell>
          <cell r="P23">
            <v>1227.164225</v>
          </cell>
          <cell r="R23">
            <v>2572.0425310000001</v>
          </cell>
          <cell r="T23">
            <v>141.60325848881644</v>
          </cell>
          <cell r="U23">
            <v>123.48812299999999</v>
          </cell>
          <cell r="W23">
            <v>599.32747800000016</v>
          </cell>
        </row>
        <row r="28">
          <cell r="J28">
            <v>20600</v>
          </cell>
          <cell r="K28">
            <v>21735.562999999998</v>
          </cell>
          <cell r="M28">
            <v>25167.705000000002</v>
          </cell>
          <cell r="O28">
            <v>25207.456842105268</v>
          </cell>
          <cell r="P28">
            <v>22933.532928000001</v>
          </cell>
          <cell r="R28">
            <v>29963.074561000001</v>
          </cell>
          <cell r="T28">
            <v>260.33959896842555</v>
          </cell>
          <cell r="U28">
            <v>148.767236</v>
          </cell>
          <cell r="W28">
            <v>206.20407400000079</v>
          </cell>
        </row>
        <row r="29">
          <cell r="J29">
            <v>57.531465914483107</v>
          </cell>
          <cell r="K29">
            <v>66.105999999999995</v>
          </cell>
          <cell r="M29">
            <v>73.989000000000004</v>
          </cell>
          <cell r="O29">
            <v>1777.6373128362702</v>
          </cell>
          <cell r="P29">
            <v>1982.7676719999999</v>
          </cell>
          <cell r="R29">
            <v>2200.9593</v>
          </cell>
          <cell r="T29">
            <v>74.963484373677019</v>
          </cell>
          <cell r="U29">
            <v>153.75249523583781</v>
          </cell>
          <cell r="W29">
            <v>100.01811500999985</v>
          </cell>
        </row>
        <row r="30">
          <cell r="J30">
            <v>23.509599999999999</v>
          </cell>
          <cell r="K30">
            <v>72.474000000000004</v>
          </cell>
          <cell r="M30">
            <v>113.10400000000001</v>
          </cell>
          <cell r="O30">
            <v>366.51980000000003</v>
          </cell>
          <cell r="P30">
            <v>1002.114</v>
          </cell>
          <cell r="R30">
            <v>1326.672</v>
          </cell>
          <cell r="T30">
            <v>51.511146528417427</v>
          </cell>
          <cell r="U30">
            <v>137.00128375577637</v>
          </cell>
          <cell r="W30">
            <v>245.88794400000006</v>
          </cell>
        </row>
        <row r="31">
          <cell r="J31">
            <v>119.09701118696171</v>
          </cell>
          <cell r="K31">
            <v>96.137</v>
          </cell>
          <cell r="M31">
            <v>0</v>
          </cell>
          <cell r="O31">
            <v>2130.3396909947392</v>
          </cell>
          <cell r="P31">
            <v>1796.7275</v>
          </cell>
          <cell r="R31">
            <v>0</v>
          </cell>
          <cell r="T31">
            <v>-22.488730897436845</v>
          </cell>
          <cell r="U31">
            <v>128.36691387000013</v>
          </cell>
          <cell r="W31">
            <v>-30.423658</v>
          </cell>
        </row>
        <row r="33">
          <cell r="O33">
            <v>272.52</v>
          </cell>
          <cell r="P33">
            <v>272.52</v>
          </cell>
          <cell r="R33">
            <v>235.02</v>
          </cell>
          <cell r="T33">
            <v>219.78132499999998</v>
          </cell>
          <cell r="U33">
            <v>218.88359</v>
          </cell>
          <cell r="W33">
            <v>188.95603499999999</v>
          </cell>
        </row>
        <row r="34">
          <cell r="O34">
            <v>216.89250099999998</v>
          </cell>
          <cell r="P34">
            <v>215.92733799999996</v>
          </cell>
          <cell r="R34">
            <v>305.69964300000004</v>
          </cell>
          <cell r="T34">
            <v>198.71433300000001</v>
          </cell>
          <cell r="U34">
            <v>198.213594</v>
          </cell>
          <cell r="W34">
            <v>189.57620200000002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-3671.5609041682178</v>
          </cell>
          <cell r="U35">
            <v>-3840.4110308742593</v>
          </cell>
          <cell r="W35">
            <v>-3011.9869660000004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0</v>
          </cell>
          <cell r="U36">
            <v>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-1595.842547</v>
          </cell>
          <cell r="W37">
            <v>-278.35280399999999</v>
          </cell>
        </row>
        <row r="38">
          <cell r="O38">
            <v>0</v>
          </cell>
          <cell r="P38">
            <v>0</v>
          </cell>
          <cell r="R38">
            <v>0</v>
          </cell>
          <cell r="T38">
            <v>-74.838249333378926</v>
          </cell>
          <cell r="U38">
            <v>-73.135676000000004</v>
          </cell>
          <cell r="W38">
            <v>-42.411558999999997</v>
          </cell>
        </row>
        <row r="39">
          <cell r="O39">
            <v>5.3100000000000005</v>
          </cell>
          <cell r="P39">
            <v>5.1071999999955295</v>
          </cell>
          <cell r="R39">
            <v>5.1518999999985091</v>
          </cell>
          <cell r="T39">
            <v>-100.05974500000447</v>
          </cell>
          <cell r="U39">
            <v>-37.964358000014911</v>
          </cell>
          <cell r="W39">
            <v>-13.244756999999282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756</v>
          </cell>
          <cell r="K46">
            <v>794.92849999999999</v>
          </cell>
          <cell r="M46">
            <v>956.87300000000005</v>
          </cell>
          <cell r="O46">
            <v>106160.03626153094</v>
          </cell>
          <cell r="P46">
            <v>108811.137076</v>
          </cell>
          <cell r="R46">
            <v>123542.093945</v>
          </cell>
          <cell r="T46">
            <v>5311.4672341905753</v>
          </cell>
          <cell r="U46">
            <v>3151.0190679873385</v>
          </cell>
          <cell r="W46">
            <v>10020.292677010002</v>
          </cell>
        </row>
      </sheetData>
      <sheetData sheetId="4"/>
      <sheetData sheetId="5"/>
      <sheetData sheetId="6"/>
      <sheetData sheetId="7"/>
      <sheetData sheetId="8">
        <row r="10">
          <cell r="K10">
            <v>20600</v>
          </cell>
          <cell r="L10">
            <v>21735.562999999998</v>
          </cell>
          <cell r="N10">
            <v>25167.705000000002</v>
          </cell>
        </row>
        <row r="12">
          <cell r="K12">
            <v>20140000</v>
          </cell>
          <cell r="L12">
            <v>19373678.710000001</v>
          </cell>
          <cell r="N12">
            <v>26389936.204000004</v>
          </cell>
        </row>
        <row r="13">
          <cell r="K13">
            <v>5067456.8421052657</v>
          </cell>
          <cell r="L13">
            <v>3559854.2180000003</v>
          </cell>
          <cell r="N13">
            <v>3573138.3569999998</v>
          </cell>
        </row>
        <row r="15">
          <cell r="K15">
            <v>19670795</v>
          </cell>
          <cell r="L15">
            <v>18907043.357000001</v>
          </cell>
          <cell r="N15">
            <v>25892239.039999999</v>
          </cell>
        </row>
        <row r="16">
          <cell r="K16">
            <v>4891210.6931368401</v>
          </cell>
          <cell r="L16">
            <v>3492681.1280000005</v>
          </cell>
          <cell r="N16">
            <v>3495757.6069999998</v>
          </cell>
        </row>
        <row r="24">
          <cell r="K24">
            <v>247938.59</v>
          </cell>
          <cell r="L24">
            <v>264784.81799999997</v>
          </cell>
          <cell r="N24">
            <v>253789.48599999998</v>
          </cell>
        </row>
        <row r="25">
          <cell r="K25">
            <v>137172.96000000002</v>
          </cell>
          <cell r="L25">
            <v>120256.389</v>
          </cell>
          <cell r="N25">
            <v>115084.35399999999</v>
          </cell>
        </row>
        <row r="36">
          <cell r="K36">
            <v>260339.59896842553</v>
          </cell>
          <cell r="L36">
            <v>148767.23599999998</v>
          </cell>
          <cell r="N36">
            <v>206204.07400000084</v>
          </cell>
        </row>
      </sheetData>
      <sheetData sheetId="9"/>
      <sheetData sheetId="10">
        <row r="8">
          <cell r="G8">
            <v>21758</v>
          </cell>
          <cell r="H8">
            <v>38378</v>
          </cell>
          <cell r="J8">
            <v>1751.6000000000001</v>
          </cell>
          <cell r="K8">
            <v>1664</v>
          </cell>
          <cell r="P8">
            <v>28988.04679938608</v>
          </cell>
          <cell r="Q8">
            <v>31094</v>
          </cell>
          <cell r="S8">
            <v>26108.964387575634</v>
          </cell>
          <cell r="T8">
            <v>36419</v>
          </cell>
          <cell r="Y8">
            <v>37031.465914483109</v>
          </cell>
          <cell r="Z8">
            <v>39553</v>
          </cell>
        </row>
        <row r="10">
          <cell r="G10">
            <v>0</v>
          </cell>
          <cell r="H10">
            <v>27120</v>
          </cell>
          <cell r="J10">
            <v>0</v>
          </cell>
          <cell r="K10">
            <v>5312</v>
          </cell>
          <cell r="P10">
            <v>18000</v>
          </cell>
          <cell r="Q10">
            <v>14352</v>
          </cell>
          <cell r="S10">
            <v>46000</v>
          </cell>
          <cell r="T10">
            <v>14272</v>
          </cell>
          <cell r="Y10">
            <v>20500</v>
          </cell>
          <cell r="Z10">
            <v>26553</v>
          </cell>
        </row>
        <row r="12">
          <cell r="AF12">
            <v>200138.0771014448</v>
          </cell>
          <cell r="AG12">
            <v>234717</v>
          </cell>
        </row>
        <row r="13">
          <cell r="G13">
            <v>348128</v>
          </cell>
          <cell r="H13">
            <v>623786</v>
          </cell>
          <cell r="J13">
            <v>18391.800000000003</v>
          </cell>
          <cell r="K13">
            <v>15936</v>
          </cell>
          <cell r="P13">
            <v>463808.74879017728</v>
          </cell>
          <cell r="Q13">
            <v>543177</v>
          </cell>
          <cell r="S13">
            <v>576530.94220456213</v>
          </cell>
          <cell r="T13">
            <v>804830.5</v>
          </cell>
          <cell r="Y13">
            <v>1134887.3128362703</v>
          </cell>
          <cell r="Z13">
            <v>1176937.672</v>
          </cell>
        </row>
        <row r="15">
          <cell r="G15">
            <v>0</v>
          </cell>
          <cell r="H15">
            <v>319736</v>
          </cell>
          <cell r="J15">
            <v>0</v>
          </cell>
          <cell r="K15">
            <v>42656</v>
          </cell>
          <cell r="P15">
            <v>216000</v>
          </cell>
          <cell r="Q15">
            <v>186576</v>
          </cell>
          <cell r="S15">
            <v>874000</v>
          </cell>
          <cell r="T15">
            <v>262144</v>
          </cell>
          <cell r="Y15">
            <v>642750</v>
          </cell>
          <cell r="Z15">
            <v>805830</v>
          </cell>
        </row>
        <row r="17">
          <cell r="AF17">
            <v>4274496.8038310092</v>
          </cell>
          <cell r="AG17">
            <v>4781609.1720000003</v>
          </cell>
        </row>
        <row r="18">
          <cell r="G18">
            <v>49477.844261381571</v>
          </cell>
          <cell r="H18">
            <v>132783.0814518547</v>
          </cell>
          <cell r="J18">
            <v>2033.3022670358764</v>
          </cell>
          <cell r="K18">
            <v>7912.6041193428928</v>
          </cell>
          <cell r="P18">
            <v>-58935.252545994852</v>
          </cell>
          <cell r="Q18">
            <v>367.96283332960684</v>
          </cell>
          <cell r="S18">
            <v>101825.28306419322</v>
          </cell>
          <cell r="T18">
            <v>174241.32707480399</v>
          </cell>
          <cell r="Y18">
            <v>46389.007524286011</v>
          </cell>
          <cell r="Z18">
            <v>123025.382</v>
          </cell>
        </row>
        <row r="19">
          <cell r="G19">
            <v>0</v>
          </cell>
          <cell r="H19">
            <v>-19177.206022931372</v>
          </cell>
          <cell r="J19">
            <v>0</v>
          </cell>
          <cell r="K19">
            <v>15482.804217510176</v>
          </cell>
          <cell r="P19">
            <v>-106915.33317176536</v>
          </cell>
          <cell r="Q19">
            <v>-62210.050221191224</v>
          </cell>
          <cell r="S19">
            <v>41536.571756130354</v>
          </cell>
          <cell r="T19">
            <v>15967.674183057583</v>
          </cell>
          <cell r="Y19">
            <v>28574.476849390976</v>
          </cell>
          <cell r="Z19">
            <v>30727.113235837816</v>
          </cell>
        </row>
        <row r="20">
          <cell r="AF20">
            <v>103985.9000046576</v>
          </cell>
          <cell r="AG20">
            <v>419120.69286161434</v>
          </cell>
        </row>
        <row r="21">
          <cell r="G21">
            <v>0</v>
          </cell>
          <cell r="H21">
            <v>2864</v>
          </cell>
          <cell r="J21">
            <v>0</v>
          </cell>
          <cell r="K21">
            <v>0</v>
          </cell>
          <cell r="P21">
            <v>28988.04679938608</v>
          </cell>
          <cell r="Q21">
            <v>30918</v>
          </cell>
          <cell r="S21">
            <v>20115.154710156276</v>
          </cell>
          <cell r="T21">
            <v>22323</v>
          </cell>
          <cell r="Y21">
            <v>11320.102278119468</v>
          </cell>
          <cell r="Z21">
            <v>13233</v>
          </cell>
        </row>
        <row r="22">
          <cell r="G22">
            <v>21758</v>
          </cell>
          <cell r="H22">
            <v>32650</v>
          </cell>
          <cell r="J22">
            <v>1751.6000000000001</v>
          </cell>
          <cell r="K22">
            <v>640</v>
          </cell>
          <cell r="P22">
            <v>0</v>
          </cell>
          <cell r="Q22">
            <v>176</v>
          </cell>
          <cell r="S22">
            <v>5993.8096774193555</v>
          </cell>
          <cell r="T22">
            <v>12416</v>
          </cell>
          <cell r="Y22">
            <v>6926.8251748251751</v>
          </cell>
          <cell r="Z22">
            <v>9200</v>
          </cell>
        </row>
        <row r="23">
          <cell r="G23">
            <v>0</v>
          </cell>
          <cell r="H23">
            <v>2704</v>
          </cell>
          <cell r="J23">
            <v>0</v>
          </cell>
          <cell r="K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Y23">
            <v>4118.8811188811187</v>
          </cell>
          <cell r="Z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P24">
            <v>0</v>
          </cell>
          <cell r="Q24">
            <v>0</v>
          </cell>
          <cell r="S24">
            <v>0</v>
          </cell>
          <cell r="T24">
            <v>1440</v>
          </cell>
          <cell r="Y24">
            <v>12043.636363636362</v>
          </cell>
          <cell r="Z24">
            <v>0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784</v>
          </cell>
          <cell r="P25">
            <v>0</v>
          </cell>
          <cell r="Q25">
            <v>0</v>
          </cell>
          <cell r="S25">
            <v>0</v>
          </cell>
          <cell r="T25">
            <v>240</v>
          </cell>
          <cell r="Y25">
            <v>2622.0209790209792</v>
          </cell>
          <cell r="Z25">
            <v>6256</v>
          </cell>
        </row>
        <row r="26">
          <cell r="G26">
            <v>0</v>
          </cell>
          <cell r="H26">
            <v>160</v>
          </cell>
          <cell r="J26">
            <v>0</v>
          </cell>
          <cell r="K26">
            <v>240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Y26">
            <v>0</v>
          </cell>
          <cell r="Z26">
            <v>0</v>
          </cell>
        </row>
        <row r="35">
          <cell r="G35">
            <v>0</v>
          </cell>
          <cell r="H35">
            <v>35800</v>
          </cell>
          <cell r="J35">
            <v>0</v>
          </cell>
          <cell r="K35">
            <v>0</v>
          </cell>
          <cell r="P35">
            <v>463808.74879017728</v>
          </cell>
          <cell r="Q35">
            <v>541065</v>
          </cell>
          <cell r="S35">
            <v>462648.55833359435</v>
          </cell>
          <cell r="T35">
            <v>524590.5</v>
          </cell>
          <cell r="Y35">
            <v>374180.70094815828</v>
          </cell>
          <cell r="Z35">
            <v>429514.2</v>
          </cell>
        </row>
        <row r="36">
          <cell r="G36">
            <v>348128</v>
          </cell>
          <cell r="H36">
            <v>555050</v>
          </cell>
          <cell r="J36">
            <v>18391.800000000003</v>
          </cell>
          <cell r="K36">
            <v>6720</v>
          </cell>
          <cell r="P36">
            <v>0</v>
          </cell>
          <cell r="Q36">
            <v>2112</v>
          </cell>
          <cell r="S36">
            <v>113882.38387096775</v>
          </cell>
          <cell r="T36">
            <v>248320</v>
          </cell>
          <cell r="Y36">
            <v>193951.10489510489</v>
          </cell>
          <cell r="Z36">
            <v>257695.34399999998</v>
          </cell>
        </row>
        <row r="37">
          <cell r="G37">
            <v>0</v>
          </cell>
          <cell r="H37">
            <v>31096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Y37">
            <v>113269.23076923077</v>
          </cell>
          <cell r="Z37">
            <v>178696.38399999999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S38">
            <v>0</v>
          </cell>
          <cell r="T38">
            <v>27360</v>
          </cell>
          <cell r="Y38">
            <v>373352.72727272729</v>
          </cell>
          <cell r="Z38">
            <v>278703.74400000001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7056</v>
          </cell>
          <cell r="P39">
            <v>0</v>
          </cell>
          <cell r="Q39">
            <v>0</v>
          </cell>
          <cell r="S39">
            <v>0</v>
          </cell>
          <cell r="T39">
            <v>4560</v>
          </cell>
          <cell r="Y39">
            <v>80133.548951048957</v>
          </cell>
          <cell r="Z39">
            <v>32328</v>
          </cell>
        </row>
        <row r="40">
          <cell r="G40">
            <v>0</v>
          </cell>
          <cell r="H40">
            <v>1840</v>
          </cell>
          <cell r="J40">
            <v>0</v>
          </cell>
          <cell r="K40">
            <v>2160</v>
          </cell>
          <cell r="P40">
            <v>0</v>
          </cell>
          <cell r="Q40">
            <v>0</v>
          </cell>
          <cell r="S40">
            <v>0</v>
          </cell>
          <cell r="T40">
            <v>0</v>
          </cell>
          <cell r="Y40">
            <v>0</v>
          </cell>
          <cell r="Z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2">
          <cell r="O2">
            <v>329147.5</v>
          </cell>
        </row>
        <row r="5">
          <cell r="T5">
            <v>308500</v>
          </cell>
          <cell r="U5">
            <v>331037.5</v>
          </cell>
        </row>
        <row r="9">
          <cell r="E9">
            <v>242.75861402909584</v>
          </cell>
          <cell r="F9">
            <v>260.22836794595742</v>
          </cell>
          <cell r="G9">
            <v>100466.75014172916</v>
          </cell>
          <cell r="H9">
            <v>100357.66991733019</v>
          </cell>
        </row>
        <row r="10">
          <cell r="E10">
            <v>26.827288175205961</v>
          </cell>
          <cell r="F10">
            <v>29.868138343412795</v>
          </cell>
          <cell r="G10">
            <v>91255.231452293796</v>
          </cell>
          <cell r="H10">
            <v>92707.379031114935</v>
          </cell>
        </row>
        <row r="11">
          <cell r="E11">
            <v>0</v>
          </cell>
          <cell r="F11">
            <v>1.1426724633025367</v>
          </cell>
        </row>
        <row r="12">
          <cell r="E12">
            <v>48.182254598363187</v>
          </cell>
          <cell r="F12">
            <v>40.502363124182665</v>
          </cell>
          <cell r="G12">
            <v>64128.030723027819</v>
          </cell>
          <cell r="H12">
            <v>63874.905434158994</v>
          </cell>
        </row>
        <row r="13">
          <cell r="E13">
            <v>34.293354289843627</v>
          </cell>
          <cell r="F13">
            <v>32.537544168031722</v>
          </cell>
          <cell r="G13">
            <v>40439.051731560729</v>
          </cell>
          <cell r="H13">
            <v>40105.187537437596</v>
          </cell>
        </row>
        <row r="14">
          <cell r="E14">
            <v>0</v>
          </cell>
          <cell r="F14">
            <v>0</v>
          </cell>
        </row>
        <row r="15">
          <cell r="E15">
            <v>352.06151109250862</v>
          </cell>
          <cell r="F15">
            <v>364.27908604488715</v>
          </cell>
        </row>
        <row r="16">
          <cell r="E16">
            <v>822.39335086500216</v>
          </cell>
          <cell r="F16">
            <v>820.32400410350886</v>
          </cell>
          <cell r="G16">
            <v>12802.179431413766</v>
          </cell>
          <cell r="H16">
            <v>13322.601851802663</v>
          </cell>
        </row>
        <row r="17">
          <cell r="E17">
            <v>905.34631887880266</v>
          </cell>
          <cell r="F17">
            <v>899.69702449831254</v>
          </cell>
          <cell r="G17">
            <v>15998.03984184275</v>
          </cell>
          <cell r="H17">
            <v>16098.594147423821</v>
          </cell>
        </row>
        <row r="19">
          <cell r="E19">
            <v>3.1791348073615011</v>
          </cell>
          <cell r="F19">
            <v>6.019239205179999</v>
          </cell>
        </row>
        <row r="20">
          <cell r="Q20">
            <v>58842.426324929889</v>
          </cell>
          <cell r="R20">
            <v>60825.271305894799</v>
          </cell>
        </row>
        <row r="21">
          <cell r="Q21">
            <v>17364.310953345757</v>
          </cell>
          <cell r="R21">
            <v>17266.247544031652</v>
          </cell>
        </row>
        <row r="22">
          <cell r="Q22">
            <v>186.48298217179905</v>
          </cell>
          <cell r="R22">
            <v>197.0464675424254</v>
          </cell>
        </row>
        <row r="50">
          <cell r="Q50">
            <v>83028.320153483437</v>
          </cell>
          <cell r="R50">
            <v>84717.816287657828</v>
          </cell>
        </row>
        <row r="56">
          <cell r="L56">
            <v>-498543.03397142777</v>
          </cell>
        </row>
        <row r="61">
          <cell r="T61">
            <v>102032.06452479702</v>
          </cell>
          <cell r="U61">
            <v>101892.73306876901</v>
          </cell>
        </row>
        <row r="80">
          <cell r="H80">
            <v>625889.56000000006</v>
          </cell>
          <cell r="I80">
            <v>660772.86600000004</v>
          </cell>
          <cell r="L80">
            <v>-34883.306000000041</v>
          </cell>
        </row>
        <row r="85">
          <cell r="H85">
            <v>368966.46077860147</v>
          </cell>
          <cell r="I85">
            <v>425228.80825999996</v>
          </cell>
          <cell r="L85">
            <v>-56262.347481398465</v>
          </cell>
          <cell r="Q85">
            <v>102032.06452479702</v>
          </cell>
          <cell r="R85">
            <v>101892.73306876901</v>
          </cell>
        </row>
        <row r="86">
          <cell r="H86">
            <v>4867799.1177716423</v>
          </cell>
          <cell r="I86">
            <v>4635246.1760000037</v>
          </cell>
          <cell r="K86">
            <v>-45905.883146189291</v>
          </cell>
          <cell r="M86">
            <v>403041.62882737443</v>
          </cell>
        </row>
        <row r="89">
          <cell r="Q89">
            <v>76393.220260447444</v>
          </cell>
          <cell r="R89">
            <v>78288.565317468878</v>
          </cell>
        </row>
        <row r="90">
          <cell r="Q90">
            <v>25638.84426434958</v>
          </cell>
          <cell r="R90">
            <v>23604.167751300134</v>
          </cell>
        </row>
      </sheetData>
      <sheetData sheetId="1">
        <row r="5">
          <cell r="T5">
            <v>122500</v>
          </cell>
          <cell r="U5">
            <v>122513.5</v>
          </cell>
        </row>
        <row r="9">
          <cell r="E9">
            <v>264.8891836734694</v>
          </cell>
          <cell r="F9">
            <v>285.27899337248908</v>
          </cell>
          <cell r="G9">
            <v>99999.999999999985</v>
          </cell>
          <cell r="H9">
            <v>100000.12657459544</v>
          </cell>
        </row>
        <row r="10">
          <cell r="E10">
            <v>6.7344081632653054</v>
          </cell>
          <cell r="F10">
            <v>2.726413233708906</v>
          </cell>
          <cell r="G10">
            <v>92886.386089106818</v>
          </cell>
          <cell r="H10">
            <v>99992.961499250567</v>
          </cell>
        </row>
        <row r="11">
          <cell r="E11">
            <v>0</v>
          </cell>
          <cell r="F11">
            <v>3.0583927568724047</v>
          </cell>
        </row>
        <row r="12">
          <cell r="E12">
            <v>45.936816326530611</v>
          </cell>
          <cell r="F12">
            <v>38.814341736924291</v>
          </cell>
          <cell r="G12">
            <v>64309.018954162413</v>
          </cell>
          <cell r="H12">
            <v>63905.335499792433</v>
          </cell>
        </row>
        <row r="13">
          <cell r="E13">
            <v>37.100408163265307</v>
          </cell>
          <cell r="F13">
            <v>34.42654783325068</v>
          </cell>
          <cell r="G13">
            <v>45159.743002992429</v>
          </cell>
          <cell r="H13">
            <v>44772.615438588611</v>
          </cell>
        </row>
        <row r="14">
          <cell r="E14">
            <v>0</v>
          </cell>
          <cell r="F14">
            <v>0</v>
          </cell>
        </row>
        <row r="15">
          <cell r="E15">
            <v>354.66081632653061</v>
          </cell>
          <cell r="F15">
            <v>364.30468893324542</v>
          </cell>
        </row>
        <row r="16">
          <cell r="E16">
            <v>843.38857142857137</v>
          </cell>
          <cell r="F16">
            <v>845.00972510379779</v>
          </cell>
          <cell r="G16">
            <v>15362.420420635515</v>
          </cell>
          <cell r="H16">
            <v>16233.22766884364</v>
          </cell>
        </row>
        <row r="17">
          <cell r="E17">
            <v>889.96975510204084</v>
          </cell>
          <cell r="F17">
            <v>883.16167723980743</v>
          </cell>
          <cell r="G17">
            <v>14758.696705766164</v>
          </cell>
          <cell r="H17">
            <v>14887.381353724757</v>
          </cell>
        </row>
        <row r="19">
          <cell r="E19">
            <v>3.0779193469387756</v>
          </cell>
          <cell r="F19">
            <v>2.8936295315657241</v>
          </cell>
        </row>
        <row r="20">
          <cell r="Q20">
            <v>60280.066802243768</v>
          </cell>
          <cell r="R20">
            <v>62416.920383797238</v>
          </cell>
        </row>
        <row r="21">
          <cell r="Q21">
            <v>17219.969196677968</v>
          </cell>
          <cell r="R21">
            <v>17482.008877667708</v>
          </cell>
        </row>
        <row r="22">
          <cell r="Q22">
            <v>212.24489795918367</v>
          </cell>
          <cell r="R22">
            <v>199.6460737018563</v>
          </cell>
        </row>
        <row r="50">
          <cell r="Q50">
            <v>83173.772950080791</v>
          </cell>
          <cell r="R50">
            <v>85527.188615600273</v>
          </cell>
        </row>
        <row r="56">
          <cell r="L56">
            <v>-287024.42493872286</v>
          </cell>
        </row>
        <row r="61">
          <cell r="T61">
            <v>100360.88907673377</v>
          </cell>
          <cell r="U61">
            <v>99830.045678349328</v>
          </cell>
        </row>
        <row r="80">
          <cell r="H80">
            <v>208026.48</v>
          </cell>
          <cell r="I80">
            <v>218490.04300000001</v>
          </cell>
          <cell r="L80">
            <v>-10463.563000000006</v>
          </cell>
        </row>
        <row r="85">
          <cell r="H85">
            <v>102809.98323946667</v>
          </cell>
          <cell r="I85">
            <v>100964.54140999999</v>
          </cell>
          <cell r="L85">
            <v>1845.4418294666912</v>
          </cell>
          <cell r="Q85">
            <v>100360.88907673377</v>
          </cell>
          <cell r="R85">
            <v>99830.045678349328</v>
          </cell>
        </row>
        <row r="86">
          <cell r="H86">
            <v>1794585.2622755244</v>
          </cell>
          <cell r="I86">
            <v>1426017.7969999989</v>
          </cell>
          <cell r="K86">
            <v>-64742.457132064403</v>
          </cell>
          <cell r="M86">
            <v>-8182.4620342026392</v>
          </cell>
        </row>
        <row r="89">
          <cell r="Q89">
            <v>77712.280896880926</v>
          </cell>
          <cell r="R89">
            <v>80098.575335166795</v>
          </cell>
        </row>
        <row r="90">
          <cell r="Q90">
            <v>22648.608179852847</v>
          </cell>
          <cell r="R90">
            <v>19731.470343182533</v>
          </cell>
        </row>
      </sheetData>
      <sheetData sheetId="2">
        <row r="5">
          <cell r="T5">
            <v>129500</v>
          </cell>
          <cell r="U5">
            <v>147221.5</v>
          </cell>
        </row>
        <row r="9">
          <cell r="E9">
            <v>219.6927986716299</v>
          </cell>
          <cell r="F9">
            <v>235.15958806332179</v>
          </cell>
          <cell r="G9">
            <v>100000.00000000001</v>
          </cell>
          <cell r="H9">
            <v>100001.56362287974</v>
          </cell>
        </row>
        <row r="10">
          <cell r="E10">
            <v>43.030528201166334</v>
          </cell>
          <cell r="F10">
            <v>59.996696579502775</v>
          </cell>
          <cell r="G10">
            <v>92100</v>
          </cell>
          <cell r="H10">
            <v>92630.146095277465</v>
          </cell>
        </row>
        <row r="11">
          <cell r="E11">
            <v>0</v>
          </cell>
          <cell r="F11">
            <v>0</v>
          </cell>
        </row>
        <row r="12">
          <cell r="E12">
            <v>52.132089139730077</v>
          </cell>
          <cell r="F12">
            <v>39.162951648254854</v>
          </cell>
          <cell r="G12">
            <v>63765.063300201298</v>
          </cell>
          <cell r="H12">
            <v>63508.920196904881</v>
          </cell>
        </row>
        <row r="13">
          <cell r="E13">
            <v>34.389882613256823</v>
          </cell>
          <cell r="F13">
            <v>31.944845134167377</v>
          </cell>
          <cell r="G13">
            <v>35365.118541015458</v>
          </cell>
          <cell r="H13">
            <v>35381.01178948197</v>
          </cell>
        </row>
        <row r="14">
          <cell r="E14">
            <v>0</v>
          </cell>
          <cell r="F14">
            <v>0</v>
          </cell>
        </row>
        <row r="15">
          <cell r="E15">
            <v>349.24529862578311</v>
          </cell>
          <cell r="F15">
            <v>366.26408142524684</v>
          </cell>
        </row>
        <row r="16">
          <cell r="E16">
            <v>809.27388989847998</v>
          </cell>
          <cell r="F16">
            <v>810.03536693191859</v>
          </cell>
          <cell r="G16">
            <v>10376.951684988848</v>
          </cell>
          <cell r="H16">
            <v>11033.368592496126</v>
          </cell>
        </row>
        <row r="17">
          <cell r="E17">
            <v>910.55555501243748</v>
          </cell>
          <cell r="F17">
            <v>904.46661314199946</v>
          </cell>
          <cell r="G17">
            <v>17782.675266851675</v>
          </cell>
          <cell r="H17">
            <v>17774.017975567393</v>
          </cell>
        </row>
        <row r="19">
          <cell r="E19">
            <v>3.3667379773824182</v>
          </cell>
          <cell r="F19">
            <v>9.9439608253639165</v>
          </cell>
        </row>
        <row r="20">
          <cell r="Q20">
            <v>57719.047635760966</v>
          </cell>
          <cell r="R20">
            <v>60470.293599737117</v>
          </cell>
        </row>
        <row r="21">
          <cell r="Q21">
            <v>17535.819435825884</v>
          </cell>
          <cell r="R21">
            <v>17566.871083467995</v>
          </cell>
        </row>
        <row r="22">
          <cell r="Q22">
            <v>166.64092664092664</v>
          </cell>
          <cell r="R22">
            <v>205.21916318586946</v>
          </cell>
        </row>
        <row r="50">
          <cell r="Q50">
            <v>82630.186668199574</v>
          </cell>
          <cell r="R50">
            <v>84914.165458974021</v>
          </cell>
        </row>
        <row r="56">
          <cell r="L56">
            <v>-278664.79438775341</v>
          </cell>
        </row>
        <row r="61">
          <cell r="T61">
            <v>101814.87737451738</v>
          </cell>
          <cell r="U61">
            <v>101618.83495007084</v>
          </cell>
        </row>
        <row r="80">
          <cell r="H80">
            <v>318195.18</v>
          </cell>
          <cell r="I80">
            <v>319709.93099999992</v>
          </cell>
          <cell r="L80">
            <v>-1514.7509999999256</v>
          </cell>
        </row>
        <row r="85">
          <cell r="H85">
            <v>182963.42191912074</v>
          </cell>
          <cell r="I85">
            <v>241628.76579999996</v>
          </cell>
          <cell r="L85">
            <v>-58665.343880879234</v>
          </cell>
          <cell r="Q85">
            <v>101814.87737451738</v>
          </cell>
          <cell r="R85">
            <v>101618.83495007084</v>
          </cell>
        </row>
        <row r="86">
          <cell r="H86">
            <v>1983258.8445490368</v>
          </cell>
          <cell r="I86">
            <v>1954545.4070000008</v>
          </cell>
          <cell r="K86">
            <v>-28849.309117916062</v>
          </cell>
          <cell r="M86">
            <v>338980.76083751302</v>
          </cell>
        </row>
        <row r="89">
          <cell r="Q89">
            <v>75421.507998227782</v>
          </cell>
          <cell r="R89">
            <v>78242.383846390978</v>
          </cell>
        </row>
        <row r="90">
          <cell r="Q90">
            <v>26393.3693762896</v>
          </cell>
          <cell r="R90">
            <v>23376.451103679865</v>
          </cell>
        </row>
      </sheetData>
      <sheetData sheetId="3">
        <row r="5">
          <cell r="T5">
            <v>56500</v>
          </cell>
          <cell r="U5">
            <v>61302.5</v>
          </cell>
        </row>
        <row r="9">
          <cell r="E9">
            <v>247.64407079646017</v>
          </cell>
          <cell r="F9">
            <v>270.8963772784868</v>
          </cell>
          <cell r="G9">
            <v>102498.26149290767</v>
          </cell>
          <cell r="H9">
            <v>101874.18750815217</v>
          </cell>
        </row>
        <row r="10">
          <cell r="E10">
            <v>33.253097345132744</v>
          </cell>
          <cell r="F10">
            <v>11.055893796221913</v>
          </cell>
          <cell r="G10">
            <v>88033.452203534165</v>
          </cell>
          <cell r="H10">
            <v>90101.718657990772</v>
          </cell>
        </row>
        <row r="11">
          <cell r="E11">
            <v>0</v>
          </cell>
          <cell r="F11">
            <v>6.525933962186023E-2</v>
          </cell>
        </row>
        <row r="12">
          <cell r="E12">
            <v>43.997522123893809</v>
          </cell>
          <cell r="F12">
            <v>47.187559151628577</v>
          </cell>
          <cell r="G12">
            <v>64704.074243923627</v>
          </cell>
          <cell r="H12">
            <v>64566.888659969052</v>
          </cell>
        </row>
        <row r="13">
          <cell r="E13">
            <v>27.986017699115045</v>
          </cell>
          <cell r="F13">
            <v>30.169612667599733</v>
          </cell>
          <cell r="G13">
            <v>41161.35427931774</v>
          </cell>
          <cell r="H13">
            <v>41572.172200986446</v>
          </cell>
        </row>
        <row r="14">
          <cell r="E14">
            <v>0</v>
          </cell>
          <cell r="F14">
            <v>0</v>
          </cell>
        </row>
        <row r="15">
          <cell r="E15">
            <v>352.88070796460181</v>
          </cell>
          <cell r="F15">
            <v>359.37470223355888</v>
          </cell>
        </row>
        <row r="16">
          <cell r="E16">
            <v>806.94300884955749</v>
          </cell>
          <cell r="F16">
            <v>795.59681653678331</v>
          </cell>
          <cell r="G16">
            <v>12575.26959973633</v>
          </cell>
          <cell r="H16">
            <v>12774.158716702577</v>
          </cell>
        </row>
        <row r="17">
          <cell r="E17">
            <v>926.74513274336289</v>
          </cell>
          <cell r="F17">
            <v>921.44796230196539</v>
          </cell>
          <cell r="G17">
            <v>14559.491711753533</v>
          </cell>
          <cell r="H17">
            <v>14423.888912057026</v>
          </cell>
        </row>
        <row r="19">
          <cell r="E19">
            <v>2.9685911504424776</v>
          </cell>
          <cell r="F19">
            <v>2.7401489039246707</v>
          </cell>
        </row>
        <row r="20">
          <cell r="Q20">
            <v>58300.241931592296</v>
          </cell>
          <cell r="R20">
            <v>58477.019205127996</v>
          </cell>
        </row>
        <row r="21">
          <cell r="Q21">
            <v>17284.160806631193</v>
          </cell>
          <cell r="R21">
            <v>16095.36032596543</v>
          </cell>
        </row>
        <row r="22">
          <cell r="Q22">
            <v>176.10619469026548</v>
          </cell>
          <cell r="R22">
            <v>171.81424276805606</v>
          </cell>
        </row>
        <row r="50">
          <cell r="Q50">
            <v>83625.493936865518</v>
          </cell>
          <cell r="R50">
            <v>82602.406661752888</v>
          </cell>
        </row>
        <row r="56">
          <cell r="L56">
            <v>62338.030874675409</v>
          </cell>
        </row>
        <row r="61">
          <cell r="T61">
            <v>106153.21015929204</v>
          </cell>
          <cell r="U61">
            <v>106728.90198417631</v>
          </cell>
        </row>
        <row r="80">
          <cell r="H80">
            <v>99667.900000000009</v>
          </cell>
          <cell r="I80">
            <v>122572.89199999999</v>
          </cell>
          <cell r="L80">
            <v>-22904.991999999998</v>
          </cell>
        </row>
        <row r="85">
          <cell r="H85">
            <v>83193.0556200141</v>
          </cell>
          <cell r="I85">
            <v>82635.501050000006</v>
          </cell>
          <cell r="L85">
            <v>557.55457001409059</v>
          </cell>
          <cell r="Q85">
            <v>106153.21015929204</v>
          </cell>
          <cell r="R85">
            <v>106728.90198417631</v>
          </cell>
        </row>
        <row r="86">
          <cell r="H86">
            <v>1089955.010947085</v>
          </cell>
          <cell r="I86">
            <v>1254682.972000001</v>
          </cell>
          <cell r="K86">
            <v>34744.440861327923</v>
          </cell>
          <cell r="M86">
            <v>89992.926746898214</v>
          </cell>
        </row>
        <row r="89">
          <cell r="Q89">
            <v>75760.508932913755</v>
          </cell>
          <cell r="R89">
            <v>74744.19377386148</v>
          </cell>
        </row>
        <row r="90">
          <cell r="Q90">
            <v>30392.701226378282</v>
          </cell>
          <cell r="R90">
            <v>31984.708210314828</v>
          </cell>
        </row>
      </sheetData>
      <sheetData sheetId="4">
        <row r="2">
          <cell r="N2">
            <v>44000</v>
          </cell>
        </row>
        <row r="5">
          <cell r="T5">
            <v>44000</v>
          </cell>
          <cell r="U5">
            <v>46247</v>
          </cell>
        </row>
        <row r="9">
          <cell r="E9">
            <v>273.5</v>
          </cell>
          <cell r="F9">
            <v>289.84730750070383</v>
          </cell>
          <cell r="G9">
            <v>100000</v>
          </cell>
          <cell r="H9">
            <v>100000.34755744917</v>
          </cell>
        </row>
        <row r="10">
          <cell r="E10">
            <v>10</v>
          </cell>
          <cell r="F10">
            <v>0.68073837423379335</v>
          </cell>
          <cell r="G10">
            <v>87100</v>
          </cell>
          <cell r="H10">
            <v>81095.14108144035</v>
          </cell>
        </row>
        <row r="11">
          <cell r="E11">
            <v>0</v>
          </cell>
          <cell r="F11">
            <v>0</v>
          </cell>
        </row>
        <row r="12">
          <cell r="E12">
            <v>40</v>
          </cell>
          <cell r="F12">
            <v>41.106734605471203</v>
          </cell>
          <cell r="G12">
            <v>64000</v>
          </cell>
          <cell r="H12">
            <v>63952.271889761047</v>
          </cell>
        </row>
        <row r="13">
          <cell r="E13">
            <v>42.4</v>
          </cell>
          <cell r="F13">
            <v>37.723315644696662</v>
          </cell>
          <cell r="G13">
            <v>45000</v>
          </cell>
          <cell r="H13">
            <v>43631.249524301049</v>
          </cell>
        </row>
        <row r="14">
          <cell r="E14">
            <v>0</v>
          </cell>
          <cell r="F14">
            <v>0</v>
          </cell>
        </row>
        <row r="15">
          <cell r="E15">
            <v>365.9</v>
          </cell>
          <cell r="F15">
            <v>369.35809612510548</v>
          </cell>
        </row>
        <row r="16">
          <cell r="E16">
            <v>845</v>
          </cell>
          <cell r="F16">
            <v>863.39784270831035</v>
          </cell>
          <cell r="G16">
            <v>15333.333333333334</v>
          </cell>
          <cell r="H16">
            <v>16706.505044940437</v>
          </cell>
        </row>
        <row r="17">
          <cell r="E17">
            <v>880</v>
          </cell>
          <cell r="F17">
            <v>861.20741189975934</v>
          </cell>
          <cell r="G17">
            <v>15161.290322580648</v>
          </cell>
          <cell r="H17">
            <v>15762.698427369376</v>
          </cell>
        </row>
        <row r="19">
          <cell r="E19">
            <v>3.29</v>
          </cell>
          <cell r="F19">
            <v>2.8778617687192711</v>
          </cell>
        </row>
        <row r="20">
          <cell r="Q20">
            <v>61769.297150537641</v>
          </cell>
          <cell r="R20">
            <v>63640.905434382374</v>
          </cell>
        </row>
        <row r="21">
          <cell r="Q21">
            <v>16655.968157894738</v>
          </cell>
          <cell r="R21">
            <v>16349.429379020556</v>
          </cell>
        </row>
        <row r="22">
          <cell r="Q22">
            <v>177.27272727272728</v>
          </cell>
          <cell r="R22">
            <v>217.02742099677275</v>
          </cell>
        </row>
        <row r="50">
          <cell r="Q50">
            <v>83159.056089368911</v>
          </cell>
          <cell r="R50">
            <v>84742.932855379142</v>
          </cell>
        </row>
        <row r="56">
          <cell r="L56">
            <v>-73109.354506463133</v>
          </cell>
        </row>
        <row r="80">
          <cell r="H80">
            <v>65676.599999999991</v>
          </cell>
          <cell r="I80">
            <v>75611.620999999999</v>
          </cell>
          <cell r="L80">
            <v>-9935.0210000000025</v>
          </cell>
        </row>
        <row r="85">
          <cell r="H85">
            <v>29991.771777777776</v>
          </cell>
          <cell r="I85">
            <v>29493.904239999996</v>
          </cell>
          <cell r="L85">
            <v>497.86753777777903</v>
          </cell>
          <cell r="Q85">
            <v>100872.16704545457</v>
          </cell>
          <cell r="R85">
            <v>99791.139505664702</v>
          </cell>
        </row>
        <row r="86">
          <cell r="H86">
            <v>683708.51028999058</v>
          </cell>
          <cell r="I86">
            <v>589768.78699999989</v>
          </cell>
          <cell r="K86">
            <v>-49903.474319319575</v>
          </cell>
          <cell r="M86">
            <v>38510.258998013305</v>
          </cell>
        </row>
        <row r="89">
          <cell r="Q89">
            <v>78602.538035705104</v>
          </cell>
          <cell r="R89">
            <v>80207.362234399712</v>
          </cell>
        </row>
      </sheetData>
      <sheetData sheetId="5">
        <row r="2">
          <cell r="N2">
            <v>35000</v>
          </cell>
        </row>
        <row r="5">
          <cell r="T5">
            <v>35000</v>
          </cell>
          <cell r="U5">
            <v>30095</v>
          </cell>
        </row>
        <row r="9">
          <cell r="E9">
            <v>280.63400000000001</v>
          </cell>
          <cell r="F9">
            <v>283.79715182515702</v>
          </cell>
          <cell r="G9">
            <v>100000</v>
          </cell>
          <cell r="H9">
            <v>99999.998712589106</v>
          </cell>
        </row>
        <row r="10">
          <cell r="E10">
            <v>10.999000000000001</v>
          </cell>
          <cell r="F10">
            <v>9.3947586939914309</v>
          </cell>
          <cell r="G10">
            <v>99500.000000000015</v>
          </cell>
          <cell r="H10">
            <v>102199.9978787193</v>
          </cell>
        </row>
        <row r="11">
          <cell r="E11">
            <v>0</v>
          </cell>
          <cell r="F11">
            <v>12.392397781246885</v>
          </cell>
        </row>
        <row r="12">
          <cell r="E12">
            <v>51.748999999999995</v>
          </cell>
          <cell r="F12">
            <v>31.843667917760012</v>
          </cell>
          <cell r="G12">
            <v>64500</v>
          </cell>
          <cell r="H12">
            <v>64477.195055547665</v>
          </cell>
        </row>
        <row r="13">
          <cell r="E13">
            <v>26.099</v>
          </cell>
          <cell r="F13">
            <v>36.754368087155783</v>
          </cell>
          <cell r="G13">
            <v>45000</v>
          </cell>
          <cell r="H13">
            <v>44755.384904345708</v>
          </cell>
        </row>
        <row r="14">
          <cell r="E14">
            <v>0</v>
          </cell>
          <cell r="F14">
            <v>0</v>
          </cell>
        </row>
        <row r="15">
          <cell r="E15">
            <v>369.48100000000005</v>
          </cell>
          <cell r="F15">
            <v>374.18234430531112</v>
          </cell>
        </row>
        <row r="16">
          <cell r="E16">
            <v>884.274</v>
          </cell>
          <cell r="F16">
            <v>896.44375238316627</v>
          </cell>
          <cell r="G16">
            <v>15733.333333333334</v>
          </cell>
          <cell r="H16">
            <v>16053.543396461315</v>
          </cell>
        </row>
        <row r="17">
          <cell r="E17">
            <v>849.10799999999995</v>
          </cell>
          <cell r="F17">
            <v>818.73388168864369</v>
          </cell>
          <cell r="G17">
            <v>15504.0349141267</v>
          </cell>
          <cell r="H17">
            <v>15060.484311764943</v>
          </cell>
        </row>
        <row r="19">
          <cell r="E19">
            <v>3.3250000000000002</v>
          </cell>
          <cell r="F19">
            <v>3.0635703989105521</v>
          </cell>
        </row>
        <row r="20">
          <cell r="Q20">
            <v>63540.243677864288</v>
          </cell>
          <cell r="R20">
            <v>63797.104992194509</v>
          </cell>
        </row>
        <row r="21">
          <cell r="Q21">
            <v>17195.206425135006</v>
          </cell>
          <cell r="R21">
            <v>17404.869764506591</v>
          </cell>
        </row>
        <row r="22">
          <cell r="Q22">
            <v>314.28571428571428</v>
          </cell>
          <cell r="R22">
            <v>314.00873551001428</v>
          </cell>
        </row>
        <row r="50">
          <cell r="Q50">
            <v>86440.997968424243</v>
          </cell>
          <cell r="R50">
            <v>87950.667950974865</v>
          </cell>
        </row>
        <row r="56">
          <cell r="L56">
            <v>-45429.030570272727</v>
          </cell>
        </row>
        <row r="80">
          <cell r="H80">
            <v>61311.44</v>
          </cell>
          <cell r="I80">
            <v>63012.643000000004</v>
          </cell>
          <cell r="L80">
            <v>-1701.2030000000041</v>
          </cell>
        </row>
        <row r="85">
          <cell r="H85">
            <v>34252.868350577788</v>
          </cell>
          <cell r="I85">
            <v>33535.650569999998</v>
          </cell>
          <cell r="L85">
            <v>717.21778057778988</v>
          </cell>
          <cell r="Q85">
            <v>102444.298</v>
          </cell>
          <cell r="R85">
            <v>102157.47276956306</v>
          </cell>
        </row>
        <row r="86">
          <cell r="H86">
            <v>464551.19275457336</v>
          </cell>
          <cell r="I86">
            <v>331009.9850000001</v>
          </cell>
          <cell r="K86">
            <v>-8632.0053099996476</v>
          </cell>
          <cell r="M86">
            <v>-78496.186654879071</v>
          </cell>
        </row>
        <row r="89">
          <cell r="Q89">
            <v>81049.735817285007</v>
          </cell>
          <cell r="R89">
            <v>81515.983492211104</v>
          </cell>
        </row>
      </sheetData>
      <sheetData sheetId="6">
        <row r="2">
          <cell r="N2">
            <v>27000</v>
          </cell>
        </row>
        <row r="5">
          <cell r="T5">
            <v>27000</v>
          </cell>
          <cell r="U5">
            <v>28573</v>
          </cell>
        </row>
        <row r="9">
          <cell r="E9">
            <v>267.04574074074077</v>
          </cell>
          <cell r="F9">
            <v>292.15402846468618</v>
          </cell>
          <cell r="G9">
            <v>99999.999999999985</v>
          </cell>
          <cell r="H9">
            <v>99999.984898286799</v>
          </cell>
        </row>
        <row r="10">
          <cell r="E10">
            <v>0</v>
          </cell>
          <cell r="F10">
            <v>0.65192065468777782</v>
          </cell>
          <cell r="G10">
            <v>0</v>
          </cell>
          <cell r="H10">
            <v>98338.357285112172</v>
          </cell>
        </row>
        <row r="11">
          <cell r="E11">
            <v>0</v>
          </cell>
          <cell r="F11">
            <v>0</v>
          </cell>
        </row>
        <row r="12">
          <cell r="E12">
            <v>40.09425925925926</v>
          </cell>
          <cell r="F12">
            <v>42.85616758583879</v>
          </cell>
          <cell r="G12">
            <v>64499.999999999985</v>
          </cell>
          <cell r="H12">
            <v>64519.255685179232</v>
          </cell>
        </row>
        <row r="13">
          <cell r="E13">
            <v>38.508703703703695</v>
          </cell>
          <cell r="F13">
            <v>31.588460060487467</v>
          </cell>
          <cell r="G13">
            <v>44999.999999999993</v>
          </cell>
          <cell r="H13">
            <v>46199.429423730835</v>
          </cell>
        </row>
        <row r="14">
          <cell r="E14">
            <v>0</v>
          </cell>
          <cell r="F14">
            <v>0</v>
          </cell>
        </row>
        <row r="15">
          <cell r="E15">
            <v>345.64870370370375</v>
          </cell>
          <cell r="F15">
            <v>367.2505767657002</v>
          </cell>
        </row>
        <row r="16">
          <cell r="E16">
            <v>869.27814814814803</v>
          </cell>
          <cell r="F16">
            <v>828.0482770681366</v>
          </cell>
          <cell r="G16">
            <v>15266.66666666667</v>
          </cell>
          <cell r="H16">
            <v>16540.49030319204</v>
          </cell>
        </row>
        <row r="17">
          <cell r="E17">
            <v>873.61166666666668</v>
          </cell>
          <cell r="F17">
            <v>905.25428831168779</v>
          </cell>
          <cell r="G17">
            <v>13419.35483870968</v>
          </cell>
          <cell r="H17">
            <v>13444.214277453861</v>
          </cell>
        </row>
        <row r="19">
          <cell r="E19">
            <v>2.7651896296296301</v>
          </cell>
          <cell r="F19">
            <v>2.9067832414161194</v>
          </cell>
        </row>
        <row r="20">
          <cell r="Q20">
            <v>58008.766670927922</v>
          </cell>
          <cell r="R20">
            <v>61319.339299057116</v>
          </cell>
        </row>
        <row r="21">
          <cell r="Q21">
            <v>18125.274444444447</v>
          </cell>
          <cell r="R21">
            <v>19680.728304572138</v>
          </cell>
        </row>
        <row r="22">
          <cell r="Q22">
            <v>202.5</v>
          </cell>
          <cell r="R22">
            <v>147.48845401174165</v>
          </cell>
        </row>
        <row r="50">
          <cell r="Q50">
            <v>82503.288801763818</v>
          </cell>
          <cell r="R50">
            <v>86740.857320761424</v>
          </cell>
        </row>
        <row r="56">
          <cell r="L56">
            <v>-119096.90124642794</v>
          </cell>
        </row>
        <row r="80">
          <cell r="H80">
            <v>46035.41</v>
          </cell>
          <cell r="I80">
            <v>43407.336000000003</v>
          </cell>
          <cell r="L80">
            <v>2628.0740000000005</v>
          </cell>
        </row>
        <row r="85">
          <cell r="H85">
            <v>19365.797555555557</v>
          </cell>
          <cell r="I85">
            <v>19057.429980000001</v>
          </cell>
          <cell r="L85">
            <v>308.36757555555391</v>
          </cell>
          <cell r="Q85">
            <v>99629.875255551393</v>
          </cell>
          <cell r="R85">
            <v>97212.840491015842</v>
          </cell>
        </row>
        <row r="86">
          <cell r="H86">
            <v>397016.62669670925</v>
          </cell>
          <cell r="I86">
            <v>232726.2830000004</v>
          </cell>
          <cell r="K86">
            <v>-67930.762057271641</v>
          </cell>
          <cell r="M86">
            <v>19800.878031435277</v>
          </cell>
        </row>
        <row r="89">
          <cell r="Q89">
            <v>76336.541115372369</v>
          </cell>
          <cell r="R89">
            <v>81147.556057640992</v>
          </cell>
        </row>
      </sheetData>
      <sheetData sheetId="7">
        <row r="2">
          <cell r="N2">
            <v>16500</v>
          </cell>
        </row>
        <row r="5">
          <cell r="T5">
            <v>16500</v>
          </cell>
          <cell r="U5">
            <v>17598.5</v>
          </cell>
        </row>
        <row r="9">
          <cell r="E9">
            <v>205</v>
          </cell>
          <cell r="F9">
            <v>264.86369836177266</v>
          </cell>
          <cell r="G9">
            <v>100000</v>
          </cell>
          <cell r="H9">
            <v>99999.976202636084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59</v>
          </cell>
          <cell r="F12">
            <v>38.271090542574022</v>
          </cell>
          <cell r="G12">
            <v>64300</v>
          </cell>
          <cell r="H12">
            <v>61862.553137140334</v>
          </cell>
        </row>
        <row r="13">
          <cell r="E13">
            <v>44</v>
          </cell>
          <cell r="F13">
            <v>26.333211436358983</v>
          </cell>
          <cell r="G13">
            <v>46000</v>
          </cell>
          <cell r="H13">
            <v>46368.781437535989</v>
          </cell>
        </row>
        <row r="14">
          <cell r="E14">
            <v>0</v>
          </cell>
          <cell r="F14">
            <v>0</v>
          </cell>
        </row>
        <row r="15">
          <cell r="E15">
            <v>308</v>
          </cell>
          <cell r="F15">
            <v>329.46800034070566</v>
          </cell>
        </row>
        <row r="16">
          <cell r="E16">
            <v>710</v>
          </cell>
          <cell r="F16">
            <v>735.93935436245454</v>
          </cell>
          <cell r="G16">
            <v>14666.666666666666</v>
          </cell>
          <cell r="H16">
            <v>14600.000308635776</v>
          </cell>
        </row>
        <row r="17">
          <cell r="E17">
            <v>1030</v>
          </cell>
          <cell r="F17">
            <v>1015.6065983362201</v>
          </cell>
          <cell r="G17">
            <v>14396.989103318681</v>
          </cell>
          <cell r="H17">
            <v>14755.811351643297</v>
          </cell>
        </row>
        <row r="19">
          <cell r="E19">
            <v>2.5</v>
          </cell>
          <cell r="F19">
            <v>2.623443400244172</v>
          </cell>
        </row>
        <row r="20">
          <cell r="Q20">
            <v>53109.932109751579</v>
          </cell>
          <cell r="R20">
            <v>58600.114079668383</v>
          </cell>
        </row>
        <row r="21">
          <cell r="Q21">
            <v>17295.09047066409</v>
          </cell>
          <cell r="R21">
            <v>17074.154510093413</v>
          </cell>
        </row>
        <row r="22">
          <cell r="Q22">
            <v>105</v>
          </cell>
          <cell r="R22">
            <v>41.802390619232838</v>
          </cell>
        </row>
        <row r="50">
          <cell r="Q50">
            <v>77379.696479405568</v>
          </cell>
          <cell r="R50">
            <v>81503.137787115644</v>
          </cell>
        </row>
        <row r="56">
          <cell r="L56">
            <v>-72552.387887181641</v>
          </cell>
        </row>
        <row r="80">
          <cell r="H80">
            <v>35003.03</v>
          </cell>
          <cell r="I80">
            <v>36458.442999999999</v>
          </cell>
          <cell r="L80">
            <v>-1455.4129999999993</v>
          </cell>
        </row>
        <row r="85">
          <cell r="H85">
            <v>19199.545555555553</v>
          </cell>
          <cell r="I85">
            <v>18877.556620000003</v>
          </cell>
          <cell r="L85">
            <v>321.98893555554923</v>
          </cell>
          <cell r="Q85">
            <v>95774.333333333328</v>
          </cell>
          <cell r="R85">
            <v>100131.69974713755</v>
          </cell>
        </row>
        <row r="86">
          <cell r="H86">
            <v>249308.9325342527</v>
          </cell>
          <cell r="I86">
            <v>272512.74200000003</v>
          </cell>
          <cell r="K86">
            <v>76683.112833333609</v>
          </cell>
          <cell r="M86">
            <v>20206.508584039664</v>
          </cell>
        </row>
        <row r="89">
          <cell r="Q89">
            <v>70510.022580415665</v>
          </cell>
          <cell r="R89">
            <v>75716.070980381031</v>
          </cell>
        </row>
      </sheetData>
      <sheetData sheetId="8">
        <row r="2">
          <cell r="N2">
            <v>20000</v>
          </cell>
        </row>
        <row r="5">
          <cell r="T5">
            <v>20000</v>
          </cell>
          <cell r="U5">
            <v>22909</v>
          </cell>
        </row>
        <row r="9">
          <cell r="E9">
            <v>224.11711139880367</v>
          </cell>
          <cell r="F9">
            <v>187.01114916416651</v>
          </cell>
          <cell r="G9">
            <v>100000</v>
          </cell>
          <cell r="H9">
            <v>100001.45038811634</v>
          </cell>
        </row>
        <row r="10">
          <cell r="E10">
            <v>58.849070102551956</v>
          </cell>
          <cell r="F10">
            <v>150.90480882983286</v>
          </cell>
          <cell r="G10">
            <v>92100.000000000015</v>
          </cell>
          <cell r="H10">
            <v>93431.13144574844</v>
          </cell>
        </row>
        <row r="11">
          <cell r="E11">
            <v>0</v>
          </cell>
          <cell r="F11">
            <v>0</v>
          </cell>
        </row>
        <row r="12">
          <cell r="E12">
            <v>40.557077179752234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36.147689920837898</v>
          </cell>
          <cell r="F13">
            <v>32.385025717959721</v>
          </cell>
          <cell r="G13">
            <v>36500</v>
          </cell>
          <cell r="H13">
            <v>36499.98580490458</v>
          </cell>
        </row>
        <row r="14">
          <cell r="E14">
            <v>0</v>
          </cell>
          <cell r="F14">
            <v>0</v>
          </cell>
        </row>
        <row r="15">
          <cell r="E15">
            <v>359.67094860194572</v>
          </cell>
          <cell r="F15">
            <v>370.30098371195908</v>
          </cell>
        </row>
        <row r="16">
          <cell r="E16">
            <v>839.86974272199654</v>
          </cell>
          <cell r="F16">
            <v>867.1866695242179</v>
          </cell>
          <cell r="G16">
            <v>10738.439941574261</v>
          </cell>
          <cell r="H16">
            <v>11848.780550493993</v>
          </cell>
        </row>
        <row r="17">
          <cell r="E17">
            <v>887.2601338080583</v>
          </cell>
          <cell r="F17">
            <v>853.27903986283809</v>
          </cell>
          <cell r="G17">
            <v>18749.207232603669</v>
          </cell>
          <cell r="H17">
            <v>18368.020947405428</v>
          </cell>
        </row>
        <row r="19">
          <cell r="E19">
            <v>3.0611594435511602</v>
          </cell>
          <cell r="F19">
            <v>3.4195250750107156</v>
          </cell>
        </row>
        <row r="20">
          <cell r="Q20">
            <v>60245.070522829817</v>
          </cell>
          <cell r="R20">
            <v>63366.051564509216</v>
          </cell>
        </row>
        <row r="21">
          <cell r="Q21">
            <v>19162.718055555557</v>
          </cell>
          <cell r="R21">
            <v>18609.742777539646</v>
          </cell>
        </row>
        <row r="22">
          <cell r="Q22">
            <v>50</v>
          </cell>
          <cell r="R22">
            <v>0</v>
          </cell>
        </row>
        <row r="50">
          <cell r="Q50">
            <v>87629.554754081735</v>
          </cell>
          <cell r="R50">
            <v>88797.230775825112</v>
          </cell>
        </row>
        <row r="56">
          <cell r="L56">
            <v>5255.6814512585834</v>
          </cell>
        </row>
        <row r="80">
          <cell r="H80">
            <v>53537.16</v>
          </cell>
          <cell r="I80">
            <v>46214.19</v>
          </cell>
          <cell r="L80">
            <v>7322.97</v>
          </cell>
        </row>
        <row r="85">
          <cell r="H85">
            <v>47248.159333333337</v>
          </cell>
          <cell r="I85">
            <v>85501.527589999998</v>
          </cell>
          <cell r="L85">
            <v>-38253.368256666668</v>
          </cell>
          <cell r="Q85">
            <v>107600.1155</v>
          </cell>
          <cell r="R85">
            <v>104175.12890130516</v>
          </cell>
        </row>
        <row r="86">
          <cell r="H86">
            <v>298625.89558503189</v>
          </cell>
          <cell r="I86">
            <v>252582.52199999988</v>
          </cell>
          <cell r="K86">
            <v>-78463.017989500149</v>
          </cell>
          <cell r="M86">
            <v>58094.361209876224</v>
          </cell>
        </row>
        <row r="89">
          <cell r="Q89">
            <v>79457.788578385371</v>
          </cell>
          <cell r="R89">
            <v>81975.794342048859</v>
          </cell>
        </row>
      </sheetData>
      <sheetData sheetId="9">
        <row r="2">
          <cell r="N2">
            <v>26000</v>
          </cell>
        </row>
        <row r="5">
          <cell r="T5">
            <v>26000</v>
          </cell>
          <cell r="U5">
            <v>25120</v>
          </cell>
        </row>
        <row r="9">
          <cell r="E9">
            <v>225.2</v>
          </cell>
          <cell r="F9">
            <v>242.97076623169957</v>
          </cell>
          <cell r="G9">
            <v>100000</v>
          </cell>
          <cell r="H9">
            <v>100010.35365276615</v>
          </cell>
        </row>
        <row r="10">
          <cell r="E10">
            <v>46</v>
          </cell>
          <cell r="F10">
            <v>55.491727800763833</v>
          </cell>
          <cell r="G10">
            <v>92100.000000000015</v>
          </cell>
          <cell r="H10">
            <v>92109.74129815471</v>
          </cell>
        </row>
        <row r="11">
          <cell r="E11">
            <v>0</v>
          </cell>
          <cell r="F11">
            <v>0</v>
          </cell>
        </row>
        <row r="12">
          <cell r="E12">
            <v>46</v>
          </cell>
          <cell r="F12">
            <v>31.09838796944619</v>
          </cell>
          <cell r="G12">
            <v>65000</v>
          </cell>
          <cell r="H12">
            <v>65325.304275710281</v>
          </cell>
        </row>
        <row r="13">
          <cell r="E13">
            <v>35.4</v>
          </cell>
          <cell r="F13">
            <v>26.06206874602168</v>
          </cell>
          <cell r="G13">
            <v>35200</v>
          </cell>
          <cell r="H13">
            <v>35328.071530750487</v>
          </cell>
        </row>
        <row r="14">
          <cell r="E14">
            <v>0</v>
          </cell>
          <cell r="F14">
            <v>0</v>
          </cell>
        </row>
        <row r="15">
          <cell r="E15">
            <v>352.59999999999997</v>
          </cell>
          <cell r="F15">
            <v>355.62295074793127</v>
          </cell>
        </row>
        <row r="16">
          <cell r="E16">
            <v>820.2</v>
          </cell>
          <cell r="F16">
            <v>839.55820337364673</v>
          </cell>
          <cell r="G16">
            <v>10666.666666666666</v>
          </cell>
          <cell r="H16">
            <v>11287.219173833661</v>
          </cell>
        </row>
        <row r="17">
          <cell r="E17">
            <v>911.91</v>
          </cell>
          <cell r="F17">
            <v>896.80179821769605</v>
          </cell>
          <cell r="G17">
            <v>19013.585476554003</v>
          </cell>
          <cell r="H17">
            <v>18668.568419586358</v>
          </cell>
        </row>
        <row r="19">
          <cell r="E19">
            <v>4.8879999999999999</v>
          </cell>
          <cell r="F19">
            <v>3.2587539783577362</v>
          </cell>
        </row>
        <row r="20">
          <cell r="Q20">
            <v>61232.958731924358</v>
          </cell>
          <cell r="R20">
            <v>61557.062141947797</v>
          </cell>
        </row>
        <row r="21">
          <cell r="Q21">
            <v>16191.056753899024</v>
          </cell>
          <cell r="R21">
            <v>16482.103994271169</v>
          </cell>
        </row>
        <row r="22">
          <cell r="Q22">
            <v>76.923076923076934</v>
          </cell>
          <cell r="R22">
            <v>301.69482017823043</v>
          </cell>
        </row>
        <row r="50">
          <cell r="Q50">
            <v>82635.736665310556</v>
          </cell>
          <cell r="R50">
            <v>84660.339353914707</v>
          </cell>
        </row>
        <row r="56">
          <cell r="L56">
            <v>-35702.234097398752</v>
          </cell>
        </row>
        <row r="80">
          <cell r="H80">
            <v>48930</v>
          </cell>
          <cell r="I80">
            <v>53763.000999999997</v>
          </cell>
          <cell r="L80">
            <v>-4833.0009999999957</v>
          </cell>
        </row>
        <row r="85">
          <cell r="H85">
            <v>26997.944555555558</v>
          </cell>
          <cell r="I85">
            <v>41248.107869999993</v>
          </cell>
          <cell r="L85">
            <v>-14250.163314444435</v>
          </cell>
          <cell r="Q85">
            <v>103630.90538461538</v>
          </cell>
          <cell r="R85">
            <v>102129.68949044586</v>
          </cell>
        </row>
        <row r="86">
          <cell r="H86">
            <v>469946.44214636961</v>
          </cell>
          <cell r="I86">
            <v>358974.75199999951</v>
          </cell>
          <cell r="K86">
            <v>-37710.543261538434</v>
          </cell>
          <cell r="M86">
            <v>-18475.748472988242</v>
          </cell>
        </row>
        <row r="89">
          <cell r="Q89">
            <v>77500.938562746465</v>
          </cell>
          <cell r="R89">
            <v>78340.860956397199</v>
          </cell>
        </row>
      </sheetData>
      <sheetData sheetId="10">
        <row r="2">
          <cell r="N2">
            <v>12000</v>
          </cell>
        </row>
        <row r="5">
          <cell r="T5">
            <v>12000</v>
          </cell>
          <cell r="U5">
            <v>17236</v>
          </cell>
        </row>
        <row r="9">
          <cell r="E9">
            <v>161.91</v>
          </cell>
          <cell r="F9">
            <v>208.63624119256997</v>
          </cell>
          <cell r="G9">
            <v>100000</v>
          </cell>
          <cell r="H9">
            <v>100001.27159202532</v>
          </cell>
        </row>
        <row r="10">
          <cell r="E10">
            <v>148.79</v>
          </cell>
          <cell r="F10">
            <v>130.47051301461602</v>
          </cell>
          <cell r="G10">
            <v>92100.000000000015</v>
          </cell>
          <cell r="H10">
            <v>92099.87947174799</v>
          </cell>
        </row>
        <row r="11">
          <cell r="E11">
            <v>0</v>
          </cell>
          <cell r="F11">
            <v>0</v>
          </cell>
        </row>
        <row r="12">
          <cell r="E12">
            <v>13.12</v>
          </cell>
          <cell r="F12">
            <v>6.8572771210621326</v>
          </cell>
          <cell r="G12">
            <v>64000</v>
          </cell>
          <cell r="H12">
            <v>62271.117141454284</v>
          </cell>
        </row>
        <row r="13">
          <cell r="E13">
            <v>19.18</v>
          </cell>
          <cell r="F13">
            <v>17.774415070168303</v>
          </cell>
          <cell r="G13">
            <v>35000</v>
          </cell>
          <cell r="H13">
            <v>34999.957246760823</v>
          </cell>
        </row>
        <row r="14">
          <cell r="E14">
            <v>0</v>
          </cell>
          <cell r="F14">
            <v>0</v>
          </cell>
        </row>
        <row r="15">
          <cell r="E15">
            <v>343</v>
          </cell>
          <cell r="F15">
            <v>363.73844639841639</v>
          </cell>
        </row>
        <row r="16">
          <cell r="E16">
            <v>830</v>
          </cell>
          <cell r="F16">
            <v>769.00512432306527</v>
          </cell>
          <cell r="G16">
            <v>9533.3333333333339</v>
          </cell>
          <cell r="H16">
            <v>9646.3715889407376</v>
          </cell>
        </row>
        <row r="17">
          <cell r="E17">
            <v>890</v>
          </cell>
          <cell r="F17">
            <v>948.40115297269006</v>
          </cell>
          <cell r="G17">
            <v>17954.927176534206</v>
          </cell>
          <cell r="H17">
            <v>16427.48957704824</v>
          </cell>
        </row>
        <row r="19">
          <cell r="E19">
            <v>3.3</v>
          </cell>
          <cell r="F19">
            <v>3.5326617364467476</v>
          </cell>
        </row>
        <row r="20">
          <cell r="Q20">
            <v>57930.690853782107</v>
          </cell>
          <cell r="R20">
            <v>60191.454434286381</v>
          </cell>
        </row>
        <row r="21">
          <cell r="Q21">
            <v>17742.640073099417</v>
          </cell>
          <cell r="R21">
            <v>18522.684155360155</v>
          </cell>
        </row>
        <row r="22">
          <cell r="Q22">
            <v>379.16666666666663</v>
          </cell>
          <cell r="R22">
            <v>382.23833925347935</v>
          </cell>
        </row>
        <row r="50">
          <cell r="Q50">
            <v>83833.502587010109</v>
          </cell>
          <cell r="R50">
            <v>84859.752576719271</v>
          </cell>
        </row>
        <row r="56">
          <cell r="L56">
            <v>-13537.499623275262</v>
          </cell>
        </row>
        <row r="80">
          <cell r="H80">
            <v>35087.57</v>
          </cell>
          <cell r="I80">
            <v>36945.553999999996</v>
          </cell>
          <cell r="L80">
            <v>-1857.983999999997</v>
          </cell>
        </row>
        <row r="85">
          <cell r="H85">
            <v>13037.444888888889</v>
          </cell>
          <cell r="I85">
            <v>17235.309450000001</v>
          </cell>
          <cell r="L85">
            <v>-4197.8645611111097</v>
          </cell>
          <cell r="Q85">
            <v>101000.2</v>
          </cell>
          <cell r="R85">
            <v>99943.842077680092</v>
          </cell>
        </row>
        <row r="86">
          <cell r="H86">
            <v>157875.35406698976</v>
          </cell>
          <cell r="I86">
            <v>209152.39699999994</v>
          </cell>
          <cell r="K86">
            <v>-18140.834599999725</v>
          </cell>
          <cell r="M86">
            <v>89011.225717396708</v>
          </cell>
        </row>
        <row r="89">
          <cell r="Q89">
            <v>76052.497593548193</v>
          </cell>
          <cell r="R89">
            <v>79096.376928900019</v>
          </cell>
        </row>
      </sheetData>
      <sheetData sheetId="11">
        <row r="2">
          <cell r="N2">
            <v>18000</v>
          </cell>
        </row>
        <row r="5">
          <cell r="T5">
            <v>18000</v>
          </cell>
          <cell r="U5">
            <v>21272</v>
          </cell>
        </row>
        <row r="9">
          <cell r="E9">
            <v>208.8</v>
          </cell>
          <cell r="F9">
            <v>228.16252209477256</v>
          </cell>
          <cell r="G9">
            <v>100000</v>
          </cell>
          <cell r="H9">
            <v>100033.74964572016</v>
          </cell>
        </row>
        <row r="10">
          <cell r="E10">
            <v>74.5</v>
          </cell>
          <cell r="F10">
            <v>79.880737589319338</v>
          </cell>
          <cell r="G10">
            <v>92100.000000000015</v>
          </cell>
          <cell r="H10">
            <v>92096.97573252664</v>
          </cell>
        </row>
        <row r="11">
          <cell r="E11">
            <v>0</v>
          </cell>
          <cell r="F11">
            <v>0</v>
          </cell>
        </row>
        <row r="12">
          <cell r="E12">
            <v>41.4</v>
          </cell>
          <cell r="F12">
            <v>36.679728281308748</v>
          </cell>
          <cell r="G12">
            <v>63499.999999999993</v>
          </cell>
          <cell r="H12">
            <v>63558.150594530365</v>
          </cell>
        </row>
        <row r="13">
          <cell r="E13">
            <v>35.700000000000003</v>
          </cell>
          <cell r="F13">
            <v>35.896371756299331</v>
          </cell>
          <cell r="G13">
            <v>35500</v>
          </cell>
          <cell r="H13">
            <v>35500.001951315055</v>
          </cell>
        </row>
        <row r="14">
          <cell r="E14">
            <v>0</v>
          </cell>
          <cell r="F14">
            <v>0</v>
          </cell>
        </row>
        <row r="15">
          <cell r="E15">
            <v>360.4</v>
          </cell>
          <cell r="F15">
            <v>380.61935972169999</v>
          </cell>
        </row>
        <row r="16">
          <cell r="E16">
            <v>795</v>
          </cell>
          <cell r="F16">
            <v>790.89859909740505</v>
          </cell>
          <cell r="G16">
            <v>10733.333333333332</v>
          </cell>
          <cell r="H16">
            <v>11948.09538400362</v>
          </cell>
        </row>
        <row r="17">
          <cell r="E17">
            <v>920</v>
          </cell>
          <cell r="F17">
            <v>932.27613764573152</v>
          </cell>
          <cell r="G17">
            <v>18315.17101363598</v>
          </cell>
          <cell r="H17">
            <v>19265.946925120381</v>
          </cell>
        </row>
        <row r="19">
          <cell r="E19">
            <v>3.0610200000000001</v>
          </cell>
          <cell r="F19">
            <v>2.4740856525009405</v>
          </cell>
        </row>
        <row r="20">
          <cell r="Q20">
            <v>59334.588532545094</v>
          </cell>
          <cell r="R20">
            <v>63383.611461075598</v>
          </cell>
        </row>
        <row r="21">
          <cell r="Q21">
            <v>18577.502777777776</v>
          </cell>
          <cell r="R21">
            <v>19137.002350507712</v>
          </cell>
        </row>
        <row r="22">
          <cell r="Q22">
            <v>250</v>
          </cell>
          <cell r="R22">
            <v>260.52026137645731</v>
          </cell>
        </row>
        <row r="50">
          <cell r="Q50">
            <v>84992.105310322862</v>
          </cell>
          <cell r="R50">
            <v>89106.988341481774</v>
          </cell>
        </row>
        <row r="56">
          <cell r="L56">
            <v>-83342.988268811721</v>
          </cell>
        </row>
        <row r="80">
          <cell r="H80">
            <v>46069.53</v>
          </cell>
          <cell r="I80">
            <v>47510.608</v>
          </cell>
          <cell r="L80">
            <v>-1441.0780000000043</v>
          </cell>
        </row>
        <row r="85">
          <cell r="H85">
            <v>24416.41333333333</v>
          </cell>
          <cell r="I85">
            <v>28407.086569999999</v>
          </cell>
          <cell r="L85">
            <v>-3990.6732366666674</v>
          </cell>
          <cell r="Q85">
            <v>104000</v>
          </cell>
          <cell r="R85">
            <v>104108.16566378337</v>
          </cell>
        </row>
        <row r="86">
          <cell r="H86">
            <v>271656.16108085471</v>
          </cell>
          <cell r="I86">
            <v>247376.15299999976</v>
          </cell>
          <cell r="K86">
            <v>2300.8999999997559</v>
          </cell>
          <cell r="M86">
            <v>62193.831424623495</v>
          </cell>
        </row>
        <row r="89">
          <cell r="Q89">
            <v>78162.091310322867</v>
          </cell>
          <cell r="R89">
            <v>82781.134072959772</v>
          </cell>
        </row>
      </sheetData>
      <sheetData sheetId="12">
        <row r="2">
          <cell r="N2">
            <v>11000</v>
          </cell>
        </row>
        <row r="5">
          <cell r="T5">
            <v>11000</v>
          </cell>
          <cell r="U5">
            <v>12804</v>
          </cell>
        </row>
        <row r="9">
          <cell r="E9">
            <v>224.45683636363637</v>
          </cell>
          <cell r="F9">
            <v>234.87926507341447</v>
          </cell>
          <cell r="G9">
            <v>100000</v>
          </cell>
          <cell r="H9">
            <v>99939.886827802591</v>
          </cell>
        </row>
        <row r="10">
          <cell r="E10">
            <v>6.6356363636363653</v>
          </cell>
          <cell r="F10">
            <v>0</v>
          </cell>
          <cell r="G10">
            <v>92100.000000000015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65.084000000000003</v>
          </cell>
          <cell r="F12">
            <v>95.042884254920324</v>
          </cell>
          <cell r="G12">
            <v>63000</v>
          </cell>
          <cell r="H12">
            <v>63346.65974662501</v>
          </cell>
        </row>
        <row r="13">
          <cell r="E13">
            <v>37.518727272727283</v>
          </cell>
          <cell r="F13">
            <v>33.625871602624187</v>
          </cell>
          <cell r="G13">
            <v>35999.999999999993</v>
          </cell>
          <cell r="H13">
            <v>35999.988944262019</v>
          </cell>
        </row>
        <row r="14">
          <cell r="E14">
            <v>0</v>
          </cell>
          <cell r="F14">
            <v>0</v>
          </cell>
        </row>
        <row r="15">
          <cell r="E15">
            <v>333.69520000000006</v>
          </cell>
          <cell r="F15">
            <v>363.54802093095896</v>
          </cell>
        </row>
        <row r="16">
          <cell r="E16">
            <v>793.13636363636363</v>
          </cell>
          <cell r="F16">
            <v>773.79764136207416</v>
          </cell>
          <cell r="G16">
            <v>9066.6666666666661</v>
          </cell>
          <cell r="H16">
            <v>9621.6073248042831</v>
          </cell>
        </row>
        <row r="17">
          <cell r="E17">
            <v>908.48002545454517</v>
          </cell>
          <cell r="F17">
            <v>925.43306779131592</v>
          </cell>
          <cell r="G17">
            <v>17371.770748472212</v>
          </cell>
          <cell r="H17">
            <v>17705.780072907586</v>
          </cell>
        </row>
        <row r="19">
          <cell r="E19">
            <v>2.4842744727272721</v>
          </cell>
          <cell r="F19">
            <v>3.1928194314276799</v>
          </cell>
        </row>
        <row r="20">
          <cell r="Q20">
            <v>53327.79544526559</v>
          </cell>
          <cell r="R20">
            <v>56622.691190253041</v>
          </cell>
        </row>
        <row r="21">
          <cell r="Q21">
            <v>17018.113277511966</v>
          </cell>
          <cell r="R21">
            <v>16888.718603561385</v>
          </cell>
        </row>
        <row r="22">
          <cell r="Q22">
            <v>86.36363636363636</v>
          </cell>
          <cell r="R22">
            <v>42.61059044048735</v>
          </cell>
        </row>
        <row r="50">
          <cell r="Q50">
            <v>78403.205722777551</v>
          </cell>
          <cell r="R50">
            <v>81594.230240549819</v>
          </cell>
        </row>
        <row r="56">
          <cell r="L56">
            <v>-40483.351315556079</v>
          </cell>
        </row>
        <row r="80">
          <cell r="H80">
            <v>34626.870000000003</v>
          </cell>
          <cell r="I80">
            <v>28305.902000000002</v>
          </cell>
          <cell r="L80">
            <v>6320.9679999999989</v>
          </cell>
        </row>
        <row r="85">
          <cell r="H85">
            <v>11475.898111111112</v>
          </cell>
          <cell r="I85">
            <v>10987.648609999998</v>
          </cell>
          <cell r="L85">
            <v>488.24950111111264</v>
          </cell>
          <cell r="Q85">
            <v>96715.406363636372</v>
          </cell>
          <cell r="R85">
            <v>93592.935410809136</v>
          </cell>
        </row>
        <row r="86">
          <cell r="H86">
            <v>155331.43893833601</v>
          </cell>
          <cell r="I86">
            <v>114712.39700000014</v>
          </cell>
          <cell r="K86">
            <v>-39980.118079999935</v>
          </cell>
          <cell r="M86">
            <v>33035.20995610932</v>
          </cell>
        </row>
        <row r="89">
          <cell r="Q89">
            <v>70432.272359141192</v>
          </cell>
          <cell r="R89">
            <v>73554.020384254909</v>
          </cell>
        </row>
      </sheetData>
      <sheetData sheetId="13">
        <row r="2">
          <cell r="N2">
            <v>18000</v>
          </cell>
        </row>
        <row r="5">
          <cell r="T5">
            <v>18000</v>
          </cell>
          <cell r="U5">
            <v>19111.5</v>
          </cell>
        </row>
        <row r="9">
          <cell r="E9">
            <v>239.1</v>
          </cell>
          <cell r="F9">
            <v>268.61193731522906</v>
          </cell>
          <cell r="G9">
            <v>100000</v>
          </cell>
          <cell r="H9">
            <v>99999.808905176193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56.160209298066611</v>
          </cell>
          <cell r="G12">
            <v>65000</v>
          </cell>
          <cell r="H12">
            <v>65037.382075550791</v>
          </cell>
        </row>
        <row r="13">
          <cell r="E13">
            <v>34.799999999999997</v>
          </cell>
          <cell r="F13">
            <v>37.374727781702134</v>
          </cell>
          <cell r="G13">
            <v>33000</v>
          </cell>
          <cell r="H13">
            <v>32999.999118001702</v>
          </cell>
        </row>
        <row r="14">
          <cell r="E14">
            <v>0</v>
          </cell>
          <cell r="F14">
            <v>0</v>
          </cell>
        </row>
        <row r="15">
          <cell r="E15">
            <v>342.90000000000003</v>
          </cell>
          <cell r="F15">
            <v>362.14687439499778</v>
          </cell>
        </row>
        <row r="16">
          <cell r="E16">
            <v>837.7</v>
          </cell>
          <cell r="F16">
            <v>856.72710148339979</v>
          </cell>
          <cell r="G16">
            <v>10400</v>
          </cell>
          <cell r="H16">
            <v>11236.418165139186</v>
          </cell>
        </row>
        <row r="17">
          <cell r="E17">
            <v>880.59999999999991</v>
          </cell>
          <cell r="F17">
            <v>860.60382492216718</v>
          </cell>
          <cell r="G17">
            <v>17019.616516901086</v>
          </cell>
          <cell r="H17">
            <v>17639.222601950583</v>
          </cell>
        </row>
        <row r="19">
          <cell r="E19">
            <v>3.08</v>
          </cell>
          <cell r="F19">
            <v>3.1980221332705421</v>
          </cell>
        </row>
        <row r="20">
          <cell r="Q20">
            <v>55702.154304783093</v>
          </cell>
          <cell r="R20">
            <v>59247.144808099838</v>
          </cell>
        </row>
        <row r="21">
          <cell r="Q21">
            <v>16184.284964539007</v>
          </cell>
          <cell r="R21">
            <v>15558.843575857467</v>
          </cell>
        </row>
        <row r="22">
          <cell r="Q22">
            <v>66.666666666666671</v>
          </cell>
          <cell r="R22">
            <v>103.08180938178583</v>
          </cell>
        </row>
        <row r="50">
          <cell r="Q50">
            <v>78316.526890078196</v>
          </cell>
          <cell r="R50">
            <v>81560.127619496125</v>
          </cell>
        </row>
        <row r="56">
          <cell r="L56">
            <v>-61990.087250271128</v>
          </cell>
        </row>
        <row r="80">
          <cell r="H80">
            <v>39656.69</v>
          </cell>
          <cell r="I80">
            <v>43861.745999999999</v>
          </cell>
          <cell r="L80">
            <v>-4205.0559999999969</v>
          </cell>
        </row>
        <row r="85">
          <cell r="H85">
            <v>32560.991888888886</v>
          </cell>
          <cell r="I85">
            <v>30998.433089999999</v>
          </cell>
          <cell r="L85">
            <v>1562.5587988888872</v>
          </cell>
          <cell r="Q85">
            <v>99611.305555555562</v>
          </cell>
          <cell r="R85">
            <v>103837.35185621223</v>
          </cell>
        </row>
        <row r="86">
          <cell r="H86">
            <v>311088.3340897038</v>
          </cell>
          <cell r="I86">
            <v>350890.98</v>
          </cell>
          <cell r="K86">
            <v>80766.083874999982</v>
          </cell>
          <cell r="M86">
            <v>23669.146486678117</v>
          </cell>
        </row>
        <row r="89">
          <cell r="Q89">
            <v>71953.105935988773</v>
          </cell>
          <cell r="R89">
            <v>74909.070193339081</v>
          </cell>
        </row>
      </sheetData>
      <sheetData sheetId="14">
        <row r="2">
          <cell r="N2">
            <v>16500</v>
          </cell>
        </row>
        <row r="5">
          <cell r="T5">
            <v>16500</v>
          </cell>
          <cell r="U5">
            <v>17659</v>
          </cell>
        </row>
        <row r="9">
          <cell r="E9">
            <v>233.21999999999997</v>
          </cell>
          <cell r="F9">
            <v>285.83635086924534</v>
          </cell>
          <cell r="G9">
            <v>100000</v>
          </cell>
          <cell r="H9">
            <v>99999.974839448449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67.600000000000023</v>
          </cell>
          <cell r="F12">
            <v>49.491995582988835</v>
          </cell>
          <cell r="G12">
            <v>62499.999999999993</v>
          </cell>
          <cell r="H12">
            <v>62822.447194535482</v>
          </cell>
        </row>
        <row r="13">
          <cell r="E13">
            <v>37.180000000000007</v>
          </cell>
          <cell r="F13">
            <v>33.844051758310201</v>
          </cell>
          <cell r="G13">
            <v>35500</v>
          </cell>
          <cell r="H13">
            <v>35131.419514272289</v>
          </cell>
        </row>
        <row r="14">
          <cell r="E14">
            <v>0</v>
          </cell>
          <cell r="F14">
            <v>0</v>
          </cell>
        </row>
        <row r="15">
          <cell r="E15">
            <v>338</v>
          </cell>
          <cell r="F15">
            <v>369.17239821054443</v>
          </cell>
        </row>
        <row r="16">
          <cell r="E16">
            <v>773.65296287352862</v>
          </cell>
          <cell r="F16">
            <v>743.69024293561381</v>
          </cell>
          <cell r="G16">
            <v>10466.666666666668</v>
          </cell>
          <cell r="H16">
            <v>10510.855089376799</v>
          </cell>
        </row>
        <row r="17">
          <cell r="E17">
            <v>945.57584351209061</v>
          </cell>
          <cell r="F17">
            <v>938.53502463333086</v>
          </cell>
          <cell r="G17">
            <v>14718.131256952169</v>
          </cell>
          <cell r="H17">
            <v>14692.275904013564</v>
          </cell>
        </row>
        <row r="19">
          <cell r="E19">
            <v>2.7040000000000002</v>
          </cell>
          <cell r="F19">
            <v>59.856096041678455</v>
          </cell>
        </row>
        <row r="20">
          <cell r="Q20">
            <v>52503.967056290479</v>
          </cell>
          <cell r="R20">
            <v>56751.205447647095</v>
          </cell>
        </row>
        <row r="21">
          <cell r="Q21">
            <v>16751.031174242424</v>
          </cell>
          <cell r="R21">
            <v>16854.980519848235</v>
          </cell>
        </row>
        <row r="22">
          <cell r="Q22">
            <v>321.21212121212125</v>
          </cell>
          <cell r="R22">
            <v>253.51814938558243</v>
          </cell>
        </row>
        <row r="50">
          <cell r="Q50">
            <v>77403.114513361186</v>
          </cell>
          <cell r="R50">
            <v>80614.38824395492</v>
          </cell>
        </row>
        <row r="56">
          <cell r="L56">
            <v>-56707.865038554992</v>
          </cell>
        </row>
        <row r="80">
          <cell r="H80">
            <v>34381.94</v>
          </cell>
          <cell r="I80">
            <v>34913.93</v>
          </cell>
          <cell r="L80">
            <v>-531.9900000000016</v>
          </cell>
        </row>
        <row r="85">
          <cell r="H85">
            <v>14759.142141342974</v>
          </cell>
          <cell r="I85">
            <v>14419.286770000001</v>
          </cell>
          <cell r="L85">
            <v>339.85537134297351</v>
          </cell>
          <cell r="Q85">
            <v>97800</v>
          </cell>
          <cell r="R85">
            <v>99699.088283594756</v>
          </cell>
        </row>
        <row r="86">
          <cell r="H86">
            <v>287407.52838819759</v>
          </cell>
          <cell r="I86">
            <v>287683.51899999991</v>
          </cell>
          <cell r="K86">
            <v>33535.999999999796</v>
          </cell>
          <cell r="M86">
            <v>23639.990279014411</v>
          </cell>
        </row>
        <row r="89">
          <cell r="Q89">
            <v>69576.21035174503</v>
          </cell>
          <cell r="R89">
            <v>73859.704116880908</v>
          </cell>
        </row>
      </sheetData>
      <sheetData sheetId="15">
        <row r="2">
          <cell r="N2">
            <v>8000</v>
          </cell>
        </row>
        <row r="5">
          <cell r="T5">
            <v>8000</v>
          </cell>
          <cell r="U5">
            <v>11110</v>
          </cell>
        </row>
        <row r="9">
          <cell r="E9">
            <v>223.8</v>
          </cell>
          <cell r="F9">
            <v>235.21827902790272</v>
          </cell>
          <cell r="G9">
            <v>100000</v>
          </cell>
          <cell r="H9">
            <v>99999.32766358454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96</v>
          </cell>
          <cell r="F12">
            <v>84.280924392439289</v>
          </cell>
          <cell r="G12">
            <v>61300.000000000007</v>
          </cell>
          <cell r="H12">
            <v>61206.837657187069</v>
          </cell>
        </row>
        <row r="13">
          <cell r="E13">
            <v>35.6</v>
          </cell>
          <cell r="F13">
            <v>44.371201620162019</v>
          </cell>
          <cell r="G13">
            <v>37000</v>
          </cell>
          <cell r="H13">
            <v>36999.994218645363</v>
          </cell>
        </row>
        <row r="14">
          <cell r="E14">
            <v>0</v>
          </cell>
          <cell r="F14">
            <v>0</v>
          </cell>
        </row>
        <row r="15">
          <cell r="E15">
            <v>355.40000000000003</v>
          </cell>
          <cell r="F15">
            <v>363.87040504050407</v>
          </cell>
        </row>
        <row r="16">
          <cell r="E16">
            <v>730</v>
          </cell>
          <cell r="F16">
            <v>790.18757875787594</v>
          </cell>
          <cell r="G16">
            <v>10546.666666666666</v>
          </cell>
          <cell r="H16">
            <v>10873.699621732991</v>
          </cell>
        </row>
        <row r="17">
          <cell r="E17">
            <v>972</v>
          </cell>
          <cell r="F17">
            <v>905.27956795679574</v>
          </cell>
          <cell r="G17">
            <v>18685.562032802794</v>
          </cell>
          <cell r="H17">
            <v>19211.242460469912</v>
          </cell>
        </row>
        <row r="19">
          <cell r="E19">
            <v>3.2</v>
          </cell>
          <cell r="F19">
            <v>3.0333483348334833</v>
          </cell>
        </row>
        <row r="20">
          <cell r="Q20">
            <v>57363.432962550985</v>
          </cell>
          <cell r="R20">
            <v>59233.358145814585</v>
          </cell>
        </row>
        <row r="21">
          <cell r="Q21">
            <v>20556.457445054944</v>
          </cell>
          <cell r="R21">
            <v>18714.778937893789</v>
          </cell>
        </row>
        <row r="22">
          <cell r="Q22">
            <v>260</v>
          </cell>
          <cell r="R22">
            <v>324.71170117011701</v>
          </cell>
        </row>
        <row r="50">
          <cell r="Q50">
            <v>89293.107759972598</v>
          </cell>
          <cell r="R50">
            <v>85820.724752475246</v>
          </cell>
        </row>
        <row r="56">
          <cell r="L56">
            <v>38578.180063295826</v>
          </cell>
        </row>
        <row r="80">
          <cell r="H80">
            <v>25905.420000000002</v>
          </cell>
          <cell r="I80">
            <v>28195</v>
          </cell>
          <cell r="L80">
            <v>-2289.5799999999963</v>
          </cell>
        </row>
        <row r="85">
          <cell r="H85">
            <v>12467.427666666666</v>
          </cell>
          <cell r="I85">
            <v>12831.36585</v>
          </cell>
          <cell r="L85">
            <v>-363.93818333333388</v>
          </cell>
          <cell r="Q85">
            <v>98005.675000000003</v>
          </cell>
          <cell r="R85">
            <v>101500.20702070207</v>
          </cell>
        </row>
        <row r="86">
          <cell r="H86">
            <v>31327.69025355246</v>
          </cell>
          <cell r="I86">
            <v>133172.68700000009</v>
          </cell>
          <cell r="K86">
            <v>38824.250749999999</v>
          </cell>
          <cell r="M86">
            <v>27096.084116485203</v>
          </cell>
        </row>
        <row r="89">
          <cell r="Q89">
            <v>78179.890407605926</v>
          </cell>
          <cell r="R89">
            <v>78272.848784878486</v>
          </cell>
        </row>
      </sheetData>
      <sheetData sheetId="16">
        <row r="2">
          <cell r="N2">
            <v>25000</v>
          </cell>
        </row>
        <row r="5">
          <cell r="T5">
            <v>25000</v>
          </cell>
          <cell r="U5">
            <v>30069</v>
          </cell>
        </row>
        <row r="9">
          <cell r="E9">
            <v>230.7328</v>
          </cell>
          <cell r="F9">
            <v>288.82675868454447</v>
          </cell>
          <cell r="G9">
            <v>100000</v>
          </cell>
          <cell r="H9">
            <v>101215.68154668453</v>
          </cell>
        </row>
        <row r="10">
          <cell r="E10">
            <v>64.695200000000014</v>
          </cell>
          <cell r="F10">
            <v>13.493708034703884</v>
          </cell>
          <cell r="G10">
            <v>87100</v>
          </cell>
          <cell r="H10">
            <v>87100.003197031547</v>
          </cell>
        </row>
        <row r="11">
          <cell r="E11">
            <v>0</v>
          </cell>
          <cell r="F11">
            <v>0</v>
          </cell>
        </row>
        <row r="12">
          <cell r="E12">
            <v>32.426400000000001</v>
          </cell>
          <cell r="F12">
            <v>39.27149823394258</v>
          </cell>
          <cell r="G12">
            <v>64500</v>
          </cell>
          <cell r="H12">
            <v>64402.772709262339</v>
          </cell>
        </row>
        <row r="13">
          <cell r="E13">
            <v>32.426400000000001</v>
          </cell>
          <cell r="F13">
            <v>36.783550975618127</v>
          </cell>
          <cell r="G13">
            <v>42000</v>
          </cell>
          <cell r="H13">
            <v>41650.428226901102</v>
          </cell>
        </row>
        <row r="14">
          <cell r="E14">
            <v>0</v>
          </cell>
          <cell r="F14">
            <v>0</v>
          </cell>
        </row>
        <row r="15">
          <cell r="E15">
            <v>360.2808</v>
          </cell>
          <cell r="F15">
            <v>378.37551592880908</v>
          </cell>
        </row>
        <row r="16">
          <cell r="E16">
            <v>854.92880000000002</v>
          </cell>
          <cell r="F16">
            <v>857.53214910325494</v>
          </cell>
          <cell r="G16">
            <v>10933.333333333334</v>
          </cell>
          <cell r="H16">
            <v>11513.72197503088</v>
          </cell>
        </row>
        <row r="17">
          <cell r="E17">
            <v>865.62239999999997</v>
          </cell>
          <cell r="F17">
            <v>852.0436541956725</v>
          </cell>
          <cell r="G17">
            <v>13742.248405111395</v>
          </cell>
          <cell r="H17">
            <v>13422.799639948489</v>
          </cell>
        </row>
        <row r="19">
          <cell r="E19">
            <v>2.9938159999999998</v>
          </cell>
          <cell r="F19">
            <v>3.3603597270326815</v>
          </cell>
        </row>
        <row r="20">
          <cell r="Q20">
            <v>55949.206712495368</v>
          </cell>
          <cell r="R20">
            <v>58573.497925311196</v>
          </cell>
        </row>
        <row r="21">
          <cell r="Q21">
            <v>19936.663517730496</v>
          </cell>
          <cell r="R21">
            <v>18546.525256335517</v>
          </cell>
        </row>
        <row r="22">
          <cell r="Q22">
            <v>200</v>
          </cell>
          <cell r="R22">
            <v>160.23630876856075</v>
          </cell>
        </row>
        <row r="50">
          <cell r="Q50">
            <v>81576.217204499146</v>
          </cell>
          <cell r="R50">
            <v>83286.509961935459</v>
          </cell>
        </row>
        <row r="56">
          <cell r="L56">
            <v>-49852.073972828555</v>
          </cell>
        </row>
        <row r="80">
          <cell r="H80">
            <v>40361.259999999995</v>
          </cell>
          <cell r="I80">
            <v>53273.491999999998</v>
          </cell>
          <cell r="L80">
            <v>-12912.232000000004</v>
          </cell>
        </row>
        <row r="85">
          <cell r="H85">
            <v>34063.269</v>
          </cell>
          <cell r="I85">
            <v>35625.107429999996</v>
          </cell>
          <cell r="L85">
            <v>-1561.8384300000005</v>
          </cell>
          <cell r="Q85">
            <v>101000.15199999999</v>
          </cell>
          <cell r="R85">
            <v>104707.6933630595</v>
          </cell>
        </row>
        <row r="86">
          <cell r="H86">
            <v>411173.84088752151</v>
          </cell>
          <cell r="I86">
            <v>538834.41399999941</v>
          </cell>
          <cell r="K86">
            <v>108093.36844000014</v>
          </cell>
          <cell r="M86">
            <v>83893.349075306032</v>
          </cell>
        </row>
        <row r="89">
          <cell r="Q89">
            <v>76085.870230225861</v>
          </cell>
          <cell r="R89">
            <v>77280.259490415279</v>
          </cell>
        </row>
      </sheetData>
      <sheetData sheetId="17">
        <row r="2">
          <cell r="N2">
            <v>6000</v>
          </cell>
        </row>
        <row r="5">
          <cell r="T5">
            <v>6000</v>
          </cell>
          <cell r="U5">
            <v>6925.5</v>
          </cell>
        </row>
        <row r="9">
          <cell r="E9">
            <v>259.89999999999998</v>
          </cell>
          <cell r="F9">
            <v>265.16295574326762</v>
          </cell>
          <cell r="G9">
            <v>100000.00000000001</v>
          </cell>
          <cell r="H9">
            <v>100008.17420716086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0.56891199191394126</v>
          </cell>
        </row>
        <row r="12">
          <cell r="E12">
            <v>44.399999999999991</v>
          </cell>
          <cell r="F12">
            <v>48.840378312035249</v>
          </cell>
          <cell r="G12">
            <v>64000</v>
          </cell>
          <cell r="H12">
            <v>63767.802087510529</v>
          </cell>
        </row>
        <row r="13">
          <cell r="E13">
            <v>39.200000000000003</v>
          </cell>
          <cell r="F13">
            <v>36.456719370442563</v>
          </cell>
          <cell r="G13">
            <v>48999.999999999993</v>
          </cell>
          <cell r="H13">
            <v>48999.998059259982</v>
          </cell>
        </row>
        <row r="14">
          <cell r="E14">
            <v>0</v>
          </cell>
          <cell r="F14">
            <v>0</v>
          </cell>
        </row>
        <row r="15">
          <cell r="E15">
            <v>343.49999999999994</v>
          </cell>
          <cell r="F15">
            <v>351.02896541765932</v>
          </cell>
        </row>
        <row r="16">
          <cell r="E16">
            <v>815.9</v>
          </cell>
          <cell r="F16">
            <v>808.2225110100353</v>
          </cell>
          <cell r="G16">
            <v>13666.666666666668</v>
          </cell>
          <cell r="H16">
            <v>14292.007907320347</v>
          </cell>
        </row>
        <row r="17">
          <cell r="E17">
            <v>953.39999999999986</v>
          </cell>
          <cell r="F17">
            <v>972.42653960002849</v>
          </cell>
          <cell r="G17">
            <v>13419.35483870968</v>
          </cell>
          <cell r="H17">
            <v>14410.529895137608</v>
          </cell>
        </row>
        <row r="19">
          <cell r="E19">
            <v>2.87</v>
          </cell>
          <cell r="F19">
            <v>2.448602988953867</v>
          </cell>
        </row>
        <row r="20">
          <cell r="Q20">
            <v>56419.046236559137</v>
          </cell>
          <cell r="R20">
            <v>58516.332105985137</v>
          </cell>
        </row>
        <row r="21">
          <cell r="Q21">
            <v>15776.611545780164</v>
          </cell>
          <cell r="R21">
            <v>13327.023752797633</v>
          </cell>
        </row>
        <row r="22">
          <cell r="Q22">
            <v>250</v>
          </cell>
          <cell r="R22">
            <v>280.01270666377883</v>
          </cell>
        </row>
        <row r="50">
          <cell r="Q50">
            <v>85452.330723148101</v>
          </cell>
          <cell r="R50">
            <v>83702.2805573605</v>
          </cell>
        </row>
        <row r="56">
          <cell r="L56">
            <v>12119.987833162357</v>
          </cell>
        </row>
        <row r="80">
          <cell r="H80">
            <v>9866.630000000001</v>
          </cell>
          <cell r="I80">
            <v>10037.968000000001</v>
          </cell>
          <cell r="L80">
            <v>-171.33799999999951</v>
          </cell>
        </row>
        <row r="85">
          <cell r="H85">
            <v>5428.9927777777775</v>
          </cell>
          <cell r="I85">
            <v>5774.1664100000007</v>
          </cell>
          <cell r="L85">
            <v>-345.17363222222252</v>
          </cell>
          <cell r="Q85">
            <v>107900</v>
          </cell>
          <cell r="R85">
            <v>110562.57959714101</v>
          </cell>
        </row>
        <row r="86">
          <cell r="H86">
            <v>119390.39288333349</v>
          </cell>
          <cell r="I86">
            <v>170208.88200000004</v>
          </cell>
          <cell r="K86">
            <v>18439.695000000076</v>
          </cell>
          <cell r="M86">
            <v>20775.317915726424</v>
          </cell>
        </row>
        <row r="89">
          <cell r="Q89">
            <v>72445.657782339302</v>
          </cell>
          <cell r="R89">
            <v>72123.368565446552</v>
          </cell>
        </row>
      </sheetData>
      <sheetData sheetId="18">
        <row r="2">
          <cell r="N2">
            <v>7500</v>
          </cell>
        </row>
        <row r="5">
          <cell r="T5">
            <v>7500</v>
          </cell>
          <cell r="U5">
            <v>10980</v>
          </cell>
        </row>
        <row r="9">
          <cell r="E9">
            <v>219.5</v>
          </cell>
          <cell r="F9">
            <v>231.77231876138433</v>
          </cell>
          <cell r="G9">
            <v>100000</v>
          </cell>
          <cell r="H9">
            <v>100000</v>
          </cell>
        </row>
        <row r="10">
          <cell r="E10">
            <v>13</v>
          </cell>
          <cell r="F10">
            <v>17.886703096539161</v>
          </cell>
          <cell r="G10">
            <v>95000</v>
          </cell>
          <cell r="H10">
            <v>94534.53227153304</v>
          </cell>
        </row>
        <row r="11">
          <cell r="E11">
            <v>0</v>
          </cell>
          <cell r="F11">
            <v>0</v>
          </cell>
        </row>
        <row r="12">
          <cell r="E12">
            <v>85.2</v>
          </cell>
          <cell r="F12">
            <v>74.207653005464479</v>
          </cell>
          <cell r="G12">
            <v>64899.999999999993</v>
          </cell>
          <cell r="H12">
            <v>64890.553575458267</v>
          </cell>
        </row>
        <row r="13">
          <cell r="E13">
            <v>21.3</v>
          </cell>
          <cell r="F13">
            <v>26.398000910746809</v>
          </cell>
          <cell r="G13">
            <v>37500</v>
          </cell>
          <cell r="H13">
            <v>38782.173748115623</v>
          </cell>
        </row>
        <row r="14">
          <cell r="E14">
            <v>0</v>
          </cell>
          <cell r="F14">
            <v>0</v>
          </cell>
        </row>
        <row r="15">
          <cell r="E15">
            <v>339</v>
          </cell>
          <cell r="F15">
            <v>350.26467577413479</v>
          </cell>
        </row>
        <row r="16">
          <cell r="E16">
            <v>785</v>
          </cell>
          <cell r="F16">
            <v>793.15482695810567</v>
          </cell>
          <cell r="G16">
            <v>13666.666666666666</v>
          </cell>
          <cell r="H16">
            <v>13963.870274341933</v>
          </cell>
        </row>
        <row r="17">
          <cell r="E17">
            <v>935</v>
          </cell>
          <cell r="F17">
            <v>908.33743169398906</v>
          </cell>
          <cell r="G17">
            <v>14837.329653268933</v>
          </cell>
          <cell r="H17">
            <v>15081.04370111129</v>
          </cell>
        </row>
        <row r="19">
          <cell r="E19">
            <v>2.84</v>
          </cell>
          <cell r="F19">
            <v>2.0731967213114753</v>
          </cell>
        </row>
        <row r="20">
          <cell r="Q20">
            <v>56670.466559139786</v>
          </cell>
          <cell r="R20">
            <v>56712.118579234972</v>
          </cell>
        </row>
        <row r="21">
          <cell r="Q21">
            <v>12670.57211340206</v>
          </cell>
          <cell r="R21">
            <v>12473.893078324225</v>
          </cell>
        </row>
        <row r="22">
          <cell r="Q22">
            <v>60</v>
          </cell>
          <cell r="R22">
            <v>41.19553734061931</v>
          </cell>
        </row>
        <row r="50">
          <cell r="Q50">
            <v>76595.446793084368</v>
          </cell>
          <cell r="R50">
            <v>74748.416120218579</v>
          </cell>
        </row>
        <row r="56">
          <cell r="L56">
            <v>20280.402128066409</v>
          </cell>
        </row>
        <row r="80">
          <cell r="H80">
            <v>9943.1500000000015</v>
          </cell>
          <cell r="I80">
            <v>12524.875</v>
          </cell>
          <cell r="L80">
            <v>-2581.7249999999999</v>
          </cell>
        </row>
        <row r="85">
          <cell r="H85">
            <v>10246.369555555555</v>
          </cell>
          <cell r="I85">
            <v>10169.027340000001</v>
          </cell>
          <cell r="L85">
            <v>77.342215555554503</v>
          </cell>
          <cell r="Q85">
            <v>109382.3112</v>
          </cell>
          <cell r="R85">
            <v>112623.59562841531</v>
          </cell>
        </row>
        <row r="86">
          <cell r="H86">
            <v>225711.96349631168</v>
          </cell>
          <cell r="I86">
            <v>393175.57400000002</v>
          </cell>
          <cell r="K86">
            <v>35589.30302400011</v>
          </cell>
          <cell r="M86">
            <v>114098.28813606635</v>
          </cell>
        </row>
        <row r="89">
          <cell r="Q89">
            <v>69401.03867254185</v>
          </cell>
          <cell r="R89">
            <v>69227.20719489982</v>
          </cell>
        </row>
      </sheetData>
      <sheetData sheetId="19">
        <row r="2">
          <cell r="N2">
            <v>12000</v>
          </cell>
        </row>
        <row r="5">
          <cell r="T5">
            <v>12000</v>
          </cell>
          <cell r="U5">
            <v>9772</v>
          </cell>
        </row>
        <row r="9">
          <cell r="E9">
            <v>246.80999999999997</v>
          </cell>
          <cell r="F9">
            <v>240.24148212818406</v>
          </cell>
          <cell r="G9">
            <v>100000</v>
          </cell>
          <cell r="H9">
            <v>99909.921417528109</v>
          </cell>
        </row>
        <row r="10">
          <cell r="E10">
            <v>13.659999999999998</v>
          </cell>
          <cell r="F10">
            <v>7.9712448644207061</v>
          </cell>
          <cell r="G10">
            <v>93100</v>
          </cell>
          <cell r="H10">
            <v>94103.342901070573</v>
          </cell>
        </row>
        <row r="11">
          <cell r="E11">
            <v>0</v>
          </cell>
          <cell r="F11">
            <v>0</v>
          </cell>
        </row>
        <row r="12">
          <cell r="E12">
            <v>64.150000000000006</v>
          </cell>
          <cell r="F12">
            <v>56.561735825801129</v>
          </cell>
          <cell r="G12">
            <v>65000</v>
          </cell>
          <cell r="H12">
            <v>64920.101518642994</v>
          </cell>
        </row>
        <row r="13">
          <cell r="E13">
            <v>31.3</v>
          </cell>
          <cell r="F13">
            <v>21.209849013968775</v>
          </cell>
          <cell r="G13">
            <v>36000</v>
          </cell>
          <cell r="H13">
            <v>36000.018208312686</v>
          </cell>
        </row>
        <row r="14">
          <cell r="E14">
            <v>0</v>
          </cell>
          <cell r="F14">
            <v>0</v>
          </cell>
        </row>
        <row r="15">
          <cell r="E15">
            <v>355.92</v>
          </cell>
          <cell r="F15">
            <v>325.98431183237466</v>
          </cell>
        </row>
        <row r="16">
          <cell r="E16">
            <v>764.82999999999993</v>
          </cell>
          <cell r="F16">
            <v>651.73223089564476</v>
          </cell>
          <cell r="G16">
            <v>12533.333333333336</v>
          </cell>
          <cell r="H16">
            <v>12886.150696621817</v>
          </cell>
        </row>
        <row r="17">
          <cell r="E17">
            <v>979.82</v>
          </cell>
          <cell r="F17">
            <v>1090.9038619556291</v>
          </cell>
          <cell r="G17">
            <v>14400.088718027231</v>
          </cell>
          <cell r="H17">
            <v>14883.59190813705</v>
          </cell>
        </row>
        <row r="19">
          <cell r="E19">
            <v>3.01</v>
          </cell>
          <cell r="F19">
            <v>1.7948900986031215</v>
          </cell>
        </row>
        <row r="20">
          <cell r="Q20">
            <v>57081.760261030773</v>
          </cell>
          <cell r="R20">
            <v>55326.617707477402</v>
          </cell>
        </row>
        <row r="21">
          <cell r="Q21">
            <v>16493.006330645163</v>
          </cell>
          <cell r="R21">
            <v>14989.477608874282</v>
          </cell>
        </row>
        <row r="22">
          <cell r="Q22">
            <v>250</v>
          </cell>
          <cell r="R22">
            <v>220.96322925225965</v>
          </cell>
        </row>
        <row r="50">
          <cell r="Q50">
            <v>82467.551993135989</v>
          </cell>
          <cell r="R50">
            <v>80125.895645028766</v>
          </cell>
        </row>
        <row r="56">
          <cell r="L56">
            <v>22798.355655171905</v>
          </cell>
        </row>
        <row r="80">
          <cell r="H80">
            <v>24635.47</v>
          </cell>
          <cell r="I80">
            <v>31601.616000000002</v>
          </cell>
          <cell r="L80">
            <v>-6966.1459999999997</v>
          </cell>
        </row>
        <row r="85">
          <cell r="H85">
            <v>23400.329333333335</v>
          </cell>
          <cell r="I85">
            <v>20789.674450000002</v>
          </cell>
          <cell r="L85">
            <v>2610.6548833333345</v>
          </cell>
          <cell r="Q85">
            <v>103723.77</v>
          </cell>
          <cell r="R85">
            <v>95671.078368940012</v>
          </cell>
        </row>
        <row r="86">
          <cell r="H86">
            <v>207038.81674903486</v>
          </cell>
          <cell r="I86">
            <v>98974.597999999954</v>
          </cell>
          <cell r="K86">
            <v>-78401.005720000074</v>
          </cell>
          <cell r="M86">
            <v>-48106.077567540109</v>
          </cell>
        </row>
        <row r="89">
          <cell r="Q89">
            <v>73824.766591675929</v>
          </cell>
          <cell r="R89">
            <v>70537.058545603941</v>
          </cell>
        </row>
      </sheetData>
      <sheetData sheetId="20">
        <row r="2">
          <cell r="N2">
            <v>6000</v>
          </cell>
        </row>
        <row r="5">
          <cell r="T5">
            <v>6000</v>
          </cell>
          <cell r="U5">
            <v>3556</v>
          </cell>
        </row>
        <row r="9">
          <cell r="E9">
            <v>342.69999999999993</v>
          </cell>
          <cell r="F9">
            <v>339.45101903695416</v>
          </cell>
          <cell r="G9">
            <v>117000</v>
          </cell>
          <cell r="H9">
            <v>116997.18133910702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342.69999999999993</v>
          </cell>
          <cell r="F15">
            <v>339.45101903695416</v>
          </cell>
        </row>
        <row r="16">
          <cell r="E16">
            <v>709.7</v>
          </cell>
          <cell r="F16">
            <v>665.12178051511762</v>
          </cell>
          <cell r="G16">
            <v>18143.333333333336</v>
          </cell>
          <cell r="H16">
            <v>17804.665346417965</v>
          </cell>
        </row>
        <row r="17">
          <cell r="E17">
            <v>1038.3</v>
          </cell>
          <cell r="F17">
            <v>967.63437849944023</v>
          </cell>
          <cell r="G17">
            <v>18433.378210746429</v>
          </cell>
          <cell r="H17">
            <v>18337.448898995772</v>
          </cell>
        </row>
        <row r="19">
          <cell r="E19">
            <v>3.04</v>
          </cell>
          <cell r="F19">
            <v>2.8687346024636056</v>
          </cell>
        </row>
        <row r="20">
          <cell r="Q20">
            <v>74451.600262884676</v>
          </cell>
          <cell r="R20">
            <v>71625.182810750281</v>
          </cell>
        </row>
        <row r="21">
          <cell r="Q21">
            <v>15088.910256410256</v>
          </cell>
          <cell r="R21">
            <v>15598.237961926092</v>
          </cell>
        </row>
        <row r="22">
          <cell r="Q22">
            <v>0</v>
          </cell>
          <cell r="R22">
            <v>324.10274356103019</v>
          </cell>
        </row>
        <row r="50">
          <cell r="Q50">
            <v>101440.75301929493</v>
          </cell>
          <cell r="R50">
            <v>105777.60666293392</v>
          </cell>
        </row>
        <row r="56">
          <cell r="L56">
            <v>-15216.124843387217</v>
          </cell>
        </row>
        <row r="80">
          <cell r="H80">
            <v>14861.39</v>
          </cell>
          <cell r="I80">
            <v>15134.940999999999</v>
          </cell>
          <cell r="L80">
            <v>-273.55099999999925</v>
          </cell>
        </row>
        <row r="85">
          <cell r="H85">
            <v>10054.094953347427</v>
          </cell>
          <cell r="I85">
            <v>10277.52542</v>
          </cell>
          <cell r="L85">
            <v>-223.43046665257339</v>
          </cell>
          <cell r="Q85">
            <v>126700</v>
          </cell>
          <cell r="R85">
            <v>127908.1588863892</v>
          </cell>
        </row>
        <row r="86">
          <cell r="H86">
            <v>126639.99693088295</v>
          </cell>
          <cell r="I86">
            <v>53489.50400000003</v>
          </cell>
          <cell r="K86">
            <v>4296.2129999999797</v>
          </cell>
          <cell r="M86">
            <v>-61733.599620843161</v>
          </cell>
        </row>
        <row r="89">
          <cell r="Q89">
            <v>89540.510519294927</v>
          </cell>
          <cell r="R89">
            <v>87547.523516237401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94591.9257838427</v>
          </cell>
        </row>
        <row r="89">
          <cell r="Q89">
            <v>71065.260196220508</v>
          </cell>
        </row>
        <row r="90">
          <cell r="Q90">
            <v>23526.665587622192</v>
          </cell>
        </row>
      </sheetData>
      <sheetData sheetId="1">
        <row r="5">
          <cell r="T5">
            <v>122851</v>
          </cell>
        </row>
        <row r="85">
          <cell r="Q85">
            <v>90663.316940607459</v>
          </cell>
        </row>
        <row r="89">
          <cell r="Q89">
            <v>72165.203542361633</v>
          </cell>
        </row>
        <row r="90">
          <cell r="Q90">
            <v>18498.113398245827</v>
          </cell>
        </row>
      </sheetData>
      <sheetData sheetId="2">
        <row r="5">
          <cell r="T5">
            <v>140756</v>
          </cell>
        </row>
        <row r="85">
          <cell r="Q85">
            <v>95926.789874137816</v>
          </cell>
        </row>
        <row r="89">
          <cell r="Q89">
            <v>70949.054700782042</v>
          </cell>
        </row>
        <row r="90">
          <cell r="Q90">
            <v>24977.735173355773</v>
          </cell>
        </row>
      </sheetData>
      <sheetData sheetId="3">
        <row r="5">
          <cell r="T5">
            <v>59167.5</v>
          </cell>
        </row>
        <row r="85">
          <cell r="Q85">
            <v>99528.287095599764</v>
          </cell>
        </row>
        <row r="89">
          <cell r="Q89">
            <v>69070.788402116406</v>
          </cell>
        </row>
        <row r="90">
          <cell r="Q90">
            <v>30457.498693483358</v>
          </cell>
        </row>
      </sheetData>
      <sheetData sheetId="4">
        <row r="2">
          <cell r="N2">
            <v>40835</v>
          </cell>
        </row>
        <row r="85">
          <cell r="Q85">
            <v>90270.899341348151</v>
          </cell>
        </row>
        <row r="89">
          <cell r="Q89">
            <v>71529.871784201896</v>
          </cell>
        </row>
      </sheetData>
      <sheetData sheetId="5">
        <row r="2">
          <cell r="N2">
            <v>38927</v>
          </cell>
        </row>
        <row r="85">
          <cell r="Q85">
            <v>93334.478074344283</v>
          </cell>
        </row>
        <row r="89">
          <cell r="Q89">
            <v>75539.02452553995</v>
          </cell>
        </row>
      </sheetData>
      <sheetData sheetId="6">
        <row r="2">
          <cell r="N2">
            <v>21328</v>
          </cell>
        </row>
        <row r="85">
          <cell r="Q85">
            <v>89411.336599774935</v>
          </cell>
        </row>
        <row r="89">
          <cell r="Q89">
            <v>71640.461834208545</v>
          </cell>
        </row>
      </sheetData>
      <sheetData sheetId="7">
        <row r="2">
          <cell r="N2">
            <v>20889</v>
          </cell>
        </row>
        <row r="85">
          <cell r="Q85">
            <v>87731.088228254113</v>
          </cell>
        </row>
        <row r="89">
          <cell r="Q89">
            <v>67654.393269184744</v>
          </cell>
        </row>
      </sheetData>
      <sheetData sheetId="8">
        <row r="2">
          <cell r="N2">
            <v>24598.5</v>
          </cell>
        </row>
        <row r="85">
          <cell r="Q85">
            <v>98874.913104457577</v>
          </cell>
        </row>
        <row r="89">
          <cell r="Q89">
            <v>72722.723820552244</v>
          </cell>
        </row>
      </sheetData>
      <sheetData sheetId="9">
        <row r="2">
          <cell r="N2">
            <v>19461</v>
          </cell>
        </row>
        <row r="85">
          <cell r="Q85">
            <v>101602.09136221161</v>
          </cell>
        </row>
        <row r="89">
          <cell r="Q89">
            <v>75550.552576154514</v>
          </cell>
        </row>
      </sheetData>
      <sheetData sheetId="10">
        <row r="2">
          <cell r="N2">
            <v>14816</v>
          </cell>
        </row>
        <row r="85">
          <cell r="Q85">
            <v>93382.343412527</v>
          </cell>
        </row>
        <row r="89">
          <cell r="Q89">
            <v>71780.878307235427</v>
          </cell>
        </row>
      </sheetData>
      <sheetData sheetId="11">
        <row r="2">
          <cell r="N2">
            <v>18648</v>
          </cell>
        </row>
        <row r="85">
          <cell r="Q85">
            <v>98275.580223080222</v>
          </cell>
        </row>
        <row r="89">
          <cell r="Q89">
            <v>74437.101887601908</v>
          </cell>
        </row>
      </sheetData>
      <sheetData sheetId="12">
        <row r="2">
          <cell r="N2">
            <v>14434</v>
          </cell>
        </row>
        <row r="85">
          <cell r="Q85">
            <v>93556.66066232507</v>
          </cell>
        </row>
        <row r="89">
          <cell r="Q89">
            <v>66543.193975069255</v>
          </cell>
        </row>
      </sheetData>
      <sheetData sheetId="13">
        <row r="2">
          <cell r="N2">
            <v>22036</v>
          </cell>
        </row>
        <row r="85">
          <cell r="Q85">
            <v>92461.304229442729</v>
          </cell>
        </row>
        <row r="89">
          <cell r="Q89">
            <v>67635.833862770014</v>
          </cell>
        </row>
      </sheetData>
      <sheetData sheetId="14">
        <row r="2">
          <cell r="N2">
            <v>18676</v>
          </cell>
        </row>
        <row r="85">
          <cell r="Q85">
            <v>92883.639430284864</v>
          </cell>
        </row>
        <row r="89">
          <cell r="Q89">
            <v>66659.105750696079</v>
          </cell>
        </row>
      </sheetData>
      <sheetData sheetId="15">
        <row r="2">
          <cell r="N2">
            <v>7960.5</v>
          </cell>
        </row>
        <row r="85">
          <cell r="Q85">
            <v>93206.05489604926</v>
          </cell>
        </row>
        <row r="89">
          <cell r="Q89">
            <v>71618.607100665293</v>
          </cell>
        </row>
      </sheetData>
      <sheetData sheetId="16">
        <row r="2">
          <cell r="N2">
            <v>26542</v>
          </cell>
        </row>
        <row r="85">
          <cell r="Q85">
            <v>95032.766935423118</v>
          </cell>
        </row>
        <row r="89">
          <cell r="Q89">
            <v>66840.085458174843</v>
          </cell>
        </row>
      </sheetData>
      <sheetData sheetId="17">
        <row r="2">
          <cell r="N2">
            <v>3997.5</v>
          </cell>
        </row>
        <row r="85">
          <cell r="Q85">
            <v>100207.67979987492</v>
          </cell>
        </row>
        <row r="89">
          <cell r="Q89">
            <v>65419.533958724212</v>
          </cell>
        </row>
      </sheetData>
      <sheetData sheetId="18">
        <row r="2">
          <cell r="N2">
            <v>8262</v>
          </cell>
        </row>
        <row r="85">
          <cell r="Q85">
            <v>97949.068022270643</v>
          </cell>
        </row>
        <row r="89">
          <cell r="Q89">
            <v>65796.147058823539</v>
          </cell>
        </row>
      </sheetData>
      <sheetData sheetId="19">
        <row r="2">
          <cell r="N2">
            <v>12617.5</v>
          </cell>
        </row>
        <row r="85">
          <cell r="Q85">
            <v>98424.65195165445</v>
          </cell>
        </row>
        <row r="89">
          <cell r="Q89">
            <v>68767.29510600357</v>
          </cell>
        </row>
      </sheetData>
      <sheetData sheetId="20">
        <row r="2">
          <cell r="N2">
            <v>7634.5</v>
          </cell>
        </row>
        <row r="85">
          <cell r="Q85">
            <v>118334.60685048136</v>
          </cell>
        </row>
        <row r="89">
          <cell r="Q89">
            <v>82785.857750998766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Q3">
            <v>30310.545999999998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Q5">
            <v>30310.545999999998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Q6">
            <v>26688507.144000001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Q7">
            <v>5067065.2760000005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Q8">
            <v>31755572.420000002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Q9">
            <v>26089130.177000001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Q10">
            <v>4969680.095999999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Q11">
            <v>31058810.273000002</v>
          </cell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Q12">
            <v>599376.96700000018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Q13">
            <v>97385.180000001565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Q14">
            <v>696762.14699999988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Q15">
            <v>266004.01999999996</v>
          </cell>
          <cell r="S15">
            <v>0</v>
          </cell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Q16">
            <v>59817.343000000001</v>
          </cell>
          <cell r="S16">
            <v>0</v>
          </cell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Q17">
            <v>29243.98</v>
          </cell>
          <cell r="S17">
            <v>0</v>
          </cell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Q18">
            <v>355065.34299999994</v>
          </cell>
          <cell r="S18">
            <v>0</v>
          </cell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Q19">
            <v>48754.641999999993</v>
          </cell>
          <cell r="S19">
            <v>0</v>
          </cell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Q20">
            <v>5285.7549999999992</v>
          </cell>
          <cell r="S20">
            <v>0</v>
          </cell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Q21">
            <v>16546.403999999999</v>
          </cell>
          <cell r="S21">
            <v>0</v>
          </cell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Q22">
            <v>1250</v>
          </cell>
          <cell r="S22">
            <v>0</v>
          </cell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Q23">
            <v>6476.0969999999998</v>
          </cell>
          <cell r="S23">
            <v>0</v>
          </cell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Q24">
            <v>1072.31</v>
          </cell>
          <cell r="S24">
            <v>0</v>
          </cell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Q25">
            <v>1035.5509999999999</v>
          </cell>
          <cell r="S25">
            <v>0</v>
          </cell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Q26">
            <v>12887.28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Q27">
            <v>0</v>
          </cell>
          <cell r="S27">
            <v>0</v>
          </cell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Q28">
            <v>33569</v>
          </cell>
          <cell r="S28">
            <v>0</v>
          </cell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Q29">
            <v>421.61900000000003</v>
          </cell>
          <cell r="S29">
            <v>0</v>
          </cell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Q30">
            <v>23789.042000000001</v>
          </cell>
          <cell r="S30">
            <v>0</v>
          </cell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Q31">
            <v>32661.84</v>
          </cell>
          <cell r="S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Q32">
            <v>0</v>
          </cell>
          <cell r="S32">
            <v>0</v>
          </cell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Q33">
            <v>-5978.2550000000001</v>
          </cell>
          <cell r="S33">
            <v>0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Q35">
            <v>0</v>
          </cell>
          <cell r="S35">
            <v>0</v>
          </cell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Q36">
            <v>177771.285</v>
          </cell>
          <cell r="S36">
            <v>0</v>
          </cell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Q37">
            <v>532836.62799999991</v>
          </cell>
          <cell r="S37">
            <v>0</v>
          </cell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Q38">
            <v>163925.51899999997</v>
          </cell>
          <cell r="S38">
            <v>0</v>
          </cell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Q39">
            <v>21340.951000000001</v>
          </cell>
          <cell r="S39">
            <v>0</v>
          </cell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Q40">
            <v>142584.56799999997</v>
          </cell>
          <cell r="S40">
            <v>0</v>
          </cell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Q41">
            <v>4.4900644873968219E-3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Q43">
            <v>880502.35531883861</v>
          </cell>
        </row>
        <row r="44">
          <cell r="E44">
            <v>2.6651369945751794E-2</v>
          </cell>
          <cell r="F44">
            <v>2.5582238806566245E-2</v>
          </cell>
          <cell r="G44">
            <v>1.8641220384622476E-2</v>
          </cell>
          <cell r="H44">
            <v>1.847120545626342E-2</v>
          </cell>
          <cell r="Q44">
            <v>2.1941413550497724E-2</v>
          </cell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</row>
        <row r="49">
          <cell r="E49">
            <v>122164.99599999998</v>
          </cell>
          <cell r="F49">
            <v>131235.99900000001</v>
          </cell>
          <cell r="G49">
            <v>131640.212</v>
          </cell>
          <cell r="H49">
            <v>169136.37199999997</v>
          </cell>
        </row>
        <row r="50">
          <cell r="E50">
            <v>152164.99599999998</v>
          </cell>
          <cell r="F50">
            <v>161235.99900000001</v>
          </cell>
          <cell r="G50">
            <v>161640.212</v>
          </cell>
          <cell r="H50">
            <v>199136.37199999997</v>
          </cell>
        </row>
        <row r="52">
          <cell r="E52">
            <v>0.79857121573986001</v>
          </cell>
          <cell r="F52">
            <v>0.87038038040934229</v>
          </cell>
          <cell r="G52">
            <v>0.86407219472961383</v>
          </cell>
          <cell r="H52">
            <v>0.82915389810182005</v>
          </cell>
        </row>
        <row r="53">
          <cell r="E53">
            <v>0.20142878426013996</v>
          </cell>
          <cell r="F53">
            <v>0.12961961959065768</v>
          </cell>
          <cell r="G53">
            <v>0.13592780527038614</v>
          </cell>
          <cell r="H53">
            <v>0.17084610189818</v>
          </cell>
        </row>
        <row r="55">
          <cell r="E55">
            <v>2.2005694548837273E-2</v>
          </cell>
          <cell r="F55">
            <v>1.5188168703492932E-2</v>
          </cell>
          <cell r="G55">
            <v>1.7650951996336706E-2</v>
          </cell>
          <cell r="H55">
            <v>2.0045029420160843E-2</v>
          </cell>
        </row>
        <row r="57">
          <cell r="E57">
            <v>2.2005694548837322E-2</v>
          </cell>
          <cell r="F57">
            <v>1.5188168703492945E-2</v>
          </cell>
          <cell r="G57">
            <v>1.7650951996336726E-2</v>
          </cell>
          <cell r="H57">
            <v>2.0045029420160815E-2</v>
          </cell>
        </row>
        <row r="58">
          <cell r="E58">
            <v>2.6651369945751794E-2</v>
          </cell>
          <cell r="F58">
            <v>2.5582238806566245E-2</v>
          </cell>
          <cell r="G58">
            <v>1.8641220384622476E-2</v>
          </cell>
          <cell r="H58">
            <v>1.847120545626342E-2</v>
          </cell>
        </row>
        <row r="59">
          <cell r="E59">
            <v>2.7823178707229314E-2</v>
          </cell>
          <cell r="F59">
            <v>2.7130154457106714E-2</v>
          </cell>
          <cell r="G59">
            <v>1.8797000201944851E-2</v>
          </cell>
          <cell r="H59">
            <v>1.8146921038230335E-2</v>
          </cell>
        </row>
      </sheetData>
      <sheetData sheetId="1">
        <row r="8">
          <cell r="F8">
            <v>6900</v>
          </cell>
        </row>
      </sheetData>
      <sheetData sheetId="2">
        <row r="8">
          <cell r="F8">
            <v>6400</v>
          </cell>
        </row>
      </sheetData>
      <sheetData sheetId="3">
        <row r="8">
          <cell r="F8">
            <v>7300</v>
          </cell>
        </row>
      </sheetData>
      <sheetData sheetId="4">
        <row r="8">
          <cell r="G8">
            <v>8574.9830000000002</v>
          </cell>
        </row>
        <row r="9">
          <cell r="G9">
            <v>7314828.4340000004</v>
          </cell>
          <cell r="J9">
            <v>1507211.0580000002</v>
          </cell>
        </row>
        <row r="10">
          <cell r="F10">
            <v>978767.12328767125</v>
          </cell>
          <cell r="G10">
            <v>853042.90795678552</v>
          </cell>
        </row>
        <row r="11">
          <cell r="G11">
            <v>7182086.8200000003</v>
          </cell>
          <cell r="J11">
            <v>1476998.9679999985</v>
          </cell>
        </row>
        <row r="15">
          <cell r="F15">
            <v>2.3347095871238628E-2</v>
          </cell>
          <cell r="G15">
            <v>1.8146921038230335E-2</v>
          </cell>
        </row>
        <row r="19">
          <cell r="M19">
            <v>90280.524999999994</v>
          </cell>
        </row>
        <row r="37">
          <cell r="M37">
            <v>73305.471999999994</v>
          </cell>
        </row>
        <row r="40">
          <cell r="M40">
            <v>5550.375</v>
          </cell>
        </row>
        <row r="41">
          <cell r="M41">
            <v>-6182.6679999982007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</sheetData>
      <sheetData sheetId="2">
        <row r="8">
          <cell r="G8">
            <v>8382.34</v>
          </cell>
        </row>
      </sheetData>
      <sheetData sheetId="3">
        <row r="8">
          <cell r="G8">
            <v>9838.5779999999995</v>
          </cell>
        </row>
      </sheetData>
      <sheetData sheetId="4">
        <row r="8">
          <cell r="G8">
            <v>9357.5969999999998</v>
          </cell>
        </row>
        <row r="10">
          <cell r="G10">
            <v>1048311.1321207784</v>
          </cell>
        </row>
        <row r="15">
          <cell r="G15">
            <v>2.1217440660067709E-2</v>
          </cell>
        </row>
      </sheetData>
      <sheetData sheetId="5">
        <row r="8">
          <cell r="G8">
            <v>7344.996000000001</v>
          </cell>
        </row>
      </sheetData>
      <sheetData sheetId="6">
        <row r="8">
          <cell r="G8">
            <v>7070.5</v>
          </cell>
        </row>
      </sheetData>
      <sheetData sheetId="7">
        <row r="8">
          <cell r="G8">
            <v>6748.1729999999998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6500</v>
          </cell>
          <cell r="R47">
            <v>10063</v>
          </cell>
        </row>
        <row r="48">
          <cell r="Q48">
            <v>10696.307872616711</v>
          </cell>
          <cell r="R48">
            <v>10516</v>
          </cell>
        </row>
        <row r="53">
          <cell r="R53">
            <v>323506.00000000006</v>
          </cell>
        </row>
        <row r="54">
          <cell r="R54">
            <v>330200.408</v>
          </cell>
        </row>
        <row r="64">
          <cell r="R64">
            <v>4900</v>
          </cell>
        </row>
        <row r="65">
          <cell r="R65">
            <v>1120</v>
          </cell>
        </row>
        <row r="66">
          <cell r="R66">
            <v>2368</v>
          </cell>
        </row>
        <row r="76">
          <cell r="R76">
            <v>163552.20000000001</v>
          </cell>
        </row>
        <row r="77">
          <cell r="R77">
            <v>31360</v>
          </cell>
        </row>
        <row r="78">
          <cell r="R78">
            <v>70007.551999999996</v>
          </cell>
        </row>
        <row r="79">
          <cell r="R79">
            <v>65280.656000000003</v>
          </cell>
        </row>
        <row r="80">
          <cell r="R80">
            <v>0</v>
          </cell>
        </row>
        <row r="81">
          <cell r="I81">
            <v>40624.191761937487</v>
          </cell>
        </row>
        <row r="82">
          <cell r="R82">
            <v>25390.114000000001</v>
          </cell>
        </row>
      </sheetData>
      <sheetData sheetId="1">
        <row r="59">
          <cell r="F59">
            <v>8208</v>
          </cell>
          <cell r="I59">
            <v>2048</v>
          </cell>
          <cell r="N59">
            <v>0</v>
          </cell>
          <cell r="O59">
            <v>10256</v>
          </cell>
        </row>
        <row r="60">
          <cell r="F60">
            <v>1024</v>
          </cell>
          <cell r="I60">
            <v>0</v>
          </cell>
        </row>
        <row r="61">
          <cell r="F61">
            <v>13720</v>
          </cell>
          <cell r="I61">
            <v>0</v>
          </cell>
        </row>
        <row r="62">
          <cell r="F62">
            <v>992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144</v>
          </cell>
        </row>
        <row r="65">
          <cell r="F65">
            <v>1104</v>
          </cell>
          <cell r="I65">
            <v>0</v>
          </cell>
        </row>
        <row r="66">
          <cell r="F66">
            <v>16840</v>
          </cell>
          <cell r="I66">
            <v>144</v>
          </cell>
          <cell r="N66">
            <v>0</v>
          </cell>
          <cell r="O66">
            <v>16984</v>
          </cell>
        </row>
        <row r="71">
          <cell r="F71">
            <v>94392</v>
          </cell>
          <cell r="I71">
            <v>16416</v>
          </cell>
        </row>
        <row r="72">
          <cell r="F72">
            <v>270144</v>
          </cell>
          <cell r="I72">
            <v>1296</v>
          </cell>
        </row>
        <row r="86">
          <cell r="F86">
            <v>-6502.6372581305541</v>
          </cell>
          <cell r="I86">
            <v>6185.5564304413092</v>
          </cell>
        </row>
        <row r="87">
          <cell r="F87">
            <v>60851.970906242845</v>
          </cell>
          <cell r="I87">
            <v>572.42598461609248</v>
          </cell>
        </row>
      </sheetData>
      <sheetData sheetId="2">
        <row r="8">
          <cell r="F8">
            <v>16624</v>
          </cell>
        </row>
        <row r="59">
          <cell r="F59">
            <v>6448</v>
          </cell>
          <cell r="I59">
            <v>7760</v>
          </cell>
          <cell r="N59">
            <v>21000</v>
          </cell>
          <cell r="O59">
            <v>14208</v>
          </cell>
        </row>
        <row r="60">
          <cell r="F60">
            <v>11476</v>
          </cell>
          <cell r="I60">
            <v>8600</v>
          </cell>
        </row>
        <row r="61">
          <cell r="F61">
            <v>0</v>
          </cell>
          <cell r="I61">
            <v>3616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624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11476</v>
          </cell>
          <cell r="I66">
            <v>12840</v>
          </cell>
          <cell r="N66">
            <v>20833.975250037798</v>
          </cell>
          <cell r="O66">
            <v>24316</v>
          </cell>
        </row>
        <row r="71">
          <cell r="F71">
            <v>83824</v>
          </cell>
          <cell r="I71">
            <v>139936</v>
          </cell>
        </row>
        <row r="72">
          <cell r="F72">
            <v>200830</v>
          </cell>
          <cell r="I72">
            <v>286276</v>
          </cell>
        </row>
        <row r="86">
          <cell r="F86">
            <v>-25513.158402770077</v>
          </cell>
          <cell r="I86">
            <v>7274.4486712417602</v>
          </cell>
        </row>
        <row r="87">
          <cell r="F87">
            <v>4962.983348834071</v>
          </cell>
          <cell r="I87">
            <v>65421.664062694268</v>
          </cell>
        </row>
      </sheetData>
      <sheetData sheetId="3" refreshError="1"/>
      <sheetData sheetId="4" refreshError="1"/>
      <sheetData sheetId="5">
        <row r="8">
          <cell r="F8">
            <v>63570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47">
          <cell r="R47">
            <v>9339</v>
          </cell>
        </row>
        <row r="48">
          <cell r="R48">
            <v>13088</v>
          </cell>
        </row>
      </sheetData>
      <sheetData sheetId="1"/>
      <sheetData sheetId="2">
        <row r="59">
          <cell r="O59">
            <v>16560</v>
          </cell>
        </row>
        <row r="66">
          <cell r="O66">
            <v>19252</v>
          </cell>
        </row>
      </sheetData>
      <sheetData sheetId="3"/>
      <sheetData sheetId="4">
        <row r="59">
          <cell r="O59">
            <v>0</v>
          </cell>
        </row>
        <row r="66">
          <cell r="O66">
            <v>0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101136.92063926214</v>
          </cell>
          <cell r="R85">
            <v>101545.60808514841</v>
          </cell>
        </row>
        <row r="89">
          <cell r="Q89">
            <v>76984.821195339173</v>
          </cell>
          <cell r="R89">
            <v>79626.842087759753</v>
          </cell>
        </row>
      </sheetData>
      <sheetData sheetId="1">
        <row r="85">
          <cell r="Q85">
            <v>98418.043964444732</v>
          </cell>
          <cell r="R85">
            <v>99728.341364175052</v>
          </cell>
        </row>
        <row r="89">
          <cell r="Q89">
            <v>78694.513559176965</v>
          </cell>
          <cell r="R89">
            <v>81473.809571555641</v>
          </cell>
        </row>
      </sheetData>
      <sheetData sheetId="2">
        <row r="85">
          <cell r="Q85">
            <v>101816.68442620321</v>
          </cell>
          <cell r="R85">
            <v>101754.44168144187</v>
          </cell>
        </row>
        <row r="89">
          <cell r="Q89">
            <v>75704.058791161544</v>
          </cell>
          <cell r="R89">
            <v>79144.888056084397</v>
          </cell>
        </row>
      </sheetData>
      <sheetData sheetId="3">
        <row r="85">
          <cell r="Q85">
            <v>105590.46047252748</v>
          </cell>
          <cell r="R85">
            <v>105015.16653650969</v>
          </cell>
        </row>
        <row r="89">
          <cell r="Q89">
            <v>76376.21731050605</v>
          </cell>
          <cell r="R89">
            <v>76837.745219524717</v>
          </cell>
        </row>
      </sheetData>
      <sheetData sheetId="4">
        <row r="85">
          <cell r="Q85">
            <v>98929.910126582283</v>
          </cell>
          <cell r="R85">
            <v>98646.302102992719</v>
          </cell>
        </row>
        <row r="89">
          <cell r="Q89">
            <v>79553.04622036923</v>
          </cell>
          <cell r="R89">
            <v>81001.250943484687</v>
          </cell>
        </row>
      </sheetData>
      <sheetData sheetId="5">
        <row r="85">
          <cell r="Q85">
            <v>100378.54730434781</v>
          </cell>
          <cell r="R85">
            <v>101254.59197721339</v>
          </cell>
        </row>
        <row r="89">
          <cell r="Q89">
            <v>81749.011984123528</v>
          </cell>
          <cell r="R89">
            <v>82842.101792039073</v>
          </cell>
        </row>
      </sheetData>
      <sheetData sheetId="6">
        <row r="85">
          <cell r="Q85">
            <v>97341.942160469102</v>
          </cell>
          <cell r="R85">
            <v>100686.07387406503</v>
          </cell>
        </row>
        <row r="89">
          <cell r="Q89">
            <v>77060.251398562541</v>
          </cell>
          <cell r="R89">
            <v>83027.044904367402</v>
          </cell>
        </row>
      </sheetData>
      <sheetData sheetId="7">
        <row r="85">
          <cell r="Q85">
            <v>94075.425531914894</v>
          </cell>
          <cell r="R85">
            <v>97802.263135516012</v>
          </cell>
        </row>
        <row r="89">
          <cell r="Q89">
            <v>71637.905600052225</v>
          </cell>
          <cell r="R89">
            <v>76096.809323216978</v>
          </cell>
        </row>
      </sheetData>
      <sheetData sheetId="8">
        <row r="85">
          <cell r="Q85">
            <v>107600.05185273974</v>
          </cell>
          <cell r="R85">
            <v>106825.09893315454</v>
          </cell>
        </row>
        <row r="89">
          <cell r="Q89">
            <v>78762.845439832818</v>
          </cell>
          <cell r="R89">
            <v>83745.240196307015</v>
          </cell>
        </row>
      </sheetData>
      <sheetData sheetId="9">
        <row r="85">
          <cell r="Q85">
            <v>103602.22244444443</v>
          </cell>
          <cell r="R85">
            <v>101006.23006462491</v>
          </cell>
        </row>
        <row r="89">
          <cell r="Q89">
            <v>77879.123336122386</v>
          </cell>
          <cell r="R89">
            <v>79548.426930813221</v>
          </cell>
        </row>
      </sheetData>
      <sheetData sheetId="10">
        <row r="85">
          <cell r="Q85">
            <v>100999.92</v>
          </cell>
          <cell r="R85">
            <v>99460.374442104439</v>
          </cell>
        </row>
        <row r="89">
          <cell r="Q89">
            <v>76484.581225029033</v>
          </cell>
          <cell r="R89">
            <v>80371.435419363566</v>
          </cell>
        </row>
      </sheetData>
      <sheetData sheetId="11">
        <row r="85">
          <cell r="Q85">
            <v>104000</v>
          </cell>
          <cell r="R85">
            <v>102797.59129065773</v>
          </cell>
        </row>
        <row r="89">
          <cell r="Q89">
            <v>78466.999971275247</v>
          </cell>
          <cell r="R89">
            <v>82725.870521291974</v>
          </cell>
        </row>
      </sheetData>
      <sheetData sheetId="12">
        <row r="85">
          <cell r="Q85">
            <v>96462.509619047618</v>
          </cell>
          <cell r="R85">
            <v>93870.604374597562</v>
          </cell>
        </row>
        <row r="89">
          <cell r="Q89">
            <v>71276.293272572366</v>
          </cell>
          <cell r="R89">
            <v>72551.281189632966</v>
          </cell>
        </row>
      </sheetData>
      <sheetData sheetId="13">
        <row r="85">
          <cell r="Q85">
            <v>99607.09375</v>
          </cell>
          <cell r="R85">
            <v>102995.93994546935</v>
          </cell>
        </row>
        <row r="89">
          <cell r="Q89">
            <v>72117.822890821612</v>
          </cell>
          <cell r="R89">
            <v>75262.614669999355</v>
          </cell>
        </row>
      </sheetData>
      <sheetData sheetId="14">
        <row r="85">
          <cell r="Q85">
            <v>97800</v>
          </cell>
          <cell r="R85">
            <v>100733.3947807849</v>
          </cell>
        </row>
        <row r="89">
          <cell r="Q89">
            <v>70574.642446539263</v>
          </cell>
          <cell r="R89">
            <v>75016.613500891282</v>
          </cell>
        </row>
      </sheetData>
      <sheetData sheetId="15">
        <row r="85">
          <cell r="Q85">
            <v>97913.348333333328</v>
          </cell>
          <cell r="R85">
            <v>103153.16945669167</v>
          </cell>
        </row>
        <row r="89">
          <cell r="Q89">
            <v>78750.262765163701</v>
          </cell>
          <cell r="R89">
            <v>82047.019108280263</v>
          </cell>
        </row>
      </sheetData>
      <sheetData sheetId="16">
        <row r="85">
          <cell r="Q85">
            <v>100999.84936708859</v>
          </cell>
          <cell r="R85">
            <v>101478.36042159382</v>
          </cell>
        </row>
        <row r="89">
          <cell r="Q89">
            <v>76761.710990235239</v>
          </cell>
          <cell r="R89">
            <v>79552.634299050042</v>
          </cell>
        </row>
      </sheetData>
      <sheetData sheetId="17">
        <row r="85">
          <cell r="Q85">
            <v>107900</v>
          </cell>
          <cell r="R85">
            <v>111334.87911978245</v>
          </cell>
        </row>
        <row r="89">
          <cell r="Q89">
            <v>74364.634144940239</v>
          </cell>
          <cell r="R89">
            <v>73474.145854644361</v>
          </cell>
        </row>
      </sheetData>
      <sheetData sheetId="18">
        <row r="85">
          <cell r="Q85">
            <v>109160.85517391305</v>
          </cell>
          <cell r="R85">
            <v>109033.50568233752</v>
          </cell>
        </row>
        <row r="89">
          <cell r="Q89">
            <v>69854.825546141132</v>
          </cell>
          <cell r="R89">
            <v>69903.816915998905</v>
          </cell>
        </row>
      </sheetData>
      <sheetData sheetId="19">
        <row r="85">
          <cell r="Q85">
            <v>102385.81902272729</v>
          </cell>
          <cell r="R85">
            <v>96272.833495466737</v>
          </cell>
        </row>
        <row r="89">
          <cell r="Q89">
            <v>74422.801934641189</v>
          </cell>
          <cell r="R89">
            <v>71946.768216300319</v>
          </cell>
        </row>
      </sheetData>
      <sheetData sheetId="20">
        <row r="85">
          <cell r="Q85">
            <v>126700</v>
          </cell>
          <cell r="R85">
            <v>128751.19703000612</v>
          </cell>
        </row>
        <row r="89">
          <cell r="Q89">
            <v>89803.816388285166</v>
          </cell>
          <cell r="R89">
            <v>88808.506152082555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93821.017684784441</v>
          </cell>
        </row>
        <row r="89">
          <cell r="Q89">
            <v>71048.908565194011</v>
          </cell>
        </row>
      </sheetData>
      <sheetData sheetId="1">
        <row r="85">
          <cell r="Q85">
            <v>89881.445001703119</v>
          </cell>
        </row>
        <row r="89">
          <cell r="Q89">
            <v>72777.544780572571</v>
          </cell>
        </row>
      </sheetData>
      <sheetData sheetId="2">
        <row r="85">
          <cell r="Q85">
            <v>95748.532493587976</v>
          </cell>
        </row>
        <row r="89">
          <cell r="Q89">
            <v>70502.848550149705</v>
          </cell>
        </row>
      </sheetData>
      <sheetData sheetId="3">
        <row r="85">
          <cell r="Q85">
            <v>97213.616662934961</v>
          </cell>
        </row>
        <row r="89">
          <cell r="Q89">
            <v>68741.375366714041</v>
          </cell>
        </row>
      </sheetData>
      <sheetData sheetId="4">
        <row r="85">
          <cell r="Q85">
            <v>90307.722744782383</v>
          </cell>
        </row>
        <row r="89">
          <cell r="Q89">
            <v>73141.488986075274</v>
          </cell>
        </row>
      </sheetData>
      <sheetData sheetId="5">
        <row r="85">
          <cell r="Q85">
            <v>91315.262873699467</v>
          </cell>
        </row>
        <row r="89">
          <cell r="Q89">
            <v>74788.436146398599</v>
          </cell>
        </row>
      </sheetData>
      <sheetData sheetId="6">
        <row r="85">
          <cell r="Q85">
            <v>89012.348563730193</v>
          </cell>
        </row>
        <row r="89">
          <cell r="Q89">
            <v>73196.559854814404</v>
          </cell>
        </row>
      </sheetData>
      <sheetData sheetId="7">
        <row r="85">
          <cell r="Q85">
            <v>86602.406725405948</v>
          </cell>
        </row>
        <row r="89">
          <cell r="Q89">
            <v>66532.40654934819</v>
          </cell>
        </row>
      </sheetData>
      <sheetData sheetId="8">
        <row r="85">
          <cell r="Q85">
            <v>101348.64238262962</v>
          </cell>
        </row>
        <row r="89">
          <cell r="Q89">
            <v>73072.448372291401</v>
          </cell>
        </row>
      </sheetData>
      <sheetData sheetId="9">
        <row r="85">
          <cell r="Q85">
            <v>96940.521417787706</v>
          </cell>
        </row>
        <row r="89">
          <cell r="Q89">
            <v>71519.543381773125</v>
          </cell>
        </row>
      </sheetData>
      <sheetData sheetId="10">
        <row r="85">
          <cell r="Q85">
            <v>94787.613928053281</v>
          </cell>
        </row>
        <row r="89">
          <cell r="Q89">
            <v>72767.008816636298</v>
          </cell>
        </row>
      </sheetData>
      <sheetData sheetId="11">
        <row r="85">
          <cell r="Q85">
            <v>98802.197437942377</v>
          </cell>
        </row>
        <row r="89">
          <cell r="Q89">
            <v>73693.858532514612</v>
          </cell>
        </row>
      </sheetData>
      <sheetData sheetId="12">
        <row r="85">
          <cell r="Q85">
            <v>93116.009463667506</v>
          </cell>
        </row>
        <row r="89">
          <cell r="Q89">
            <v>67511.843534220359</v>
          </cell>
        </row>
      </sheetData>
      <sheetData sheetId="13">
        <row r="85">
          <cell r="Q85">
            <v>92582.66548513576</v>
          </cell>
        </row>
        <row r="89">
          <cell r="Q89">
            <v>66679.183796841418</v>
          </cell>
        </row>
      </sheetData>
      <sheetData sheetId="14">
        <row r="85">
          <cell r="Q85">
            <v>91044.048809761967</v>
          </cell>
        </row>
        <row r="89">
          <cell r="Q89">
            <v>66287.423817576782</v>
          </cell>
        </row>
      </sheetData>
      <sheetData sheetId="15">
        <row r="85">
          <cell r="Q85">
            <v>94041.117607973414</v>
          </cell>
        </row>
        <row r="89">
          <cell r="Q89">
            <v>73189.617151486251</v>
          </cell>
        </row>
      </sheetData>
      <sheetData sheetId="16">
        <row r="85">
          <cell r="Q85">
            <v>93577.279875220789</v>
          </cell>
        </row>
        <row r="89">
          <cell r="Q89">
            <v>67826.191413995373</v>
          </cell>
        </row>
      </sheetData>
      <sheetData sheetId="17">
        <row r="85">
          <cell r="Q85">
            <v>99558.93819720477</v>
          </cell>
        </row>
        <row r="89">
          <cell r="Q89">
            <v>65416.659510381949</v>
          </cell>
        </row>
      </sheetData>
      <sheetData sheetId="18">
        <row r="85">
          <cell r="Q85">
            <v>94455.398992152011</v>
          </cell>
        </row>
        <row r="89">
          <cell r="Q89">
            <v>64091.522040000658</v>
          </cell>
        </row>
      </sheetData>
      <sheetData sheetId="19">
        <row r="85">
          <cell r="Q85">
            <v>91771.984311967724</v>
          </cell>
        </row>
        <row r="89">
          <cell r="Q89">
            <v>67170.301334727817</v>
          </cell>
        </row>
      </sheetData>
      <sheetData sheetId="20">
        <row r="85">
          <cell r="Q85">
            <v>118274.08155399414</v>
          </cell>
        </row>
        <row r="89">
          <cell r="Q89">
            <v>80486.298090040917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97182.426162880511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991512.8326094409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475816.24022164498</v>
          </cell>
          <cell r="Z24">
            <v>566519.78666097834</v>
          </cell>
          <cell r="AA24">
            <v>643852.55895950552</v>
          </cell>
          <cell r="AB24">
            <v>716789.07879687438</v>
          </cell>
          <cell r="AC24">
            <v>796645.29061176302</v>
          </cell>
          <cell r="AD24">
            <v>868067.08292935207</v>
          </cell>
          <cell r="AE24">
            <v>942520.02999852097</v>
          </cell>
          <cell r="AF24">
            <v>991512.8326094409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175074.72192533195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2069850.8146454392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802134.92673576484</v>
          </cell>
          <cell r="Z25">
            <v>962991.0011194651</v>
          </cell>
          <cell r="AA25">
            <v>1148661.7236515756</v>
          </cell>
          <cell r="AB25">
            <v>1322036.2272438442</v>
          </cell>
          <cell r="AC25">
            <v>1502847.6817637158</v>
          </cell>
          <cell r="AD25">
            <v>1689624.856974009</v>
          </cell>
          <cell r="AE25">
            <v>1882598.3445120107</v>
          </cell>
          <cell r="AF25">
            <v>2069850.8146454392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272257.14808821247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3061363.6472548796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1277951.1669574098</v>
          </cell>
          <cell r="Z26">
            <v>1529510.7877804434</v>
          </cell>
          <cell r="AA26">
            <v>1792514.2826110811</v>
          </cell>
          <cell r="AB26">
            <v>2038825.3060407187</v>
          </cell>
          <cell r="AC26">
            <v>2299492.9723754786</v>
          </cell>
          <cell r="AD26">
            <v>2557691.9399033608</v>
          </cell>
          <cell r="AE26">
            <v>2825118.3745105318</v>
          </cell>
          <cell r="AF26">
            <v>3061363.6472548801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242956.0654072013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2731765.4564832309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1204801.1146052061</v>
          </cell>
          <cell r="Z27">
            <v>1431559.9807035397</v>
          </cell>
          <cell r="AA27">
            <v>1663558.2975991212</v>
          </cell>
          <cell r="AB27">
            <v>1882367.8571112277</v>
          </cell>
          <cell r="AC27">
            <v>2121936.4925558935</v>
          </cell>
          <cell r="AD27">
            <v>2321917.511045143</v>
          </cell>
          <cell r="AE27">
            <v>2530385.7628388158</v>
          </cell>
          <cell r="AF27">
            <v>2731765.4564832309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161987.80610875387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1863212.3558953458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729302.92310054856</v>
          </cell>
          <cell r="Z28">
            <v>880544.83499077416</v>
          </cell>
          <cell r="AA28">
            <v>1047503.9713929611</v>
          </cell>
          <cell r="AB28">
            <v>1205389.121485719</v>
          </cell>
          <cell r="AC28">
            <v>1361831.3680822954</v>
          </cell>
          <cell r="AD28">
            <v>1525959.8585685983</v>
          </cell>
          <cell r="AE28">
            <v>1697661.8998689989</v>
          </cell>
          <cell r="AF28">
            <v>1863212.3558953458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404943.87151595519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4594977.812378576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1934104.0377057546</v>
          </cell>
          <cell r="Z29">
            <v>2312104.815694314</v>
          </cell>
          <cell r="AA29">
            <v>2711062.2689920822</v>
          </cell>
          <cell r="AB29">
            <v>3087756.9785969467</v>
          </cell>
          <cell r="AC29">
            <v>3483767.8606381891</v>
          </cell>
          <cell r="AD29">
            <v>3847877.3696137415</v>
          </cell>
          <cell r="AE29">
            <v>4228047.6627078149</v>
          </cell>
          <cell r="AF29">
            <v>4594977.812378577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340138.49157008179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3723278.2890926721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1680617.354826851</v>
          </cell>
          <cell r="Z30">
            <v>1998079.767364518</v>
          </cell>
          <cell r="AA30">
            <v>2307410.8565586265</v>
          </cell>
          <cell r="AB30">
            <v>2599156.935908102</v>
          </cell>
          <cell r="AC30">
            <v>2918581.7831676565</v>
          </cell>
          <cell r="AD30">
            <v>3189984.5939744953</v>
          </cell>
          <cell r="AE30">
            <v>3472905.7928373367</v>
          </cell>
          <cell r="AF30">
            <v>3723278.2890926721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337062.52803408582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3933063.170540785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1531437.8498363134</v>
          </cell>
          <cell r="Z31">
            <v>1843535.8361102394</v>
          </cell>
          <cell r="AA31">
            <v>2196165.6950445366</v>
          </cell>
          <cell r="AB31">
            <v>2527425.3487295629</v>
          </cell>
          <cell r="AC31">
            <v>2864679.0498460112</v>
          </cell>
          <cell r="AD31">
            <v>3215584.715542607</v>
          </cell>
          <cell r="AE31">
            <v>3580260.2443810096</v>
          </cell>
          <cell r="AF31">
            <v>3933063.170540785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677201.01960416767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7656341.4596334565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3212055.2046631644</v>
          </cell>
          <cell r="Z32">
            <v>3841615.6034747576</v>
          </cell>
          <cell r="AA32">
            <v>4503576.5516031627</v>
          </cell>
          <cell r="AB32">
            <v>5126582.2846376654</v>
          </cell>
          <cell r="AC32">
            <v>5783260.8330136677</v>
          </cell>
          <cell r="AD32">
            <v>6405569.3095171023</v>
          </cell>
          <cell r="AE32">
            <v>7053166.0372183463</v>
          </cell>
          <cell r="AF32">
            <v>7656341.4596334565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-25182.426162880511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-218640.83260944081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-115816.24022164498</v>
          </cell>
          <cell r="Z33">
            <v>-134519.78666097834</v>
          </cell>
          <cell r="AA33">
            <v>-151852.55895950552</v>
          </cell>
          <cell r="AB33">
            <v>-164789.07879687438</v>
          </cell>
          <cell r="AC33">
            <v>-184645.29061176302</v>
          </cell>
          <cell r="AD33">
            <v>-196067.08292935207</v>
          </cell>
          <cell r="AE33">
            <v>-210520.02999852097</v>
          </cell>
          <cell r="AF33">
            <v>-218640.8326094409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-2130.1478038486384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99188.646693679475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8432.1748112025671</v>
          </cell>
          <cell r="Z34">
            <v>17825.045998375281</v>
          </cell>
          <cell r="AA34">
            <v>24228.8781612569</v>
          </cell>
          <cell r="AB34">
            <v>41019.196229086956</v>
          </cell>
          <cell r="AC34">
            <v>41344.763273928082</v>
          </cell>
          <cell r="AD34">
            <v>63777.879936184734</v>
          </cell>
          <cell r="AE34">
            <v>78155.204028217122</v>
          </cell>
          <cell r="AF34">
            <v>99188.646693679271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-27312.573966729149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-119452.18591576137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-107384.06541044242</v>
          </cell>
          <cell r="Z35">
            <v>-116694.74066260306</v>
          </cell>
          <cell r="AA35">
            <v>-127623.68079824862</v>
          </cell>
          <cell r="AB35">
            <v>-123769.88256778743</v>
          </cell>
          <cell r="AC35">
            <v>-143300.52733783494</v>
          </cell>
          <cell r="AD35">
            <v>-132289.20299316733</v>
          </cell>
          <cell r="AE35">
            <v>-132364.82597030385</v>
          </cell>
          <cell r="AF35">
            <v>-119452.18591576163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42043.934592798701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650234.54351676884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239198.88539479394</v>
          </cell>
          <cell r="Z36">
            <v>297440.01929646032</v>
          </cell>
          <cell r="AA36">
            <v>350441.70240087877</v>
          </cell>
          <cell r="AB36">
            <v>416632.1428887723</v>
          </cell>
          <cell r="AC36">
            <v>462063.50744410651</v>
          </cell>
          <cell r="AD36">
            <v>528082.48895485699</v>
          </cell>
          <cell r="AE36">
            <v>585614.2371611842</v>
          </cell>
          <cell r="AF36">
            <v>650234.54351676907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58545.631438487442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836658.84957554482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287584.67738806421</v>
          </cell>
          <cell r="Z37">
            <v>357235.35053770721</v>
          </cell>
          <cell r="AA37">
            <v>428958.23012807511</v>
          </cell>
          <cell r="AB37">
            <v>510411.18905376294</v>
          </cell>
          <cell r="AC37">
            <v>572271.03087998554</v>
          </cell>
          <cell r="AD37">
            <v>662947.80761006591</v>
          </cell>
          <cell r="AE37">
            <v>746990.00459603989</v>
          </cell>
          <cell r="AF37">
            <v>836658.84957554494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100589.56603128614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1486893.393092314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526783.56278285815</v>
          </cell>
          <cell r="Z38">
            <v>654675.36983416753</v>
          </cell>
          <cell r="AA38">
            <v>779399.93252895388</v>
          </cell>
          <cell r="AB38">
            <v>927043.33194253524</v>
          </cell>
          <cell r="AC38">
            <v>1034334.538324092</v>
          </cell>
          <cell r="AD38">
            <v>1191030.2965649229</v>
          </cell>
          <cell r="AE38">
            <v>1332604.2417572241</v>
          </cell>
          <cell r="AF38">
            <v>1486893.393092314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16861.508429918191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431593.71090732812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123382.64517314895</v>
          </cell>
          <cell r="Z39">
            <v>162920.23263548198</v>
          </cell>
          <cell r="AA39">
            <v>198589.14344137325</v>
          </cell>
          <cell r="AB39">
            <v>251843.06409189792</v>
          </cell>
          <cell r="AC39">
            <v>277418.21683234349</v>
          </cell>
          <cell r="AD39">
            <v>332015.40602550493</v>
          </cell>
          <cell r="AE39">
            <v>375094.20716266322</v>
          </cell>
          <cell r="AF39">
            <v>431593.71090732818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56415.483634638804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935847.49626922421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296016.85219926678</v>
          </cell>
          <cell r="Z40">
            <v>375060.3965360825</v>
          </cell>
          <cell r="AA40">
            <v>453187.10828933201</v>
          </cell>
          <cell r="AB40">
            <v>551430.38528284989</v>
          </cell>
          <cell r="AC40">
            <v>613615.79415391362</v>
          </cell>
          <cell r="AD40">
            <v>726725.68754625064</v>
          </cell>
          <cell r="AE40">
            <v>825145.20862425701</v>
          </cell>
          <cell r="AF40">
            <v>935847.49626922421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73276.992064556995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1367441.2071765524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419399.49737241573</v>
          </cell>
          <cell r="Z41">
            <v>537980.62917156448</v>
          </cell>
          <cell r="AA41">
            <v>651776.25173070526</v>
          </cell>
          <cell r="AB41">
            <v>803273.44937474781</v>
          </cell>
          <cell r="AC41">
            <v>891034.01098625711</v>
          </cell>
          <cell r="AD41">
            <v>1058741.0935717556</v>
          </cell>
          <cell r="AE41">
            <v>1200239.4157869201</v>
          </cell>
          <cell r="AF41">
            <v>1367441.2071765524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-34510.03139783418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-322149.91171273525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-157903.31823684872</v>
          </cell>
          <cell r="Z60">
            <v>-184798.45468120114</v>
          </cell>
          <cell r="AA60">
            <v>-208773.43620383544</v>
          </cell>
          <cell r="AB60">
            <v>-228366.27823179757</v>
          </cell>
          <cell r="AC60">
            <v>-255136.61487786408</v>
          </cell>
          <cell r="AD60">
            <v>-273083.79563528439</v>
          </cell>
          <cell r="AE60">
            <v>-294073.44323368289</v>
          </cell>
          <cell r="AF60">
            <v>-306812.41661325225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-19635.470134066774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-126644.27835685498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-62417.779202746184</v>
          </cell>
          <cell r="Z61">
            <v>-67552.090941650575</v>
          </cell>
          <cell r="AA61">
            <v>-77095.751015160742</v>
          </cell>
          <cell r="AB61">
            <v>-76127.911975909694</v>
          </cell>
          <cell r="AC61">
            <v>-91457.394664145861</v>
          </cell>
          <cell r="AD61">
            <v>-86089.008252874948</v>
          </cell>
          <cell r="AE61">
            <v>-88654.06116232046</v>
          </cell>
          <cell r="AF61">
            <v>-85271.45367759277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-54145.501531900954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-448794.19006959029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-220321.09743959492</v>
          </cell>
          <cell r="Z62">
            <v>-252350.5456228517</v>
          </cell>
          <cell r="AA62">
            <v>-285869.18721899617</v>
          </cell>
          <cell r="AB62">
            <v>-304494.19020770723</v>
          </cell>
          <cell r="AC62">
            <v>-346594.00954200991</v>
          </cell>
          <cell r="AD62">
            <v>-359172.80388815934</v>
          </cell>
          <cell r="AE62">
            <v>-382727.50439600332</v>
          </cell>
          <cell r="AF62">
            <v>-392083.87029084505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17021.103953697264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340769.93226385157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132620.01694461447</v>
          </cell>
          <cell r="Z63">
            <v>170382.17583373311</v>
          </cell>
          <cell r="AA63">
            <v>203457.23126583025</v>
          </cell>
          <cell r="AB63">
            <v>249678.70518194407</v>
          </cell>
          <cell r="AC63">
            <v>274367.69524374465</v>
          </cell>
          <cell r="AD63">
            <v>322115.58912296756</v>
          </cell>
          <cell r="AE63">
            <v>361344.57584745192</v>
          </cell>
          <cell r="AF63">
            <v>406982.38344757806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41366.847990769762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619085.48315890785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223164.50175628503</v>
          </cell>
          <cell r="Z64">
            <v>279156.26318290527</v>
          </cell>
          <cell r="AA64">
            <v>336538.81223942677</v>
          </cell>
          <cell r="AB64">
            <v>403582.87928939983</v>
          </cell>
          <cell r="AC64">
            <v>451897.61050674465</v>
          </cell>
          <cell r="AD64">
            <v>527578.9338925028</v>
          </cell>
          <cell r="AE64">
            <v>596546.31022436055</v>
          </cell>
          <cell r="AF64">
            <v>670610.00024204154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58387.95194446703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959855.41542275948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355784.5187008995</v>
          </cell>
          <cell r="Z65">
            <v>449538.43901663838</v>
          </cell>
          <cell r="AA65">
            <v>539996.043505257</v>
          </cell>
          <cell r="AB65">
            <v>653261.5844713439</v>
          </cell>
          <cell r="AC65">
            <v>726265.30575048923</v>
          </cell>
          <cell r="AD65">
            <v>849694.52301547036</v>
          </cell>
          <cell r="AE65">
            <v>957890.88607181248</v>
          </cell>
          <cell r="AF65">
            <v>1077592.3836896196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-17488.927444136916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18620.020551116271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-25283.301292234246</v>
          </cell>
          <cell r="Z66">
            <v>-14416.278847468027</v>
          </cell>
          <cell r="AA66">
            <v>-5316.2049380051903</v>
          </cell>
          <cell r="AB66">
            <v>21312.426950146502</v>
          </cell>
          <cell r="AC66">
            <v>19231.080365880567</v>
          </cell>
          <cell r="AD66">
            <v>49031.793487683171</v>
          </cell>
          <cell r="AE66">
            <v>67271.132613769034</v>
          </cell>
          <cell r="AF66">
            <v>100169.96683432581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21731.377856702988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492441.20480205293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160746.72255353886</v>
          </cell>
          <cell r="Z67">
            <v>211604.17224125471</v>
          </cell>
          <cell r="AA67">
            <v>259443.06122426601</v>
          </cell>
          <cell r="AB67">
            <v>327454.96731349011</v>
          </cell>
          <cell r="AC67">
            <v>360440.21584259882</v>
          </cell>
          <cell r="AD67">
            <v>441489.92563962785</v>
          </cell>
          <cell r="AE67">
            <v>507892.24906204012</v>
          </cell>
          <cell r="AF67">
            <v>585338.54656444874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4242.4504125660715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511061.2253531692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135463.42126130461</v>
          </cell>
          <cell r="Z68">
            <v>197187.89339378668</v>
          </cell>
          <cell r="AA68">
            <v>254126.85628626082</v>
          </cell>
          <cell r="AB68">
            <v>348767.39426363661</v>
          </cell>
          <cell r="AC68">
            <v>379671.29620847938</v>
          </cell>
          <cell r="AD68">
            <v>490521.71912731102</v>
          </cell>
          <cell r="AE68">
            <v>575163.38167580916</v>
          </cell>
          <cell r="AF68">
            <v>685508.51339877455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326779.72966666671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3463453.3337777774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734057.67927083443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8338274.1534112347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16420.332397890161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685508.51339877397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97182.426162880511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991512.8326094409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475816.24022164498</v>
          </cell>
          <cell r="Z87">
            <v>566519.78666097834</v>
          </cell>
          <cell r="AA87">
            <v>643852.55895950552</v>
          </cell>
          <cell r="AB87">
            <v>716789.07879687438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175074.72192533195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2069850.8146454392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802134.92673576484</v>
          </cell>
          <cell r="Z88">
            <v>962991.0011194651</v>
          </cell>
          <cell r="AA88">
            <v>1148661.7236515756</v>
          </cell>
          <cell r="AB88">
            <v>1322036.2272438442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175074.72192533195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2069850.8146454392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802134.92673576484</v>
          </cell>
          <cell r="Z94">
            <v>962991.0011194651</v>
          </cell>
          <cell r="AA94">
            <v>1148661.7236515756</v>
          </cell>
          <cell r="AB94">
            <v>1322036.2272438442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272257.14808821247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3061363.6472548801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1277951.1669574096</v>
          </cell>
          <cell r="Z95">
            <v>1529510.7877804432</v>
          </cell>
          <cell r="AA95">
            <v>1792514.2826110809</v>
          </cell>
          <cell r="AB95">
            <v>2038825.3060407182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16197.071027146752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15309.040624159064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79302.706703607502</v>
          </cell>
          <cell r="Z96">
            <v>94419.964443496399</v>
          </cell>
          <cell r="AA96">
            <v>109886.51890320184</v>
          </cell>
          <cell r="AB96">
            <v>124473.82287067561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242956.0654072013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2731765.4564832309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1204801.1146052061</v>
          </cell>
          <cell r="Z97">
            <v>1431559.9807035397</v>
          </cell>
          <cell r="AA97">
            <v>1663558.2975991212</v>
          </cell>
          <cell r="AB97">
            <v>1882367.8571112277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123556.85893679412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1455318.7661078828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559442.11368689616</v>
          </cell>
          <cell r="Z98">
            <v>675865.56742782926</v>
          </cell>
          <cell r="AA98">
            <v>805706.76924272487</v>
          </cell>
          <cell r="AB98">
            <v>928576.74311523559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38430.947171959757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407893.58978746249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169860.80941365249</v>
          </cell>
          <cell r="Z99">
            <v>204679.267562945</v>
          </cell>
          <cell r="AA99">
            <v>241797.20215023626</v>
          </cell>
          <cell r="AB99">
            <v>276812.37837048329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161987.80610875387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1863212.3558953453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729302.92310054856</v>
          </cell>
          <cell r="Z104">
            <v>880544.83499077416</v>
          </cell>
          <cell r="AA104">
            <v>1047503.9713929611</v>
          </cell>
          <cell r="AB104">
            <v>1205389.121485719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404943.87151595519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4594977.812378576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1934104.0377057549</v>
          </cell>
          <cell r="Z105">
            <v>2312104.815694314</v>
          </cell>
          <cell r="AA105">
            <v>2711062.2689920822</v>
          </cell>
          <cell r="AB105">
            <v>3087756.9785969462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16197.071027146752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15315.116802537839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79302.706703607502</v>
          </cell>
          <cell r="Z106">
            <v>94419.964443496399</v>
          </cell>
          <cell r="AA106">
            <v>109886.51890320184</v>
          </cell>
          <cell r="AB106">
            <v>124473.82287067561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340138.49157008179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3723278.2890926721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1680617.354826851</v>
          </cell>
          <cell r="Z107">
            <v>1998079.767364518</v>
          </cell>
          <cell r="AA107">
            <v>2307410.8565586265</v>
          </cell>
          <cell r="AB107">
            <v>2599156.935908102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298631.58086212608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3525169.5807533222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1361577.040422661</v>
          </cell>
          <cell r="Z108">
            <v>1638856.5685472945</v>
          </cell>
          <cell r="AA108">
            <v>1954368.4928943007</v>
          </cell>
          <cell r="AB108">
            <v>2250612.97035908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38430.947171959757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407893.58978746249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169860.80941365249</v>
          </cell>
          <cell r="Z109">
            <v>204679.267562945</v>
          </cell>
          <cell r="AA109">
            <v>241797.20215023626</v>
          </cell>
          <cell r="AB109">
            <v>276812.37837048329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337062.52803408582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3933063.1705407845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1531437.8498363134</v>
          </cell>
          <cell r="Z114">
            <v>1843535.8361102394</v>
          </cell>
          <cell r="AA114">
            <v>2196165.6950445366</v>
          </cell>
          <cell r="AB114">
            <v>2527425.3487295629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677201.01960416767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7656341.4596334565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3212055.2046631649</v>
          </cell>
          <cell r="Z115">
            <v>3841615.6034747576</v>
          </cell>
          <cell r="AA115">
            <v>4503576.5516031636</v>
          </cell>
          <cell r="AB115">
            <v>5126582.2846376654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16197.071027146756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15312.68668341643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79302.706703607517</v>
          </cell>
          <cell r="Z116">
            <v>94419.964443496414</v>
          </cell>
          <cell r="AA116">
            <v>109886.51890320185</v>
          </cell>
          <cell r="AB116">
            <v>124473.82287067562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-25182.426162880511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-218640.83260944081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-115816.24022164501</v>
          </cell>
          <cell r="Z117">
            <v>-134519.78666097843</v>
          </cell>
          <cell r="AA117">
            <v>-151852.55895950558</v>
          </cell>
          <cell r="AB117">
            <v>-164789.07879687438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-2130.1478038486384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99188.646693679475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8432.1748112027126</v>
          </cell>
          <cell r="Z118">
            <v>17825.045998375455</v>
          </cell>
          <cell r="AA118">
            <v>24228.87816125722</v>
          </cell>
          <cell r="AB118">
            <v>41019.196229087247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-2130.1478038486384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99188.646693679475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8432.1748112027126</v>
          </cell>
          <cell r="Z124">
            <v>17825.045998375455</v>
          </cell>
          <cell r="AA124">
            <v>24228.87816125722</v>
          </cell>
          <cell r="AB124">
            <v>41019.196229087247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-27312.573966729149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-119452.18591576134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-107384.0654104423</v>
          </cell>
          <cell r="Z125">
            <v>-116694.74066260297</v>
          </cell>
          <cell r="AA125">
            <v>-127623.68079824837</v>
          </cell>
          <cell r="AB125">
            <v>-123769.88256778716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42043.934592798701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650234.54351676884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239198.88539479396</v>
          </cell>
          <cell r="Z126">
            <v>297440.01929646044</v>
          </cell>
          <cell r="AA126">
            <v>350441.70240087889</v>
          </cell>
          <cell r="AB126">
            <v>416632.14288877242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51895.094739479435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737282.16516945884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253352.32873720041</v>
          </cell>
          <cell r="Z127">
            <v>314060.16971355514</v>
          </cell>
          <cell r="AA127">
            <v>377303.19034282735</v>
          </cell>
          <cell r="AB127">
            <v>448163.97065005265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6650.5366990079929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99376.684406085958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34232.3486508637</v>
          </cell>
          <cell r="Z128">
            <v>43175.180824151845</v>
          </cell>
          <cell r="AA128">
            <v>51655.039785247667</v>
          </cell>
          <cell r="AB128">
            <v>62247.218403710329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58545.631438487428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836658.84957554482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287584.6773880641</v>
          </cell>
          <cell r="Z133">
            <v>357235.35053770698</v>
          </cell>
          <cell r="AA133">
            <v>428958.230128075</v>
          </cell>
          <cell r="AB133">
            <v>510411.18905376294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100589.56603128613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1486893.3930923138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526783.56278285815</v>
          </cell>
          <cell r="Z134">
            <v>654675.36983416753</v>
          </cell>
          <cell r="AA134">
            <v>779399.932528954</v>
          </cell>
          <cell r="AB134">
            <v>927043.33194253547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16861.508429918191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431593.71090732812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123382.64517314895</v>
          </cell>
          <cell r="Z135">
            <v>162920.23263548204</v>
          </cell>
          <cell r="AA135">
            <v>198589.14344137331</v>
          </cell>
          <cell r="AB135">
            <v>251843.06409189804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49764.946935630796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836470.81186313822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261784.5035484031</v>
          </cell>
          <cell r="Z136">
            <v>331885.21571193053</v>
          </cell>
          <cell r="AA136">
            <v>401532.06850408448</v>
          </cell>
          <cell r="AB136">
            <v>489183.16687913978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6650.5366990079929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99376.684406085958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34232.3486508637</v>
          </cell>
          <cell r="Z137">
            <v>43175.180824151845</v>
          </cell>
          <cell r="AA137">
            <v>51655.039785247667</v>
          </cell>
          <cell r="AB137">
            <v>62247.218403710329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56415.483634638789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935847.49626922421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296016.85219926684</v>
          </cell>
          <cell r="Z142">
            <v>375060.39653608244</v>
          </cell>
          <cell r="AA142">
            <v>453187.10828933225</v>
          </cell>
          <cell r="AB142">
            <v>551430.38528285024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73276.99206455698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1367441.2071765524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419399.49737241579</v>
          </cell>
          <cell r="Z143">
            <v>537980.62917156448</v>
          </cell>
          <cell r="AA143">
            <v>651776.25173070549</v>
          </cell>
          <cell r="AB143">
            <v>803273.44937474816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-25182.426162880511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-218640.83260944081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-115816.24022164501</v>
          </cell>
          <cell r="Z144">
            <v>-134519.78666097843</v>
          </cell>
          <cell r="AA144">
            <v>-151852.55895950558</v>
          </cell>
          <cell r="AB144">
            <v>-164789.07879687438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-2130.1478038486384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99188.646693679475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8432.1748112027126</v>
          </cell>
          <cell r="Z145">
            <v>17825.045998375455</v>
          </cell>
          <cell r="AA145">
            <v>24228.87816125722</v>
          </cell>
          <cell r="AB145">
            <v>41019.196229087247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-2130.1478038486384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99188.646693679475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8432.1748112027126</v>
          </cell>
          <cell r="Z151">
            <v>17825.045998375455</v>
          </cell>
          <cell r="AA151">
            <v>24228.87816125722</v>
          </cell>
          <cell r="AB151">
            <v>41019.196229087247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-27312.573966729149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-119452.18591576134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-107384.0654104423</v>
          </cell>
          <cell r="Z152">
            <v>-116694.74066260297</v>
          </cell>
          <cell r="AA152">
            <v>-127623.68079824837</v>
          </cell>
          <cell r="AB152">
            <v>-123769.88256778716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42043.934592798701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650234.54351676884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239198.88539479396</v>
          </cell>
          <cell r="Z153">
            <v>297440.01929646044</v>
          </cell>
          <cell r="AA153">
            <v>350441.70240087889</v>
          </cell>
          <cell r="AB153">
            <v>416632.14288877242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51895.094739479435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737282.16516945884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253352.32873720041</v>
          </cell>
          <cell r="Z154">
            <v>314060.16971355514</v>
          </cell>
          <cell r="AA154">
            <v>377303.19034282735</v>
          </cell>
          <cell r="AB154">
            <v>448163.97065005265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6650.5366990079929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99376.684406085958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34232.3486508637</v>
          </cell>
          <cell r="Z155">
            <v>43175.180824151845</v>
          </cell>
          <cell r="AA155">
            <v>51655.039785247667</v>
          </cell>
          <cell r="AB155">
            <v>62247.218403710329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58545.631438487428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836658.84957554482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287584.6773880641</v>
          </cell>
          <cell r="Z160">
            <v>357235.35053770698</v>
          </cell>
          <cell r="AA160">
            <v>428958.230128075</v>
          </cell>
          <cell r="AB160">
            <v>510411.18905376294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100589.56603128613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1486893.3930923138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526783.56278285815</v>
          </cell>
          <cell r="Z161">
            <v>654675.36983416753</v>
          </cell>
          <cell r="AA161">
            <v>779399.932528954</v>
          </cell>
          <cell r="AB161">
            <v>927043.33194253547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16861.508429918191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431593.71090732812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123382.64517314895</v>
          </cell>
          <cell r="Z162">
            <v>162920.23263548204</v>
          </cell>
          <cell r="AA162">
            <v>198589.14344137331</v>
          </cell>
          <cell r="AB162">
            <v>251843.06409189804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49764.946935630796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836470.81186313822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261784.5035484031</v>
          </cell>
          <cell r="Z163">
            <v>331885.21571193053</v>
          </cell>
          <cell r="AA163">
            <v>401532.06850408448</v>
          </cell>
          <cell r="AB163">
            <v>489183.16687913978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6650.5366990079929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99376.684406085958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34232.3486508637</v>
          </cell>
          <cell r="Z164">
            <v>43175.180824151845</v>
          </cell>
          <cell r="AA164">
            <v>51655.039785247667</v>
          </cell>
          <cell r="AB164">
            <v>62247.218403710329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56415.483634638789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935847.49626922421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296016.85219926684</v>
          </cell>
          <cell r="Z169">
            <v>375060.39653608244</v>
          </cell>
          <cell r="AA169">
            <v>453187.10828933225</v>
          </cell>
          <cell r="AB169">
            <v>551430.38528285024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73276.99206455698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1367441.2071765524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419399.49737241579</v>
          </cell>
          <cell r="Z170">
            <v>537980.62917156448</v>
          </cell>
          <cell r="AA170">
            <v>651776.25173070549</v>
          </cell>
          <cell r="AB170">
            <v>803273.44937474816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-33341.699362370913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-306812.41661325225</v>
          </cell>
          <cell r="T201">
            <v>-306812.41661325219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-157903.31823684875</v>
          </cell>
          <cell r="Z201">
            <v>-184798.45468120126</v>
          </cell>
          <cell r="AA201">
            <v>-208773.43620383553</v>
          </cell>
          <cell r="AB201">
            <v>-228366.27823179759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-16829.127268710097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-85271.45367759261</v>
          </cell>
          <cell r="T202">
            <v>-85271.453677592566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-62417.779202746038</v>
          </cell>
          <cell r="Z202">
            <v>-67552.0909416504</v>
          </cell>
          <cell r="AA202">
            <v>-77095.751015160422</v>
          </cell>
          <cell r="AB202">
            <v>-76127.911975909403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-16829.127268710097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-85271.45367759261</v>
          </cell>
          <cell r="T208">
            <v>-85271.453677592566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-62417.779202746038</v>
          </cell>
          <cell r="Z208">
            <v>-67552.0909416504</v>
          </cell>
          <cell r="AA208">
            <v>-77095.751015160422</v>
          </cell>
          <cell r="AB208">
            <v>-76127.911975909403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-50170.826631081014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-392083.87029084488</v>
          </cell>
          <cell r="T209">
            <v>-392083.87029084476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-220321.09743959474</v>
          </cell>
          <cell r="Z209">
            <v>-252350.54562285161</v>
          </cell>
          <cell r="AA209">
            <v>-285869.18721899588</v>
          </cell>
          <cell r="AB209">
            <v>-304494.19020770694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21645.751594072699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406982.383447578</v>
          </cell>
          <cell r="T210">
            <v>406982.38344757783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132620.0169446145</v>
          </cell>
          <cell r="Z210">
            <v>170382.17583373329</v>
          </cell>
          <cell r="AA210">
            <v>203457.2312658304</v>
          </cell>
          <cell r="AB210">
            <v>249678.70518194424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41521.468482747186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607585.18005950691</v>
          </cell>
          <cell r="T211">
            <v>607585.18005950702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203939.98288090635</v>
          </cell>
          <cell r="Z211">
            <v>254133.42571681016</v>
          </cell>
          <cell r="AA211">
            <v>306224.22196914145</v>
          </cell>
          <cell r="AB211">
            <v>365871.66038030636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3423.938952151449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63024.820182534459</v>
          </cell>
          <cell r="T212">
            <v>63024.820182534429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19224.518875378573</v>
          </cell>
          <cell r="Z212">
            <v>25022.837466094876</v>
          </cell>
          <cell r="AA212">
            <v>30314.590270285134</v>
          </cell>
          <cell r="AB212">
            <v>37711.218909093448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44945.407434898632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670610.00024204142</v>
          </cell>
          <cell r="T217">
            <v>670610.00024204142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223164.50175628491</v>
          </cell>
          <cell r="Z217">
            <v>279156.26318290504</v>
          </cell>
          <cell r="AA217">
            <v>336538.8122394266</v>
          </cell>
          <cell r="AB217">
            <v>403582.87928939983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66591.159028971335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1077592.3836896194</v>
          </cell>
          <cell r="T218">
            <v>1077592.3836896194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355784.51870089944</v>
          </cell>
          <cell r="Z218">
            <v>449538.43901663832</v>
          </cell>
          <cell r="AA218">
            <v>539996.043505257</v>
          </cell>
          <cell r="AB218">
            <v>653261.58447134402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-11695.947768298214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100169.96683432577</v>
          </cell>
          <cell r="T219">
            <v>100169.96683432569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-25283.301292234242</v>
          </cell>
          <cell r="Z219">
            <v>-14416.278847467973</v>
          </cell>
          <cell r="AA219">
            <v>-5316.2049380051285</v>
          </cell>
          <cell r="AB219">
            <v>21312.426950146641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24692.341214037089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522313.72638191434</v>
          </cell>
          <cell r="T220">
            <v>522313.72638191434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141522.20367816032</v>
          </cell>
          <cell r="Z220">
            <v>186581.33477515978</v>
          </cell>
          <cell r="AA220">
            <v>229128.47095398104</v>
          </cell>
          <cell r="AB220">
            <v>289743.74840439699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3423.938952151449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63024.820182534459</v>
          </cell>
          <cell r="T221">
            <v>63024.820182534429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19224.518875378573</v>
          </cell>
          <cell r="Z221">
            <v>25022.837466094876</v>
          </cell>
          <cell r="AA221">
            <v>30314.590270285134</v>
          </cell>
          <cell r="AB221">
            <v>37711.218909093448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28116.280166188539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585338.54656444886</v>
          </cell>
          <cell r="T226">
            <v>585338.54656444886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160746.72255353892</v>
          </cell>
          <cell r="Z226">
            <v>211604.17224125465</v>
          </cell>
          <cell r="AA226">
            <v>259443.06122426619</v>
          </cell>
          <cell r="AB226">
            <v>327454.96731349046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16420.332397890325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685508.51339877455</v>
          </cell>
          <cell r="T227">
            <v>685508.51339877455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135463.42126130464</v>
          </cell>
          <cell r="Z227">
            <v>197187.89339378665</v>
          </cell>
          <cell r="AA227">
            <v>254126.85628626103</v>
          </cell>
          <cell r="AB227">
            <v>348767.39426363702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>
        <row r="45">
          <cell r="C45" t="str">
            <v>강사_강릉</v>
          </cell>
        </row>
      </sheetData>
      <sheetData sheetId="2">
        <row r="46">
          <cell r="M46">
            <v>139371557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F42">
            <v>5</v>
          </cell>
        </row>
      </sheetData>
      <sheetData sheetId="5">
        <row r="42">
          <cell r="B42">
            <v>1</v>
          </cell>
        </row>
      </sheetData>
      <sheetData sheetId="6">
        <row r="42">
          <cell r="F42">
            <v>5</v>
          </cell>
        </row>
      </sheetData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12800000</v>
          </cell>
          <cell r="P16">
            <v>12800000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233240000</v>
          </cell>
          <cell r="P17">
            <v>233240000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11408000</v>
          </cell>
          <cell r="P18">
            <v>11408000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1296000</v>
          </cell>
          <cell r="O20">
            <v>0</v>
          </cell>
          <cell r="P20">
            <v>1296000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12696000</v>
          </cell>
          <cell r="P21">
            <v>12696000</v>
          </cell>
        </row>
        <row r="22">
          <cell r="M22" t="str">
            <v>계</v>
          </cell>
          <cell r="N22">
            <v>1296000</v>
          </cell>
          <cell r="O22">
            <v>270144000</v>
          </cell>
          <cell r="P22">
            <v>271440000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200830000</v>
          </cell>
          <cell r="O16">
            <v>202100000</v>
          </cell>
          <cell r="P16">
            <v>402930000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72320000</v>
          </cell>
          <cell r="P17">
            <v>72320000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11856000</v>
          </cell>
          <cell r="P19">
            <v>11856000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200830000</v>
          </cell>
          <cell r="O22">
            <v>286276000</v>
          </cell>
          <cell r="P22">
            <v>487106000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6:M25"/>
  <sheetViews>
    <sheetView showGridLines="0" view="pageBreakPreview" zoomScaleNormal="100" zoomScaleSheetLayoutView="100" workbookViewId="0"/>
  </sheetViews>
  <sheetFormatPr defaultRowHeight="16.5"/>
  <cols>
    <col min="13" max="13" width="15.75" customWidth="1"/>
  </cols>
  <sheetData>
    <row r="6" spans="1:13">
      <c r="A6" s="787" t="s">
        <v>215</v>
      </c>
      <c r="B6" s="788"/>
      <c r="C6" s="788"/>
      <c r="D6" s="788"/>
      <c r="E6" s="788"/>
      <c r="F6" s="788"/>
      <c r="G6" s="788"/>
      <c r="H6" s="788"/>
      <c r="I6" s="788"/>
      <c r="J6" s="788"/>
      <c r="K6" s="788"/>
      <c r="L6" s="788"/>
      <c r="M6" s="788"/>
    </row>
    <row r="7" spans="1:13">
      <c r="A7" s="788"/>
      <c r="B7" s="788"/>
      <c r="C7" s="788"/>
      <c r="D7" s="788"/>
      <c r="E7" s="788"/>
      <c r="F7" s="788"/>
      <c r="G7" s="788"/>
      <c r="H7" s="788"/>
      <c r="I7" s="788"/>
      <c r="J7" s="788"/>
      <c r="K7" s="788"/>
      <c r="L7" s="788"/>
      <c r="M7" s="788"/>
    </row>
    <row r="8" spans="1:13">
      <c r="A8" s="788"/>
      <c r="B8" s="788"/>
      <c r="C8" s="788"/>
      <c r="D8" s="788"/>
      <c r="E8" s="788"/>
      <c r="F8" s="788"/>
      <c r="G8" s="788"/>
      <c r="H8" s="788"/>
      <c r="I8" s="788"/>
      <c r="J8" s="788"/>
      <c r="K8" s="788"/>
      <c r="L8" s="788"/>
      <c r="M8" s="788"/>
    </row>
    <row r="9" spans="1:13">
      <c r="A9" s="788"/>
      <c r="B9" s="788"/>
      <c r="C9" s="788"/>
      <c r="D9" s="788"/>
      <c r="E9" s="788"/>
      <c r="F9" s="788"/>
      <c r="G9" s="788"/>
      <c r="H9" s="788"/>
      <c r="I9" s="788"/>
      <c r="J9" s="788"/>
      <c r="K9" s="788"/>
      <c r="L9" s="788"/>
      <c r="M9" s="788"/>
    </row>
    <row r="10" spans="1:13">
      <c r="A10" s="788"/>
      <c r="B10" s="788"/>
      <c r="C10" s="788"/>
      <c r="D10" s="788"/>
      <c r="E10" s="788"/>
      <c r="F10" s="788"/>
      <c r="G10" s="788"/>
      <c r="H10" s="788"/>
      <c r="I10" s="788"/>
      <c r="J10" s="788"/>
      <c r="K10" s="788"/>
      <c r="L10" s="788"/>
      <c r="M10" s="788"/>
    </row>
    <row r="11" spans="1:13">
      <c r="A11" s="788"/>
      <c r="B11" s="788"/>
      <c r="C11" s="788"/>
      <c r="D11" s="788"/>
      <c r="E11" s="788"/>
      <c r="F11" s="788"/>
      <c r="G11" s="788"/>
      <c r="H11" s="788"/>
      <c r="I11" s="788"/>
      <c r="J11" s="788"/>
      <c r="K11" s="788"/>
      <c r="L11" s="788"/>
      <c r="M11" s="788"/>
    </row>
    <row r="12" spans="1:13">
      <c r="A12" s="788"/>
      <c r="B12" s="788"/>
      <c r="C12" s="788"/>
      <c r="D12" s="788"/>
      <c r="E12" s="788"/>
      <c r="F12" s="788"/>
      <c r="G12" s="788"/>
      <c r="H12" s="788"/>
      <c r="I12" s="788"/>
      <c r="J12" s="788"/>
      <c r="K12" s="788"/>
      <c r="L12" s="788"/>
      <c r="M12" s="788"/>
    </row>
    <row r="13" spans="1:13">
      <c r="A13" s="788"/>
      <c r="B13" s="788"/>
      <c r="C13" s="788"/>
      <c r="D13" s="788"/>
      <c r="E13" s="788"/>
      <c r="F13" s="788"/>
      <c r="G13" s="788"/>
      <c r="H13" s="788"/>
      <c r="I13" s="788"/>
      <c r="J13" s="788"/>
      <c r="K13" s="788"/>
      <c r="L13" s="788"/>
      <c r="M13" s="788"/>
    </row>
    <row r="14" spans="1:13">
      <c r="A14" s="788"/>
      <c r="B14" s="788"/>
      <c r="C14" s="788"/>
      <c r="D14" s="788"/>
      <c r="E14" s="788"/>
      <c r="F14" s="788"/>
      <c r="G14" s="788"/>
      <c r="H14" s="788"/>
      <c r="I14" s="788"/>
      <c r="J14" s="788"/>
      <c r="K14" s="788"/>
      <c r="L14" s="788"/>
      <c r="M14" s="788"/>
    </row>
    <row r="24" spans="1:13">
      <c r="A24" s="789" t="s">
        <v>120</v>
      </c>
      <c r="B24" s="789"/>
      <c r="C24" s="789"/>
      <c r="D24" s="789"/>
      <c r="E24" s="789"/>
      <c r="F24" s="789"/>
      <c r="G24" s="789"/>
      <c r="H24" s="789"/>
      <c r="I24" s="789"/>
      <c r="J24" s="789"/>
      <c r="K24" s="789"/>
      <c r="L24" s="789"/>
      <c r="M24" s="789"/>
    </row>
    <row r="25" spans="1:13">
      <c r="A25" s="789"/>
      <c r="B25" s="789"/>
      <c r="C25" s="789"/>
      <c r="D25" s="789"/>
      <c r="E25" s="789"/>
      <c r="F25" s="789"/>
      <c r="G25" s="789"/>
      <c r="H25" s="789"/>
      <c r="I25" s="789"/>
      <c r="J25" s="789"/>
      <c r="K25" s="789"/>
      <c r="L25" s="789"/>
      <c r="M25" s="789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  <pageSetUpPr fitToPage="1"/>
  </sheetPr>
  <dimension ref="B1:AL42"/>
  <sheetViews>
    <sheetView showGridLines="0" topLeftCell="A10" zoomScale="85" zoomScaleNormal="85" zoomScaleSheetLayoutView="70" workbookViewId="0">
      <selection activeCell="R28" sqref="R28"/>
    </sheetView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2:38" ht="20.100000000000001" customHeight="1"/>
    <row r="2" spans="2:38" ht="20.100000000000001" customHeight="1"/>
    <row r="3" spans="2:38" ht="20.100000000000001" customHeight="1">
      <c r="C3" s="4" t="s">
        <v>218</v>
      </c>
      <c r="Z3" s="674" t="s">
        <v>230</v>
      </c>
    </row>
    <row r="4" spans="2:38" ht="20.100000000000001" customHeight="1">
      <c r="H4" s="598"/>
      <c r="X4" s="5" t="s">
        <v>142</v>
      </c>
      <c r="AK4" s="5" t="s">
        <v>210</v>
      </c>
    </row>
    <row r="5" spans="2:38" ht="27" customHeight="1" thickBot="1">
      <c r="C5" s="803" t="s">
        <v>78</v>
      </c>
      <c r="D5" s="804"/>
      <c r="E5" s="133" t="s">
        <v>216</v>
      </c>
      <c r="F5" s="134"/>
      <c r="G5" s="134"/>
      <c r="H5" s="134"/>
      <c r="I5" s="135"/>
      <c r="J5" s="134" t="s">
        <v>217</v>
      </c>
      <c r="K5" s="134"/>
      <c r="L5" s="134"/>
      <c r="M5" s="134"/>
      <c r="N5" s="135"/>
      <c r="O5" s="136"/>
      <c r="P5" s="803" t="s">
        <v>219</v>
      </c>
      <c r="Q5" s="804"/>
      <c r="R5" s="804"/>
      <c r="S5" s="804"/>
      <c r="T5" s="804"/>
      <c r="U5" s="804"/>
      <c r="V5" s="804"/>
      <c r="W5" s="804"/>
      <c r="X5" s="807"/>
      <c r="Z5" s="796" t="s">
        <v>205</v>
      </c>
      <c r="AA5" s="793"/>
      <c r="AB5" s="793" t="str">
        <f>+E5</f>
        <v>4월</v>
      </c>
      <c r="AC5" s="794"/>
      <c r="AD5" s="793"/>
      <c r="AE5" s="793"/>
      <c r="AF5" s="795"/>
      <c r="AG5" s="796" t="str">
        <f>+J5</f>
        <v>4월 누계</v>
      </c>
      <c r="AH5" s="794"/>
      <c r="AI5" s="793"/>
      <c r="AJ5" s="793"/>
      <c r="AK5" s="797"/>
    </row>
    <row r="6" spans="2:38" ht="27" customHeight="1" thickTop="1" thickBot="1">
      <c r="C6" s="805"/>
      <c r="D6" s="806"/>
      <c r="E6" s="209" t="s">
        <v>79</v>
      </c>
      <c r="F6" s="328" t="s">
        <v>80</v>
      </c>
      <c r="G6" s="325" t="s">
        <v>81</v>
      </c>
      <c r="H6" s="137" t="s">
        <v>82</v>
      </c>
      <c r="I6" s="138" t="s">
        <v>83</v>
      </c>
      <c r="J6" s="209" t="s">
        <v>79</v>
      </c>
      <c r="K6" s="328" t="s">
        <v>80</v>
      </c>
      <c r="L6" s="325" t="s">
        <v>81</v>
      </c>
      <c r="M6" s="137" t="s">
        <v>82</v>
      </c>
      <c r="N6" s="138" t="s">
        <v>83</v>
      </c>
      <c r="O6" s="136"/>
      <c r="P6" s="805"/>
      <c r="Q6" s="806"/>
      <c r="R6" s="806"/>
      <c r="S6" s="806"/>
      <c r="T6" s="806"/>
      <c r="U6" s="806"/>
      <c r="V6" s="806"/>
      <c r="W6" s="806"/>
      <c r="X6" s="808"/>
      <c r="Z6" s="799"/>
      <c r="AA6" s="800"/>
      <c r="AB6" s="690" t="str">
        <f>+E6</f>
        <v>계획</v>
      </c>
      <c r="AC6" s="691" t="str">
        <f>+F6</f>
        <v>실적</v>
      </c>
      <c r="AD6" s="692" t="str">
        <f>+G6</f>
        <v>계획대비</v>
      </c>
      <c r="AE6" s="693" t="str">
        <f t="shared" ref="AE6:AK7" si="0">+H6</f>
        <v>전년</v>
      </c>
      <c r="AF6" s="694" t="str">
        <f t="shared" si="0"/>
        <v>전년대비</v>
      </c>
      <c r="AG6" s="695" t="str">
        <f t="shared" si="0"/>
        <v>계획</v>
      </c>
      <c r="AH6" s="691" t="str">
        <f t="shared" si="0"/>
        <v>실적</v>
      </c>
      <c r="AI6" s="692" t="str">
        <f t="shared" si="0"/>
        <v>계획대비</v>
      </c>
      <c r="AJ6" s="693" t="str">
        <f t="shared" si="0"/>
        <v>전년</v>
      </c>
      <c r="AK6" s="690" t="str">
        <f t="shared" si="0"/>
        <v>전년대비</v>
      </c>
    </row>
    <row r="7" spans="2:38" ht="21.75" customHeight="1">
      <c r="B7" s="598"/>
      <c r="C7" s="101" t="s">
        <v>0</v>
      </c>
      <c r="D7" s="102" t="s">
        <v>53</v>
      </c>
      <c r="E7" s="771">
        <f>+'[1]4월'!$Z$7/1000</f>
        <v>308.5</v>
      </c>
      <c r="F7" s="772">
        <f>+'[2]4월'!$Z$7/1000</f>
        <v>331.03750000000002</v>
      </c>
      <c r="G7" s="747">
        <f>+F7-E7</f>
        <v>22.537500000000023</v>
      </c>
      <c r="H7" s="748">
        <f>+'[3]4월'!$Z$7/1000</f>
        <v>322.77449999999999</v>
      </c>
      <c r="I7" s="749">
        <f>+F7-H7</f>
        <v>8.2630000000000337</v>
      </c>
      <c r="J7" s="771">
        <f>+[4]손익총괄!J7+E7</f>
        <v>1064.5</v>
      </c>
      <c r="K7" s="772">
        <f>+[4]손익총괄!K7+F7</f>
        <v>1125.9659999999999</v>
      </c>
      <c r="L7" s="747">
        <f t="shared" ref="L7:L36" si="1">+K7-J7</f>
        <v>61.465999999999894</v>
      </c>
      <c r="M7" s="748">
        <f>+[4]손익총괄!M7+H7</f>
        <v>1279.6475</v>
      </c>
      <c r="N7" s="749">
        <f t="shared" ref="N7:N36" si="2">+K7-M7</f>
        <v>-153.68150000000014</v>
      </c>
      <c r="O7" s="100"/>
      <c r="P7" s="103"/>
      <c r="Q7" s="104" t="s">
        <v>105</v>
      </c>
      <c r="R7" s="104"/>
      <c r="S7" s="100"/>
      <c r="T7" s="100"/>
      <c r="U7" s="100"/>
      <c r="V7" s="100"/>
      <c r="W7" s="100"/>
      <c r="X7" s="105"/>
      <c r="Y7" s="598"/>
      <c r="Z7" s="790" t="s">
        <v>206</v>
      </c>
      <c r="AA7" s="733" t="str">
        <f>+D7</f>
        <v>레미콘</v>
      </c>
      <c r="AB7" s="734">
        <f>+E7</f>
        <v>308.5</v>
      </c>
      <c r="AC7" s="735">
        <f t="shared" ref="AC7" si="3">+F7</f>
        <v>331.03750000000002</v>
      </c>
      <c r="AD7" s="736">
        <f>+AC7-AB7</f>
        <v>22.537500000000023</v>
      </c>
      <c r="AE7" s="737">
        <f t="shared" si="0"/>
        <v>322.77449999999999</v>
      </c>
      <c r="AF7" s="738">
        <f>+AC7-AE7</f>
        <v>8.2630000000000337</v>
      </c>
      <c r="AG7" s="739">
        <f t="shared" ref="AG7" si="4">+J7</f>
        <v>1064.5</v>
      </c>
      <c r="AH7" s="735">
        <f t="shared" ref="AH7" si="5">+K7</f>
        <v>1125.9659999999999</v>
      </c>
      <c r="AI7" s="736">
        <f>+AH7-AG7</f>
        <v>61.465999999999894</v>
      </c>
      <c r="AJ7" s="737">
        <f t="shared" ref="AJ7" si="6">+M7</f>
        <v>1279.6475</v>
      </c>
      <c r="AK7" s="734">
        <f>+AH7-AJ7</f>
        <v>-153.68150000000014</v>
      </c>
    </row>
    <row r="8" spans="2:38" ht="21.75" customHeight="1">
      <c r="B8" s="598"/>
      <c r="C8" s="101"/>
      <c r="D8" s="106" t="s">
        <v>86</v>
      </c>
      <c r="E8" s="773">
        <f>+'[1]4월'!$AA$7</f>
        <v>7300</v>
      </c>
      <c r="F8" s="774">
        <f>+'[2]4월'!$AO$7</f>
        <v>8574.9830000000002</v>
      </c>
      <c r="G8" s="750">
        <f>+F8-E8</f>
        <v>1274.9830000000002</v>
      </c>
      <c r="H8" s="751">
        <f>+'[3]4월'!$AO$7</f>
        <v>9357.5969999999998</v>
      </c>
      <c r="I8" s="752">
        <f>+F8-H8</f>
        <v>-782.61399999999958</v>
      </c>
      <c r="J8" s="773">
        <f>+[4]손익총괄!J8+E8</f>
        <v>27900</v>
      </c>
      <c r="K8" s="774">
        <f>+[4]손익총괄!K8+F8</f>
        <v>30310.545999999998</v>
      </c>
      <c r="L8" s="750">
        <f t="shared" si="1"/>
        <v>2410.5459999999985</v>
      </c>
      <c r="M8" s="751">
        <f>+[4]손익총괄!M8+H8</f>
        <v>34525.302000000003</v>
      </c>
      <c r="N8" s="752">
        <f t="shared" si="2"/>
        <v>-4214.7560000000049</v>
      </c>
      <c r="O8" s="100"/>
      <c r="P8" s="103"/>
      <c r="Q8" s="339" t="s">
        <v>70</v>
      </c>
      <c r="R8" s="340"/>
      <c r="S8" s="341" t="s">
        <v>15</v>
      </c>
      <c r="T8" s="342" t="s">
        <v>84</v>
      </c>
      <c r="U8" s="343" t="s">
        <v>71</v>
      </c>
      <c r="V8" s="342" t="s">
        <v>52</v>
      </c>
      <c r="W8" s="344" t="s">
        <v>72</v>
      </c>
      <c r="X8" s="105"/>
      <c r="Y8" s="598"/>
      <c r="Z8" s="790"/>
      <c r="AA8" s="668" t="str">
        <f t="shared" ref="AA8:AA9" si="7">+D8</f>
        <v>철강재</v>
      </c>
      <c r="AB8" s="727">
        <f>+E8/1000</f>
        <v>7.3</v>
      </c>
      <c r="AC8" s="728">
        <f>+F8/1000</f>
        <v>8.5749829999999996</v>
      </c>
      <c r="AD8" s="729">
        <f t="shared" ref="AD8:AD20" si="8">+AC8-AB8</f>
        <v>1.2749829999999998</v>
      </c>
      <c r="AE8" s="730">
        <f>+H8/1000</f>
        <v>9.3575970000000002</v>
      </c>
      <c r="AF8" s="731">
        <f t="shared" ref="AF8:AF20" si="9">+AC8-AE8</f>
        <v>-0.78261400000000059</v>
      </c>
      <c r="AG8" s="732">
        <f>+J8/1000</f>
        <v>27.9</v>
      </c>
      <c r="AH8" s="728">
        <f>+K8/1000</f>
        <v>30.310545999999999</v>
      </c>
      <c r="AI8" s="729">
        <f t="shared" ref="AI8:AI20" si="10">+AH8-AG8</f>
        <v>2.4105460000000001</v>
      </c>
      <c r="AJ8" s="730">
        <f>+M8/1000</f>
        <v>34.525302000000003</v>
      </c>
      <c r="AK8" s="727">
        <f t="shared" ref="AK8:AK20" si="11">+AH8-AJ8</f>
        <v>-4.2147560000000048</v>
      </c>
    </row>
    <row r="9" spans="2:38" ht="21.75" customHeight="1">
      <c r="B9" s="598"/>
      <c r="C9" s="101"/>
      <c r="D9" s="106" t="s">
        <v>1</v>
      </c>
      <c r="E9" s="773">
        <f>+'[1]4월'!$AE$7/1000</f>
        <v>59.030283122654509</v>
      </c>
      <c r="F9" s="774">
        <f>+'[2]4월'!$AN$7/1000</f>
        <v>86.343000000000004</v>
      </c>
      <c r="G9" s="750">
        <f t="shared" ref="G9:G36" si="12">+F9-E9</f>
        <v>27.312716877345494</v>
      </c>
      <c r="H9" s="751">
        <f>+'[3]4월'!$AN$7/1000</f>
        <v>58.238999999999997</v>
      </c>
      <c r="I9" s="752">
        <f t="shared" ref="I9:I36" si="13">+F9-H9</f>
        <v>28.104000000000006</v>
      </c>
      <c r="J9" s="773">
        <f>+[4]손익총괄!J9+E9</f>
        <v>259.16836022409933</v>
      </c>
      <c r="K9" s="774">
        <f>+[4]손익총괄!K9+F9</f>
        <v>321.06</v>
      </c>
      <c r="L9" s="750">
        <f t="shared" si="1"/>
        <v>61.891639775900671</v>
      </c>
      <c r="M9" s="751">
        <f>+[4]손익총괄!M9+H9</f>
        <v>245.33200000000002</v>
      </c>
      <c r="N9" s="752">
        <f t="shared" si="2"/>
        <v>75.72799999999998</v>
      </c>
      <c r="O9" s="100"/>
      <c r="P9" s="103"/>
      <c r="Q9" s="107" t="s">
        <v>66</v>
      </c>
      <c r="R9" s="302" t="s">
        <v>19</v>
      </c>
      <c r="S9" s="315">
        <f>+[5]수도권!$T$5/1000</f>
        <v>122.5</v>
      </c>
      <c r="T9" s="108">
        <f>+[5]수도권!$U$5/1000</f>
        <v>122.51349999999999</v>
      </c>
      <c r="U9" s="747">
        <f>+T9-S9</f>
        <v>1.3499999999993406E-2</v>
      </c>
      <c r="V9" s="748">
        <f>+[6]수도권!$T$5/1000</f>
        <v>122.851</v>
      </c>
      <c r="W9" s="749">
        <f>+T9-V9</f>
        <v>-0.33750000000000568</v>
      </c>
      <c r="X9" s="105"/>
      <c r="Y9" s="598"/>
      <c r="Z9" s="798"/>
      <c r="AA9" s="670" t="str">
        <f t="shared" si="7"/>
        <v>골재</v>
      </c>
      <c r="AB9" s="676">
        <f t="shared" ref="AB9" si="14">+E9</f>
        <v>59.030283122654509</v>
      </c>
      <c r="AC9" s="682">
        <f t="shared" ref="AC9" si="15">+F9</f>
        <v>86.343000000000004</v>
      </c>
      <c r="AD9" s="679">
        <f t="shared" si="8"/>
        <v>27.312716877345494</v>
      </c>
      <c r="AE9" s="672">
        <f t="shared" ref="AE9" si="16">+H9</f>
        <v>58.238999999999997</v>
      </c>
      <c r="AF9" s="688">
        <f t="shared" si="9"/>
        <v>28.104000000000006</v>
      </c>
      <c r="AG9" s="685">
        <f t="shared" ref="AG9" si="17">+J9</f>
        <v>259.16836022409933</v>
      </c>
      <c r="AH9" s="682">
        <f t="shared" ref="AH9" si="18">+K9</f>
        <v>321.06</v>
      </c>
      <c r="AI9" s="679">
        <f t="shared" si="10"/>
        <v>61.891639775900671</v>
      </c>
      <c r="AJ9" s="672">
        <f t="shared" ref="AJ9" si="19">+M9</f>
        <v>245.33200000000002</v>
      </c>
      <c r="AK9" s="676">
        <f t="shared" si="11"/>
        <v>75.72799999999998</v>
      </c>
    </row>
    <row r="10" spans="2:38" ht="21.75" customHeight="1">
      <c r="B10" s="598"/>
      <c r="C10" s="109" t="s">
        <v>2</v>
      </c>
      <c r="D10" s="110" t="s">
        <v>53</v>
      </c>
      <c r="E10" s="775">
        <f>+'[1]4월'!$Z$8/1000</f>
        <v>31476.891905899884</v>
      </c>
      <c r="F10" s="776">
        <f>+'[2]4월'!$Z$8/1000</f>
        <v>33733.439596000004</v>
      </c>
      <c r="G10" s="777">
        <f t="shared" si="12"/>
        <v>2256.5476901001202</v>
      </c>
      <c r="H10" s="778">
        <f>+'[3]4월'!$Z$8/1000</f>
        <v>30531.031479000001</v>
      </c>
      <c r="I10" s="779">
        <f t="shared" si="13"/>
        <v>3202.4081170000027</v>
      </c>
      <c r="J10" s="775">
        <f>+[4]손익총괄!J10+E10</f>
        <v>107660.25202049456</v>
      </c>
      <c r="K10" s="776">
        <f>+[4]손익총괄!K10+F10</f>
        <v>114335.880034</v>
      </c>
      <c r="L10" s="777">
        <f t="shared" si="1"/>
        <v>6675.6280135054403</v>
      </c>
      <c r="M10" s="778">
        <f>+[4]손익총괄!M10+H10</f>
        <v>120036.54801999999</v>
      </c>
      <c r="N10" s="779">
        <f t="shared" si="2"/>
        <v>-5700.6679859999858</v>
      </c>
      <c r="O10" s="100"/>
      <c r="P10" s="103"/>
      <c r="Q10" s="111"/>
      <c r="R10" s="303" t="s">
        <v>20</v>
      </c>
      <c r="S10" s="316">
        <f>+[5]영남권!$T$5/1000</f>
        <v>129.5</v>
      </c>
      <c r="T10" s="112">
        <f>+[5]영남권!$U$5/1000</f>
        <v>147.22149999999999</v>
      </c>
      <c r="U10" s="750">
        <f t="shared" ref="U10:U20" si="20">+T10-S10</f>
        <v>17.721499999999992</v>
      </c>
      <c r="V10" s="751">
        <f>+[6]영남권!$T$5/1000</f>
        <v>140.756</v>
      </c>
      <c r="W10" s="752">
        <f t="shared" ref="W10:W20" si="21">+T10-V10</f>
        <v>6.4654999999999916</v>
      </c>
      <c r="X10" s="105"/>
      <c r="Y10" s="598"/>
      <c r="Z10" s="790" t="s">
        <v>207</v>
      </c>
      <c r="AA10" s="733" t="str">
        <f>+D10</f>
        <v>레미콘</v>
      </c>
      <c r="AB10" s="734">
        <f>+E10/100</f>
        <v>314.76891905899885</v>
      </c>
      <c r="AC10" s="735">
        <f t="shared" ref="AC10:AC13" si="22">+F10/100</f>
        <v>337.33439596000005</v>
      </c>
      <c r="AD10" s="736">
        <f t="shared" si="8"/>
        <v>22.565476901001205</v>
      </c>
      <c r="AE10" s="737">
        <f t="shared" ref="AE10:AE13" si="23">+H10/100</f>
        <v>305.31031479000001</v>
      </c>
      <c r="AF10" s="738">
        <f t="shared" si="9"/>
        <v>32.024081170000045</v>
      </c>
      <c r="AG10" s="739">
        <f t="shared" ref="AG10:AG13" si="24">+J10/100</f>
        <v>1076.6025202049457</v>
      </c>
      <c r="AH10" s="735">
        <f t="shared" ref="AH10:AH13" si="25">+K10/100</f>
        <v>1143.35880034</v>
      </c>
      <c r="AI10" s="736">
        <f t="shared" si="10"/>
        <v>66.75628013505434</v>
      </c>
      <c r="AJ10" s="737">
        <f t="shared" ref="AJ10:AJ13" si="26">+M10/100</f>
        <v>1200.3654801999999</v>
      </c>
      <c r="AK10" s="734">
        <f t="shared" si="11"/>
        <v>-57.006679859999849</v>
      </c>
    </row>
    <row r="11" spans="2:38" ht="21.75" customHeight="1">
      <c r="B11" s="598"/>
      <c r="C11" s="101"/>
      <c r="D11" s="106" t="s">
        <v>3</v>
      </c>
      <c r="E11" s="773">
        <f>+'[1]4월'!$AA$8/1000</f>
        <v>8929.3157894736851</v>
      </c>
      <c r="F11" s="774">
        <f>+'[2]4월'!$AO$8/1000</f>
        <v>8822.0394919999999</v>
      </c>
      <c r="G11" s="750">
        <f>+F11-E11</f>
        <v>-107.27629747368519</v>
      </c>
      <c r="H11" s="751">
        <f>+'[3]4월'!$AO$8/1000</f>
        <v>11408.615007999999</v>
      </c>
      <c r="I11" s="752">
        <f>+F11-H11</f>
        <v>-2586.575515999999</v>
      </c>
      <c r="J11" s="773">
        <f>+[4]손익총괄!J11+E11</f>
        <v>34136.772631578955</v>
      </c>
      <c r="K11" s="774">
        <f>+[4]손익총괄!K11+F11</f>
        <v>31755.57242</v>
      </c>
      <c r="L11" s="750">
        <f t="shared" si="1"/>
        <v>-2381.2002115789546</v>
      </c>
      <c r="M11" s="751">
        <f>+[4]손익총괄!M11+H11</f>
        <v>41371.689569000002</v>
      </c>
      <c r="N11" s="752">
        <f t="shared" si="2"/>
        <v>-9616.1171490000015</v>
      </c>
      <c r="O11" s="100"/>
      <c r="P11" s="103"/>
      <c r="Q11" s="111"/>
      <c r="R11" s="304" t="s">
        <v>170</v>
      </c>
      <c r="S11" s="317">
        <f>+[5]중부권!$T$5/1000</f>
        <v>56.5</v>
      </c>
      <c r="T11" s="113">
        <f>+[5]중부권!$U$5/1000</f>
        <v>61.302500000000002</v>
      </c>
      <c r="U11" s="753">
        <f t="shared" si="20"/>
        <v>4.802500000000002</v>
      </c>
      <c r="V11" s="754">
        <f>+[6]중부권!$T$5/1000</f>
        <v>59.167499999999997</v>
      </c>
      <c r="W11" s="755">
        <f t="shared" si="21"/>
        <v>2.1350000000000051</v>
      </c>
      <c r="X11" s="105"/>
      <c r="Y11" s="598"/>
      <c r="Z11" s="790"/>
      <c r="AA11" s="668" t="str">
        <f t="shared" ref="AA11:AA13" si="27">+D11</f>
        <v>건자재</v>
      </c>
      <c r="AB11" s="675">
        <f t="shared" ref="AB11:AB13" si="28">+E11/100</f>
        <v>89.293157894736851</v>
      </c>
      <c r="AC11" s="681">
        <f t="shared" si="22"/>
        <v>88.220394920000004</v>
      </c>
      <c r="AD11" s="678">
        <f t="shared" si="8"/>
        <v>-1.0727629747368468</v>
      </c>
      <c r="AE11" s="671">
        <f t="shared" si="23"/>
        <v>114.08615007999998</v>
      </c>
      <c r="AF11" s="687">
        <f t="shared" si="9"/>
        <v>-25.865755159999978</v>
      </c>
      <c r="AG11" s="684">
        <f t="shared" si="24"/>
        <v>341.36772631578953</v>
      </c>
      <c r="AH11" s="681">
        <f t="shared" si="25"/>
        <v>317.55572419999999</v>
      </c>
      <c r="AI11" s="678">
        <f t="shared" si="10"/>
        <v>-23.812002115789539</v>
      </c>
      <c r="AJ11" s="671">
        <f t="shared" si="26"/>
        <v>413.71689569</v>
      </c>
      <c r="AK11" s="675">
        <f t="shared" si="11"/>
        <v>-96.161171490000015</v>
      </c>
    </row>
    <row r="12" spans="2:38" ht="21.75" customHeight="1">
      <c r="B12" s="598"/>
      <c r="C12" s="101"/>
      <c r="D12" s="106" t="s">
        <v>1</v>
      </c>
      <c r="E12" s="773">
        <f>+'[1]4월'!$AE$8/1000</f>
        <v>1289.7261107583458</v>
      </c>
      <c r="F12" s="774">
        <f>+'[2]4월'!$AN$8/1000</f>
        <v>1746.820408</v>
      </c>
      <c r="G12" s="750">
        <f t="shared" si="12"/>
        <v>457.0942972416542</v>
      </c>
      <c r="H12" s="751">
        <f>+'[3]4월'!$AN$8/1000</f>
        <v>1117.6776</v>
      </c>
      <c r="I12" s="752">
        <f t="shared" si="13"/>
        <v>629.14280800000006</v>
      </c>
      <c r="J12" s="773">
        <f>+[4]손익총괄!J12+E12</f>
        <v>5564.2229145893543</v>
      </c>
      <c r="K12" s="774">
        <f>+[4]손익총괄!K12+F12</f>
        <v>6528.42958</v>
      </c>
      <c r="L12" s="750">
        <f t="shared" si="1"/>
        <v>964.20666541064566</v>
      </c>
      <c r="M12" s="751">
        <f>+[4]손익총괄!M12+H12</f>
        <v>4645.3089</v>
      </c>
      <c r="N12" s="752">
        <f t="shared" si="2"/>
        <v>1883.12068</v>
      </c>
      <c r="O12" s="100"/>
      <c r="P12" s="103"/>
      <c r="Q12" s="114" t="s">
        <v>73</v>
      </c>
      <c r="R12" s="305"/>
      <c r="S12" s="318">
        <f>SUM(S9:S11)</f>
        <v>308.5</v>
      </c>
      <c r="T12" s="115">
        <f>SUM(T9:T11)</f>
        <v>331.03750000000002</v>
      </c>
      <c r="U12" s="756">
        <f t="shared" si="20"/>
        <v>22.537500000000023</v>
      </c>
      <c r="V12" s="757">
        <f>SUM(V9:V11)</f>
        <v>322.77449999999999</v>
      </c>
      <c r="W12" s="758">
        <f t="shared" si="21"/>
        <v>8.2630000000000337</v>
      </c>
      <c r="X12" s="105"/>
      <c r="Z12" s="790"/>
      <c r="AA12" s="668" t="str">
        <f t="shared" si="27"/>
        <v>골재</v>
      </c>
      <c r="AB12" s="675">
        <f t="shared" si="28"/>
        <v>12.897261107583459</v>
      </c>
      <c r="AC12" s="681">
        <f t="shared" si="22"/>
        <v>17.46820408</v>
      </c>
      <c r="AD12" s="678">
        <f t="shared" si="8"/>
        <v>4.5709429724165407</v>
      </c>
      <c r="AE12" s="671">
        <f t="shared" si="23"/>
        <v>11.176776</v>
      </c>
      <c r="AF12" s="687">
        <f t="shared" si="9"/>
        <v>6.2914280799999993</v>
      </c>
      <c r="AG12" s="684">
        <f t="shared" si="24"/>
        <v>55.642229145893545</v>
      </c>
      <c r="AH12" s="681">
        <f t="shared" si="25"/>
        <v>65.284295799999995</v>
      </c>
      <c r="AI12" s="678">
        <f t="shared" si="10"/>
        <v>9.6420666541064506</v>
      </c>
      <c r="AJ12" s="671">
        <f t="shared" si="26"/>
        <v>46.453088999999999</v>
      </c>
      <c r="AK12" s="675">
        <f t="shared" si="11"/>
        <v>18.831206799999997</v>
      </c>
    </row>
    <row r="13" spans="2:38" ht="21.75" customHeight="1">
      <c r="B13" s="598"/>
      <c r="C13" s="101"/>
      <c r="D13" s="116" t="s">
        <v>4</v>
      </c>
      <c r="E13" s="780">
        <f>+'[1]4월'!$E$8/1000-E10-E11-E12</f>
        <v>164.90750033333416</v>
      </c>
      <c r="F13" s="781">
        <f>+'[2]4월'!$F$8/1000-F10-F11-F12</f>
        <v>165.79909399999042</v>
      </c>
      <c r="G13" s="753">
        <f t="shared" si="12"/>
        <v>0.89159366665626294</v>
      </c>
      <c r="H13" s="754">
        <f>+'[3]4월'!$F$8/1000-H10-H11-H12</f>
        <v>151.66082100000585</v>
      </c>
      <c r="I13" s="755">
        <f t="shared" si="13"/>
        <v>14.138272999984565</v>
      </c>
      <c r="J13" s="780">
        <f>+[4]손익총괄!J13+E13</f>
        <v>659.63000133332207</v>
      </c>
      <c r="K13" s="781">
        <f>+[4]손익총괄!K13+F13</f>
        <v>659.35363199998756</v>
      </c>
      <c r="L13" s="753">
        <f t="shared" si="1"/>
        <v>-0.27636933333451452</v>
      </c>
      <c r="M13" s="754">
        <f>+[4]손익총괄!M13+H13</f>
        <v>697.53236400000605</v>
      </c>
      <c r="N13" s="755">
        <f t="shared" si="2"/>
        <v>-38.178732000018499</v>
      </c>
      <c r="O13" s="100"/>
      <c r="P13" s="103"/>
      <c r="Q13" s="107" t="s">
        <v>74</v>
      </c>
      <c r="R13" s="302" t="s">
        <v>19</v>
      </c>
      <c r="S13" s="315">
        <f>+[5]수도권!$T$61</f>
        <v>100360.88907673377</v>
      </c>
      <c r="T13" s="108">
        <f>+[5]수도권!$U$61</f>
        <v>99830.045678349328</v>
      </c>
      <c r="U13" s="747">
        <f t="shared" si="20"/>
        <v>-530.8433983844443</v>
      </c>
      <c r="V13" s="748">
        <f>+[6]수도권!$Q$85</f>
        <v>90663.316940607459</v>
      </c>
      <c r="W13" s="749">
        <f t="shared" si="21"/>
        <v>9166.7287377418688</v>
      </c>
      <c r="X13" s="105"/>
      <c r="Z13" s="790"/>
      <c r="AA13" s="668" t="str">
        <f t="shared" si="27"/>
        <v>기타</v>
      </c>
      <c r="AB13" s="675">
        <f t="shared" si="28"/>
        <v>1.6490750033333414</v>
      </c>
      <c r="AC13" s="681">
        <f t="shared" si="22"/>
        <v>1.6579909399999042</v>
      </c>
      <c r="AD13" s="678">
        <f t="shared" si="8"/>
        <v>8.9159366665627626E-3</v>
      </c>
      <c r="AE13" s="671">
        <f t="shared" si="23"/>
        <v>1.5166082100000586</v>
      </c>
      <c r="AF13" s="687">
        <f t="shared" si="9"/>
        <v>0.14138272999984558</v>
      </c>
      <c r="AG13" s="684">
        <f t="shared" si="24"/>
        <v>6.596300013333221</v>
      </c>
      <c r="AH13" s="681">
        <f t="shared" si="25"/>
        <v>6.5935363199998758</v>
      </c>
      <c r="AI13" s="678">
        <f t="shared" si="10"/>
        <v>-2.7636933333452518E-3</v>
      </c>
      <c r="AJ13" s="671">
        <f t="shared" si="26"/>
        <v>6.9753236400000604</v>
      </c>
      <c r="AK13" s="675">
        <f t="shared" si="11"/>
        <v>-0.38178732000018467</v>
      </c>
    </row>
    <row r="14" spans="2:38" ht="21.75" customHeight="1">
      <c r="B14" s="598"/>
      <c r="C14" s="117" t="s">
        <v>8</v>
      </c>
      <c r="D14" s="118"/>
      <c r="E14" s="780">
        <f>SUM(E10:E13)</f>
        <v>41860.841306465249</v>
      </c>
      <c r="F14" s="781">
        <f>SUM(F10:F13)</f>
        <v>44468.098589999994</v>
      </c>
      <c r="G14" s="753">
        <f t="shared" si="12"/>
        <v>2607.2572835347455</v>
      </c>
      <c r="H14" s="754">
        <f>SUM(H10:H13)</f>
        <v>43208.984908000006</v>
      </c>
      <c r="I14" s="755">
        <f t="shared" si="13"/>
        <v>1259.1136819999883</v>
      </c>
      <c r="J14" s="780">
        <f>SUM(J10:J13)</f>
        <v>148020.87756799618</v>
      </c>
      <c r="K14" s="781">
        <f>SUM(K10:K13)</f>
        <v>153279.23566599999</v>
      </c>
      <c r="L14" s="753">
        <f t="shared" si="1"/>
        <v>5258.3580980038096</v>
      </c>
      <c r="M14" s="754">
        <f>SUM(M10:M13)</f>
        <v>166751.07885300001</v>
      </c>
      <c r="N14" s="755">
        <f t="shared" si="2"/>
        <v>-13471.84318700002</v>
      </c>
      <c r="O14" s="100"/>
      <c r="P14" s="103"/>
      <c r="Q14" s="111"/>
      <c r="R14" s="303" t="s">
        <v>20</v>
      </c>
      <c r="S14" s="316">
        <f>+[5]영남권!$T$61</f>
        <v>101814.87737451738</v>
      </c>
      <c r="T14" s="112">
        <f>+[5]영남권!$U$61</f>
        <v>101618.83495007084</v>
      </c>
      <c r="U14" s="750">
        <f t="shared" si="20"/>
        <v>-196.04242444653937</v>
      </c>
      <c r="V14" s="751">
        <f>+[6]영남권!$Q$85</f>
        <v>95926.789874137816</v>
      </c>
      <c r="W14" s="752">
        <f t="shared" si="21"/>
        <v>5692.045075933027</v>
      </c>
      <c r="X14" s="105"/>
      <c r="Y14" s="598"/>
      <c r="Z14" s="696"/>
      <c r="AA14" s="706" t="s">
        <v>209</v>
      </c>
      <c r="AB14" s="707">
        <f>SUM(AB10:AB13)</f>
        <v>418.6084130646525</v>
      </c>
      <c r="AC14" s="724">
        <f t="shared" ref="AC14:AJ14" si="29">SUM(AC10:AC13)</f>
        <v>444.68098589999994</v>
      </c>
      <c r="AD14" s="708">
        <f t="shared" si="8"/>
        <v>26.072572835347444</v>
      </c>
      <c r="AE14" s="709">
        <f t="shared" si="29"/>
        <v>432.08984908000008</v>
      </c>
      <c r="AF14" s="710">
        <f t="shared" si="9"/>
        <v>12.591136819999861</v>
      </c>
      <c r="AG14" s="711">
        <f t="shared" si="29"/>
        <v>1480.2087756799617</v>
      </c>
      <c r="AH14" s="724">
        <f t="shared" si="29"/>
        <v>1532.79235666</v>
      </c>
      <c r="AI14" s="708">
        <f t="shared" si="10"/>
        <v>52.583580980038278</v>
      </c>
      <c r="AJ14" s="709">
        <f t="shared" si="29"/>
        <v>1667.5107885300001</v>
      </c>
      <c r="AK14" s="707">
        <f t="shared" si="11"/>
        <v>-134.71843187000013</v>
      </c>
    </row>
    <row r="15" spans="2:38" ht="21.75" customHeight="1">
      <c r="C15" s="101" t="s">
        <v>5</v>
      </c>
      <c r="D15" s="110" t="s">
        <v>53</v>
      </c>
      <c r="E15" s="775">
        <f>+('[1]4월'!$Z$10+'[1]4월'!$Z$19)/1000</f>
        <v>25958.206628128239</v>
      </c>
      <c r="F15" s="776">
        <f>+('[2]4월'!$Z$10+'[2]4월'!$Z$19)/1000</f>
        <v>28415.357178999999</v>
      </c>
      <c r="G15" s="777">
        <f t="shared" si="12"/>
        <v>2457.1505508717601</v>
      </c>
      <c r="H15" s="778">
        <f>+('[3]4월'!$Z$10+'[3]4월'!$Z$19)/1000</f>
        <v>25278.904363010006</v>
      </c>
      <c r="I15" s="779">
        <f t="shared" si="13"/>
        <v>3136.4528159899928</v>
      </c>
      <c r="J15" s="775">
        <f>+[4]손익총괄!J15+E15</f>
        <v>91757.223983003816</v>
      </c>
      <c r="K15" s="776">
        <f>+[4]손익총괄!K15+F15</f>
        <v>99332.256000000008</v>
      </c>
      <c r="L15" s="777">
        <f t="shared" si="1"/>
        <v>7575.0320169961924</v>
      </c>
      <c r="M15" s="778">
        <f>+[4]손익총괄!M15+H15</f>
        <v>100333.61472001001</v>
      </c>
      <c r="N15" s="779">
        <f t="shared" si="2"/>
        <v>-1001.358720010001</v>
      </c>
      <c r="O15" s="100"/>
      <c r="P15" s="103"/>
      <c r="Q15" s="111"/>
      <c r="R15" s="304" t="s">
        <v>169</v>
      </c>
      <c r="S15" s="317">
        <f>+[5]중부권!$T$61</f>
        <v>106153.21015929204</v>
      </c>
      <c r="T15" s="113">
        <f>+[5]중부권!$U$61</f>
        <v>106728.90198417631</v>
      </c>
      <c r="U15" s="753">
        <f t="shared" si="20"/>
        <v>575.69182488427032</v>
      </c>
      <c r="V15" s="754">
        <f>+[6]중부권!$Q$85</f>
        <v>99528.287095599764</v>
      </c>
      <c r="W15" s="755">
        <f t="shared" si="21"/>
        <v>7200.6148885765433</v>
      </c>
      <c r="X15" s="105"/>
      <c r="Z15" s="791" t="s">
        <v>208</v>
      </c>
      <c r="AA15" s="740" t="str">
        <f>+D30</f>
        <v>레미콘</v>
      </c>
      <c r="AB15" s="741">
        <f>+E30/100</f>
        <v>48.67799117771645</v>
      </c>
      <c r="AC15" s="742">
        <f t="shared" ref="AC15:AC19" si="30">+F30/100</f>
        <v>46.352461760000054</v>
      </c>
      <c r="AD15" s="743">
        <f t="shared" si="8"/>
        <v>-2.3255294177163961</v>
      </c>
      <c r="AE15" s="744">
        <f t="shared" ref="AE15:AE19" si="31">+H30/100</f>
        <v>45.732553279899946</v>
      </c>
      <c r="AF15" s="745">
        <f t="shared" si="9"/>
        <v>0.61990848010010779</v>
      </c>
      <c r="AG15" s="746">
        <f t="shared" ref="AG15:AH15" si="32">+J30/100</f>
        <v>132.42904093490745</v>
      </c>
      <c r="AH15" s="742">
        <f t="shared" si="32"/>
        <v>123.48633742999994</v>
      </c>
      <c r="AI15" s="743">
        <f t="shared" si="10"/>
        <v>-8.942703504907513</v>
      </c>
      <c r="AJ15" s="744">
        <f t="shared" ref="AJ15:AJ19" si="33">+M30/100</f>
        <v>170.3932537898998</v>
      </c>
      <c r="AK15" s="741">
        <f t="shared" si="11"/>
        <v>-46.906916359899867</v>
      </c>
    </row>
    <row r="16" spans="2:38" ht="21.75" customHeight="1">
      <c r="C16" s="101"/>
      <c r="D16" s="106" t="s">
        <v>3</v>
      </c>
      <c r="E16" s="773">
        <f>+('[1]4월'!$AA$10+'[1]4월'!$AA$19)/1000</f>
        <v>8700.442286315787</v>
      </c>
      <c r="F16" s="774">
        <f>+('[2]4월'!$AO$10+'[2]4월'!$AO$19)/1000</f>
        <v>8659.0857879999985</v>
      </c>
      <c r="G16" s="750">
        <f>+F16-E16</f>
        <v>-41.356498315788485</v>
      </c>
      <c r="H16" s="751">
        <f>+('[3]4월'!$AO$10+'[3]4월'!$AO$19)/1000</f>
        <v>11171.508393999999</v>
      </c>
      <c r="I16" s="752">
        <f>+F16-H16</f>
        <v>-2512.4226060000001</v>
      </c>
      <c r="J16" s="773">
        <f>+[4]손익총괄!J16+E16</f>
        <v>33262.447979452627</v>
      </c>
      <c r="K16" s="774">
        <f>+[4]손익총괄!K16+F16</f>
        <v>31058.810272999996</v>
      </c>
      <c r="L16" s="750">
        <f t="shared" si="1"/>
        <v>-2203.6377064526314</v>
      </c>
      <c r="M16" s="751">
        <f>+[4]손익총괄!M16+H16</f>
        <v>40559.505040999997</v>
      </c>
      <c r="N16" s="752">
        <f t="shared" si="2"/>
        <v>-9500.6947680000012</v>
      </c>
      <c r="O16" s="100"/>
      <c r="P16" s="103"/>
      <c r="Q16" s="114" t="s">
        <v>73</v>
      </c>
      <c r="R16" s="305"/>
      <c r="S16" s="318">
        <f>+[5]합계!$T$61</f>
        <v>102032.06452479702</v>
      </c>
      <c r="T16" s="115">
        <f>+[5]합계!$U$61</f>
        <v>101892.73306876901</v>
      </c>
      <c r="U16" s="756">
        <f>+T16-S16</f>
        <v>-139.33145602801233</v>
      </c>
      <c r="V16" s="757">
        <f>+[6]합계!$Q$85</f>
        <v>94591.9257838427</v>
      </c>
      <c r="W16" s="758">
        <f>+T16-V16</f>
        <v>7300.8072849263117</v>
      </c>
      <c r="X16" s="105"/>
      <c r="Z16" s="792"/>
      <c r="AA16" s="698" t="str">
        <f t="shared" ref="AA16" si="34">+D31</f>
        <v>%</v>
      </c>
      <c r="AB16" s="699">
        <f>+E31</f>
        <v>0.1546467526820603</v>
      </c>
      <c r="AC16" s="700">
        <f>+F31</f>
        <v>0.13740805063203923</v>
      </c>
      <c r="AD16" s="701">
        <f t="shared" si="8"/>
        <v>-1.7238702050021065E-2</v>
      </c>
      <c r="AE16" s="702">
        <f>+H31</f>
        <v>0.14979039706324998</v>
      </c>
      <c r="AF16" s="703">
        <f t="shared" si="9"/>
        <v>-1.238234643121075E-2</v>
      </c>
      <c r="AG16" s="704">
        <f>+J31</f>
        <v>0.12300643779813726</v>
      </c>
      <c r="AH16" s="700">
        <f>+K31</f>
        <v>0.10800313724202662</v>
      </c>
      <c r="AI16" s="701">
        <f t="shared" si="10"/>
        <v>-1.5003300556110641E-2</v>
      </c>
      <c r="AJ16" s="702">
        <f>+M31</f>
        <v>0.14195114454766691</v>
      </c>
      <c r="AK16" s="699">
        <f t="shared" si="11"/>
        <v>-3.3948007305640293E-2</v>
      </c>
      <c r="AL16" s="705"/>
    </row>
    <row r="17" spans="2:37" ht="21.75" customHeight="1">
      <c r="C17" s="101"/>
      <c r="D17" s="106" t="s">
        <v>1</v>
      </c>
      <c r="E17" s="773">
        <f>+('[1]4월'!$AE$10+'[1]4월'!$AE$19)/1000</f>
        <v>1154.4603767996941</v>
      </c>
      <c r="F17" s="774">
        <f>+('[2]4월'!$AN$10+'[2]4월'!$AN$19)/1000</f>
        <v>1547.4415899999999</v>
      </c>
      <c r="G17" s="750">
        <f t="shared" si="12"/>
        <v>392.98121320030577</v>
      </c>
      <c r="H17" s="751">
        <f>+('[3]4월'!$AN$10+'[3]4월'!$AN$19)/1000</f>
        <v>945.95218898999997</v>
      </c>
      <c r="I17" s="752">
        <f t="shared" si="13"/>
        <v>601.48940100999994</v>
      </c>
      <c r="J17" s="773">
        <f>+[4]손익총괄!J17+E17</f>
        <v>5123.38765807049</v>
      </c>
      <c r="K17" s="774">
        <f>+[4]손익총괄!K17+F17</f>
        <v>5776.7520540099995</v>
      </c>
      <c r="L17" s="750">
        <f t="shared" si="1"/>
        <v>653.36439593950945</v>
      </c>
      <c r="M17" s="751">
        <f>+[4]손익총괄!M17+H17</f>
        <v>4101.3853069799998</v>
      </c>
      <c r="N17" s="752">
        <f t="shared" si="2"/>
        <v>1675.3667470299997</v>
      </c>
      <c r="O17" s="100"/>
      <c r="P17" s="103"/>
      <c r="Q17" s="297" t="s">
        <v>75</v>
      </c>
      <c r="R17" s="306" t="s">
        <v>19</v>
      </c>
      <c r="S17" s="319">
        <f>+[5]수도권!$Q$90</f>
        <v>22648.608179852847</v>
      </c>
      <c r="T17" s="119">
        <f>+[5]수도권!$R$90</f>
        <v>19731.470343182533</v>
      </c>
      <c r="U17" s="759">
        <f t="shared" si="20"/>
        <v>-2917.1378366703138</v>
      </c>
      <c r="V17" s="760">
        <f>+[6]수도권!$Q$90</f>
        <v>18498.113398245827</v>
      </c>
      <c r="W17" s="761">
        <f t="shared" si="21"/>
        <v>1233.356944936706</v>
      </c>
      <c r="X17" s="105"/>
      <c r="Z17" s="792"/>
      <c r="AA17" s="669" t="str">
        <f t="shared" ref="AA17" si="35">+D32</f>
        <v>건자재</v>
      </c>
      <c r="AB17" s="677">
        <f t="shared" ref="AB17:AB19" si="36">+E32/100</f>
        <v>1.0736944315789809</v>
      </c>
      <c r="AC17" s="683">
        <f t="shared" si="30"/>
        <v>-6.1826679999985854E-2</v>
      </c>
      <c r="AD17" s="680">
        <f t="shared" si="8"/>
        <v>-1.1355211115789667</v>
      </c>
      <c r="AE17" s="673">
        <f t="shared" si="31"/>
        <v>1.1639870600000026</v>
      </c>
      <c r="AF17" s="689">
        <f t="shared" si="9"/>
        <v>-1.2258137399999884</v>
      </c>
      <c r="AG17" s="686">
        <f t="shared" ref="AG17:AH17" si="37">+J32/100</f>
        <v>3.6770904212632809</v>
      </c>
      <c r="AH17" s="683">
        <f t="shared" si="37"/>
        <v>1.4258456800000499</v>
      </c>
      <c r="AI17" s="680">
        <f t="shared" si="10"/>
        <v>-2.251244741263231</v>
      </c>
      <c r="AJ17" s="673">
        <f t="shared" si="33"/>
        <v>3.2260278000000526</v>
      </c>
      <c r="AK17" s="677">
        <f t="shared" si="11"/>
        <v>-1.8001821200000028</v>
      </c>
    </row>
    <row r="18" spans="2:37" ht="21.75" customHeight="1">
      <c r="C18" s="101"/>
      <c r="D18" s="116" t="s">
        <v>4</v>
      </c>
      <c r="E18" s="780">
        <f>+('[1]4월'!$E$10+'[1]4월'!$E$19)/1000-E15-E16-E17</f>
        <v>65.289347000001726</v>
      </c>
      <c r="F18" s="781">
        <f>+('[2]4월'!$F$10+'[2]4월'!$F$19)/1000-F15-F16-F17</f>
        <v>28.446047999998427</v>
      </c>
      <c r="G18" s="753">
        <f t="shared" si="12"/>
        <v>-36.843299000003299</v>
      </c>
      <c r="H18" s="754">
        <f>+('[3]4월'!$F$10+'[3]4월'!$F$19)/1000-H15-H16-H17</f>
        <v>24.654229999997142</v>
      </c>
      <c r="I18" s="755">
        <f t="shared" si="13"/>
        <v>3.7918180000012853</v>
      </c>
      <c r="J18" s="780">
        <f>+[4]손익총괄!J18+E18</f>
        <v>172.61401999999589</v>
      </c>
      <c r="K18" s="781">
        <f>+[4]손익총괄!K18+F18</f>
        <v>99.923078000002079</v>
      </c>
      <c r="L18" s="753">
        <f t="shared" si="1"/>
        <v>-72.690941999993811</v>
      </c>
      <c r="M18" s="754">
        <f>+[4]손익총괄!M18+H18</f>
        <v>56.103694000009455</v>
      </c>
      <c r="N18" s="755">
        <f t="shared" si="2"/>
        <v>43.819383999992624</v>
      </c>
      <c r="O18" s="100"/>
      <c r="P18" s="103"/>
      <c r="Q18" s="298"/>
      <c r="R18" s="307" t="s">
        <v>20</v>
      </c>
      <c r="S18" s="320">
        <f>+[5]영남권!$Q$90</f>
        <v>26393.3693762896</v>
      </c>
      <c r="T18" s="120">
        <f>+[5]영남권!$R$90</f>
        <v>23376.451103679865</v>
      </c>
      <c r="U18" s="762">
        <f t="shared" si="20"/>
        <v>-3016.9182726097351</v>
      </c>
      <c r="V18" s="763">
        <f>+[6]영남권!$Q$90</f>
        <v>24977.735173355773</v>
      </c>
      <c r="W18" s="764">
        <f t="shared" si="21"/>
        <v>-1601.2840696759085</v>
      </c>
      <c r="X18" s="105"/>
      <c r="Z18" s="792"/>
      <c r="AA18" s="669" t="str">
        <f t="shared" ref="AA18" si="38">+D33</f>
        <v>골재</v>
      </c>
      <c r="AB18" s="677">
        <f t="shared" si="36"/>
        <v>4.7376714030961865E-2</v>
      </c>
      <c r="AC18" s="683">
        <f t="shared" si="30"/>
        <v>1.5387744550510729</v>
      </c>
      <c r="AD18" s="680">
        <f t="shared" si="8"/>
        <v>1.4913977410201111</v>
      </c>
      <c r="AE18" s="673">
        <f t="shared" si="31"/>
        <v>1.3387514901000004</v>
      </c>
      <c r="AF18" s="689">
        <f t="shared" si="9"/>
        <v>0.20002296495107252</v>
      </c>
      <c r="AG18" s="686">
        <f t="shared" ref="AG18:AH18" si="39">+J33/100</f>
        <v>1.0872357140775319</v>
      </c>
      <c r="AH18" s="683">
        <f t="shared" si="39"/>
        <v>5.7299813836672193</v>
      </c>
      <c r="AI18" s="680">
        <f t="shared" si="10"/>
        <v>4.6427456695896874</v>
      </c>
      <c r="AJ18" s="673">
        <f t="shared" si="33"/>
        <v>4.4935755002000022</v>
      </c>
      <c r="AK18" s="677">
        <f t="shared" si="11"/>
        <v>1.2364058834672171</v>
      </c>
    </row>
    <row r="19" spans="2:37" ht="21.75" customHeight="1">
      <c r="C19" s="101" t="s">
        <v>8</v>
      </c>
      <c r="D19" s="121"/>
      <c r="E19" s="773">
        <f>SUM(E15:E18)</f>
        <v>35878.398638243729</v>
      </c>
      <c r="F19" s="774">
        <f>SUM(F15:F18)</f>
        <v>38650.330604999996</v>
      </c>
      <c r="G19" s="750">
        <f t="shared" si="12"/>
        <v>2771.9319667562668</v>
      </c>
      <c r="H19" s="751">
        <f>SUM(H15:H18)</f>
        <v>37421.019176000002</v>
      </c>
      <c r="I19" s="752">
        <f t="shared" si="13"/>
        <v>1229.311428999994</v>
      </c>
      <c r="J19" s="773">
        <f>SUM(J15:J18)</f>
        <v>130315.67364052693</v>
      </c>
      <c r="K19" s="774">
        <f>SUM(K15:K18)</f>
        <v>136267.74140500999</v>
      </c>
      <c r="L19" s="750">
        <f t="shared" si="1"/>
        <v>5952.0677644830575</v>
      </c>
      <c r="M19" s="751">
        <f>SUM(M15:M18)</f>
        <v>145050.60876199001</v>
      </c>
      <c r="N19" s="752">
        <f t="shared" si="2"/>
        <v>-8782.8673569800158</v>
      </c>
      <c r="O19" s="100"/>
      <c r="P19" s="103"/>
      <c r="Q19" s="298"/>
      <c r="R19" s="308" t="s">
        <v>169</v>
      </c>
      <c r="S19" s="321">
        <f>+[5]중부권!$Q$90</f>
        <v>30392.701226378282</v>
      </c>
      <c r="T19" s="122">
        <f>+[5]중부권!$R$90</f>
        <v>31984.708210314828</v>
      </c>
      <c r="U19" s="765">
        <f t="shared" si="20"/>
        <v>1592.006983936546</v>
      </c>
      <c r="V19" s="766">
        <f>+[6]중부권!$Q$90</f>
        <v>30457.498693483358</v>
      </c>
      <c r="W19" s="767">
        <f t="shared" si="21"/>
        <v>1527.20951683147</v>
      </c>
      <c r="X19" s="105"/>
      <c r="Z19" s="792"/>
      <c r="AA19" s="669" t="str">
        <f t="shared" ref="AA19" si="40">+D34</f>
        <v>기타</v>
      </c>
      <c r="AB19" s="677">
        <f t="shared" si="36"/>
        <v>-15.239123473037001</v>
      </c>
      <c r="AC19" s="683">
        <f t="shared" si="30"/>
        <v>-14.805655995016163</v>
      </c>
      <c r="AD19" s="680">
        <f t="shared" si="8"/>
        <v>0.4334674780208374</v>
      </c>
      <c r="AE19" s="673">
        <f t="shared" si="31"/>
        <v>-12.834429189999915</v>
      </c>
      <c r="AF19" s="689">
        <f t="shared" si="9"/>
        <v>-1.9712268050162489</v>
      </c>
      <c r="AG19" s="686">
        <f t="shared" ref="AG19:AH19" si="41">+J34/100</f>
        <v>-49.518755878053035</v>
      </c>
      <c r="AH19" s="683">
        <f t="shared" si="41"/>
        <v>-66.108220273758818</v>
      </c>
      <c r="AI19" s="680">
        <f t="shared" si="10"/>
        <v>-16.589464395705782</v>
      </c>
      <c r="AJ19" s="673">
        <f t="shared" si="33"/>
        <v>-42.509067680000037</v>
      </c>
      <c r="AK19" s="677">
        <f t="shared" si="11"/>
        <v>-23.599152593758781</v>
      </c>
    </row>
    <row r="20" spans="2:37" ht="21.75" customHeight="1">
      <c r="C20" s="109" t="s">
        <v>18</v>
      </c>
      <c r="D20" s="110" t="s">
        <v>53</v>
      </c>
      <c r="E20" s="775">
        <f t="shared" ref="E20:F23" si="42">+E10-E15</f>
        <v>5518.6852777716449</v>
      </c>
      <c r="F20" s="776">
        <f t="shared" si="42"/>
        <v>5318.0824170000051</v>
      </c>
      <c r="G20" s="777">
        <f t="shared" si="12"/>
        <v>-200.60286077163983</v>
      </c>
      <c r="H20" s="778">
        <f t="shared" ref="H20" si="43">+H10-H15</f>
        <v>5252.1271159899952</v>
      </c>
      <c r="I20" s="779">
        <f t="shared" si="13"/>
        <v>65.955301010009862</v>
      </c>
      <c r="J20" s="775">
        <f t="shared" ref="J20:K20" si="44">+J10-J15</f>
        <v>15903.028037490745</v>
      </c>
      <c r="K20" s="776">
        <f t="shared" si="44"/>
        <v>15003.624033999993</v>
      </c>
      <c r="L20" s="777">
        <f t="shared" si="1"/>
        <v>-899.40400349075207</v>
      </c>
      <c r="M20" s="778">
        <f t="shared" ref="M20" si="45">+M10-M15</f>
        <v>19702.933299989978</v>
      </c>
      <c r="N20" s="779">
        <f t="shared" si="2"/>
        <v>-4699.3092659899849</v>
      </c>
      <c r="O20" s="100"/>
      <c r="P20" s="103"/>
      <c r="Q20" s="299" t="s">
        <v>73</v>
      </c>
      <c r="R20" s="309"/>
      <c r="S20" s="322">
        <f>+[5]합계!$Q$90</f>
        <v>25638.84426434958</v>
      </c>
      <c r="T20" s="123">
        <f>+[5]합계!$R$90</f>
        <v>23604.167751300134</v>
      </c>
      <c r="U20" s="768">
        <f t="shared" si="20"/>
        <v>-2034.6765130494459</v>
      </c>
      <c r="V20" s="769">
        <f>+[6]합계!$Q$90</f>
        <v>23526.665587622192</v>
      </c>
      <c r="W20" s="770">
        <f t="shared" si="21"/>
        <v>77.502163677942008</v>
      </c>
      <c r="X20" s="105"/>
      <c r="Z20" s="792"/>
      <c r="AA20" s="712" t="s">
        <v>209</v>
      </c>
      <c r="AB20" s="713">
        <f>+AB15+AB17+AB18+AB19</f>
        <v>34.559938850289385</v>
      </c>
      <c r="AC20" s="725">
        <f>+AC15+AC17+AC18+AC19</f>
        <v>33.023753540034974</v>
      </c>
      <c r="AD20" s="714">
        <f t="shared" si="8"/>
        <v>-1.5361853102544103</v>
      </c>
      <c r="AE20" s="715">
        <f>+AE15+AE17+AE18+AE19</f>
        <v>35.400862640000035</v>
      </c>
      <c r="AF20" s="716">
        <f t="shared" si="9"/>
        <v>-2.377109099965061</v>
      </c>
      <c r="AG20" s="717">
        <f t="shared" ref="AG20:AH20" si="46">+AG15+AG17+AG18+AG19</f>
        <v>87.674611192195215</v>
      </c>
      <c r="AH20" s="725">
        <f t="shared" si="46"/>
        <v>64.533944219908378</v>
      </c>
      <c r="AI20" s="714">
        <f t="shared" si="10"/>
        <v>-23.140666972286837</v>
      </c>
      <c r="AJ20" s="715">
        <f>+AJ15+AJ17+AJ18+AJ19</f>
        <v>135.60378941009981</v>
      </c>
      <c r="AK20" s="713">
        <f t="shared" si="11"/>
        <v>-71.06984519019143</v>
      </c>
    </row>
    <row r="21" spans="2:37" ht="21.75" customHeight="1" thickBot="1">
      <c r="C21" s="101"/>
      <c r="D21" s="106" t="s">
        <v>3</v>
      </c>
      <c r="E21" s="773">
        <f t="shared" si="42"/>
        <v>228.87350315789809</v>
      </c>
      <c r="F21" s="774">
        <f t="shared" si="42"/>
        <v>162.95370400000138</v>
      </c>
      <c r="G21" s="750">
        <f>+F21-E21</f>
        <v>-65.919799157896705</v>
      </c>
      <c r="H21" s="751">
        <f t="shared" ref="H21" si="47">+H11-H16</f>
        <v>237.10661400000026</v>
      </c>
      <c r="I21" s="752">
        <f>+F21-H21</f>
        <v>-74.152909999998883</v>
      </c>
      <c r="J21" s="773">
        <f t="shared" ref="J21:K21" si="48">+J11-J16</f>
        <v>874.32465212632815</v>
      </c>
      <c r="K21" s="774">
        <f t="shared" si="48"/>
        <v>696.76214700000492</v>
      </c>
      <c r="L21" s="750">
        <f t="shared" si="1"/>
        <v>-177.56250512632323</v>
      </c>
      <c r="M21" s="751">
        <f t="shared" ref="M21" si="49">+M11-M16</f>
        <v>812.18452800000523</v>
      </c>
      <c r="N21" s="752">
        <f t="shared" si="2"/>
        <v>-115.42238100000031</v>
      </c>
      <c r="O21" s="100"/>
      <c r="P21" s="103"/>
      <c r="Q21" s="157" t="s">
        <v>106</v>
      </c>
      <c r="R21" s="158"/>
      <c r="S21" s="159"/>
      <c r="T21" s="165"/>
      <c r="U21" s="159"/>
      <c r="X21" s="105"/>
      <c r="Z21" s="697"/>
      <c r="AA21" s="718" t="str">
        <f t="shared" ref="AA21:AK21" si="50">+D36</f>
        <v>%</v>
      </c>
      <c r="AB21" s="719">
        <f t="shared" si="50"/>
        <v>8.2559111980751665E-2</v>
      </c>
      <c r="AC21" s="726">
        <f t="shared" si="50"/>
        <v>7.4263920849229587E-2</v>
      </c>
      <c r="AD21" s="720">
        <f t="shared" si="50"/>
        <v>-8.2951911315220783E-3</v>
      </c>
      <c r="AE21" s="721">
        <f t="shared" si="50"/>
        <v>8.1929401293215007E-2</v>
      </c>
      <c r="AF21" s="722">
        <f t="shared" si="50"/>
        <v>-7.6654804439854202E-3</v>
      </c>
      <c r="AG21" s="723">
        <f t="shared" si="50"/>
        <v>5.9231246721882347E-2</v>
      </c>
      <c r="AH21" s="726">
        <f t="shared" si="50"/>
        <v>4.2102209043193409E-2</v>
      </c>
      <c r="AI21" s="720">
        <f t="shared" si="50"/>
        <v>-1.7129037678688938E-2</v>
      </c>
      <c r="AJ21" s="721">
        <f t="shared" si="50"/>
        <v>8.1321086701718892E-2</v>
      </c>
      <c r="AK21" s="719">
        <f t="shared" si="50"/>
        <v>-3.9218877658525483E-2</v>
      </c>
    </row>
    <row r="22" spans="2:37" ht="21.75" customHeight="1">
      <c r="C22" s="101"/>
      <c r="D22" s="106" t="s">
        <v>1</v>
      </c>
      <c r="E22" s="773">
        <f t="shared" si="42"/>
        <v>135.26573395865171</v>
      </c>
      <c r="F22" s="774">
        <f t="shared" si="42"/>
        <v>199.37881800000014</v>
      </c>
      <c r="G22" s="750">
        <f t="shared" si="12"/>
        <v>64.113084041348429</v>
      </c>
      <c r="H22" s="751">
        <f t="shared" ref="H22" si="51">+H12-H17</f>
        <v>171.72541101000002</v>
      </c>
      <c r="I22" s="752">
        <f t="shared" si="13"/>
        <v>27.653406990000121</v>
      </c>
      <c r="J22" s="773">
        <f t="shared" ref="J22:K22" si="52">+J12-J17</f>
        <v>440.8352565188643</v>
      </c>
      <c r="K22" s="774">
        <f t="shared" si="52"/>
        <v>751.6775259900005</v>
      </c>
      <c r="L22" s="750">
        <f t="shared" si="1"/>
        <v>310.84226947113621</v>
      </c>
      <c r="M22" s="751">
        <f t="shared" ref="M22" si="53">+M12-M17</f>
        <v>543.92359302000023</v>
      </c>
      <c r="N22" s="752">
        <f t="shared" si="2"/>
        <v>207.75393297000028</v>
      </c>
      <c r="O22" s="100"/>
      <c r="P22" s="103"/>
      <c r="Q22" s="345" t="s">
        <v>11</v>
      </c>
      <c r="R22" s="346"/>
      <c r="S22" s="347" t="s">
        <v>15</v>
      </c>
      <c r="T22" s="348" t="s">
        <v>16</v>
      </c>
      <c r="U22" s="349" t="s">
        <v>113</v>
      </c>
      <c r="V22" s="348" t="s">
        <v>17</v>
      </c>
      <c r="W22" s="350" t="s">
        <v>114</v>
      </c>
      <c r="X22" s="105"/>
      <c r="Z22" s="786" t="s">
        <v>231</v>
      </c>
    </row>
    <row r="23" spans="2:37" ht="21.75" customHeight="1">
      <c r="C23" s="101"/>
      <c r="D23" s="116" t="s">
        <v>4</v>
      </c>
      <c r="E23" s="780">
        <f t="shared" si="42"/>
        <v>99.61815333333243</v>
      </c>
      <c r="F23" s="781">
        <f t="shared" si="42"/>
        <v>137.35304599999199</v>
      </c>
      <c r="G23" s="753">
        <f t="shared" si="12"/>
        <v>37.734892666659562</v>
      </c>
      <c r="H23" s="754">
        <f t="shared" ref="H23" si="54">+H13-H18</f>
        <v>127.00659100000871</v>
      </c>
      <c r="I23" s="755">
        <f t="shared" si="13"/>
        <v>10.34645499998328</v>
      </c>
      <c r="J23" s="780">
        <f t="shared" ref="J23:K23" si="55">+J13-J18</f>
        <v>487.01598133332618</v>
      </c>
      <c r="K23" s="781">
        <f t="shared" si="55"/>
        <v>559.43055399998548</v>
      </c>
      <c r="L23" s="753">
        <f t="shared" si="1"/>
        <v>72.414572666659296</v>
      </c>
      <c r="M23" s="754">
        <f t="shared" ref="M23" si="56">+M13-M18</f>
        <v>641.4286699999966</v>
      </c>
      <c r="N23" s="755">
        <f t="shared" si="2"/>
        <v>-81.998116000011123</v>
      </c>
      <c r="O23" s="100"/>
      <c r="P23" s="103"/>
      <c r="Q23" s="160" t="s">
        <v>107</v>
      </c>
      <c r="R23" s="161"/>
      <c r="S23" s="331">
        <f>+'[7]4월'!$F$10</f>
        <v>978767.12328767125</v>
      </c>
      <c r="T23" s="337">
        <f>+'[7]4월'!$G$10</f>
        <v>853042.90795678552</v>
      </c>
      <c r="U23" s="334">
        <f>+T23-S23</f>
        <v>-125724.21533088572</v>
      </c>
      <c r="V23" s="313">
        <f>+'[8]4월'!$G$10</f>
        <v>1048311.1321207784</v>
      </c>
      <c r="W23" s="310">
        <f>+T23-V23</f>
        <v>-195268.22416399291</v>
      </c>
      <c r="X23" s="105"/>
    </row>
    <row r="24" spans="2:37" ht="21.75" customHeight="1">
      <c r="C24" s="117" t="s">
        <v>8</v>
      </c>
      <c r="D24" s="118"/>
      <c r="E24" s="780">
        <f>SUM(E20:E23)</f>
        <v>5982.4426682215271</v>
      </c>
      <c r="F24" s="781">
        <f>SUM(F20:F23)</f>
        <v>5817.7679849999986</v>
      </c>
      <c r="G24" s="753">
        <f t="shared" si="12"/>
        <v>-164.67468322152854</v>
      </c>
      <c r="H24" s="754">
        <f>SUM(H20:H23)</f>
        <v>5787.9657320000042</v>
      </c>
      <c r="I24" s="755">
        <f t="shared" si="13"/>
        <v>29.80225299999438</v>
      </c>
      <c r="J24" s="780">
        <f>SUM(J20:J23)</f>
        <v>17705.203927469265</v>
      </c>
      <c r="K24" s="781">
        <f>SUM(K20:K23)</f>
        <v>17011.494260989981</v>
      </c>
      <c r="L24" s="753">
        <f t="shared" si="1"/>
        <v>-693.70966647928435</v>
      </c>
      <c r="M24" s="754">
        <f>SUM(M20:M23)</f>
        <v>21700.470091009982</v>
      </c>
      <c r="N24" s="755">
        <f t="shared" si="2"/>
        <v>-4688.975830020001</v>
      </c>
      <c r="O24" s="100"/>
      <c r="P24" s="103"/>
      <c r="Q24" s="162" t="s">
        <v>108</v>
      </c>
      <c r="R24" s="163"/>
      <c r="S24" s="332">
        <f>+'[7]4월'!$F$15</f>
        <v>2.3347095871238628E-2</v>
      </c>
      <c r="T24" s="338">
        <f>+'[7]4월'!$G$15</f>
        <v>1.8146921038230335E-2</v>
      </c>
      <c r="U24" s="335">
        <f>+T24-S24</f>
        <v>-5.2001748330082927E-3</v>
      </c>
      <c r="V24" s="314">
        <f>+'[8]4월'!$G$15</f>
        <v>2.1217440660067709E-2</v>
      </c>
      <c r="W24" s="311">
        <f>+T24-V24</f>
        <v>-3.070519621837374E-3</v>
      </c>
      <c r="X24" s="105"/>
    </row>
    <row r="25" spans="2:37" ht="21.75" customHeight="1">
      <c r="C25" s="109" t="s">
        <v>6</v>
      </c>
      <c r="D25" s="110" t="s">
        <v>53</v>
      </c>
      <c r="E25" s="775">
        <f>+('[1]4월'!$Z$13+'[1]4월'!$Z$20)/1000</f>
        <v>650.88616000000002</v>
      </c>
      <c r="F25" s="776">
        <f>+('[2]4월'!$Z$13+'[2]4월'!$Z$20)/1000</f>
        <v>682.8362410000002</v>
      </c>
      <c r="G25" s="777">
        <f t="shared" si="12"/>
        <v>31.950081000000182</v>
      </c>
      <c r="H25" s="778">
        <f>+('[3]4월'!$Z$13+'[3]4월'!$Z$20)/1000</f>
        <v>678.87178799999992</v>
      </c>
      <c r="I25" s="779">
        <f t="shared" si="13"/>
        <v>3.964453000000276</v>
      </c>
      <c r="J25" s="775">
        <f>+[4]손익총괄!J25+E25</f>
        <v>2660.1239439999999</v>
      </c>
      <c r="K25" s="776">
        <f>+[4]손익총괄!K25+F25</f>
        <v>2654.9902910000001</v>
      </c>
      <c r="L25" s="777">
        <f t="shared" si="1"/>
        <v>-5.1336529999998675</v>
      </c>
      <c r="M25" s="778">
        <f>+[4]손익총괄!M25+H25</f>
        <v>2663.6079210000003</v>
      </c>
      <c r="N25" s="779">
        <f t="shared" si="2"/>
        <v>-8.6176300000001902</v>
      </c>
      <c r="O25" s="100"/>
      <c r="P25" s="103"/>
      <c r="Q25" s="157" t="s">
        <v>109</v>
      </c>
      <c r="R25" s="164"/>
      <c r="S25" s="75"/>
      <c r="T25" s="165"/>
      <c r="U25" s="75"/>
      <c r="X25" s="105"/>
    </row>
    <row r="26" spans="2:37" ht="21.75" customHeight="1">
      <c r="C26" s="101"/>
      <c r="D26" s="106" t="s">
        <v>85</v>
      </c>
      <c r="E26" s="773">
        <f>+('[1]4월'!$AA$13+'[1]4월'!$AA$20)/1000</f>
        <v>121.50406</v>
      </c>
      <c r="F26" s="774">
        <f>+('[2]4월'!$AO$13+'[2]4월'!$AO$20)/1000</f>
        <v>169.13637199999997</v>
      </c>
      <c r="G26" s="750">
        <f>+F26-E26</f>
        <v>47.63231199999997</v>
      </c>
      <c r="H26" s="751">
        <f>+('[3]4월'!$AO$13+'[3]4월'!$AO$20)/1000</f>
        <v>120.707908</v>
      </c>
      <c r="I26" s="752">
        <f>+F26-H26</f>
        <v>48.428463999999963</v>
      </c>
      <c r="J26" s="773">
        <f>+[4]손익총괄!J26+E26</f>
        <v>506.61561000000006</v>
      </c>
      <c r="K26" s="774">
        <f>+[4]손익총괄!K26+F26</f>
        <v>554.17757899999992</v>
      </c>
      <c r="L26" s="750">
        <f t="shared" si="1"/>
        <v>47.561968999999863</v>
      </c>
      <c r="M26" s="751">
        <f>+[4]손익총괄!M26+H26</f>
        <v>489.58174799999995</v>
      </c>
      <c r="N26" s="752">
        <f t="shared" si="2"/>
        <v>64.595830999999976</v>
      </c>
      <c r="O26" s="100"/>
      <c r="P26" s="103"/>
      <c r="Q26" s="345" t="s">
        <v>11</v>
      </c>
      <c r="R26" s="346"/>
      <c r="S26" s="347" t="s">
        <v>15</v>
      </c>
      <c r="T26" s="348" t="s">
        <v>16</v>
      </c>
      <c r="U26" s="349" t="s">
        <v>113</v>
      </c>
      <c r="V26" s="348" t="s">
        <v>17</v>
      </c>
      <c r="W26" s="350" t="s">
        <v>114</v>
      </c>
      <c r="X26" s="105"/>
    </row>
    <row r="27" spans="2:37" ht="21.75" customHeight="1">
      <c r="C27" s="101"/>
      <c r="D27" s="106" t="s">
        <v>1</v>
      </c>
      <c r="E27" s="773">
        <f>+('[1]4월'!$AE$13+'[1]4월'!$AE$20+'[1]4월'!$AE$22)/1000</f>
        <v>130.52806255555552</v>
      </c>
      <c r="F27" s="774">
        <f>+('[2]4월'!$AN$13+'[2]4월'!$AN$20+'[2]4월'!$AN$22)/1000</f>
        <v>45.501372494892841</v>
      </c>
      <c r="G27" s="750">
        <f t="shared" si="12"/>
        <v>-85.026690060662673</v>
      </c>
      <c r="H27" s="751">
        <f>+('[3]4월'!$AN$13+'[3]4월'!$AN$20+'[3]4월'!$AN$22)/1000</f>
        <v>37.850261999999994</v>
      </c>
      <c r="I27" s="752">
        <f t="shared" si="13"/>
        <v>7.6511104948928477</v>
      </c>
      <c r="J27" s="773">
        <f>+[4]손익총괄!J27+E27</f>
        <v>332.11168511111111</v>
      </c>
      <c r="K27" s="774">
        <f>+[4]손익총괄!K27+F27</f>
        <v>178.67938762327853</v>
      </c>
      <c r="L27" s="750">
        <f t="shared" si="1"/>
        <v>-153.43229748783259</v>
      </c>
      <c r="M27" s="751">
        <f>+[4]손익총괄!M27+H27</f>
        <v>94.566042999999979</v>
      </c>
      <c r="N27" s="752">
        <f t="shared" si="2"/>
        <v>84.11334462327855</v>
      </c>
      <c r="O27" s="100"/>
      <c r="P27" s="103"/>
      <c r="Q27" s="1" t="s">
        <v>110</v>
      </c>
      <c r="R27" s="300" t="s">
        <v>111</v>
      </c>
      <c r="S27" s="331">
        <f>(+'[9]서부산크라샤(당월)'!$N$66+'[9]부산모래장(당월)'!$Q$48+'[9]부산크라샤(당월)'!$N$66)/1000</f>
        <v>31.530283122654509</v>
      </c>
      <c r="T27" s="337">
        <f>(+'[9]서부산크라샤(당월)'!$O$66+'[9]부산모래장(당월)'!$R$48+'[9]부산크라샤(당월)'!$O$66)/1000</f>
        <v>51.816000000000003</v>
      </c>
      <c r="U27" s="334">
        <f>+T27-S27</f>
        <v>20.285716877345493</v>
      </c>
      <c r="V27" s="313">
        <f>('[10]부산골재(당월)'!$R$48+'[10]서부산골재(당월)'!$O$66+'[10]부산크라샤(당월)'!$O$66)/1000</f>
        <v>32.340000000000003</v>
      </c>
      <c r="W27" s="310">
        <f>+T27-V27</f>
        <v>19.475999999999999</v>
      </c>
      <c r="X27" s="105"/>
    </row>
    <row r="28" spans="2:37" ht="21.75" customHeight="1">
      <c r="B28" s="98"/>
      <c r="C28" s="101"/>
      <c r="D28" s="116" t="s">
        <v>4</v>
      </c>
      <c r="E28" s="780">
        <f>+('[1]4월'!$E$13+'[1]4월'!$E$20)/1000-E25-E26-E27+('[1]4월'!$E$22/1000)</f>
        <v>1623.5305006370324</v>
      </c>
      <c r="F28" s="781">
        <f>+('[2]4월'!$F$13+'[2]4월'!$F$20)/1000-F25-F26-F27+'[2]4월'!$F$22/1000</f>
        <v>1617.9186455016084</v>
      </c>
      <c r="G28" s="753">
        <f t="shared" si="12"/>
        <v>-5.6118551354240935</v>
      </c>
      <c r="H28" s="754">
        <f>+('[3]4월'!$F$13+'[3]4월'!$F$20)/1000-H25-H26-H27+'[3]4월'!$F$22/1000</f>
        <v>1410.4495100000001</v>
      </c>
      <c r="I28" s="755">
        <f t="shared" si="13"/>
        <v>207.46913550160821</v>
      </c>
      <c r="J28" s="780">
        <f>+[4]손익총괄!J28+E28</f>
        <v>5438.8915691386301</v>
      </c>
      <c r="K28" s="781">
        <f>+[4]손익총괄!K28+F28</f>
        <v>7170.2525813758675</v>
      </c>
      <c r="L28" s="753">
        <f t="shared" si="1"/>
        <v>1731.3610122372374</v>
      </c>
      <c r="M28" s="754">
        <f>+[4]손익총괄!M28+H28</f>
        <v>4892.3354380000001</v>
      </c>
      <c r="N28" s="755">
        <f t="shared" si="2"/>
        <v>2277.9171433758675</v>
      </c>
      <c r="O28" s="100"/>
      <c r="P28" s="103"/>
      <c r="Q28" s="2"/>
      <c r="R28" s="301" t="s">
        <v>112</v>
      </c>
      <c r="S28" s="333">
        <f>(+'[9]서부산크라샤(당월)'!$N$59+'[9]부산모래장(당월)'!$Q$47+'[9]부산크라샤(당월)'!$N$59)/1000</f>
        <v>27.5</v>
      </c>
      <c r="T28" s="154">
        <f>(+'[9]서부산크라샤(당월)'!$O$59+'[9]부산모래장(당월)'!$R$47+'[9]부산크라샤(당월)'!$O$59)/1000</f>
        <v>34.527000000000001</v>
      </c>
      <c r="U28" s="336">
        <f>+T28-S28</f>
        <v>7.027000000000001</v>
      </c>
      <c r="V28" s="73">
        <f>+('[10]부산골재(당월)'!$R$47+'[10]서부산골재(당월)'!$O$59+'[10]부산크라샤(당월)'!$O$59)/1000</f>
        <v>25.899000000000001</v>
      </c>
      <c r="W28" s="312">
        <f>+T28-V28</f>
        <v>8.6280000000000001</v>
      </c>
      <c r="X28" s="105"/>
    </row>
    <row r="29" spans="2:37" ht="21.75" customHeight="1">
      <c r="C29" s="117" t="s">
        <v>8</v>
      </c>
      <c r="D29" s="118"/>
      <c r="E29" s="780">
        <f>SUM(E25:E28)</f>
        <v>2526.4487831925881</v>
      </c>
      <c r="F29" s="781">
        <f>SUM(F25:F28)</f>
        <v>2515.3926309965013</v>
      </c>
      <c r="G29" s="753">
        <f t="shared" si="12"/>
        <v>-11.056152196086714</v>
      </c>
      <c r="H29" s="754">
        <f>SUM(H25:H28)</f>
        <v>2247.8794680000001</v>
      </c>
      <c r="I29" s="755">
        <f t="shared" si="13"/>
        <v>267.51316299650125</v>
      </c>
      <c r="J29" s="780">
        <f>SUM(J25:J28)</f>
        <v>8937.7428082497408</v>
      </c>
      <c r="K29" s="781">
        <f>SUM(K25:K28)</f>
        <v>10558.099838999147</v>
      </c>
      <c r="L29" s="753">
        <f t="shared" si="1"/>
        <v>1620.3570307494065</v>
      </c>
      <c r="M29" s="754">
        <f>SUM(M25:M28)</f>
        <v>8140.0911500000002</v>
      </c>
      <c r="N29" s="755">
        <f t="shared" si="2"/>
        <v>2418.0086889991471</v>
      </c>
      <c r="O29" s="100"/>
      <c r="P29" s="103"/>
      <c r="Q29" s="809" t="s">
        <v>141</v>
      </c>
      <c r="R29" s="810"/>
      <c r="S29" s="333">
        <f>SUM(S27:S28)</f>
        <v>59.030283122654509</v>
      </c>
      <c r="T29" s="154">
        <f>SUM(T27:T28)</f>
        <v>86.343000000000004</v>
      </c>
      <c r="U29" s="336">
        <f>+T29-S29</f>
        <v>27.312716877345494</v>
      </c>
      <c r="V29" s="73">
        <f>SUM(V27:V28)</f>
        <v>58.239000000000004</v>
      </c>
      <c r="W29" s="312">
        <f>+T29-V29</f>
        <v>28.103999999999999</v>
      </c>
      <c r="X29" s="105"/>
    </row>
    <row r="30" spans="2:37" ht="21.75" customHeight="1">
      <c r="B30" s="598"/>
      <c r="C30" s="101" t="s">
        <v>7</v>
      </c>
      <c r="D30" s="110" t="s">
        <v>53</v>
      </c>
      <c r="E30" s="775">
        <f>+E20-E25</f>
        <v>4867.7991177716449</v>
      </c>
      <c r="F30" s="782">
        <f>+F20-F25</f>
        <v>4635.2461760000051</v>
      </c>
      <c r="G30" s="777">
        <f t="shared" si="12"/>
        <v>-232.55294177163978</v>
      </c>
      <c r="H30" s="778">
        <f>+H20-H25</f>
        <v>4573.2553279899948</v>
      </c>
      <c r="I30" s="779">
        <f t="shared" si="13"/>
        <v>61.990848010010268</v>
      </c>
      <c r="J30" s="775">
        <f>+J20-J25</f>
        <v>13242.904093490746</v>
      </c>
      <c r="K30" s="782">
        <f>+K20-K25</f>
        <v>12348.633742999993</v>
      </c>
      <c r="L30" s="777">
        <f t="shared" si="1"/>
        <v>-894.27035049075312</v>
      </c>
      <c r="M30" s="778">
        <f>+M20-M25</f>
        <v>17039.325378989979</v>
      </c>
      <c r="N30" s="779">
        <f t="shared" si="2"/>
        <v>-4690.691635989986</v>
      </c>
      <c r="O30" s="100"/>
      <c r="P30" s="103"/>
      <c r="Q30" s="157" t="s">
        <v>184</v>
      </c>
      <c r="X30" s="105"/>
      <c r="Z30" s="598"/>
      <c r="AA30" s="598"/>
    </row>
    <row r="31" spans="2:37" ht="21.75" customHeight="1">
      <c r="B31" s="598"/>
      <c r="C31" s="101"/>
      <c r="D31" s="124" t="s">
        <v>10</v>
      </c>
      <c r="E31" s="323">
        <f>+E30/E10</f>
        <v>0.1546467526820603</v>
      </c>
      <c r="F31" s="329">
        <f>+F30/F10</f>
        <v>0.13740805063203923</v>
      </c>
      <c r="G31" s="326">
        <f t="shared" si="12"/>
        <v>-1.7238702050021065E-2</v>
      </c>
      <c r="H31" s="125">
        <f>+H30/H10</f>
        <v>0.14979039706324998</v>
      </c>
      <c r="I31" s="126">
        <f t="shared" si="13"/>
        <v>-1.238234643121075E-2</v>
      </c>
      <c r="J31" s="323">
        <f>+J30/J10</f>
        <v>0.12300643779813726</v>
      </c>
      <c r="K31" s="329">
        <f>+K30/K10</f>
        <v>0.10800313724202662</v>
      </c>
      <c r="L31" s="326">
        <f t="shared" si="1"/>
        <v>-1.5003300556110641E-2</v>
      </c>
      <c r="M31" s="125">
        <f>+M30/M10</f>
        <v>0.14195114454766691</v>
      </c>
      <c r="N31" s="126">
        <f t="shared" si="2"/>
        <v>-3.3948007305640293E-2</v>
      </c>
      <c r="O31" s="100"/>
      <c r="P31" s="103"/>
      <c r="Q31" s="345" t="s">
        <v>11</v>
      </c>
      <c r="R31" s="346"/>
      <c r="S31" s="347" t="s">
        <v>15</v>
      </c>
      <c r="T31" s="348" t="s">
        <v>16</v>
      </c>
      <c r="U31" s="349" t="s">
        <v>113</v>
      </c>
      <c r="V31" s="348" t="s">
        <v>17</v>
      </c>
      <c r="W31" s="350" t="s">
        <v>114</v>
      </c>
      <c r="X31" s="105"/>
    </row>
    <row r="32" spans="2:37" ht="21.75" customHeight="1">
      <c r="B32" s="598"/>
      <c r="C32" s="101"/>
      <c r="D32" s="106" t="s">
        <v>3</v>
      </c>
      <c r="E32" s="773">
        <f t="shared" ref="E32:F34" si="57">+E21-E26</f>
        <v>107.36944315789809</v>
      </c>
      <c r="F32" s="774">
        <f t="shared" si="57"/>
        <v>-6.1826679999985856</v>
      </c>
      <c r="G32" s="750">
        <f>+F32-E32</f>
        <v>-113.55211115789668</v>
      </c>
      <c r="H32" s="751">
        <f t="shared" ref="H32" si="58">+H21-H26</f>
        <v>116.39870600000026</v>
      </c>
      <c r="I32" s="752">
        <f>+F32-H32</f>
        <v>-122.58137399999885</v>
      </c>
      <c r="J32" s="773">
        <f t="shared" ref="J32:J34" si="59">+J21-J26</f>
        <v>367.70904212632809</v>
      </c>
      <c r="K32" s="774">
        <f t="shared" ref="K32" si="60">+K21-K26</f>
        <v>142.58456800000499</v>
      </c>
      <c r="L32" s="750">
        <f t="shared" si="1"/>
        <v>-225.12447412632309</v>
      </c>
      <c r="M32" s="751">
        <f t="shared" ref="M32" si="61">+M21-M26</f>
        <v>322.60278000000528</v>
      </c>
      <c r="N32" s="752">
        <f t="shared" si="2"/>
        <v>-180.01821200000029</v>
      </c>
      <c r="O32" s="100"/>
      <c r="P32" s="103"/>
      <c r="Q32" s="811" t="s">
        <v>168</v>
      </c>
      <c r="R32" s="812"/>
      <c r="S32" s="603">
        <f>+'사업장별(당월)'!T33</f>
        <v>72.210526000000002</v>
      </c>
      <c r="T32" s="604">
        <f>+'사업장별(당월)'!U33</f>
        <v>71.958666999999991</v>
      </c>
      <c r="U32" s="605">
        <f>+T32-S32</f>
        <v>-0.25185900000001027</v>
      </c>
      <c r="V32" s="606">
        <f>+'사업장별(당월)'!W33</f>
        <v>63.066592999999997</v>
      </c>
      <c r="W32" s="607">
        <f>+T32-V32</f>
        <v>8.8920739999999938</v>
      </c>
      <c r="X32" s="105"/>
      <c r="Z32" s="598"/>
      <c r="AA32" s="598"/>
    </row>
    <row r="33" spans="2:31" ht="21.75" customHeight="1">
      <c r="B33" s="598"/>
      <c r="C33" s="101"/>
      <c r="D33" s="106" t="s">
        <v>1</v>
      </c>
      <c r="E33" s="773">
        <f t="shared" si="57"/>
        <v>4.7376714030961864</v>
      </c>
      <c r="F33" s="774">
        <f t="shared" si="57"/>
        <v>153.87744550510729</v>
      </c>
      <c r="G33" s="750">
        <f t="shared" si="12"/>
        <v>149.1397741020111</v>
      </c>
      <c r="H33" s="751">
        <f t="shared" ref="H33" si="62">+H22-H27</f>
        <v>133.87514901000003</v>
      </c>
      <c r="I33" s="752">
        <f t="shared" si="13"/>
        <v>20.002296495107259</v>
      </c>
      <c r="J33" s="773">
        <f t="shared" si="59"/>
        <v>108.72357140775318</v>
      </c>
      <c r="K33" s="774">
        <f t="shared" ref="K33" si="63">+K22-K27</f>
        <v>572.99813836672195</v>
      </c>
      <c r="L33" s="750">
        <f t="shared" si="1"/>
        <v>464.27456695896876</v>
      </c>
      <c r="M33" s="751">
        <f t="shared" ref="M33" si="64">+M22-M27</f>
        <v>449.35755002000025</v>
      </c>
      <c r="N33" s="752">
        <f t="shared" si="2"/>
        <v>123.6405883467217</v>
      </c>
      <c r="O33" s="100"/>
      <c r="P33" s="103"/>
      <c r="Q33" s="813" t="s">
        <v>59</v>
      </c>
      <c r="R33" s="814"/>
      <c r="S33" s="192">
        <f>+'사업장별(당월)'!T34</f>
        <v>62.045457333333324</v>
      </c>
      <c r="T33" s="613">
        <f>+'사업장별(당월)'!U34</f>
        <v>63.157758000000001</v>
      </c>
      <c r="U33" s="205">
        <f>+T33-S33</f>
        <v>1.1123006666666768</v>
      </c>
      <c r="V33" s="614">
        <f>+'사업장별(당월)'!W34</f>
        <v>34.773533999999998</v>
      </c>
      <c r="W33" s="222">
        <f>+T33-V33</f>
        <v>28.384224000000003</v>
      </c>
      <c r="X33" s="105"/>
      <c r="Z33" s="598"/>
      <c r="AA33" s="598"/>
    </row>
    <row r="34" spans="2:31" ht="21.75" customHeight="1">
      <c r="B34" s="598"/>
      <c r="C34" s="101"/>
      <c r="D34" s="116" t="s">
        <v>4</v>
      </c>
      <c r="E34" s="780">
        <f t="shared" si="57"/>
        <v>-1523.9123473037</v>
      </c>
      <c r="F34" s="781">
        <f t="shared" si="57"/>
        <v>-1480.5655995016164</v>
      </c>
      <c r="G34" s="753">
        <f t="shared" si="12"/>
        <v>43.346747802083655</v>
      </c>
      <c r="H34" s="754">
        <f t="shared" ref="H34" si="65">+H23-H28</f>
        <v>-1283.4429189999914</v>
      </c>
      <c r="I34" s="755">
        <f t="shared" si="13"/>
        <v>-197.12268050162493</v>
      </c>
      <c r="J34" s="780">
        <f t="shared" si="59"/>
        <v>-4951.8755878053034</v>
      </c>
      <c r="K34" s="781">
        <f t="shared" ref="K34" si="66">+K23-K28</f>
        <v>-6610.8220273758816</v>
      </c>
      <c r="L34" s="753">
        <f t="shared" si="1"/>
        <v>-1658.9464395705781</v>
      </c>
      <c r="M34" s="754">
        <f t="shared" ref="M34" si="67">+M23-M28</f>
        <v>-4250.9067680000035</v>
      </c>
      <c r="N34" s="755">
        <f t="shared" si="2"/>
        <v>-2359.9152593758781</v>
      </c>
      <c r="O34" s="100"/>
      <c r="P34" s="103"/>
      <c r="Q34" s="625" t="s">
        <v>38</v>
      </c>
      <c r="R34" s="626"/>
      <c r="S34" s="620">
        <f>+'사업장별(당월)'!T35</f>
        <v>-1543.1732971925726</v>
      </c>
      <c r="T34" s="621">
        <f>+'사업장별(당월)'!U35</f>
        <v>-1567.4228325016084</v>
      </c>
      <c r="U34" s="622">
        <f>+T34-S34</f>
        <v>-24.249535309035764</v>
      </c>
      <c r="V34" s="623">
        <f>+'사업장별(당월)'!W35</f>
        <v>-1336.3393189999999</v>
      </c>
      <c r="W34" s="624">
        <f>+T34-V34</f>
        <v>-231.08351350160842</v>
      </c>
      <c r="X34" s="105"/>
      <c r="Z34" s="598"/>
      <c r="AA34" s="598"/>
    </row>
    <row r="35" spans="2:31" ht="21.75" customHeight="1">
      <c r="B35" s="598"/>
      <c r="C35" s="101" t="s">
        <v>8</v>
      </c>
      <c r="D35" s="121"/>
      <c r="E35" s="773">
        <f>SUM(E30,E32:E34)</f>
        <v>3455.9938850289391</v>
      </c>
      <c r="F35" s="783">
        <f>SUM(F30,F32:F34)</f>
        <v>3302.3753540034973</v>
      </c>
      <c r="G35" s="750">
        <f t="shared" si="12"/>
        <v>-153.61853102544183</v>
      </c>
      <c r="H35" s="751">
        <f>SUM(H30,H32:H34)</f>
        <v>3540.0862640000037</v>
      </c>
      <c r="I35" s="752">
        <f t="shared" si="13"/>
        <v>-237.71090999650642</v>
      </c>
      <c r="J35" s="773">
        <f>SUM(J30,J32:J34)</f>
        <v>8767.4611192195225</v>
      </c>
      <c r="K35" s="783">
        <f>SUM(K30,K32:K34)</f>
        <v>6453.394421990839</v>
      </c>
      <c r="L35" s="750">
        <f t="shared" si="1"/>
        <v>-2314.0666972286836</v>
      </c>
      <c r="M35" s="751">
        <f>SUM(M30,M32:M34)</f>
        <v>13560.378941009978</v>
      </c>
      <c r="N35" s="752">
        <f t="shared" si="2"/>
        <v>-7106.984519019139</v>
      </c>
      <c r="O35" s="100"/>
      <c r="P35" s="103"/>
      <c r="Q35" s="627" t="s">
        <v>166</v>
      </c>
      <c r="R35" s="628"/>
      <c r="S35" s="615">
        <f>+S36-S32-S33-S34</f>
        <v>-114.99503344446066</v>
      </c>
      <c r="T35" s="616">
        <f>+T36-T32-T33-T34</f>
        <v>-48.259192000000212</v>
      </c>
      <c r="U35" s="617">
        <f>+T35-S35</f>
        <v>66.735841444460448</v>
      </c>
      <c r="V35" s="618">
        <f>+V36-V32-V33-V34</f>
        <v>-44.943726999995306</v>
      </c>
      <c r="W35" s="619">
        <f>+T35-V35</f>
        <v>-3.315465000004906</v>
      </c>
      <c r="X35" s="105"/>
      <c r="Z35" s="598"/>
      <c r="AA35" s="598"/>
      <c r="AD35" s="99"/>
      <c r="AE35" s="598"/>
    </row>
    <row r="36" spans="2:31" ht="21.75" customHeight="1" thickBot="1">
      <c r="C36" s="127"/>
      <c r="D36" s="128" t="s">
        <v>9</v>
      </c>
      <c r="E36" s="324">
        <f>+E35/E14</f>
        <v>8.2559111980751665E-2</v>
      </c>
      <c r="F36" s="330">
        <f>+F35/F14</f>
        <v>7.4263920849229587E-2</v>
      </c>
      <c r="G36" s="327">
        <f t="shared" si="12"/>
        <v>-8.2951911315220783E-3</v>
      </c>
      <c r="H36" s="129">
        <f>+H35/H14</f>
        <v>8.1929401293215007E-2</v>
      </c>
      <c r="I36" s="130">
        <f t="shared" si="13"/>
        <v>-7.6654804439854202E-3</v>
      </c>
      <c r="J36" s="324">
        <f>+J35/J14</f>
        <v>5.9231246721882347E-2</v>
      </c>
      <c r="K36" s="330">
        <f>+K35/K14</f>
        <v>4.2102209043193409E-2</v>
      </c>
      <c r="L36" s="327">
        <f t="shared" si="1"/>
        <v>-1.7129037678688938E-2</v>
      </c>
      <c r="M36" s="129">
        <f>+M35/M14</f>
        <v>8.1321086701718892E-2</v>
      </c>
      <c r="N36" s="130">
        <f t="shared" si="2"/>
        <v>-3.9218877658525483E-2</v>
      </c>
      <c r="O36" s="100"/>
      <c r="P36" s="131"/>
      <c r="Q36" s="801" t="s">
        <v>165</v>
      </c>
      <c r="R36" s="802"/>
      <c r="S36" s="608">
        <f>+'사업장별(당월)'!T41</f>
        <v>-1523.9123473036998</v>
      </c>
      <c r="T36" s="609">
        <f>+'사업장별(당월)'!U41</f>
        <v>-1480.5655995016084</v>
      </c>
      <c r="U36" s="610">
        <f>+T36-S36</f>
        <v>43.346747802091386</v>
      </c>
      <c r="V36" s="611">
        <f>+'사업장별(당월)'!W41</f>
        <v>-1283.4429189999953</v>
      </c>
      <c r="W36" s="612">
        <f>+T36-V36</f>
        <v>-197.1226805016131</v>
      </c>
      <c r="X36" s="132"/>
      <c r="AA36" s="598"/>
    </row>
    <row r="37" spans="2:31" ht="20.100000000000001" customHeight="1" thickTop="1">
      <c r="F37" s="598"/>
    </row>
    <row r="38" spans="2:31">
      <c r="E38" s="99">
        <f>+'[1]4월'!$E$26/1000</f>
        <v>3455.9938850289354</v>
      </c>
      <c r="F38" s="351">
        <f>+'[2]4월'!$F$26/1000</f>
        <v>3302.3753540034991</v>
      </c>
      <c r="H38" s="351">
        <f>+'[3]4월'!$F$26/1000</f>
        <v>3540.086264000005</v>
      </c>
      <c r="J38" s="600">
        <f>+[4]손익총괄!J38+E38</f>
        <v>8767.4611192195116</v>
      </c>
      <c r="K38" s="600">
        <f>+[4]손익총괄!K38+F38</f>
        <v>6453.3944219908371</v>
      </c>
      <c r="L38" s="601"/>
      <c r="M38" s="600">
        <f>+[4]손익총괄!M38+H38</f>
        <v>13560.378941010007</v>
      </c>
      <c r="N38" s="601"/>
      <c r="O38" s="601"/>
    </row>
    <row r="39" spans="2:31">
      <c r="E39" t="b">
        <f>+E35=E38</f>
        <v>1</v>
      </c>
      <c r="F39" t="b">
        <f>+F35=F38</f>
        <v>1</v>
      </c>
      <c r="H39" t="b">
        <f>+H35=H38</f>
        <v>0</v>
      </c>
      <c r="J39" t="b">
        <f>+J35=J38</f>
        <v>0</v>
      </c>
      <c r="K39" t="b">
        <f>+K35=K38</f>
        <v>1</v>
      </c>
      <c r="M39" t="b">
        <f>+M35=M38</f>
        <v>1</v>
      </c>
    </row>
    <row r="40" spans="2:31">
      <c r="E40" s="602">
        <f>+E35-E38</f>
        <v>3.637978807091713E-12</v>
      </c>
      <c r="F40" s="602">
        <f>+F35-F38</f>
        <v>0</v>
      </c>
      <c r="G40" s="599"/>
      <c r="H40" s="602">
        <f>+H35-H38</f>
        <v>0</v>
      </c>
      <c r="I40" s="599"/>
      <c r="J40" s="602">
        <f>+J35-J38</f>
        <v>0</v>
      </c>
      <c r="K40" s="602">
        <f>+K35-K38</f>
        <v>0</v>
      </c>
      <c r="L40" s="599"/>
      <c r="M40" s="602">
        <f>+M35-M38</f>
        <v>-2.9103830456733704E-11</v>
      </c>
      <c r="N40" s="599"/>
      <c r="O40" s="99"/>
      <c r="P40" s="99"/>
    </row>
    <row r="42" spans="2:31">
      <c r="E42" s="98"/>
      <c r="F42" s="98"/>
      <c r="G42" s="98"/>
    </row>
  </sheetData>
  <mergeCells count="12">
    <mergeCell ref="Q36:R36"/>
    <mergeCell ref="C5:D6"/>
    <mergeCell ref="P5:X6"/>
    <mergeCell ref="Q29:R29"/>
    <mergeCell ref="Q32:R32"/>
    <mergeCell ref="Q33:R33"/>
    <mergeCell ref="Z10:Z13"/>
    <mergeCell ref="Z15:Z20"/>
    <mergeCell ref="AB5:AF5"/>
    <mergeCell ref="AG5:AK5"/>
    <mergeCell ref="Z7:Z9"/>
    <mergeCell ref="Z5:AA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249977111117893"/>
    <pageSetUpPr fitToPage="1"/>
  </sheetPr>
  <dimension ref="A1:AL57"/>
  <sheetViews>
    <sheetView showGridLines="0" showZeros="0" view="pageBreakPreview" topLeftCell="F13" zoomScale="85" zoomScaleNormal="85" zoomScaleSheetLayoutView="85" workbookViewId="0">
      <selection activeCell="H29" sqref="H29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220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815" t="s">
        <v>48</v>
      </c>
      <c r="I5" s="816"/>
      <c r="J5" s="173" t="s">
        <v>66</v>
      </c>
      <c r="K5" s="174"/>
      <c r="L5" s="174"/>
      <c r="M5" s="174"/>
      <c r="N5" s="175"/>
      <c r="O5" s="173" t="s">
        <v>67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68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>
      <c r="H6" s="817"/>
      <c r="I6" s="818"/>
      <c r="J6" s="176" t="s">
        <v>49</v>
      </c>
      <c r="K6" s="177" t="s">
        <v>50</v>
      </c>
      <c r="L6" s="178" t="s">
        <v>51</v>
      </c>
      <c r="M6" s="177" t="s">
        <v>52</v>
      </c>
      <c r="N6" s="179" t="s">
        <v>51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>
      <c r="B7" s="8" t="s">
        <v>22</v>
      </c>
      <c r="G7" s="844" t="str">
        <f>+I7</f>
        <v>안양</v>
      </c>
      <c r="H7" s="78" t="s">
        <v>53</v>
      </c>
      <c r="I7" s="79" t="s">
        <v>22</v>
      </c>
      <c r="J7" s="36">
        <f>+IFERROR(HLOOKUP($B7,'[1]4월'!$D$6:$BN$259,2,),)/1000</f>
        <v>44</v>
      </c>
      <c r="K7" s="37">
        <f>+IFERROR(HLOOKUP($B7,'[2]4월'!$F$6:$CP$99,2,),)/1000</f>
        <v>46.247</v>
      </c>
      <c r="L7" s="38">
        <f t="shared" ref="L7:L26" si="0">+K7-J7</f>
        <v>2.2469999999999999</v>
      </c>
      <c r="M7" s="39">
        <f>+IFERROR(HLOOKUP($B7,'[3]4월'!$F$6:$CC$57,2,),)/1000</f>
        <v>40.841000000000001</v>
      </c>
      <c r="N7" s="40">
        <f>+K7-M7</f>
        <v>5.4059999999999988</v>
      </c>
      <c r="O7" s="36">
        <f>+IFERROR(HLOOKUP($B7,'[1]4월'!$D$6:$BN$259,3,),)/1000</f>
        <v>4438.3753500000003</v>
      </c>
      <c r="P7" s="37">
        <f>+IFERROR(HLOOKUP($B7,'[2]4월'!$F$6:$CP$99,3,),)/1000</f>
        <v>4615.887573</v>
      </c>
      <c r="Q7" s="38">
        <f>+P7-O7</f>
        <v>177.51222299999972</v>
      </c>
      <c r="R7" s="39">
        <f>+IFERROR(HLOOKUP($B7,'[3]4월'!$F$6:$CC$57,3,),)/1000</f>
        <v>3686.7538</v>
      </c>
      <c r="S7" s="40">
        <f>+P7-R7</f>
        <v>929.13377300000002</v>
      </c>
      <c r="T7" s="36">
        <f>+IFERROR(HLOOKUP($B7,'[1]4월'!$D$6:$BN$259,16,),)/1000</f>
        <v>683.70851028999061</v>
      </c>
      <c r="U7" s="37">
        <f>+IFERROR(HLOOKUP($B7,'[2]4월'!$F$6:$CP$99,16,),)/1000</f>
        <v>589.76878699999986</v>
      </c>
      <c r="V7" s="41">
        <f>+U7-T7</f>
        <v>-93.939723289990752</v>
      </c>
      <c r="W7" s="42">
        <f>+IFERROR(HLOOKUP($B7,'[3]4월'!$F$6:$CC$57,16,),)/1000</f>
        <v>469.33525998999971</v>
      </c>
      <c r="X7" s="40">
        <f>+U7-W7</f>
        <v>120.43352701000015</v>
      </c>
      <c r="Y7" s="36">
        <f>+[5]안양!$Q$85</f>
        <v>100872.16704545457</v>
      </c>
      <c r="Z7" s="37">
        <f>+[5]안양!$R$85</f>
        <v>99791.139505664702</v>
      </c>
      <c r="AA7" s="43">
        <f>+[6]안양!$Q$85</f>
        <v>90270.899341348151</v>
      </c>
      <c r="AB7" s="44">
        <f>+[5]안양!$Q$89</f>
        <v>78602.538035705104</v>
      </c>
      <c r="AC7" s="37">
        <f>+[5]안양!$R$89</f>
        <v>80207.362234399712</v>
      </c>
      <c r="AD7" s="45">
        <f>+[6]안양!$Q$89</f>
        <v>71529.871784201896</v>
      </c>
      <c r="AE7" s="44">
        <f>+Y7-AB7</f>
        <v>22269.629009749464</v>
      </c>
      <c r="AF7" s="37">
        <f>+Z7-AC7</f>
        <v>19583.777271264989</v>
      </c>
      <c r="AG7" s="45">
        <f>+AA7-AD7</f>
        <v>18741.027557146255</v>
      </c>
      <c r="AH7" s="18"/>
      <c r="AI7" s="19"/>
    </row>
    <row r="8" spans="2:36" s="8" customFormat="1" ht="19.5" customHeight="1">
      <c r="B8" s="8" t="s">
        <v>23</v>
      </c>
      <c r="G8" s="9" t="str">
        <f t="shared" ref="G8:G26" si="1">+I8</f>
        <v>인천</v>
      </c>
      <c r="H8" s="80" t="s">
        <v>54</v>
      </c>
      <c r="I8" s="81" t="s">
        <v>23</v>
      </c>
      <c r="J8" s="46">
        <f>+IFERROR(HLOOKUP($B8,'[1]4월'!$D$6:$BN$259,2,),)/1000</f>
        <v>35</v>
      </c>
      <c r="K8" s="47">
        <f>+IFERROR(HLOOKUP($B8,'[2]4월'!$F$6:$CP$99,2,),)/1000</f>
        <v>30.094999999999999</v>
      </c>
      <c r="L8" s="48">
        <f t="shared" si="0"/>
        <v>-4.9050000000000011</v>
      </c>
      <c r="M8" s="49">
        <f>+IFERROR(HLOOKUP($B8,'[3]4월'!$F$6:$CC$57,2,),)/1000</f>
        <v>38.927</v>
      </c>
      <c r="N8" s="50">
        <f t="shared" ref="N8:N26" si="2">+K8-M8</f>
        <v>-8.8320000000000007</v>
      </c>
      <c r="O8" s="46">
        <f>+IFERROR(HLOOKUP($B8,'[1]4월'!$D$6:$BN$259,3,),)/1000</f>
        <v>3585.5504299999998</v>
      </c>
      <c r="P8" s="47">
        <f>+IFERROR(HLOOKUP($B8,'[2]4월'!$F$6:$CP$99,3,),)/1000</f>
        <v>3074.4291430000003</v>
      </c>
      <c r="Q8" s="48">
        <f t="shared" ref="Q8:Q26" si="3">+P8-O8</f>
        <v>-511.12128699999948</v>
      </c>
      <c r="R8" s="49">
        <f>+IFERROR(HLOOKUP($B8,'[3]4월'!$F$6:$CC$57,3,),)/1000</f>
        <v>3633.2312280000001</v>
      </c>
      <c r="S8" s="50">
        <f t="shared" ref="S8:S26" si="4">+P8-R8</f>
        <v>-558.80208499999981</v>
      </c>
      <c r="T8" s="46">
        <f>+IFERROR(HLOOKUP($B8,'[1]4월'!$D$6:$BN$259,16,),)/1000</f>
        <v>464.55119275457338</v>
      </c>
      <c r="U8" s="47">
        <f>+IFERROR(HLOOKUP($B8,'[2]4월'!$F$6:$CP$99,16,),)/1000</f>
        <v>331.00998500000009</v>
      </c>
      <c r="V8" s="48">
        <f t="shared" ref="V8:V26" si="5">+U8-T8</f>
        <v>-133.54120775457329</v>
      </c>
      <c r="W8" s="49">
        <f>+IFERROR(HLOOKUP($B8,'[3]4월'!$F$6:$CC$57,16,),)/1000</f>
        <v>404.48902599999997</v>
      </c>
      <c r="X8" s="50">
        <f t="shared" ref="X8:X26" si="6">+U8-W8</f>
        <v>-73.479040999999881</v>
      </c>
      <c r="Y8" s="46">
        <f>+[5]인천!$Q$85</f>
        <v>102444.298</v>
      </c>
      <c r="Z8" s="47">
        <f>+[5]인천!$R$85</f>
        <v>102157.47276956306</v>
      </c>
      <c r="AA8" s="51">
        <f>+[6]인천!$Q$85</f>
        <v>93334.478074344283</v>
      </c>
      <c r="AB8" s="52">
        <f>+[5]인천!$Q$89</f>
        <v>81049.735817285007</v>
      </c>
      <c r="AC8" s="47">
        <f>+[5]인천!$R$89</f>
        <v>81515.983492211104</v>
      </c>
      <c r="AD8" s="53">
        <f>+[6]인천!$Q$89</f>
        <v>75539.02452553995</v>
      </c>
      <c r="AE8" s="52">
        <f t="shared" ref="AE8:AE27" si="7">+Y8-AB8</f>
        <v>21394.562182714988</v>
      </c>
      <c r="AF8" s="47">
        <f t="shared" ref="AF8:AF27" si="8">+Z8-AC8</f>
        <v>20641.489277351953</v>
      </c>
      <c r="AG8" s="53">
        <f t="shared" ref="AG8:AG27" si="9">+AA8-AD8</f>
        <v>17795.453548804333</v>
      </c>
      <c r="AH8" s="18"/>
      <c r="AI8" s="19"/>
      <c r="AJ8" s="97"/>
    </row>
    <row r="9" spans="2:36" s="8" customFormat="1" ht="19.5" customHeight="1">
      <c r="B9" s="8" t="s">
        <v>24</v>
      </c>
      <c r="G9" s="9" t="str">
        <f t="shared" si="1"/>
        <v>파주</v>
      </c>
      <c r="H9" s="80"/>
      <c r="I9" s="81" t="s">
        <v>24</v>
      </c>
      <c r="J9" s="46">
        <f>+IFERROR(HLOOKUP($B9,'[1]4월'!$D$6:$BN$259,2,),)/1000</f>
        <v>27</v>
      </c>
      <c r="K9" s="47">
        <f>+IFERROR(HLOOKUP($B9,'[2]4월'!$F$6:$CP$99,2,),)/1000</f>
        <v>28.573</v>
      </c>
      <c r="L9" s="48">
        <f t="shared" si="0"/>
        <v>1.5730000000000004</v>
      </c>
      <c r="M9" s="49">
        <f>+IFERROR(HLOOKUP($B9,'[3]4월'!$F$6:$CC$57,2,),)/1000</f>
        <v>21.85</v>
      </c>
      <c r="N9" s="50">
        <f t="shared" si="2"/>
        <v>6.722999999999999</v>
      </c>
      <c r="O9" s="46">
        <f>+IFERROR(HLOOKUP($B9,'[1]4월'!$D$6:$BN$259,3,),)/1000</f>
        <v>2690.0066318998879</v>
      </c>
      <c r="P9" s="47">
        <f>+IFERROR(HLOOKUP($B9,'[2]4월'!$F$6:$CP$99,3,),)/1000</f>
        <v>2775.4873820000003</v>
      </c>
      <c r="Q9" s="48">
        <f t="shared" si="3"/>
        <v>85.480750100112346</v>
      </c>
      <c r="R9" s="49">
        <f>+IFERROR(HLOOKUP($B9,'[3]4월'!$F$6:$CC$57,3,),)/1000</f>
        <v>1956.2291869999999</v>
      </c>
      <c r="S9" s="50">
        <f t="shared" si="4"/>
        <v>819.25819500000034</v>
      </c>
      <c r="T9" s="46">
        <f>+IFERROR(HLOOKUP($B9,'[1]4월'!$D$6:$BN$259,16,),)/1000</f>
        <v>397.01662669670924</v>
      </c>
      <c r="U9" s="47">
        <f>+IFERROR(HLOOKUP($B9,'[2]4월'!$F$6:$CP$99,16,),)/1000</f>
        <v>232.72628300000039</v>
      </c>
      <c r="V9" s="48">
        <f t="shared" si="5"/>
        <v>-164.29034369670885</v>
      </c>
      <c r="W9" s="49">
        <f>+IFERROR(HLOOKUP($B9,'[3]4월'!$F$6:$CC$57,16,),)/1000</f>
        <v>177.48991699999991</v>
      </c>
      <c r="X9" s="50">
        <f t="shared" si="6"/>
        <v>55.236366000000487</v>
      </c>
      <c r="Y9" s="46">
        <f>+[5]파주!$Q$85</f>
        <v>99629.875255551393</v>
      </c>
      <c r="Z9" s="47">
        <f>+[5]파주!$R$85</f>
        <v>97212.840491015842</v>
      </c>
      <c r="AA9" s="51">
        <f>+[6]파주!$Q$85</f>
        <v>89411.336599774935</v>
      </c>
      <c r="AB9" s="52">
        <f>+[5]파주!$Q$89</f>
        <v>76336.541115372369</v>
      </c>
      <c r="AC9" s="47">
        <f>+[5]파주!$R$89</f>
        <v>81147.556057640992</v>
      </c>
      <c r="AD9" s="53">
        <f>+[6]파주!$Q$89</f>
        <v>71640.461834208545</v>
      </c>
      <c r="AE9" s="52">
        <f t="shared" si="7"/>
        <v>23293.334140179024</v>
      </c>
      <c r="AF9" s="47">
        <f t="shared" si="8"/>
        <v>16065.284433374851</v>
      </c>
      <c r="AG9" s="53">
        <f t="shared" si="9"/>
        <v>17770.87476556639</v>
      </c>
      <c r="AH9" s="18"/>
      <c r="AI9" s="19"/>
      <c r="AJ9" s="97"/>
    </row>
    <row r="10" spans="2:36" s="8" customFormat="1" ht="19.5" customHeight="1">
      <c r="B10" s="8" t="s">
        <v>175</v>
      </c>
      <c r="G10" s="9" t="str">
        <f t="shared" si="1"/>
        <v>김포</v>
      </c>
      <c r="H10" s="80"/>
      <c r="I10" s="81" t="s">
        <v>172</v>
      </c>
      <c r="J10" s="46">
        <f>+IFERROR(HLOOKUP($B10,'[1]4월'!$D$6:$BN$259,2,),)/1000</f>
        <v>16.5</v>
      </c>
      <c r="K10" s="47">
        <f>+IFERROR(HLOOKUP($B10,'[2]4월'!$F$6:$CP$99,2,),)/1000</f>
        <v>17.598500000000001</v>
      </c>
      <c r="L10" s="48">
        <f t="shared" si="0"/>
        <v>1.0985000000000014</v>
      </c>
      <c r="M10" s="49">
        <f>+IFERROR(HLOOKUP($B10,'[3]4월'!$F$6:$CC$57,2,),)/1000</f>
        <v>21.233000000000001</v>
      </c>
      <c r="N10" s="50">
        <f t="shared" si="2"/>
        <v>-3.6344999999999992</v>
      </c>
      <c r="O10" s="46">
        <f>+IFERROR(HLOOKUP($B10,'[1]4월'!$D$6:$BN$259,3,),)/1000</f>
        <v>1580.2764999999999</v>
      </c>
      <c r="P10" s="47">
        <f>+IFERROR(HLOOKUP($B10,'[2]4월'!$F$6:$CP$99,3,),)/1000</f>
        <v>1762.1677180000001</v>
      </c>
      <c r="Q10" s="48">
        <f t="shared" si="3"/>
        <v>181.89121800000021</v>
      </c>
      <c r="R10" s="49">
        <f>+IFERROR(HLOOKUP($B10,'[3]4월'!$F$6:$CC$57,3,),)/1000</f>
        <v>1864.2123020000001</v>
      </c>
      <c r="S10" s="50">
        <f t="shared" si="4"/>
        <v>-102.04458399999999</v>
      </c>
      <c r="T10" s="46">
        <f>+IFERROR(HLOOKUP($B10,'[1]4월'!$D$6:$BN$259,16,),)/1000</f>
        <v>249.3089325342527</v>
      </c>
      <c r="U10" s="47">
        <f>+IFERROR(HLOOKUP($B10,'[2]4월'!$F$6:$CP$99,16,),)/1000</f>
        <v>272.512742</v>
      </c>
      <c r="V10" s="48">
        <f t="shared" si="5"/>
        <v>23.203809465747298</v>
      </c>
      <c r="W10" s="49">
        <f>+IFERROR(HLOOKUP($B10,'[3]4월'!$F$6:$CC$57,16,),)/1000</f>
        <v>260.07620300000025</v>
      </c>
      <c r="X10" s="50">
        <f t="shared" si="6"/>
        <v>12.436538999999755</v>
      </c>
      <c r="Y10" s="46">
        <f>+[5]김포!$Q$85</f>
        <v>95774.333333333328</v>
      </c>
      <c r="Z10" s="47">
        <f>+[5]김포!$R$85</f>
        <v>100131.69974713755</v>
      </c>
      <c r="AA10" s="51">
        <f>+[6]김포!$Q$85</f>
        <v>87731.088228254113</v>
      </c>
      <c r="AB10" s="52">
        <f>+[5]김포!$Q$89</f>
        <v>70510.022580415665</v>
      </c>
      <c r="AC10" s="47">
        <f>+[5]김포!$R$89</f>
        <v>75716.070980381031</v>
      </c>
      <c r="AD10" s="53">
        <f>+[6]김포!$Q$89</f>
        <v>67654.393269184744</v>
      </c>
      <c r="AE10" s="52">
        <f t="shared" si="7"/>
        <v>25264.310752917663</v>
      </c>
      <c r="AF10" s="47">
        <f t="shared" si="8"/>
        <v>24415.628766756519</v>
      </c>
      <c r="AG10" s="53">
        <f t="shared" si="9"/>
        <v>20076.694959069369</v>
      </c>
      <c r="AH10" s="18"/>
      <c r="AI10" s="19"/>
      <c r="AJ10" s="97"/>
    </row>
    <row r="11" spans="2:36" s="8" customFormat="1" ht="19.5" customHeight="1">
      <c r="B11" s="8" t="s">
        <v>25</v>
      </c>
      <c r="G11" s="8" t="str">
        <f t="shared" si="1"/>
        <v>부산</v>
      </c>
      <c r="H11" s="80"/>
      <c r="I11" s="82" t="s">
        <v>25</v>
      </c>
      <c r="J11" s="63">
        <f>+IFERROR(HLOOKUP($B11,'[1]4월'!$D$6:$BN$259,2,),)/1000</f>
        <v>20</v>
      </c>
      <c r="K11" s="64">
        <f>+IFERROR(HLOOKUP($B11,'[2]4월'!$F$6:$CP$99,2,),)/1000</f>
        <v>22.908999999999999</v>
      </c>
      <c r="L11" s="65">
        <f t="shared" si="0"/>
        <v>2.9089999999999989</v>
      </c>
      <c r="M11" s="66">
        <f>+IFERROR(HLOOKUP($B11,'[3]4월'!$F$6:$CC$57,2,),)/1000</f>
        <v>24.598500000000001</v>
      </c>
      <c r="N11" s="67">
        <f t="shared" si="2"/>
        <v>-1.6895000000000024</v>
      </c>
      <c r="O11" s="63">
        <f>+IFERROR(HLOOKUP($B11,'[1]4월'!$D$6:$BN$259,3,),)/1000</f>
        <v>2152.0023099999999</v>
      </c>
      <c r="P11" s="64">
        <f>+IFERROR(HLOOKUP($B11,'[2]4월'!$F$6:$CP$99,3,),)/1000</f>
        <v>2386.5480280000002</v>
      </c>
      <c r="Q11" s="65">
        <f t="shared" si="3"/>
        <v>234.54571800000031</v>
      </c>
      <c r="R11" s="66">
        <f>+IFERROR(HLOOKUP($B11,'[3]4월'!$F$6:$CC$57,3,),)/1000</f>
        <v>2432.1745499999997</v>
      </c>
      <c r="S11" s="67">
        <f t="shared" si="4"/>
        <v>-45.626521999999568</v>
      </c>
      <c r="T11" s="63">
        <f>+IFERROR(HLOOKUP($B11,'[1]4월'!$D$6:$BN$259,16,),)/1000</f>
        <v>298.62589558503191</v>
      </c>
      <c r="U11" s="64">
        <f>+IFERROR(HLOOKUP($B11,'[2]4월'!$F$6:$CP$99,16,),)/1000</f>
        <v>252.58252199999987</v>
      </c>
      <c r="V11" s="65">
        <f t="shared" si="5"/>
        <v>-46.043373585032043</v>
      </c>
      <c r="W11" s="66">
        <f>+IFERROR(HLOOKUP($B11,'[3]4월'!$F$6:$CC$57,16,),)/1000</f>
        <v>390.06814499999984</v>
      </c>
      <c r="X11" s="67">
        <f t="shared" si="6"/>
        <v>-137.48562299999998</v>
      </c>
      <c r="Y11" s="63">
        <f>+[5]부산!$Q$85</f>
        <v>107600.1155</v>
      </c>
      <c r="Z11" s="64">
        <f>+[5]부산!$R$85</f>
        <v>104175.12890130516</v>
      </c>
      <c r="AA11" s="68">
        <f>+[6]부산!$Q$85</f>
        <v>98874.913104457577</v>
      </c>
      <c r="AB11" s="69">
        <f>+[5]부산!$Q$89</f>
        <v>79457.788578385371</v>
      </c>
      <c r="AC11" s="64">
        <f>+[5]부산!$R$89</f>
        <v>81975.794342048859</v>
      </c>
      <c r="AD11" s="70">
        <f>+[6]부산!$Q$89</f>
        <v>72722.723820552244</v>
      </c>
      <c r="AE11" s="69">
        <f t="shared" si="7"/>
        <v>28142.326921614629</v>
      </c>
      <c r="AF11" s="64">
        <f t="shared" si="8"/>
        <v>22199.334559256298</v>
      </c>
      <c r="AG11" s="70">
        <f t="shared" si="9"/>
        <v>26152.189283905333</v>
      </c>
      <c r="AH11" s="18"/>
      <c r="AI11" s="19"/>
      <c r="AJ11" s="97"/>
    </row>
    <row r="12" spans="2:36" s="8" customFormat="1" ht="19.5" customHeight="1">
      <c r="B12" s="8" t="s">
        <v>26</v>
      </c>
      <c r="G12" s="8" t="str">
        <f t="shared" si="1"/>
        <v>서부산</v>
      </c>
      <c r="H12" s="80"/>
      <c r="I12" s="81" t="s">
        <v>26</v>
      </c>
      <c r="J12" s="46">
        <f>+IFERROR(HLOOKUP($B12,'[1]4월'!$D$6:$BN$259,2,),)/1000</f>
        <v>26</v>
      </c>
      <c r="K12" s="47">
        <f>+IFERROR(HLOOKUP($B12,'[2]4월'!$F$6:$CP$99,2,),)/1000</f>
        <v>25.12</v>
      </c>
      <c r="L12" s="48">
        <f t="shared" si="0"/>
        <v>-0.87999999999999901</v>
      </c>
      <c r="M12" s="49">
        <f>+IFERROR(HLOOKUP($B12,'[3]4월'!$F$6:$CC$57,2,),)/1000</f>
        <v>19.460999999999999</v>
      </c>
      <c r="N12" s="50">
        <f t="shared" si="2"/>
        <v>5.6590000000000025</v>
      </c>
      <c r="O12" s="46">
        <f>+IFERROR(HLOOKUP($B12,'[1]4월'!$D$6:$BN$259,3,),)/1000</f>
        <v>2694.4035400000002</v>
      </c>
      <c r="P12" s="47">
        <f>+IFERROR(HLOOKUP($B12,'[2]4월'!$F$6:$CP$99,3,),)/1000</f>
        <v>2565.4977999999996</v>
      </c>
      <c r="Q12" s="48">
        <f t="shared" si="3"/>
        <v>-128.90574000000061</v>
      </c>
      <c r="R12" s="49">
        <f>+IFERROR(HLOOKUP($B12,'[3]4월'!$F$6:$CC$57,3,),)/1000</f>
        <v>1977.2782999999999</v>
      </c>
      <c r="S12" s="50">
        <f t="shared" si="4"/>
        <v>588.2194999999997</v>
      </c>
      <c r="T12" s="46">
        <f>+IFERROR(HLOOKUP($B12,'[1]4월'!$D$6:$BN$259,16,),)/1000</f>
        <v>469.94644214636958</v>
      </c>
      <c r="U12" s="47">
        <f>+IFERROR(HLOOKUP($B12,'[2]4월'!$F$6:$CP$99,16,),)/1000</f>
        <v>358.97475199999951</v>
      </c>
      <c r="V12" s="48">
        <f t="shared" si="5"/>
        <v>-110.97169014637007</v>
      </c>
      <c r="W12" s="49">
        <f>+IFERROR(HLOOKUP($B12,'[3]4월'!$F$6:$CC$57,16,),)/1000</f>
        <v>304.20605100000034</v>
      </c>
      <c r="X12" s="50">
        <f t="shared" si="6"/>
        <v>54.768700999999169</v>
      </c>
      <c r="Y12" s="46">
        <f>+[5]서부산!$Q$85</f>
        <v>103630.90538461538</v>
      </c>
      <c r="Z12" s="47">
        <f>+[5]서부산!$R$85</f>
        <v>102129.68949044586</v>
      </c>
      <c r="AA12" s="51">
        <f>+[6]서부산!$Q$85</f>
        <v>101602.09136221161</v>
      </c>
      <c r="AB12" s="52">
        <f>+[5]서부산!$Q$89</f>
        <v>77500.938562746465</v>
      </c>
      <c r="AC12" s="47">
        <f>+[5]서부산!$R$89</f>
        <v>78340.860956397199</v>
      </c>
      <c r="AD12" s="53">
        <f>+[6]서부산!$Q$89</f>
        <v>75550.552576154514</v>
      </c>
      <c r="AE12" s="52">
        <f t="shared" si="7"/>
        <v>26129.966821868918</v>
      </c>
      <c r="AF12" s="47">
        <f t="shared" si="8"/>
        <v>23788.828534048662</v>
      </c>
      <c r="AG12" s="53">
        <f t="shared" si="9"/>
        <v>26051.538786057092</v>
      </c>
      <c r="AH12" s="18"/>
      <c r="AI12" s="19"/>
      <c r="AJ12" s="97"/>
    </row>
    <row r="13" spans="2:36" s="8" customFormat="1" ht="19.5" customHeight="1">
      <c r="B13" s="8" t="s">
        <v>27</v>
      </c>
      <c r="G13" s="8" t="str">
        <f t="shared" si="1"/>
        <v>김해</v>
      </c>
      <c r="H13" s="80"/>
      <c r="I13" s="81" t="s">
        <v>27</v>
      </c>
      <c r="J13" s="46">
        <f>+IFERROR(HLOOKUP($B13,'[1]4월'!$D$6:$BN$259,2,),)/1000</f>
        <v>12</v>
      </c>
      <c r="K13" s="47">
        <f>+IFERROR(HLOOKUP($B13,'[2]4월'!$F$6:$CP$99,2,),)/1000</f>
        <v>17.236000000000001</v>
      </c>
      <c r="L13" s="48">
        <f t="shared" si="0"/>
        <v>5.2360000000000007</v>
      </c>
      <c r="M13" s="49">
        <f>+IFERROR(HLOOKUP($B13,'[3]4월'!$F$6:$CC$57,2,),)/1000</f>
        <v>14.88</v>
      </c>
      <c r="N13" s="50">
        <f t="shared" si="2"/>
        <v>2.3559999999999999</v>
      </c>
      <c r="O13" s="46">
        <f>+IFERROR(HLOOKUP($B13,'[1]4월'!$D$6:$BN$259,3,),)/1000</f>
        <v>1212.0023999999999</v>
      </c>
      <c r="P13" s="47">
        <f>+IFERROR(HLOOKUP($B13,'[2]4월'!$F$6:$CP$99,3,),)/1000</f>
        <v>1721.9678000000001</v>
      </c>
      <c r="Q13" s="48">
        <f t="shared" si="3"/>
        <v>509.96540000000027</v>
      </c>
      <c r="R13" s="49">
        <f>+IFERROR(HLOOKUP($B13,'[3]4월'!$F$6:$CC$57,3,),)/1000</f>
        <v>1389.396</v>
      </c>
      <c r="S13" s="50">
        <f t="shared" si="4"/>
        <v>332.57180000000017</v>
      </c>
      <c r="T13" s="46">
        <f>+IFERROR(HLOOKUP($B13,'[1]4월'!$D$6:$BN$259,16,),)/1000</f>
        <v>157.87535406698976</v>
      </c>
      <c r="U13" s="47">
        <f>+IFERROR(HLOOKUP($B13,'[2]4월'!$F$6:$CP$99,16,),)/1000</f>
        <v>209.15239699999995</v>
      </c>
      <c r="V13" s="48">
        <f t="shared" si="5"/>
        <v>51.277042933010193</v>
      </c>
      <c r="W13" s="49">
        <f>+IFERROR(HLOOKUP($B13,'[3]4월'!$F$6:$CC$57,16,),)/1000</f>
        <v>174.97550900000002</v>
      </c>
      <c r="X13" s="50">
        <f t="shared" si="6"/>
        <v>34.176887999999934</v>
      </c>
      <c r="Y13" s="46">
        <f>+[5]김해!$Q$85</f>
        <v>101000.2</v>
      </c>
      <c r="Z13" s="47">
        <f>+[5]김해!$R$85</f>
        <v>99943.842077680092</v>
      </c>
      <c r="AA13" s="51">
        <f>+[6]김해!$Q$85</f>
        <v>93382.343412527</v>
      </c>
      <c r="AB13" s="52">
        <f>+[5]김해!$Q$89</f>
        <v>76052.497593548193</v>
      </c>
      <c r="AC13" s="47">
        <f>+[5]김해!$R$89</f>
        <v>79096.376928900019</v>
      </c>
      <c r="AD13" s="53">
        <f>+[6]김해!$Q$89</f>
        <v>71780.878307235427</v>
      </c>
      <c r="AE13" s="52">
        <f t="shared" si="7"/>
        <v>24947.702406451805</v>
      </c>
      <c r="AF13" s="47">
        <f t="shared" si="8"/>
        <v>20847.465148780073</v>
      </c>
      <c r="AG13" s="53">
        <f t="shared" si="9"/>
        <v>21601.465105291572</v>
      </c>
      <c r="AH13" s="18"/>
      <c r="AI13" s="19"/>
      <c r="AJ13" s="97"/>
    </row>
    <row r="14" spans="2:36" s="8" customFormat="1" ht="19.5" customHeight="1">
      <c r="B14" s="8" t="s">
        <v>28</v>
      </c>
      <c r="G14" s="8" t="str">
        <f t="shared" si="1"/>
        <v>정관</v>
      </c>
      <c r="H14" s="80"/>
      <c r="I14" s="81" t="s">
        <v>28</v>
      </c>
      <c r="J14" s="46">
        <f>+IFERROR(HLOOKUP($B14,'[1]4월'!$D$6:$BN$259,2,),)/1000</f>
        <v>18</v>
      </c>
      <c r="K14" s="47">
        <f>+IFERROR(HLOOKUP($B14,'[2]4월'!$F$6:$CP$99,2,),)/1000</f>
        <v>21.271999999999998</v>
      </c>
      <c r="L14" s="48">
        <f t="shared" si="0"/>
        <v>3.2719999999999985</v>
      </c>
      <c r="M14" s="49">
        <f>+IFERROR(HLOOKUP($B14,'[3]4월'!$F$6:$CC$57,2,),)/1000</f>
        <v>18.648</v>
      </c>
      <c r="N14" s="50">
        <f t="shared" si="2"/>
        <v>2.6239999999999988</v>
      </c>
      <c r="O14" s="46">
        <f>+IFERROR(HLOOKUP($B14,'[1]4월'!$D$6:$BN$259,3,),)/1000</f>
        <v>1872</v>
      </c>
      <c r="P14" s="47">
        <f>+IFERROR(HLOOKUP($B14,'[2]4월'!$F$6:$CP$99,3,),)/1000</f>
        <v>2214.5888999999997</v>
      </c>
      <c r="Q14" s="48">
        <f t="shared" si="3"/>
        <v>342.58889999999974</v>
      </c>
      <c r="R14" s="49">
        <f>+IFERROR(HLOOKUP($B14,'[3]4월'!$F$6:$CC$57,3,),)/1000</f>
        <v>1832.64302</v>
      </c>
      <c r="S14" s="50">
        <f t="shared" si="4"/>
        <v>381.94587999999976</v>
      </c>
      <c r="T14" s="46">
        <f>+IFERROR(HLOOKUP($B14,'[1]4월'!$D$6:$BN$259,16,),)/1000</f>
        <v>271.6561610808547</v>
      </c>
      <c r="U14" s="47">
        <f>+IFERROR(HLOOKUP($B14,'[2]4월'!$F$6:$CP$99,16,),)/1000</f>
        <v>247.37615299999976</v>
      </c>
      <c r="V14" s="48">
        <f t="shared" si="5"/>
        <v>-24.280008080854941</v>
      </c>
      <c r="W14" s="49">
        <f>+IFERROR(HLOOKUP($B14,'[3]4월'!$F$6:$CC$57,16,),)/1000</f>
        <v>247.73400200000009</v>
      </c>
      <c r="X14" s="50">
        <f t="shared" si="6"/>
        <v>-0.35784900000032849</v>
      </c>
      <c r="Y14" s="46">
        <f>+[5]정관!$Q$85</f>
        <v>104000</v>
      </c>
      <c r="Z14" s="47">
        <f>+[5]정관!$R$85</f>
        <v>104108.16566378337</v>
      </c>
      <c r="AA14" s="51">
        <f>+[6]정관!$Q$85</f>
        <v>98275.580223080222</v>
      </c>
      <c r="AB14" s="52">
        <f>+[5]정관!$Q$89</f>
        <v>78162.091310322867</v>
      </c>
      <c r="AC14" s="47">
        <f>+[5]정관!$R$89</f>
        <v>82781.134072959772</v>
      </c>
      <c r="AD14" s="53">
        <f>+[6]정관!$Q$89</f>
        <v>74437.101887601908</v>
      </c>
      <c r="AE14" s="52">
        <f t="shared" si="7"/>
        <v>25837.908689677133</v>
      </c>
      <c r="AF14" s="47">
        <f t="shared" si="8"/>
        <v>21327.031590823593</v>
      </c>
      <c r="AG14" s="53">
        <f t="shared" si="9"/>
        <v>23838.478335478314</v>
      </c>
      <c r="AH14" s="18"/>
      <c r="AI14" s="19"/>
      <c r="AJ14" s="97"/>
    </row>
    <row r="15" spans="2:36" s="8" customFormat="1" ht="19.5" customHeight="1">
      <c r="B15" s="8" t="s">
        <v>29</v>
      </c>
      <c r="G15" s="8" t="str">
        <f t="shared" si="1"/>
        <v>양산</v>
      </c>
      <c r="H15" s="80"/>
      <c r="I15" s="81" t="s">
        <v>29</v>
      </c>
      <c r="J15" s="46">
        <f>+IFERROR(HLOOKUP($B15,'[1]4월'!$D$6:$BN$259,2,),)/1000</f>
        <v>11</v>
      </c>
      <c r="K15" s="47">
        <f>+IFERROR(HLOOKUP($B15,'[2]4월'!$F$6:$CP$99,2,),)/1000</f>
        <v>12.804</v>
      </c>
      <c r="L15" s="48">
        <f t="shared" si="0"/>
        <v>1.8040000000000003</v>
      </c>
      <c r="M15" s="49">
        <f>+IFERROR(HLOOKUP($B15,'[3]4월'!$F$6:$CC$57,2,),)/1000</f>
        <v>14.433999999999999</v>
      </c>
      <c r="N15" s="50">
        <f t="shared" si="2"/>
        <v>-1.629999999999999</v>
      </c>
      <c r="O15" s="46">
        <f>+IFERROR(HLOOKUP($B15,'[1]4월'!$D$6:$BN$259,3,),)/1000</f>
        <v>1063.8694700000001</v>
      </c>
      <c r="P15" s="47">
        <f>+IFERROR(HLOOKUP($B15,'[2]4월'!$F$6:$CP$99,3,),)/1000</f>
        <v>1198.3639450000001</v>
      </c>
      <c r="Q15" s="48">
        <f t="shared" si="3"/>
        <v>134.49447499999997</v>
      </c>
      <c r="R15" s="49">
        <f>+IFERROR(HLOOKUP($B15,'[3]4월'!$F$6:$CC$57,3,),)/1000</f>
        <v>1350.3968400000001</v>
      </c>
      <c r="S15" s="50">
        <f t="shared" si="4"/>
        <v>-152.03289500000005</v>
      </c>
      <c r="T15" s="46">
        <f>+IFERROR(HLOOKUP($B15,'[1]4월'!$D$6:$BN$259,16,),)/1000</f>
        <v>155.33143893833602</v>
      </c>
      <c r="U15" s="47">
        <f>+IFERROR(HLOOKUP($B15,'[2]4월'!$F$6:$CP$99,16,),)/1000</f>
        <v>114.71239700000014</v>
      </c>
      <c r="V15" s="48">
        <f t="shared" si="5"/>
        <v>-40.619041938335883</v>
      </c>
      <c r="W15" s="49">
        <f>+IFERROR(HLOOKUP($B15,'[3]4월'!$F$6:$CC$57,16,),)/1000</f>
        <v>245.54893200000018</v>
      </c>
      <c r="X15" s="50">
        <f t="shared" si="6"/>
        <v>-130.83653500000003</v>
      </c>
      <c r="Y15" s="46">
        <f>+[5]양산!$Q$85</f>
        <v>96715.406363636372</v>
      </c>
      <c r="Z15" s="47">
        <f>+[5]양산!$R$85</f>
        <v>93592.935410809136</v>
      </c>
      <c r="AA15" s="51">
        <f>+[6]양산!$Q$85</f>
        <v>93556.66066232507</v>
      </c>
      <c r="AB15" s="52">
        <f>+[5]양산!$Q$89</f>
        <v>70432.272359141192</v>
      </c>
      <c r="AC15" s="47">
        <f>+[5]양산!$R$89</f>
        <v>73554.020384254909</v>
      </c>
      <c r="AD15" s="53">
        <f>+[6]양산!$Q$89</f>
        <v>66543.193975069255</v>
      </c>
      <c r="AE15" s="52">
        <f t="shared" si="7"/>
        <v>26283.134004495179</v>
      </c>
      <c r="AF15" s="47">
        <f t="shared" si="8"/>
        <v>20038.915026554227</v>
      </c>
      <c r="AG15" s="53">
        <f t="shared" si="9"/>
        <v>27013.466687255815</v>
      </c>
      <c r="AH15" s="18"/>
      <c r="AI15" s="19"/>
      <c r="AJ15" s="97"/>
    </row>
    <row r="16" spans="2:36" s="8" customFormat="1" ht="19.5" customHeight="1">
      <c r="B16" s="8" t="s">
        <v>30</v>
      </c>
      <c r="G16" s="8" t="str">
        <f t="shared" si="1"/>
        <v>창원</v>
      </c>
      <c r="H16" s="80"/>
      <c r="I16" s="81" t="s">
        <v>30</v>
      </c>
      <c r="J16" s="46">
        <f>+IFERROR(HLOOKUP($B16,'[1]4월'!$D$6:$BN$259,2,),)/1000</f>
        <v>18</v>
      </c>
      <c r="K16" s="47">
        <f>+IFERROR(HLOOKUP($B16,'[2]4월'!$F$6:$CP$99,2,),)/1000</f>
        <v>19.111499999999999</v>
      </c>
      <c r="L16" s="48">
        <f t="shared" si="0"/>
        <v>1.1114999999999995</v>
      </c>
      <c r="M16" s="49">
        <f>+IFERROR(HLOOKUP($B16,'[3]4월'!$F$6:$CC$57,2,),)/1000</f>
        <v>22.036000000000001</v>
      </c>
      <c r="N16" s="50">
        <f t="shared" si="2"/>
        <v>-2.9245000000000019</v>
      </c>
      <c r="O16" s="46">
        <f>+IFERROR(HLOOKUP($B16,'[1]4월'!$D$6:$BN$259,3,),)/1000</f>
        <v>1793.0035</v>
      </c>
      <c r="P16" s="47">
        <f>+IFERROR(HLOOKUP($B16,'[2]4월'!$F$6:$CP$99,3,),)/1000</f>
        <v>1984.4875500000001</v>
      </c>
      <c r="Q16" s="48">
        <f t="shared" si="3"/>
        <v>191.48405000000002</v>
      </c>
      <c r="R16" s="49">
        <f>+IFERROR(HLOOKUP($B16,'[3]4월'!$F$6:$CC$57,3,),)/1000</f>
        <v>2037.4773</v>
      </c>
      <c r="S16" s="50">
        <f t="shared" si="4"/>
        <v>-52.989749999999958</v>
      </c>
      <c r="T16" s="46">
        <f>+IFERROR(HLOOKUP($B16,'[1]4월'!$D$6:$BN$259,16,),)/1000</f>
        <v>311.08833408970378</v>
      </c>
      <c r="U16" s="47">
        <f>+IFERROR(HLOOKUP($B16,'[2]4월'!$F$6:$CP$99,16,),)/1000</f>
        <v>350.89097999999996</v>
      </c>
      <c r="V16" s="48">
        <f t="shared" si="5"/>
        <v>39.802645910296178</v>
      </c>
      <c r="W16" s="49">
        <f>+IFERROR(HLOOKUP($B16,'[3]4월'!$F$6:$CC$57,16,),)/1000</f>
        <v>353.49432599999983</v>
      </c>
      <c r="X16" s="50">
        <f t="shared" si="6"/>
        <v>-2.603345999999874</v>
      </c>
      <c r="Y16" s="46">
        <f>+[5]창원!$Q$85</f>
        <v>99611.305555555562</v>
      </c>
      <c r="Z16" s="47">
        <f>+[5]창원!$R$85</f>
        <v>103837.35185621223</v>
      </c>
      <c r="AA16" s="51">
        <f>+[6]창원!$Q$85</f>
        <v>92461.304229442729</v>
      </c>
      <c r="AB16" s="52">
        <f>+[5]창원!$Q$89</f>
        <v>71953.105935988773</v>
      </c>
      <c r="AC16" s="47">
        <f>+[5]창원!$R$89</f>
        <v>74909.070193339081</v>
      </c>
      <c r="AD16" s="53">
        <f>+[6]창원!$Q$89</f>
        <v>67635.833862770014</v>
      </c>
      <c r="AE16" s="52">
        <f t="shared" si="7"/>
        <v>27658.199619566789</v>
      </c>
      <c r="AF16" s="47">
        <f t="shared" si="8"/>
        <v>28928.281662873153</v>
      </c>
      <c r="AG16" s="53">
        <f t="shared" si="9"/>
        <v>24825.470366672715</v>
      </c>
      <c r="AH16" s="18"/>
      <c r="AI16" s="19"/>
      <c r="AJ16" s="97"/>
    </row>
    <row r="17" spans="2:38" s="8" customFormat="1" ht="19.5" customHeight="1">
      <c r="B17" s="8" t="s">
        <v>96</v>
      </c>
      <c r="G17" s="8" t="str">
        <f t="shared" si="1"/>
        <v>대구</v>
      </c>
      <c r="H17" s="80"/>
      <c r="I17" s="81" t="s">
        <v>87</v>
      </c>
      <c r="J17" s="46">
        <f>+IFERROR(HLOOKUP($B17,'[1]4월'!$D$6:$BN$259,2,),)/1000</f>
        <v>16.5</v>
      </c>
      <c r="K17" s="47">
        <f>+IFERROR(HLOOKUP($B17,'[2]4월'!$F$6:$CP$99,2,),)/1000</f>
        <v>17.658999999999999</v>
      </c>
      <c r="L17" s="48">
        <f t="shared" si="0"/>
        <v>1.1589999999999989</v>
      </c>
      <c r="M17" s="49">
        <f>+IFERROR(HLOOKUP($B17,'[3]4월'!$F$6:$CC$57,2,),)/1000</f>
        <v>18.675999999999998</v>
      </c>
      <c r="N17" s="50">
        <f t="shared" si="2"/>
        <v>-1.0169999999999995</v>
      </c>
      <c r="O17" s="46">
        <f>+IFERROR(HLOOKUP($B17,'[1]4월'!$D$6:$BN$259,3,),)/1000</f>
        <v>1613.7</v>
      </c>
      <c r="P17" s="47">
        <f>+IFERROR(HLOOKUP($B17,'[2]4월'!$F$6:$CP$99,3,),)/1000</f>
        <v>1760.5862</v>
      </c>
      <c r="Q17" s="48">
        <f t="shared" si="3"/>
        <v>146.88619999999992</v>
      </c>
      <c r="R17" s="49">
        <f>+IFERROR(HLOOKUP($B17,'[3]4월'!$F$6:$CC$57,3,),)/1000</f>
        <v>1734.6948500000001</v>
      </c>
      <c r="S17" s="50">
        <f t="shared" si="4"/>
        <v>25.891349999999875</v>
      </c>
      <c r="T17" s="46">
        <f>+IFERROR(HLOOKUP($B17,'[1]4월'!$D$6:$BN$259,16,),)/1000</f>
        <v>287.40752838819759</v>
      </c>
      <c r="U17" s="47">
        <f>+IFERROR(HLOOKUP($B17,'[2]4월'!$F$6:$CP$99,16,),)/1000</f>
        <v>287.68351899999993</v>
      </c>
      <c r="V17" s="48">
        <f t="shared" si="5"/>
        <v>0.2759906118023423</v>
      </c>
      <c r="W17" s="49">
        <f>+IFERROR(HLOOKUP($B17,'[3]4월'!$F$6:$CC$57,16,),)/1000</f>
        <v>323.77131000000026</v>
      </c>
      <c r="X17" s="50">
        <f t="shared" si="6"/>
        <v>-36.087791000000323</v>
      </c>
      <c r="Y17" s="46">
        <f>+[5]대구!$Q$85</f>
        <v>97800</v>
      </c>
      <c r="Z17" s="47">
        <f>+[5]대구!$R$85</f>
        <v>99699.088283594756</v>
      </c>
      <c r="AA17" s="51">
        <f>+[6]대구!$Q$85</f>
        <v>92883.639430284864</v>
      </c>
      <c r="AB17" s="52">
        <f>+[5]대구!$Q$89</f>
        <v>69576.21035174503</v>
      </c>
      <c r="AC17" s="47">
        <f>+[5]대구!$R$89</f>
        <v>73859.704116880908</v>
      </c>
      <c r="AD17" s="53">
        <f>+[6]대구!$Q$89</f>
        <v>66659.105750696079</v>
      </c>
      <c r="AE17" s="52">
        <f t="shared" si="7"/>
        <v>28223.78964825497</v>
      </c>
      <c r="AF17" s="47">
        <f t="shared" si="8"/>
        <v>25839.384166713848</v>
      </c>
      <c r="AG17" s="53">
        <f t="shared" si="9"/>
        <v>26224.533679588785</v>
      </c>
      <c r="AH17" s="18"/>
      <c r="AI17" s="19"/>
      <c r="AJ17" s="97"/>
    </row>
    <row r="18" spans="2:38" s="8" customFormat="1" ht="19.5" customHeight="1">
      <c r="B18" s="8" t="s">
        <v>98</v>
      </c>
      <c r="G18" s="9" t="str">
        <f t="shared" si="1"/>
        <v>울산</v>
      </c>
      <c r="H18" s="80"/>
      <c r="I18" s="83" t="s">
        <v>88</v>
      </c>
      <c r="J18" s="10">
        <f>+IFERROR(HLOOKUP($B18,'[1]4월'!$D$6:$BN$259,2,),)/1000</f>
        <v>8</v>
      </c>
      <c r="K18" s="11">
        <f>+IFERROR(HLOOKUP($B18,'[2]4월'!$F$6:$CP$99,2,),)/1000</f>
        <v>11.11</v>
      </c>
      <c r="L18" s="12">
        <f t="shared" si="0"/>
        <v>3.1099999999999994</v>
      </c>
      <c r="M18" s="13">
        <f>+IFERROR(HLOOKUP($B18,'[3]4월'!$F$6:$CC$57,2,),)/1000</f>
        <v>8.0225000000000009</v>
      </c>
      <c r="N18" s="14">
        <f t="shared" si="2"/>
        <v>3.0874999999999986</v>
      </c>
      <c r="O18" s="10">
        <f>+IFERROR(HLOOKUP($B18,'[1]4월'!$D$6:$BN$259,3,),)/1000</f>
        <v>784.04539999999997</v>
      </c>
      <c r="P18" s="11">
        <f>+IFERROR(HLOOKUP($B18,'[2]4월'!$F$6:$CP$99,3,),)/1000</f>
        <v>1127.6673000000001</v>
      </c>
      <c r="Q18" s="12">
        <f t="shared" si="3"/>
        <v>343.6219000000001</v>
      </c>
      <c r="R18" s="13">
        <f>+IFERROR(HLOOKUP($B18,'[3]4월'!$F$6:$CC$57,3,),)/1000</f>
        <v>747.84620000000007</v>
      </c>
      <c r="S18" s="14">
        <f t="shared" si="4"/>
        <v>379.8211</v>
      </c>
      <c r="T18" s="10">
        <f>+IFERROR(HLOOKUP($B18,'[1]4월'!$D$6:$BN$259,16,),)/1000</f>
        <v>31.327690253552461</v>
      </c>
      <c r="U18" s="11">
        <f>+IFERROR(HLOOKUP($B18,'[2]4월'!$F$6:$CP$99,16,),)/1000</f>
        <v>133.17268700000008</v>
      </c>
      <c r="V18" s="12">
        <f t="shared" si="5"/>
        <v>101.84499674644762</v>
      </c>
      <c r="W18" s="13">
        <f>+IFERROR(HLOOKUP($B18,'[3]4월'!$F$6:$CC$57,16,),)/1000</f>
        <v>40.734841000000102</v>
      </c>
      <c r="X18" s="14">
        <f t="shared" si="6"/>
        <v>92.437845999999979</v>
      </c>
      <c r="Y18" s="10">
        <f>+[5]울산!$Q$85</f>
        <v>98005.675000000003</v>
      </c>
      <c r="Z18" s="11">
        <f>+[5]울산!$R$85</f>
        <v>101500.20702070207</v>
      </c>
      <c r="AA18" s="15">
        <f>+[6]울산!$Q$85</f>
        <v>93206.05489604926</v>
      </c>
      <c r="AB18" s="16">
        <f>+[5]울산!$Q$89</f>
        <v>78179.890407605926</v>
      </c>
      <c r="AC18" s="11">
        <f>+[5]울산!$R$89</f>
        <v>78272.848784878486</v>
      </c>
      <c r="AD18" s="17">
        <f>+[6]울산!$Q$89</f>
        <v>71618.607100665293</v>
      </c>
      <c r="AE18" s="16">
        <f t="shared" si="7"/>
        <v>19825.784592394077</v>
      </c>
      <c r="AF18" s="11">
        <f t="shared" si="8"/>
        <v>23227.358235823587</v>
      </c>
      <c r="AG18" s="17">
        <f t="shared" si="9"/>
        <v>21587.447795383967</v>
      </c>
      <c r="AH18" s="18"/>
      <c r="AI18" s="19"/>
      <c r="AJ18" s="97"/>
    </row>
    <row r="19" spans="2:38" s="8" customFormat="1" ht="19.5" customHeight="1">
      <c r="B19" s="8" t="s">
        <v>93</v>
      </c>
      <c r="G19" s="9" t="str">
        <f t="shared" si="1"/>
        <v>아산</v>
      </c>
      <c r="H19" s="80"/>
      <c r="I19" s="81" t="s">
        <v>31</v>
      </c>
      <c r="J19" s="46">
        <f>+IFERROR(HLOOKUP($B19,'[1]4월'!$D$6:$BN$259,2,),)/1000</f>
        <v>25</v>
      </c>
      <c r="K19" s="47">
        <f>+IFERROR(HLOOKUP($B19,'[2]4월'!$F$6:$CP$99,2,),)/1000</f>
        <v>30.068999999999999</v>
      </c>
      <c r="L19" s="48">
        <f t="shared" si="0"/>
        <v>5.0689999999999991</v>
      </c>
      <c r="M19" s="49">
        <f>+IFERROR(HLOOKUP($B19,'[3]4월'!$F$6:$CC$57,2,),)/1000</f>
        <v>26.625</v>
      </c>
      <c r="N19" s="50">
        <f t="shared" si="2"/>
        <v>3.4439999999999991</v>
      </c>
      <c r="O19" s="46">
        <f>+IFERROR(HLOOKUP($B19,'[1]4월'!$D$6:$BN$259,3,),)/1000</f>
        <v>2525.0038</v>
      </c>
      <c r="P19" s="47">
        <f>+IFERROR(HLOOKUP($B19,'[2]4월'!$F$6:$CP$99,3,),)/1000</f>
        <v>3153.8161999999998</v>
      </c>
      <c r="Q19" s="48">
        <f t="shared" si="3"/>
        <v>628.8123999999998</v>
      </c>
      <c r="R19" s="49">
        <f>+IFERROR(HLOOKUP($B19,'[3]4월'!$F$6:$CC$57,3,),)/1000</f>
        <v>2530.0268000000001</v>
      </c>
      <c r="S19" s="50">
        <f t="shared" si="4"/>
        <v>623.78939999999966</v>
      </c>
      <c r="T19" s="46">
        <f>+IFERROR(HLOOKUP($B19,'[1]4월'!$D$6:$BN$259,16,),)/1000</f>
        <v>411.17384088752152</v>
      </c>
      <c r="U19" s="47">
        <f>+IFERROR(HLOOKUP($B19,'[2]4월'!$F$6:$CP$99,16,),)/1000</f>
        <v>538.83441399999936</v>
      </c>
      <c r="V19" s="48">
        <f t="shared" si="5"/>
        <v>127.66057311247783</v>
      </c>
      <c r="W19" s="49">
        <f>+IFERROR(HLOOKUP($B19,'[3]4월'!$F$6:$CC$57,16,),)/1000</f>
        <v>543.39313500000026</v>
      </c>
      <c r="X19" s="50">
        <f t="shared" si="6"/>
        <v>-4.5587210000009009</v>
      </c>
      <c r="Y19" s="46">
        <f>+[5]아산!$Q$85</f>
        <v>101000.15199999999</v>
      </c>
      <c r="Z19" s="47">
        <f>+[5]아산!$R$85</f>
        <v>104707.6933630595</v>
      </c>
      <c r="AA19" s="51">
        <f>+[6]아산!$Q$85</f>
        <v>95032.766935423118</v>
      </c>
      <c r="AB19" s="52">
        <f>+[5]아산!$Q$89</f>
        <v>76085.870230225861</v>
      </c>
      <c r="AC19" s="47">
        <f>+[5]아산!$R$89</f>
        <v>77280.259490415279</v>
      </c>
      <c r="AD19" s="53">
        <f>+[6]아산!$Q$89</f>
        <v>66840.085458174843</v>
      </c>
      <c r="AE19" s="52">
        <f t="shared" si="7"/>
        <v>24914.281769774127</v>
      </c>
      <c r="AF19" s="47">
        <f t="shared" si="8"/>
        <v>27427.433872644222</v>
      </c>
      <c r="AG19" s="53">
        <f t="shared" si="9"/>
        <v>28192.681477248276</v>
      </c>
      <c r="AH19" s="18"/>
      <c r="AI19" s="19"/>
      <c r="AJ19" s="97"/>
    </row>
    <row r="20" spans="2:38" s="8" customFormat="1" ht="19.5" customHeight="1">
      <c r="B20" s="8" t="s">
        <v>89</v>
      </c>
      <c r="G20" s="9" t="str">
        <f t="shared" si="1"/>
        <v>전주</v>
      </c>
      <c r="H20" s="80"/>
      <c r="I20" s="81" t="s">
        <v>89</v>
      </c>
      <c r="J20" s="46">
        <f>+IFERROR(HLOOKUP($B20,'[1]4월'!$D$6:$BN$259,2,),)/1000</f>
        <v>12</v>
      </c>
      <c r="K20" s="47">
        <f>+IFERROR(HLOOKUP($B20,'[2]4월'!$F$6:$CP$99,2,),)/1000</f>
        <v>9.7720000000000002</v>
      </c>
      <c r="L20" s="48">
        <f t="shared" si="0"/>
        <v>-2.2279999999999998</v>
      </c>
      <c r="M20" s="49">
        <f>+IFERROR(HLOOKUP($B20,'[3]4월'!$F$6:$CC$57,2,),)/1000</f>
        <v>12.6175</v>
      </c>
      <c r="N20" s="50">
        <f t="shared" si="2"/>
        <v>-2.8454999999999995</v>
      </c>
      <c r="O20" s="46">
        <f>+IFERROR(HLOOKUP($B20,'[1]4월'!$D$6:$BN$259,3,),)/1000</f>
        <v>1244.68524</v>
      </c>
      <c r="P20" s="47">
        <f>+IFERROR(HLOOKUP($B20,'[2]4월'!$F$6:$CP$99,3,),)/1000</f>
        <v>934.79441899999995</v>
      </c>
      <c r="Q20" s="48">
        <f t="shared" si="3"/>
        <v>-309.89082100000007</v>
      </c>
      <c r="R20" s="49">
        <f>+IFERROR(HLOOKUP($B20,'[3]4월'!$F$6:$CC$57,3,),)/1000</f>
        <v>1241.8730460000002</v>
      </c>
      <c r="S20" s="50">
        <f t="shared" si="4"/>
        <v>-307.07862700000021</v>
      </c>
      <c r="T20" s="46">
        <f>+IFERROR(HLOOKUP($B20,'[1]4월'!$D$6:$BN$259,16,),)/1000</f>
        <v>207.03881674903485</v>
      </c>
      <c r="U20" s="47">
        <f>+IFERROR(HLOOKUP($B20,'[2]4월'!$F$6:$CP$99,16,),)/1000</f>
        <v>98.974597999999958</v>
      </c>
      <c r="V20" s="48">
        <f t="shared" si="5"/>
        <v>-108.06421874903489</v>
      </c>
      <c r="W20" s="49">
        <f>+IFERROR(HLOOKUP($B20,'[3]4월'!$F$6:$CC$57,16,),)/1000</f>
        <v>227.09051300000016</v>
      </c>
      <c r="X20" s="50">
        <f t="shared" si="6"/>
        <v>-128.1159150000002</v>
      </c>
      <c r="Y20" s="46">
        <f>+[5]전주!$Q$85</f>
        <v>103723.77</v>
      </c>
      <c r="Z20" s="47">
        <f>+[5]전주!$R$85</f>
        <v>95671.078368940012</v>
      </c>
      <c r="AA20" s="51">
        <f>+[6]전주!$Q$85</f>
        <v>98424.65195165445</v>
      </c>
      <c r="AB20" s="52">
        <f>+[5]전주!$Q$89</f>
        <v>73824.766591675929</v>
      </c>
      <c r="AC20" s="47">
        <f>+[5]전주!$R$89</f>
        <v>70537.058545603941</v>
      </c>
      <c r="AD20" s="53">
        <f>+[6]전주!$Q$89</f>
        <v>68767.29510600357</v>
      </c>
      <c r="AE20" s="52">
        <f t="shared" si="7"/>
        <v>29899.003408324075</v>
      </c>
      <c r="AF20" s="47">
        <f t="shared" si="8"/>
        <v>25134.019823336072</v>
      </c>
      <c r="AG20" s="53">
        <f t="shared" si="9"/>
        <v>29657.35684565088</v>
      </c>
      <c r="AH20" s="18"/>
      <c r="AI20" s="19"/>
      <c r="AJ20" s="97"/>
    </row>
    <row r="21" spans="2:38" s="8" customFormat="1" ht="19.5" customHeight="1">
      <c r="B21" s="8" t="s">
        <v>90</v>
      </c>
      <c r="G21" s="9" t="str">
        <f t="shared" si="1"/>
        <v>군산</v>
      </c>
      <c r="H21" s="80"/>
      <c r="I21" s="81" t="s">
        <v>90</v>
      </c>
      <c r="J21" s="46">
        <f>+IFERROR(HLOOKUP($B21,'[1]4월'!$D$6:$BN$259,2,),)/1000</f>
        <v>7.5</v>
      </c>
      <c r="K21" s="47">
        <f>+IFERROR(HLOOKUP($B21,'[2]4월'!$F$6:$CP$99,2,),)/1000</f>
        <v>10.98</v>
      </c>
      <c r="L21" s="48">
        <f t="shared" si="0"/>
        <v>3.4800000000000004</v>
      </c>
      <c r="M21" s="49">
        <f>+IFERROR(HLOOKUP($B21,'[3]4월'!$F$6:$CC$57,2,),)/1000</f>
        <v>8.2620000000000005</v>
      </c>
      <c r="N21" s="50">
        <f t="shared" si="2"/>
        <v>2.718</v>
      </c>
      <c r="O21" s="46">
        <f>+IFERROR(HLOOKUP($B21,'[1]4월'!$D$6:$BN$259,3,),)/1000</f>
        <v>820.36733400000003</v>
      </c>
      <c r="P21" s="47">
        <f>+IFERROR(HLOOKUP($B21,'[2]4월'!$F$6:$CP$99,3,),)/1000</f>
        <v>1236.60708</v>
      </c>
      <c r="Q21" s="48">
        <f t="shared" si="3"/>
        <v>416.23974599999997</v>
      </c>
      <c r="R21" s="49">
        <f>+IFERROR(HLOOKUP($B21,'[3]4월'!$F$6:$CC$57,3,),)/1000</f>
        <v>809.25519999999995</v>
      </c>
      <c r="S21" s="50">
        <f t="shared" si="4"/>
        <v>427.35188000000005</v>
      </c>
      <c r="T21" s="46">
        <f>+IFERROR(HLOOKUP($B21,'[1]4월'!$D$6:$BN$259,16,),)/1000</f>
        <v>225.71196349631168</v>
      </c>
      <c r="U21" s="47">
        <f>+IFERROR(HLOOKUP($B21,'[2]4월'!$F$6:$CP$99,16,),)/1000</f>
        <v>393.17557400000004</v>
      </c>
      <c r="V21" s="48">
        <f t="shared" si="5"/>
        <v>167.46361050368836</v>
      </c>
      <c r="W21" s="49">
        <f>+IFERROR(HLOOKUP($B21,'[3]4월'!$F$6:$CC$57,16,),)/1000</f>
        <v>170.62542899999991</v>
      </c>
      <c r="X21" s="50">
        <f t="shared" si="6"/>
        <v>222.55014500000013</v>
      </c>
      <c r="Y21" s="46">
        <f>+[5]군산!$Q$85</f>
        <v>109382.3112</v>
      </c>
      <c r="Z21" s="47">
        <f>+[5]군산!$R$85</f>
        <v>112623.59562841531</v>
      </c>
      <c r="AA21" s="51">
        <f>+[6]군산!$Q$85</f>
        <v>97949.068022270643</v>
      </c>
      <c r="AB21" s="52">
        <f>+[5]군산!$Q$89</f>
        <v>69401.03867254185</v>
      </c>
      <c r="AC21" s="47">
        <f>+[5]군산!$R$89</f>
        <v>69227.20719489982</v>
      </c>
      <c r="AD21" s="53">
        <f>+[6]군산!$Q$89</f>
        <v>65796.147058823539</v>
      </c>
      <c r="AE21" s="52">
        <f t="shared" si="7"/>
        <v>39981.272527458146</v>
      </c>
      <c r="AF21" s="47">
        <f t="shared" si="8"/>
        <v>43396.388433515487</v>
      </c>
      <c r="AG21" s="53">
        <f t="shared" si="9"/>
        <v>32152.920963447104</v>
      </c>
      <c r="AH21" s="18"/>
      <c r="AI21" s="19"/>
      <c r="AJ21" s="97"/>
    </row>
    <row r="22" spans="2:38" s="8" customFormat="1" ht="19.5" customHeight="1">
      <c r="B22" s="8" t="s">
        <v>91</v>
      </c>
      <c r="G22" s="9" t="str">
        <f t="shared" si="1"/>
        <v>원주</v>
      </c>
      <c r="H22" s="80"/>
      <c r="I22" s="81" t="s">
        <v>91</v>
      </c>
      <c r="J22" s="46">
        <f>+IFERROR(HLOOKUP($B22,'[1]4월'!$D$6:$BN$259,2,),)/1000</f>
        <v>6</v>
      </c>
      <c r="K22" s="47">
        <f>+IFERROR(HLOOKUP($B22,'[2]4월'!$F$6:$CP$99,2,),)/1000</f>
        <v>6.9255000000000004</v>
      </c>
      <c r="L22" s="48">
        <f t="shared" si="0"/>
        <v>0.92550000000000043</v>
      </c>
      <c r="M22" s="49">
        <f>+IFERROR(HLOOKUP($B22,'[3]4월'!$F$6:$CC$57,2,),)/1000</f>
        <v>3.9975000000000001</v>
      </c>
      <c r="N22" s="50">
        <f t="shared" si="2"/>
        <v>2.9280000000000004</v>
      </c>
      <c r="O22" s="46">
        <f>+IFERROR(HLOOKUP($B22,'[1]4월'!$D$6:$BN$259,3,),)/1000</f>
        <v>647.4</v>
      </c>
      <c r="P22" s="47">
        <f>+IFERROR(HLOOKUP($B22,'[2]4월'!$F$6:$CP$99,3,),)/1000</f>
        <v>765.701145</v>
      </c>
      <c r="Q22" s="48">
        <f t="shared" si="3"/>
        <v>118.30114500000002</v>
      </c>
      <c r="R22" s="49">
        <f>+IFERROR(HLOOKUP($B22,'[3]4월'!$F$6:$CC$57,3,),)/1000</f>
        <v>400.58019999999999</v>
      </c>
      <c r="S22" s="50">
        <f t="shared" si="4"/>
        <v>365.12094500000001</v>
      </c>
      <c r="T22" s="46">
        <f>+IFERROR(HLOOKUP($B22,'[1]4월'!$D$6:$BN$259,16,),)/1000</f>
        <v>119.39039288333349</v>
      </c>
      <c r="U22" s="47">
        <f>+IFERROR(HLOOKUP($B22,'[2]4월'!$F$6:$CP$99,16,),)/1000</f>
        <v>170.20888200000005</v>
      </c>
      <c r="V22" s="48">
        <f t="shared" si="5"/>
        <v>50.818489116666555</v>
      </c>
      <c r="W22" s="49">
        <f>+IFERROR(HLOOKUP($B22,'[3]4월'!$F$6:$CC$57,16,),)/1000</f>
        <v>55.235249999999986</v>
      </c>
      <c r="X22" s="50">
        <f t="shared" si="6"/>
        <v>114.97363200000007</v>
      </c>
      <c r="Y22" s="46">
        <f>+[5]원주!$Q$85</f>
        <v>107900</v>
      </c>
      <c r="Z22" s="47">
        <f>+[5]원주!$R$85</f>
        <v>110562.57959714101</v>
      </c>
      <c r="AA22" s="51">
        <f>+[6]원주!$Q$85</f>
        <v>100207.67979987492</v>
      </c>
      <c r="AB22" s="52">
        <f>+[5]원주!$Q$89</f>
        <v>72445.657782339302</v>
      </c>
      <c r="AC22" s="47">
        <f>+[5]원주!$R$89</f>
        <v>72123.368565446552</v>
      </c>
      <c r="AD22" s="53">
        <f>+[6]원주!$Q$89</f>
        <v>65419.533958724212</v>
      </c>
      <c r="AE22" s="52">
        <f t="shared" si="7"/>
        <v>35454.342217660698</v>
      </c>
      <c r="AF22" s="47">
        <f t="shared" si="8"/>
        <v>38439.21103169446</v>
      </c>
      <c r="AG22" s="53">
        <f t="shared" si="9"/>
        <v>34788.145841150712</v>
      </c>
      <c r="AH22" s="18"/>
      <c r="AI22" s="19"/>
      <c r="AJ22" s="97"/>
    </row>
    <row r="23" spans="2:38" s="8" customFormat="1" ht="19.5" customHeight="1">
      <c r="B23" s="8" t="s">
        <v>92</v>
      </c>
      <c r="G23" s="8" t="str">
        <f t="shared" si="1"/>
        <v>제주</v>
      </c>
      <c r="H23" s="80"/>
      <c r="I23" s="81" t="s">
        <v>92</v>
      </c>
      <c r="J23" s="46">
        <f>+IFERROR(HLOOKUP($B23,'[1]4월'!$D$6:$BN$259,2,),)/1000</f>
        <v>6</v>
      </c>
      <c r="K23" s="47">
        <f>+IFERROR(HLOOKUP($B23,'[2]4월'!$F$6:$CP$99,2,),)/1000</f>
        <v>3.556</v>
      </c>
      <c r="L23" s="48">
        <f t="shared" si="0"/>
        <v>-2.444</v>
      </c>
      <c r="M23" s="49">
        <f>+IFERROR(HLOOKUP($B23,'[3]4월'!$F$6:$CC$57,2,),)/1000</f>
        <v>7.6654999999999998</v>
      </c>
      <c r="N23" s="50">
        <f t="shared" si="2"/>
        <v>-4.1094999999999997</v>
      </c>
      <c r="O23" s="46">
        <f>+IFERROR(HLOOKUP($B23,'[1]4월'!$D$6:$BN$259,3,),)/1000</f>
        <v>760.2</v>
      </c>
      <c r="P23" s="47">
        <f>+IFERROR(HLOOKUP($B23,'[2]4월'!$F$6:$CP$99,3,),)/1000</f>
        <v>454.84141299999999</v>
      </c>
      <c r="Q23" s="48">
        <f t="shared" si="3"/>
        <v>-305.35858700000006</v>
      </c>
      <c r="R23" s="49">
        <f>+IFERROR(HLOOKUP($B23,'[3]4월'!$F$6:$CC$57,3,),)/1000</f>
        <v>906.96265599999992</v>
      </c>
      <c r="S23" s="50">
        <f t="shared" si="4"/>
        <v>-452.12124299999994</v>
      </c>
      <c r="T23" s="46">
        <f>+IFERROR(HLOOKUP($B23,'[1]4월'!$D$6:$BN$259,16,),)/1000</f>
        <v>126.63999693088294</v>
      </c>
      <c r="U23" s="47">
        <f>+IFERROR(HLOOKUP($B23,'[2]4월'!$F$6:$CP$99,16,),)/1000</f>
        <v>53.489504000000032</v>
      </c>
      <c r="V23" s="48">
        <f t="shared" si="5"/>
        <v>-73.150492930882905</v>
      </c>
      <c r="W23" s="49">
        <f>+IFERROR(HLOOKUP($B23,'[3]4월'!$F$6:$CC$57,16,),)/1000</f>
        <v>184.98747899999995</v>
      </c>
      <c r="X23" s="50">
        <f t="shared" si="6"/>
        <v>-131.49797499999991</v>
      </c>
      <c r="Y23" s="46">
        <f>+[5]제주!$Q$85</f>
        <v>126700</v>
      </c>
      <c r="Z23" s="47">
        <f>+[5]제주!$R$85</f>
        <v>127908.1588863892</v>
      </c>
      <c r="AA23" s="51">
        <f>+[6]제주!$Q$85</f>
        <v>118334.60685048136</v>
      </c>
      <c r="AB23" s="52">
        <f>+[5]제주!$Q$89</f>
        <v>89540.510519294927</v>
      </c>
      <c r="AC23" s="47">
        <f>+[5]제주!$R$89</f>
        <v>87547.523516237401</v>
      </c>
      <c r="AD23" s="53">
        <f>+[6]제주!$Q$89</f>
        <v>82785.857750998766</v>
      </c>
      <c r="AE23" s="52">
        <f t="shared" si="7"/>
        <v>37159.489480705073</v>
      </c>
      <c r="AF23" s="47">
        <f t="shared" si="8"/>
        <v>40360.635370151795</v>
      </c>
      <c r="AG23" s="53">
        <f t="shared" si="9"/>
        <v>35548.749099482593</v>
      </c>
      <c r="AH23" s="18"/>
      <c r="AI23" s="19"/>
      <c r="AJ23" s="97"/>
    </row>
    <row r="24" spans="2:38" s="8" customFormat="1" ht="19.5" customHeight="1">
      <c r="G24" s="96" t="str">
        <f t="shared" si="1"/>
        <v>수도권</v>
      </c>
      <c r="H24" s="80"/>
      <c r="I24" s="84" t="s">
        <v>55</v>
      </c>
      <c r="J24" s="23">
        <f>SUM(J7:J10)</f>
        <v>122.5</v>
      </c>
      <c r="K24" s="20">
        <f>SUM(K7:K10)</f>
        <v>122.51349999999999</v>
      </c>
      <c r="L24" s="21">
        <f t="shared" si="0"/>
        <v>1.3499999999993406E-2</v>
      </c>
      <c r="M24" s="25">
        <f>SUM(M7:M10)</f>
        <v>122.851</v>
      </c>
      <c r="N24" s="22">
        <f t="shared" si="2"/>
        <v>-0.33750000000000568</v>
      </c>
      <c r="O24" s="23">
        <f>SUM(O7:O10)</f>
        <v>12294.208911899888</v>
      </c>
      <c r="P24" s="20">
        <f>SUM(P7:P10)</f>
        <v>12227.971816000001</v>
      </c>
      <c r="Q24" s="21">
        <f t="shared" si="3"/>
        <v>-66.237095899887208</v>
      </c>
      <c r="R24" s="25">
        <f>SUM(R7:R10)</f>
        <v>11140.426517</v>
      </c>
      <c r="S24" s="22">
        <f t="shared" si="4"/>
        <v>1087.5452990000013</v>
      </c>
      <c r="T24" s="23">
        <f>SUM(T7:T10)</f>
        <v>1794.585262275526</v>
      </c>
      <c r="U24" s="20">
        <f>SUM(U7:U10)</f>
        <v>1426.0177970000004</v>
      </c>
      <c r="V24" s="21">
        <f t="shared" si="5"/>
        <v>-368.56746527552559</v>
      </c>
      <c r="W24" s="25">
        <f>SUM(W7:W10)</f>
        <v>1311.3904059899999</v>
      </c>
      <c r="X24" s="22">
        <f t="shared" si="6"/>
        <v>114.62739101000057</v>
      </c>
      <c r="Y24" s="23">
        <f>+[5]수도권!$Q$85</f>
        <v>100360.88907673377</v>
      </c>
      <c r="Z24" s="20">
        <f>+[5]수도권!$R$85</f>
        <v>99830.045678349328</v>
      </c>
      <c r="AA24" s="24">
        <f>+[6]수도권!$Q$85</f>
        <v>90663.316940607459</v>
      </c>
      <c r="AB24" s="29">
        <f>+[5]수도권!$Q$89</f>
        <v>77712.280896880926</v>
      </c>
      <c r="AC24" s="20">
        <f>+[5]수도권!$R$89</f>
        <v>80098.575335166795</v>
      </c>
      <c r="AD24" s="30">
        <f>+[6]수도권!$Q$89</f>
        <v>72165.203542361633</v>
      </c>
      <c r="AE24" s="29">
        <f t="shared" si="7"/>
        <v>22648.608179852847</v>
      </c>
      <c r="AF24" s="20">
        <f t="shared" si="8"/>
        <v>19731.470343182533</v>
      </c>
      <c r="AG24" s="30">
        <f t="shared" si="9"/>
        <v>18498.113398245827</v>
      </c>
      <c r="AH24" s="18"/>
      <c r="AI24" s="19"/>
      <c r="AJ24" s="97"/>
    </row>
    <row r="25" spans="2:38" s="8" customFormat="1" ht="19.5" customHeight="1">
      <c r="G25" s="8" t="str">
        <f t="shared" si="1"/>
        <v>영남권</v>
      </c>
      <c r="H25" s="80"/>
      <c r="I25" s="84" t="s">
        <v>56</v>
      </c>
      <c r="J25" s="23">
        <f>SUM(J11:J18)</f>
        <v>129.5</v>
      </c>
      <c r="K25" s="20">
        <f>SUM(K11:K18)</f>
        <v>147.22149999999999</v>
      </c>
      <c r="L25" s="21">
        <f t="shared" si="0"/>
        <v>17.721499999999992</v>
      </c>
      <c r="M25" s="25">
        <f>SUM(M11:M18)</f>
        <v>140.756</v>
      </c>
      <c r="N25" s="22">
        <f t="shared" si="2"/>
        <v>6.4654999999999916</v>
      </c>
      <c r="O25" s="23">
        <f>SUM(O11:O18)</f>
        <v>13185.026620000001</v>
      </c>
      <c r="P25" s="20">
        <f>SUM(P11:P18)</f>
        <v>14959.707523000001</v>
      </c>
      <c r="Q25" s="21">
        <f t="shared" si="3"/>
        <v>1774.6809030000004</v>
      </c>
      <c r="R25" s="25">
        <f>SUM(R11:R18)</f>
        <v>13501.90706</v>
      </c>
      <c r="S25" s="22">
        <f t="shared" si="4"/>
        <v>1457.8004630000014</v>
      </c>
      <c r="T25" s="23">
        <f>SUM(T11:T18)</f>
        <v>1983.2588445490358</v>
      </c>
      <c r="U25" s="20">
        <f>SUM(U11:U18)</f>
        <v>1954.5454069999992</v>
      </c>
      <c r="V25" s="21">
        <f t="shared" si="5"/>
        <v>-28.713437549036598</v>
      </c>
      <c r="W25" s="25">
        <f>SUM(W11:W18)</f>
        <v>2080.5331160000005</v>
      </c>
      <c r="X25" s="22">
        <f t="shared" si="6"/>
        <v>-125.98770900000136</v>
      </c>
      <c r="Y25" s="23">
        <f>+[5]영남권!$Q$85</f>
        <v>101814.87737451738</v>
      </c>
      <c r="Z25" s="20">
        <f>+[5]영남권!$R$85</f>
        <v>101618.83495007084</v>
      </c>
      <c r="AA25" s="24">
        <f>+[6]영남권!$Q$85</f>
        <v>95926.789874137816</v>
      </c>
      <c r="AB25" s="29">
        <f>+[5]영남권!$Q$89</f>
        <v>75421.507998227782</v>
      </c>
      <c r="AC25" s="20">
        <f>+[5]영남권!$R$89</f>
        <v>78242.383846390978</v>
      </c>
      <c r="AD25" s="30">
        <f>+[6]영남권!$Q$89</f>
        <v>70949.054700782042</v>
      </c>
      <c r="AE25" s="29">
        <f t="shared" si="7"/>
        <v>26393.3693762896</v>
      </c>
      <c r="AF25" s="20">
        <f t="shared" si="8"/>
        <v>23376.451103679865</v>
      </c>
      <c r="AG25" s="30">
        <f t="shared" si="9"/>
        <v>24977.735173355773</v>
      </c>
      <c r="AH25" s="18"/>
      <c r="AI25" s="19"/>
      <c r="AJ25" s="97"/>
    </row>
    <row r="26" spans="2:38" s="8" customFormat="1" ht="19.5" customHeight="1">
      <c r="G26" s="8" t="str">
        <f t="shared" si="1"/>
        <v>중부권</v>
      </c>
      <c r="H26" s="80"/>
      <c r="I26" s="84" t="s">
        <v>171</v>
      </c>
      <c r="J26" s="23">
        <f>SUM(J19:J23)</f>
        <v>56.5</v>
      </c>
      <c r="K26" s="20">
        <f>SUM(K19:K23)</f>
        <v>61.302499999999995</v>
      </c>
      <c r="L26" s="21">
        <f t="shared" si="0"/>
        <v>4.8024999999999949</v>
      </c>
      <c r="M26" s="25">
        <f>SUM(M19:M23)</f>
        <v>59.167500000000004</v>
      </c>
      <c r="N26" s="22">
        <f t="shared" si="2"/>
        <v>2.1349999999999909</v>
      </c>
      <c r="O26" s="23">
        <f>SUM(O19:O23)</f>
        <v>5997.6563739999992</v>
      </c>
      <c r="P26" s="20">
        <f>SUM(P19:P23)</f>
        <v>6545.7602569999999</v>
      </c>
      <c r="Q26" s="21">
        <f t="shared" si="3"/>
        <v>548.10388300000068</v>
      </c>
      <c r="R26" s="25">
        <f>SUM(R19:R23)</f>
        <v>5888.6979019999999</v>
      </c>
      <c r="S26" s="22">
        <f t="shared" si="4"/>
        <v>657.06235500000003</v>
      </c>
      <c r="T26" s="23">
        <f>SUM(T19:T23)</f>
        <v>1089.9550109470845</v>
      </c>
      <c r="U26" s="20">
        <f>SUM(U19:U23)</f>
        <v>1254.6829719999996</v>
      </c>
      <c r="V26" s="21">
        <f t="shared" si="5"/>
        <v>164.72796105291513</v>
      </c>
      <c r="W26" s="25">
        <f>SUM(W19:W23)</f>
        <v>1181.3318060000001</v>
      </c>
      <c r="X26" s="22">
        <f t="shared" si="6"/>
        <v>73.351165999999466</v>
      </c>
      <c r="Y26" s="23">
        <f>+[5]중부권!$Q$85</f>
        <v>106153.21015929204</v>
      </c>
      <c r="Z26" s="20">
        <f>+[5]중부권!$R$85</f>
        <v>106728.90198417631</v>
      </c>
      <c r="AA26" s="24">
        <f>+[6]중부권!$Q$85</f>
        <v>99528.287095599764</v>
      </c>
      <c r="AB26" s="29">
        <f>+[5]중부권!$Q$89</f>
        <v>75760.508932913755</v>
      </c>
      <c r="AC26" s="20">
        <f>+[5]중부권!$R$89</f>
        <v>74744.19377386148</v>
      </c>
      <c r="AD26" s="30">
        <f>+[6]중부권!$Q$89</f>
        <v>69070.788402116406</v>
      </c>
      <c r="AE26" s="29">
        <f t="shared" si="7"/>
        <v>30392.701226378282</v>
      </c>
      <c r="AF26" s="20">
        <f t="shared" si="8"/>
        <v>31984.708210314828</v>
      </c>
      <c r="AG26" s="30">
        <f t="shared" si="9"/>
        <v>30457.498693483358</v>
      </c>
      <c r="AH26" s="18"/>
      <c r="AI26" s="19"/>
      <c r="AJ26" s="97"/>
    </row>
    <row r="27" spans="2:38" s="3" customFormat="1" ht="19.5" customHeight="1">
      <c r="B27" s="26"/>
      <c r="G27" s="9">
        <f>+K27/J27</f>
        <v>1.0730551053484603</v>
      </c>
      <c r="H27" s="630" t="s">
        <v>115</v>
      </c>
      <c r="I27" s="631"/>
      <c r="J27" s="632">
        <f>SUM(J24:J26)</f>
        <v>308.5</v>
      </c>
      <c r="K27" s="633">
        <f>SUM(K24:K26)</f>
        <v>331.03750000000002</v>
      </c>
      <c r="L27" s="634">
        <f t="shared" ref="L27:L32" si="10">+K27-J27</f>
        <v>22.537500000000023</v>
      </c>
      <c r="M27" s="635">
        <f>SUM(M24:M26)</f>
        <v>322.77449999999999</v>
      </c>
      <c r="N27" s="636">
        <f t="shared" ref="N27:N32" si="11">+K27-M27</f>
        <v>8.2630000000000337</v>
      </c>
      <c r="O27" s="632">
        <f>SUM(O24:O26)</f>
        <v>31476.891905899887</v>
      </c>
      <c r="P27" s="633">
        <f>SUM(P24:P26)</f>
        <v>33733.439596000004</v>
      </c>
      <c r="Q27" s="634">
        <f t="shared" ref="Q27:Q43" si="12">+P27-O27</f>
        <v>2256.5476901001166</v>
      </c>
      <c r="R27" s="635">
        <f>SUM(R24:R26)</f>
        <v>30531.031478999997</v>
      </c>
      <c r="S27" s="636">
        <f t="shared" ref="S27:S34" si="13">+P27-R27</f>
        <v>3202.4081170000063</v>
      </c>
      <c r="T27" s="632">
        <f>SUM(T24:T26)</f>
        <v>4867.7991177716467</v>
      </c>
      <c r="U27" s="633">
        <f>SUM(U24:U26)</f>
        <v>4635.2461759999987</v>
      </c>
      <c r="V27" s="634">
        <f t="shared" ref="V27:V32" si="14">+U27-T27</f>
        <v>-232.55294177164797</v>
      </c>
      <c r="W27" s="635">
        <f>SUM(W24:W26)</f>
        <v>4573.2553279900003</v>
      </c>
      <c r="X27" s="636">
        <f t="shared" ref="X27:X32" si="15">+U27-W27</f>
        <v>61.990848009998444</v>
      </c>
      <c r="Y27" s="632">
        <f>+[5]합계!$Q$85</f>
        <v>102032.06452479702</v>
      </c>
      <c r="Z27" s="633">
        <f>+[5]합계!$R$85</f>
        <v>101892.73306876901</v>
      </c>
      <c r="AA27" s="637">
        <f>+[6]합계!$Q$85</f>
        <v>94591.9257838427</v>
      </c>
      <c r="AB27" s="638">
        <f>+[5]합계!$Q$89</f>
        <v>76393.220260447444</v>
      </c>
      <c r="AC27" s="633">
        <f>+[5]합계!$R$89</f>
        <v>78288.565317468878</v>
      </c>
      <c r="AD27" s="639">
        <f>+[6]합계!$Q$89</f>
        <v>71065.260196220508</v>
      </c>
      <c r="AE27" s="638">
        <f t="shared" si="7"/>
        <v>25638.84426434958</v>
      </c>
      <c r="AF27" s="633">
        <f t="shared" si="8"/>
        <v>23604.167751300134</v>
      </c>
      <c r="AG27" s="639">
        <f t="shared" si="9"/>
        <v>23526.665587622192</v>
      </c>
      <c r="AH27" s="27"/>
      <c r="AI27" s="28"/>
      <c r="AJ27" s="97"/>
      <c r="AL27" s="26"/>
    </row>
    <row r="28" spans="2:38" s="8" customFormat="1" ht="19.5" customHeight="1">
      <c r="B28" s="8" t="s">
        <v>194</v>
      </c>
      <c r="E28" s="8" t="s">
        <v>203</v>
      </c>
      <c r="G28" s="8" t="s">
        <v>3</v>
      </c>
      <c r="H28" s="820" t="s">
        <v>63</v>
      </c>
      <c r="I28" s="821"/>
      <c r="J28" s="168">
        <f>+IFERROR(HLOOKUP($B28,'[1]4월'!$D$6:$BN$259,2,),)</f>
        <v>7300</v>
      </c>
      <c r="K28" s="169">
        <f>+IFERROR(HLOOKUP($E28,'[2]4월'!$F$6:$CP$99,2,),)</f>
        <v>8574.9830000000002</v>
      </c>
      <c r="L28" s="170">
        <f>+K28-J28</f>
        <v>1274.9830000000002</v>
      </c>
      <c r="M28" s="171">
        <f>+IFERROR(HLOOKUP($E28,'[3]4월'!$F$6:$CC$57,2,),)</f>
        <v>9357.5969999999998</v>
      </c>
      <c r="N28" s="172">
        <f>+K28-M28</f>
        <v>-782.61399999999958</v>
      </c>
      <c r="O28" s="168">
        <f>+IFERROR(HLOOKUP($B28,'[1]4월'!$D$6:$BN$259,3,),)/1000</f>
        <v>8929.3157894736851</v>
      </c>
      <c r="P28" s="169">
        <f>+IFERROR(HLOOKUP($E28,'[2]4월'!$F$6:$CP$99,3,),)/1000</f>
        <v>8822.0394919999999</v>
      </c>
      <c r="Q28" s="170">
        <f>+P28-O28</f>
        <v>-107.27629747368519</v>
      </c>
      <c r="R28" s="171">
        <f>+IFERROR(HLOOKUP($E28,'[3]4월'!$F$6:$CC$57,3,),)/1000</f>
        <v>11408.615007999999</v>
      </c>
      <c r="S28" s="172">
        <f t="shared" si="13"/>
        <v>-2586.575515999999</v>
      </c>
      <c r="T28" s="168">
        <f>+IFERROR(HLOOKUP($B28,'[1]4월'!$D$6:$BN$259,16,),)/1000</f>
        <v>107.36944315789692</v>
      </c>
      <c r="U28" s="169">
        <f>+IFERROR(HLOOKUP($E28,'[2]4월'!$F$6:$CP$99,16,),)/1000</f>
        <v>-6.182667999998201</v>
      </c>
      <c r="V28" s="170">
        <f t="shared" si="14"/>
        <v>-113.55211115789513</v>
      </c>
      <c r="W28" s="171">
        <f>+IFERROR(HLOOKUP($E28,'[3]4월'!$F$6:$CC$57,16,),)/1000</f>
        <v>116.39870600000005</v>
      </c>
      <c r="X28" s="172">
        <f t="shared" si="15"/>
        <v>-122.58137399999825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>
      <c r="B29" s="8" t="s">
        <v>195</v>
      </c>
      <c r="F29" s="79" t="s">
        <v>61</v>
      </c>
      <c r="G29" s="844" t="str">
        <f>+I29</f>
        <v>부산모래장</v>
      </c>
      <c r="H29" s="86" t="s">
        <v>60</v>
      </c>
      <c r="I29" s="79" t="s">
        <v>232</v>
      </c>
      <c r="J29" s="56">
        <f>+IFERROR(HLOOKUP($B29,'[1]4월'!$D$6:$BN$259,2,),)/1000</f>
        <v>17.19630787261671</v>
      </c>
      <c r="K29" s="57">
        <f>+IFERROR(HLOOKUP($F29,'[2]4월'!$F$6:$CP$99,2,),)/1000</f>
        <v>20.579000000000001</v>
      </c>
      <c r="L29" s="38">
        <f t="shared" si="10"/>
        <v>3.3826921273832902</v>
      </c>
      <c r="M29" s="38">
        <f>+IFERROR(HLOOKUP($F29,'[3]4월'!$F$6:$CC$57,2,),)/1000</f>
        <v>22.427</v>
      </c>
      <c r="N29" s="58">
        <f t="shared" si="11"/>
        <v>-1.847999999999999</v>
      </c>
      <c r="O29" s="56">
        <f>+IFERROR(HLOOKUP($B29,'[1]4월'!$D$6:$BN$259,3,),)/1000</f>
        <v>539.08911138622966</v>
      </c>
      <c r="P29" s="57">
        <f>+IFERROR(HLOOKUP($F29,'[2]4월'!$F$6:$CP$99,3,),)/1000</f>
        <v>653.70640800000001</v>
      </c>
      <c r="Q29" s="38">
        <f t="shared" si="12"/>
        <v>114.61729661377035</v>
      </c>
      <c r="R29" s="38">
        <f>+IFERROR(HLOOKUP($F29,'[3]4월'!$F$6:$CC$57,3,),)/1000</f>
        <v>695.29559999999992</v>
      </c>
      <c r="S29" s="58">
        <f t="shared" si="13"/>
        <v>-41.589191999999912</v>
      </c>
      <c r="T29" s="56">
        <f>+IFERROR(HLOOKUP($B29,'[1]4월'!$D$6:$BN$259,21,),)/1000</f>
        <v>33.044388910965623</v>
      </c>
      <c r="U29" s="57">
        <f>+IFERROR(HLOOKUP($F29,'[2]4월'!$F$6:$CP$99,21,),)/1000</f>
        <v>40.624191761937489</v>
      </c>
      <c r="V29" s="38">
        <f t="shared" si="14"/>
        <v>7.5798028509718662</v>
      </c>
      <c r="W29" s="38">
        <f>+IFERROR(HLOOKUP($F29,'[3]4월'!$F$6:$CC$57,16,),)/1000</f>
        <v>69.539436010000017</v>
      </c>
      <c r="X29" s="58">
        <f t="shared" si="15"/>
        <v>-28.915244248062528</v>
      </c>
      <c r="Y29" s="587"/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>
      <c r="B30" s="8" t="s">
        <v>196</v>
      </c>
      <c r="F30" s="81" t="s">
        <v>62</v>
      </c>
      <c r="G30" s="844" t="str">
        <f t="shared" ref="G30:G31" si="16">+I30</f>
        <v>서부산CR</v>
      </c>
      <c r="H30" s="85"/>
      <c r="I30" s="81" t="s">
        <v>233</v>
      </c>
      <c r="J30" s="54">
        <f>+IFERROR(HLOOKUP($B30,'[1]4월'!$D$6:$BN$259,2,),)/1000</f>
        <v>0</v>
      </c>
      <c r="K30" s="59">
        <f>+IFERROR(HLOOKUP($F30,'[2]4월'!$F$6:$CP$99,2,),)/1000</f>
        <v>27.24</v>
      </c>
      <c r="L30" s="48">
        <f t="shared" si="10"/>
        <v>27.24</v>
      </c>
      <c r="M30" s="48">
        <f>+IFERROR(HLOOKUP($F30,'[3]4월'!$F$6:$CC$57,2,),)/1000</f>
        <v>35.811999999999998</v>
      </c>
      <c r="N30" s="60">
        <f t="shared" si="11"/>
        <v>-8.5719999999999992</v>
      </c>
      <c r="O30" s="54">
        <f>+IFERROR(HLOOKUP($B30,'[1]4월'!$D$6:$BN$259,3,),)/1000</f>
        <v>0</v>
      </c>
      <c r="P30" s="59">
        <f>+IFERROR(HLOOKUP($F30,'[2]4월'!$F$6:$CP$99,3,),)/1000</f>
        <v>382.24799999999999</v>
      </c>
      <c r="Q30" s="48">
        <f t="shared" si="12"/>
        <v>382.24799999999999</v>
      </c>
      <c r="R30" s="48">
        <f>+IFERROR(HLOOKUP($F30,'[3]4월'!$F$6:$CC$57,3,),)/1000</f>
        <v>422.38200000000001</v>
      </c>
      <c r="S30" s="60">
        <f t="shared" si="13"/>
        <v>-40.134000000000015</v>
      </c>
      <c r="T30" s="54">
        <f>+IFERROR(HLOOKUP($B30,'[1]4월'!$D$6:$BN$259,21,),)/1000</f>
        <v>-95.073312555555546</v>
      </c>
      <c r="U30" s="59">
        <f>+IFERROR(HLOOKUP($F30,'[2]4월'!$F$6:$CP$99,21,),)/1000</f>
        <v>61.107316063169705</v>
      </c>
      <c r="V30" s="48">
        <f t="shared" si="14"/>
        <v>156.18062861872525</v>
      </c>
      <c r="W30" s="48">
        <f>+IFERROR(HLOOKUP($F30,'[3]4월'!$F$6:$CC$57,16,),)/1000</f>
        <v>91.612904000000029</v>
      </c>
      <c r="X30" s="60">
        <f t="shared" si="15"/>
        <v>-30.505587936830324</v>
      </c>
      <c r="Y30" s="629"/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99"/>
      <c r="AK30" s="99"/>
      <c r="AL30" s="99"/>
    </row>
    <row r="31" spans="2:38" s="8" customFormat="1" ht="19.5" customHeight="1">
      <c r="B31" s="8" t="s">
        <v>176</v>
      </c>
      <c r="F31" s="83" t="s">
        <v>176</v>
      </c>
      <c r="G31" s="844" t="str">
        <f t="shared" si="16"/>
        <v>부산CR</v>
      </c>
      <c r="H31" s="85"/>
      <c r="I31" s="83" t="s">
        <v>234</v>
      </c>
      <c r="J31" s="54">
        <f>+IFERROR(HLOOKUP($B31,'[1]4월'!$D$6:$BN$259,2,),)/1000</f>
        <v>41.833975250037795</v>
      </c>
      <c r="K31" s="59">
        <f>+IFERROR(HLOOKUP($F31,'[2]4월'!$F$6:$CP$99,2,),)/1000</f>
        <v>38.524000000000001</v>
      </c>
      <c r="L31" s="48">
        <f t="shared" si="10"/>
        <v>-3.3099752500377946</v>
      </c>
      <c r="M31" s="48">
        <f>+IFERROR(HLOOKUP($F31,'[3]4월'!$F$6:$CC$57,2,),)/1000</f>
        <v>0</v>
      </c>
      <c r="N31" s="60">
        <f t="shared" si="11"/>
        <v>38.524000000000001</v>
      </c>
      <c r="O31" s="54">
        <f>+IFERROR(HLOOKUP($B31,'[1]4월'!$D$6:$BN$259,3,),)/1000</f>
        <v>750.63699937211618</v>
      </c>
      <c r="P31" s="59">
        <f>+IFERROR(HLOOKUP($F31,'[2]4월'!$F$6:$CP$99,3,),)/1000</f>
        <v>710.86599999999999</v>
      </c>
      <c r="Q31" s="48">
        <f t="shared" si="12"/>
        <v>-39.770999372116194</v>
      </c>
      <c r="R31" s="48">
        <f>+IFERROR(HLOOKUP($F31,'[3]4월'!$F$6:$CC$57,3,),)/1000</f>
        <v>0</v>
      </c>
      <c r="S31" s="60">
        <f t="shared" si="13"/>
        <v>710.86599999999999</v>
      </c>
      <c r="T31" s="54">
        <f>+IFERROR(HLOOKUP($B31,'[1]4월'!$D$6:$BN$259,21,),)/1000</f>
        <v>66.766595047686025</v>
      </c>
      <c r="U31" s="59">
        <f>+IFERROR(HLOOKUP($F31,'[2]4월'!$F$6:$CP$99,21,),)/1000</f>
        <v>52.14593768000006</v>
      </c>
      <c r="V31" s="48">
        <f t="shared" si="14"/>
        <v>-14.620657367685965</v>
      </c>
      <c r="W31" s="48">
        <f>+IFERROR(HLOOKUP($F31,'[3]4월'!$F$6:$CC$57,16,),)/1000</f>
        <v>-27.277190999999995</v>
      </c>
      <c r="X31" s="60">
        <f t="shared" si="15"/>
        <v>79.423128680000048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99"/>
      <c r="AK31" s="99"/>
      <c r="AL31" s="99"/>
    </row>
    <row r="32" spans="2:38" s="3" customFormat="1" ht="19.5" customHeight="1">
      <c r="H32" s="147" t="s">
        <v>42</v>
      </c>
      <c r="I32" s="148"/>
      <c r="J32" s="149">
        <f>SUM(J29:J31)</f>
        <v>59.030283122654509</v>
      </c>
      <c r="K32" s="153">
        <f>SUM(K29:K31)</f>
        <v>86.343000000000004</v>
      </c>
      <c r="L32" s="151">
        <f t="shared" si="10"/>
        <v>27.312716877345494</v>
      </c>
      <c r="M32" s="151">
        <f>SUM(M29:M31)</f>
        <v>58.238999999999997</v>
      </c>
      <c r="N32" s="152">
        <f t="shared" si="11"/>
        <v>28.104000000000006</v>
      </c>
      <c r="O32" s="149">
        <f>SUM(O29:O31)</f>
        <v>1289.7261107583458</v>
      </c>
      <c r="P32" s="153">
        <f>SUM(P29:P31)</f>
        <v>1746.820408</v>
      </c>
      <c r="Q32" s="151">
        <f t="shared" si="12"/>
        <v>457.0942972416542</v>
      </c>
      <c r="R32" s="151">
        <f>SUM(R29:R31)</f>
        <v>1117.6776</v>
      </c>
      <c r="S32" s="152">
        <f t="shared" si="13"/>
        <v>629.14280800000006</v>
      </c>
      <c r="T32" s="149">
        <f>SUM(T29:T31)</f>
        <v>4.7376714030961011</v>
      </c>
      <c r="U32" s="153">
        <f>SUM(U29:U31)</f>
        <v>153.87744550510726</v>
      </c>
      <c r="V32" s="151">
        <f t="shared" si="14"/>
        <v>149.13977410201116</v>
      </c>
      <c r="W32" s="151">
        <f>SUM(W29:W31)</f>
        <v>133.87514901000006</v>
      </c>
      <c r="X32" s="152">
        <f t="shared" si="15"/>
        <v>20.002296495107203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>
      <c r="B33" s="8" t="s">
        <v>199</v>
      </c>
      <c r="C33" s="8" t="s">
        <v>198</v>
      </c>
      <c r="D33" t="s">
        <v>197</v>
      </c>
      <c r="E33" t="s">
        <v>100</v>
      </c>
      <c r="F33"/>
      <c r="G33" s="8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(IFERROR(HLOOKUP($B33,'[1]4월'!$D$6:$BN$259,3,),)++IFERROR(HLOOKUP($C33,'[1]4월'!$D$6:$BN$259,3,),)+IFERROR(HLOOKUP($D33,'[1]4월'!$D$6:$BN$259,3,),))/1000</f>
        <v>90.84</v>
      </c>
      <c r="P33" s="47">
        <f>+IFERROR(HLOOKUP($E33,'[2]4월'!$F$6:$CP$99,3,),)/1000</f>
        <v>90.84</v>
      </c>
      <c r="Q33" s="49">
        <f t="shared" si="12"/>
        <v>0</v>
      </c>
      <c r="R33" s="48">
        <f>+IFERROR(HLOOKUP($E33,'[3]4월'!$F$6:$CC$57,3,),)/1000</f>
        <v>78.34</v>
      </c>
      <c r="S33" s="60">
        <f t="shared" si="13"/>
        <v>12.5</v>
      </c>
      <c r="T33" s="46">
        <f>(IFERROR(HLOOKUP($B33,'[1]4월'!$D$6:$BN$259,21,),)++IFERROR(HLOOKUP($C33,'[1]4월'!$D$6:$BN$259,21,),)+IFERROR(HLOOKUP($D33,'[1]4월'!$D$6:$BN$259,21,),))/1000</f>
        <v>72.210526000000002</v>
      </c>
      <c r="U33" s="47">
        <f>+IFERROR(HLOOKUP($E33,'[2]4월'!$F$6:$CP$99,16,),)/1000</f>
        <v>71.958666999999991</v>
      </c>
      <c r="V33" s="49">
        <f t="shared" ref="V33:V40" si="17">+U33-T33</f>
        <v>-0.25185900000001027</v>
      </c>
      <c r="W33" s="48">
        <f>+IFERROR(HLOOKUP($E33,'[3]4월'!$F$6:$CC$57,16,),)/1000</f>
        <v>63.066592999999997</v>
      </c>
      <c r="X33" s="60">
        <f t="shared" ref="X33:X39" si="18">+U33-W33</f>
        <v>8.8920739999999938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>
      <c r="B34" s="8" t="s">
        <v>200</v>
      </c>
      <c r="C34" s="8" t="s">
        <v>201</v>
      </c>
      <c r="D34"/>
      <c r="E34" t="s">
        <v>40</v>
      </c>
      <c r="F34"/>
      <c r="G34" s="8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(+IFERROR(HLOOKUP($B34,'[1]4월'!$D$6:$BN$259,3,),)+IFERROR(HLOOKUP($C34,'[1]4월'!$D$6:$BN$259,3,),))/1000</f>
        <v>72.297500333333332</v>
      </c>
      <c r="P34" s="47">
        <f>+IFERROR(HLOOKUP($E34,'[2]4월'!$F$6:$CP$99,3,),)/1000</f>
        <v>73.25669400000001</v>
      </c>
      <c r="Q34" s="49">
        <f>+P34-O34</f>
        <v>0.95919366666667827</v>
      </c>
      <c r="R34" s="48">
        <f>+IFERROR(HLOOKUP($E34,'[3]4월'!$F$6:$CC$57,3,),)/1000</f>
        <v>71.577121000000005</v>
      </c>
      <c r="S34" s="60">
        <f t="shared" si="13"/>
        <v>1.6795730000000049</v>
      </c>
      <c r="T34" s="46">
        <f>(+IFERROR(HLOOKUP($B34,'[1]4월'!$D$6:$BN$259,21,),)+IFERROR(HLOOKUP($C34,'[1]4월'!$D$6:$BN$259,21,),))/1000</f>
        <v>62.045457333333324</v>
      </c>
      <c r="U34" s="47">
        <f>+IFERROR(HLOOKUP($E34,'[2]4월'!$F$6:$CP$99,16,),)/1000</f>
        <v>63.157758000000001</v>
      </c>
      <c r="V34" s="49">
        <f t="shared" si="17"/>
        <v>1.1123006666666768</v>
      </c>
      <c r="W34" s="48">
        <f>+IFERROR(HLOOKUP($E34,'[3]4월'!$F$6:$CC$57,16,),)/1000</f>
        <v>34.773533999999998</v>
      </c>
      <c r="X34" s="60">
        <f t="shared" si="18"/>
        <v>28.384224000000003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>
      <c r="B35" s="8" t="s">
        <v>202</v>
      </c>
      <c r="D35"/>
      <c r="E35"/>
      <c r="F35"/>
      <c r="G35" s="8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-'[1]4월'!$Z$22/1000</f>
        <v>-1543.1732971925726</v>
      </c>
      <c r="U35" s="47">
        <f>+-'[2]4월'!$Z$22/1000</f>
        <v>-1567.4228325016084</v>
      </c>
      <c r="V35" s="49">
        <f t="shared" si="17"/>
        <v>-24.249535309035764</v>
      </c>
      <c r="W35" s="48">
        <f>+-'[3]4월'!$Z$22/1000</f>
        <v>-1336.3393189999999</v>
      </c>
      <c r="X35" s="60">
        <f t="shared" si="18"/>
        <v>-231.08351350160842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>
      <c r="D36"/>
      <c r="E36"/>
      <c r="F36"/>
      <c r="G36" s="8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+'[1]4월'!$AS$26/1000</f>
        <v>0</v>
      </c>
      <c r="U36" s="47">
        <f>-'[2]4월'!$BD$26/1000</f>
        <v>0</v>
      </c>
      <c r="V36" s="49">
        <f t="shared" si="17"/>
        <v>0</v>
      </c>
      <c r="W36" s="48">
        <f>-'[3]4월'!$BD$26/1000</f>
        <v>0</v>
      </c>
      <c r="X36" s="60">
        <f t="shared" si="18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>
      <c r="D37"/>
      <c r="E37"/>
      <c r="F37"/>
      <c r="G37" s="8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'[2]4월'!$BE$26/1000</f>
        <v>0</v>
      </c>
      <c r="V37" s="49">
        <f t="shared" si="17"/>
        <v>0</v>
      </c>
      <c r="W37" s="48">
        <f>'[3]4월'!$BE$26/1000</f>
        <v>0</v>
      </c>
      <c r="X37" s="60">
        <f t="shared" si="18"/>
        <v>0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8" s="8" customFormat="1" ht="19.5" customHeight="1">
      <c r="D38"/>
      <c r="E38"/>
      <c r="F38"/>
      <c r="G38" s="8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/>
      <c r="S38" s="60">
        <f t="shared" si="22"/>
        <v>0</v>
      </c>
      <c r="T38" s="46">
        <f>SUM('[1]4월'!$AM$26:$AQ$26)/1000</f>
        <v>-35.713225444459646</v>
      </c>
      <c r="U38" s="47">
        <f>+'[2]4월'!$BF$26/1000</f>
        <v>-33.797813000000005</v>
      </c>
      <c r="V38" s="49">
        <f t="shared" si="17"/>
        <v>1.9154124444596405</v>
      </c>
      <c r="W38" s="48">
        <f>+'[3]4월'!$BF$26/1000</f>
        <v>-27.618783000000004</v>
      </c>
      <c r="X38" s="60">
        <f>+U38-W38</f>
        <v>-6.1790300000000009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>
      <c r="B39" t="s">
        <v>39</v>
      </c>
      <c r="D39"/>
      <c r="G39" s="8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IFERROR(HLOOKUP($B39,'[1]4월'!$D$6:$BN$259,3,),)/1000</f>
        <v>1.77</v>
      </c>
      <c r="P39" s="47">
        <f>+('[2]4월'!$F$8-SUM('[2]4월'!$Z$8,'[2]4월'!$AH$8,'[2]4월'!$AN$8,'[2]4월'!$AO$8,'[2]4월'!$BA$8,'[2]4월'!$BD$8,'[2]4월'!$BE$8,'[2]4월'!$BF$8))/1000</f>
        <v>1.70239999999851</v>
      </c>
      <c r="Q39" s="55">
        <f t="shared" si="21"/>
        <v>-6.7600000001490024E-2</v>
      </c>
      <c r="R39" s="61">
        <f>+('[3]4월'!$F$8-SUM('[3]4월'!$Z$8,'[3]4월'!$AH$8,'[3]4월'!$AN$8,'[3]4월'!$AO$8,'[3]4월'!$BA$8,'[3]4월'!$BD$8,'[3]4월'!$BE$8,'[3]4월'!$BF$8))/1000</f>
        <v>1.7437000000029803</v>
      </c>
      <c r="S39" s="62">
        <f t="shared" si="22"/>
        <v>-4.1300000004470316E-2</v>
      </c>
      <c r="T39" s="46">
        <f>+('[1]4월'!$E$26-'[1]4월'!$Z$26-'[1]4월'!$AA$26-'[1]4월'!$AE$26-'[1]4월'!$AL$26-'[1]4월'!$AM$26-'[1]4월'!$AN$26-'[1]4월'!$AO$26-'[1]4월'!$AP$26-'[1]4월'!$AQ$26-'[1]4월'!$AS$26)/1000</f>
        <v>-79.281808000000979</v>
      </c>
      <c r="U39" s="47">
        <f>+('[2]4월'!$F$26-SUM('[2]4월'!$Z$26,'[2]4월'!$AH$26,'[2]4월'!$AN$26,'[2]4월'!$AO$26,'[2]4월'!$BA$26,'[2]4월'!$BD$26,'[2]4월'!$BE$26,'[2]4월'!$BF$26))/1000</f>
        <v>-14.461379000000189</v>
      </c>
      <c r="V39" s="49">
        <f t="shared" si="17"/>
        <v>64.820429000000786</v>
      </c>
      <c r="W39" s="61">
        <f>+('[3]4월'!$F$26-SUM('[3]4월'!$Z$26,'[3]4월'!$AH$26,'[3]4월'!$AN$26,'[3]4월'!$AO$26,'[3]4월'!$BA$26,'[3]4월'!$BD$26,'[3]4월'!$BE$26,'[3]4월'!$BF$26))/1000</f>
        <v>-17.324943999995476</v>
      </c>
      <c r="X39" s="60">
        <f t="shared" si="18"/>
        <v>2.8635649999952868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20"/>
        <v>0</v>
      </c>
      <c r="O41" s="149">
        <f>SUM(O33:O40)</f>
        <v>164.90750033333333</v>
      </c>
      <c r="P41" s="150">
        <f>SUM(P33:P40)</f>
        <v>165.79909399999852</v>
      </c>
      <c r="Q41" s="154">
        <f t="shared" si="12"/>
        <v>0.89159366666518736</v>
      </c>
      <c r="R41" s="155">
        <f>SUM(R33:R40)</f>
        <v>151.66082100000298</v>
      </c>
      <c r="S41" s="156">
        <f>+P41-R41</f>
        <v>14.138272999995536</v>
      </c>
      <c r="T41" s="149">
        <f>SUM(T33:T40)</f>
        <v>-1523.9123473036998</v>
      </c>
      <c r="U41" s="150">
        <f>SUM(U33:U40)</f>
        <v>-1480.5655995016084</v>
      </c>
      <c r="V41" s="154">
        <f>+U41-T41</f>
        <v>43.346747802091386</v>
      </c>
      <c r="W41" s="155">
        <f>SUM(W33:W40)</f>
        <v>-1283.4429189999953</v>
      </c>
      <c r="X41" s="156">
        <f>+U41-W41</f>
        <v>-197.1226805016131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>
      <c r="G43" s="665">
        <f>+P43/O43</f>
        <v>1.0622839198201224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41860.841306465256</v>
      </c>
      <c r="P43" s="643">
        <f>+P27+P32+P28+P41</f>
        <v>44468.098590000009</v>
      </c>
      <c r="Q43" s="644">
        <f t="shared" si="12"/>
        <v>2607.2572835347528</v>
      </c>
      <c r="R43" s="645">
        <f>+R27+R32+R28+R41</f>
        <v>43208.984907999999</v>
      </c>
      <c r="S43" s="646">
        <f>+P43-R43</f>
        <v>1259.1136820000102</v>
      </c>
      <c r="T43" s="642">
        <f>+T27+T32+T28+T41</f>
        <v>3455.99388502894</v>
      </c>
      <c r="U43" s="643">
        <f>+U27+U32+U28+U41</f>
        <v>3302.3753540034986</v>
      </c>
      <c r="V43" s="644">
        <f>+U43-T43</f>
        <v>-153.61853102544137</v>
      </c>
      <c r="W43" s="645">
        <f>+W27+W32+W28+W41</f>
        <v>3540.086264000005</v>
      </c>
      <c r="X43" s="646">
        <f>+U43-W43</f>
        <v>-237.71090999650642</v>
      </c>
      <c r="Y43" s="822"/>
      <c r="Z43" s="823"/>
      <c r="AA43" s="823"/>
      <c r="AB43" s="823"/>
      <c r="AC43" s="823"/>
      <c r="AD43" s="823"/>
      <c r="AE43" s="823"/>
      <c r="AF43" s="823"/>
      <c r="AG43" s="824"/>
      <c r="AH43" s="26"/>
    </row>
    <row r="44" spans="2:38" s="34" customFormat="1">
      <c r="G44" s="662">
        <f>+U43/T43</f>
        <v>0.95555011492036968</v>
      </c>
      <c r="T44" s="662">
        <f>+T43/O43</f>
        <v>8.2559111980751665E-2</v>
      </c>
      <c r="U44" s="662">
        <f>+U43/P43</f>
        <v>7.4263920849229587E-2</v>
      </c>
      <c r="AC44" s="35"/>
      <c r="AF44" s="35"/>
    </row>
    <row r="45" spans="2:38" s="34" customFormat="1" ht="17.25" thickBot="1">
      <c r="AC45" s="35"/>
      <c r="AF45" s="35"/>
    </row>
    <row r="46" spans="2:38" s="34" customFormat="1">
      <c r="I46" s="819" t="s">
        <v>101</v>
      </c>
      <c r="J46" s="139">
        <f>+'[1]4월'!$Z$7/1000</f>
        <v>308.5</v>
      </c>
      <c r="K46" s="140">
        <f>+'[2]4월'!$AI$7/1000</f>
        <v>331.03750000000002</v>
      </c>
      <c r="L46" s="140"/>
      <c r="M46" s="140">
        <f>+'[3]4월'!$Z$7/1000</f>
        <v>322.77449999999999</v>
      </c>
      <c r="N46" s="140"/>
      <c r="O46" s="140">
        <f>+'[1]4월'!$E$8/1000</f>
        <v>41860.841306465249</v>
      </c>
      <c r="P46" s="140">
        <f>+'[2]4월'!$F$8/1000</f>
        <v>44468.098589999994</v>
      </c>
      <c r="Q46" s="140"/>
      <c r="R46" s="140">
        <f>+'[3]4월'!$F$8/1000</f>
        <v>43208.984908000006</v>
      </c>
      <c r="S46" s="140"/>
      <c r="T46" s="145">
        <f>+'[1]4월'!$E$26/1000</f>
        <v>3455.9938850289354</v>
      </c>
      <c r="U46" s="140">
        <f>+'[2]4월'!$F$26/1000</f>
        <v>3302.3753540034991</v>
      </c>
      <c r="V46" s="140"/>
      <c r="W46" s="140">
        <f>+'[3]4월'!$F$26/1000</f>
        <v>3540.086264000005</v>
      </c>
      <c r="X46" s="141"/>
      <c r="AC46" s="35"/>
      <c r="AF46" s="35"/>
    </row>
    <row r="47" spans="2:38" s="34" customFormat="1" ht="17.25" thickBot="1">
      <c r="I47" s="819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-4.5474735088646412E-12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>
      <c r="T48" s="659"/>
      <c r="U48" s="659"/>
      <c r="V48" s="659"/>
    </row>
    <row r="49" spans="10:33">
      <c r="T49" s="659"/>
      <c r="U49" s="659"/>
      <c r="V49" s="659"/>
    </row>
    <row r="50" spans="10:33">
      <c r="T50" s="659"/>
      <c r="U50" s="659"/>
      <c r="V50" s="659"/>
    </row>
    <row r="51" spans="10:33">
      <c r="T51" s="660"/>
      <c r="U51" s="660"/>
      <c r="V51" s="659"/>
    </row>
    <row r="52" spans="10:33">
      <c r="T52" s="660"/>
      <c r="U52" s="660"/>
      <c r="V52" s="659"/>
    </row>
    <row r="54" spans="10:3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>
    <tabColor theme="1" tint="0.249977111117893"/>
    <pageSetUpPr fitToPage="1"/>
  </sheetPr>
  <dimension ref="A1:AL57"/>
  <sheetViews>
    <sheetView showGridLines="0" showZeros="0" tabSelected="1" topLeftCell="F1" zoomScale="85" zoomScaleNormal="85" zoomScaleSheetLayoutView="85" workbookViewId="0">
      <selection activeCell="I29" sqref="I29:I31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225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815" t="s">
        <v>11</v>
      </c>
      <c r="I5" s="816"/>
      <c r="J5" s="173" t="s">
        <v>0</v>
      </c>
      <c r="K5" s="174"/>
      <c r="L5" s="174"/>
      <c r="M5" s="174"/>
      <c r="N5" s="175"/>
      <c r="O5" s="173" t="s">
        <v>2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21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>
      <c r="H6" s="817"/>
      <c r="I6" s="818"/>
      <c r="J6" s="176" t="s">
        <v>12</v>
      </c>
      <c r="K6" s="177" t="s">
        <v>13</v>
      </c>
      <c r="L6" s="178" t="s">
        <v>37</v>
      </c>
      <c r="M6" s="177" t="s">
        <v>14</v>
      </c>
      <c r="N6" s="179" t="s">
        <v>37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>
      <c r="B7" s="8" t="s">
        <v>22</v>
      </c>
      <c r="F7" s="784"/>
      <c r="G7" s="784"/>
      <c r="H7" s="78" t="s">
        <v>53</v>
      </c>
      <c r="I7" s="79" t="s">
        <v>22</v>
      </c>
      <c r="J7" s="36">
        <f>+'사업장별(당월)'!J7+'[4]사업장별(누계)'!J7</f>
        <v>158</v>
      </c>
      <c r="K7" s="37">
        <f>+'사업장별(당월)'!K7+'[4]사업장별(누계)'!K7</f>
        <v>170.69800000000004</v>
      </c>
      <c r="L7" s="38">
        <f t="shared" ref="L7:L32" si="0">+K7-J7</f>
        <v>12.698000000000036</v>
      </c>
      <c r="M7" s="39">
        <f>+'사업장별(당월)'!M7+'[4]사업장별(누계)'!M7</f>
        <v>174.13400000000001</v>
      </c>
      <c r="N7" s="40">
        <f>+K7-M7</f>
        <v>-3.4359999999999786</v>
      </c>
      <c r="O7" s="36">
        <f>+'사업장별(당월)'!O7+'[4]사업장별(누계)'!O7</f>
        <v>15630.925800000001</v>
      </c>
      <c r="P7" s="37">
        <f>+'사업장별(당월)'!P7+'[4]사업장별(누계)'!P7</f>
        <v>16839.669387000002</v>
      </c>
      <c r="Q7" s="38">
        <f>+P7-O7</f>
        <v>1208.7435870000008</v>
      </c>
      <c r="R7" s="39">
        <f>+'사업장별(당월)'!R7+'[4]사업장별(누계)'!R7</f>
        <v>15728.417817</v>
      </c>
      <c r="S7" s="40">
        <f>+P7-R7</f>
        <v>1111.2515700000022</v>
      </c>
      <c r="T7" s="36">
        <f>+'사업장별(당월)'!T7+'[4]사업장별(누계)'!T7</f>
        <v>1848.6119111812795</v>
      </c>
      <c r="U7" s="37">
        <f>+'사업장별(당월)'!U7+'[4]사업장별(누계)'!U7</f>
        <v>1780.9295909999996</v>
      </c>
      <c r="V7" s="41">
        <f>+U7-T7</f>
        <v>-67.68232018127992</v>
      </c>
      <c r="W7" s="42">
        <f>+'사업장별(당월)'!W7+'[4]사업장별(누계)'!W7</f>
        <v>1863.8714359800003</v>
      </c>
      <c r="X7" s="40">
        <f>+U7-W7</f>
        <v>-82.941844980000724</v>
      </c>
      <c r="Y7" s="36">
        <f>+[11]안양!$Q$85</f>
        <v>98929.910126582283</v>
      </c>
      <c r="Z7" s="37">
        <f>+[11]안양!$R$85</f>
        <v>98646.302102992719</v>
      </c>
      <c r="AA7" s="43">
        <f>+[12]안양!$Q$85</f>
        <v>90307.722744782383</v>
      </c>
      <c r="AB7" s="44">
        <f>+[11]안양!$Q$89</f>
        <v>79553.04622036923</v>
      </c>
      <c r="AC7" s="37">
        <f>+[11]안양!$R$89</f>
        <v>81001.250943484687</v>
      </c>
      <c r="AD7" s="45">
        <f>+[12]안양!$Q$89</f>
        <v>73141.488986075274</v>
      </c>
      <c r="AE7" s="44">
        <f>+Y7-AB7</f>
        <v>19376.863906213053</v>
      </c>
      <c r="AF7" s="37">
        <f>+Z7-AC7</f>
        <v>17645.051159508032</v>
      </c>
      <c r="AG7" s="45">
        <f>+AA7-AD7</f>
        <v>17166.233758707109</v>
      </c>
      <c r="AH7" s="18"/>
      <c r="AI7" s="19"/>
    </row>
    <row r="8" spans="2:36" s="8" customFormat="1" ht="19.5" customHeight="1">
      <c r="B8" s="8" t="s">
        <v>23</v>
      </c>
      <c r="G8" s="9"/>
      <c r="H8" s="80" t="s">
        <v>54</v>
      </c>
      <c r="I8" s="81" t="s">
        <v>23</v>
      </c>
      <c r="J8" s="46">
        <f>+'사업장별(당월)'!J8+'[4]사업장별(누계)'!J8</f>
        <v>115</v>
      </c>
      <c r="K8" s="47">
        <f>+'사업장별(당월)'!K8+'[4]사업장별(누계)'!K8</f>
        <v>113.751</v>
      </c>
      <c r="L8" s="48">
        <f t="shared" si="0"/>
        <v>-1.2489999999999952</v>
      </c>
      <c r="M8" s="49">
        <f>+'사업장별(당월)'!M8+'[4]사업장별(누계)'!M8</f>
        <v>144.40100000000001</v>
      </c>
      <c r="N8" s="50">
        <f t="shared" ref="N8:N32" si="1">+K8-M8</f>
        <v>-30.650000000000006</v>
      </c>
      <c r="O8" s="46">
        <f>+'사업장별(당월)'!O8+'[4]사업장별(누계)'!O8</f>
        <v>11543.532939999999</v>
      </c>
      <c r="P8" s="47">
        <f>+'사업장별(당월)'!P8+'[4]사업장별(누계)'!P8</f>
        <v>11517.811092</v>
      </c>
      <c r="Q8" s="48">
        <f t="shared" ref="Q8:Q43" si="2">+P8-O8</f>
        <v>-25.721847999999227</v>
      </c>
      <c r="R8" s="49">
        <f>+'사업장별(당월)'!R8+'[4]사업장별(누계)'!R8</f>
        <v>13186.724229000001</v>
      </c>
      <c r="S8" s="50">
        <f t="shared" ref="S8:S40" si="3">+P8-R8</f>
        <v>-1668.9131370000014</v>
      </c>
      <c r="T8" s="46">
        <f>+'사업장별(당월)'!T8+'[4]사업장별(누계)'!T8</f>
        <v>931.37371881954414</v>
      </c>
      <c r="U8" s="47">
        <f>+'사업장별(당월)'!U8+'[4]사업장별(누계)'!U8</f>
        <v>955.5358790000007</v>
      </c>
      <c r="V8" s="48">
        <f t="shared" ref="V8:V40" si="4">+U8-T8</f>
        <v>24.162160180456567</v>
      </c>
      <c r="W8" s="49">
        <f>+'사업장별(당월)'!W8+'[4]사업장별(누계)'!W8</f>
        <v>1209.7030029999994</v>
      </c>
      <c r="X8" s="50">
        <f t="shared" ref="X8:X39" si="5">+U8-W8</f>
        <v>-254.16712399999869</v>
      </c>
      <c r="Y8" s="46">
        <f>+[11]인천!$Q$85</f>
        <v>100378.54730434781</v>
      </c>
      <c r="Z8" s="47">
        <f>+[11]인천!$R$85</f>
        <v>101254.59197721339</v>
      </c>
      <c r="AA8" s="51">
        <f>+[12]인천!$Q$85</f>
        <v>91315.262873699467</v>
      </c>
      <c r="AB8" s="52">
        <f>+[11]인천!$Q$89</f>
        <v>81749.011984123528</v>
      </c>
      <c r="AC8" s="47">
        <f>+[11]인천!$R$89</f>
        <v>82842.101792039073</v>
      </c>
      <c r="AD8" s="53">
        <f>+[12]인천!$Q$89</f>
        <v>74788.436146398599</v>
      </c>
      <c r="AE8" s="52">
        <f t="shared" ref="AE8:AG27" si="6">+Y8-AB8</f>
        <v>18629.535320224284</v>
      </c>
      <c r="AF8" s="47">
        <f t="shared" si="6"/>
        <v>18412.49018517432</v>
      </c>
      <c r="AG8" s="53">
        <f t="shared" si="6"/>
        <v>16526.826727300868</v>
      </c>
      <c r="AH8" s="18"/>
      <c r="AI8" s="19"/>
      <c r="AJ8" s="97"/>
    </row>
    <row r="9" spans="2:36" s="8" customFormat="1" ht="19.5" customHeight="1">
      <c r="B9" s="8" t="s">
        <v>24</v>
      </c>
      <c r="G9" s="9"/>
      <c r="H9" s="80"/>
      <c r="I9" s="81" t="s">
        <v>24</v>
      </c>
      <c r="J9" s="46">
        <f>+'사업장별(당월)'!J9+'[4]사업장별(누계)'!J9</f>
        <v>95</v>
      </c>
      <c r="K9" s="47">
        <f>+'사업장별(당월)'!K9+'[4]사업장별(누계)'!K9</f>
        <v>94.777000000000015</v>
      </c>
      <c r="L9" s="48">
        <f t="shared" si="0"/>
        <v>-0.22299999999998477</v>
      </c>
      <c r="M9" s="49">
        <f>+'사업장별(당월)'!M9+'[4]사업장별(누계)'!M9</f>
        <v>91.730999999999995</v>
      </c>
      <c r="N9" s="50">
        <f t="shared" si="1"/>
        <v>3.0460000000000207</v>
      </c>
      <c r="O9" s="46">
        <f>+'사업장별(당월)'!O9+'[4]사업장별(누계)'!O9</f>
        <v>9247.4845052445635</v>
      </c>
      <c r="P9" s="47">
        <f>+'사업장별(당월)'!P9+'[4]사업장별(누계)'!P9</f>
        <v>9538.5461930000001</v>
      </c>
      <c r="Q9" s="48">
        <f t="shared" si="2"/>
        <v>291.06168775543665</v>
      </c>
      <c r="R9" s="49">
        <f>+'사업장별(당월)'!R9+'[4]사업장별(누계)'!R9</f>
        <v>8169.5876859999998</v>
      </c>
      <c r="S9" s="50">
        <f t="shared" si="3"/>
        <v>1368.9585070000003</v>
      </c>
      <c r="T9" s="46">
        <f>+'사업장별(당월)'!T9+'[4]사업장별(누계)'!T9</f>
        <v>1029.7134471397358</v>
      </c>
      <c r="U9" s="47">
        <f>+'사업장별(당월)'!U9+'[4]사업장별(누계)'!U9</f>
        <v>720.66829500000063</v>
      </c>
      <c r="V9" s="48">
        <f t="shared" si="4"/>
        <v>-309.04515213973514</v>
      </c>
      <c r="W9" s="49">
        <f>+'사업장별(당월)'!W9+'[4]사업장별(누계)'!W9</f>
        <v>540.21148501000027</v>
      </c>
      <c r="X9" s="50">
        <f t="shared" si="5"/>
        <v>180.45680999000035</v>
      </c>
      <c r="Y9" s="46">
        <f>+[11]파주!$Q$85</f>
        <v>97341.942160469102</v>
      </c>
      <c r="Z9" s="47">
        <f>+[11]파주!$R$85</f>
        <v>100686.07387406503</v>
      </c>
      <c r="AA9" s="51">
        <f>+[12]파주!$Q$85</f>
        <v>89012.348563730193</v>
      </c>
      <c r="AB9" s="52">
        <f>+[11]파주!$Q$89</f>
        <v>77060.251398562541</v>
      </c>
      <c r="AC9" s="47">
        <f>+[11]파주!$R$89</f>
        <v>83027.044904367402</v>
      </c>
      <c r="AD9" s="53">
        <f>+[12]파주!$Q$89</f>
        <v>73196.559854814404</v>
      </c>
      <c r="AE9" s="52">
        <f t="shared" si="6"/>
        <v>20281.690761906561</v>
      </c>
      <c r="AF9" s="47">
        <f t="shared" si="6"/>
        <v>17659.028969697625</v>
      </c>
      <c r="AG9" s="53">
        <f t="shared" si="6"/>
        <v>15815.788708915788</v>
      </c>
      <c r="AH9" s="18"/>
      <c r="AI9" s="19"/>
      <c r="AJ9" s="97"/>
    </row>
    <row r="10" spans="2:36" s="8" customFormat="1" ht="19.5" customHeight="1">
      <c r="B10" s="8" t="s">
        <v>175</v>
      </c>
      <c r="G10" s="9"/>
      <c r="H10" s="80"/>
      <c r="I10" s="81" t="s">
        <v>172</v>
      </c>
      <c r="J10" s="46">
        <f>+'사업장별(당월)'!J10+'[4]사업장별(누계)'!J10</f>
        <v>47</v>
      </c>
      <c r="K10" s="47">
        <f>+'사업장별(당월)'!K10+'[4]사업장별(누계)'!K10</f>
        <v>41.157499999999999</v>
      </c>
      <c r="L10" s="48">
        <f t="shared" si="0"/>
        <v>-5.8425000000000011</v>
      </c>
      <c r="M10" s="49">
        <f>+'사업장별(당월)'!M10+'[4]사업장별(누계)'!M10</f>
        <v>63.448499999999996</v>
      </c>
      <c r="N10" s="50">
        <f t="shared" si="1"/>
        <v>-22.290999999999997</v>
      </c>
      <c r="O10" s="46">
        <f>+'사업장별(당월)'!O10+'[4]사업장별(누계)'!O10</f>
        <v>4421.5450000000001</v>
      </c>
      <c r="P10" s="47">
        <f>+'사업장별(당월)'!P10+'[4]사업장별(누계)'!P10</f>
        <v>4025.2966449999999</v>
      </c>
      <c r="Q10" s="48">
        <f t="shared" si="2"/>
        <v>-396.24835500000017</v>
      </c>
      <c r="R10" s="49">
        <f>+'사업장별(당월)'!R10+'[4]사업장별(누계)'!R10</f>
        <v>5500.4496710000003</v>
      </c>
      <c r="S10" s="50">
        <f t="shared" si="3"/>
        <v>-1475.1530260000004</v>
      </c>
      <c r="T10" s="46">
        <f>+'사업장별(당월)'!T10+'[4]사업장별(누계)'!T10</f>
        <v>381.91400168643406</v>
      </c>
      <c r="U10" s="47">
        <f>+'사업장별(당월)'!U10+'[4]사업장별(누계)'!U10</f>
        <v>266.92423199999996</v>
      </c>
      <c r="V10" s="48">
        <f t="shared" si="4"/>
        <v>-114.9897696864341</v>
      </c>
      <c r="W10" s="49">
        <f>+'사업장별(당월)'!W10+'[4]사업장별(누계)'!W10</f>
        <v>626.50729500000034</v>
      </c>
      <c r="X10" s="50">
        <f t="shared" si="5"/>
        <v>-359.58306300000038</v>
      </c>
      <c r="Y10" s="46">
        <f>+[11]김포!$Q$85</f>
        <v>94075.425531914894</v>
      </c>
      <c r="Z10" s="47">
        <f>+[11]김포!$R$85</f>
        <v>97802.263135516012</v>
      </c>
      <c r="AA10" s="51">
        <f>+[12]김포!$Q$85</f>
        <v>86602.406725405948</v>
      </c>
      <c r="AB10" s="52">
        <f>+[11]김포!$Q$89</f>
        <v>71637.905600052225</v>
      </c>
      <c r="AC10" s="47">
        <f>+[11]김포!$R$89</f>
        <v>76096.809323216978</v>
      </c>
      <c r="AD10" s="53">
        <f>+[12]김포!$Q$89</f>
        <v>66532.40654934819</v>
      </c>
      <c r="AE10" s="52">
        <f t="shared" si="6"/>
        <v>22437.519931862669</v>
      </c>
      <c r="AF10" s="47">
        <f t="shared" si="6"/>
        <v>21705.453812299034</v>
      </c>
      <c r="AG10" s="53">
        <f t="shared" si="6"/>
        <v>20070.000176057758</v>
      </c>
      <c r="AH10" s="18"/>
      <c r="AI10" s="19"/>
      <c r="AJ10" s="97"/>
    </row>
    <row r="11" spans="2:36" s="8" customFormat="1" ht="19.5" customHeight="1">
      <c r="B11" s="8" t="s">
        <v>25</v>
      </c>
      <c r="H11" s="80"/>
      <c r="I11" s="82" t="s">
        <v>25</v>
      </c>
      <c r="J11" s="63">
        <f>+'사업장별(당월)'!J11+'[4]사업장별(누계)'!J11</f>
        <v>73</v>
      </c>
      <c r="K11" s="64">
        <f>+'사업장별(당월)'!K11+'[4]사업장별(누계)'!K11</f>
        <v>85.016999999999996</v>
      </c>
      <c r="L11" s="65">
        <f t="shared" si="0"/>
        <v>12.016999999999996</v>
      </c>
      <c r="M11" s="66">
        <f>+'사업장별(당월)'!M11+'[4]사업장별(누계)'!M11</f>
        <v>100.93049999999999</v>
      </c>
      <c r="N11" s="67">
        <f t="shared" si="1"/>
        <v>-15.913499999999999</v>
      </c>
      <c r="O11" s="63">
        <f>+'사업장별(당월)'!O11+'[4]사업장별(누계)'!O11</f>
        <v>7854.8037852500001</v>
      </c>
      <c r="P11" s="64">
        <f>+'사업장별(당월)'!P11+'[4]사업장별(누계)'!P11</f>
        <v>9081.949435999999</v>
      </c>
      <c r="Q11" s="65">
        <f t="shared" si="2"/>
        <v>1227.1456507499988</v>
      </c>
      <c r="R11" s="66">
        <f>+'사업장별(당월)'!R11+'[4]사업장별(누계)'!R11</f>
        <v>10229.16915</v>
      </c>
      <c r="S11" s="67">
        <f t="shared" si="3"/>
        <v>-1147.2197140000007</v>
      </c>
      <c r="T11" s="63">
        <f>+'사업장별(당월)'!T11+'[4]사업장별(누계)'!T11</f>
        <v>1024.3788098642742</v>
      </c>
      <c r="U11" s="64">
        <f>+'사업장별(당월)'!U11+'[4]사업장별(누계)'!U11</f>
        <v>989.91648799999962</v>
      </c>
      <c r="V11" s="65">
        <f t="shared" si="4"/>
        <v>-34.4623218642746</v>
      </c>
      <c r="W11" s="66">
        <f>+'사업장별(당월)'!W11+'[4]사업장별(누계)'!W11</f>
        <v>1907.0720659999997</v>
      </c>
      <c r="X11" s="67">
        <f t="shared" si="5"/>
        <v>-917.15557800000011</v>
      </c>
      <c r="Y11" s="63">
        <f>+[11]부산!$Q$85</f>
        <v>107600.05185273974</v>
      </c>
      <c r="Z11" s="64">
        <f>+[11]부산!$R$85</f>
        <v>106825.09893315454</v>
      </c>
      <c r="AA11" s="68">
        <f>+[12]부산!$Q$85</f>
        <v>101348.64238262962</v>
      </c>
      <c r="AB11" s="69">
        <f>+[11]부산!$Q$89</f>
        <v>78762.845439832818</v>
      </c>
      <c r="AC11" s="64">
        <f>+[11]부산!$R$89</f>
        <v>83745.240196307015</v>
      </c>
      <c r="AD11" s="70">
        <f>+[12]부산!$Q$89</f>
        <v>73072.448372291401</v>
      </c>
      <c r="AE11" s="69">
        <f t="shared" si="6"/>
        <v>28837.206412906919</v>
      </c>
      <c r="AF11" s="64">
        <f t="shared" si="6"/>
        <v>23079.858736847527</v>
      </c>
      <c r="AG11" s="70">
        <f t="shared" si="6"/>
        <v>28276.194010338222</v>
      </c>
      <c r="AH11" s="18"/>
      <c r="AI11" s="19"/>
      <c r="AJ11" s="97"/>
    </row>
    <row r="12" spans="2:36" s="8" customFormat="1" ht="19.5" customHeight="1">
      <c r="B12" s="8" t="s">
        <v>26</v>
      </c>
      <c r="H12" s="80"/>
      <c r="I12" s="81" t="s">
        <v>26</v>
      </c>
      <c r="J12" s="46">
        <f>+'사업장별(당월)'!J12+'[4]사업장별(누계)'!J12</f>
        <v>90</v>
      </c>
      <c r="K12" s="47">
        <f>+'사업장별(당월)'!K12+'[4]사업장별(누계)'!K12</f>
        <v>88.975000000000009</v>
      </c>
      <c r="L12" s="48">
        <f t="shared" si="0"/>
        <v>-1.0249999999999915</v>
      </c>
      <c r="M12" s="49">
        <f>+'사업장별(당월)'!M12+'[4]사업장별(누계)'!M12</f>
        <v>88.757999999999996</v>
      </c>
      <c r="N12" s="50">
        <f t="shared" si="1"/>
        <v>0.21700000000001296</v>
      </c>
      <c r="O12" s="46">
        <f>+'사업장별(당월)'!O12+'[4]사업장별(누계)'!O12</f>
        <v>9324.2000200000002</v>
      </c>
      <c r="P12" s="47">
        <f>+'사업장별(당월)'!P12+'[4]사업장별(누계)'!P12</f>
        <v>8987.0293199999996</v>
      </c>
      <c r="Q12" s="48">
        <f t="shared" si="2"/>
        <v>-337.17070000000058</v>
      </c>
      <c r="R12" s="49">
        <f>+'사업장별(당월)'!R12+'[4]사업장별(누계)'!R12</f>
        <v>8604.2468000000008</v>
      </c>
      <c r="S12" s="50">
        <f t="shared" si="3"/>
        <v>382.78251999999884</v>
      </c>
      <c r="T12" s="46">
        <f>+'사업장별(당월)'!T12+'[4]사업장별(누계)'!T12</f>
        <v>1506.8652289712081</v>
      </c>
      <c r="U12" s="47">
        <f>+'사업장별(당월)'!U12+'[4]사업장별(누계)'!U12</f>
        <v>1022.0486359999994</v>
      </c>
      <c r="V12" s="48">
        <f t="shared" si="4"/>
        <v>-484.81659297120871</v>
      </c>
      <c r="W12" s="49">
        <f>+'사업장별(당월)'!W12+'[4]사업장별(누계)'!W12</f>
        <v>1446.164806</v>
      </c>
      <c r="X12" s="50">
        <f t="shared" si="5"/>
        <v>-424.11617000000058</v>
      </c>
      <c r="Y12" s="46">
        <f>+[11]서부산!$Q$85</f>
        <v>103602.22244444443</v>
      </c>
      <c r="Z12" s="47">
        <f>+[11]서부산!$R$85</f>
        <v>101006.23006462491</v>
      </c>
      <c r="AA12" s="51">
        <f>+[12]서부산!$Q$85</f>
        <v>96940.521417787706</v>
      </c>
      <c r="AB12" s="52">
        <f>+[11]서부산!$Q$89</f>
        <v>77879.123336122386</v>
      </c>
      <c r="AC12" s="47">
        <f>+[11]서부산!$R$89</f>
        <v>79548.426930813221</v>
      </c>
      <c r="AD12" s="53">
        <f>+[12]서부산!$Q$89</f>
        <v>71519.543381773125</v>
      </c>
      <c r="AE12" s="52">
        <f t="shared" si="6"/>
        <v>25723.099108322043</v>
      </c>
      <c r="AF12" s="47">
        <f t="shared" si="6"/>
        <v>21457.803133811685</v>
      </c>
      <c r="AG12" s="53">
        <f t="shared" si="6"/>
        <v>25420.978036014581</v>
      </c>
      <c r="AH12" s="18"/>
      <c r="AI12" s="19"/>
      <c r="AJ12" s="97"/>
    </row>
    <row r="13" spans="2:36" s="8" customFormat="1" ht="19.5" customHeight="1">
      <c r="B13" s="8" t="s">
        <v>27</v>
      </c>
      <c r="H13" s="80"/>
      <c r="I13" s="81" t="s">
        <v>27</v>
      </c>
      <c r="J13" s="46">
        <f>+'사업장별(당월)'!J13+'[4]사업장별(누계)'!J13</f>
        <v>45</v>
      </c>
      <c r="K13" s="47">
        <f>+'사업장별(당월)'!K13+'[4]사업장별(누계)'!K13</f>
        <v>52.341999999999999</v>
      </c>
      <c r="L13" s="48">
        <f t="shared" si="0"/>
        <v>7.3419999999999987</v>
      </c>
      <c r="M13" s="49">
        <f>+'사업장별(당월)'!M13+'[4]사업장별(누계)'!M13</f>
        <v>53.904000000000003</v>
      </c>
      <c r="N13" s="50">
        <f t="shared" si="1"/>
        <v>-1.5620000000000047</v>
      </c>
      <c r="O13" s="46">
        <f>+'사업장별(당월)'!O13+'[4]사업장별(누계)'!O13</f>
        <v>4544.9964</v>
      </c>
      <c r="P13" s="47">
        <f>+'사업장별(당월)'!P13+'[4]사업장별(누계)'!P13</f>
        <v>5200.4931999999999</v>
      </c>
      <c r="Q13" s="48">
        <f t="shared" si="2"/>
        <v>655.49679999999989</v>
      </c>
      <c r="R13" s="49">
        <f>+'사업장별(당월)'!R13+'[4]사업장별(누계)'!R13</f>
        <v>5108.8738999999996</v>
      </c>
      <c r="S13" s="50">
        <f t="shared" si="3"/>
        <v>91.619300000000294</v>
      </c>
      <c r="T13" s="46">
        <f>+'사업장별(당월)'!T13+'[4]사업장별(누계)'!T13</f>
        <v>494.98771329863229</v>
      </c>
      <c r="U13" s="47">
        <f>+'사업장별(당월)'!U13+'[4]사업장별(누계)'!U13</f>
        <v>409.07597899999979</v>
      </c>
      <c r="V13" s="48">
        <f t="shared" si="4"/>
        <v>-85.911734298632496</v>
      </c>
      <c r="W13" s="49">
        <f>+'사업장별(당월)'!W13+'[4]사업장별(누계)'!W13</f>
        <v>621.18869599999994</v>
      </c>
      <c r="X13" s="50">
        <f t="shared" si="5"/>
        <v>-212.11271700000015</v>
      </c>
      <c r="Y13" s="46">
        <f>+[11]김해!$Q$85</f>
        <v>100999.92</v>
      </c>
      <c r="Z13" s="47">
        <f>+[11]김해!$R$85</f>
        <v>99460.374442104439</v>
      </c>
      <c r="AA13" s="51">
        <f>+[12]김해!$Q$85</f>
        <v>94787.613928053281</v>
      </c>
      <c r="AB13" s="52">
        <f>+[11]김해!$Q$89</f>
        <v>76484.581225029033</v>
      </c>
      <c r="AC13" s="47">
        <f>+[11]김해!$R$89</f>
        <v>80371.435419363566</v>
      </c>
      <c r="AD13" s="53">
        <f>+[12]김해!$Q$89</f>
        <v>72767.008816636298</v>
      </c>
      <c r="AE13" s="52">
        <f t="shared" si="6"/>
        <v>24515.338774970965</v>
      </c>
      <c r="AF13" s="47">
        <f t="shared" si="6"/>
        <v>19088.939022740873</v>
      </c>
      <c r="AG13" s="53">
        <f t="shared" si="6"/>
        <v>22020.605111416982</v>
      </c>
      <c r="AH13" s="18"/>
      <c r="AI13" s="19"/>
      <c r="AJ13" s="97"/>
    </row>
    <row r="14" spans="2:36" s="8" customFormat="1" ht="19.5" customHeight="1">
      <c r="B14" s="8" t="s">
        <v>28</v>
      </c>
      <c r="H14" s="80"/>
      <c r="I14" s="81" t="s">
        <v>28</v>
      </c>
      <c r="J14" s="46">
        <f>+'사업장별(당월)'!J14+'[4]사업장별(누계)'!J14</f>
        <v>70</v>
      </c>
      <c r="K14" s="47">
        <f>+'사업장별(당월)'!K14+'[4]사업장별(누계)'!K14</f>
        <v>78.444500000000005</v>
      </c>
      <c r="L14" s="48">
        <f t="shared" si="0"/>
        <v>8.444500000000005</v>
      </c>
      <c r="M14" s="49">
        <f>+'사업장별(당월)'!M14+'[4]사업장별(누계)'!M14</f>
        <v>80.24799999999999</v>
      </c>
      <c r="N14" s="50">
        <f t="shared" si="1"/>
        <v>-1.8034999999999854</v>
      </c>
      <c r="O14" s="46">
        <f>+'사업장별(당월)'!O14+'[4]사업장별(누계)'!O14</f>
        <v>7280</v>
      </c>
      <c r="P14" s="47">
        <f>+'사업장별(당월)'!P14+'[4]사업장별(누계)'!P14</f>
        <v>8063.9056499999997</v>
      </c>
      <c r="Q14" s="48">
        <f t="shared" si="2"/>
        <v>783.9056499999997</v>
      </c>
      <c r="R14" s="49">
        <f>+'사업장별(당월)'!R14+'[4]사업장별(누계)'!R14</f>
        <v>7928.6787399999994</v>
      </c>
      <c r="S14" s="50">
        <f t="shared" si="3"/>
        <v>135.22691000000032</v>
      </c>
      <c r="T14" s="46">
        <f>+'사업장별(당월)'!T14+'[4]사업장별(누계)'!T14</f>
        <v>968.75995145517618</v>
      </c>
      <c r="U14" s="47">
        <f>+'사업장별(당월)'!U14+'[4]사업장별(누계)'!U14</f>
        <v>785.51299999999924</v>
      </c>
      <c r="V14" s="48">
        <f t="shared" si="4"/>
        <v>-183.24695145517694</v>
      </c>
      <c r="W14" s="49">
        <f>+'사업장별(당월)'!W14+'[4]사업장별(누계)'!W14</f>
        <v>1250.1101930000004</v>
      </c>
      <c r="X14" s="50">
        <f t="shared" si="5"/>
        <v>-464.5971930000012</v>
      </c>
      <c r="Y14" s="46">
        <f>+[11]정관!$Q$85</f>
        <v>104000</v>
      </c>
      <c r="Z14" s="47">
        <f>+[11]정관!$R$85</f>
        <v>102797.59129065773</v>
      </c>
      <c r="AA14" s="51">
        <f>+[12]정관!$Q$85</f>
        <v>98802.197437942377</v>
      </c>
      <c r="AB14" s="52">
        <f>+[11]정관!$Q$89</f>
        <v>78466.999971275247</v>
      </c>
      <c r="AC14" s="47">
        <f>+[11]정관!$R$89</f>
        <v>82725.870521291974</v>
      </c>
      <c r="AD14" s="53">
        <f>+[12]정관!$Q$89</f>
        <v>73693.858532514612</v>
      </c>
      <c r="AE14" s="52">
        <f t="shared" si="6"/>
        <v>25533.000028724753</v>
      </c>
      <c r="AF14" s="47">
        <f t="shared" si="6"/>
        <v>20071.720769365755</v>
      </c>
      <c r="AG14" s="53">
        <f t="shared" si="6"/>
        <v>25108.338905427765</v>
      </c>
      <c r="AH14" s="18"/>
      <c r="AI14" s="19"/>
      <c r="AJ14" s="97"/>
    </row>
    <row r="15" spans="2:36" s="8" customFormat="1" ht="19.5" customHeight="1">
      <c r="B15" s="8" t="s">
        <v>29</v>
      </c>
      <c r="H15" s="80"/>
      <c r="I15" s="81" t="s">
        <v>29</v>
      </c>
      <c r="J15" s="46">
        <f>+'사업장별(당월)'!J15+'[4]사업장별(누계)'!J15</f>
        <v>42</v>
      </c>
      <c r="K15" s="47">
        <f>+'사업장별(당월)'!K15+'[4]사업장별(누계)'!K15</f>
        <v>49.696000000000005</v>
      </c>
      <c r="L15" s="48">
        <f t="shared" si="0"/>
        <v>7.6960000000000051</v>
      </c>
      <c r="M15" s="49">
        <f>+'사업장별(당월)'!M15+'[4]사업장별(누계)'!M15</f>
        <v>57.518000000000001</v>
      </c>
      <c r="N15" s="50">
        <f t="shared" si="1"/>
        <v>-7.8219999999999956</v>
      </c>
      <c r="O15" s="46">
        <f>+'사업장별(당월)'!O15+'[4]사업장별(누계)'!O15</f>
        <v>4051.4254040000001</v>
      </c>
      <c r="P15" s="47">
        <f>+'사업장별(당월)'!P15+'[4]사업장별(누계)'!P15</f>
        <v>4664.993555</v>
      </c>
      <c r="Q15" s="48">
        <f t="shared" si="2"/>
        <v>613.56815099999994</v>
      </c>
      <c r="R15" s="49">
        <f>+'사업장별(당월)'!R15+'[4]사업장별(누계)'!R15</f>
        <v>5355.6535720000002</v>
      </c>
      <c r="S15" s="50">
        <f t="shared" si="3"/>
        <v>-690.66001700000015</v>
      </c>
      <c r="T15" s="46">
        <f>+'사업장별(당월)'!T15+'[4]사업장별(누계)'!T15</f>
        <v>485.11723999640509</v>
      </c>
      <c r="U15" s="47">
        <f>+'사업장별(당월)'!U15+'[4]사업장별(누계)'!U15</f>
        <v>498.47379300000023</v>
      </c>
      <c r="V15" s="48">
        <f t="shared" si="4"/>
        <v>13.356553003595138</v>
      </c>
      <c r="W15" s="49">
        <f>+'사업장별(당월)'!W15+'[4]사업장별(누계)'!W15</f>
        <v>885.08944899999995</v>
      </c>
      <c r="X15" s="50">
        <f t="shared" si="5"/>
        <v>-386.61565599999972</v>
      </c>
      <c r="Y15" s="46">
        <f>+[11]양산!$Q$85</f>
        <v>96462.509619047618</v>
      </c>
      <c r="Z15" s="47">
        <f>+[11]양산!$R$85</f>
        <v>93870.604374597562</v>
      </c>
      <c r="AA15" s="51">
        <f>+[12]양산!$Q$85</f>
        <v>93116.009463667506</v>
      </c>
      <c r="AB15" s="52">
        <f>+[11]양산!$Q$89</f>
        <v>71276.293272572366</v>
      </c>
      <c r="AC15" s="47">
        <f>+[11]양산!$R$89</f>
        <v>72551.281189632966</v>
      </c>
      <c r="AD15" s="53">
        <f>+[12]양산!$Q$89</f>
        <v>67511.843534220359</v>
      </c>
      <c r="AE15" s="52">
        <f t="shared" si="6"/>
        <v>25186.216346475252</v>
      </c>
      <c r="AF15" s="47">
        <f t="shared" si="6"/>
        <v>21319.323184964596</v>
      </c>
      <c r="AG15" s="53">
        <f t="shared" si="6"/>
        <v>25604.165929447146</v>
      </c>
      <c r="AH15" s="18"/>
      <c r="AI15" s="19"/>
      <c r="AJ15" s="97"/>
    </row>
    <row r="16" spans="2:36" s="8" customFormat="1" ht="19.5" customHeight="1">
      <c r="B16" s="8" t="s">
        <v>30</v>
      </c>
      <c r="H16" s="80"/>
      <c r="I16" s="81" t="s">
        <v>30</v>
      </c>
      <c r="J16" s="46">
        <f>+'사업장별(당월)'!J16+'[4]사업장별(누계)'!J16</f>
        <v>64</v>
      </c>
      <c r="K16" s="47">
        <f>+'사업장별(당월)'!K16+'[4]사업장별(누계)'!K16</f>
        <v>70.602499999999992</v>
      </c>
      <c r="L16" s="48">
        <f t="shared" si="0"/>
        <v>6.602499999999992</v>
      </c>
      <c r="M16" s="49">
        <f>+'사업장별(당월)'!M16+'[4]사업장별(누계)'!M16</f>
        <v>82.379000000000005</v>
      </c>
      <c r="N16" s="50">
        <f t="shared" si="1"/>
        <v>-11.776500000000013</v>
      </c>
      <c r="O16" s="46">
        <f>+'사업장별(당월)'!O16+'[4]사업장별(누계)'!O16</f>
        <v>6374.8540000000003</v>
      </c>
      <c r="P16" s="47">
        <f>+'사업장별(당월)'!P16+'[4]사업장별(누계)'!P16</f>
        <v>7271.7708499999999</v>
      </c>
      <c r="Q16" s="48">
        <f t="shared" si="2"/>
        <v>896.91684999999961</v>
      </c>
      <c r="R16" s="49">
        <f>+'사업장별(당월)'!R16+'[4]사업장별(누계)'!R16</f>
        <v>7626.867400000001</v>
      </c>
      <c r="S16" s="50">
        <f t="shared" si="3"/>
        <v>-355.09655000000112</v>
      </c>
      <c r="T16" s="46">
        <f>+'사업장별(당월)'!T16+'[4]사업장별(누계)'!T16</f>
        <v>989.51374684853431</v>
      </c>
      <c r="U16" s="47">
        <f>+'사업장별(당월)'!U16+'[4]사업장별(누계)'!U16</f>
        <v>1193.086329</v>
      </c>
      <c r="V16" s="48">
        <f t="shared" si="4"/>
        <v>203.57258215146567</v>
      </c>
      <c r="W16" s="49">
        <f>+'사업장별(당월)'!W16+'[4]사업장별(누계)'!W16</f>
        <v>1414.9403959999995</v>
      </c>
      <c r="X16" s="50">
        <f t="shared" si="5"/>
        <v>-221.85406699999953</v>
      </c>
      <c r="Y16" s="46">
        <f>+[11]창원!$Q$85</f>
        <v>99607.09375</v>
      </c>
      <c r="Z16" s="47">
        <f>+[11]창원!$R$85</f>
        <v>102995.93994546935</v>
      </c>
      <c r="AA16" s="51">
        <f>+[12]창원!$Q$85</f>
        <v>92582.66548513576</v>
      </c>
      <c r="AB16" s="52">
        <f>+[11]창원!$Q$89</f>
        <v>72117.822890821612</v>
      </c>
      <c r="AC16" s="47">
        <f>+[11]창원!$R$89</f>
        <v>75262.614669999355</v>
      </c>
      <c r="AD16" s="53">
        <f>+[12]창원!$Q$89</f>
        <v>66679.183796841418</v>
      </c>
      <c r="AE16" s="52">
        <f t="shared" si="6"/>
        <v>27489.270859178388</v>
      </c>
      <c r="AF16" s="47">
        <f t="shared" si="6"/>
        <v>27733.325275469993</v>
      </c>
      <c r="AG16" s="53">
        <f t="shared" si="6"/>
        <v>25903.481688294341</v>
      </c>
      <c r="AH16" s="18"/>
      <c r="AI16" s="19"/>
      <c r="AJ16" s="97"/>
    </row>
    <row r="17" spans="2:38" s="8" customFormat="1" ht="19.5" customHeight="1">
      <c r="B17" s="8" t="s">
        <v>87</v>
      </c>
      <c r="H17" s="80"/>
      <c r="I17" s="81" t="s">
        <v>87</v>
      </c>
      <c r="J17" s="46">
        <f>+'사업장별(당월)'!J17+'[4]사업장별(누계)'!J17</f>
        <v>59.5</v>
      </c>
      <c r="K17" s="47">
        <f>+'사업장별(당월)'!K17+'[4]사업장별(누계)'!K17</f>
        <v>61.982499999999995</v>
      </c>
      <c r="L17" s="48">
        <f t="shared" si="0"/>
        <v>2.4824999999999946</v>
      </c>
      <c r="M17" s="49">
        <f>+'사업장별(당월)'!M17+'[4]사업장별(누계)'!M17</f>
        <v>82.573499999999996</v>
      </c>
      <c r="N17" s="50">
        <f t="shared" si="1"/>
        <v>-20.591000000000001</v>
      </c>
      <c r="O17" s="46">
        <f>+'사업장별(당월)'!O17+'[4]사업장별(누계)'!O17</f>
        <v>5819.0999999999995</v>
      </c>
      <c r="P17" s="47">
        <f>+'사업장별(당월)'!P17+'[4]사업장별(누계)'!P17</f>
        <v>6243.7076419999994</v>
      </c>
      <c r="Q17" s="48">
        <f t="shared" si="2"/>
        <v>424.60764199999994</v>
      </c>
      <c r="R17" s="49">
        <f>+'사업장별(당월)'!R17+'[4]사업장별(누계)'!R17</f>
        <v>7518.0581999999995</v>
      </c>
      <c r="S17" s="50">
        <f t="shared" si="3"/>
        <v>-1274.3505580000001</v>
      </c>
      <c r="T17" s="46">
        <f>+'사업장별(당월)'!T17+'[4]사업장별(누계)'!T17</f>
        <v>897.81830430998662</v>
      </c>
      <c r="U17" s="47">
        <f>+'사업장별(당월)'!U17+'[4]사업장별(누계)'!U17</f>
        <v>907.73586</v>
      </c>
      <c r="V17" s="48">
        <f t="shared" si="4"/>
        <v>9.917555690013387</v>
      </c>
      <c r="W17" s="49">
        <f>+'사업장별(당월)'!W17+'[4]사업장별(누계)'!W17</f>
        <v>1341.7225720000001</v>
      </c>
      <c r="X17" s="50">
        <f t="shared" si="5"/>
        <v>-433.98671200000013</v>
      </c>
      <c r="Y17" s="46">
        <f>+[11]대구!$Q$85</f>
        <v>97800</v>
      </c>
      <c r="Z17" s="47">
        <f>+[11]대구!$R$85</f>
        <v>100733.3947807849</v>
      </c>
      <c r="AA17" s="51">
        <f>+[12]대구!$Q$85</f>
        <v>91044.048809761967</v>
      </c>
      <c r="AB17" s="52">
        <f>+[11]대구!$Q$89</f>
        <v>70574.642446539263</v>
      </c>
      <c r="AC17" s="47">
        <f>+[11]대구!$R$89</f>
        <v>75016.613500891282</v>
      </c>
      <c r="AD17" s="53">
        <f>+[12]대구!$Q$89</f>
        <v>66287.423817576782</v>
      </c>
      <c r="AE17" s="52">
        <f t="shared" si="6"/>
        <v>27225.357553460737</v>
      </c>
      <c r="AF17" s="47">
        <f t="shared" si="6"/>
        <v>25716.781279893621</v>
      </c>
      <c r="AG17" s="53">
        <f t="shared" si="6"/>
        <v>24756.624992185185</v>
      </c>
      <c r="AH17" s="18"/>
      <c r="AI17" s="19"/>
      <c r="AJ17" s="97"/>
    </row>
    <row r="18" spans="2:38" s="8" customFormat="1" ht="19.5" customHeight="1">
      <c r="B18" s="8" t="s">
        <v>88</v>
      </c>
      <c r="G18" s="9"/>
      <c r="H18" s="80"/>
      <c r="I18" s="83" t="s">
        <v>88</v>
      </c>
      <c r="J18" s="10">
        <f>+'사업장별(당월)'!J18+'[4]사업장별(누계)'!J18</f>
        <v>24</v>
      </c>
      <c r="K18" s="11">
        <f>+'사업장별(당월)'!K18+'[4]사업장별(누계)'!K18</f>
        <v>28.464500000000001</v>
      </c>
      <c r="L18" s="12">
        <f t="shared" si="0"/>
        <v>4.464500000000001</v>
      </c>
      <c r="M18" s="13">
        <f>+'사업장별(당월)'!M18+'[4]사업장별(누계)'!M18</f>
        <v>37.962000000000003</v>
      </c>
      <c r="N18" s="14">
        <f t="shared" si="1"/>
        <v>-9.4975000000000023</v>
      </c>
      <c r="O18" s="10">
        <f>+'사업장별(당월)'!O18+'[4]사업장별(누계)'!O18</f>
        <v>2349.9203600000001</v>
      </c>
      <c r="P18" s="11">
        <f>+'사업장별(당월)'!P18+'[4]사업장별(누계)'!P18</f>
        <v>2936.2033919999999</v>
      </c>
      <c r="Q18" s="12">
        <f t="shared" si="2"/>
        <v>586.28303199999982</v>
      </c>
      <c r="R18" s="13">
        <f>+'사업장별(당월)'!R18+'[4]사업장별(누계)'!R18</f>
        <v>3569.2606500000002</v>
      </c>
      <c r="S18" s="14">
        <f t="shared" si="3"/>
        <v>-633.05725800000027</v>
      </c>
      <c r="T18" s="10">
        <f>+'사업장별(당월)'!T18+'[4]사업장별(누계)'!T18</f>
        <v>-86.137287972996077</v>
      </c>
      <c r="U18" s="11">
        <f>+'사업장별(당월)'!U18+'[4]사업장별(누계)'!U18</f>
        <v>95.296588000000128</v>
      </c>
      <c r="V18" s="12">
        <f t="shared" si="4"/>
        <v>181.43387597299619</v>
      </c>
      <c r="W18" s="13">
        <f>+'사업장별(당월)'!W18+'[4]사업장별(누계)'!W18</f>
        <v>266.85729100000015</v>
      </c>
      <c r="X18" s="14">
        <f t="shared" si="5"/>
        <v>-171.56070300000002</v>
      </c>
      <c r="Y18" s="10">
        <f>+[11]울산!$Q$85</f>
        <v>97913.348333333328</v>
      </c>
      <c r="Z18" s="11">
        <f>+[11]울산!$R$85</f>
        <v>103153.16945669167</v>
      </c>
      <c r="AA18" s="15">
        <f>+[12]울산!$Q$85</f>
        <v>94041.117607973414</v>
      </c>
      <c r="AB18" s="16">
        <f>+[11]울산!$Q$89</f>
        <v>78750.262765163701</v>
      </c>
      <c r="AC18" s="11">
        <f>+[11]울산!$R$89</f>
        <v>82047.019108280263</v>
      </c>
      <c r="AD18" s="17">
        <f>+[12]울산!$Q$89</f>
        <v>73189.617151486251</v>
      </c>
      <c r="AE18" s="16">
        <f t="shared" si="6"/>
        <v>19163.085568169627</v>
      </c>
      <c r="AF18" s="11">
        <f t="shared" si="6"/>
        <v>21106.150348411407</v>
      </c>
      <c r="AG18" s="17">
        <f t="shared" si="6"/>
        <v>20851.500456487163</v>
      </c>
      <c r="AH18" s="18"/>
      <c r="AI18" s="19"/>
      <c r="AJ18" s="97"/>
    </row>
    <row r="19" spans="2:38" s="8" customFormat="1" ht="19.5" customHeight="1">
      <c r="B19" s="8" t="s">
        <v>93</v>
      </c>
      <c r="G19" s="9"/>
      <c r="H19" s="80"/>
      <c r="I19" s="81" t="s">
        <v>31</v>
      </c>
      <c r="J19" s="46">
        <f>+'사업장별(당월)'!J19+'[4]사업장별(누계)'!J19</f>
        <v>79</v>
      </c>
      <c r="K19" s="47">
        <f>+'사업장별(당월)'!K19+'[4]사업장별(누계)'!K19</f>
        <v>98.310999999999993</v>
      </c>
      <c r="L19" s="48">
        <f t="shared" si="0"/>
        <v>19.310999999999993</v>
      </c>
      <c r="M19" s="49">
        <f>+'사업장별(당월)'!M19+'[4]사업장별(누계)'!M19</f>
        <v>105.273</v>
      </c>
      <c r="N19" s="50">
        <f t="shared" si="1"/>
        <v>-6.9620000000000033</v>
      </c>
      <c r="O19" s="46">
        <f>+'사업장별(당월)'!O19+'[4]사업장별(누계)'!O19</f>
        <v>7978.9881000000005</v>
      </c>
      <c r="P19" s="47">
        <f>+'사업장별(당월)'!P19+'[4]사업장별(누계)'!P19</f>
        <v>9986.3714510000009</v>
      </c>
      <c r="Q19" s="48">
        <f t="shared" si="2"/>
        <v>2007.3833510000004</v>
      </c>
      <c r="R19" s="49">
        <f>+'사업장별(당월)'!R19+'[4]사업장별(누계)'!R19</f>
        <v>9848.337841999999</v>
      </c>
      <c r="S19" s="50">
        <f t="shared" si="3"/>
        <v>138.03360900000189</v>
      </c>
      <c r="T19" s="46">
        <f>+'사업장별(당월)'!T19+'[4]사업장별(누계)'!T19</f>
        <v>1038.6815454551995</v>
      </c>
      <c r="U19" s="47">
        <f>+'사업장별(당월)'!U19+'[4]사업장별(누계)'!U19</f>
        <v>1119.1053419999998</v>
      </c>
      <c r="V19" s="48">
        <f t="shared" si="4"/>
        <v>80.423796544800325</v>
      </c>
      <c r="W19" s="49">
        <f>+'사업장별(당월)'!W19+'[4]사업장별(누계)'!W19</f>
        <v>1683.3936729999996</v>
      </c>
      <c r="X19" s="50">
        <f t="shared" si="5"/>
        <v>-564.28833099999974</v>
      </c>
      <c r="Y19" s="46">
        <f>+[11]아산!$Q$85</f>
        <v>100999.84936708859</v>
      </c>
      <c r="Z19" s="47">
        <f>+[11]아산!$R$85</f>
        <v>101478.36042159382</v>
      </c>
      <c r="AA19" s="51">
        <f>+[12]아산!$Q$85</f>
        <v>93577.279875220789</v>
      </c>
      <c r="AB19" s="52">
        <f>+[11]아산!$Q$89</f>
        <v>76761.710990235239</v>
      </c>
      <c r="AC19" s="47">
        <f>+[11]아산!$R$89</f>
        <v>79552.634299050042</v>
      </c>
      <c r="AD19" s="53">
        <f>+[12]아산!$Q$89</f>
        <v>67826.191413995373</v>
      </c>
      <c r="AE19" s="52">
        <f t="shared" si="6"/>
        <v>24238.138376853356</v>
      </c>
      <c r="AF19" s="47">
        <f t="shared" si="6"/>
        <v>21925.726122543783</v>
      </c>
      <c r="AG19" s="53">
        <f t="shared" si="6"/>
        <v>25751.088461225416</v>
      </c>
      <c r="AH19" s="18"/>
      <c r="AI19" s="19"/>
      <c r="AJ19" s="97"/>
    </row>
    <row r="20" spans="2:38" s="8" customFormat="1" ht="19.5" customHeight="1">
      <c r="B20" s="8" t="s">
        <v>89</v>
      </c>
      <c r="G20" s="9"/>
      <c r="H20" s="80"/>
      <c r="I20" s="81" t="s">
        <v>89</v>
      </c>
      <c r="J20" s="46">
        <f>+'사업장별(당월)'!J20+'[4]사업장별(누계)'!J20</f>
        <v>44</v>
      </c>
      <c r="K20" s="47">
        <f>+'사업장별(당월)'!K20+'[4]사업장별(누계)'!K20</f>
        <v>25.734999999999999</v>
      </c>
      <c r="L20" s="48">
        <f t="shared" si="0"/>
        <v>-18.265000000000001</v>
      </c>
      <c r="M20" s="49">
        <f>+'사업장별(당월)'!M20+'[4]사업장별(누계)'!M20</f>
        <v>40.862000000000002</v>
      </c>
      <c r="N20" s="50">
        <f t="shared" si="1"/>
        <v>-15.127000000000002</v>
      </c>
      <c r="O20" s="46">
        <f>+'사업장별(당월)'!O20+'[4]사업장별(누계)'!O20</f>
        <v>4504.9760370000004</v>
      </c>
      <c r="P20" s="47">
        <f>+'사업장별(당월)'!P20+'[4]사업장별(누계)'!P20</f>
        <v>2477.4563479999997</v>
      </c>
      <c r="Q20" s="48">
        <f t="shared" si="2"/>
        <v>-2027.5196890000007</v>
      </c>
      <c r="R20" s="49">
        <f>+'사업장별(당월)'!R20+'[4]사업장별(누계)'!R20</f>
        <v>3746.6177460000004</v>
      </c>
      <c r="S20" s="50">
        <f t="shared" si="3"/>
        <v>-1269.1613980000006</v>
      </c>
      <c r="T20" s="46">
        <f>+'사업장별(당월)'!T20+'[4]사업장별(누계)'!T20</f>
        <v>630.28976405014953</v>
      </c>
      <c r="U20" s="47">
        <f>+'사업장별(당월)'!U20+'[4]사업장별(누계)'!U20</f>
        <v>52.556105999999915</v>
      </c>
      <c r="V20" s="48">
        <f t="shared" si="4"/>
        <v>-577.73365805014964</v>
      </c>
      <c r="W20" s="49">
        <f>+'사업장별(당월)'!W20+'[4]사업장별(누계)'!W20</f>
        <v>393.71595400000029</v>
      </c>
      <c r="X20" s="50">
        <f t="shared" si="5"/>
        <v>-341.15984800000035</v>
      </c>
      <c r="Y20" s="46">
        <f>+[11]전주!$Q$85</f>
        <v>102385.81902272729</v>
      </c>
      <c r="Z20" s="47">
        <f>+[11]전주!$R$85</f>
        <v>96272.833495466737</v>
      </c>
      <c r="AA20" s="51">
        <f>+[12]전주!$Q$85</f>
        <v>91771.984311967724</v>
      </c>
      <c r="AB20" s="52">
        <f>+[11]전주!$Q$89</f>
        <v>74422.801934641189</v>
      </c>
      <c r="AC20" s="47">
        <f>+[11]전주!$R$89</f>
        <v>71946.768216300319</v>
      </c>
      <c r="AD20" s="53">
        <f>+[12]전주!$Q$89</f>
        <v>67170.301334727817</v>
      </c>
      <c r="AE20" s="52">
        <f t="shared" si="6"/>
        <v>27963.017088086097</v>
      </c>
      <c r="AF20" s="47">
        <f t="shared" si="6"/>
        <v>24326.065279166418</v>
      </c>
      <c r="AG20" s="53">
        <f t="shared" si="6"/>
        <v>24601.682977239907</v>
      </c>
      <c r="AH20" s="18"/>
      <c r="AI20" s="19"/>
      <c r="AJ20" s="97"/>
    </row>
    <row r="21" spans="2:38" s="8" customFormat="1" ht="19.5" customHeight="1">
      <c r="B21" s="8" t="s">
        <v>90</v>
      </c>
      <c r="G21" s="9"/>
      <c r="H21" s="80"/>
      <c r="I21" s="81" t="s">
        <v>90</v>
      </c>
      <c r="J21" s="46">
        <f>+'사업장별(당월)'!J21+'[4]사업장별(누계)'!J21</f>
        <v>23</v>
      </c>
      <c r="K21" s="47">
        <f>+'사업장별(당월)'!K21+'[4]사업장별(누계)'!K21</f>
        <v>32.875</v>
      </c>
      <c r="L21" s="48">
        <f t="shared" si="0"/>
        <v>9.875</v>
      </c>
      <c r="M21" s="49">
        <f>+'사업장별(당월)'!M21+'[4]사업장별(누계)'!M21</f>
        <v>30.3825</v>
      </c>
      <c r="N21" s="50">
        <f t="shared" si="1"/>
        <v>2.4924999999999997</v>
      </c>
      <c r="O21" s="46">
        <f>+'사업장별(당월)'!O21+'[4]사업장별(누계)'!O21</f>
        <v>2510.6996690000001</v>
      </c>
      <c r="P21" s="47">
        <f>+'사업장별(당월)'!P21+'[4]사업장별(누계)'!P21</f>
        <v>3584.0588900000002</v>
      </c>
      <c r="Q21" s="48">
        <f t="shared" si="2"/>
        <v>1073.3592210000002</v>
      </c>
      <c r="R21" s="49">
        <f>+'사업장별(당월)'!R21+'[4]사업장별(누계)'!R21</f>
        <v>2870.7355120000002</v>
      </c>
      <c r="S21" s="50">
        <f t="shared" si="3"/>
        <v>713.32337800000005</v>
      </c>
      <c r="T21" s="46">
        <f>+'사업장별(당월)'!T21+'[4]사업장별(누계)'!T21</f>
        <v>581.69129882247876</v>
      </c>
      <c r="U21" s="47">
        <f>+'사업장별(당월)'!U21+'[4]사업장별(누계)'!U21</f>
        <v>968.94532500000014</v>
      </c>
      <c r="V21" s="48">
        <f t="shared" si="4"/>
        <v>387.25402617752138</v>
      </c>
      <c r="W21" s="49">
        <f>+'사업장별(당월)'!W21+'[4]사업장별(누계)'!W21</f>
        <v>590.94265799999994</v>
      </c>
      <c r="X21" s="50">
        <f t="shared" si="5"/>
        <v>378.0026670000002</v>
      </c>
      <c r="Y21" s="46">
        <f>+[11]군산!$Q$85</f>
        <v>109160.85517391305</v>
      </c>
      <c r="Z21" s="47">
        <f>+[11]군산!$R$85</f>
        <v>109033.50568233752</v>
      </c>
      <c r="AA21" s="51">
        <f>+[12]군산!$Q$85</f>
        <v>94455.398992152011</v>
      </c>
      <c r="AB21" s="52">
        <f>+[11]군산!$Q$89</f>
        <v>69854.825546141132</v>
      </c>
      <c r="AC21" s="47">
        <f>+[11]군산!$R$89</f>
        <v>69903.816915998905</v>
      </c>
      <c r="AD21" s="53">
        <f>+[12]군산!$Q$89</f>
        <v>64091.522040000658</v>
      </c>
      <c r="AE21" s="52">
        <f t="shared" si="6"/>
        <v>39306.029627771917</v>
      </c>
      <c r="AF21" s="47">
        <f t="shared" si="6"/>
        <v>39129.688766338615</v>
      </c>
      <c r="AG21" s="53">
        <f t="shared" si="6"/>
        <v>30363.876952151353</v>
      </c>
      <c r="AH21" s="18"/>
      <c r="AI21" s="19"/>
      <c r="AJ21" s="97"/>
    </row>
    <row r="22" spans="2:38" s="8" customFormat="1" ht="19.5" customHeight="1">
      <c r="B22" s="8" t="s">
        <v>91</v>
      </c>
      <c r="G22" s="9"/>
      <c r="H22" s="80"/>
      <c r="I22" s="81" t="s">
        <v>91</v>
      </c>
      <c r="J22" s="46">
        <f>+'사업장별(당월)'!J22+'[4]사업장별(누계)'!J22</f>
        <v>18</v>
      </c>
      <c r="K22" s="47">
        <f>+'사업장별(당월)'!K22+'[4]사업장별(누계)'!K22</f>
        <v>20.073499999999999</v>
      </c>
      <c r="L22" s="48">
        <f t="shared" si="0"/>
        <v>2.0734999999999992</v>
      </c>
      <c r="M22" s="49">
        <f>+'사업장별(당월)'!M22+'[4]사업장별(누계)'!M22</f>
        <v>15.724</v>
      </c>
      <c r="N22" s="50">
        <f t="shared" si="1"/>
        <v>4.349499999999999</v>
      </c>
      <c r="O22" s="46">
        <f>+'사업장별(당월)'!O22+'[4]사업장별(누계)'!O22</f>
        <v>1942.1999999999998</v>
      </c>
      <c r="P22" s="47">
        <f>+'사업장별(당월)'!P22+'[4]사업장별(누계)'!P22</f>
        <v>2234.6113449999998</v>
      </c>
      <c r="Q22" s="48">
        <f t="shared" si="2"/>
        <v>292.41134499999998</v>
      </c>
      <c r="R22" s="49">
        <f>+'사업장별(당월)'!R22+'[4]사업장별(누계)'!R22</f>
        <v>1565.863918</v>
      </c>
      <c r="S22" s="50">
        <f t="shared" si="3"/>
        <v>668.74742699999979</v>
      </c>
      <c r="T22" s="46">
        <f>+'사업장별(당월)'!T22+'[4]사업장별(누계)'!T22</f>
        <v>251.08144414499782</v>
      </c>
      <c r="U22" s="47">
        <f>+'사업장별(당월)'!U22+'[4]사업장별(누계)'!U22</f>
        <v>405.84467300000006</v>
      </c>
      <c r="V22" s="48">
        <f t="shared" si="4"/>
        <v>154.76322885500224</v>
      </c>
      <c r="W22" s="49">
        <f>+'사업장별(당월)'!W22+'[4]사업장별(누계)'!W22</f>
        <v>213.51944899999992</v>
      </c>
      <c r="X22" s="50">
        <f t="shared" si="5"/>
        <v>192.32522400000013</v>
      </c>
      <c r="Y22" s="46">
        <f>+[11]원주!$Q$85</f>
        <v>107900</v>
      </c>
      <c r="Z22" s="47">
        <f>+[11]원주!$R$85</f>
        <v>111334.87911978245</v>
      </c>
      <c r="AA22" s="51">
        <f>+[12]원주!$Q$85</f>
        <v>99558.93819720477</v>
      </c>
      <c r="AB22" s="52">
        <f>+[11]원주!$Q$89</f>
        <v>74364.634144940239</v>
      </c>
      <c r="AC22" s="47">
        <f>+[11]원주!$R$89</f>
        <v>73474.145854644361</v>
      </c>
      <c r="AD22" s="53">
        <f>+[12]원주!$Q$89</f>
        <v>65416.659510381949</v>
      </c>
      <c r="AE22" s="52">
        <f t="shared" si="6"/>
        <v>33535.365855059761</v>
      </c>
      <c r="AF22" s="47">
        <f t="shared" si="6"/>
        <v>37860.733265138086</v>
      </c>
      <c r="AG22" s="53">
        <f t="shared" si="6"/>
        <v>34142.278686822821</v>
      </c>
      <c r="AH22" s="18"/>
      <c r="AI22" s="19"/>
      <c r="AJ22" s="97"/>
    </row>
    <row r="23" spans="2:38" s="8" customFormat="1" ht="19.5" customHeight="1">
      <c r="B23" s="8" t="s">
        <v>92</v>
      </c>
      <c r="H23" s="80"/>
      <c r="I23" s="81" t="s">
        <v>92</v>
      </c>
      <c r="J23" s="46">
        <f>+'사업장별(당월)'!J23+'[4]사업장별(누계)'!J23</f>
        <v>18</v>
      </c>
      <c r="K23" s="47">
        <f>+'사업장별(당월)'!K23+'[4]사업장별(누계)'!K23</f>
        <v>13.064</v>
      </c>
      <c r="L23" s="48">
        <f t="shared" si="0"/>
        <v>-4.9359999999999999</v>
      </c>
      <c r="M23" s="49">
        <f>+'사업장별(당월)'!M23+'[4]사업장별(누계)'!M23</f>
        <v>29.418500000000002</v>
      </c>
      <c r="N23" s="50">
        <f t="shared" si="1"/>
        <v>-16.354500000000002</v>
      </c>
      <c r="O23" s="46">
        <f>+'사업장별(당월)'!O23+'[4]사업장별(누계)'!O23</f>
        <v>2280.6000000000004</v>
      </c>
      <c r="P23" s="47">
        <f>+'사업장별(당월)'!P23+'[4]사업장별(누계)'!P23</f>
        <v>1682.0056380000001</v>
      </c>
      <c r="Q23" s="48">
        <f t="shared" si="2"/>
        <v>-598.59436200000027</v>
      </c>
      <c r="R23" s="49">
        <f>+'사업장별(당월)'!R23+'[4]사업장별(누계)'!R23</f>
        <v>3479.0051869999998</v>
      </c>
      <c r="S23" s="50">
        <f t="shared" si="3"/>
        <v>-1796.9995489999997</v>
      </c>
      <c r="T23" s="46">
        <f>+'사업장별(당월)'!T23+'[4]사업장별(누계)'!T23</f>
        <v>268.24325541969938</v>
      </c>
      <c r="U23" s="47">
        <f>+'사업장별(당월)'!U23+'[4]사업장별(누계)'!U23</f>
        <v>176.97762700000001</v>
      </c>
      <c r="V23" s="48">
        <f t="shared" si="4"/>
        <v>-91.265628419699368</v>
      </c>
      <c r="W23" s="49">
        <f>+'사업장별(당월)'!W23+'[4]사업장별(누계)'!W23</f>
        <v>784.31495700000005</v>
      </c>
      <c r="X23" s="50">
        <f t="shared" si="5"/>
        <v>-607.33733000000007</v>
      </c>
      <c r="Y23" s="46">
        <f>+[11]제주!$Q$85</f>
        <v>126700</v>
      </c>
      <c r="Z23" s="47">
        <f>+[11]제주!$R$85</f>
        <v>128751.19703000612</v>
      </c>
      <c r="AA23" s="51">
        <f>+[12]제주!$Q$85</f>
        <v>118274.08155399414</v>
      </c>
      <c r="AB23" s="52">
        <f>+[11]제주!$Q$89</f>
        <v>89803.816388285166</v>
      </c>
      <c r="AC23" s="47">
        <f>+[11]제주!$R$89</f>
        <v>88808.506152082555</v>
      </c>
      <c r="AD23" s="53">
        <f>+[12]제주!$Q$89</f>
        <v>80486.298090040917</v>
      </c>
      <c r="AE23" s="52">
        <f t="shared" si="6"/>
        <v>36896.183611714834</v>
      </c>
      <c r="AF23" s="47">
        <f t="shared" si="6"/>
        <v>39942.690877923567</v>
      </c>
      <c r="AG23" s="53">
        <f t="shared" si="6"/>
        <v>37787.783463953223</v>
      </c>
      <c r="AH23" s="18"/>
      <c r="AI23" s="19"/>
      <c r="AJ23" s="97"/>
    </row>
    <row r="24" spans="2:38" s="8" customFormat="1" ht="19.5" customHeight="1">
      <c r="G24" s="96"/>
      <c r="H24" s="80"/>
      <c r="I24" s="84" t="s">
        <v>55</v>
      </c>
      <c r="J24" s="23">
        <f>SUM(J7:J10)</f>
        <v>415</v>
      </c>
      <c r="K24" s="20">
        <f>SUM(K7:K10)</f>
        <v>420.38350000000014</v>
      </c>
      <c r="L24" s="21">
        <f t="shared" si="0"/>
        <v>5.3835000000001401</v>
      </c>
      <c r="M24" s="25">
        <f>SUM(M7:M10)</f>
        <v>473.71450000000004</v>
      </c>
      <c r="N24" s="22">
        <f t="shared" si="1"/>
        <v>-53.330999999999904</v>
      </c>
      <c r="O24" s="23">
        <f>SUM(O7:O10)</f>
        <v>40843.48824524456</v>
      </c>
      <c r="P24" s="20">
        <f>SUM(P7:P10)</f>
        <v>41921.323317000002</v>
      </c>
      <c r="Q24" s="21">
        <f t="shared" si="2"/>
        <v>1077.8350717554422</v>
      </c>
      <c r="R24" s="25">
        <f>SUM(R7:R10)</f>
        <v>42585.179403000002</v>
      </c>
      <c r="S24" s="22">
        <f t="shared" si="3"/>
        <v>-663.85608599999978</v>
      </c>
      <c r="T24" s="23">
        <f>SUM(T7:T10)</f>
        <v>4191.6130788269938</v>
      </c>
      <c r="U24" s="20">
        <f>SUM(U7:U10)</f>
        <v>3724.0579970000003</v>
      </c>
      <c r="V24" s="21">
        <f t="shared" si="4"/>
        <v>-467.5550818269935</v>
      </c>
      <c r="W24" s="25">
        <f>SUM(W7:W10)</f>
        <v>4240.2932189900002</v>
      </c>
      <c r="X24" s="22">
        <f t="shared" si="5"/>
        <v>-516.2352219899999</v>
      </c>
      <c r="Y24" s="23">
        <f>+[11]수도권!$Q$85</f>
        <v>98418.043964444732</v>
      </c>
      <c r="Z24" s="20">
        <f>+[11]수도권!$R$85</f>
        <v>99728.341364175052</v>
      </c>
      <c r="AA24" s="24">
        <f>+[12]수도권!$Q$85</f>
        <v>89881.445001703119</v>
      </c>
      <c r="AB24" s="29">
        <f>+[11]수도권!$Q$89</f>
        <v>78694.513559176965</v>
      </c>
      <c r="AC24" s="20">
        <f>+[11]수도권!$R$89</f>
        <v>81473.809571555641</v>
      </c>
      <c r="AD24" s="30">
        <f>+[12]수도권!$Q$89</f>
        <v>72777.544780572571</v>
      </c>
      <c r="AE24" s="29">
        <f t="shared" si="6"/>
        <v>19723.530405267767</v>
      </c>
      <c r="AF24" s="20">
        <f t="shared" si="6"/>
        <v>18254.531792619411</v>
      </c>
      <c r="AG24" s="30">
        <f t="shared" si="6"/>
        <v>17103.900221130549</v>
      </c>
      <c r="AH24" s="18"/>
      <c r="AI24" s="19"/>
      <c r="AJ24" s="97"/>
    </row>
    <row r="25" spans="2:38" s="8" customFormat="1" ht="19.5" customHeight="1">
      <c r="H25" s="80"/>
      <c r="I25" s="84" t="s">
        <v>56</v>
      </c>
      <c r="J25" s="23">
        <f>SUM(J11:J18)</f>
        <v>467.5</v>
      </c>
      <c r="K25" s="20">
        <f>SUM(K11:K18)</f>
        <v>515.524</v>
      </c>
      <c r="L25" s="21">
        <f t="shared" si="0"/>
        <v>48.024000000000001</v>
      </c>
      <c r="M25" s="25">
        <f>SUM(M11:M18)</f>
        <v>584.27299999999991</v>
      </c>
      <c r="N25" s="22">
        <f t="shared" si="1"/>
        <v>-68.74899999999991</v>
      </c>
      <c r="O25" s="23">
        <f>SUM(O11:O18)</f>
        <v>47599.299969250002</v>
      </c>
      <c r="P25" s="20">
        <f>SUM(P11:P18)</f>
        <v>52450.053045000001</v>
      </c>
      <c r="Q25" s="21">
        <f t="shared" si="2"/>
        <v>4850.753075749999</v>
      </c>
      <c r="R25" s="25">
        <f>SUM(R11:R18)</f>
        <v>55940.808411999998</v>
      </c>
      <c r="S25" s="22">
        <f t="shared" si="3"/>
        <v>-3490.7553669999979</v>
      </c>
      <c r="T25" s="23">
        <f>SUM(T11:T18)</f>
        <v>6281.3037067712203</v>
      </c>
      <c r="U25" s="20">
        <f>SUM(U11:U18)</f>
        <v>5901.1466729999975</v>
      </c>
      <c r="V25" s="21">
        <f t="shared" si="4"/>
        <v>-380.15703377122281</v>
      </c>
      <c r="W25" s="25">
        <f>SUM(W11:W18)</f>
        <v>9133.145469000001</v>
      </c>
      <c r="X25" s="22">
        <f t="shared" si="5"/>
        <v>-3231.9987960000035</v>
      </c>
      <c r="Y25" s="23">
        <f>+[11]영남권!$Q$85</f>
        <v>101816.68442620321</v>
      </c>
      <c r="Z25" s="20">
        <f>+[11]영남권!$R$85</f>
        <v>101754.44168144187</v>
      </c>
      <c r="AA25" s="24">
        <f>+[12]영남권!$Q$85</f>
        <v>95748.532493587976</v>
      </c>
      <c r="AB25" s="29">
        <f>+[11]영남권!$Q$89</f>
        <v>75704.058791161544</v>
      </c>
      <c r="AC25" s="20">
        <f>+[11]영남권!$R$89</f>
        <v>79144.888056084397</v>
      </c>
      <c r="AD25" s="30">
        <f>+[12]영남권!$Q$89</f>
        <v>70502.848550149705</v>
      </c>
      <c r="AE25" s="29">
        <f t="shared" si="6"/>
        <v>26112.625635041666</v>
      </c>
      <c r="AF25" s="20">
        <f t="shared" si="6"/>
        <v>22609.553625357468</v>
      </c>
      <c r="AG25" s="30">
        <f t="shared" si="6"/>
        <v>25245.683943438271</v>
      </c>
      <c r="AH25" s="18"/>
      <c r="AI25" s="19"/>
      <c r="AJ25" s="97"/>
    </row>
    <row r="26" spans="2:38" s="8" customFormat="1" ht="19.5" customHeight="1">
      <c r="H26" s="80"/>
      <c r="I26" s="84" t="s">
        <v>170</v>
      </c>
      <c r="J26" s="23">
        <f>SUM(J19:J23)</f>
        <v>182</v>
      </c>
      <c r="K26" s="20">
        <f>SUM(K19:K23)</f>
        <v>190.05849999999998</v>
      </c>
      <c r="L26" s="21">
        <f t="shared" si="0"/>
        <v>8.0584999999999809</v>
      </c>
      <c r="M26" s="25">
        <f>SUM(M19:M23)</f>
        <v>221.65999999999997</v>
      </c>
      <c r="N26" s="22">
        <f t="shared" si="1"/>
        <v>-31.601499999999987</v>
      </c>
      <c r="O26" s="23">
        <f>SUM(O19:O23)</f>
        <v>19217.463806</v>
      </c>
      <c r="P26" s="20">
        <f>SUM(P19:P23)</f>
        <v>19964.503671999999</v>
      </c>
      <c r="Q26" s="21">
        <f t="shared" si="2"/>
        <v>747.03986599999917</v>
      </c>
      <c r="R26" s="25">
        <f>SUM(R19:R23)</f>
        <v>21510.560204999998</v>
      </c>
      <c r="S26" s="22">
        <f t="shared" si="3"/>
        <v>-1546.056532999999</v>
      </c>
      <c r="T26" s="23">
        <f>SUM(T19:T23)</f>
        <v>2769.9873078925252</v>
      </c>
      <c r="U26" s="20">
        <f>SUM(U19:U23)</f>
        <v>2723.4290730000002</v>
      </c>
      <c r="V26" s="21">
        <f t="shared" si="4"/>
        <v>-46.558234892524979</v>
      </c>
      <c r="W26" s="25">
        <f>SUM(W19:W23)</f>
        <v>3665.8866909999997</v>
      </c>
      <c r="X26" s="22">
        <f t="shared" si="5"/>
        <v>-942.45761799999946</v>
      </c>
      <c r="Y26" s="23">
        <f>+[11]중부권!$Q$85</f>
        <v>105590.46047252748</v>
      </c>
      <c r="Z26" s="20">
        <f>+[11]중부권!$R$85</f>
        <v>105015.16653650969</v>
      </c>
      <c r="AA26" s="24">
        <f>+[12]중부권!$Q$85</f>
        <v>97213.616662934961</v>
      </c>
      <c r="AB26" s="29">
        <f>+[11]중부권!$Q$89</f>
        <v>76376.21731050605</v>
      </c>
      <c r="AC26" s="20">
        <f>+[11]중부권!$R$89</f>
        <v>76837.745219524717</v>
      </c>
      <c r="AD26" s="30">
        <f>+[12]중부권!$Q$89</f>
        <v>68741.375366714041</v>
      </c>
      <c r="AE26" s="29">
        <f t="shared" si="6"/>
        <v>29214.243162021434</v>
      </c>
      <c r="AF26" s="20">
        <f t="shared" si="6"/>
        <v>28177.421316984968</v>
      </c>
      <c r="AG26" s="30">
        <f t="shared" si="6"/>
        <v>28472.24129622092</v>
      </c>
      <c r="AH26" s="18"/>
      <c r="AI26" s="19"/>
      <c r="AJ26" s="97"/>
    </row>
    <row r="27" spans="2:38" s="3" customFormat="1" ht="19.5" customHeight="1">
      <c r="B27" s="26"/>
      <c r="G27" s="9"/>
      <c r="H27" s="630" t="s">
        <v>115</v>
      </c>
      <c r="I27" s="631"/>
      <c r="J27" s="632">
        <f>SUM(J24:J26)</f>
        <v>1064.5</v>
      </c>
      <c r="K27" s="633">
        <f>SUM(K24:K26)</f>
        <v>1125.9660000000001</v>
      </c>
      <c r="L27" s="634">
        <f t="shared" si="0"/>
        <v>61.466000000000122</v>
      </c>
      <c r="M27" s="635">
        <f>SUM(M24:M26)</f>
        <v>1279.6475</v>
      </c>
      <c r="N27" s="636">
        <f t="shared" si="1"/>
        <v>-153.68149999999991</v>
      </c>
      <c r="O27" s="632">
        <f>SUM(O24:O26)</f>
        <v>107660.25202049456</v>
      </c>
      <c r="P27" s="633">
        <f>SUM(P24:P26)</f>
        <v>114335.880034</v>
      </c>
      <c r="Q27" s="634">
        <f t="shared" si="2"/>
        <v>6675.6280135054403</v>
      </c>
      <c r="R27" s="635">
        <f>SUM(R24:R26)</f>
        <v>120036.54802</v>
      </c>
      <c r="S27" s="636">
        <f t="shared" si="3"/>
        <v>-5700.6679860000004</v>
      </c>
      <c r="T27" s="632">
        <f>SUM(T24:T26)</f>
        <v>13242.904093490739</v>
      </c>
      <c r="U27" s="633">
        <f>SUM(U24:U26)</f>
        <v>12348.633742999999</v>
      </c>
      <c r="V27" s="634">
        <f t="shared" si="4"/>
        <v>-894.27035049074038</v>
      </c>
      <c r="W27" s="635">
        <f>SUM(W24:W26)</f>
        <v>17039.325378990001</v>
      </c>
      <c r="X27" s="636">
        <f t="shared" si="5"/>
        <v>-4690.6916359900024</v>
      </c>
      <c r="Y27" s="632">
        <f>+[11]합계!$Q$85</f>
        <v>101136.92063926214</v>
      </c>
      <c r="Z27" s="633">
        <f>+[11]합계!$R$85</f>
        <v>101545.60808514841</v>
      </c>
      <c r="AA27" s="637">
        <f>+[12]합계!$Q$85</f>
        <v>93821.017684784441</v>
      </c>
      <c r="AB27" s="638">
        <f>+[11]합계!$Q$89</f>
        <v>76984.821195339173</v>
      </c>
      <c r="AC27" s="633">
        <f>+[11]합계!$R$89</f>
        <v>79626.842087759753</v>
      </c>
      <c r="AD27" s="639">
        <f>+[12]합계!$Q$89</f>
        <v>71048.908565194011</v>
      </c>
      <c r="AE27" s="638">
        <f t="shared" si="6"/>
        <v>24152.099443922969</v>
      </c>
      <c r="AF27" s="633">
        <f t="shared" si="6"/>
        <v>21918.765997388662</v>
      </c>
      <c r="AG27" s="639">
        <f t="shared" si="6"/>
        <v>22772.10911959043</v>
      </c>
      <c r="AH27" s="27"/>
      <c r="AI27" s="28"/>
      <c r="AJ27" s="97"/>
      <c r="AL27" s="26"/>
    </row>
    <row r="28" spans="2:38" s="8" customFormat="1" ht="19.5" customHeight="1">
      <c r="B28" s="8" t="s">
        <v>3</v>
      </c>
      <c r="E28" s="8" t="s">
        <v>203</v>
      </c>
      <c r="H28" s="820" t="s">
        <v>3</v>
      </c>
      <c r="I28" s="821"/>
      <c r="J28" s="168">
        <f>+'사업장별(당월)'!J28+'[4]사업장별(누계)'!J28</f>
        <v>27900</v>
      </c>
      <c r="K28" s="169">
        <f>+'사업장별(당월)'!K28+'[4]사업장별(누계)'!K28</f>
        <v>30310.545999999998</v>
      </c>
      <c r="L28" s="170">
        <f>+K28-J28</f>
        <v>2410.5459999999985</v>
      </c>
      <c r="M28" s="171">
        <f>+'사업장별(당월)'!M28+'[4]사업장별(누계)'!M28</f>
        <v>34525.302000000003</v>
      </c>
      <c r="N28" s="172">
        <f>+K28-M28</f>
        <v>-4214.7560000000049</v>
      </c>
      <c r="O28" s="168">
        <f>+'사업장별(당월)'!O28+'[4]사업장별(누계)'!O28</f>
        <v>34136.772631578955</v>
      </c>
      <c r="P28" s="169">
        <f>+'사업장별(당월)'!P28+'[4]사업장별(누계)'!P28</f>
        <v>31755.57242</v>
      </c>
      <c r="Q28" s="170">
        <f>+P28-O28</f>
        <v>-2381.2002115789546</v>
      </c>
      <c r="R28" s="171">
        <f>+'사업장별(당월)'!R28+'[4]사업장별(누계)'!R28</f>
        <v>41371.689569000002</v>
      </c>
      <c r="S28" s="172">
        <f t="shared" si="3"/>
        <v>-9616.1171490000015</v>
      </c>
      <c r="T28" s="168">
        <f>+'사업장별(당월)'!T28+'[4]사업장별(누계)'!T28</f>
        <v>367.70904212632246</v>
      </c>
      <c r="U28" s="169">
        <f>+'사업장별(당월)'!U28+'[4]사업장별(누계)'!U28</f>
        <v>142.58456800000181</v>
      </c>
      <c r="V28" s="170">
        <f t="shared" si="4"/>
        <v>-225.12447412632065</v>
      </c>
      <c r="W28" s="171">
        <f>+'사업장별(당월)'!W28+'[4]사업장별(누계)'!W28</f>
        <v>322.60278000000085</v>
      </c>
      <c r="X28" s="172">
        <f t="shared" si="5"/>
        <v>-180.01821199999904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>
      <c r="B29" s="8" t="s">
        <v>195</v>
      </c>
      <c r="H29" s="86" t="s">
        <v>1</v>
      </c>
      <c r="I29" s="79" t="s">
        <v>232</v>
      </c>
      <c r="J29" s="56">
        <f>+'사업장별(당월)'!J29+'[4]사업장별(누계)'!J29</f>
        <v>74.727773787099821</v>
      </c>
      <c r="K29" s="57">
        <f>+'사업장별(당월)'!K29+'[4]사업장별(누계)'!K29</f>
        <v>86.685000000000002</v>
      </c>
      <c r="L29" s="38">
        <f t="shared" si="0"/>
        <v>11.957226212900181</v>
      </c>
      <c r="M29" s="38">
        <f>+'사업장별(당월)'!M29+'[4]사업장별(누계)'!M29</f>
        <v>96.415999999999997</v>
      </c>
      <c r="N29" s="58">
        <f t="shared" si="1"/>
        <v>-9.7309999999999945</v>
      </c>
      <c r="O29" s="56">
        <f>+'사업장별(당월)'!O29+'[4]사업장별(누계)'!O29</f>
        <v>2316.7264242225001</v>
      </c>
      <c r="P29" s="57">
        <f>+'사업장별(당월)'!P29+'[4]사업장별(누계)'!P29</f>
        <v>2636.47408</v>
      </c>
      <c r="Q29" s="38">
        <f t="shared" si="2"/>
        <v>319.74765577749986</v>
      </c>
      <c r="R29" s="38">
        <f>+'사업장별(당월)'!R29+'[4]사업장별(누계)'!R29</f>
        <v>2896.2548999999999</v>
      </c>
      <c r="S29" s="58">
        <f t="shared" si="3"/>
        <v>-259.78081999999995</v>
      </c>
      <c r="T29" s="56">
        <f>+'사업장별(당월)'!T29+'[4]사업장별(누계)'!T29</f>
        <v>108.00787328464264</v>
      </c>
      <c r="U29" s="57">
        <f>+'사업장별(당월)'!U29+'[4]사업장별(누계)'!U29</f>
        <v>194.37668699777529</v>
      </c>
      <c r="V29" s="38">
        <f t="shared" si="4"/>
        <v>86.368813713132653</v>
      </c>
      <c r="W29" s="38">
        <f>+'사업장별(당월)'!W29+'[4]사업장별(누계)'!W29</f>
        <v>169.55755101999986</v>
      </c>
      <c r="X29" s="58">
        <f t="shared" si="5"/>
        <v>24.819135977775431</v>
      </c>
      <c r="Y29" s="587" t="s">
        <v>213</v>
      </c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>
      <c r="B30" s="8" t="s">
        <v>196</v>
      </c>
      <c r="H30" s="85"/>
      <c r="I30" s="81" t="s">
        <v>233</v>
      </c>
      <c r="J30" s="54">
        <f>+'사업장별(당월)'!J30+'[4]사업장별(누계)'!J30</f>
        <v>23.509599999999999</v>
      </c>
      <c r="K30" s="59">
        <f>+'사업장별(당월)'!K30+'[4]사업장별(누계)'!K30</f>
        <v>99.713999999999999</v>
      </c>
      <c r="L30" s="48">
        <f t="shared" si="0"/>
        <v>76.204399999999993</v>
      </c>
      <c r="M30" s="48">
        <f>+'사업장별(당월)'!M30+'[4]사업장별(누계)'!M30</f>
        <v>148.916</v>
      </c>
      <c r="N30" s="60">
        <f t="shared" si="1"/>
        <v>-49.201999999999998</v>
      </c>
      <c r="O30" s="54">
        <f>+'사업장별(당월)'!O30+'[4]사업장별(누계)'!O30</f>
        <v>366.51980000000003</v>
      </c>
      <c r="P30" s="59">
        <f>+'사업장별(당월)'!P30+'[4]사업장별(누계)'!P30</f>
        <v>1384.3620000000001</v>
      </c>
      <c r="Q30" s="48">
        <f t="shared" si="2"/>
        <v>1017.8422</v>
      </c>
      <c r="R30" s="48">
        <f>+'사업장별(당월)'!R30+'[4]사업장별(누계)'!R30</f>
        <v>1749.0540000000001</v>
      </c>
      <c r="S30" s="60">
        <f t="shared" si="3"/>
        <v>-364.69200000000001</v>
      </c>
      <c r="T30" s="54">
        <f>+'사업장별(당월)'!T30+'[4]사업장별(누계)'!T30</f>
        <v>-43.562166027138119</v>
      </c>
      <c r="U30" s="59">
        <f>+'사업장별(당월)'!U30+'[4]사업장별(누계)'!U30</f>
        <v>198.10859981894606</v>
      </c>
      <c r="V30" s="48">
        <f t="shared" si="4"/>
        <v>241.67076584608418</v>
      </c>
      <c r="W30" s="48">
        <f>+'사업장별(당월)'!W30+'[4]사업장별(누계)'!W30</f>
        <v>337.50084800000008</v>
      </c>
      <c r="X30" s="60">
        <f t="shared" si="5"/>
        <v>-139.39224818105401</v>
      </c>
      <c r="Y30" s="629" t="s">
        <v>214</v>
      </c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99"/>
      <c r="AK30" s="99"/>
      <c r="AL30" s="99"/>
    </row>
    <row r="31" spans="2:38" s="8" customFormat="1" ht="19.5" customHeight="1">
      <c r="B31" s="8" t="s">
        <v>176</v>
      </c>
      <c r="H31" s="85"/>
      <c r="I31" s="83" t="s">
        <v>234</v>
      </c>
      <c r="J31" s="54">
        <f>+'사업장별(당월)'!J31+'[4]사업장별(누계)'!J31</f>
        <v>160.93098643699949</v>
      </c>
      <c r="K31" s="59">
        <f>+'사업장별(당월)'!K31+'[4]사업장별(누계)'!K31</f>
        <v>134.661</v>
      </c>
      <c r="L31" s="48">
        <f t="shared" si="0"/>
        <v>-26.269986436999488</v>
      </c>
      <c r="M31" s="48">
        <f>+'사업장별(당월)'!M31+'[4]사업장별(누계)'!M31</f>
        <v>0</v>
      </c>
      <c r="N31" s="60">
        <f t="shared" si="1"/>
        <v>134.661</v>
      </c>
      <c r="O31" s="54">
        <f>+'사업장별(당월)'!O31+'[4]사업장별(누계)'!O31</f>
        <v>2880.9766903668551</v>
      </c>
      <c r="P31" s="59">
        <f>+'사업장별(당월)'!P31+'[4]사업장별(누계)'!P31</f>
        <v>2507.5934999999999</v>
      </c>
      <c r="Q31" s="48">
        <f t="shared" si="2"/>
        <v>-373.38319036685516</v>
      </c>
      <c r="R31" s="48">
        <f>+'사업장별(당월)'!R31+'[4]사업장별(누계)'!R31</f>
        <v>0</v>
      </c>
      <c r="S31" s="60">
        <f t="shared" si="3"/>
        <v>2507.5934999999999</v>
      </c>
      <c r="T31" s="54">
        <f>+'사업장별(당월)'!T31+'[4]사업장별(누계)'!T31</f>
        <v>44.277864150249179</v>
      </c>
      <c r="U31" s="59">
        <f>+'사업장별(당월)'!U31+'[4]사업장별(누계)'!U31</f>
        <v>180.51285155000019</v>
      </c>
      <c r="V31" s="48">
        <f t="shared" si="4"/>
        <v>136.23498739975102</v>
      </c>
      <c r="W31" s="48">
        <f>+'사업장별(당월)'!W31+'[4]사업장별(누계)'!W31</f>
        <v>-57.700848999999991</v>
      </c>
      <c r="X31" s="60">
        <f t="shared" si="5"/>
        <v>238.21370055000017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99"/>
      <c r="AK31" s="99"/>
      <c r="AL31" s="99"/>
    </row>
    <row r="32" spans="2:38" s="3" customFormat="1" ht="19.5" customHeight="1">
      <c r="H32" s="147" t="s">
        <v>42</v>
      </c>
      <c r="I32" s="148"/>
      <c r="J32" s="149">
        <f>SUM(J29:J31)</f>
        <v>259.16836022409927</v>
      </c>
      <c r="K32" s="153">
        <f>SUM(K29:K31)</f>
        <v>321.06</v>
      </c>
      <c r="L32" s="151">
        <f t="shared" si="0"/>
        <v>61.891639775900728</v>
      </c>
      <c r="M32" s="151">
        <f>SUM(M29:M31)</f>
        <v>245.33199999999999</v>
      </c>
      <c r="N32" s="152">
        <f t="shared" si="1"/>
        <v>75.728000000000009</v>
      </c>
      <c r="O32" s="149">
        <f>SUM(O29:O31)</f>
        <v>5564.2229145893552</v>
      </c>
      <c r="P32" s="153">
        <f>SUM(P29:P31)</f>
        <v>6528.42958</v>
      </c>
      <c r="Q32" s="151">
        <f t="shared" si="2"/>
        <v>964.20666541064475</v>
      </c>
      <c r="R32" s="151">
        <f>SUM(R29:R31)</f>
        <v>4645.3089</v>
      </c>
      <c r="S32" s="152">
        <f t="shared" si="3"/>
        <v>1883.12068</v>
      </c>
      <c r="T32" s="149">
        <f>SUM(T29:T31)</f>
        <v>108.7235714077537</v>
      </c>
      <c r="U32" s="153">
        <f>SUM(U29:U31)</f>
        <v>572.99813836672149</v>
      </c>
      <c r="V32" s="151">
        <f t="shared" si="4"/>
        <v>464.2745669589678</v>
      </c>
      <c r="W32" s="151">
        <f>SUM(W29:W31)</f>
        <v>449.35755001999991</v>
      </c>
      <c r="X32" s="152">
        <f t="shared" si="5"/>
        <v>123.64058834672159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>
      <c r="B33" s="8" t="s">
        <v>199</v>
      </c>
      <c r="C33" s="8" t="s">
        <v>198</v>
      </c>
      <c r="D33" t="s">
        <v>197</v>
      </c>
      <c r="E33" t="s">
        <v>100</v>
      </c>
      <c r="F33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363.36</v>
      </c>
      <c r="P33" s="47">
        <f>+'사업장별(당월)'!P33+'[4]사업장별(누계)'!P33</f>
        <v>363.36</v>
      </c>
      <c r="Q33" s="49">
        <f t="shared" si="2"/>
        <v>0</v>
      </c>
      <c r="R33" s="48">
        <f>+'사업장별(당월)'!R33+'[4]사업장별(누계)'!R33</f>
        <v>313.36</v>
      </c>
      <c r="S33" s="60">
        <f t="shared" si="3"/>
        <v>50</v>
      </c>
      <c r="T33" s="46">
        <f>+'사업장별(당월)'!T33+'[4]사업장별(누계)'!T33</f>
        <v>291.991851</v>
      </c>
      <c r="U33" s="47">
        <f>+'사업장별(당월)'!U33+'[4]사업장별(누계)'!U33</f>
        <v>290.84225700000002</v>
      </c>
      <c r="V33" s="49">
        <f t="shared" si="4"/>
        <v>-1.1495939999999791</v>
      </c>
      <c r="W33" s="48">
        <f>+'사업장별(당월)'!W33+'[4]사업장별(누계)'!W33</f>
        <v>252.022628</v>
      </c>
      <c r="X33" s="60">
        <f t="shared" si="5"/>
        <v>38.81962900000002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>
      <c r="B34" s="8" t="s">
        <v>200</v>
      </c>
      <c r="C34" s="8" t="s">
        <v>201</v>
      </c>
      <c r="D34"/>
      <c r="E34" t="s">
        <v>40</v>
      </c>
      <c r="F34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7">+K34-M34</f>
        <v>0</v>
      </c>
      <c r="O34" s="46">
        <f>+'사업장별(당월)'!O34+'[4]사업장별(누계)'!O34</f>
        <v>289.19000133333333</v>
      </c>
      <c r="P34" s="47">
        <f>+'사업장별(당월)'!P34+'[4]사업장별(누계)'!P34</f>
        <v>289.184032</v>
      </c>
      <c r="Q34" s="49">
        <f>+P34-O34</f>
        <v>-5.9693333333257215E-3</v>
      </c>
      <c r="R34" s="48">
        <f>+'사업장별(당월)'!R34+'[4]사업장별(누계)'!R34</f>
        <v>377.27676400000007</v>
      </c>
      <c r="S34" s="60">
        <f t="shared" si="3"/>
        <v>-88.092732000000069</v>
      </c>
      <c r="T34" s="46">
        <f>+'사업장별(당월)'!T34+'[4]사업장별(누계)'!T34</f>
        <v>260.75979033333334</v>
      </c>
      <c r="U34" s="47">
        <f>+'사업장별(당월)'!U34+'[4]사업장별(누계)'!U34</f>
        <v>261.371352</v>
      </c>
      <c r="V34" s="49">
        <f t="shared" si="4"/>
        <v>0.61156166666665968</v>
      </c>
      <c r="W34" s="48">
        <f>+'사업장별(당월)'!W34+'[4]사업장별(누계)'!W34</f>
        <v>224.34973600000001</v>
      </c>
      <c r="X34" s="60">
        <f t="shared" si="5"/>
        <v>37.021615999999995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>
      <c r="B35" s="8" t="s">
        <v>202</v>
      </c>
      <c r="D35"/>
      <c r="E35"/>
      <c r="F35"/>
      <c r="G35"/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7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8">+P35-O35</f>
        <v>0</v>
      </c>
      <c r="R35" s="48">
        <f>+'사업장별(당월)'!R35+'[4]사업장별(누계)'!R35</f>
        <v>0</v>
      </c>
      <c r="S35" s="60">
        <f t="shared" si="3"/>
        <v>0</v>
      </c>
      <c r="T35" s="46">
        <f>+'사업장별(당월)'!T35+'[4]사업장별(누계)'!T35</f>
        <v>-5214.7342013607904</v>
      </c>
      <c r="U35" s="47">
        <f>+'사업장별(당월)'!U35+'[4]사업장별(누계)'!U35</f>
        <v>-5407.8338633758676</v>
      </c>
      <c r="V35" s="49">
        <f t="shared" si="4"/>
        <v>-193.09966201507723</v>
      </c>
      <c r="W35" s="48">
        <f>+'사업장별(당월)'!W35+'[4]사업장별(누계)'!W35</f>
        <v>-4348.3262850000001</v>
      </c>
      <c r="X35" s="60">
        <f t="shared" si="5"/>
        <v>-1059.5075783758675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>
      <c r="D36"/>
      <c r="E36"/>
      <c r="F36"/>
      <c r="G36"/>
      <c r="H36" s="87"/>
      <c r="I36" s="88" t="s">
        <v>116</v>
      </c>
      <c r="J36" s="46"/>
      <c r="K36" s="47"/>
      <c r="L36" s="49"/>
      <c r="M36" s="48"/>
      <c r="N36" s="60">
        <f t="shared" si="7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8"/>
        <v>0</v>
      </c>
      <c r="R36" s="48">
        <f>+'사업장별(당월)'!R36+'[4]사업장별(누계)'!R36</f>
        <v>0</v>
      </c>
      <c r="S36" s="60">
        <f t="shared" si="3"/>
        <v>0</v>
      </c>
      <c r="T36" s="46">
        <f>+'사업장별(당월)'!T36+'[4]사업장별(누계)'!T36</f>
        <v>0</v>
      </c>
      <c r="U36" s="47">
        <f>+'사업장별(당월)'!U36+'[4]사업장별(누계)'!U36</f>
        <v>0</v>
      </c>
      <c r="V36" s="49">
        <f t="shared" si="4"/>
        <v>0</v>
      </c>
      <c r="W36" s="48">
        <f>+'사업장별(당월)'!W36+'[4]사업장별(누계)'!W36</f>
        <v>0</v>
      </c>
      <c r="X36" s="60">
        <f t="shared" si="5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>
      <c r="D37"/>
      <c r="E37"/>
      <c r="F37"/>
      <c r="G37"/>
      <c r="H37" s="87"/>
      <c r="I37" s="88" t="s">
        <v>117</v>
      </c>
      <c r="J37" s="46"/>
      <c r="K37" s="47"/>
      <c r="L37" s="49"/>
      <c r="M37" s="48"/>
      <c r="N37" s="60">
        <f t="shared" si="7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8"/>
        <v>0</v>
      </c>
      <c r="R37" s="48">
        <f>+'사업장별(당월)'!R37+'[4]사업장별(누계)'!R37</f>
        <v>0</v>
      </c>
      <c r="S37" s="60">
        <f t="shared" si="3"/>
        <v>0</v>
      </c>
      <c r="T37" s="46">
        <f>+'사업장별(당월)'!T37+'[4]사업장별(누계)'!T37</f>
        <v>0</v>
      </c>
      <c r="U37" s="47">
        <f>+'사업장별(당월)'!U37+'[4]사업장별(누계)'!U37</f>
        <v>-1595.842547</v>
      </c>
      <c r="V37" s="49">
        <f t="shared" si="4"/>
        <v>-1595.842547</v>
      </c>
      <c r="W37" s="48">
        <f>+'사업장별(당월)'!W37+'[4]사업장별(누계)'!W37</f>
        <v>-278.35280399999999</v>
      </c>
      <c r="X37" s="60">
        <f t="shared" si="5"/>
        <v>-1317.4897430000001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8" s="8" customFormat="1" ht="19.5" customHeight="1">
      <c r="D38"/>
      <c r="E38"/>
      <c r="F38"/>
      <c r="G38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7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8"/>
        <v>0</v>
      </c>
      <c r="R38" s="48">
        <f>+'사업장별(당월)'!R38+'[4]사업장별(누계)'!R38</f>
        <v>0</v>
      </c>
      <c r="S38" s="60">
        <f t="shared" si="3"/>
        <v>0</v>
      </c>
      <c r="T38" s="46">
        <f>+'사업장별(당월)'!T38+'[4]사업장별(누계)'!T38</f>
        <v>-110.55147477783856</v>
      </c>
      <c r="U38" s="47">
        <f>+'사업장별(당월)'!U38+'[4]사업장별(누계)'!U38</f>
        <v>-106.93348900000001</v>
      </c>
      <c r="V38" s="49">
        <f t="shared" si="4"/>
        <v>3.6179857778385554</v>
      </c>
      <c r="W38" s="48">
        <f>+'사업장별(당월)'!W38+'[4]사업장별(누계)'!W38</f>
        <v>-70.030342000000005</v>
      </c>
      <c r="X38" s="60">
        <f>+U38-W38</f>
        <v>-36.903147000000004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>
      <c r="B39" t="s">
        <v>39</v>
      </c>
      <c r="D39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7"/>
        <v>0</v>
      </c>
      <c r="O39" s="46">
        <f>+'사업장별(당월)'!O39+'[4]사업장별(누계)'!O39</f>
        <v>7.08</v>
      </c>
      <c r="P39" s="47">
        <f>+'사업장별(당월)'!P39+'[4]사업장별(누계)'!P39</f>
        <v>6.80959999999404</v>
      </c>
      <c r="Q39" s="55">
        <f t="shared" si="8"/>
        <v>-0.27040000000596009</v>
      </c>
      <c r="R39" s="61">
        <f>+'사업장별(당월)'!R39+'[4]사업장별(누계)'!R39</f>
        <v>6.8956000000014894</v>
      </c>
      <c r="S39" s="62">
        <f t="shared" si="3"/>
        <v>-8.6000000007449451E-2</v>
      </c>
      <c r="T39" s="46">
        <f>+'사업장별(당월)'!T39+'[4]사업장별(누계)'!T39</f>
        <v>-179.34155300000543</v>
      </c>
      <c r="U39" s="47">
        <f>+'사업장별(당월)'!U39+'[4]사업장별(누계)'!U39</f>
        <v>-52.425737000015104</v>
      </c>
      <c r="V39" s="49">
        <f t="shared" si="4"/>
        <v>126.91581599999033</v>
      </c>
      <c r="W39" s="61">
        <f>+'사업장별(당월)'!W39+'[4]사업장별(누계)'!W39</f>
        <v>-30.569700999994758</v>
      </c>
      <c r="X39" s="60">
        <f t="shared" si="5"/>
        <v>-21.856036000020346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>
      <c r="H40" s="87"/>
      <c r="I40" s="88"/>
      <c r="J40" s="46"/>
      <c r="K40" s="47"/>
      <c r="L40" s="55"/>
      <c r="M40" s="61"/>
      <c r="N40" s="62">
        <f t="shared" si="7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8"/>
        <v>0</v>
      </c>
      <c r="R40" s="61">
        <f>+'사업장별(당월)'!R40+'[4]사업장별(누계)'!R40</f>
        <v>0</v>
      </c>
      <c r="S40" s="62">
        <f t="shared" si="3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4"/>
        <v>0</v>
      </c>
      <c r="W40" s="61">
        <f>+'사업장별(당월)'!W40+'[4]사업장별(누계)'!W40</f>
        <v>0</v>
      </c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7"/>
        <v>0</v>
      </c>
      <c r="O41" s="149">
        <f>SUM(O33:O40)</f>
        <v>659.63000133333333</v>
      </c>
      <c r="P41" s="150">
        <f>SUM(P33:P40)</f>
        <v>659.35363199999404</v>
      </c>
      <c r="Q41" s="154">
        <f t="shared" si="2"/>
        <v>-0.27636933333928937</v>
      </c>
      <c r="R41" s="155">
        <f>SUM(R33:R40)</f>
        <v>697.53236400000162</v>
      </c>
      <c r="S41" s="156">
        <f>+P41-R41</f>
        <v>-38.178732000007585</v>
      </c>
      <c r="T41" s="149">
        <f>SUM(T33:T40)</f>
        <v>-4951.8755878053016</v>
      </c>
      <c r="U41" s="150">
        <f>SUM(U33:U40)</f>
        <v>-6610.8220273758825</v>
      </c>
      <c r="V41" s="154">
        <f>+U41-T41</f>
        <v>-1658.9464395705809</v>
      </c>
      <c r="W41" s="155">
        <f>SUM(W33:W40)</f>
        <v>-4250.9067679999953</v>
      </c>
      <c r="X41" s="156">
        <f>+U41-W41</f>
        <v>-2359.9152593758872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>
      <c r="G43" s="665">
        <f>+P43/O43</f>
        <v>1.0355244353661412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148020.87756799621</v>
      </c>
      <c r="P43" s="643">
        <f>+P27+P32+P28+P41</f>
        <v>153279.23566599999</v>
      </c>
      <c r="Q43" s="644">
        <f t="shared" si="2"/>
        <v>5258.3580980037805</v>
      </c>
      <c r="R43" s="645">
        <f>+R27+R32+R28+R41</f>
        <v>166751.07885300001</v>
      </c>
      <c r="S43" s="646">
        <f>+P43-R43</f>
        <v>-13471.84318700002</v>
      </c>
      <c r="T43" s="642">
        <f>+T27+T32+T28+T41</f>
        <v>8767.4611192195134</v>
      </c>
      <c r="U43" s="643">
        <f>+U27+U32+U28+U41</f>
        <v>6453.3944219908399</v>
      </c>
      <c r="V43" s="644">
        <f>+U43-T43</f>
        <v>-2314.0666972286735</v>
      </c>
      <c r="W43" s="645">
        <f>+W27+W32+W28+W41</f>
        <v>13560.378941010005</v>
      </c>
      <c r="X43" s="646">
        <f>+U43-W43</f>
        <v>-7106.9845190191654</v>
      </c>
      <c r="Y43" s="822"/>
      <c r="Z43" s="823"/>
      <c r="AA43" s="823"/>
      <c r="AB43" s="823"/>
      <c r="AC43" s="823"/>
      <c r="AD43" s="823"/>
      <c r="AE43" s="823"/>
      <c r="AF43" s="823"/>
      <c r="AG43" s="824"/>
      <c r="AH43" s="26"/>
    </row>
    <row r="44" spans="2:38" s="34" customFormat="1">
      <c r="G44" s="662">
        <f>+U43/T43</f>
        <v>0.73606193791314201</v>
      </c>
      <c r="T44" s="662">
        <f>+T43/O43</f>
        <v>5.9231246721882277E-2</v>
      </c>
      <c r="U44" s="662">
        <f>+U43/P43</f>
        <v>4.2102209043193416E-2</v>
      </c>
      <c r="AC44" s="35"/>
      <c r="AF44" s="35"/>
    </row>
    <row r="45" spans="2:38" s="34" customFormat="1" ht="17.25" thickBot="1">
      <c r="AC45" s="35"/>
      <c r="AF45" s="35"/>
    </row>
    <row r="46" spans="2:38" s="34" customFormat="1">
      <c r="I46" s="819" t="s">
        <v>101</v>
      </c>
      <c r="J46" s="139">
        <f>+'사업장별(당월)'!J46+'[4]사업장별(누계)'!J46</f>
        <v>1064.5</v>
      </c>
      <c r="K46" s="140">
        <f>+'사업장별(당월)'!K46+'[4]사업장별(누계)'!K46</f>
        <v>1125.9659999999999</v>
      </c>
      <c r="L46" s="140"/>
      <c r="M46" s="140">
        <f>+'사업장별(당월)'!M46+'[4]사업장별(누계)'!M46</f>
        <v>1279.6475</v>
      </c>
      <c r="N46" s="140"/>
      <c r="O46" s="140">
        <f>+'사업장별(당월)'!O46+'[4]사업장별(누계)'!O46</f>
        <v>148020.87756799618</v>
      </c>
      <c r="P46" s="140">
        <f>+'사업장별(당월)'!P46+'[4]사업장별(누계)'!P46</f>
        <v>153279.23566599999</v>
      </c>
      <c r="Q46" s="140"/>
      <c r="R46" s="140">
        <f>+'사업장별(당월)'!R46+'[4]사업장별(누계)'!R46</f>
        <v>166751.07885300001</v>
      </c>
      <c r="S46" s="140"/>
      <c r="T46" s="145">
        <f>+'사업장별(당월)'!T46+'[4]사업장별(누계)'!T46</f>
        <v>8767.4611192195116</v>
      </c>
      <c r="U46" s="140">
        <f>+'사업장별(당월)'!U46+'[4]사업장별(누계)'!U46</f>
        <v>6453.3944219908371</v>
      </c>
      <c r="V46" s="140"/>
      <c r="W46" s="140">
        <f>+'사업장별(당월)'!W46+'[4]사업장별(누계)'!W46</f>
        <v>13560.378941010007</v>
      </c>
      <c r="X46" s="141"/>
      <c r="AC46" s="35"/>
      <c r="AF46" s="35"/>
    </row>
    <row r="47" spans="2:38" s="34" customFormat="1" ht="17.25" thickBot="1">
      <c r="I47" s="819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0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>
      <c r="T48" s="659"/>
      <c r="U48" s="659"/>
      <c r="V48" s="659"/>
    </row>
    <row r="49" spans="10:33">
      <c r="T49" s="659"/>
      <c r="U49" s="659"/>
      <c r="V49" s="659"/>
    </row>
    <row r="50" spans="10:33">
      <c r="T50" s="659"/>
      <c r="U50" s="659"/>
      <c r="V50" s="659"/>
    </row>
    <row r="51" spans="10:33">
      <c r="T51" s="660"/>
      <c r="U51" s="660"/>
      <c r="V51" s="659"/>
    </row>
    <row r="52" spans="10:33">
      <c r="T52" s="660"/>
      <c r="U52" s="660"/>
      <c r="V52" s="659"/>
    </row>
    <row r="54" spans="10:3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/>
    <row r="2" spans="4:26" ht="9.9499999999999993" hidden="1" customHeight="1"/>
    <row r="3" spans="4:26" ht="9.9499999999999993" customHeight="1"/>
    <row r="4" spans="4:26" ht="31.5">
      <c r="D4" s="184" t="s">
        <v>224</v>
      </c>
      <c r="F4" s="184"/>
      <c r="I4" s="184"/>
      <c r="J4" s="184"/>
    </row>
    <row r="5" spans="4:26" ht="21.95" customHeight="1">
      <c r="W5" s="186" t="s">
        <v>149</v>
      </c>
    </row>
    <row r="6" spans="4:26" ht="24" customHeight="1" thickBot="1">
      <c r="D6" s="825" t="s">
        <v>11</v>
      </c>
      <c r="E6" s="439" t="s">
        <v>143</v>
      </c>
      <c r="F6" s="440"/>
      <c r="G6" s="441"/>
      <c r="H6" s="439" t="s">
        <v>144</v>
      </c>
      <c r="I6" s="440"/>
      <c r="J6" s="440"/>
      <c r="K6" s="441"/>
      <c r="L6" s="439" t="s">
        <v>145</v>
      </c>
      <c r="M6" s="440"/>
      <c r="N6" s="440"/>
      <c r="O6" s="441"/>
      <c r="P6" s="439" t="s">
        <v>146</v>
      </c>
      <c r="Q6" s="440"/>
      <c r="R6" s="440"/>
      <c r="S6" s="441"/>
      <c r="T6" s="439" t="s">
        <v>147</v>
      </c>
      <c r="U6" s="440"/>
      <c r="V6" s="440"/>
      <c r="W6" s="441"/>
    </row>
    <row r="7" spans="4:26" ht="24" customHeight="1">
      <c r="D7" s="826"/>
      <c r="E7" s="442" t="s">
        <v>12</v>
      </c>
      <c r="F7" s="443" t="s">
        <v>13</v>
      </c>
      <c r="G7" s="444" t="s">
        <v>37</v>
      </c>
      <c r="H7" s="442" t="s">
        <v>15</v>
      </c>
      <c r="I7" s="443" t="s">
        <v>16</v>
      </c>
      <c r="J7" s="445" t="s">
        <v>37</v>
      </c>
      <c r="K7" s="446" t="s">
        <v>148</v>
      </c>
      <c r="L7" s="442" t="s">
        <v>15</v>
      </c>
      <c r="M7" s="443" t="s">
        <v>16</v>
      </c>
      <c r="N7" s="445" t="s">
        <v>37</v>
      </c>
      <c r="O7" s="446" t="s">
        <v>148</v>
      </c>
      <c r="P7" s="442" t="s">
        <v>15</v>
      </c>
      <c r="Q7" s="443" t="s">
        <v>16</v>
      </c>
      <c r="R7" s="445" t="s">
        <v>37</v>
      </c>
      <c r="S7" s="446" t="s">
        <v>148</v>
      </c>
      <c r="T7" s="442" t="s">
        <v>15</v>
      </c>
      <c r="U7" s="443" t="s">
        <v>16</v>
      </c>
      <c r="V7" s="445" t="s">
        <v>37</v>
      </c>
      <c r="W7" s="446" t="s">
        <v>148</v>
      </c>
    </row>
    <row r="8" spans="4:26" ht="24" customHeight="1">
      <c r="D8" s="470" t="s">
        <v>41</v>
      </c>
      <c r="E8" s="460">
        <f>+[5]합계!$H$86/1000</f>
        <v>4867.7991177716422</v>
      </c>
      <c r="F8" s="462">
        <f>+[5]합계!$I$86/1000</f>
        <v>4635.2461760000033</v>
      </c>
      <c r="G8" s="461">
        <f>+F8-E8</f>
        <v>-232.55294177163887</v>
      </c>
      <c r="H8" s="460">
        <f>+[5]합계!$T$5/1000</f>
        <v>308.5</v>
      </c>
      <c r="I8" s="462">
        <f>+[5]합계!$U$5/1000</f>
        <v>331.03750000000002</v>
      </c>
      <c r="J8" s="461">
        <f>+I8-H8</f>
        <v>22.537500000000023</v>
      </c>
      <c r="K8" s="464">
        <f>+[5]합계!$M$86/1000</f>
        <v>403.04162882737444</v>
      </c>
      <c r="L8" s="460">
        <f>+[5]합계!$Q$85</f>
        <v>102032.06452479702</v>
      </c>
      <c r="M8" s="462">
        <f>+[5]합계!$R$85</f>
        <v>101892.73306876901</v>
      </c>
      <c r="N8" s="461">
        <f>+M8-L8</f>
        <v>-139.33145602801233</v>
      </c>
      <c r="O8" s="464">
        <f>+[5]합계!$K$86/1000</f>
        <v>-45.905883146189289</v>
      </c>
      <c r="P8" s="460">
        <f>+[5]합계!$Q$50</f>
        <v>83028.320153483437</v>
      </c>
      <c r="Q8" s="462">
        <f>+[5]합계!$R$50</f>
        <v>84717.816287657828</v>
      </c>
      <c r="R8" s="461">
        <f>+Q8-P8</f>
        <v>1689.496134174391</v>
      </c>
      <c r="S8" s="464">
        <f>+[5]합계!$L$56/1000</f>
        <v>-498.54303397142775</v>
      </c>
      <c r="T8" s="460">
        <f>+([5]합계!$H$80+[5]합계!$H$85)/1000</f>
        <v>994.85602077860153</v>
      </c>
      <c r="U8" s="462">
        <f>+([5]합계!$I$80+[5]합계!$I$85)/1000</f>
        <v>1086.0016742600001</v>
      </c>
      <c r="V8" s="461">
        <f>+U8-T8</f>
        <v>91.14565348139854</v>
      </c>
      <c r="W8" s="469">
        <f>+([5]합계!$L$80+[5]합계!$L$85)/1000</f>
        <v>-91.145653481398512</v>
      </c>
      <c r="Y8" s="6">
        <f>+G8-K8-O8-S8-W8</f>
        <v>2.1884716261411086E-12</v>
      </c>
      <c r="Z8" s="6">
        <f>+Y8*1000000</f>
        <v>2.1884716261411086E-6</v>
      </c>
    </row>
    <row r="9" spans="4:26" ht="24" customHeight="1">
      <c r="D9" s="471" t="s">
        <v>19</v>
      </c>
      <c r="E9" s="465">
        <f>+[5]수도권!$H$86/1000</f>
        <v>1794.5852622755244</v>
      </c>
      <c r="F9" s="479">
        <f>+[5]수도권!$I$86/1000</f>
        <v>1426.0177969999988</v>
      </c>
      <c r="G9" s="466">
        <f t="shared" ref="G9:G28" si="0">+F9-E9</f>
        <v>-368.56746527552559</v>
      </c>
      <c r="H9" s="465">
        <f>+[5]수도권!$T$5/1000</f>
        <v>122.5</v>
      </c>
      <c r="I9" s="479">
        <f>+[5]수도권!$U$5/1000</f>
        <v>122.51349999999999</v>
      </c>
      <c r="J9" s="466">
        <f t="shared" ref="J9:J28" si="1">+I9-H9</f>
        <v>1.3499999999993406E-2</v>
      </c>
      <c r="K9" s="482">
        <f>+[5]수도권!$M$86/1000</f>
        <v>-8.18246203420264</v>
      </c>
      <c r="L9" s="465">
        <f>+[5]수도권!$Q$85</f>
        <v>100360.88907673377</v>
      </c>
      <c r="M9" s="479">
        <f>+[5]수도권!$R$85</f>
        <v>99830.045678349328</v>
      </c>
      <c r="N9" s="466">
        <f t="shared" ref="N9:N28" si="2">+M9-L9</f>
        <v>-530.8433983844443</v>
      </c>
      <c r="O9" s="482">
        <f>+[5]수도권!$K$86/1000</f>
        <v>-64.742457132064402</v>
      </c>
      <c r="P9" s="465">
        <f>+[5]수도권!$Q$50</f>
        <v>83173.772950080791</v>
      </c>
      <c r="Q9" s="479">
        <f>+[5]수도권!$R$50</f>
        <v>85527.188615600273</v>
      </c>
      <c r="R9" s="466">
        <f t="shared" ref="R9:R28" si="3">+Q9-P9</f>
        <v>2353.415665519482</v>
      </c>
      <c r="S9" s="482">
        <f>+[5]수도권!$L$56/1000</f>
        <v>-287.02442493872286</v>
      </c>
      <c r="T9" s="465">
        <f>+([5]수도권!$H$80+[5]수도권!$H$85)/1000</f>
        <v>310.83646323946664</v>
      </c>
      <c r="U9" s="479">
        <f>+([5]수도권!$I$80+[5]수도권!$I$85)/1000</f>
        <v>319.45458441</v>
      </c>
      <c r="V9" s="466">
        <f t="shared" ref="V9:V28" si="4">+U9-T9</f>
        <v>8.6181211705333567</v>
      </c>
      <c r="W9" s="482">
        <f>+([5]수도권!$L$80+[5]수도권!$L$85)/1000</f>
        <v>-8.6181211705333158</v>
      </c>
      <c r="Y9" s="6">
        <f t="shared" ref="Y9:Y28" si="5">+G9-K9-O9-S9-W9</f>
        <v>-2.3714363805993344E-12</v>
      </c>
      <c r="Z9" s="6">
        <f t="shared" ref="Z9:Z28" si="6">+Y9*1000000</f>
        <v>-2.3714363805993344E-6</v>
      </c>
    </row>
    <row r="10" spans="4:26" ht="24" customHeight="1">
      <c r="D10" s="472" t="s">
        <v>20</v>
      </c>
      <c r="E10" s="467">
        <f>+[5]영남권!$H$86/1000</f>
        <v>1983.2588445490369</v>
      </c>
      <c r="F10" s="480">
        <f>+[5]영남권!$I$86/1000</f>
        <v>1954.5454070000008</v>
      </c>
      <c r="G10" s="477">
        <f t="shared" si="0"/>
        <v>-28.713437549036144</v>
      </c>
      <c r="H10" s="467">
        <f>+[5]영남권!$T$5/1000</f>
        <v>129.5</v>
      </c>
      <c r="I10" s="480">
        <f>+[5]영남권!$U$5/1000</f>
        <v>147.22149999999999</v>
      </c>
      <c r="J10" s="477">
        <f t="shared" si="1"/>
        <v>17.721499999999992</v>
      </c>
      <c r="K10" s="483">
        <f>+[5]영남권!$M$86/1000</f>
        <v>338.980760837513</v>
      </c>
      <c r="L10" s="467">
        <f>+[5]영남권!$Q$85</f>
        <v>101814.87737451738</v>
      </c>
      <c r="M10" s="480">
        <f>+[5]영남권!$R$85</f>
        <v>101618.83495007084</v>
      </c>
      <c r="N10" s="477">
        <f t="shared" si="2"/>
        <v>-196.04242444653937</v>
      </c>
      <c r="O10" s="483">
        <f>+[5]영남권!$K$86/1000</f>
        <v>-28.849309117916061</v>
      </c>
      <c r="P10" s="467">
        <f>+[5]영남권!$Q$50</f>
        <v>82630.186668199574</v>
      </c>
      <c r="Q10" s="480">
        <f>+[5]영남권!$R$50</f>
        <v>84914.165458974021</v>
      </c>
      <c r="R10" s="477">
        <f t="shared" si="3"/>
        <v>2283.9787907744467</v>
      </c>
      <c r="S10" s="483">
        <f>+[5]영남권!$L$56/1000</f>
        <v>-278.66479438775343</v>
      </c>
      <c r="T10" s="467">
        <f>+([5]영남권!$H$80+[5]영남권!$H$85)/1000</f>
        <v>501.15860191912077</v>
      </c>
      <c r="U10" s="480">
        <f>+([5]영남권!$I$80+[5]영남권!$I$85)/1000</f>
        <v>561.33869679999987</v>
      </c>
      <c r="V10" s="477">
        <f t="shared" si="4"/>
        <v>60.180094880879096</v>
      </c>
      <c r="W10" s="483">
        <f>+([5]영남권!$L$80+[5]영남권!$L$85)/1000</f>
        <v>-60.18009488087916</v>
      </c>
      <c r="Y10" s="6">
        <f t="shared" si="5"/>
        <v>-5.0448534238967113E-13</v>
      </c>
      <c r="Z10" s="6">
        <f t="shared" si="6"/>
        <v>-5.0448534238967113E-7</v>
      </c>
    </row>
    <row r="11" spans="4:26" ht="24" customHeight="1">
      <c r="D11" s="473" t="s">
        <v>57</v>
      </c>
      <c r="E11" s="468">
        <f>+[5]중부권!$H$86/1000</f>
        <v>1089.9550109470849</v>
      </c>
      <c r="F11" s="481">
        <f>+[5]중부권!$I$86/1000</f>
        <v>1254.682972000001</v>
      </c>
      <c r="G11" s="478">
        <f t="shared" si="0"/>
        <v>164.72796105291604</v>
      </c>
      <c r="H11" s="468">
        <f>+[5]중부권!$T$5/1000</f>
        <v>56.5</v>
      </c>
      <c r="I11" s="481">
        <f>+[5]중부권!$U$5/1000</f>
        <v>61.302500000000002</v>
      </c>
      <c r="J11" s="478">
        <f t="shared" si="1"/>
        <v>4.802500000000002</v>
      </c>
      <c r="K11" s="484">
        <f>+[5]중부권!$M$86/1000</f>
        <v>89.99292674689822</v>
      </c>
      <c r="L11" s="468">
        <f>+[5]중부권!$Q$85</f>
        <v>106153.21015929204</v>
      </c>
      <c r="M11" s="481">
        <f>+[5]중부권!$R$85</f>
        <v>106728.90198417631</v>
      </c>
      <c r="N11" s="478">
        <f t="shared" si="2"/>
        <v>575.69182488427032</v>
      </c>
      <c r="O11" s="484">
        <f>+[5]중부권!$K$86/1000</f>
        <v>34.744440861327924</v>
      </c>
      <c r="P11" s="468">
        <f>+[5]중부권!$Q$50</f>
        <v>83625.493936865518</v>
      </c>
      <c r="Q11" s="481">
        <f>+[5]중부권!$R$50</f>
        <v>82602.406661752888</v>
      </c>
      <c r="R11" s="478">
        <f t="shared" si="3"/>
        <v>-1023.0872751126299</v>
      </c>
      <c r="S11" s="484">
        <f>+[5]중부권!$L$56/1000</f>
        <v>62.338030874675411</v>
      </c>
      <c r="T11" s="468">
        <f>+([5]중부권!$H$80+[5]중부권!$H$85)/1000</f>
        <v>182.8609556200141</v>
      </c>
      <c r="U11" s="481">
        <f>+([5]중부권!$I$80+[5]중부권!$I$85)/1000</f>
        <v>205.20839305000001</v>
      </c>
      <c r="V11" s="478">
        <f t="shared" si="4"/>
        <v>22.347437429985916</v>
      </c>
      <c r="W11" s="484">
        <f>+([5]중부권!$L$80+[5]중부권!$L$85)/1000</f>
        <v>-22.347437429985909</v>
      </c>
      <c r="Y11" s="6">
        <f t="shared" si="5"/>
        <v>3.979039320256561E-13</v>
      </c>
      <c r="Z11" s="6">
        <f t="shared" si="6"/>
        <v>3.979039320256561E-7</v>
      </c>
    </row>
    <row r="12" spans="4:26" ht="24" customHeight="1">
      <c r="D12" s="474" t="s">
        <v>22</v>
      </c>
      <c r="E12" s="447">
        <f>+[5]안양!$H$86/1000</f>
        <v>683.70851028999061</v>
      </c>
      <c r="F12" s="448">
        <f>+[5]안양!$I$86/1000</f>
        <v>589.76878699999986</v>
      </c>
      <c r="G12" s="449">
        <f t="shared" si="0"/>
        <v>-93.939723289990752</v>
      </c>
      <c r="H12" s="447">
        <f>+[5]안양!$T$5/1000</f>
        <v>44</v>
      </c>
      <c r="I12" s="448">
        <f>+[5]안양!$U$5/1000</f>
        <v>46.247</v>
      </c>
      <c r="J12" s="450">
        <f t="shared" si="1"/>
        <v>2.2469999999999999</v>
      </c>
      <c r="K12" s="74">
        <f>+[5]안양!$M$86/1000</f>
        <v>38.510258998013306</v>
      </c>
      <c r="L12" s="447">
        <f>+[5]안양!$Q$85</f>
        <v>100872.16704545457</v>
      </c>
      <c r="M12" s="448">
        <f>+[5]안양!$R$85</f>
        <v>99791.139505664702</v>
      </c>
      <c r="N12" s="450">
        <f t="shared" si="2"/>
        <v>-1081.0275397898658</v>
      </c>
      <c r="O12" s="74">
        <f>+[5]안양!$K$86/1000</f>
        <v>-49.903474319319578</v>
      </c>
      <c r="P12" s="447">
        <f>+[5]안양!$Q$50</f>
        <v>83159.056089368911</v>
      </c>
      <c r="Q12" s="448">
        <f>+[5]안양!$R$50</f>
        <v>84742.932855379142</v>
      </c>
      <c r="R12" s="450">
        <f t="shared" si="3"/>
        <v>1583.8767660102312</v>
      </c>
      <c r="S12" s="74">
        <f>+[5]안양!$L$56/1000</f>
        <v>-73.109354506463134</v>
      </c>
      <c r="T12" s="447">
        <f>+([5]안양!$H$80+[5]안양!$H$85)/1000</f>
        <v>95.668371777777764</v>
      </c>
      <c r="U12" s="448">
        <f>+([5]안양!$I$80+[5]안양!$I$85)/1000</f>
        <v>105.10552523999999</v>
      </c>
      <c r="V12" s="450">
        <f t="shared" si="4"/>
        <v>9.4371534622222271</v>
      </c>
      <c r="W12" s="74">
        <f>+([5]안양!$L$80+[5]안양!$L$85)/1000</f>
        <v>-9.4371534622222235</v>
      </c>
      <c r="Y12" s="6">
        <f t="shared" si="5"/>
        <v>8.6330942394852173E-13</v>
      </c>
      <c r="Z12" s="6">
        <f t="shared" si="6"/>
        <v>8.6330942394852173E-7</v>
      </c>
    </row>
    <row r="13" spans="4:26" ht="24" customHeight="1">
      <c r="D13" s="475" t="s">
        <v>23</v>
      </c>
      <c r="E13" s="452">
        <f>+[5]인천!$H$86/1000</f>
        <v>464.55119275457338</v>
      </c>
      <c r="F13" s="453">
        <f>+[5]인천!$I$86/1000</f>
        <v>331.00998500000009</v>
      </c>
      <c r="G13" s="189">
        <f t="shared" si="0"/>
        <v>-133.54120775457329</v>
      </c>
      <c r="H13" s="452">
        <f>+[5]인천!$T$5/1000</f>
        <v>35</v>
      </c>
      <c r="I13" s="453">
        <f>+[5]인천!$U$5/1000</f>
        <v>30.094999999999999</v>
      </c>
      <c r="J13" s="165">
        <f t="shared" si="1"/>
        <v>-4.9050000000000011</v>
      </c>
      <c r="K13" s="454">
        <f>+[5]인천!$M$86/1000</f>
        <v>-78.496186654879068</v>
      </c>
      <c r="L13" s="452">
        <f>+[5]인천!$Q$85</f>
        <v>102444.298</v>
      </c>
      <c r="M13" s="453">
        <f>+[5]인천!$R$85</f>
        <v>102157.47276956306</v>
      </c>
      <c r="N13" s="165">
        <f t="shared" si="2"/>
        <v>-286.825230436938</v>
      </c>
      <c r="O13" s="454">
        <f>+[5]인천!$K$86/1000</f>
        <v>-8.6320053099996468</v>
      </c>
      <c r="P13" s="452">
        <f>+[5]인천!$Q$50</f>
        <v>86440.997968424243</v>
      </c>
      <c r="Q13" s="453">
        <f>+[5]인천!$R$50</f>
        <v>87950.667950974865</v>
      </c>
      <c r="R13" s="165">
        <f t="shared" si="3"/>
        <v>1509.6699825506221</v>
      </c>
      <c r="S13" s="454">
        <f>+[5]인천!$L$56/1000</f>
        <v>-45.42903057027273</v>
      </c>
      <c r="T13" s="452">
        <f>+([5]인천!$H$80+[5]인천!$H$85)/1000</f>
        <v>95.564308350577789</v>
      </c>
      <c r="U13" s="453">
        <f>+([5]인천!$I$80+[5]인천!$I$85)/1000</f>
        <v>96.548293570000013</v>
      </c>
      <c r="V13" s="165">
        <f t="shared" si="4"/>
        <v>0.98398521942222317</v>
      </c>
      <c r="W13" s="454">
        <f>+([5]인천!$L$80+[5]인천!$L$85)/1000</f>
        <v>-0.98398521942221417</v>
      </c>
      <c r="Y13" s="6">
        <f t="shared" si="5"/>
        <v>3.6759484345338933E-13</v>
      </c>
      <c r="Z13" s="6">
        <f t="shared" si="6"/>
        <v>3.6759484345338933E-7</v>
      </c>
    </row>
    <row r="14" spans="4:26" ht="24" customHeight="1">
      <c r="D14" s="475" t="s">
        <v>24</v>
      </c>
      <c r="E14" s="452">
        <f>+[5]파주!$H$86/1000</f>
        <v>397.01662669670924</v>
      </c>
      <c r="F14" s="453">
        <f>+[5]파주!$I$86/1000</f>
        <v>232.72628300000039</v>
      </c>
      <c r="G14" s="189">
        <f t="shared" si="0"/>
        <v>-164.29034369670885</v>
      </c>
      <c r="H14" s="452">
        <f>+[5]파주!$T$5/1000</f>
        <v>27</v>
      </c>
      <c r="I14" s="453">
        <f>+[5]파주!$U$5/1000</f>
        <v>28.573</v>
      </c>
      <c r="J14" s="165">
        <f t="shared" si="1"/>
        <v>1.5730000000000004</v>
      </c>
      <c r="K14" s="454">
        <f>+[5]파주!$M$86/1000</f>
        <v>19.800878031435278</v>
      </c>
      <c r="L14" s="452">
        <f>+[5]파주!$Q$85</f>
        <v>99629.875255551393</v>
      </c>
      <c r="M14" s="453">
        <f>+[5]파주!$R$85</f>
        <v>97212.840491015842</v>
      </c>
      <c r="N14" s="165">
        <f t="shared" si="2"/>
        <v>-2417.0347645355505</v>
      </c>
      <c r="O14" s="454">
        <f>+[5]파주!$K$86/1000</f>
        <v>-67.930762057271636</v>
      </c>
      <c r="P14" s="452">
        <f>+[5]파주!$Q$50</f>
        <v>82503.288801763818</v>
      </c>
      <c r="Q14" s="453">
        <f>+[5]파주!$R$50</f>
        <v>86740.857320761424</v>
      </c>
      <c r="R14" s="165">
        <f t="shared" si="3"/>
        <v>4237.5685189976066</v>
      </c>
      <c r="S14" s="454">
        <f>+[5]파주!$L$56/1000</f>
        <v>-119.09690124642793</v>
      </c>
      <c r="T14" s="452">
        <f>+([5]파주!$H$80+[5]파주!$H$85)/1000</f>
        <v>65.401207555555558</v>
      </c>
      <c r="U14" s="453">
        <f>+([5]파주!$I$80+[5]파주!$I$85)/1000</f>
        <v>62.464765980000003</v>
      </c>
      <c r="V14" s="165">
        <f t="shared" si="4"/>
        <v>-2.9364415755555555</v>
      </c>
      <c r="W14" s="454">
        <f>+([5]파주!$L$80+[5]파주!$L$85)/1000</f>
        <v>2.9364415755555546</v>
      </c>
      <c r="Y14" s="6">
        <f t="shared" si="5"/>
        <v>-1.056932319443149E-13</v>
      </c>
      <c r="Z14" s="6">
        <f t="shared" si="6"/>
        <v>-1.056932319443149E-7</v>
      </c>
    </row>
    <row r="15" spans="4:26" ht="24" customHeight="1">
      <c r="D15" s="475" t="s">
        <v>178</v>
      </c>
      <c r="E15" s="452">
        <f>+[5]김포!$H$86/1000</f>
        <v>249.3089325342527</v>
      </c>
      <c r="F15" s="453">
        <f>+[5]김포!$I$86/1000</f>
        <v>272.512742</v>
      </c>
      <c r="G15" s="189">
        <f t="shared" si="0"/>
        <v>23.203809465747298</v>
      </c>
      <c r="H15" s="452">
        <f>+[5]김포!$T$5/1000</f>
        <v>16.5</v>
      </c>
      <c r="I15" s="453">
        <f>+[5]김포!$U$5/1000</f>
        <v>17.598500000000001</v>
      </c>
      <c r="J15" s="165">
        <f t="shared" si="1"/>
        <v>1.0985000000000014</v>
      </c>
      <c r="K15" s="454">
        <f>+[5]김포!$M$86/1000</f>
        <v>20.206508584039664</v>
      </c>
      <c r="L15" s="452">
        <f>+[5]김포!$Q$85</f>
        <v>95774.333333333328</v>
      </c>
      <c r="M15" s="453">
        <f>+[5]김포!$R$85</f>
        <v>100131.69974713755</v>
      </c>
      <c r="N15" s="165">
        <f t="shared" si="2"/>
        <v>4357.3664138042222</v>
      </c>
      <c r="O15" s="454">
        <f>+[5]김포!$K$86/1000</f>
        <v>76.68311283333361</v>
      </c>
      <c r="P15" s="452">
        <f>+[5]김포!$Q$50</f>
        <v>77379.696479405568</v>
      </c>
      <c r="Q15" s="463">
        <f>+[5]김포!$R$50</f>
        <v>81503.137787115644</v>
      </c>
      <c r="R15" s="165">
        <f t="shared" si="3"/>
        <v>4123.4413077100762</v>
      </c>
      <c r="S15" s="454">
        <f>+[5]김포!$L$56/1000</f>
        <v>-72.552387887181638</v>
      </c>
      <c r="T15" s="452">
        <f>+([5]김포!$H$80+[5]김포!$H$85)/1000</f>
        <v>54.202575555555555</v>
      </c>
      <c r="U15" s="453">
        <f>+([5]김포!$I$80+[5]김포!$I$85)/1000</f>
        <v>55.335999620000003</v>
      </c>
      <c r="V15" s="165">
        <f t="shared" si="4"/>
        <v>1.1334240644444478</v>
      </c>
      <c r="W15" s="454">
        <f>+([5]김포!$L$80+[5]김포!$L$85)/1000</f>
        <v>-1.13342406444445</v>
      </c>
      <c r="Y15" s="6">
        <f t="shared" si="5"/>
        <v>1.0880185641326534E-13</v>
      </c>
      <c r="Z15" s="6">
        <f t="shared" si="6"/>
        <v>1.0880185641326534E-7</v>
      </c>
    </row>
    <row r="16" spans="4:26" ht="24" customHeight="1">
      <c r="D16" s="476" t="s">
        <v>25</v>
      </c>
      <c r="E16" s="455">
        <f>+[5]부산!$H$86/1000</f>
        <v>298.62589558503191</v>
      </c>
      <c r="F16" s="456">
        <f>+[5]부산!$I$86/1000</f>
        <v>252.58252199999987</v>
      </c>
      <c r="G16" s="457">
        <f t="shared" si="0"/>
        <v>-46.043373585032043</v>
      </c>
      <c r="H16" s="455">
        <f>+[5]부산!$T$5/1000</f>
        <v>20</v>
      </c>
      <c r="I16" s="456">
        <f>+[5]부산!$U$5/1000</f>
        <v>22.908999999999999</v>
      </c>
      <c r="J16" s="458">
        <f t="shared" si="1"/>
        <v>2.9089999999999989</v>
      </c>
      <c r="K16" s="459">
        <f>+[5]부산!$M$86/1000</f>
        <v>58.094361209876226</v>
      </c>
      <c r="L16" s="455">
        <f>+[5]부산!$Q$85</f>
        <v>107600.1155</v>
      </c>
      <c r="M16" s="456">
        <f>+[5]부산!$R$85</f>
        <v>104175.12890130516</v>
      </c>
      <c r="N16" s="458">
        <f t="shared" si="2"/>
        <v>-3424.9865986948425</v>
      </c>
      <c r="O16" s="459">
        <f>+[5]부산!$K$86/1000</f>
        <v>-78.463017989500145</v>
      </c>
      <c r="P16" s="455">
        <f>+[5]부산!$Q$50</f>
        <v>87629.554754081735</v>
      </c>
      <c r="Q16" s="456">
        <f>+[5]부산!$R$50</f>
        <v>88797.230775825112</v>
      </c>
      <c r="R16" s="458">
        <f t="shared" si="3"/>
        <v>1167.6760217433766</v>
      </c>
      <c r="S16" s="459">
        <f>+[5]부산!$L$56/1000</f>
        <v>5.2556814512585834</v>
      </c>
      <c r="T16" s="455">
        <f>+([5]부산!$H$80+[5]부산!$H$85)/1000</f>
        <v>100.78531933333335</v>
      </c>
      <c r="U16" s="456">
        <f>+([5]부산!$I$80+[5]부산!$I$85)/1000</f>
        <v>131.71571759000003</v>
      </c>
      <c r="V16" s="458">
        <f t="shared" si="4"/>
        <v>30.930398256666678</v>
      </c>
      <c r="W16" s="459">
        <f>+([5]부산!$L$80+[5]부산!$L$85)/1000</f>
        <v>-30.930398256666667</v>
      </c>
      <c r="Y16" s="6">
        <f t="shared" si="5"/>
        <v>-3.907985046680551E-14</v>
      </c>
      <c r="Z16" s="6">
        <f t="shared" si="6"/>
        <v>-3.907985046680551E-8</v>
      </c>
    </row>
    <row r="17" spans="4:26" ht="24" customHeight="1">
      <c r="D17" s="475" t="s">
        <v>26</v>
      </c>
      <c r="E17" s="452">
        <f>+[5]서부산!$H$86/1000</f>
        <v>469.94644214636958</v>
      </c>
      <c r="F17" s="453">
        <f>+[5]서부산!$I$86/1000</f>
        <v>358.97475199999951</v>
      </c>
      <c r="G17" s="189">
        <f t="shared" si="0"/>
        <v>-110.97169014637007</v>
      </c>
      <c r="H17" s="452">
        <f>+[5]서부산!$T$5/1000</f>
        <v>26</v>
      </c>
      <c r="I17" s="453">
        <f>+[5]서부산!$U$5/1000</f>
        <v>25.12</v>
      </c>
      <c r="J17" s="165">
        <f t="shared" si="1"/>
        <v>-0.87999999999999901</v>
      </c>
      <c r="K17" s="454">
        <f>+[5]서부산!$M$86/1000</f>
        <v>-18.47574847298824</v>
      </c>
      <c r="L17" s="452">
        <f>+[5]서부산!$Q$85</f>
        <v>103630.90538461538</v>
      </c>
      <c r="M17" s="453">
        <f>+[5]서부산!$R$85</f>
        <v>102129.68949044586</v>
      </c>
      <c r="N17" s="165">
        <f t="shared" si="2"/>
        <v>-1501.2158941695234</v>
      </c>
      <c r="O17" s="454">
        <f>+[5]서부산!$K$86/1000</f>
        <v>-37.710543261538433</v>
      </c>
      <c r="P17" s="452">
        <f>+[5]서부산!$Q$50</f>
        <v>82635.736665310556</v>
      </c>
      <c r="Q17" s="453">
        <f>+[5]서부산!$R$50</f>
        <v>84660.339353914707</v>
      </c>
      <c r="R17" s="165">
        <f t="shared" si="3"/>
        <v>2024.6026886041509</v>
      </c>
      <c r="S17" s="454">
        <f>+[5]서부산!$L$56/1000</f>
        <v>-35.702234097398751</v>
      </c>
      <c r="T17" s="452">
        <f>+([5]서부산!$H$80+[5]서부산!$H$85)/1000</f>
        <v>75.927944555555555</v>
      </c>
      <c r="U17" s="453">
        <f>+([5]서부산!$I$80+[5]서부산!$I$85)/1000</f>
        <v>95.011108870000001</v>
      </c>
      <c r="V17" s="165">
        <f t="shared" si="4"/>
        <v>19.083164314444446</v>
      </c>
      <c r="W17" s="454">
        <f>+([5]서부산!$L$80+[5]서부산!$L$85)/1000</f>
        <v>-19.083164314444431</v>
      </c>
      <c r="Y17" s="6">
        <f t="shared" si="5"/>
        <v>-2.0605739337042905E-13</v>
      </c>
      <c r="Z17" s="6">
        <f t="shared" si="6"/>
        <v>-2.0605739337042905E-7</v>
      </c>
    </row>
    <row r="18" spans="4:26" ht="24" customHeight="1">
      <c r="D18" s="475" t="s">
        <v>27</v>
      </c>
      <c r="E18" s="452">
        <f>+[5]김해!$H$86/1000</f>
        <v>157.87535406698976</v>
      </c>
      <c r="F18" s="453">
        <f>+[5]김해!$I$86/1000</f>
        <v>209.15239699999995</v>
      </c>
      <c r="G18" s="189">
        <f t="shared" si="0"/>
        <v>51.277042933010193</v>
      </c>
      <c r="H18" s="452">
        <f>+[5]김해!$T$5/1000</f>
        <v>12</v>
      </c>
      <c r="I18" s="453">
        <f>+[5]김해!$U$5/1000</f>
        <v>17.236000000000001</v>
      </c>
      <c r="J18" s="165">
        <f t="shared" si="1"/>
        <v>5.2360000000000007</v>
      </c>
      <c r="K18" s="454">
        <f>+[5]김해!$M$86/1000</f>
        <v>89.011225717396712</v>
      </c>
      <c r="L18" s="452">
        <f>+[5]김해!$Q$85</f>
        <v>101000.2</v>
      </c>
      <c r="M18" s="453">
        <f>+[5]김해!$R$85</f>
        <v>99943.842077680092</v>
      </c>
      <c r="N18" s="165">
        <f t="shared" si="2"/>
        <v>-1056.3579223199049</v>
      </c>
      <c r="O18" s="454">
        <f>+[5]김해!$K$86/1000</f>
        <v>-18.140834599999724</v>
      </c>
      <c r="P18" s="452">
        <f>+[5]김해!$Q$50</f>
        <v>83833.502587010109</v>
      </c>
      <c r="Q18" s="453">
        <f>+[5]김해!$R$50</f>
        <v>84859.752576719271</v>
      </c>
      <c r="R18" s="165">
        <f t="shared" si="3"/>
        <v>1026.249989709162</v>
      </c>
      <c r="S18" s="454">
        <f>+[5]김해!$L$56/1000</f>
        <v>-13.537499623275261</v>
      </c>
      <c r="T18" s="452">
        <f>+([5]김해!$H$80+[5]김해!$H$85)/1000</f>
        <v>48.125014888888884</v>
      </c>
      <c r="U18" s="453">
        <f>+([5]김해!$I$80+[5]김해!$I$85)/1000</f>
        <v>54.180863449999997</v>
      </c>
      <c r="V18" s="165">
        <f t="shared" si="4"/>
        <v>6.0558485611111124</v>
      </c>
      <c r="W18" s="454">
        <f>+([5]김해!$L$80+[5]김해!$L$85)/1000</f>
        <v>-6.0558485611111061</v>
      </c>
      <c r="Y18" s="6">
        <f t="shared" si="5"/>
        <v>-4.2721381987576024E-13</v>
      </c>
      <c r="Z18" s="6">
        <f t="shared" si="6"/>
        <v>-4.2721381987576024E-7</v>
      </c>
    </row>
    <row r="19" spans="4:26" ht="24" customHeight="1">
      <c r="D19" s="475" t="s">
        <v>28</v>
      </c>
      <c r="E19" s="452">
        <f>+[5]정관!$H$86/1000</f>
        <v>271.6561610808547</v>
      </c>
      <c r="F19" s="453">
        <f>+[5]정관!$I$86/1000</f>
        <v>247.37615299999976</v>
      </c>
      <c r="G19" s="189">
        <f t="shared" si="0"/>
        <v>-24.280008080854941</v>
      </c>
      <c r="H19" s="452">
        <f>+[5]정관!$T$5/1000</f>
        <v>18</v>
      </c>
      <c r="I19" s="453">
        <f>+[5]정관!$U$5/1000</f>
        <v>21.271999999999998</v>
      </c>
      <c r="J19" s="165">
        <f t="shared" si="1"/>
        <v>3.2719999999999985</v>
      </c>
      <c r="K19" s="454">
        <f>+[5]정관!$M$86/1000</f>
        <v>62.193831424623497</v>
      </c>
      <c r="L19" s="452">
        <f>+[5]정관!$Q$85</f>
        <v>104000</v>
      </c>
      <c r="M19" s="453">
        <f>+[5]정관!$R$85</f>
        <v>104108.16566378337</v>
      </c>
      <c r="N19" s="165">
        <f t="shared" si="2"/>
        <v>108.16566378336574</v>
      </c>
      <c r="O19" s="454">
        <f>+[5]정관!$K$86/1000</f>
        <v>2.3008999999997557</v>
      </c>
      <c r="P19" s="452">
        <f>+[5]정관!$Q$50</f>
        <v>84992.105310322862</v>
      </c>
      <c r="Q19" s="453">
        <f>+[5]정관!$R$50</f>
        <v>89106.988341481774</v>
      </c>
      <c r="R19" s="165">
        <f t="shared" si="3"/>
        <v>4114.8830311589118</v>
      </c>
      <c r="S19" s="454">
        <f>+[5]정관!$L$56/1000</f>
        <v>-83.342988268811723</v>
      </c>
      <c r="T19" s="452">
        <f>+([5]정관!$H$80+[5]정관!$H$85)/1000</f>
        <v>70.485943333333324</v>
      </c>
      <c r="U19" s="453">
        <f>+([5]정관!$I$80+[5]정관!$I$85)/1000</f>
        <v>75.917694569999995</v>
      </c>
      <c r="V19" s="165">
        <f t="shared" si="4"/>
        <v>5.4317512366666705</v>
      </c>
      <c r="W19" s="454">
        <f>+([5]정관!$L$80+[5]정관!$L$85)/1000</f>
        <v>-5.4317512366666714</v>
      </c>
      <c r="Y19" s="6">
        <f t="shared" si="5"/>
        <v>1.9984014443252818E-13</v>
      </c>
      <c r="Z19" s="6">
        <f t="shared" si="6"/>
        <v>1.9984014443252818E-7</v>
      </c>
    </row>
    <row r="20" spans="4:26" ht="24" customHeight="1">
      <c r="D20" s="475" t="s">
        <v>29</v>
      </c>
      <c r="E20" s="452">
        <f>+[5]양산!$H$86/1000</f>
        <v>155.33143893833602</v>
      </c>
      <c r="F20" s="453">
        <f>+[5]양산!$I$86/1000</f>
        <v>114.71239700000014</v>
      </c>
      <c r="G20" s="189">
        <f t="shared" si="0"/>
        <v>-40.619041938335883</v>
      </c>
      <c r="H20" s="452">
        <f>+[5]양산!$T$5/1000</f>
        <v>11</v>
      </c>
      <c r="I20" s="453">
        <f>+[5]양산!$U$5/1000</f>
        <v>12.804</v>
      </c>
      <c r="J20" s="165">
        <f t="shared" si="1"/>
        <v>1.8040000000000003</v>
      </c>
      <c r="K20" s="454">
        <f>+[5]양산!$M$86/1000</f>
        <v>33.03520995610932</v>
      </c>
      <c r="L20" s="452">
        <f>+[5]양산!$Q$85</f>
        <v>96715.406363636372</v>
      </c>
      <c r="M20" s="453">
        <f>+[5]양산!$R$85</f>
        <v>93592.935410809136</v>
      </c>
      <c r="N20" s="165">
        <f t="shared" si="2"/>
        <v>-3122.470952827236</v>
      </c>
      <c r="O20" s="454">
        <f>+[5]양산!$K$86/1000</f>
        <v>-39.980118079999933</v>
      </c>
      <c r="P20" s="452">
        <f>+[5]양산!$Q$50</f>
        <v>78403.205722777551</v>
      </c>
      <c r="Q20" s="453">
        <f>+[5]양산!$R$50</f>
        <v>81594.230240549819</v>
      </c>
      <c r="R20" s="165">
        <f t="shared" si="3"/>
        <v>3191.0245177722682</v>
      </c>
      <c r="S20" s="454">
        <f>+[5]양산!$L$56/1000</f>
        <v>-40.483351315556078</v>
      </c>
      <c r="T20" s="452">
        <f>+([5]양산!$H$80+[5]양산!$H$85)/1000</f>
        <v>46.102768111111118</v>
      </c>
      <c r="U20" s="453">
        <f>+([5]양산!$I$80+[5]양산!$I$85)/1000</f>
        <v>39.293550609999997</v>
      </c>
      <c r="V20" s="165">
        <f t="shared" si="4"/>
        <v>-6.8092175011111209</v>
      </c>
      <c r="W20" s="454">
        <f>+([5]양산!$L$80+[5]양산!$L$85)/1000</f>
        <v>6.8092175011111111</v>
      </c>
      <c r="Y20" s="6">
        <f t="shared" si="5"/>
        <v>-2.957634137601417E-13</v>
      </c>
      <c r="Z20" s="6">
        <f t="shared" si="6"/>
        <v>-2.957634137601417E-7</v>
      </c>
    </row>
    <row r="21" spans="4:26" ht="24" customHeight="1">
      <c r="D21" s="475" t="s">
        <v>30</v>
      </c>
      <c r="E21" s="452">
        <f>+[5]창원!$H$86/1000</f>
        <v>311.08833408970378</v>
      </c>
      <c r="F21" s="453">
        <f>+[5]창원!$I$86/1000</f>
        <v>350.89097999999996</v>
      </c>
      <c r="G21" s="189">
        <f t="shared" si="0"/>
        <v>39.802645910296178</v>
      </c>
      <c r="H21" s="452">
        <f>+[5]창원!$T$5/1000</f>
        <v>18</v>
      </c>
      <c r="I21" s="453">
        <f>+[5]창원!$U$5/1000</f>
        <v>19.111499999999999</v>
      </c>
      <c r="J21" s="165">
        <f t="shared" si="1"/>
        <v>1.1114999999999995</v>
      </c>
      <c r="K21" s="454">
        <f>+[5]창원!$M$86/1000</f>
        <v>23.669146486678116</v>
      </c>
      <c r="L21" s="452">
        <f>+[5]창원!$Q$85</f>
        <v>99611.305555555562</v>
      </c>
      <c r="M21" s="453">
        <f>+[5]창원!$R$85</f>
        <v>103837.35185621223</v>
      </c>
      <c r="N21" s="165">
        <f t="shared" si="2"/>
        <v>4226.0463006566715</v>
      </c>
      <c r="O21" s="454">
        <f>+[5]창원!$K$86/1000</f>
        <v>80.766083874999978</v>
      </c>
      <c r="P21" s="452">
        <f>+[5]창원!$Q$50</f>
        <v>78316.526890078196</v>
      </c>
      <c r="Q21" s="453">
        <f>+[5]창원!$R$50</f>
        <v>81560.127619496125</v>
      </c>
      <c r="R21" s="165">
        <f t="shared" si="3"/>
        <v>3243.600729417929</v>
      </c>
      <c r="S21" s="454">
        <f>+[5]창원!$L$56/1000</f>
        <v>-61.990087250271131</v>
      </c>
      <c r="T21" s="452">
        <f>+([5]창원!$H$80+[5]창원!$H$85)/1000</f>
        <v>72.217681888888876</v>
      </c>
      <c r="U21" s="453">
        <f>+([5]창원!$I$80+[5]창원!$I$85)/1000</f>
        <v>74.860179089999988</v>
      </c>
      <c r="V21" s="165">
        <f t="shared" si="4"/>
        <v>2.6424972011111123</v>
      </c>
      <c r="W21" s="454">
        <f>+([5]창원!$L$80+[5]창원!$L$85)/1000</f>
        <v>-2.6424972011111096</v>
      </c>
      <c r="Y21" s="6">
        <f t="shared" si="5"/>
        <v>3.2418512319054571E-13</v>
      </c>
      <c r="Z21" s="6">
        <f t="shared" si="6"/>
        <v>3.2418512319054571E-7</v>
      </c>
    </row>
    <row r="22" spans="4:26" ht="24" customHeight="1">
      <c r="D22" s="475" t="s">
        <v>95</v>
      </c>
      <c r="E22" s="452">
        <f>+[5]대구!$H$86/1000</f>
        <v>287.40752838819759</v>
      </c>
      <c r="F22" s="453">
        <f>+[5]대구!$I$86/1000</f>
        <v>287.68351899999993</v>
      </c>
      <c r="G22" s="189">
        <f t="shared" si="0"/>
        <v>0.2759906118023423</v>
      </c>
      <c r="H22" s="452">
        <f>+[5]대구!$T$5/1000</f>
        <v>16.5</v>
      </c>
      <c r="I22" s="453">
        <f>+[5]대구!$U$5/1000</f>
        <v>17.658999999999999</v>
      </c>
      <c r="J22" s="165">
        <f t="shared" si="1"/>
        <v>1.1589999999999989</v>
      </c>
      <c r="K22" s="454">
        <f>+[5]대구!$M$86/1000</f>
        <v>23.639990279014413</v>
      </c>
      <c r="L22" s="452">
        <f>+[5]대구!$Q$85</f>
        <v>97800</v>
      </c>
      <c r="M22" s="453">
        <f>+[5]대구!$R$85</f>
        <v>99699.088283594756</v>
      </c>
      <c r="N22" s="165">
        <f t="shared" si="2"/>
        <v>1899.0882835947559</v>
      </c>
      <c r="O22" s="454">
        <f>+[5]대구!$K$86/1000</f>
        <v>33.535999999999795</v>
      </c>
      <c r="P22" s="452">
        <f>+[5]대구!$Q$50</f>
        <v>77403.114513361186</v>
      </c>
      <c r="Q22" s="453">
        <f>+[5]대구!$R$50</f>
        <v>80614.38824395492</v>
      </c>
      <c r="R22" s="165">
        <f t="shared" si="3"/>
        <v>3211.2737305937335</v>
      </c>
      <c r="S22" s="454">
        <f>+[5]대구!$L$56/1000</f>
        <v>-56.707865038554992</v>
      </c>
      <c r="T22" s="452">
        <f>+([5]대구!$H$80+[5]대구!$H$85)/1000</f>
        <v>49.141082141342977</v>
      </c>
      <c r="U22" s="453">
        <f>+([5]대구!$I$80+[5]대구!$I$85)/1000</f>
        <v>49.33321677</v>
      </c>
      <c r="V22" s="165">
        <f t="shared" si="4"/>
        <v>0.19213462865702269</v>
      </c>
      <c r="W22" s="454">
        <f>+([5]대구!$L$80+[5]대구!$L$85)/1000</f>
        <v>-0.1921346286570281</v>
      </c>
      <c r="Y22" s="6">
        <f t="shared" si="5"/>
        <v>1.5462631175466868E-13</v>
      </c>
      <c r="Z22" s="6">
        <f t="shared" si="6"/>
        <v>1.5462631175466868E-7</v>
      </c>
    </row>
    <row r="23" spans="4:26" ht="24" customHeight="1">
      <c r="D23" s="475" t="s">
        <v>97</v>
      </c>
      <c r="E23" s="452">
        <f>+[5]울산!$H$86/1000</f>
        <v>31.327690253552461</v>
      </c>
      <c r="F23" s="453">
        <f>+[5]울산!$I$86/1000</f>
        <v>133.17268700000008</v>
      </c>
      <c r="G23" s="189">
        <f t="shared" si="0"/>
        <v>101.84499674644762</v>
      </c>
      <c r="H23" s="452">
        <f>+[5]울산!$T$5/1000</f>
        <v>8</v>
      </c>
      <c r="I23" s="453">
        <f>+[5]울산!$U$5/1000</f>
        <v>11.11</v>
      </c>
      <c r="J23" s="165">
        <f t="shared" si="1"/>
        <v>3.1099999999999994</v>
      </c>
      <c r="K23" s="454">
        <f>+[5]울산!$M$86/1000</f>
        <v>27.096084116485201</v>
      </c>
      <c r="L23" s="452">
        <f>+[5]울산!$Q$85</f>
        <v>98005.675000000003</v>
      </c>
      <c r="M23" s="453">
        <f>+[5]울산!$R$85</f>
        <v>101500.20702070207</v>
      </c>
      <c r="N23" s="165">
        <f t="shared" si="2"/>
        <v>3494.5320207020704</v>
      </c>
      <c r="O23" s="454">
        <f>+[5]울산!$K$86/1000</f>
        <v>38.824250749999997</v>
      </c>
      <c r="P23" s="452">
        <f>+[5]울산!$Q$50</f>
        <v>89293.107759972598</v>
      </c>
      <c r="Q23" s="453">
        <f>+[5]울산!$R$50</f>
        <v>85820.724752475246</v>
      </c>
      <c r="R23" s="165">
        <f t="shared" si="3"/>
        <v>-3472.3830074973521</v>
      </c>
      <c r="S23" s="454">
        <f>+[5]울산!$L$56/1000</f>
        <v>38.578180063295825</v>
      </c>
      <c r="T23" s="452">
        <f>+([5]울산!$H$80+[5]울산!$H$85)/1000</f>
        <v>38.372847666666665</v>
      </c>
      <c r="U23" s="453">
        <f>+([5]울산!$I$80+[5]울산!$I$85)/1000</f>
        <v>41.026365850000005</v>
      </c>
      <c r="V23" s="165">
        <f t="shared" si="4"/>
        <v>2.6535181833333397</v>
      </c>
      <c r="W23" s="454">
        <f>+([5]울산!$L$80+[5]울산!$L$85)/1000</f>
        <v>-2.6535181833333299</v>
      </c>
      <c r="Y23" s="6">
        <f t="shared" si="5"/>
        <v>-7.3718808835110394E-14</v>
      </c>
      <c r="Z23" s="6">
        <f t="shared" si="6"/>
        <v>-7.3718808835110394E-8</v>
      </c>
    </row>
    <row r="24" spans="4:26" ht="24" customHeight="1">
      <c r="D24" s="476" t="s">
        <v>31</v>
      </c>
      <c r="E24" s="455">
        <f>+[5]아산!$H$86/1000</f>
        <v>411.17384088752152</v>
      </c>
      <c r="F24" s="456">
        <f>+[5]아산!$I$86/1000</f>
        <v>538.83441399999936</v>
      </c>
      <c r="G24" s="457">
        <f t="shared" si="0"/>
        <v>127.66057311247783</v>
      </c>
      <c r="H24" s="455">
        <f>+[5]아산!$T$5/1000</f>
        <v>25</v>
      </c>
      <c r="I24" s="456">
        <f>+[5]아산!$U$5/1000</f>
        <v>30.068999999999999</v>
      </c>
      <c r="J24" s="458">
        <f t="shared" si="1"/>
        <v>5.0689999999999991</v>
      </c>
      <c r="K24" s="459">
        <f>+[5]아산!$M$86/1000</f>
        <v>83.893349075306034</v>
      </c>
      <c r="L24" s="455">
        <f>+[5]아산!$Q$85</f>
        <v>101000.15199999999</v>
      </c>
      <c r="M24" s="456">
        <f>+[5]아산!$R$85</f>
        <v>104707.6933630595</v>
      </c>
      <c r="N24" s="458">
        <f t="shared" si="2"/>
        <v>3707.541363059514</v>
      </c>
      <c r="O24" s="459">
        <f>+[5]아산!$K$86/1000</f>
        <v>108.09336844000013</v>
      </c>
      <c r="P24" s="455">
        <f>+[5]아산!$Q$50</f>
        <v>81576.217204499146</v>
      </c>
      <c r="Q24" s="456">
        <f>+[5]아산!$R$50</f>
        <v>83286.509961935459</v>
      </c>
      <c r="R24" s="458">
        <f t="shared" si="3"/>
        <v>1710.292757436313</v>
      </c>
      <c r="S24" s="459">
        <f>+[5]아산!$L$56/1000</f>
        <v>-49.852073972828556</v>
      </c>
      <c r="T24" s="455">
        <f>+([5]아산!$H$80+[5]아산!$H$85)/1000</f>
        <v>74.424528999999993</v>
      </c>
      <c r="U24" s="456">
        <f>+([5]아산!$I$80+[5]아산!$I$85)/1000</f>
        <v>88.898599430000004</v>
      </c>
      <c r="V24" s="458">
        <f t="shared" si="4"/>
        <v>14.474070430000012</v>
      </c>
      <c r="W24" s="459">
        <f>+([5]아산!$L$80+[5]아산!$L$85)/1000</f>
        <v>-14.474070430000003</v>
      </c>
      <c r="Y24" s="6">
        <f t="shared" si="5"/>
        <v>2.2559731860383181E-13</v>
      </c>
      <c r="Z24" s="6">
        <f t="shared" si="6"/>
        <v>2.2559731860383181E-7</v>
      </c>
    </row>
    <row r="25" spans="4:26" ht="24" customHeight="1">
      <c r="D25" s="475" t="s">
        <v>34</v>
      </c>
      <c r="E25" s="452">
        <f>+[5]전주!$H$86/1000</f>
        <v>207.03881674903485</v>
      </c>
      <c r="F25" s="453">
        <f>+[5]전주!$I$86/1000</f>
        <v>98.974597999999958</v>
      </c>
      <c r="G25" s="189">
        <f t="shared" si="0"/>
        <v>-108.06421874903489</v>
      </c>
      <c r="H25" s="452">
        <f>+[5]전주!$T$5/1000</f>
        <v>12</v>
      </c>
      <c r="I25" s="453">
        <f>+[5]전주!$U$5/1000</f>
        <v>9.7720000000000002</v>
      </c>
      <c r="J25" s="165">
        <f t="shared" si="1"/>
        <v>-2.2279999999999998</v>
      </c>
      <c r="K25" s="454">
        <f>+[5]전주!$M$86/1000</f>
        <v>-48.106077567540112</v>
      </c>
      <c r="L25" s="452">
        <f>+[5]전주!$Q$85</f>
        <v>103723.77</v>
      </c>
      <c r="M25" s="453">
        <f>+[5]전주!$R$85</f>
        <v>95671.078368940012</v>
      </c>
      <c r="N25" s="165">
        <f t="shared" si="2"/>
        <v>-8052.6916310599918</v>
      </c>
      <c r="O25" s="454">
        <f>+[5]전주!$K$86/1000</f>
        <v>-78.401005720000072</v>
      </c>
      <c r="P25" s="452">
        <f>+[5]전주!$Q$50</f>
        <v>82467.551993135989</v>
      </c>
      <c r="Q25" s="453">
        <f>+[5]전주!$R$50</f>
        <v>80125.895645028766</v>
      </c>
      <c r="R25" s="165">
        <f t="shared" si="3"/>
        <v>-2341.6563481072226</v>
      </c>
      <c r="S25" s="454">
        <f>+[5]전주!$L$56/1000</f>
        <v>22.798355655171903</v>
      </c>
      <c r="T25" s="452">
        <f>+([5]전주!$H$80+[5]전주!$H$85)/1000</f>
        <v>48.035799333333337</v>
      </c>
      <c r="U25" s="453">
        <f>+([5]전주!$I$80+[5]전주!$I$85)/1000</f>
        <v>52.39129045</v>
      </c>
      <c r="V25" s="165">
        <f t="shared" si="4"/>
        <v>4.3554911166666628</v>
      </c>
      <c r="W25" s="454">
        <f>+([5]전주!$L$80+[5]전주!$L$85)/1000</f>
        <v>-4.3554911166666654</v>
      </c>
      <c r="Y25" s="6">
        <f t="shared" si="5"/>
        <v>5.2402526762307389E-14</v>
      </c>
      <c r="Z25" s="6">
        <f t="shared" si="6"/>
        <v>5.2402526762307389E-8</v>
      </c>
    </row>
    <row r="26" spans="4:26" ht="24" customHeight="1">
      <c r="D26" s="451" t="s">
        <v>33</v>
      </c>
      <c r="E26" s="452">
        <f>+[5]군산!$H$86/1000</f>
        <v>225.71196349631168</v>
      </c>
      <c r="F26" s="453">
        <f>+[5]군산!$I$86/1000</f>
        <v>393.17557400000004</v>
      </c>
      <c r="G26" s="189">
        <f t="shared" si="0"/>
        <v>167.46361050368836</v>
      </c>
      <c r="H26" s="452">
        <f>+[5]군산!$T$5/1000</f>
        <v>7.5</v>
      </c>
      <c r="I26" s="453">
        <f>+[5]군산!$U$5/1000</f>
        <v>10.98</v>
      </c>
      <c r="J26" s="165">
        <f t="shared" si="1"/>
        <v>3.4800000000000004</v>
      </c>
      <c r="K26" s="454">
        <f>+[5]군산!$M$86/1000</f>
        <v>114.09828813606634</v>
      </c>
      <c r="L26" s="452">
        <f>+[5]군산!$Q$85</f>
        <v>109382.3112</v>
      </c>
      <c r="M26" s="453">
        <f>+[5]군산!$R$85</f>
        <v>112623.59562841531</v>
      </c>
      <c r="N26" s="165">
        <f t="shared" si="2"/>
        <v>3241.2844284153107</v>
      </c>
      <c r="O26" s="454">
        <f>+[5]군산!$K$86/1000</f>
        <v>35.58930302400011</v>
      </c>
      <c r="P26" s="452">
        <f>+[5]군산!$Q$50</f>
        <v>76595.446793084368</v>
      </c>
      <c r="Q26" s="453">
        <f>+[5]군산!$R$50</f>
        <v>74748.416120218579</v>
      </c>
      <c r="R26" s="165">
        <f t="shared" si="3"/>
        <v>-1847.0306728657888</v>
      </c>
      <c r="S26" s="454">
        <f>+[5]군산!$L$56/1000</f>
        <v>20.28040212806641</v>
      </c>
      <c r="T26" s="452">
        <f>+([5]군산!$H$80+[5]군산!$H$85)/1000</f>
        <v>20.189519555555556</v>
      </c>
      <c r="U26" s="453">
        <f>+([5]군산!$I$80+[5]군산!$I$85)/1000</f>
        <v>22.693902340000001</v>
      </c>
      <c r="V26" s="165">
        <f t="shared" si="4"/>
        <v>2.5043827844444451</v>
      </c>
      <c r="W26" s="454">
        <f>+([5]군산!$L$80+[5]군산!$L$85)/1000</f>
        <v>-2.5043827844444455</v>
      </c>
      <c r="Y26" s="6">
        <f t="shared" si="5"/>
        <v>-5.9952043329758453E-14</v>
      </c>
      <c r="Z26" s="6">
        <f t="shared" si="6"/>
        <v>-5.9952043329758453E-8</v>
      </c>
    </row>
    <row r="27" spans="4:26" ht="24" customHeight="1">
      <c r="D27" s="451" t="s">
        <v>32</v>
      </c>
      <c r="E27" s="452">
        <f>+[5]원주!$H$86/1000</f>
        <v>119.39039288333349</v>
      </c>
      <c r="F27" s="453">
        <f>+[5]원주!$I$86/1000</f>
        <v>170.20888200000005</v>
      </c>
      <c r="G27" s="189">
        <f t="shared" si="0"/>
        <v>50.818489116666555</v>
      </c>
      <c r="H27" s="452">
        <f>+[5]원주!$T$5/1000</f>
        <v>6</v>
      </c>
      <c r="I27" s="453">
        <f>+[5]원주!$U$5/1000</f>
        <v>6.9255000000000004</v>
      </c>
      <c r="J27" s="165">
        <f t="shared" si="1"/>
        <v>0.92550000000000043</v>
      </c>
      <c r="K27" s="454">
        <f>+[5]원주!$M$86/1000</f>
        <v>20.775317915726426</v>
      </c>
      <c r="L27" s="452">
        <f>+[5]원주!$Q$85</f>
        <v>107900</v>
      </c>
      <c r="M27" s="453">
        <f>+[5]원주!$R$85</f>
        <v>110562.57959714101</v>
      </c>
      <c r="N27" s="165">
        <f t="shared" si="2"/>
        <v>2662.5795971410116</v>
      </c>
      <c r="O27" s="454">
        <f>+[5]원주!$K$86/1000</f>
        <v>18.439695000000075</v>
      </c>
      <c r="P27" s="452">
        <f>+[5]원주!$Q$50</f>
        <v>85452.330723148101</v>
      </c>
      <c r="Q27" s="453">
        <f>+[5]원주!$R$50</f>
        <v>83702.2805573605</v>
      </c>
      <c r="R27" s="165">
        <f t="shared" si="3"/>
        <v>-1750.0501657876011</v>
      </c>
      <c r="S27" s="454">
        <f>+[5]원주!$L$56/1000</f>
        <v>12.119987833162357</v>
      </c>
      <c r="T27" s="452">
        <f>+([5]원주!$H$80+[5]원주!$H$85)/1000</f>
        <v>15.295622777777778</v>
      </c>
      <c r="U27" s="453">
        <f>+([5]원주!$I$80+[5]원주!$I$85)/1000</f>
        <v>15.812134410000002</v>
      </c>
      <c r="V27" s="165">
        <f t="shared" si="4"/>
        <v>0.51651163222222429</v>
      </c>
      <c r="W27" s="454">
        <f>+([5]원주!$L$80+[5]원주!$L$85)/1000</f>
        <v>-0.51651163222222207</v>
      </c>
      <c r="Y27" s="6">
        <f t="shared" si="5"/>
        <v>-8.0380146982861334E-14</v>
      </c>
      <c r="Z27" s="6">
        <f t="shared" si="6"/>
        <v>-8.0380146982861334E-8</v>
      </c>
    </row>
    <row r="28" spans="4:26" ht="24" customHeight="1" thickBot="1">
      <c r="D28" s="500" t="s">
        <v>35</v>
      </c>
      <c r="E28" s="523">
        <f>+[5]제주!$H$86/1000</f>
        <v>126.63999693088294</v>
      </c>
      <c r="F28" s="656">
        <f>+[5]제주!$I$86/1000</f>
        <v>53.489504000000032</v>
      </c>
      <c r="G28" s="198">
        <f t="shared" si="0"/>
        <v>-73.150492930882905</v>
      </c>
      <c r="H28" s="523">
        <f>+[5]제주!$T$5/1000</f>
        <v>6</v>
      </c>
      <c r="I28" s="656">
        <f>+[5]제주!$U$5/1000</f>
        <v>3.556</v>
      </c>
      <c r="J28" s="199">
        <f t="shared" si="1"/>
        <v>-2.444</v>
      </c>
      <c r="K28" s="657">
        <f>+[5]제주!$M$86/1000</f>
        <v>-61.733599620843158</v>
      </c>
      <c r="L28" s="523">
        <f>+[5]제주!$Q$85</f>
        <v>126700</v>
      </c>
      <c r="M28" s="656">
        <f>+[5]제주!$R$85</f>
        <v>127908.1588863892</v>
      </c>
      <c r="N28" s="199">
        <f t="shared" si="2"/>
        <v>1208.1588863891957</v>
      </c>
      <c r="O28" s="657">
        <f>+[5]제주!$K$86/1000</f>
        <v>4.2962129999999794</v>
      </c>
      <c r="P28" s="523">
        <f>+[5]제주!$Q$50</f>
        <v>101440.75301929493</v>
      </c>
      <c r="Q28" s="656">
        <f>+[5]제주!$R$50</f>
        <v>105777.60666293392</v>
      </c>
      <c r="R28" s="199">
        <f t="shared" si="3"/>
        <v>4336.8536436389841</v>
      </c>
      <c r="S28" s="657">
        <f>+[5]제주!$L$56/1000</f>
        <v>-15.216124843387217</v>
      </c>
      <c r="T28" s="523">
        <f>+([5]제주!$H$80+[5]제주!$H$85)/1000</f>
        <v>24.915484953347427</v>
      </c>
      <c r="U28" s="656">
        <f>+([5]제주!$I$80+[5]제주!$I$85)/1000</f>
        <v>25.412466419999998</v>
      </c>
      <c r="V28" s="199">
        <f t="shared" si="4"/>
        <v>0.4969814666525707</v>
      </c>
      <c r="W28" s="657">
        <f>+([5]제주!$L$80+[5]제주!$L$85)/1000</f>
        <v>-0.49698146665257265</v>
      </c>
      <c r="Y28" s="6">
        <f t="shared" si="5"/>
        <v>6.233902283270254E-14</v>
      </c>
      <c r="Z28" s="6">
        <f t="shared" si="6"/>
        <v>6.233902283270254E-8</v>
      </c>
    </row>
    <row r="29" spans="4:26" ht="24" customHeight="1"/>
    <row r="30" spans="4:26" ht="24" customHeight="1"/>
    <row r="31" spans="4:26" ht="24" customHeight="1"/>
    <row r="32" spans="4:26" ht="21.95" customHeight="1">
      <c r="F32" s="592"/>
    </row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223</v>
      </c>
      <c r="F4" s="184"/>
      <c r="I4" s="184"/>
    </row>
    <row r="5" spans="4:22" ht="21.95" customHeight="1">
      <c r="V5" s="186" t="s">
        <v>150</v>
      </c>
    </row>
    <row r="6" spans="4:22" ht="24" customHeight="1" thickBot="1">
      <c r="D6" s="825" t="s">
        <v>11</v>
      </c>
      <c r="E6" s="439" t="s">
        <v>21</v>
      </c>
      <c r="F6" s="440"/>
      <c r="G6" s="441"/>
      <c r="H6" s="439" t="s">
        <v>45</v>
      </c>
      <c r="I6" s="440"/>
      <c r="J6" s="441"/>
      <c r="K6" s="439" t="s">
        <v>46</v>
      </c>
      <c r="L6" s="440"/>
      <c r="M6" s="441"/>
      <c r="N6" s="439" t="s">
        <v>103</v>
      </c>
      <c r="O6" s="440"/>
      <c r="P6" s="441"/>
      <c r="Q6" s="439" t="s">
        <v>104</v>
      </c>
      <c r="R6" s="440"/>
      <c r="S6" s="441"/>
      <c r="T6" s="439" t="s">
        <v>69</v>
      </c>
      <c r="U6" s="440"/>
      <c r="V6" s="441"/>
    </row>
    <row r="7" spans="4:22" ht="24" customHeight="1">
      <c r="D7" s="826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460">
        <f>+[5]합계!$Q$85</f>
        <v>102032.06452479702</v>
      </c>
      <c r="F8" s="462">
        <f>+[5]합계!$R$85</f>
        <v>101892.73306876901</v>
      </c>
      <c r="G8" s="487">
        <f>+F8-E8</f>
        <v>-139.33145602801233</v>
      </c>
      <c r="H8" s="460">
        <f>+[5]합계!$Q$20</f>
        <v>58842.426324929889</v>
      </c>
      <c r="I8" s="462">
        <f>+[5]합계!$R$20</f>
        <v>60825.271305894799</v>
      </c>
      <c r="J8" s="487">
        <f>+I8-H8</f>
        <v>1982.8449809649101</v>
      </c>
      <c r="K8" s="460">
        <f>+[5]합계!$Q$21</f>
        <v>17364.310953345757</v>
      </c>
      <c r="L8" s="462">
        <f>+[5]합계!$R$21</f>
        <v>17266.247544031652</v>
      </c>
      <c r="M8" s="487">
        <f>+L8-K8</f>
        <v>-98.063409314105229</v>
      </c>
      <c r="N8" s="460">
        <f>+[5]합계!$Q$22</f>
        <v>186.48298217179905</v>
      </c>
      <c r="O8" s="462">
        <f>+[5]합계!$R$22</f>
        <v>197.0464675424254</v>
      </c>
      <c r="P8" s="487">
        <f>+O8-N8</f>
        <v>10.563485370626353</v>
      </c>
      <c r="Q8" s="460">
        <f>H8+K8+N8</f>
        <v>76393.220260447444</v>
      </c>
      <c r="R8" s="462">
        <f>I8+L8+O8</f>
        <v>78288.565317468878</v>
      </c>
      <c r="S8" s="487">
        <f>+R8-Q8</f>
        <v>1895.3450570214336</v>
      </c>
      <c r="T8" s="460">
        <f>+E8-Q8</f>
        <v>25638.84426434958</v>
      </c>
      <c r="U8" s="462">
        <f>+F8-R8</f>
        <v>23604.167751300134</v>
      </c>
      <c r="V8" s="487">
        <f>+U8-T8</f>
        <v>-2034.6765130494459</v>
      </c>
    </row>
    <row r="9" spans="4:22" ht="24" customHeight="1">
      <c r="D9" s="471" t="s">
        <v>19</v>
      </c>
      <c r="E9" s="465">
        <f>+[5]수도권!$Q$85</f>
        <v>100360.88907673377</v>
      </c>
      <c r="F9" s="479">
        <f>+[5]수도권!$R$85</f>
        <v>99830.045678349328</v>
      </c>
      <c r="G9" s="488">
        <f t="shared" ref="G9:G28" si="0">+F9-E9</f>
        <v>-530.8433983844443</v>
      </c>
      <c r="H9" s="465">
        <f>+[5]수도권!$Q$20</f>
        <v>60280.066802243768</v>
      </c>
      <c r="I9" s="479">
        <f>+[5]수도권!$R$20</f>
        <v>62416.920383797238</v>
      </c>
      <c r="J9" s="488">
        <f t="shared" ref="J9:J28" si="1">+I9-H9</f>
        <v>2136.8535815534706</v>
      </c>
      <c r="K9" s="465">
        <f>+[5]수도권!$Q$21</f>
        <v>17219.969196677968</v>
      </c>
      <c r="L9" s="479">
        <f>+[5]수도권!$R$21</f>
        <v>17482.008877667708</v>
      </c>
      <c r="M9" s="488">
        <f t="shared" ref="M9:M28" si="2">+L9-K9</f>
        <v>262.03968098973928</v>
      </c>
      <c r="N9" s="465">
        <f>+[5]수도권!$Q$22</f>
        <v>212.24489795918367</v>
      </c>
      <c r="O9" s="479">
        <f>+[5]수도권!$R$22</f>
        <v>199.6460737018563</v>
      </c>
      <c r="P9" s="488">
        <f t="shared" ref="P9:P28" si="3">+O9-N9</f>
        <v>-12.598824257327379</v>
      </c>
      <c r="Q9" s="465">
        <f t="shared" ref="Q9:Q28" si="4">H9+K9+N9</f>
        <v>77712.280896880926</v>
      </c>
      <c r="R9" s="479">
        <f t="shared" ref="R9:R28" si="5">I9+L9+O9</f>
        <v>80098.575335166795</v>
      </c>
      <c r="S9" s="488">
        <f t="shared" ref="S9:S28" si="6">+R9-Q9</f>
        <v>2386.2944382858695</v>
      </c>
      <c r="T9" s="465">
        <f t="shared" ref="T9:T28" si="7">+E9-Q9</f>
        <v>22648.608179852847</v>
      </c>
      <c r="U9" s="479">
        <f t="shared" ref="U9:U28" si="8">+F9-R9</f>
        <v>19731.470343182533</v>
      </c>
      <c r="V9" s="488">
        <f t="shared" ref="V9:V28" si="9">+U9-T9</f>
        <v>-2917.1378366703138</v>
      </c>
    </row>
    <row r="10" spans="4:22" ht="24" customHeight="1">
      <c r="D10" s="472" t="s">
        <v>20</v>
      </c>
      <c r="E10" s="467">
        <f>+[5]영남권!$Q$85</f>
        <v>101814.87737451738</v>
      </c>
      <c r="F10" s="480">
        <f>+[5]영남권!$R$85</f>
        <v>101618.83495007084</v>
      </c>
      <c r="G10" s="489">
        <f t="shared" si="0"/>
        <v>-196.04242444653937</v>
      </c>
      <c r="H10" s="467">
        <f>+[5]영남권!$Q$20</f>
        <v>57719.047635760966</v>
      </c>
      <c r="I10" s="480">
        <f>+[5]영남권!$R$20</f>
        <v>60470.293599737117</v>
      </c>
      <c r="J10" s="489">
        <f t="shared" si="1"/>
        <v>2751.245963976151</v>
      </c>
      <c r="K10" s="467">
        <f>+[5]영남권!$Q$21</f>
        <v>17535.819435825884</v>
      </c>
      <c r="L10" s="480">
        <f>+[5]영남권!$R$21</f>
        <v>17566.871083467995</v>
      </c>
      <c r="M10" s="489">
        <f t="shared" si="2"/>
        <v>31.051647642110765</v>
      </c>
      <c r="N10" s="467">
        <f>+[5]영남권!$Q$22</f>
        <v>166.64092664092664</v>
      </c>
      <c r="O10" s="480">
        <f>+[5]영남권!$R$22</f>
        <v>205.21916318586946</v>
      </c>
      <c r="P10" s="489">
        <f t="shared" si="3"/>
        <v>38.578236544942826</v>
      </c>
      <c r="Q10" s="467">
        <f t="shared" si="4"/>
        <v>75421.507998227782</v>
      </c>
      <c r="R10" s="480">
        <f t="shared" si="5"/>
        <v>78242.383846390978</v>
      </c>
      <c r="S10" s="489">
        <f t="shared" si="6"/>
        <v>2820.8758481631958</v>
      </c>
      <c r="T10" s="467">
        <f t="shared" si="7"/>
        <v>26393.3693762896</v>
      </c>
      <c r="U10" s="480">
        <f t="shared" si="8"/>
        <v>23376.451103679865</v>
      </c>
      <c r="V10" s="489">
        <f t="shared" si="9"/>
        <v>-3016.9182726097351</v>
      </c>
    </row>
    <row r="11" spans="4:22" ht="24" customHeight="1">
      <c r="D11" s="473" t="s">
        <v>57</v>
      </c>
      <c r="E11" s="468">
        <f>+[5]중부권!$Q$85</f>
        <v>106153.21015929204</v>
      </c>
      <c r="F11" s="481">
        <f>+[5]중부권!$R$85</f>
        <v>106728.90198417631</v>
      </c>
      <c r="G11" s="490">
        <f t="shared" si="0"/>
        <v>575.69182488427032</v>
      </c>
      <c r="H11" s="468">
        <f>+[5]중부권!$Q$20</f>
        <v>58300.241931592296</v>
      </c>
      <c r="I11" s="481">
        <f>+[5]중부권!$R$20</f>
        <v>58477.019205127996</v>
      </c>
      <c r="J11" s="490">
        <f t="shared" si="1"/>
        <v>176.77727353569935</v>
      </c>
      <c r="K11" s="468">
        <f>+[5]중부권!$Q$21</f>
        <v>17284.160806631193</v>
      </c>
      <c r="L11" s="481">
        <f>+[5]중부권!$R$21</f>
        <v>16095.36032596543</v>
      </c>
      <c r="M11" s="490">
        <f t="shared" si="2"/>
        <v>-1188.8004806657627</v>
      </c>
      <c r="N11" s="468">
        <f>+[5]중부권!$Q$22</f>
        <v>176.10619469026548</v>
      </c>
      <c r="O11" s="481">
        <f>+[5]중부권!$R$22</f>
        <v>171.81424276805606</v>
      </c>
      <c r="P11" s="490">
        <f t="shared" si="3"/>
        <v>-4.2919519222094209</v>
      </c>
      <c r="Q11" s="468">
        <f t="shared" si="4"/>
        <v>75760.508932913755</v>
      </c>
      <c r="R11" s="481">
        <f t="shared" si="5"/>
        <v>74744.19377386148</v>
      </c>
      <c r="S11" s="490">
        <f t="shared" si="6"/>
        <v>-1016.3151590522757</v>
      </c>
      <c r="T11" s="468">
        <f t="shared" si="7"/>
        <v>30392.701226378282</v>
      </c>
      <c r="U11" s="481">
        <f t="shared" si="8"/>
        <v>31984.708210314828</v>
      </c>
      <c r="V11" s="490">
        <f t="shared" si="9"/>
        <v>1592.006983936546</v>
      </c>
    </row>
    <row r="12" spans="4:22" ht="24" customHeight="1">
      <c r="D12" s="485" t="s">
        <v>22</v>
      </c>
      <c r="E12" s="491">
        <f>+[5]안양!$Q$85</f>
        <v>100872.16704545457</v>
      </c>
      <c r="F12" s="492">
        <f>+[5]안양!$R$85</f>
        <v>99791.139505664702</v>
      </c>
      <c r="G12" s="493">
        <f t="shared" si="0"/>
        <v>-1081.0275397898658</v>
      </c>
      <c r="H12" s="491">
        <f>+[5]안양!$Q$20</f>
        <v>61769.297150537641</v>
      </c>
      <c r="I12" s="492">
        <f>+[5]안양!$R$20</f>
        <v>63640.905434382374</v>
      </c>
      <c r="J12" s="493">
        <f t="shared" si="1"/>
        <v>1871.6082838447328</v>
      </c>
      <c r="K12" s="491">
        <f>+[5]안양!$Q$21</f>
        <v>16655.968157894738</v>
      </c>
      <c r="L12" s="492">
        <f>+[5]안양!$R$21</f>
        <v>16349.429379020556</v>
      </c>
      <c r="M12" s="493">
        <f t="shared" si="2"/>
        <v>-306.53877887418275</v>
      </c>
      <c r="N12" s="491">
        <f>+[5]안양!$Q$22</f>
        <v>177.27272727272728</v>
      </c>
      <c r="O12" s="492">
        <f>+[5]안양!$R$22</f>
        <v>217.02742099677275</v>
      </c>
      <c r="P12" s="493">
        <f t="shared" si="3"/>
        <v>39.754693724045467</v>
      </c>
      <c r="Q12" s="491">
        <f t="shared" si="4"/>
        <v>78602.538035705104</v>
      </c>
      <c r="R12" s="492">
        <f t="shared" si="5"/>
        <v>80207.362234399712</v>
      </c>
      <c r="S12" s="493">
        <f t="shared" si="6"/>
        <v>1604.8241986946086</v>
      </c>
      <c r="T12" s="491">
        <f t="shared" si="7"/>
        <v>22269.629009749464</v>
      </c>
      <c r="U12" s="492">
        <f t="shared" si="8"/>
        <v>19583.777271264989</v>
      </c>
      <c r="V12" s="493">
        <f t="shared" si="9"/>
        <v>-2685.8517384844745</v>
      </c>
    </row>
    <row r="13" spans="4:22" ht="24" customHeight="1">
      <c r="D13" s="451" t="s">
        <v>23</v>
      </c>
      <c r="E13" s="494">
        <f>+[5]인천!$Q$85</f>
        <v>102444.298</v>
      </c>
      <c r="F13" s="495">
        <f>+[5]인천!$R$85</f>
        <v>102157.47276956306</v>
      </c>
      <c r="G13" s="496">
        <f t="shared" si="0"/>
        <v>-286.825230436938</v>
      </c>
      <c r="H13" s="494">
        <f>+[5]인천!$Q$20</f>
        <v>63540.243677864288</v>
      </c>
      <c r="I13" s="495">
        <f>+[5]인천!$R$20</f>
        <v>63797.104992194509</v>
      </c>
      <c r="J13" s="496">
        <f t="shared" si="1"/>
        <v>256.86131433022092</v>
      </c>
      <c r="K13" s="494">
        <f>+[5]인천!$Q$21</f>
        <v>17195.206425135006</v>
      </c>
      <c r="L13" s="495">
        <f>+[5]인천!$R$21</f>
        <v>17404.869764506591</v>
      </c>
      <c r="M13" s="496">
        <f t="shared" si="2"/>
        <v>209.66333937158561</v>
      </c>
      <c r="N13" s="494">
        <f>+[5]인천!$Q$22</f>
        <v>314.28571428571428</v>
      </c>
      <c r="O13" s="495">
        <f>+[5]인천!$R$22</f>
        <v>314.00873551001428</v>
      </c>
      <c r="P13" s="496">
        <f t="shared" si="3"/>
        <v>-0.27697877570000173</v>
      </c>
      <c r="Q13" s="494">
        <f t="shared" si="4"/>
        <v>81049.735817285007</v>
      </c>
      <c r="R13" s="495">
        <f t="shared" si="5"/>
        <v>81515.983492211104</v>
      </c>
      <c r="S13" s="496">
        <f t="shared" si="6"/>
        <v>466.24767492609681</v>
      </c>
      <c r="T13" s="494">
        <f t="shared" si="7"/>
        <v>21394.562182714988</v>
      </c>
      <c r="U13" s="495">
        <f t="shared" si="8"/>
        <v>20641.489277351953</v>
      </c>
      <c r="V13" s="496">
        <f t="shared" si="9"/>
        <v>-753.07290536303481</v>
      </c>
    </row>
    <row r="14" spans="4:22" ht="24" customHeight="1">
      <c r="D14" s="451" t="s">
        <v>24</v>
      </c>
      <c r="E14" s="494">
        <f>+[5]파주!$Q$85</f>
        <v>99629.875255551393</v>
      </c>
      <c r="F14" s="495">
        <f>+[5]파주!$R$85</f>
        <v>97212.840491015842</v>
      </c>
      <c r="G14" s="496">
        <f t="shared" si="0"/>
        <v>-2417.0347645355505</v>
      </c>
      <c r="H14" s="494">
        <f>+[5]파주!$Q$20</f>
        <v>58008.766670927922</v>
      </c>
      <c r="I14" s="495">
        <f>+[5]파주!$R$20</f>
        <v>61319.339299057116</v>
      </c>
      <c r="J14" s="496">
        <f t="shared" si="1"/>
        <v>3310.5726281291936</v>
      </c>
      <c r="K14" s="494">
        <f>+[5]파주!$Q$21</f>
        <v>18125.274444444447</v>
      </c>
      <c r="L14" s="495">
        <f>+[5]파주!$R$21</f>
        <v>19680.728304572138</v>
      </c>
      <c r="M14" s="496">
        <f t="shared" si="2"/>
        <v>1555.4538601276909</v>
      </c>
      <c r="N14" s="494">
        <f>+[5]파주!$Q$22</f>
        <v>202.5</v>
      </c>
      <c r="O14" s="495">
        <f>+[5]파주!$R$22</f>
        <v>147.48845401174165</v>
      </c>
      <c r="P14" s="496">
        <f t="shared" si="3"/>
        <v>-55.011545988258348</v>
      </c>
      <c r="Q14" s="494">
        <f t="shared" si="4"/>
        <v>76336.541115372369</v>
      </c>
      <c r="R14" s="495">
        <f t="shared" si="5"/>
        <v>81147.556057640992</v>
      </c>
      <c r="S14" s="496">
        <f t="shared" si="6"/>
        <v>4811.0149422686227</v>
      </c>
      <c r="T14" s="494">
        <f t="shared" si="7"/>
        <v>23293.334140179024</v>
      </c>
      <c r="U14" s="495">
        <f t="shared" si="8"/>
        <v>16065.284433374851</v>
      </c>
      <c r="V14" s="496">
        <f t="shared" si="9"/>
        <v>-7228.0497068041732</v>
      </c>
    </row>
    <row r="15" spans="4:22" ht="24" customHeight="1">
      <c r="D15" s="451" t="s">
        <v>178</v>
      </c>
      <c r="E15" s="494">
        <f>+[5]김포!$Q$85</f>
        <v>95774.333333333328</v>
      </c>
      <c r="F15" s="495">
        <f>+[5]김포!$R$85</f>
        <v>100131.69974713755</v>
      </c>
      <c r="G15" s="496">
        <f t="shared" si="0"/>
        <v>4357.3664138042222</v>
      </c>
      <c r="H15" s="494">
        <f>+[5]김포!$Q$20</f>
        <v>53109.932109751579</v>
      </c>
      <c r="I15" s="495">
        <f>+[5]김포!$R$20</f>
        <v>58600.114079668383</v>
      </c>
      <c r="J15" s="496">
        <f t="shared" si="1"/>
        <v>5490.1819699168045</v>
      </c>
      <c r="K15" s="494">
        <f>+[5]김포!$Q$21</f>
        <v>17295.09047066409</v>
      </c>
      <c r="L15" s="495">
        <f>+[5]김포!$R$21</f>
        <v>17074.154510093413</v>
      </c>
      <c r="M15" s="496">
        <f t="shared" si="2"/>
        <v>-220.93596057067771</v>
      </c>
      <c r="N15" s="494">
        <f>+[5]김포!$Q$22</f>
        <v>105</v>
      </c>
      <c r="O15" s="495">
        <f>+[5]김포!$R$22</f>
        <v>41.802390619232838</v>
      </c>
      <c r="P15" s="496">
        <f t="shared" si="3"/>
        <v>-63.197609380767162</v>
      </c>
      <c r="Q15" s="494">
        <f t="shared" si="4"/>
        <v>70510.022580415665</v>
      </c>
      <c r="R15" s="495">
        <f t="shared" si="5"/>
        <v>75716.070980381031</v>
      </c>
      <c r="S15" s="496">
        <f t="shared" si="6"/>
        <v>5206.0483999653661</v>
      </c>
      <c r="T15" s="494">
        <f t="shared" si="7"/>
        <v>25264.310752917663</v>
      </c>
      <c r="U15" s="495">
        <f t="shared" si="8"/>
        <v>24415.628766756519</v>
      </c>
      <c r="V15" s="496">
        <f t="shared" si="9"/>
        <v>-848.68198616114387</v>
      </c>
    </row>
    <row r="16" spans="4:22" ht="24" customHeight="1">
      <c r="D16" s="486" t="s">
        <v>25</v>
      </c>
      <c r="E16" s="497">
        <f>+[5]부산!$Q$85</f>
        <v>107600.1155</v>
      </c>
      <c r="F16" s="498">
        <f>+[5]부산!$R$85</f>
        <v>104175.12890130516</v>
      </c>
      <c r="G16" s="499">
        <f t="shared" si="0"/>
        <v>-3424.9865986948425</v>
      </c>
      <c r="H16" s="497">
        <f>+[5]부산!$Q$20</f>
        <v>60245.070522829817</v>
      </c>
      <c r="I16" s="498">
        <f>+[5]부산!$R$20</f>
        <v>63366.051564509216</v>
      </c>
      <c r="J16" s="499">
        <f t="shared" si="1"/>
        <v>3120.9810416793989</v>
      </c>
      <c r="K16" s="497">
        <f>+[5]부산!$Q$21</f>
        <v>19162.718055555557</v>
      </c>
      <c r="L16" s="498">
        <f>+[5]부산!$R$21</f>
        <v>18609.742777539646</v>
      </c>
      <c r="M16" s="499">
        <f t="shared" si="2"/>
        <v>-552.97527801591059</v>
      </c>
      <c r="N16" s="497">
        <f>+[5]부산!$Q$22</f>
        <v>50</v>
      </c>
      <c r="O16" s="498">
        <f>+[5]부산!$R$22</f>
        <v>0</v>
      </c>
      <c r="P16" s="499">
        <f t="shared" si="3"/>
        <v>-50</v>
      </c>
      <c r="Q16" s="497">
        <f t="shared" si="4"/>
        <v>79457.788578385371</v>
      </c>
      <c r="R16" s="498">
        <f t="shared" si="5"/>
        <v>81975.794342048859</v>
      </c>
      <c r="S16" s="499">
        <f t="shared" si="6"/>
        <v>2518.0057636634883</v>
      </c>
      <c r="T16" s="497">
        <f t="shared" si="7"/>
        <v>28142.326921614629</v>
      </c>
      <c r="U16" s="498">
        <f t="shared" si="8"/>
        <v>22199.334559256298</v>
      </c>
      <c r="V16" s="499">
        <f t="shared" si="9"/>
        <v>-5942.9923623583309</v>
      </c>
    </row>
    <row r="17" spans="4:22" ht="24" customHeight="1">
      <c r="D17" s="451" t="s">
        <v>26</v>
      </c>
      <c r="E17" s="494">
        <f>+[5]서부산!$Q$85</f>
        <v>103630.90538461538</v>
      </c>
      <c r="F17" s="495">
        <f>+[5]서부산!$R$85</f>
        <v>102129.68949044586</v>
      </c>
      <c r="G17" s="496">
        <f t="shared" si="0"/>
        <v>-1501.2158941695234</v>
      </c>
      <c r="H17" s="494">
        <f>+[5]서부산!$Q$20</f>
        <v>61232.958731924358</v>
      </c>
      <c r="I17" s="495">
        <f>+[5]서부산!$R$20</f>
        <v>61557.062141947797</v>
      </c>
      <c r="J17" s="496">
        <f t="shared" si="1"/>
        <v>324.10341002343921</v>
      </c>
      <c r="K17" s="494">
        <f>+[5]서부산!$Q$21</f>
        <v>16191.056753899024</v>
      </c>
      <c r="L17" s="495">
        <f>+[5]서부산!$R$21</f>
        <v>16482.103994271169</v>
      </c>
      <c r="M17" s="496">
        <f t="shared" si="2"/>
        <v>291.0472403721451</v>
      </c>
      <c r="N17" s="494">
        <f>+[5]서부산!$Q$22</f>
        <v>76.923076923076934</v>
      </c>
      <c r="O17" s="495">
        <f>+[5]서부산!$R$22</f>
        <v>301.69482017823043</v>
      </c>
      <c r="P17" s="496">
        <f t="shared" si="3"/>
        <v>224.7717432551535</v>
      </c>
      <c r="Q17" s="494">
        <f t="shared" si="4"/>
        <v>77500.938562746465</v>
      </c>
      <c r="R17" s="495">
        <f t="shared" si="5"/>
        <v>78340.860956397199</v>
      </c>
      <c r="S17" s="496">
        <f t="shared" si="6"/>
        <v>839.92239365073328</v>
      </c>
      <c r="T17" s="494">
        <f t="shared" si="7"/>
        <v>26129.966821868918</v>
      </c>
      <c r="U17" s="495">
        <f t="shared" si="8"/>
        <v>23788.828534048662</v>
      </c>
      <c r="V17" s="496">
        <f t="shared" si="9"/>
        <v>-2341.1382878202567</v>
      </c>
    </row>
    <row r="18" spans="4:22" ht="24" customHeight="1">
      <c r="D18" s="451" t="s">
        <v>27</v>
      </c>
      <c r="E18" s="494">
        <f>+[5]김해!$Q$85</f>
        <v>101000.2</v>
      </c>
      <c r="F18" s="495">
        <f>+[5]김해!$R$85</f>
        <v>99943.842077680092</v>
      </c>
      <c r="G18" s="496">
        <f t="shared" si="0"/>
        <v>-1056.3579223199049</v>
      </c>
      <c r="H18" s="494">
        <f>+[5]김해!$Q$20</f>
        <v>57930.690853782107</v>
      </c>
      <c r="I18" s="495">
        <f>+[5]김해!$R$20</f>
        <v>60191.454434286381</v>
      </c>
      <c r="J18" s="496">
        <f t="shared" si="1"/>
        <v>2260.7635805042737</v>
      </c>
      <c r="K18" s="494">
        <f>+[5]김해!$Q$21</f>
        <v>17742.640073099417</v>
      </c>
      <c r="L18" s="495">
        <f>+[5]김해!$R$21</f>
        <v>18522.684155360155</v>
      </c>
      <c r="M18" s="496">
        <f t="shared" si="2"/>
        <v>780.04408226073792</v>
      </c>
      <c r="N18" s="494">
        <f>+[5]김해!$Q$22</f>
        <v>379.16666666666663</v>
      </c>
      <c r="O18" s="495">
        <f>+[5]김해!$R$22</f>
        <v>382.23833925347935</v>
      </c>
      <c r="P18" s="496">
        <f t="shared" si="3"/>
        <v>3.0716725868127241</v>
      </c>
      <c r="Q18" s="494">
        <f t="shared" si="4"/>
        <v>76052.497593548193</v>
      </c>
      <c r="R18" s="495">
        <f t="shared" si="5"/>
        <v>79096.376928900019</v>
      </c>
      <c r="S18" s="496">
        <f t="shared" si="6"/>
        <v>3043.8793353518267</v>
      </c>
      <c r="T18" s="494">
        <f t="shared" si="7"/>
        <v>24947.702406451805</v>
      </c>
      <c r="U18" s="495">
        <f t="shared" si="8"/>
        <v>20847.465148780073</v>
      </c>
      <c r="V18" s="496">
        <f t="shared" si="9"/>
        <v>-4100.2372576717316</v>
      </c>
    </row>
    <row r="19" spans="4:22" ht="24" customHeight="1">
      <c r="D19" s="451" t="s">
        <v>28</v>
      </c>
      <c r="E19" s="494">
        <f>+[5]정관!$Q$85</f>
        <v>104000</v>
      </c>
      <c r="F19" s="495">
        <f>+[5]정관!$R$85</f>
        <v>104108.16566378337</v>
      </c>
      <c r="G19" s="496">
        <f t="shared" si="0"/>
        <v>108.16566378336574</v>
      </c>
      <c r="H19" s="494">
        <f>+[5]정관!$Q$20</f>
        <v>59334.588532545094</v>
      </c>
      <c r="I19" s="495">
        <f>+[5]정관!$R$20</f>
        <v>63383.611461075598</v>
      </c>
      <c r="J19" s="496">
        <f t="shared" si="1"/>
        <v>4049.0229285305031</v>
      </c>
      <c r="K19" s="494">
        <f>+[5]정관!$Q$21</f>
        <v>18577.502777777776</v>
      </c>
      <c r="L19" s="495">
        <f>+[5]정관!$R$21</f>
        <v>19137.002350507712</v>
      </c>
      <c r="M19" s="496">
        <f t="shared" si="2"/>
        <v>559.49957272993561</v>
      </c>
      <c r="N19" s="494">
        <f>+[5]정관!$Q$22</f>
        <v>250</v>
      </c>
      <c r="O19" s="495">
        <f>+[5]정관!$R$22</f>
        <v>260.52026137645731</v>
      </c>
      <c r="P19" s="496">
        <f t="shared" si="3"/>
        <v>10.520261376457313</v>
      </c>
      <c r="Q19" s="494">
        <f t="shared" si="4"/>
        <v>78162.091310322867</v>
      </c>
      <c r="R19" s="495">
        <f t="shared" si="5"/>
        <v>82781.134072959772</v>
      </c>
      <c r="S19" s="496">
        <f t="shared" si="6"/>
        <v>4619.0427626369055</v>
      </c>
      <c r="T19" s="494">
        <f t="shared" si="7"/>
        <v>25837.908689677133</v>
      </c>
      <c r="U19" s="495">
        <f t="shared" si="8"/>
        <v>21327.031590823593</v>
      </c>
      <c r="V19" s="496">
        <f t="shared" si="9"/>
        <v>-4510.8770988535398</v>
      </c>
    </row>
    <row r="20" spans="4:22" ht="24" customHeight="1">
      <c r="D20" s="451" t="s">
        <v>29</v>
      </c>
      <c r="E20" s="494">
        <f>+[5]양산!$Q$85</f>
        <v>96715.406363636372</v>
      </c>
      <c r="F20" s="495">
        <f>+[5]양산!$R$85</f>
        <v>93592.935410809136</v>
      </c>
      <c r="G20" s="496">
        <f t="shared" si="0"/>
        <v>-3122.470952827236</v>
      </c>
      <c r="H20" s="494">
        <f>+[5]양산!$Q$20</f>
        <v>53327.79544526559</v>
      </c>
      <c r="I20" s="495">
        <f>+[5]양산!$R$20</f>
        <v>56622.691190253041</v>
      </c>
      <c r="J20" s="496">
        <f t="shared" si="1"/>
        <v>3294.8957449874506</v>
      </c>
      <c r="K20" s="494">
        <f>+[5]양산!$Q$21</f>
        <v>17018.113277511966</v>
      </c>
      <c r="L20" s="495">
        <f>+[5]양산!$R$21</f>
        <v>16888.718603561385</v>
      </c>
      <c r="M20" s="496">
        <f t="shared" si="2"/>
        <v>-129.39467395058091</v>
      </c>
      <c r="N20" s="494">
        <f>+[5]양산!$Q$22</f>
        <v>86.36363636363636</v>
      </c>
      <c r="O20" s="495">
        <f>+[5]양산!$R$22</f>
        <v>42.61059044048735</v>
      </c>
      <c r="P20" s="496">
        <f t="shared" si="3"/>
        <v>-43.75304592314901</v>
      </c>
      <c r="Q20" s="494">
        <f t="shared" si="4"/>
        <v>70432.272359141192</v>
      </c>
      <c r="R20" s="495">
        <f t="shared" si="5"/>
        <v>73554.020384254909</v>
      </c>
      <c r="S20" s="496">
        <f t="shared" si="6"/>
        <v>3121.7480251137167</v>
      </c>
      <c r="T20" s="494">
        <f t="shared" si="7"/>
        <v>26283.134004495179</v>
      </c>
      <c r="U20" s="495">
        <f t="shared" si="8"/>
        <v>20038.915026554227</v>
      </c>
      <c r="V20" s="496">
        <f t="shared" si="9"/>
        <v>-6244.2189779409528</v>
      </c>
    </row>
    <row r="21" spans="4:22" ht="24" customHeight="1">
      <c r="D21" s="451" t="s">
        <v>30</v>
      </c>
      <c r="E21" s="494">
        <f>+[5]창원!$Q$85</f>
        <v>99611.305555555562</v>
      </c>
      <c r="F21" s="495">
        <f>+[5]창원!$R$85</f>
        <v>103837.35185621223</v>
      </c>
      <c r="G21" s="496">
        <f t="shared" si="0"/>
        <v>4226.0463006566715</v>
      </c>
      <c r="H21" s="494">
        <f>+[5]창원!$Q$20</f>
        <v>55702.154304783093</v>
      </c>
      <c r="I21" s="495">
        <f>+[5]창원!$R$20</f>
        <v>59247.144808099838</v>
      </c>
      <c r="J21" s="496">
        <f t="shared" si="1"/>
        <v>3544.9905033167452</v>
      </c>
      <c r="K21" s="494">
        <f>+[5]창원!$Q$21</f>
        <v>16184.284964539007</v>
      </c>
      <c r="L21" s="495">
        <f>+[5]창원!$R$21</f>
        <v>15558.843575857467</v>
      </c>
      <c r="M21" s="496">
        <f t="shared" si="2"/>
        <v>-625.44138868154005</v>
      </c>
      <c r="N21" s="494">
        <f>+[5]창원!$Q$22</f>
        <v>66.666666666666671</v>
      </c>
      <c r="O21" s="495">
        <f>+[5]창원!$R$22</f>
        <v>103.08180938178583</v>
      </c>
      <c r="P21" s="496">
        <f t="shared" si="3"/>
        <v>36.41514271511916</v>
      </c>
      <c r="Q21" s="494">
        <f t="shared" si="4"/>
        <v>71953.105935988773</v>
      </c>
      <c r="R21" s="495">
        <f t="shared" si="5"/>
        <v>74909.070193339081</v>
      </c>
      <c r="S21" s="496">
        <f t="shared" si="6"/>
        <v>2955.9642573503079</v>
      </c>
      <c r="T21" s="494">
        <f t="shared" si="7"/>
        <v>27658.199619566789</v>
      </c>
      <c r="U21" s="495">
        <f t="shared" si="8"/>
        <v>28928.281662873153</v>
      </c>
      <c r="V21" s="496">
        <f t="shared" si="9"/>
        <v>1270.0820433063636</v>
      </c>
    </row>
    <row r="22" spans="4:22" ht="24" customHeight="1">
      <c r="D22" s="451" t="s">
        <v>95</v>
      </c>
      <c r="E22" s="494">
        <f>+[5]대구!$Q$85</f>
        <v>97800</v>
      </c>
      <c r="F22" s="495">
        <f>+[5]대구!$R$85</f>
        <v>99699.088283594756</v>
      </c>
      <c r="G22" s="496">
        <f t="shared" si="0"/>
        <v>1899.0882835947559</v>
      </c>
      <c r="H22" s="494">
        <f>+[5]대구!$Q$20</f>
        <v>52503.967056290479</v>
      </c>
      <c r="I22" s="495">
        <f>+[5]대구!$R$20</f>
        <v>56751.205447647095</v>
      </c>
      <c r="J22" s="496">
        <f t="shared" si="1"/>
        <v>4247.2383913566155</v>
      </c>
      <c r="K22" s="494">
        <f>+[5]대구!$Q$21</f>
        <v>16751.031174242424</v>
      </c>
      <c r="L22" s="495">
        <f>+[5]대구!$R$21</f>
        <v>16854.980519848235</v>
      </c>
      <c r="M22" s="496">
        <f t="shared" si="2"/>
        <v>103.94934560581169</v>
      </c>
      <c r="N22" s="494">
        <f>+[5]대구!$Q$22</f>
        <v>321.21212121212125</v>
      </c>
      <c r="O22" s="495">
        <f>+[5]대구!$R$22</f>
        <v>253.51814938558243</v>
      </c>
      <c r="P22" s="496">
        <f t="shared" si="3"/>
        <v>-67.693971826538814</v>
      </c>
      <c r="Q22" s="494">
        <f t="shared" si="4"/>
        <v>69576.21035174503</v>
      </c>
      <c r="R22" s="495">
        <f t="shared" si="5"/>
        <v>73859.704116880908</v>
      </c>
      <c r="S22" s="496">
        <f t="shared" si="6"/>
        <v>4283.4937651358778</v>
      </c>
      <c r="T22" s="494">
        <f t="shared" si="7"/>
        <v>28223.78964825497</v>
      </c>
      <c r="U22" s="495">
        <f t="shared" si="8"/>
        <v>25839.384166713848</v>
      </c>
      <c r="V22" s="496">
        <f t="shared" si="9"/>
        <v>-2384.4054815411218</v>
      </c>
    </row>
    <row r="23" spans="4:22" ht="24" customHeight="1">
      <c r="D23" s="451" t="s">
        <v>97</v>
      </c>
      <c r="E23" s="494">
        <f>+[5]울산!$Q$85</f>
        <v>98005.675000000003</v>
      </c>
      <c r="F23" s="495">
        <f>+[5]울산!$R$85</f>
        <v>101500.20702070207</v>
      </c>
      <c r="G23" s="496">
        <f t="shared" si="0"/>
        <v>3494.5320207020704</v>
      </c>
      <c r="H23" s="494">
        <f>+[5]울산!$Q$20</f>
        <v>57363.432962550985</v>
      </c>
      <c r="I23" s="495">
        <f>+[5]울산!$R$20</f>
        <v>59233.358145814585</v>
      </c>
      <c r="J23" s="496">
        <f t="shared" si="1"/>
        <v>1869.9251832636</v>
      </c>
      <c r="K23" s="494">
        <f>+[5]울산!$Q$21</f>
        <v>20556.457445054944</v>
      </c>
      <c r="L23" s="495">
        <f>+[5]울산!$R$21</f>
        <v>18714.778937893789</v>
      </c>
      <c r="M23" s="496">
        <f t="shared" si="2"/>
        <v>-1841.6785071611557</v>
      </c>
      <c r="N23" s="494">
        <f>+[5]울산!$Q$22</f>
        <v>260</v>
      </c>
      <c r="O23" s="495">
        <f>+[5]울산!$R$22</f>
        <v>324.71170117011701</v>
      </c>
      <c r="P23" s="496">
        <f t="shared" si="3"/>
        <v>64.71170117011701</v>
      </c>
      <c r="Q23" s="494">
        <f t="shared" si="4"/>
        <v>78179.890407605926</v>
      </c>
      <c r="R23" s="495">
        <f t="shared" si="5"/>
        <v>78272.848784878486</v>
      </c>
      <c r="S23" s="496">
        <f t="shared" si="6"/>
        <v>92.958377272560028</v>
      </c>
      <c r="T23" s="494">
        <f t="shared" si="7"/>
        <v>19825.784592394077</v>
      </c>
      <c r="U23" s="495">
        <f t="shared" si="8"/>
        <v>23227.358235823587</v>
      </c>
      <c r="V23" s="496">
        <f t="shared" si="9"/>
        <v>3401.5736434295104</v>
      </c>
    </row>
    <row r="24" spans="4:22" ht="24" customHeight="1">
      <c r="D24" s="486" t="s">
        <v>31</v>
      </c>
      <c r="E24" s="497">
        <f>+[5]아산!$Q$85</f>
        <v>101000.15199999999</v>
      </c>
      <c r="F24" s="498">
        <f>+[5]아산!$R$85</f>
        <v>104707.6933630595</v>
      </c>
      <c r="G24" s="499">
        <f t="shared" si="0"/>
        <v>3707.541363059514</v>
      </c>
      <c r="H24" s="497">
        <f>+[5]아산!$Q$20</f>
        <v>55949.206712495368</v>
      </c>
      <c r="I24" s="498">
        <f>+[5]아산!$R$20</f>
        <v>58573.497925311196</v>
      </c>
      <c r="J24" s="499">
        <f t="shared" si="1"/>
        <v>2624.2912128158277</v>
      </c>
      <c r="K24" s="497">
        <f>+[5]아산!$Q$21</f>
        <v>19936.663517730496</v>
      </c>
      <c r="L24" s="498">
        <f>+[5]아산!$R$21</f>
        <v>18546.525256335517</v>
      </c>
      <c r="M24" s="499">
        <f t="shared" si="2"/>
        <v>-1390.1382613949791</v>
      </c>
      <c r="N24" s="497">
        <f>+[5]아산!$Q$22</f>
        <v>200</v>
      </c>
      <c r="O24" s="498">
        <f>+[5]아산!$R$22</f>
        <v>160.23630876856075</v>
      </c>
      <c r="P24" s="499">
        <f t="shared" si="3"/>
        <v>-39.763691231439253</v>
      </c>
      <c r="Q24" s="497">
        <f t="shared" si="4"/>
        <v>76085.870230225861</v>
      </c>
      <c r="R24" s="498">
        <f t="shared" si="5"/>
        <v>77280.259490415279</v>
      </c>
      <c r="S24" s="499">
        <f t="shared" si="6"/>
        <v>1194.3892601894186</v>
      </c>
      <c r="T24" s="497">
        <f t="shared" si="7"/>
        <v>24914.281769774127</v>
      </c>
      <c r="U24" s="498">
        <f t="shared" si="8"/>
        <v>27427.433872644222</v>
      </c>
      <c r="V24" s="499">
        <f t="shared" si="9"/>
        <v>2513.1521028700954</v>
      </c>
    </row>
    <row r="25" spans="4:22" ht="24" customHeight="1">
      <c r="D25" s="451" t="s">
        <v>34</v>
      </c>
      <c r="E25" s="494">
        <f>+[5]전주!$Q$85</f>
        <v>103723.77</v>
      </c>
      <c r="F25" s="495">
        <f>+[5]전주!$R$85</f>
        <v>95671.078368940012</v>
      </c>
      <c r="G25" s="496">
        <f t="shared" si="0"/>
        <v>-8052.6916310599918</v>
      </c>
      <c r="H25" s="494">
        <f>+[5]전주!$Q$20</f>
        <v>57081.760261030773</v>
      </c>
      <c r="I25" s="495">
        <f>+[5]전주!$R$20</f>
        <v>55326.617707477402</v>
      </c>
      <c r="J25" s="496">
        <f t="shared" si="1"/>
        <v>-1755.1425535533708</v>
      </c>
      <c r="K25" s="494">
        <f>+[5]전주!$Q$21</f>
        <v>16493.006330645163</v>
      </c>
      <c r="L25" s="495">
        <f>+[5]전주!$R$21</f>
        <v>14989.477608874282</v>
      </c>
      <c r="M25" s="496">
        <f t="shared" si="2"/>
        <v>-1503.528721770881</v>
      </c>
      <c r="N25" s="494">
        <f>+[5]전주!$Q$22</f>
        <v>250</v>
      </c>
      <c r="O25" s="495">
        <f>+[5]전주!$R$22</f>
        <v>220.96322925225965</v>
      </c>
      <c r="P25" s="496">
        <f t="shared" si="3"/>
        <v>-29.036770747740348</v>
      </c>
      <c r="Q25" s="494">
        <f t="shared" si="4"/>
        <v>73824.766591675929</v>
      </c>
      <c r="R25" s="495">
        <f t="shared" si="5"/>
        <v>70537.058545603941</v>
      </c>
      <c r="S25" s="496">
        <f t="shared" si="6"/>
        <v>-3287.7080460719881</v>
      </c>
      <c r="T25" s="494">
        <f t="shared" si="7"/>
        <v>29899.003408324075</v>
      </c>
      <c r="U25" s="495">
        <f t="shared" si="8"/>
        <v>25134.019823336072</v>
      </c>
      <c r="V25" s="496">
        <f t="shared" si="9"/>
        <v>-4764.9835849880037</v>
      </c>
    </row>
    <row r="26" spans="4:22" ht="24" customHeight="1">
      <c r="D26" s="451" t="s">
        <v>33</v>
      </c>
      <c r="E26" s="494">
        <f>+[5]군산!$Q$85</f>
        <v>109382.3112</v>
      </c>
      <c r="F26" s="495">
        <f>+[5]군산!$R$85</f>
        <v>112623.59562841531</v>
      </c>
      <c r="G26" s="496">
        <f t="shared" si="0"/>
        <v>3241.2844284153107</v>
      </c>
      <c r="H26" s="494">
        <f>+[5]군산!$Q$20</f>
        <v>56670.466559139786</v>
      </c>
      <c r="I26" s="495">
        <f>+[5]군산!$R$20</f>
        <v>56712.118579234972</v>
      </c>
      <c r="J26" s="496">
        <f t="shared" si="1"/>
        <v>41.652020095185435</v>
      </c>
      <c r="K26" s="494">
        <f>+[5]군산!$Q$21</f>
        <v>12670.57211340206</v>
      </c>
      <c r="L26" s="495">
        <f>+[5]군산!$R$21</f>
        <v>12473.893078324225</v>
      </c>
      <c r="M26" s="496">
        <f t="shared" si="2"/>
        <v>-196.67903507783558</v>
      </c>
      <c r="N26" s="494">
        <f>+[5]군산!$Q$22</f>
        <v>60</v>
      </c>
      <c r="O26" s="495">
        <f>+[5]군산!$R$22</f>
        <v>41.19553734061931</v>
      </c>
      <c r="P26" s="496">
        <f t="shared" si="3"/>
        <v>-18.80446265938069</v>
      </c>
      <c r="Q26" s="494">
        <f t="shared" si="4"/>
        <v>69401.03867254185</v>
      </c>
      <c r="R26" s="495">
        <f t="shared" si="5"/>
        <v>69227.20719489982</v>
      </c>
      <c r="S26" s="496">
        <f t="shared" si="6"/>
        <v>-173.83147764203022</v>
      </c>
      <c r="T26" s="494">
        <f t="shared" si="7"/>
        <v>39981.272527458146</v>
      </c>
      <c r="U26" s="495">
        <f t="shared" si="8"/>
        <v>43396.388433515487</v>
      </c>
      <c r="V26" s="496">
        <f t="shared" si="9"/>
        <v>3415.1159060573409</v>
      </c>
    </row>
    <row r="27" spans="4:22" ht="24" customHeight="1">
      <c r="D27" s="451" t="s">
        <v>32</v>
      </c>
      <c r="E27" s="494">
        <f>+[5]원주!$Q$85</f>
        <v>107900</v>
      </c>
      <c r="F27" s="495">
        <f>+[5]원주!$R$85</f>
        <v>110562.57959714101</v>
      </c>
      <c r="G27" s="496">
        <f t="shared" si="0"/>
        <v>2662.5795971410116</v>
      </c>
      <c r="H27" s="494">
        <f>+[5]원주!$Q$20</f>
        <v>56419.046236559137</v>
      </c>
      <c r="I27" s="495">
        <f>+[5]원주!$R$20</f>
        <v>58516.332105985137</v>
      </c>
      <c r="J27" s="496">
        <f t="shared" si="1"/>
        <v>2097.2858694259994</v>
      </c>
      <c r="K27" s="494">
        <f>+[5]원주!$Q$21</f>
        <v>15776.611545780164</v>
      </c>
      <c r="L27" s="495">
        <f>+[5]원주!$R$21</f>
        <v>13327.023752797633</v>
      </c>
      <c r="M27" s="496">
        <f t="shared" si="2"/>
        <v>-2449.587792982531</v>
      </c>
      <c r="N27" s="494">
        <f>+[5]원주!$Q$22</f>
        <v>250</v>
      </c>
      <c r="O27" s="495">
        <f>+[5]원주!$R$22</f>
        <v>280.01270666377883</v>
      </c>
      <c r="P27" s="496">
        <f t="shared" si="3"/>
        <v>30.012706663778829</v>
      </c>
      <c r="Q27" s="494">
        <f t="shared" si="4"/>
        <v>72445.657782339302</v>
      </c>
      <c r="R27" s="495">
        <f t="shared" si="5"/>
        <v>72123.368565446552</v>
      </c>
      <c r="S27" s="496">
        <f t="shared" si="6"/>
        <v>-322.28921689275012</v>
      </c>
      <c r="T27" s="494">
        <f t="shared" si="7"/>
        <v>35454.342217660698</v>
      </c>
      <c r="U27" s="495">
        <f t="shared" si="8"/>
        <v>38439.21103169446</v>
      </c>
      <c r="V27" s="496">
        <f t="shared" si="9"/>
        <v>2984.8688140337617</v>
      </c>
    </row>
    <row r="28" spans="4:22" ht="24" customHeight="1">
      <c r="D28" s="500" t="s">
        <v>35</v>
      </c>
      <c r="E28" s="501">
        <f>+[5]제주!$Q$85</f>
        <v>126700</v>
      </c>
      <c r="F28" s="502">
        <f>+[5]제주!$R$85</f>
        <v>127908.1588863892</v>
      </c>
      <c r="G28" s="503">
        <f t="shared" si="0"/>
        <v>1208.1588863891957</v>
      </c>
      <c r="H28" s="501">
        <f>+[5]제주!$Q$20</f>
        <v>74451.600262884676</v>
      </c>
      <c r="I28" s="502">
        <f>+[5]제주!$R$20</f>
        <v>71625.182810750281</v>
      </c>
      <c r="J28" s="503">
        <f t="shared" si="1"/>
        <v>-2826.4174521343957</v>
      </c>
      <c r="K28" s="501">
        <f>+[5]제주!$Q$21</f>
        <v>15088.910256410256</v>
      </c>
      <c r="L28" s="502">
        <f>+[5]제주!$R$21</f>
        <v>15598.237961926092</v>
      </c>
      <c r="M28" s="503">
        <f t="shared" si="2"/>
        <v>509.32770551583599</v>
      </c>
      <c r="N28" s="501">
        <f>+[5]제주!$Q$22</f>
        <v>0</v>
      </c>
      <c r="O28" s="502">
        <f>+[5]제주!$R$22</f>
        <v>324.10274356103019</v>
      </c>
      <c r="P28" s="503">
        <f t="shared" si="3"/>
        <v>324.10274356103019</v>
      </c>
      <c r="Q28" s="501">
        <f t="shared" si="4"/>
        <v>89540.510519294927</v>
      </c>
      <c r="R28" s="502">
        <f t="shared" si="5"/>
        <v>87547.523516237401</v>
      </c>
      <c r="S28" s="503">
        <f t="shared" si="6"/>
        <v>-1992.9870030575257</v>
      </c>
      <c r="T28" s="501">
        <f t="shared" si="7"/>
        <v>37159.489480705073</v>
      </c>
      <c r="U28" s="502">
        <f t="shared" si="8"/>
        <v>40360.635370151795</v>
      </c>
      <c r="V28" s="503">
        <f t="shared" si="9"/>
        <v>3201.1458894467214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222</v>
      </c>
      <c r="F4" s="184"/>
      <c r="I4" s="184"/>
    </row>
    <row r="5" spans="4:22" ht="21.95" customHeight="1"/>
    <row r="6" spans="4:22" ht="24" customHeight="1" thickBot="1">
      <c r="D6" s="825" t="s">
        <v>11</v>
      </c>
      <c r="E6" s="439" t="s">
        <v>156</v>
      </c>
      <c r="F6" s="440"/>
      <c r="G6" s="441"/>
      <c r="H6" s="439" t="s">
        <v>155</v>
      </c>
      <c r="I6" s="440"/>
      <c r="J6" s="441"/>
      <c r="K6" s="439" t="s">
        <v>154</v>
      </c>
      <c r="L6" s="440"/>
      <c r="M6" s="441"/>
      <c r="N6" s="439" t="s">
        <v>153</v>
      </c>
      <c r="O6" s="440"/>
      <c r="P6" s="441"/>
      <c r="Q6" s="439" t="s">
        <v>152</v>
      </c>
      <c r="R6" s="440"/>
      <c r="S6" s="441"/>
      <c r="T6" s="439" t="s">
        <v>151</v>
      </c>
      <c r="U6" s="440"/>
      <c r="V6" s="441"/>
    </row>
    <row r="7" spans="4:22" ht="24" customHeight="1">
      <c r="D7" s="826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544">
        <f>+[5]합계!$G$9</f>
        <v>100466.75014172916</v>
      </c>
      <c r="F8" s="545">
        <f>+[5]합계!$H$9</f>
        <v>100357.66991733019</v>
      </c>
      <c r="G8" s="546">
        <f>+F8-E8</f>
        <v>-109.08022439897468</v>
      </c>
      <c r="H8" s="544">
        <f>+[5]합계!$G$10</f>
        <v>91255.231452293796</v>
      </c>
      <c r="I8" s="545">
        <f>+[5]합계!$H$10</f>
        <v>92707.379031114935</v>
      </c>
      <c r="J8" s="546">
        <f>+I8-H8</f>
        <v>1452.1475788211392</v>
      </c>
      <c r="K8" s="544">
        <f>+[5]합계!$G$12</f>
        <v>64128.030723027819</v>
      </c>
      <c r="L8" s="545">
        <f>+[5]합계!$H$12</f>
        <v>63874.905434158994</v>
      </c>
      <c r="M8" s="546">
        <f>+L8-K8</f>
        <v>-253.12528886882501</v>
      </c>
      <c r="N8" s="544">
        <f>+[5]합계!$G$13</f>
        <v>40439.051731560729</v>
      </c>
      <c r="O8" s="545">
        <f>+[5]합계!$H$13</f>
        <v>40105.187537437596</v>
      </c>
      <c r="P8" s="546">
        <f>+O8-N8</f>
        <v>-333.86419412313262</v>
      </c>
      <c r="Q8" s="544">
        <f>+[5]합계!$G$16</f>
        <v>12802.179431413766</v>
      </c>
      <c r="R8" s="545">
        <f>+[5]합계!$H$16</f>
        <v>13322.601851802663</v>
      </c>
      <c r="S8" s="546">
        <f>+R8-Q8</f>
        <v>520.42242038889708</v>
      </c>
      <c r="T8" s="544">
        <f>+[5]합계!$G$17</f>
        <v>15998.03984184275</v>
      </c>
      <c r="U8" s="545">
        <f>+[5]합계!$H$17</f>
        <v>16098.594147423821</v>
      </c>
      <c r="V8" s="546">
        <f>+U8-T8</f>
        <v>100.55430558107037</v>
      </c>
    </row>
    <row r="9" spans="4:22" ht="24" customHeight="1">
      <c r="D9" s="471" t="s">
        <v>19</v>
      </c>
      <c r="E9" s="547">
        <f>+[5]수도권!$G$9</f>
        <v>99999.999999999985</v>
      </c>
      <c r="F9" s="548">
        <f>+[5]수도권!$H$9</f>
        <v>100000.12657459544</v>
      </c>
      <c r="G9" s="549">
        <f t="shared" ref="G9:G28" si="0">+F9-E9</f>
        <v>0.12657459545880556</v>
      </c>
      <c r="H9" s="547">
        <f>+[5]수도권!$G$10</f>
        <v>92886.386089106818</v>
      </c>
      <c r="I9" s="548">
        <f>+[5]수도권!$H$10</f>
        <v>99992.961499250567</v>
      </c>
      <c r="J9" s="549">
        <f t="shared" ref="J9:J28" si="1">+I9-H9</f>
        <v>7106.5754101437487</v>
      </c>
      <c r="K9" s="547">
        <f>+[5]수도권!$G$12</f>
        <v>64309.018954162413</v>
      </c>
      <c r="L9" s="548">
        <f>+[5]수도권!$H$12</f>
        <v>63905.335499792433</v>
      </c>
      <c r="M9" s="549">
        <f t="shared" ref="M9:M28" si="2">+L9-K9</f>
        <v>-403.68345436998061</v>
      </c>
      <c r="N9" s="547">
        <f>+[5]수도권!$G$13</f>
        <v>45159.743002992429</v>
      </c>
      <c r="O9" s="548">
        <f>+[5]수도권!$H$13</f>
        <v>44772.615438588611</v>
      </c>
      <c r="P9" s="549">
        <f t="shared" ref="P9:P28" si="3">+O9-N9</f>
        <v>-387.12756440381781</v>
      </c>
      <c r="Q9" s="547">
        <f>+[5]수도권!$G$16</f>
        <v>15362.420420635515</v>
      </c>
      <c r="R9" s="548">
        <f>+[5]수도권!$H$16</f>
        <v>16233.22766884364</v>
      </c>
      <c r="S9" s="549">
        <f t="shared" ref="S9:S28" si="4">+R9-Q9</f>
        <v>870.80724820812429</v>
      </c>
      <c r="T9" s="547">
        <f>+[5]수도권!$G$17</f>
        <v>14758.696705766164</v>
      </c>
      <c r="U9" s="548">
        <f>+[5]수도권!$H$17</f>
        <v>14887.381353724757</v>
      </c>
      <c r="V9" s="549">
        <f t="shared" ref="V9:V28" si="5">+U9-T9</f>
        <v>128.6846479585929</v>
      </c>
    </row>
    <row r="10" spans="4:22" ht="24" customHeight="1">
      <c r="D10" s="472" t="s">
        <v>20</v>
      </c>
      <c r="E10" s="550">
        <f>+[5]영남권!$G$9</f>
        <v>100000.00000000001</v>
      </c>
      <c r="F10" s="551">
        <f>+[5]영남권!$H$9</f>
        <v>100001.56362287974</v>
      </c>
      <c r="G10" s="552">
        <f t="shared" si="0"/>
        <v>1.5636228797229705</v>
      </c>
      <c r="H10" s="550">
        <f>+[5]영남권!$G$10</f>
        <v>92100</v>
      </c>
      <c r="I10" s="551">
        <f>+[5]영남권!$H$10</f>
        <v>92630.146095277465</v>
      </c>
      <c r="J10" s="552">
        <f t="shared" si="1"/>
        <v>530.14609527746507</v>
      </c>
      <c r="K10" s="550">
        <f>+[5]영남권!$G$12</f>
        <v>63765.063300201298</v>
      </c>
      <c r="L10" s="551">
        <f>+[5]영남권!$H$12</f>
        <v>63508.920196904881</v>
      </c>
      <c r="M10" s="552">
        <f t="shared" si="2"/>
        <v>-256.14310329641739</v>
      </c>
      <c r="N10" s="550">
        <f>+[5]영남권!$G$13</f>
        <v>35365.118541015458</v>
      </c>
      <c r="O10" s="551">
        <f>+[5]영남권!$H$13</f>
        <v>35381.01178948197</v>
      </c>
      <c r="P10" s="552">
        <f t="shared" si="3"/>
        <v>15.893248466512887</v>
      </c>
      <c r="Q10" s="550">
        <f>+[5]영남권!$G$16</f>
        <v>10376.951684988848</v>
      </c>
      <c r="R10" s="551">
        <f>+[5]영남권!$H$16</f>
        <v>11033.368592496126</v>
      </c>
      <c r="S10" s="552">
        <f t="shared" si="4"/>
        <v>656.41690750727867</v>
      </c>
      <c r="T10" s="550">
        <f>+[5]영남권!$G$17</f>
        <v>17782.675266851675</v>
      </c>
      <c r="U10" s="551">
        <f>+[5]영남권!$H$17</f>
        <v>17774.017975567393</v>
      </c>
      <c r="V10" s="552">
        <f t="shared" si="5"/>
        <v>-8.6572912842821097</v>
      </c>
    </row>
    <row r="11" spans="4:22" ht="24" customHeight="1">
      <c r="D11" s="473" t="s">
        <v>57</v>
      </c>
      <c r="E11" s="553">
        <f>+[5]중부권!$G$9</f>
        <v>102498.26149290767</v>
      </c>
      <c r="F11" s="554">
        <f>+[5]중부권!$H$9</f>
        <v>101874.18750815217</v>
      </c>
      <c r="G11" s="555">
        <f t="shared" si="0"/>
        <v>-624.07398475549417</v>
      </c>
      <c r="H11" s="553">
        <f>+[5]중부권!$G$10</f>
        <v>88033.452203534165</v>
      </c>
      <c r="I11" s="554">
        <f>+[5]중부권!$H$10</f>
        <v>90101.718657990772</v>
      </c>
      <c r="J11" s="555">
        <f t="shared" si="1"/>
        <v>2068.2664544566069</v>
      </c>
      <c r="K11" s="553">
        <f>+[5]중부권!$G$12</f>
        <v>64704.074243923627</v>
      </c>
      <c r="L11" s="554">
        <f>+[5]중부권!$H$12</f>
        <v>64566.888659969052</v>
      </c>
      <c r="M11" s="555">
        <f t="shared" si="2"/>
        <v>-137.18558395457512</v>
      </c>
      <c r="N11" s="553">
        <f>+[5]중부권!$G$13</f>
        <v>41161.35427931774</v>
      </c>
      <c r="O11" s="554">
        <f>+[5]중부권!$H$13</f>
        <v>41572.172200986446</v>
      </c>
      <c r="P11" s="555">
        <f t="shared" si="3"/>
        <v>410.81792166870582</v>
      </c>
      <c r="Q11" s="553">
        <f>+[5]중부권!$G$16</f>
        <v>12575.26959973633</v>
      </c>
      <c r="R11" s="554">
        <f>+[5]중부권!$H$16</f>
        <v>12774.158716702577</v>
      </c>
      <c r="S11" s="555">
        <f t="shared" si="4"/>
        <v>198.88911696624746</v>
      </c>
      <c r="T11" s="553">
        <f>+[5]중부권!$G$17</f>
        <v>14559.491711753533</v>
      </c>
      <c r="U11" s="554">
        <f>+[5]중부권!$H$17</f>
        <v>14423.888912057026</v>
      </c>
      <c r="V11" s="555">
        <f t="shared" si="5"/>
        <v>-135.60279969650765</v>
      </c>
    </row>
    <row r="12" spans="4:22" ht="24" customHeight="1">
      <c r="D12" s="485" t="s">
        <v>22</v>
      </c>
      <c r="E12" s="556">
        <f>+[5]안양!$G$9</f>
        <v>100000</v>
      </c>
      <c r="F12" s="557">
        <f>+[5]안양!$H$9</f>
        <v>100000.34755744917</v>
      </c>
      <c r="G12" s="558">
        <f t="shared" si="0"/>
        <v>0.34755744917492848</v>
      </c>
      <c r="H12" s="556">
        <f>+[5]안양!$G$10</f>
        <v>87100</v>
      </c>
      <c r="I12" s="557">
        <f>+[5]안양!$H$10</f>
        <v>81095.14108144035</v>
      </c>
      <c r="J12" s="558">
        <f t="shared" si="1"/>
        <v>-6004.8589185596502</v>
      </c>
      <c r="K12" s="556">
        <f>+[5]안양!$G$12</f>
        <v>64000</v>
      </c>
      <c r="L12" s="557">
        <f>+[5]안양!$H$12</f>
        <v>63952.271889761047</v>
      </c>
      <c r="M12" s="558">
        <f t="shared" si="2"/>
        <v>-47.728110238953377</v>
      </c>
      <c r="N12" s="556">
        <f>+[5]안양!$G$13</f>
        <v>45000</v>
      </c>
      <c r="O12" s="557">
        <f>+[5]안양!$H$13</f>
        <v>43631.249524301049</v>
      </c>
      <c r="P12" s="558">
        <f t="shared" si="3"/>
        <v>-1368.750475698951</v>
      </c>
      <c r="Q12" s="556">
        <f>+[5]안양!$G$16</f>
        <v>15333.333333333334</v>
      </c>
      <c r="R12" s="557">
        <f>+[5]안양!$H$16</f>
        <v>16706.505044940437</v>
      </c>
      <c r="S12" s="558">
        <f t="shared" si="4"/>
        <v>1373.1717116071031</v>
      </c>
      <c r="T12" s="556">
        <f>+[5]안양!$G$17</f>
        <v>15161.290322580648</v>
      </c>
      <c r="U12" s="557">
        <f>+[5]안양!$H$17</f>
        <v>15762.698427369376</v>
      </c>
      <c r="V12" s="558">
        <f t="shared" si="5"/>
        <v>601.40810478872845</v>
      </c>
    </row>
    <row r="13" spans="4:22" ht="24" customHeight="1">
      <c r="D13" s="451" t="s">
        <v>23</v>
      </c>
      <c r="E13" s="559">
        <f>+[5]인천!$G$9</f>
        <v>100000</v>
      </c>
      <c r="F13" s="560">
        <f>+[5]인천!$H$9</f>
        <v>99999.998712589106</v>
      </c>
      <c r="G13" s="561">
        <f t="shared" si="0"/>
        <v>-1.2874108942924067E-3</v>
      </c>
      <c r="H13" s="559">
        <f>+[5]인천!$G$10</f>
        <v>99500.000000000015</v>
      </c>
      <c r="I13" s="560">
        <f>+[5]인천!$H$10</f>
        <v>102199.9978787193</v>
      </c>
      <c r="J13" s="561">
        <f t="shared" si="1"/>
        <v>2699.9978787192813</v>
      </c>
      <c r="K13" s="559">
        <f>+[5]인천!$G$12</f>
        <v>64500</v>
      </c>
      <c r="L13" s="560">
        <f>+[5]인천!$H$12</f>
        <v>64477.195055547665</v>
      </c>
      <c r="M13" s="561">
        <f t="shared" si="2"/>
        <v>-22.804944452334894</v>
      </c>
      <c r="N13" s="559">
        <f>+[5]인천!$G$13</f>
        <v>45000</v>
      </c>
      <c r="O13" s="560">
        <f>+[5]인천!$H$13</f>
        <v>44755.384904345708</v>
      </c>
      <c r="P13" s="561">
        <f t="shared" si="3"/>
        <v>-244.61509565429151</v>
      </c>
      <c r="Q13" s="559">
        <f>+[5]인천!$G$16</f>
        <v>15733.333333333334</v>
      </c>
      <c r="R13" s="560">
        <f>+[5]인천!$H$16</f>
        <v>16053.543396461315</v>
      </c>
      <c r="S13" s="561">
        <f t="shared" si="4"/>
        <v>320.2100631279809</v>
      </c>
      <c r="T13" s="559">
        <f>+[5]인천!$G$17</f>
        <v>15504.0349141267</v>
      </c>
      <c r="U13" s="560">
        <f>+[5]인천!$H$17</f>
        <v>15060.484311764943</v>
      </c>
      <c r="V13" s="561">
        <f t="shared" si="5"/>
        <v>-443.55060236175632</v>
      </c>
    </row>
    <row r="14" spans="4:22" ht="24" customHeight="1">
      <c r="D14" s="451" t="s">
        <v>24</v>
      </c>
      <c r="E14" s="559">
        <f>+[5]파주!$G$9</f>
        <v>99999.999999999985</v>
      </c>
      <c r="F14" s="560">
        <f>+[5]파주!$H$9</f>
        <v>99999.984898286799</v>
      </c>
      <c r="G14" s="561">
        <f t="shared" si="0"/>
        <v>-1.5101713186595589E-2</v>
      </c>
      <c r="H14" s="559">
        <f>+[5]파주!$G$10</f>
        <v>0</v>
      </c>
      <c r="I14" s="560">
        <f>+[5]파주!$H$10</f>
        <v>98338.357285112172</v>
      </c>
      <c r="J14" s="561">
        <f t="shared" si="1"/>
        <v>98338.357285112172</v>
      </c>
      <c r="K14" s="559">
        <f>+[5]파주!$G$12</f>
        <v>64499.999999999985</v>
      </c>
      <c r="L14" s="560">
        <f>+[5]파주!$H$12</f>
        <v>64519.255685179232</v>
      </c>
      <c r="M14" s="561">
        <f t="shared" si="2"/>
        <v>19.255685179246939</v>
      </c>
      <c r="N14" s="559">
        <f>+[5]파주!$G$13</f>
        <v>44999.999999999993</v>
      </c>
      <c r="O14" s="560">
        <f>+[5]파주!$H$13</f>
        <v>46199.429423730835</v>
      </c>
      <c r="P14" s="561">
        <f t="shared" si="3"/>
        <v>1199.4294237308422</v>
      </c>
      <c r="Q14" s="559">
        <f>+[5]파주!$G$16</f>
        <v>15266.66666666667</v>
      </c>
      <c r="R14" s="560">
        <f>+[5]파주!$H$16</f>
        <v>16540.49030319204</v>
      </c>
      <c r="S14" s="561">
        <f t="shared" si="4"/>
        <v>1273.8236365253706</v>
      </c>
      <c r="T14" s="559">
        <f>+[5]파주!$G$17</f>
        <v>13419.35483870968</v>
      </c>
      <c r="U14" s="560">
        <f>+[5]파주!$H$17</f>
        <v>13444.214277453861</v>
      </c>
      <c r="V14" s="561">
        <f t="shared" si="5"/>
        <v>24.859438744180807</v>
      </c>
    </row>
    <row r="15" spans="4:22" ht="24" customHeight="1">
      <c r="D15" s="451" t="s">
        <v>178</v>
      </c>
      <c r="E15" s="559">
        <f>+[5]김포!$G$9</f>
        <v>100000</v>
      </c>
      <c r="F15" s="560">
        <f>+[5]김포!$H$9</f>
        <v>99999.976202636084</v>
      </c>
      <c r="G15" s="561">
        <f t="shared" si="0"/>
        <v>-2.3797363915946335E-2</v>
      </c>
      <c r="H15" s="559">
        <f>+[5]김포!$G$10</f>
        <v>0</v>
      </c>
      <c r="I15" s="560">
        <f>+[5]김포!$H$10</f>
        <v>0</v>
      </c>
      <c r="J15" s="561">
        <f t="shared" si="1"/>
        <v>0</v>
      </c>
      <c r="K15" s="559">
        <f>+[5]김포!$G$12</f>
        <v>64300</v>
      </c>
      <c r="L15" s="560">
        <f>+[5]김포!$H$12</f>
        <v>61862.553137140334</v>
      </c>
      <c r="M15" s="561">
        <f t="shared" si="2"/>
        <v>-2437.446862859666</v>
      </c>
      <c r="N15" s="559">
        <f>+[5]김포!$G$13</f>
        <v>46000</v>
      </c>
      <c r="O15" s="560">
        <f>+[5]김포!$H$13</f>
        <v>46368.781437535989</v>
      </c>
      <c r="P15" s="561">
        <f t="shared" si="3"/>
        <v>368.78143753598852</v>
      </c>
      <c r="Q15" s="559">
        <f>+[5]김포!$G$16</f>
        <v>14666.666666666666</v>
      </c>
      <c r="R15" s="560">
        <f>+[5]김포!$H$16</f>
        <v>14600.000308635776</v>
      </c>
      <c r="S15" s="561">
        <f t="shared" si="4"/>
        <v>-66.666358030890478</v>
      </c>
      <c r="T15" s="559">
        <f>+[5]김포!$G$17</f>
        <v>14396.989103318681</v>
      </c>
      <c r="U15" s="560">
        <f>+[5]김포!$H$17</f>
        <v>14755.811351643297</v>
      </c>
      <c r="V15" s="561">
        <f t="shared" si="5"/>
        <v>358.82224832461543</v>
      </c>
    </row>
    <row r="16" spans="4:22" ht="24" customHeight="1">
      <c r="D16" s="486" t="s">
        <v>25</v>
      </c>
      <c r="E16" s="562">
        <f>+[5]부산!$G$9</f>
        <v>100000</v>
      </c>
      <c r="F16" s="563">
        <f>+[5]부산!$H$9</f>
        <v>100001.45038811634</v>
      </c>
      <c r="G16" s="564">
        <f t="shared" si="0"/>
        <v>1.4503881163400365</v>
      </c>
      <c r="H16" s="562">
        <f>+[5]부산!$G$10</f>
        <v>92100.000000000015</v>
      </c>
      <c r="I16" s="563">
        <f>+[5]부산!$H$10</f>
        <v>93431.13144574844</v>
      </c>
      <c r="J16" s="564">
        <f t="shared" si="1"/>
        <v>1331.1314457484259</v>
      </c>
      <c r="K16" s="562">
        <f>+[5]부산!$G$12</f>
        <v>65000</v>
      </c>
      <c r="L16" s="563">
        <f>+[5]부산!$H$12</f>
        <v>0</v>
      </c>
      <c r="M16" s="564">
        <f t="shared" si="2"/>
        <v>-65000</v>
      </c>
      <c r="N16" s="562">
        <f>+[5]부산!$G$13</f>
        <v>36500</v>
      </c>
      <c r="O16" s="563">
        <f>+[5]부산!$H$13</f>
        <v>36499.98580490458</v>
      </c>
      <c r="P16" s="564">
        <f t="shared" si="3"/>
        <v>-1.4195095420291182E-2</v>
      </c>
      <c r="Q16" s="562">
        <f>+[5]부산!$G$16</f>
        <v>10738.439941574261</v>
      </c>
      <c r="R16" s="563">
        <f>+[5]부산!$H$16</f>
        <v>11848.780550493993</v>
      </c>
      <c r="S16" s="564">
        <f t="shared" si="4"/>
        <v>1110.3406089197324</v>
      </c>
      <c r="T16" s="562">
        <f>+[5]부산!$G$17</f>
        <v>18749.207232603669</v>
      </c>
      <c r="U16" s="563">
        <f>+[5]부산!$H$17</f>
        <v>18368.020947405428</v>
      </c>
      <c r="V16" s="564">
        <f t="shared" si="5"/>
        <v>-381.18628519824051</v>
      </c>
    </row>
    <row r="17" spans="4:25" ht="24" customHeight="1">
      <c r="D17" s="451" t="s">
        <v>26</v>
      </c>
      <c r="E17" s="559">
        <f>+[5]서부산!$G$9</f>
        <v>100000</v>
      </c>
      <c r="F17" s="560">
        <f>+[5]서부산!$H$9</f>
        <v>100010.35365276615</v>
      </c>
      <c r="G17" s="561">
        <f t="shared" si="0"/>
        <v>10.353652766149025</v>
      </c>
      <c r="H17" s="559">
        <f>+[5]서부산!$G$10</f>
        <v>92100.000000000015</v>
      </c>
      <c r="I17" s="560">
        <f>+[5]서부산!$H$10</f>
        <v>92109.74129815471</v>
      </c>
      <c r="J17" s="561">
        <f t="shared" si="1"/>
        <v>9.7412981546949595</v>
      </c>
      <c r="K17" s="559">
        <f>+[5]서부산!$G$12</f>
        <v>65000</v>
      </c>
      <c r="L17" s="560">
        <f>+[5]서부산!$H$12</f>
        <v>65325.304275710281</v>
      </c>
      <c r="M17" s="561">
        <f t="shared" si="2"/>
        <v>325.30427571028122</v>
      </c>
      <c r="N17" s="559">
        <f>+[5]서부산!$G$13</f>
        <v>35200</v>
      </c>
      <c r="O17" s="560">
        <f>+[5]서부산!$H$13</f>
        <v>35328.071530750487</v>
      </c>
      <c r="P17" s="561">
        <f t="shared" si="3"/>
        <v>128.071530750487</v>
      </c>
      <c r="Q17" s="559">
        <f>+[5]서부산!$G$16</f>
        <v>10666.666666666666</v>
      </c>
      <c r="R17" s="560">
        <f>+[5]서부산!$H$16</f>
        <v>11287.219173833661</v>
      </c>
      <c r="S17" s="561">
        <f t="shared" si="4"/>
        <v>620.55250716699447</v>
      </c>
      <c r="T17" s="559">
        <f>+[5]서부산!$G$17</f>
        <v>19013.585476554003</v>
      </c>
      <c r="U17" s="560">
        <f>+[5]서부산!$H$17</f>
        <v>18668.568419586358</v>
      </c>
      <c r="V17" s="561">
        <f t="shared" si="5"/>
        <v>-345.01705696764475</v>
      </c>
    </row>
    <row r="18" spans="4:25" ht="24" customHeight="1">
      <c r="D18" s="451" t="s">
        <v>27</v>
      </c>
      <c r="E18" s="559">
        <f>+[5]김해!$G$9</f>
        <v>100000</v>
      </c>
      <c r="F18" s="560">
        <f>+[5]김해!$H$9</f>
        <v>100001.27159202532</v>
      </c>
      <c r="G18" s="561">
        <f t="shared" si="0"/>
        <v>1.2715920253249351</v>
      </c>
      <c r="H18" s="559">
        <f>+[5]김해!$G$10</f>
        <v>92100.000000000015</v>
      </c>
      <c r="I18" s="560">
        <f>+[5]김해!$H$10</f>
        <v>92099.87947174799</v>
      </c>
      <c r="J18" s="561">
        <f t="shared" si="1"/>
        <v>-0.12052825202408712</v>
      </c>
      <c r="K18" s="559">
        <f>+[5]김해!$G$12</f>
        <v>64000</v>
      </c>
      <c r="L18" s="560">
        <f>+[5]김해!$H$12</f>
        <v>62271.117141454284</v>
      </c>
      <c r="M18" s="561">
        <f t="shared" si="2"/>
        <v>-1728.8828585457159</v>
      </c>
      <c r="N18" s="559">
        <f>+[5]김해!$G$13</f>
        <v>35000</v>
      </c>
      <c r="O18" s="560">
        <f>+[5]김해!$H$13</f>
        <v>34999.957246760823</v>
      </c>
      <c r="P18" s="561">
        <f t="shared" si="3"/>
        <v>-4.275323917681817E-2</v>
      </c>
      <c r="Q18" s="559">
        <f>+[5]김해!$G$16</f>
        <v>9533.3333333333339</v>
      </c>
      <c r="R18" s="560">
        <f>+[5]김해!$H$16</f>
        <v>9646.3715889407376</v>
      </c>
      <c r="S18" s="561">
        <f t="shared" si="4"/>
        <v>113.0382556074037</v>
      </c>
      <c r="T18" s="559">
        <f>+[5]김해!$G$17</f>
        <v>17954.927176534206</v>
      </c>
      <c r="U18" s="560">
        <f>+[5]김해!$H$17</f>
        <v>16427.48957704824</v>
      </c>
      <c r="V18" s="561">
        <f t="shared" si="5"/>
        <v>-1527.4375994859656</v>
      </c>
    </row>
    <row r="19" spans="4:25" ht="24" customHeight="1">
      <c r="D19" s="451" t="s">
        <v>28</v>
      </c>
      <c r="E19" s="559">
        <f>+[5]정관!$G$9</f>
        <v>100000</v>
      </c>
      <c r="F19" s="560">
        <f>+[5]정관!$H$9</f>
        <v>100033.74964572016</v>
      </c>
      <c r="G19" s="561">
        <f t="shared" si="0"/>
        <v>33.749645720163244</v>
      </c>
      <c r="H19" s="559">
        <f>+[5]정관!$G$10</f>
        <v>92100.000000000015</v>
      </c>
      <c r="I19" s="560">
        <f>+[5]정관!$H$10</f>
        <v>92096.97573252664</v>
      </c>
      <c r="J19" s="561">
        <f t="shared" si="1"/>
        <v>-3.0242674733744934</v>
      </c>
      <c r="K19" s="559">
        <f>+[5]정관!$G$12</f>
        <v>63499.999999999993</v>
      </c>
      <c r="L19" s="560">
        <f>+[5]정관!$H$12</f>
        <v>63558.150594530365</v>
      </c>
      <c r="M19" s="561">
        <f t="shared" si="2"/>
        <v>58.150594530372473</v>
      </c>
      <c r="N19" s="559">
        <f>+[5]정관!$G$13</f>
        <v>35500</v>
      </c>
      <c r="O19" s="560">
        <f>+[5]정관!$H$13</f>
        <v>35500.001951315055</v>
      </c>
      <c r="P19" s="561">
        <f t="shared" si="3"/>
        <v>1.9513150546117686E-3</v>
      </c>
      <c r="Q19" s="559">
        <f>+[5]정관!$G$16</f>
        <v>10733.333333333332</v>
      </c>
      <c r="R19" s="560">
        <f>+[5]정관!$H$16</f>
        <v>11948.09538400362</v>
      </c>
      <c r="S19" s="561">
        <f t="shared" si="4"/>
        <v>1214.7620506702879</v>
      </c>
      <c r="T19" s="559">
        <f>+[5]정관!$G$17</f>
        <v>18315.17101363598</v>
      </c>
      <c r="U19" s="560">
        <f>+[5]정관!$H$17</f>
        <v>19265.946925120381</v>
      </c>
      <c r="V19" s="561">
        <f t="shared" si="5"/>
        <v>950.77591148440115</v>
      </c>
    </row>
    <row r="20" spans="4:25" ht="24" customHeight="1">
      <c r="D20" s="451" t="s">
        <v>29</v>
      </c>
      <c r="E20" s="559">
        <f>+[5]양산!$G$9</f>
        <v>100000</v>
      </c>
      <c r="F20" s="560">
        <f>+[5]양산!$H$9</f>
        <v>99939.886827802591</v>
      </c>
      <c r="G20" s="561">
        <f t="shared" si="0"/>
        <v>-60.113172197408858</v>
      </c>
      <c r="H20" s="559">
        <f>+[5]양산!$G$10</f>
        <v>92100.000000000015</v>
      </c>
      <c r="I20" s="560">
        <f>+[5]양산!$H$10</f>
        <v>0</v>
      </c>
      <c r="J20" s="561">
        <f t="shared" si="1"/>
        <v>-92100.000000000015</v>
      </c>
      <c r="K20" s="559">
        <f>+[5]양산!$G$12</f>
        <v>63000</v>
      </c>
      <c r="L20" s="560">
        <f>+[5]양산!$H$12</f>
        <v>63346.65974662501</v>
      </c>
      <c r="M20" s="561">
        <f t="shared" si="2"/>
        <v>346.65974662500957</v>
      </c>
      <c r="N20" s="559">
        <f>+[5]양산!$G$13</f>
        <v>35999.999999999993</v>
      </c>
      <c r="O20" s="560">
        <f>+[5]양산!$H$13</f>
        <v>35999.988944262019</v>
      </c>
      <c r="P20" s="561">
        <f t="shared" si="3"/>
        <v>-1.1055737973947544E-2</v>
      </c>
      <c r="Q20" s="559">
        <f>+[5]양산!$G$16</f>
        <v>9066.6666666666661</v>
      </c>
      <c r="R20" s="560">
        <f>+[5]양산!$H$16</f>
        <v>9621.6073248042831</v>
      </c>
      <c r="S20" s="561">
        <f t="shared" si="4"/>
        <v>554.94065813761699</v>
      </c>
      <c r="T20" s="559">
        <f>+[5]양산!$G$17</f>
        <v>17371.770748472212</v>
      </c>
      <c r="U20" s="560">
        <f>+[5]양산!$H$17</f>
        <v>17705.780072907586</v>
      </c>
      <c r="V20" s="561">
        <f t="shared" si="5"/>
        <v>334.00932443537386</v>
      </c>
    </row>
    <row r="21" spans="4:25" ht="24" customHeight="1">
      <c r="D21" s="451" t="s">
        <v>30</v>
      </c>
      <c r="E21" s="559">
        <f>+[5]창원!$G$9</f>
        <v>100000</v>
      </c>
      <c r="F21" s="560">
        <f>+[5]창원!$H$9</f>
        <v>99999.808905176193</v>
      </c>
      <c r="G21" s="561">
        <f t="shared" si="0"/>
        <v>-0.19109482380736154</v>
      </c>
      <c r="H21" s="559">
        <f>+[5]창원!$G$10</f>
        <v>0</v>
      </c>
      <c r="I21" s="560">
        <f>+[5]창원!$H$10</f>
        <v>0</v>
      </c>
      <c r="J21" s="561">
        <f t="shared" si="1"/>
        <v>0</v>
      </c>
      <c r="K21" s="559">
        <f>+[5]창원!$G$12</f>
        <v>65000</v>
      </c>
      <c r="L21" s="560">
        <f>+[5]창원!$H$12</f>
        <v>65037.382075550791</v>
      </c>
      <c r="M21" s="561">
        <f t="shared" si="2"/>
        <v>37.382075550791342</v>
      </c>
      <c r="N21" s="559">
        <f>+[5]창원!$G$13</f>
        <v>33000</v>
      </c>
      <c r="O21" s="560">
        <f>+[5]창원!$H$13</f>
        <v>32999.999118001702</v>
      </c>
      <c r="P21" s="561">
        <f t="shared" si="3"/>
        <v>-8.8199829770019278E-4</v>
      </c>
      <c r="Q21" s="559">
        <f>+[5]창원!$G$16</f>
        <v>10400</v>
      </c>
      <c r="R21" s="560">
        <f>+[5]창원!$H$16</f>
        <v>11236.418165139186</v>
      </c>
      <c r="S21" s="561">
        <f t="shared" si="4"/>
        <v>836.41816513918639</v>
      </c>
      <c r="T21" s="559">
        <f>+[5]창원!$G$17</f>
        <v>17019.616516901086</v>
      </c>
      <c r="U21" s="560">
        <f>+[5]창원!$H$17</f>
        <v>17639.222601950583</v>
      </c>
      <c r="V21" s="561">
        <f t="shared" si="5"/>
        <v>619.60608504949778</v>
      </c>
      <c r="Y21" s="543"/>
    </row>
    <row r="22" spans="4:25" ht="24" customHeight="1">
      <c r="D22" s="451" t="s">
        <v>95</v>
      </c>
      <c r="E22" s="559">
        <f>+[5]대구!$G$9</f>
        <v>100000</v>
      </c>
      <c r="F22" s="560">
        <f>+[5]대구!$H$9</f>
        <v>99999.974839448449</v>
      </c>
      <c r="G22" s="561">
        <f t="shared" si="0"/>
        <v>-2.5160551551380195E-2</v>
      </c>
      <c r="H22" s="559">
        <f>+[5]대구!$G$10</f>
        <v>0</v>
      </c>
      <c r="I22" s="560">
        <f>+[5]대구!$H$10</f>
        <v>0</v>
      </c>
      <c r="J22" s="561">
        <f t="shared" si="1"/>
        <v>0</v>
      </c>
      <c r="K22" s="559">
        <f>+[5]대구!$G$12</f>
        <v>62499.999999999993</v>
      </c>
      <c r="L22" s="560">
        <f>+[5]대구!$H$12</f>
        <v>62822.447194535482</v>
      </c>
      <c r="M22" s="561">
        <f t="shared" si="2"/>
        <v>322.44719453548896</v>
      </c>
      <c r="N22" s="559">
        <f>+[5]대구!$G$13</f>
        <v>35500</v>
      </c>
      <c r="O22" s="560">
        <f>+[5]대구!$H$13</f>
        <v>35131.419514272289</v>
      </c>
      <c r="P22" s="561">
        <f t="shared" si="3"/>
        <v>-368.58048572771077</v>
      </c>
      <c r="Q22" s="559">
        <f>+[5]대구!$G$16</f>
        <v>10466.666666666668</v>
      </c>
      <c r="R22" s="560">
        <f>+[5]대구!$H$16</f>
        <v>10510.855089376799</v>
      </c>
      <c r="S22" s="561">
        <f t="shared" si="4"/>
        <v>44.188422710130908</v>
      </c>
      <c r="T22" s="559">
        <f>+[5]대구!$G$17</f>
        <v>14718.131256952169</v>
      </c>
      <c r="U22" s="560">
        <f>+[5]대구!$H$17</f>
        <v>14692.275904013564</v>
      </c>
      <c r="V22" s="561">
        <f t="shared" si="5"/>
        <v>-25.855352938604483</v>
      </c>
    </row>
    <row r="23" spans="4:25" ht="24" customHeight="1">
      <c r="D23" s="451" t="s">
        <v>97</v>
      </c>
      <c r="E23" s="559">
        <f>+[5]울산!$G$9</f>
        <v>100000</v>
      </c>
      <c r="F23" s="560">
        <f>+[5]울산!$H$9</f>
        <v>99999.32766358454</v>
      </c>
      <c r="G23" s="561">
        <f t="shared" si="0"/>
        <v>-0.67233641546044964</v>
      </c>
      <c r="H23" s="559">
        <f>+[5]울산!$G$10</f>
        <v>0</v>
      </c>
      <c r="I23" s="560">
        <f>+[5]울산!$H$10</f>
        <v>0</v>
      </c>
      <c r="J23" s="561">
        <f t="shared" si="1"/>
        <v>0</v>
      </c>
      <c r="K23" s="559">
        <f>+[5]울산!$G$12</f>
        <v>61300.000000000007</v>
      </c>
      <c r="L23" s="560">
        <f>+[5]울산!$H$12</f>
        <v>61206.837657187069</v>
      </c>
      <c r="M23" s="561">
        <f t="shared" si="2"/>
        <v>-93.162342812938732</v>
      </c>
      <c r="N23" s="559">
        <f>+[5]울산!$G$13</f>
        <v>37000</v>
      </c>
      <c r="O23" s="560">
        <f>+[5]울산!$H$13</f>
        <v>36999.994218645363</v>
      </c>
      <c r="P23" s="561">
        <f t="shared" si="3"/>
        <v>-5.7813546372926794E-3</v>
      </c>
      <c r="Q23" s="559">
        <f>+[5]울산!$G$16</f>
        <v>10546.666666666666</v>
      </c>
      <c r="R23" s="560">
        <f>+[5]울산!$H$16</f>
        <v>10873.699621732991</v>
      </c>
      <c r="S23" s="561">
        <f t="shared" si="4"/>
        <v>327.03295506632458</v>
      </c>
      <c r="T23" s="559">
        <f>+[5]울산!$G$17</f>
        <v>18685.562032802794</v>
      </c>
      <c r="U23" s="560">
        <f>+[5]울산!$H$17</f>
        <v>19211.242460469912</v>
      </c>
      <c r="V23" s="561">
        <f t="shared" si="5"/>
        <v>525.68042766711733</v>
      </c>
    </row>
    <row r="24" spans="4:25" ht="24" customHeight="1">
      <c r="D24" s="486" t="s">
        <v>31</v>
      </c>
      <c r="E24" s="562">
        <f>+[5]아산!$G$9</f>
        <v>100000</v>
      </c>
      <c r="F24" s="563">
        <f>+[5]아산!$H$9</f>
        <v>101215.68154668453</v>
      </c>
      <c r="G24" s="564">
        <f t="shared" si="0"/>
        <v>1215.6815466845292</v>
      </c>
      <c r="H24" s="562">
        <f>+[5]아산!$G$10</f>
        <v>87100</v>
      </c>
      <c r="I24" s="563">
        <f>+[5]아산!$H$10</f>
        <v>87100.003197031547</v>
      </c>
      <c r="J24" s="564">
        <f t="shared" si="1"/>
        <v>3.1970315467333421E-3</v>
      </c>
      <c r="K24" s="562">
        <f>+[5]아산!$G$12</f>
        <v>64500</v>
      </c>
      <c r="L24" s="563">
        <f>+[5]아산!$H$12</f>
        <v>64402.772709262339</v>
      </c>
      <c r="M24" s="564">
        <f t="shared" si="2"/>
        <v>-97.227290737660951</v>
      </c>
      <c r="N24" s="562">
        <f>+[5]아산!$G$13</f>
        <v>42000</v>
      </c>
      <c r="O24" s="563">
        <f>+[5]아산!$H$13</f>
        <v>41650.428226901102</v>
      </c>
      <c r="P24" s="564">
        <f t="shared" si="3"/>
        <v>-349.57177309889812</v>
      </c>
      <c r="Q24" s="562">
        <f>+[5]아산!$G$16</f>
        <v>10933.333333333334</v>
      </c>
      <c r="R24" s="563">
        <f>+[5]아산!$H$16</f>
        <v>11513.72197503088</v>
      </c>
      <c r="S24" s="564">
        <f t="shared" si="4"/>
        <v>580.38864169754561</v>
      </c>
      <c r="T24" s="562">
        <f>+[5]아산!$G$17</f>
        <v>13742.248405111395</v>
      </c>
      <c r="U24" s="563">
        <f>+[5]아산!$H$17</f>
        <v>13422.799639948489</v>
      </c>
      <c r="V24" s="564">
        <f t="shared" si="5"/>
        <v>-319.44876516290606</v>
      </c>
    </row>
    <row r="25" spans="4:25" ht="24" customHeight="1">
      <c r="D25" s="451" t="s">
        <v>34</v>
      </c>
      <c r="E25" s="559">
        <f>+[5]전주!$G$9</f>
        <v>100000</v>
      </c>
      <c r="F25" s="560">
        <f>+[5]전주!$H$9</f>
        <v>99909.921417528109</v>
      </c>
      <c r="G25" s="561">
        <f t="shared" si="0"/>
        <v>-90.078582471891423</v>
      </c>
      <c r="H25" s="559">
        <f>+[5]전주!$G$10</f>
        <v>93100</v>
      </c>
      <c r="I25" s="560">
        <f>+[5]전주!$H$10</f>
        <v>94103.342901070573</v>
      </c>
      <c r="J25" s="561">
        <f t="shared" si="1"/>
        <v>1003.3429010705731</v>
      </c>
      <c r="K25" s="559">
        <f>+[5]전주!$G$12</f>
        <v>65000</v>
      </c>
      <c r="L25" s="560">
        <f>+[5]전주!$H$12</f>
        <v>64920.101518642994</v>
      </c>
      <c r="M25" s="561">
        <f t="shared" si="2"/>
        <v>-79.898481357005949</v>
      </c>
      <c r="N25" s="559">
        <f>+[5]전주!$G$13</f>
        <v>36000</v>
      </c>
      <c r="O25" s="560">
        <f>+[5]전주!$H$13</f>
        <v>36000.018208312686</v>
      </c>
      <c r="P25" s="561">
        <f t="shared" si="3"/>
        <v>1.8208312685601413E-2</v>
      </c>
      <c r="Q25" s="559">
        <f>+[5]전주!$G$16</f>
        <v>12533.333333333336</v>
      </c>
      <c r="R25" s="560">
        <f>+[5]전주!$H$16</f>
        <v>12886.150696621817</v>
      </c>
      <c r="S25" s="561">
        <f t="shared" si="4"/>
        <v>352.81736328848092</v>
      </c>
      <c r="T25" s="559">
        <f>+[5]전주!$G$17</f>
        <v>14400.088718027231</v>
      </c>
      <c r="U25" s="560">
        <f>+[5]전주!$H$17</f>
        <v>14883.59190813705</v>
      </c>
      <c r="V25" s="561">
        <f t="shared" si="5"/>
        <v>483.50319010981912</v>
      </c>
    </row>
    <row r="26" spans="4:25" ht="24" customHeight="1">
      <c r="D26" s="451" t="s">
        <v>33</v>
      </c>
      <c r="E26" s="559">
        <f>+[5]군산!$G$9</f>
        <v>100000</v>
      </c>
      <c r="F26" s="560">
        <f>+[5]군산!$H$9</f>
        <v>100000</v>
      </c>
      <c r="G26" s="561">
        <f t="shared" si="0"/>
        <v>0</v>
      </c>
      <c r="H26" s="559">
        <f>+[5]군산!$G$10</f>
        <v>95000</v>
      </c>
      <c r="I26" s="560">
        <f>+[5]군산!$H$10</f>
        <v>94534.53227153304</v>
      </c>
      <c r="J26" s="561">
        <f t="shared" si="1"/>
        <v>-465.46772846695967</v>
      </c>
      <c r="K26" s="559">
        <f>+[5]군산!$G$12</f>
        <v>64899.999999999993</v>
      </c>
      <c r="L26" s="560">
        <f>+[5]군산!$H$12</f>
        <v>64890.553575458267</v>
      </c>
      <c r="M26" s="561">
        <f t="shared" si="2"/>
        <v>-9.4464245417257189</v>
      </c>
      <c r="N26" s="559">
        <f>+[5]군산!$G$13</f>
        <v>37500</v>
      </c>
      <c r="O26" s="560">
        <f>+[5]군산!$H$13</f>
        <v>38782.173748115623</v>
      </c>
      <c r="P26" s="561">
        <f t="shared" si="3"/>
        <v>1282.1737481156233</v>
      </c>
      <c r="Q26" s="559">
        <f>+[5]군산!$G$16</f>
        <v>13666.666666666666</v>
      </c>
      <c r="R26" s="560">
        <f>+[5]군산!$H$16</f>
        <v>13963.870274341933</v>
      </c>
      <c r="S26" s="561">
        <f t="shared" si="4"/>
        <v>297.20360767526654</v>
      </c>
      <c r="T26" s="559">
        <f>+[5]군산!$G$17</f>
        <v>14837.329653268933</v>
      </c>
      <c r="U26" s="560">
        <f>+[5]군산!$H$17</f>
        <v>15081.04370111129</v>
      </c>
      <c r="V26" s="561">
        <f t="shared" si="5"/>
        <v>243.7140478423571</v>
      </c>
    </row>
    <row r="27" spans="4:25" ht="24" customHeight="1">
      <c r="D27" s="451" t="s">
        <v>32</v>
      </c>
      <c r="E27" s="559">
        <f>+[5]원주!$G$9</f>
        <v>100000.00000000001</v>
      </c>
      <c r="F27" s="560">
        <f>+[5]원주!$H$9</f>
        <v>100008.17420716086</v>
      </c>
      <c r="G27" s="561">
        <f t="shared" si="0"/>
        <v>8.174207160845981</v>
      </c>
      <c r="H27" s="559">
        <f>+[5]원주!$G$10</f>
        <v>0</v>
      </c>
      <c r="I27" s="560">
        <f>+[5]원주!$H$10</f>
        <v>0</v>
      </c>
      <c r="J27" s="561">
        <f t="shared" si="1"/>
        <v>0</v>
      </c>
      <c r="K27" s="559">
        <f>+[5]원주!$G$12</f>
        <v>64000</v>
      </c>
      <c r="L27" s="560">
        <f>+[5]원주!$H$12</f>
        <v>63767.802087510529</v>
      </c>
      <c r="M27" s="561">
        <f t="shared" si="2"/>
        <v>-232.19791248947149</v>
      </c>
      <c r="N27" s="559">
        <f>+[5]원주!$G$13</f>
        <v>48999.999999999993</v>
      </c>
      <c r="O27" s="560">
        <f>+[5]원주!$H$13</f>
        <v>48999.998059259982</v>
      </c>
      <c r="P27" s="561">
        <f t="shared" si="3"/>
        <v>-1.9407400104682893E-3</v>
      </c>
      <c r="Q27" s="559">
        <f>+[5]원주!$G$16</f>
        <v>13666.666666666668</v>
      </c>
      <c r="R27" s="560">
        <f>+[5]원주!$H$16</f>
        <v>14292.007907320347</v>
      </c>
      <c r="S27" s="561">
        <f t="shared" si="4"/>
        <v>625.34124065367905</v>
      </c>
      <c r="T27" s="559">
        <f>+[5]원주!$G$17</f>
        <v>13419.35483870968</v>
      </c>
      <c r="U27" s="560">
        <f>+[5]원주!$H$17</f>
        <v>14410.529895137608</v>
      </c>
      <c r="V27" s="561">
        <f t="shared" si="5"/>
        <v>991.17505642792821</v>
      </c>
    </row>
    <row r="28" spans="4:25" ht="24" customHeight="1">
      <c r="D28" s="500" t="s">
        <v>35</v>
      </c>
      <c r="E28" s="565">
        <f>+[5]제주!$G$9</f>
        <v>117000</v>
      </c>
      <c r="F28" s="566">
        <f>+[5]제주!$H$9</f>
        <v>116997.18133910702</v>
      </c>
      <c r="G28" s="567">
        <f t="shared" si="0"/>
        <v>-2.8186608929827344</v>
      </c>
      <c r="H28" s="565">
        <f>+[5]제주!$G$10</f>
        <v>0</v>
      </c>
      <c r="I28" s="566">
        <f>+[5]제주!$H$10</f>
        <v>0</v>
      </c>
      <c r="J28" s="567">
        <f t="shared" si="1"/>
        <v>0</v>
      </c>
      <c r="K28" s="565">
        <f>+[5]제주!$G$12</f>
        <v>0</v>
      </c>
      <c r="L28" s="566">
        <f>+[5]제주!$H$12</f>
        <v>0</v>
      </c>
      <c r="M28" s="567">
        <f t="shared" si="2"/>
        <v>0</v>
      </c>
      <c r="N28" s="565">
        <f>+[5]제주!$G$13</f>
        <v>0</v>
      </c>
      <c r="O28" s="566">
        <f>+[5]제주!$H$13</f>
        <v>0</v>
      </c>
      <c r="P28" s="567">
        <f t="shared" si="3"/>
        <v>0</v>
      </c>
      <c r="Q28" s="565">
        <f>+[5]제주!$G$16</f>
        <v>18143.333333333336</v>
      </c>
      <c r="R28" s="566">
        <f>+[5]제주!$H$16</f>
        <v>17804.665346417965</v>
      </c>
      <c r="S28" s="567">
        <f t="shared" si="4"/>
        <v>-338.66798691537042</v>
      </c>
      <c r="T28" s="565">
        <f>+[5]제주!$G$17</f>
        <v>18433.378210746429</v>
      </c>
      <c r="U28" s="566">
        <f>+[5]제주!$H$17</f>
        <v>18337.448898995772</v>
      </c>
      <c r="V28" s="567">
        <f t="shared" si="5"/>
        <v>-95.92931175065678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221</v>
      </c>
      <c r="F4" s="184"/>
      <c r="I4" s="184"/>
    </row>
    <row r="5" spans="4:22" ht="21.95" customHeight="1">
      <c r="V5" s="186" t="s">
        <v>157</v>
      </c>
    </row>
    <row r="6" spans="4:22" ht="24" customHeight="1" thickBot="1">
      <c r="D6" s="825" t="s">
        <v>11</v>
      </c>
      <c r="E6" s="439" t="s">
        <v>158</v>
      </c>
      <c r="F6" s="440"/>
      <c r="G6" s="441"/>
      <c r="H6" s="439" t="s">
        <v>159</v>
      </c>
      <c r="I6" s="440"/>
      <c r="J6" s="441"/>
      <c r="K6" s="439" t="s">
        <v>160</v>
      </c>
      <c r="L6" s="440"/>
      <c r="M6" s="441"/>
      <c r="N6" s="439" t="s">
        <v>161</v>
      </c>
      <c r="O6" s="440"/>
      <c r="P6" s="441"/>
      <c r="Q6" s="439" t="s">
        <v>162</v>
      </c>
      <c r="R6" s="440"/>
      <c r="S6" s="441"/>
      <c r="T6" s="439" t="s">
        <v>163</v>
      </c>
      <c r="U6" s="440"/>
      <c r="V6" s="441"/>
    </row>
    <row r="7" spans="4:22" ht="24" customHeight="1">
      <c r="D7" s="826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460">
        <f>+[5]합계!$E$9</f>
        <v>242.75861402909584</v>
      </c>
      <c r="F8" s="462">
        <f>+[5]합계!$F$9</f>
        <v>260.22836794595742</v>
      </c>
      <c r="G8" s="487">
        <f>+F8-E8</f>
        <v>17.469753916861578</v>
      </c>
      <c r="H8" s="460">
        <f>+[5]합계!$E$15</f>
        <v>352.06151109250862</v>
      </c>
      <c r="I8" s="462">
        <f>+[5]합계!$F$15</f>
        <v>364.27908604488715</v>
      </c>
      <c r="J8" s="487">
        <f>+I8-H8</f>
        <v>12.217574952378527</v>
      </c>
      <c r="K8" s="531">
        <f>+([5]합계!$E$10*0.4+[5]합계!$E$11+[5]합계!$E$12+[5]합계!$E$13+[5]합계!$E$14)/[5]합계!$E$15</f>
        <v>0.26474499830740655</v>
      </c>
      <c r="L8" s="532">
        <f>+([5]합계!$F$10*0.4+[5]합계!$F$11+[5]합계!$F$12+[5]합계!$F$13+[5]합계!$F$14)/[5]합계!$F$15</f>
        <v>0.23643914348206355</v>
      </c>
      <c r="M8" s="533">
        <f>+L8-K8</f>
        <v>-2.8305854825343008E-2</v>
      </c>
      <c r="N8" s="460">
        <f>+[5]합계!$E$16</f>
        <v>822.39335086500216</v>
      </c>
      <c r="O8" s="462">
        <f>+[5]합계!$F$16</f>
        <v>820.32400410350886</v>
      </c>
      <c r="P8" s="487">
        <f>+O8-N8</f>
        <v>-2.069346761493307</v>
      </c>
      <c r="Q8" s="460">
        <f>+[5]합계!$E$17</f>
        <v>905.34631887880266</v>
      </c>
      <c r="R8" s="462">
        <f>+[5]합계!$F$17</f>
        <v>899.69702449831254</v>
      </c>
      <c r="S8" s="487">
        <f>+R8-Q8</f>
        <v>-5.6492943804901188</v>
      </c>
      <c r="T8" s="460">
        <f>+[5]합계!$E$19</f>
        <v>3.1791348073615011</v>
      </c>
      <c r="U8" s="462">
        <f>+[5]합계!$F$19</f>
        <v>6.019239205179999</v>
      </c>
      <c r="V8" s="487">
        <f>+U8-T8</f>
        <v>2.8401043978184979</v>
      </c>
    </row>
    <row r="9" spans="4:22" ht="24" customHeight="1">
      <c r="D9" s="471" t="s">
        <v>19</v>
      </c>
      <c r="E9" s="465">
        <f>+[5]수도권!$E$9</f>
        <v>264.8891836734694</v>
      </c>
      <c r="F9" s="479">
        <f>+[5]수도권!$F$9</f>
        <v>285.27899337248908</v>
      </c>
      <c r="G9" s="488">
        <f t="shared" ref="G9:G28" si="0">+F9-E9</f>
        <v>20.389809699019679</v>
      </c>
      <c r="H9" s="465">
        <f>+[5]수도권!$E$15</f>
        <v>354.66081632653061</v>
      </c>
      <c r="I9" s="479">
        <f>+[5]수도권!$F$15</f>
        <v>364.30468893324542</v>
      </c>
      <c r="J9" s="488">
        <f t="shared" ref="J9:J28" si="1">+I9-H9</f>
        <v>9.6438726067148082</v>
      </c>
      <c r="K9" s="537">
        <f>+([5]수도권!$E$10*0.4+[5]수도권!$E$11+[5]수도권!$E$12+[5]수도권!$E$13+[5]수도권!$E$14)/[5]수도권!$E$15</f>
        <v>0.24172669719502046</v>
      </c>
      <c r="L9" s="538">
        <f>+([5]수도권!$F$10*0.4+[5]수도권!$F$11+[5]수도권!$F$12+[5]수도권!$F$13+[5]수도권!$F$14)/[5]수도권!$F$15</f>
        <v>0.2124316539738848</v>
      </c>
      <c r="M9" s="534">
        <f t="shared" ref="M9:M28" si="2">+L9-K9</f>
        <v>-2.9295043221135658E-2</v>
      </c>
      <c r="N9" s="465">
        <f>+[5]수도권!$E$16</f>
        <v>843.38857142857137</v>
      </c>
      <c r="O9" s="479">
        <f>+[5]수도권!$F$16</f>
        <v>845.00972510379779</v>
      </c>
      <c r="P9" s="488">
        <f t="shared" ref="P9:P28" si="3">+O9-N9</f>
        <v>1.6211536752264237</v>
      </c>
      <c r="Q9" s="465">
        <f>+[5]수도권!$E$17</f>
        <v>889.96975510204084</v>
      </c>
      <c r="R9" s="479">
        <f>+[5]수도권!$F$17</f>
        <v>883.16167723980743</v>
      </c>
      <c r="S9" s="488">
        <f t="shared" ref="S9:S28" si="4">+R9-Q9</f>
        <v>-6.8080778622334037</v>
      </c>
      <c r="T9" s="465">
        <f>+[5]수도권!$E$19</f>
        <v>3.0779193469387756</v>
      </c>
      <c r="U9" s="479">
        <f>+[5]수도권!$F$19</f>
        <v>2.8936295315657241</v>
      </c>
      <c r="V9" s="488">
        <f t="shared" ref="V9:V28" si="5">+U9-T9</f>
        <v>-0.18428981537305145</v>
      </c>
    </row>
    <row r="10" spans="4:22" ht="24" customHeight="1">
      <c r="D10" s="472" t="s">
        <v>20</v>
      </c>
      <c r="E10" s="467">
        <f>+[5]영남권!$E$9</f>
        <v>219.6927986716299</v>
      </c>
      <c r="F10" s="480">
        <f>+[5]영남권!$F$9</f>
        <v>235.15958806332179</v>
      </c>
      <c r="G10" s="489">
        <f t="shared" si="0"/>
        <v>15.46678939169189</v>
      </c>
      <c r="H10" s="467">
        <f>+[5]영남권!$E$15</f>
        <v>349.24529862578311</v>
      </c>
      <c r="I10" s="480">
        <f>+[5]영남권!$F$15</f>
        <v>366.26408142524684</v>
      </c>
      <c r="J10" s="489">
        <f t="shared" si="1"/>
        <v>17.018782799463736</v>
      </c>
      <c r="K10" s="539">
        <f>+([5]영남권!$E$10*0.4+[5]영남권!$E$11+[5]영남권!$E$12+[5]영남권!$E$13+[5]영남권!$E$14)/[5]영남권!$E$15</f>
        <v>0.29702384954537292</v>
      </c>
      <c r="L10" s="540">
        <f>+([5]영남권!$F$10*0.4+[5]영남권!$F$11+[5]영남권!$F$12+[5]영남권!$F$13+[5]영남권!$F$14)/[5]영남권!$F$15</f>
        <v>0.25966639983952189</v>
      </c>
      <c r="M10" s="535">
        <f t="shared" si="2"/>
        <v>-3.7357449705851031E-2</v>
      </c>
      <c r="N10" s="467">
        <f>+[5]영남권!$E$16</f>
        <v>809.27388989847998</v>
      </c>
      <c r="O10" s="480">
        <f>+[5]영남권!$F$16</f>
        <v>810.03536693191859</v>
      </c>
      <c r="P10" s="489">
        <f t="shared" si="3"/>
        <v>0.7614770334386094</v>
      </c>
      <c r="Q10" s="467">
        <f>+[5]영남권!$E$17</f>
        <v>910.55555501243748</v>
      </c>
      <c r="R10" s="480">
        <f>+[5]영남권!$F$17</f>
        <v>904.46661314199946</v>
      </c>
      <c r="S10" s="489">
        <f t="shared" si="4"/>
        <v>-6.0889418704380205</v>
      </c>
      <c r="T10" s="467">
        <f>+[5]영남권!$E$19</f>
        <v>3.3667379773824182</v>
      </c>
      <c r="U10" s="480">
        <f>+[5]영남권!$F$19</f>
        <v>9.9439608253639165</v>
      </c>
      <c r="V10" s="489">
        <f t="shared" si="5"/>
        <v>6.5772228479814983</v>
      </c>
    </row>
    <row r="11" spans="4:22" ht="24" customHeight="1">
      <c r="D11" s="473" t="s">
        <v>57</v>
      </c>
      <c r="E11" s="468">
        <f>+[5]중부권!$E$9</f>
        <v>247.64407079646017</v>
      </c>
      <c r="F11" s="481">
        <f>+[5]중부권!$F$9</f>
        <v>270.8963772784868</v>
      </c>
      <c r="G11" s="490">
        <f t="shared" si="0"/>
        <v>23.252306482026626</v>
      </c>
      <c r="H11" s="468">
        <f>+[5]중부권!$E$15</f>
        <v>352.88070796460181</v>
      </c>
      <c r="I11" s="481">
        <f>+[5]중부권!$F$15</f>
        <v>359.37470223355888</v>
      </c>
      <c r="J11" s="490">
        <f t="shared" si="1"/>
        <v>6.4939942689570671</v>
      </c>
      <c r="K11" s="541">
        <f>+([5]중부권!$E$10*0.4+[5]중부권!$E$11+[5]중부권!$E$12+[5]중부권!$E$13+[5]중부권!$E$14)/[5]중부권!$E$15</f>
        <v>0.2416816131802168</v>
      </c>
      <c r="L11" s="542">
        <f>+([5]중부권!$F$10*0.4+[5]중부권!$F$11+[5]중부권!$F$12+[5]중부권!$F$13+[5]중부권!$F$14)/[5]중부권!$F$15</f>
        <v>0.22774220936716832</v>
      </c>
      <c r="M11" s="536">
        <f t="shared" si="2"/>
        <v>-1.3939403813048479E-2</v>
      </c>
      <c r="N11" s="468">
        <f>+[5]중부권!$E$16</f>
        <v>806.94300884955749</v>
      </c>
      <c r="O11" s="481">
        <f>+[5]중부권!$F$16</f>
        <v>795.59681653678331</v>
      </c>
      <c r="P11" s="490">
        <f t="shared" si="3"/>
        <v>-11.346192312774178</v>
      </c>
      <c r="Q11" s="468">
        <f>+[5]중부권!$E$17</f>
        <v>926.74513274336289</v>
      </c>
      <c r="R11" s="481">
        <f>+[5]중부권!$F$17</f>
        <v>921.44796230196539</v>
      </c>
      <c r="S11" s="490">
        <f t="shared" si="4"/>
        <v>-5.2971704413974976</v>
      </c>
      <c r="T11" s="468">
        <f>+[5]중부권!$E$19</f>
        <v>2.9685911504424776</v>
      </c>
      <c r="U11" s="481">
        <f>+[5]중부권!$F$19</f>
        <v>2.7401489039246707</v>
      </c>
      <c r="V11" s="490">
        <f t="shared" si="5"/>
        <v>-0.22844224651780687</v>
      </c>
    </row>
    <row r="12" spans="4:22" ht="24" customHeight="1">
      <c r="D12" s="485" t="s">
        <v>22</v>
      </c>
      <c r="E12" s="447">
        <f>+[5]안양!$E$9</f>
        <v>273.5</v>
      </c>
      <c r="F12" s="448">
        <f>+[5]안양!$F$9</f>
        <v>289.84730750070383</v>
      </c>
      <c r="G12" s="449">
        <f t="shared" si="0"/>
        <v>16.347307500703835</v>
      </c>
      <c r="H12" s="447">
        <f>+[5]안양!$E$15</f>
        <v>365.9</v>
      </c>
      <c r="I12" s="448">
        <f>+[5]안양!$F$15</f>
        <v>369.35809612510548</v>
      </c>
      <c r="J12" s="449">
        <f t="shared" si="1"/>
        <v>3.4580961251054987</v>
      </c>
      <c r="K12" s="505">
        <f>+([5]안양!$E$10*0.4+[5]안양!$E$11+[5]안양!$E$12+[5]안양!$E$13+[5]안양!$E$14)/[5]안양!$E$15</f>
        <v>0.23613009018857614</v>
      </c>
      <c r="L12" s="506">
        <f>+([5]안양!$F$10*0.4+[5]안양!$F$11+[5]안양!$F$12+[5]안양!$F$13+[5]안양!$F$14)/[5]안양!$F$15</f>
        <v>0.21416166703726072</v>
      </c>
      <c r="M12" s="507">
        <f t="shared" si="2"/>
        <v>-2.1968423151315419E-2</v>
      </c>
      <c r="N12" s="447">
        <f>+[5]안양!$E$16</f>
        <v>845</v>
      </c>
      <c r="O12" s="448">
        <f>+[5]안양!$F$16</f>
        <v>863.39784270831035</v>
      </c>
      <c r="P12" s="449">
        <f t="shared" si="3"/>
        <v>18.39784270831035</v>
      </c>
      <c r="Q12" s="447">
        <f>+[5]안양!$E$17</f>
        <v>880</v>
      </c>
      <c r="R12" s="448">
        <f>+[5]안양!$F$17</f>
        <v>861.20741189975934</v>
      </c>
      <c r="S12" s="449">
        <f t="shared" si="4"/>
        <v>-18.792588100240664</v>
      </c>
      <c r="T12" s="508">
        <f>+[5]안양!$E$19</f>
        <v>3.29</v>
      </c>
      <c r="U12" s="509">
        <f>+[5]안양!$F$19</f>
        <v>2.8778617687192711</v>
      </c>
      <c r="V12" s="510">
        <f t="shared" si="5"/>
        <v>-0.41213823128072891</v>
      </c>
    </row>
    <row r="13" spans="4:22" ht="24" customHeight="1">
      <c r="D13" s="451" t="s">
        <v>23</v>
      </c>
      <c r="E13" s="452">
        <f>+[5]인천!$E$9</f>
        <v>280.63400000000001</v>
      </c>
      <c r="F13" s="453">
        <f>+[5]인천!$F$9</f>
        <v>283.79715182515702</v>
      </c>
      <c r="G13" s="189">
        <f t="shared" si="0"/>
        <v>3.1631518251570014</v>
      </c>
      <c r="H13" s="452">
        <f>+[5]인천!$E$15</f>
        <v>369.48100000000005</v>
      </c>
      <c r="I13" s="453">
        <f>+[5]인천!$F$15</f>
        <v>374.18234430531112</v>
      </c>
      <c r="J13" s="189">
        <f t="shared" si="1"/>
        <v>4.7013443053110677</v>
      </c>
      <c r="K13" s="511">
        <f>+([5]인천!$E$10*0.4+[5]인천!$E$11+[5]인천!$E$12+[5]인천!$E$13+[5]인천!$E$14)/[5]인천!$E$15</f>
        <v>0.22260305672010192</v>
      </c>
      <c r="L13" s="512">
        <f>+([5]인천!$F$10*0.4+[5]인천!$F$11+[5]인천!$F$12+[5]인천!$F$13+[5]인천!$F$14)/[5]인천!$F$15</f>
        <v>0.22648940697909981</v>
      </c>
      <c r="M13" s="513">
        <f t="shared" si="2"/>
        <v>3.8863502589978893E-3</v>
      </c>
      <c r="N13" s="452">
        <f>+[5]인천!$E$16</f>
        <v>884.274</v>
      </c>
      <c r="O13" s="453">
        <f>+[5]인천!$F$16</f>
        <v>896.44375238316627</v>
      </c>
      <c r="P13" s="189">
        <f t="shared" si="3"/>
        <v>12.169752383166269</v>
      </c>
      <c r="Q13" s="452">
        <f>+[5]인천!$E$17</f>
        <v>849.10799999999995</v>
      </c>
      <c r="R13" s="453">
        <f>+[5]인천!$F$17</f>
        <v>818.73388168864369</v>
      </c>
      <c r="S13" s="189">
        <f t="shared" si="4"/>
        <v>-30.374118311356256</v>
      </c>
      <c r="T13" s="514">
        <f>+[5]인천!$E$19</f>
        <v>3.3250000000000002</v>
      </c>
      <c r="U13" s="515">
        <f>+[5]인천!$F$19</f>
        <v>3.0635703989105521</v>
      </c>
      <c r="V13" s="516">
        <f t="shared" si="5"/>
        <v>-0.26142960108944813</v>
      </c>
    </row>
    <row r="14" spans="4:22" ht="24" customHeight="1">
      <c r="D14" s="451" t="s">
        <v>24</v>
      </c>
      <c r="E14" s="452">
        <f>+[5]파주!$E$9</f>
        <v>267.04574074074077</v>
      </c>
      <c r="F14" s="453">
        <f>+[5]파주!$F$9</f>
        <v>292.15402846468618</v>
      </c>
      <c r="G14" s="189">
        <f t="shared" si="0"/>
        <v>25.108287723945409</v>
      </c>
      <c r="H14" s="452">
        <f>+[5]파주!$E$15</f>
        <v>345.64870370370375</v>
      </c>
      <c r="I14" s="453">
        <f>+[5]파주!$F$15</f>
        <v>367.2505767657002</v>
      </c>
      <c r="J14" s="189">
        <f t="shared" si="1"/>
        <v>21.601873061996457</v>
      </c>
      <c r="K14" s="511">
        <f>+([5]파주!$E$10*0.4+[5]파주!$E$11+[5]파주!$E$12+[5]파주!$E$13+[5]파주!$E$14)/[5]파주!$E$15</f>
        <v>0.22740708158518891</v>
      </c>
      <c r="L14" s="512">
        <f>+([5]파주!$F$10*0.4+[5]파주!$F$11+[5]파주!$F$12+[5]파주!$F$13+[5]파주!$F$14)/[5]파주!$F$15</f>
        <v>0.20341804924070186</v>
      </c>
      <c r="M14" s="513">
        <f t="shared" si="2"/>
        <v>-2.3989032344487043E-2</v>
      </c>
      <c r="N14" s="452">
        <f>+[5]파주!$E$16</f>
        <v>869.27814814814803</v>
      </c>
      <c r="O14" s="453">
        <f>+[5]파주!$F$16</f>
        <v>828.0482770681366</v>
      </c>
      <c r="P14" s="189">
        <f t="shared" si="3"/>
        <v>-41.229871080011435</v>
      </c>
      <c r="Q14" s="452">
        <f>+[5]파주!$E$17</f>
        <v>873.61166666666668</v>
      </c>
      <c r="R14" s="453">
        <f>+[5]파주!$F$17</f>
        <v>905.25428831168779</v>
      </c>
      <c r="S14" s="189">
        <f t="shared" si="4"/>
        <v>31.642621645021109</v>
      </c>
      <c r="T14" s="514">
        <f>+[5]파주!$E$19</f>
        <v>2.7651896296296301</v>
      </c>
      <c r="U14" s="515">
        <f>+[5]파주!$F$19</f>
        <v>2.9067832414161194</v>
      </c>
      <c r="V14" s="516">
        <f t="shared" si="5"/>
        <v>0.14159361178648933</v>
      </c>
    </row>
    <row r="15" spans="4:22" ht="24" customHeight="1">
      <c r="D15" s="451" t="s">
        <v>178</v>
      </c>
      <c r="E15" s="452">
        <f>+[5]김포!$E$9</f>
        <v>205</v>
      </c>
      <c r="F15" s="453">
        <f>+[5]김포!$F$9</f>
        <v>264.86369836177266</v>
      </c>
      <c r="G15" s="189">
        <f t="shared" si="0"/>
        <v>59.863698361772663</v>
      </c>
      <c r="H15" s="452">
        <f>+[5]김포!$E$15</f>
        <v>308</v>
      </c>
      <c r="I15" s="453">
        <f>+[5]김포!$F$15</f>
        <v>329.46800034070566</v>
      </c>
      <c r="J15" s="189">
        <f t="shared" si="1"/>
        <v>21.468000340705657</v>
      </c>
      <c r="K15" s="511">
        <f>+([5]김포!$E$10*0.4+[5]김포!$E$11+[5]김포!$E$12+[5]김포!$E$13+[5]김포!$E$14)/[5]김포!$E$15</f>
        <v>0.33441558441558439</v>
      </c>
      <c r="L15" s="512">
        <f>+([5]김포!$F$10*0.4+[5]김포!$F$11+[5]김포!$F$12+[5]김포!$F$13+[5]김포!$F$14)/[5]김포!$F$15</f>
        <v>0.1960867274276262</v>
      </c>
      <c r="M15" s="513">
        <f t="shared" si="2"/>
        <v>-0.13832885698795819</v>
      </c>
      <c r="N15" s="452">
        <f>+[5]김포!$E$16</f>
        <v>710</v>
      </c>
      <c r="O15" s="453">
        <f>+[5]김포!$F$16</f>
        <v>735.93935436245454</v>
      </c>
      <c r="P15" s="189">
        <f t="shared" si="3"/>
        <v>25.939354362454537</v>
      </c>
      <c r="Q15" s="452">
        <f>+[5]김포!$E$17</f>
        <v>1030</v>
      </c>
      <c r="R15" s="453">
        <f>+[5]김포!$F$17</f>
        <v>1015.6065983362201</v>
      </c>
      <c r="S15" s="189">
        <f t="shared" si="4"/>
        <v>-14.393401663779855</v>
      </c>
      <c r="T15" s="514">
        <f>+[5]김포!$E$19</f>
        <v>2.5</v>
      </c>
      <c r="U15" s="515">
        <f>+[5]김포!$F$19</f>
        <v>2.623443400244172</v>
      </c>
      <c r="V15" s="516">
        <f t="shared" si="5"/>
        <v>0.123443400244172</v>
      </c>
    </row>
    <row r="16" spans="4:22" ht="24" customHeight="1">
      <c r="D16" s="486" t="s">
        <v>25</v>
      </c>
      <c r="E16" s="455">
        <f>+[5]부산!$E$9</f>
        <v>224.11711139880367</v>
      </c>
      <c r="F16" s="456">
        <f>+[5]부산!$F$9</f>
        <v>187.01114916416651</v>
      </c>
      <c r="G16" s="457">
        <f t="shared" si="0"/>
        <v>-37.105962234637161</v>
      </c>
      <c r="H16" s="455">
        <f>+[5]부산!$E$15</f>
        <v>359.67094860194572</v>
      </c>
      <c r="I16" s="456">
        <f>+[5]부산!$F$15</f>
        <v>370.30098371195908</v>
      </c>
      <c r="J16" s="457">
        <f t="shared" si="1"/>
        <v>10.630035110013353</v>
      </c>
      <c r="K16" s="517">
        <f>+([5]부산!$E$10*0.4+[5]부산!$E$11+[5]부산!$E$12+[5]부산!$E$13+[5]부산!$E$14)/[5]부산!$E$15</f>
        <v>0.2787114042189523</v>
      </c>
      <c r="L16" s="518">
        <f>+([5]부산!$F$10*0.4+[5]부산!$F$11+[5]부산!$F$12+[5]부산!$F$13+[5]부산!$F$14)/[5]부산!$F$15</f>
        <v>0.25046368583788764</v>
      </c>
      <c r="M16" s="519">
        <f t="shared" si="2"/>
        <v>-2.8247718381064657E-2</v>
      </c>
      <c r="N16" s="455">
        <f>+[5]부산!$E$16</f>
        <v>839.86974272199654</v>
      </c>
      <c r="O16" s="456">
        <f>+[5]부산!$F$16</f>
        <v>867.1866695242179</v>
      </c>
      <c r="P16" s="457">
        <f t="shared" si="3"/>
        <v>27.31692680222136</v>
      </c>
      <c r="Q16" s="455">
        <f>+[5]부산!$E$17</f>
        <v>887.2601338080583</v>
      </c>
      <c r="R16" s="456">
        <f>+[5]부산!$F$17</f>
        <v>853.27903986283809</v>
      </c>
      <c r="S16" s="457">
        <f t="shared" si="4"/>
        <v>-33.981093945220209</v>
      </c>
      <c r="T16" s="520">
        <f>+[5]부산!$E$19</f>
        <v>3.0611594435511602</v>
      </c>
      <c r="U16" s="521">
        <f>+[5]부산!$F$19</f>
        <v>3.4195250750107156</v>
      </c>
      <c r="V16" s="522">
        <f t="shared" si="5"/>
        <v>0.35836563145955536</v>
      </c>
    </row>
    <row r="17" spans="4:22" ht="24" customHeight="1">
      <c r="D17" s="451" t="s">
        <v>26</v>
      </c>
      <c r="E17" s="452">
        <f>+[5]서부산!$E$9</f>
        <v>225.2</v>
      </c>
      <c r="F17" s="453">
        <f>+[5]서부산!$F$9</f>
        <v>242.97076623169957</v>
      </c>
      <c r="G17" s="189">
        <f t="shared" si="0"/>
        <v>17.770766231699582</v>
      </c>
      <c r="H17" s="452">
        <f>+[5]서부산!$E$15</f>
        <v>352.59999999999997</v>
      </c>
      <c r="I17" s="453">
        <f>+[5]서부산!$F$15</f>
        <v>355.62295074793127</v>
      </c>
      <c r="J17" s="189">
        <f t="shared" si="1"/>
        <v>3.0229507479313042</v>
      </c>
      <c r="K17" s="511">
        <f>+([5]서부산!$E$10*0.4+[5]서부산!$E$11+[5]서부산!$E$12+[5]서부산!$E$13+[5]서부산!$E$14)/[5]서부산!$E$15</f>
        <v>0.28304027226318779</v>
      </c>
      <c r="L17" s="512">
        <f>+([5]서부산!$F$10*0.4+[5]서부산!$F$11+[5]서부산!$F$12+[5]서부산!$F$13+[5]서부산!$F$14)/[5]서부산!$F$15</f>
        <v>0.2231496804941098</v>
      </c>
      <c r="M17" s="513">
        <f t="shared" si="2"/>
        <v>-5.9890591769077989E-2</v>
      </c>
      <c r="N17" s="452">
        <f>+[5]서부산!$E$16</f>
        <v>820.2</v>
      </c>
      <c r="O17" s="453">
        <f>+[5]서부산!$F$16</f>
        <v>839.55820337364673</v>
      </c>
      <c r="P17" s="189">
        <f t="shared" si="3"/>
        <v>19.358203373646688</v>
      </c>
      <c r="Q17" s="452">
        <f>+[5]서부산!$E$17</f>
        <v>911.91</v>
      </c>
      <c r="R17" s="453">
        <f>+[5]서부산!$F$17</f>
        <v>896.80179821769605</v>
      </c>
      <c r="S17" s="189">
        <f t="shared" si="4"/>
        <v>-15.108201782303922</v>
      </c>
      <c r="T17" s="514">
        <f>+[5]서부산!$E$19</f>
        <v>4.8879999999999999</v>
      </c>
      <c r="U17" s="515">
        <f>+[5]서부산!$F$19</f>
        <v>3.2587539783577362</v>
      </c>
      <c r="V17" s="516">
        <f t="shared" si="5"/>
        <v>-1.6292460216422637</v>
      </c>
    </row>
    <row r="18" spans="4:22" ht="24" customHeight="1">
      <c r="D18" s="451" t="s">
        <v>27</v>
      </c>
      <c r="E18" s="452">
        <f>+[5]김해!$E$9</f>
        <v>161.91</v>
      </c>
      <c r="F18" s="453">
        <f>+[5]김해!$F$9</f>
        <v>208.63624119256997</v>
      </c>
      <c r="G18" s="189">
        <f t="shared" si="0"/>
        <v>46.726241192569972</v>
      </c>
      <c r="H18" s="452">
        <f>+[5]김해!$E$15</f>
        <v>343</v>
      </c>
      <c r="I18" s="453">
        <f>+[5]김해!$F$15</f>
        <v>363.73844639841639</v>
      </c>
      <c r="J18" s="189">
        <f t="shared" si="1"/>
        <v>20.738446398416386</v>
      </c>
      <c r="K18" s="511">
        <f>+([5]김해!$E$10*0.4+[5]김해!$E$11+[5]김해!$E$12+[5]김해!$E$13+[5]김해!$E$14)/[5]김해!$E$15</f>
        <v>0.26768513119533527</v>
      </c>
      <c r="L18" s="512">
        <f>+([5]김해!$F$10*0.4+[5]김해!$F$11+[5]김해!$F$12+[5]김해!$F$13+[5]김해!$F$14)/[5]김해!$F$15</f>
        <v>0.21119542945683867</v>
      </c>
      <c r="M18" s="513">
        <f t="shared" si="2"/>
        <v>-5.64897017384966E-2</v>
      </c>
      <c r="N18" s="452">
        <f>+[5]김해!$E$16</f>
        <v>830</v>
      </c>
      <c r="O18" s="453">
        <f>+[5]김해!$F$16</f>
        <v>769.00512432306527</v>
      </c>
      <c r="P18" s="189">
        <f t="shared" si="3"/>
        <v>-60.994875676934726</v>
      </c>
      <c r="Q18" s="452">
        <f>+[5]김해!$E$17</f>
        <v>890</v>
      </c>
      <c r="R18" s="453">
        <f>+[5]김해!$F$17</f>
        <v>948.40115297269006</v>
      </c>
      <c r="S18" s="189">
        <f t="shared" si="4"/>
        <v>58.401152972690056</v>
      </c>
      <c r="T18" s="514">
        <f>+[5]김해!$E$19</f>
        <v>3.3</v>
      </c>
      <c r="U18" s="515">
        <f>+[5]김해!$F$19</f>
        <v>3.5326617364467476</v>
      </c>
      <c r="V18" s="516">
        <f t="shared" si="5"/>
        <v>0.23266173644674781</v>
      </c>
    </row>
    <row r="19" spans="4:22" ht="24" customHeight="1">
      <c r="D19" s="451" t="s">
        <v>28</v>
      </c>
      <c r="E19" s="452">
        <f>+[5]정관!$E$9</f>
        <v>208.8</v>
      </c>
      <c r="F19" s="453">
        <f>+[5]정관!$F$9</f>
        <v>228.16252209477256</v>
      </c>
      <c r="G19" s="189">
        <f t="shared" si="0"/>
        <v>19.362522094772544</v>
      </c>
      <c r="H19" s="452">
        <f>+[5]정관!$E$15</f>
        <v>360.4</v>
      </c>
      <c r="I19" s="453">
        <f>+[5]정관!$F$15</f>
        <v>380.61935972169999</v>
      </c>
      <c r="J19" s="189">
        <f t="shared" si="1"/>
        <v>20.219359721700016</v>
      </c>
      <c r="K19" s="511">
        <f>+([5]정관!$E$10*0.4+[5]정관!$E$11+[5]정관!$E$12+[5]정관!$E$13+[5]정관!$E$14)/[5]정관!$E$15</f>
        <v>0.29661487236403999</v>
      </c>
      <c r="L19" s="512">
        <f>+([5]정관!$F$10*0.4+[5]정관!$F$11+[5]정관!$F$12+[5]정관!$F$13+[5]정관!$F$14)/[5]정관!$F$15</f>
        <v>0.27462711079584745</v>
      </c>
      <c r="M19" s="513">
        <f t="shared" si="2"/>
        <v>-2.1987761568192543E-2</v>
      </c>
      <c r="N19" s="452">
        <f>+[5]정관!$E$16</f>
        <v>795</v>
      </c>
      <c r="O19" s="453">
        <f>+[5]정관!$F$16</f>
        <v>790.89859909740505</v>
      </c>
      <c r="P19" s="189">
        <f t="shared" si="3"/>
        <v>-4.1014009025949463</v>
      </c>
      <c r="Q19" s="452">
        <f>+[5]정관!$E$17</f>
        <v>920</v>
      </c>
      <c r="R19" s="453">
        <f>+[5]정관!$F$17</f>
        <v>932.27613764573152</v>
      </c>
      <c r="S19" s="189">
        <f t="shared" si="4"/>
        <v>12.276137645731524</v>
      </c>
      <c r="T19" s="514">
        <f>+[5]정관!$E$19</f>
        <v>3.0610200000000001</v>
      </c>
      <c r="U19" s="515">
        <f>+[5]정관!$F$19</f>
        <v>2.4740856525009405</v>
      </c>
      <c r="V19" s="516">
        <f t="shared" si="5"/>
        <v>-0.58693434749905959</v>
      </c>
    </row>
    <row r="20" spans="4:22" ht="24" customHeight="1">
      <c r="D20" s="451" t="s">
        <v>29</v>
      </c>
      <c r="E20" s="452">
        <f>+[5]양산!$E$9</f>
        <v>224.45683636363637</v>
      </c>
      <c r="F20" s="453">
        <f>+[5]양산!$F$9</f>
        <v>234.87926507341447</v>
      </c>
      <c r="G20" s="189">
        <f t="shared" si="0"/>
        <v>10.422428709778103</v>
      </c>
      <c r="H20" s="452">
        <f>+[5]양산!$E$15</f>
        <v>333.69520000000006</v>
      </c>
      <c r="I20" s="453">
        <f>+[5]양산!$F$15</f>
        <v>363.54802093095896</v>
      </c>
      <c r="J20" s="189">
        <f t="shared" si="1"/>
        <v>29.852820930958899</v>
      </c>
      <c r="K20" s="511">
        <f>+([5]양산!$E$10*0.4+[5]양산!$E$11+[5]양산!$E$12+[5]양산!$E$13+[5]양산!$E$14)/[5]양산!$E$15</f>
        <v>0.31542851625729651</v>
      </c>
      <c r="L20" s="512">
        <f>+([5]양산!$F$10*0.4+[5]양산!$F$11+[5]양산!$F$12+[5]양산!$F$13+[5]양산!$F$14)/[5]양산!$F$15</f>
        <v>0.35392506202634472</v>
      </c>
      <c r="M20" s="513">
        <f t="shared" si="2"/>
        <v>3.8496545769048207E-2</v>
      </c>
      <c r="N20" s="452">
        <f>+[5]양산!$E$16</f>
        <v>793.13636363636363</v>
      </c>
      <c r="O20" s="453">
        <f>+[5]양산!$F$16</f>
        <v>773.79764136207416</v>
      </c>
      <c r="P20" s="189">
        <f t="shared" si="3"/>
        <v>-19.338722274289466</v>
      </c>
      <c r="Q20" s="452">
        <f>+[5]양산!$E$17</f>
        <v>908.48002545454517</v>
      </c>
      <c r="R20" s="453">
        <f>+[5]양산!$F$17</f>
        <v>925.43306779131592</v>
      </c>
      <c r="S20" s="189">
        <f t="shared" si="4"/>
        <v>16.95304233677075</v>
      </c>
      <c r="T20" s="514">
        <f>+[5]양산!$E$19</f>
        <v>2.4842744727272721</v>
      </c>
      <c r="U20" s="515">
        <f>+[5]양산!$F$19</f>
        <v>3.1928194314276799</v>
      </c>
      <c r="V20" s="516">
        <f t="shared" si="5"/>
        <v>0.70854495870040779</v>
      </c>
    </row>
    <row r="21" spans="4:22" ht="24" customHeight="1">
      <c r="D21" s="451" t="s">
        <v>30</v>
      </c>
      <c r="E21" s="452">
        <f>+[5]창원!$E$9</f>
        <v>239.1</v>
      </c>
      <c r="F21" s="453">
        <f>+[5]창원!$F$9</f>
        <v>268.61193731522906</v>
      </c>
      <c r="G21" s="189">
        <f t="shared" si="0"/>
        <v>29.511937315229062</v>
      </c>
      <c r="H21" s="452">
        <f>+[5]창원!$E$15</f>
        <v>342.90000000000003</v>
      </c>
      <c r="I21" s="453">
        <f>+[5]창원!$F$15</f>
        <v>362.14687439499778</v>
      </c>
      <c r="J21" s="189">
        <f t="shared" si="1"/>
        <v>19.246874394997747</v>
      </c>
      <c r="K21" s="511">
        <f>+([5]창원!$E$10*0.4+[5]창원!$E$11+[5]창원!$E$12+[5]창원!$E$13+[5]창원!$E$14)/[5]창원!$E$15</f>
        <v>0.30271216097987746</v>
      </c>
      <c r="L21" s="512">
        <f>+([5]창원!$F$10*0.4+[5]창원!$F$11+[5]창원!$F$12+[5]창원!$F$13+[5]창원!$F$14)/[5]창원!$F$15</f>
        <v>0.25827901244772061</v>
      </c>
      <c r="M21" s="513">
        <f t="shared" si="2"/>
        <v>-4.4433148532156852E-2</v>
      </c>
      <c r="N21" s="452">
        <f>+[5]창원!$E$16</f>
        <v>837.7</v>
      </c>
      <c r="O21" s="453">
        <f>+[5]창원!$F$16</f>
        <v>856.72710148339979</v>
      </c>
      <c r="P21" s="189">
        <f t="shared" si="3"/>
        <v>19.027101483399747</v>
      </c>
      <c r="Q21" s="452">
        <f>+[5]창원!$E$17</f>
        <v>880.59999999999991</v>
      </c>
      <c r="R21" s="453">
        <f>+[5]창원!$F$17</f>
        <v>860.60382492216718</v>
      </c>
      <c r="S21" s="189">
        <f t="shared" si="4"/>
        <v>-19.996175077832731</v>
      </c>
      <c r="T21" s="514">
        <f>+[5]창원!$E$19</f>
        <v>3.08</v>
      </c>
      <c r="U21" s="515">
        <f>+[5]창원!$F$19</f>
        <v>3.1980221332705421</v>
      </c>
      <c r="V21" s="516">
        <f t="shared" si="5"/>
        <v>0.11802213327054201</v>
      </c>
    </row>
    <row r="22" spans="4:22" ht="24" customHeight="1">
      <c r="D22" s="451" t="s">
        <v>95</v>
      </c>
      <c r="E22" s="452">
        <f>+[5]대구!$E$9</f>
        <v>233.21999999999997</v>
      </c>
      <c r="F22" s="453">
        <f>+[5]대구!$F$9</f>
        <v>285.83635086924534</v>
      </c>
      <c r="G22" s="189">
        <f t="shared" si="0"/>
        <v>52.616350869245366</v>
      </c>
      <c r="H22" s="452">
        <f>+[5]대구!$E$15</f>
        <v>338</v>
      </c>
      <c r="I22" s="453">
        <f>+[5]대구!$F$15</f>
        <v>369.17239821054443</v>
      </c>
      <c r="J22" s="189">
        <f t="shared" si="1"/>
        <v>31.172398210544429</v>
      </c>
      <c r="K22" s="511">
        <f>+([5]대구!$E$10*0.4+[5]대구!$E$11+[5]대구!$E$12+[5]대구!$E$13+[5]대구!$E$14)/[5]대구!$E$15</f>
        <v>0.31000000000000011</v>
      </c>
      <c r="L22" s="512">
        <f>+([5]대구!$F$10*0.4+[5]대구!$F$11+[5]대구!$F$12+[5]대구!$F$13+[5]대구!$F$14)/[5]대구!$F$15</f>
        <v>0.22573748131021232</v>
      </c>
      <c r="M22" s="513">
        <f t="shared" si="2"/>
        <v>-8.4262518689787791E-2</v>
      </c>
      <c r="N22" s="452">
        <f>+[5]대구!$E$16</f>
        <v>773.65296287352862</v>
      </c>
      <c r="O22" s="453">
        <f>+[5]대구!$F$16</f>
        <v>743.69024293561381</v>
      </c>
      <c r="P22" s="189">
        <f t="shared" si="3"/>
        <v>-29.962719937914812</v>
      </c>
      <c r="Q22" s="452">
        <f>+[5]대구!$E$17</f>
        <v>945.57584351209061</v>
      </c>
      <c r="R22" s="453">
        <f>+[5]대구!$F$17</f>
        <v>938.53502463333086</v>
      </c>
      <c r="S22" s="189">
        <f t="shared" si="4"/>
        <v>-7.040818878759751</v>
      </c>
      <c r="T22" s="514">
        <f>+[5]대구!$E$19</f>
        <v>2.7040000000000002</v>
      </c>
      <c r="U22" s="515">
        <f>+[5]대구!$F$19</f>
        <v>59.856096041678455</v>
      </c>
      <c r="V22" s="516">
        <f t="shared" si="5"/>
        <v>57.152096041678455</v>
      </c>
    </row>
    <row r="23" spans="4:22" ht="24" customHeight="1">
      <c r="D23" s="451" t="s">
        <v>97</v>
      </c>
      <c r="E23" s="452">
        <f>+[5]울산!$E$9</f>
        <v>223.8</v>
      </c>
      <c r="F23" s="453">
        <f>+[5]울산!$F$9</f>
        <v>235.21827902790272</v>
      </c>
      <c r="G23" s="189">
        <f t="shared" si="0"/>
        <v>11.418279027902713</v>
      </c>
      <c r="H23" s="452">
        <f>+[5]울산!$E$15</f>
        <v>355.40000000000003</v>
      </c>
      <c r="I23" s="453">
        <f>+[5]울산!$F$15</f>
        <v>363.87040504050407</v>
      </c>
      <c r="J23" s="189">
        <f t="shared" si="1"/>
        <v>8.4704050405040334</v>
      </c>
      <c r="K23" s="511">
        <f>+([5]울산!$E$10*0.4+[5]울산!$E$11+[5]울산!$E$12+[5]울산!$E$13+[5]울산!$E$14)/[5]울산!$E$15</f>
        <v>0.37028700056274616</v>
      </c>
      <c r="L23" s="512">
        <f>+([5]울산!$F$10*0.4+[5]울산!$F$11+[5]울산!$F$12+[5]울산!$F$13+[5]울산!$F$14)/[5]울산!$F$15</f>
        <v>0.35356578669342581</v>
      </c>
      <c r="M23" s="513">
        <f t="shared" si="2"/>
        <v>-1.672121386932035E-2</v>
      </c>
      <c r="N23" s="452">
        <f>+[5]울산!$E$16</f>
        <v>730</v>
      </c>
      <c r="O23" s="453">
        <f>+[5]울산!$F$16</f>
        <v>790.18757875787594</v>
      </c>
      <c r="P23" s="189">
        <f t="shared" si="3"/>
        <v>60.18757875787594</v>
      </c>
      <c r="Q23" s="452">
        <f>+[5]울산!$E$17</f>
        <v>972</v>
      </c>
      <c r="R23" s="453">
        <f>+[5]울산!$F$17</f>
        <v>905.27956795679574</v>
      </c>
      <c r="S23" s="189">
        <f t="shared" si="4"/>
        <v>-66.720432043204255</v>
      </c>
      <c r="T23" s="514">
        <f>+[5]울산!$E$19</f>
        <v>3.2</v>
      </c>
      <c r="U23" s="515">
        <f>+[5]울산!$F$19</f>
        <v>3.0333483348334833</v>
      </c>
      <c r="V23" s="516">
        <f t="shared" si="5"/>
        <v>-0.16665166516651686</v>
      </c>
    </row>
    <row r="24" spans="4:22" ht="24" customHeight="1">
      <c r="D24" s="486" t="s">
        <v>31</v>
      </c>
      <c r="E24" s="455">
        <f>+[5]아산!$E$9</f>
        <v>230.7328</v>
      </c>
      <c r="F24" s="456">
        <f>+[5]아산!$F$9</f>
        <v>288.82675868454447</v>
      </c>
      <c r="G24" s="457">
        <f t="shared" si="0"/>
        <v>58.093958684544475</v>
      </c>
      <c r="H24" s="455">
        <f>+[5]아산!$E$15</f>
        <v>360.2808</v>
      </c>
      <c r="I24" s="456">
        <f>+[5]아산!$F$15</f>
        <v>378.37551592880908</v>
      </c>
      <c r="J24" s="457">
        <f t="shared" si="1"/>
        <v>18.09471592880908</v>
      </c>
      <c r="K24" s="517">
        <f>+([5]아산!$E$10*0.4+[5]아산!$E$11+[5]아산!$E$12+[5]아산!$E$13+[5]아산!$E$14)/[5]아산!$E$15</f>
        <v>0.25183379186456789</v>
      </c>
      <c r="L24" s="518">
        <f>+([5]아산!$F$10*0.4+[5]아산!$F$11+[5]아산!$F$12+[5]아산!$F$13+[5]아산!$F$14)/[5]아산!$F$15</f>
        <v>0.21526903563910163</v>
      </c>
      <c r="M24" s="519">
        <f t="shared" si="2"/>
        <v>-3.6564756225466261E-2</v>
      </c>
      <c r="N24" s="455">
        <f>+[5]아산!$E$16</f>
        <v>854.92880000000002</v>
      </c>
      <c r="O24" s="456">
        <f>+[5]아산!$F$16</f>
        <v>857.53214910325494</v>
      </c>
      <c r="P24" s="457">
        <f t="shared" si="3"/>
        <v>2.6033491032549136</v>
      </c>
      <c r="Q24" s="455">
        <f>+[5]아산!$E$17</f>
        <v>865.62239999999997</v>
      </c>
      <c r="R24" s="456">
        <f>+[5]아산!$F$17</f>
        <v>852.0436541956725</v>
      </c>
      <c r="S24" s="457">
        <f t="shared" si="4"/>
        <v>-13.578745804327468</v>
      </c>
      <c r="T24" s="520">
        <f>+[5]아산!$E$19</f>
        <v>2.9938159999999998</v>
      </c>
      <c r="U24" s="521">
        <f>+[5]아산!$F$19</f>
        <v>3.3603597270326815</v>
      </c>
      <c r="V24" s="522">
        <f t="shared" si="5"/>
        <v>0.36654372703268168</v>
      </c>
    </row>
    <row r="25" spans="4:22" ht="24" customHeight="1">
      <c r="D25" s="451" t="s">
        <v>34</v>
      </c>
      <c r="E25" s="452">
        <f>+[5]전주!$E$9</f>
        <v>246.80999999999997</v>
      </c>
      <c r="F25" s="453">
        <f>+[5]전주!$F$9</f>
        <v>240.24148212818406</v>
      </c>
      <c r="G25" s="189">
        <f t="shared" si="0"/>
        <v>-6.5685178718159136</v>
      </c>
      <c r="H25" s="452">
        <f>+[5]전주!$E$15</f>
        <v>355.92</v>
      </c>
      <c r="I25" s="453">
        <f>+[5]전주!$F$15</f>
        <v>325.98431183237466</v>
      </c>
      <c r="J25" s="189">
        <f t="shared" si="1"/>
        <v>-29.935688167625358</v>
      </c>
      <c r="K25" s="511">
        <f>+([5]전주!$E$10*0.4+[5]전주!$E$11+[5]전주!$E$12+[5]전주!$E$13+[5]전주!$E$14)/[5]전주!$E$15</f>
        <v>0.28353000674308831</v>
      </c>
      <c r="L25" s="512">
        <f>+([5]전주!$F$10*0.4+[5]전주!$F$11+[5]전주!$F$12+[5]전주!$F$13+[5]전주!$F$14)/[5]전주!$F$15</f>
        <v>0.24835576390304609</v>
      </c>
      <c r="M25" s="513">
        <f t="shared" si="2"/>
        <v>-3.5174242840042225E-2</v>
      </c>
      <c r="N25" s="452">
        <f>+[5]전주!$E$16</f>
        <v>764.82999999999993</v>
      </c>
      <c r="O25" s="453">
        <f>+[5]전주!$F$16</f>
        <v>651.73223089564476</v>
      </c>
      <c r="P25" s="189">
        <f t="shared" si="3"/>
        <v>-113.09776910435517</v>
      </c>
      <c r="Q25" s="452">
        <f>+[5]전주!$E$17</f>
        <v>979.82</v>
      </c>
      <c r="R25" s="453">
        <f>+[5]전주!$F$17</f>
        <v>1090.9038619556291</v>
      </c>
      <c r="S25" s="189">
        <f t="shared" si="4"/>
        <v>111.083861955629</v>
      </c>
      <c r="T25" s="514">
        <f>+[5]전주!$E$19</f>
        <v>3.01</v>
      </c>
      <c r="U25" s="515">
        <f>+[5]전주!$F$19</f>
        <v>1.7948900986031215</v>
      </c>
      <c r="V25" s="516">
        <f t="shared" si="5"/>
        <v>-1.2151099013968782</v>
      </c>
    </row>
    <row r="26" spans="4:22" ht="24" customHeight="1">
      <c r="D26" s="451" t="s">
        <v>33</v>
      </c>
      <c r="E26" s="452">
        <f>+[5]군산!$E$9</f>
        <v>219.5</v>
      </c>
      <c r="F26" s="453">
        <f>+[5]군산!$F$9</f>
        <v>231.77231876138433</v>
      </c>
      <c r="G26" s="189">
        <f t="shared" si="0"/>
        <v>12.272318761384327</v>
      </c>
      <c r="H26" s="452">
        <f>+[5]군산!$E$15</f>
        <v>339</v>
      </c>
      <c r="I26" s="453">
        <f>+[5]군산!$F$15</f>
        <v>350.26467577413479</v>
      </c>
      <c r="J26" s="189">
        <f t="shared" si="1"/>
        <v>11.264675774134787</v>
      </c>
      <c r="K26" s="511">
        <f>+([5]군산!$E$10*0.4+[5]군산!$E$11+[5]군산!$E$12+[5]군산!$E$13+[5]군산!$E$14)/[5]군산!$E$15</f>
        <v>0.32949852507374633</v>
      </c>
      <c r="L26" s="512">
        <f>+([5]군산!$F$10*0.4+[5]군산!$F$11+[5]군산!$F$12+[5]군산!$F$13+[5]군산!$F$14)/[5]군산!$F$15</f>
        <v>0.30765401882636684</v>
      </c>
      <c r="M26" s="513">
        <f t="shared" si="2"/>
        <v>-2.1844506247379492E-2</v>
      </c>
      <c r="N26" s="452">
        <f>+[5]군산!$E$16</f>
        <v>785</v>
      </c>
      <c r="O26" s="453">
        <f>+[5]군산!$F$16</f>
        <v>793.15482695810567</v>
      </c>
      <c r="P26" s="189">
        <f t="shared" si="3"/>
        <v>8.1548269581056729</v>
      </c>
      <c r="Q26" s="452">
        <f>+[5]군산!$E$17</f>
        <v>935</v>
      </c>
      <c r="R26" s="453">
        <f>+[5]군산!$F$17</f>
        <v>908.33743169398906</v>
      </c>
      <c r="S26" s="189">
        <f t="shared" si="4"/>
        <v>-26.66256830601094</v>
      </c>
      <c r="T26" s="514">
        <f>+[5]군산!$E$19</f>
        <v>2.84</v>
      </c>
      <c r="U26" s="515">
        <f>+[5]군산!$F$19</f>
        <v>2.0731967213114753</v>
      </c>
      <c r="V26" s="516">
        <f t="shared" si="5"/>
        <v>-0.7668032786885246</v>
      </c>
    </row>
    <row r="27" spans="4:22" ht="24" customHeight="1">
      <c r="D27" s="451" t="s">
        <v>32</v>
      </c>
      <c r="E27" s="452">
        <f>+[5]원주!$E$9</f>
        <v>259.89999999999998</v>
      </c>
      <c r="F27" s="453">
        <f>+[5]원주!$F$9</f>
        <v>265.16295574326762</v>
      </c>
      <c r="G27" s="189">
        <f t="shared" si="0"/>
        <v>5.2629557432676393</v>
      </c>
      <c r="H27" s="452">
        <f>+[5]원주!$E$15</f>
        <v>343.49999999999994</v>
      </c>
      <c r="I27" s="453">
        <f>+[5]원주!$F$15</f>
        <v>351.02896541765932</v>
      </c>
      <c r="J27" s="189">
        <f t="shared" si="1"/>
        <v>7.5289654176593785</v>
      </c>
      <c r="K27" s="511">
        <f>+([5]원주!$E$10*0.4+[5]원주!$E$11+[5]원주!$E$12+[5]원주!$E$13+[5]원주!$E$14)/[5]원주!$E$15</f>
        <v>0.24337700145560409</v>
      </c>
      <c r="L27" s="512">
        <f>+([5]원주!$F$10*0.4+[5]원주!$F$11+[5]원주!$F$12+[5]원주!$F$13+[5]원주!$F$14)/[5]원주!$F$15</f>
        <v>0.24461232016060883</v>
      </c>
      <c r="M27" s="513">
        <f t="shared" si="2"/>
        <v>1.2353187050047343E-3</v>
      </c>
      <c r="N27" s="452">
        <f>+[5]원주!$E$16</f>
        <v>815.9</v>
      </c>
      <c r="O27" s="453">
        <f>+[5]원주!$F$16</f>
        <v>808.2225110100353</v>
      </c>
      <c r="P27" s="189">
        <f t="shared" si="3"/>
        <v>-7.6774889899646723</v>
      </c>
      <c r="Q27" s="452">
        <f>+[5]원주!$E$17</f>
        <v>953.39999999999986</v>
      </c>
      <c r="R27" s="453">
        <f>+[5]원주!$F$17</f>
        <v>972.42653960002849</v>
      </c>
      <c r="S27" s="189">
        <f t="shared" si="4"/>
        <v>19.026539600028627</v>
      </c>
      <c r="T27" s="514">
        <f>+[5]원주!$E$19</f>
        <v>2.87</v>
      </c>
      <c r="U27" s="515">
        <f>+[5]원주!$F$19</f>
        <v>2.448602988953867</v>
      </c>
      <c r="V27" s="516">
        <f t="shared" si="5"/>
        <v>-0.42139701104613314</v>
      </c>
    </row>
    <row r="28" spans="4:22" ht="24" customHeight="1">
      <c r="D28" s="500" t="s">
        <v>35</v>
      </c>
      <c r="E28" s="523">
        <f>+[5]제주!$E$9</f>
        <v>342.69999999999993</v>
      </c>
      <c r="F28" s="524">
        <f>+[5]제주!$F$9</f>
        <v>339.45101903695416</v>
      </c>
      <c r="G28" s="198">
        <f t="shared" si="0"/>
        <v>-3.2489809630457671</v>
      </c>
      <c r="H28" s="523">
        <f>+[5]제주!$E$15</f>
        <v>342.69999999999993</v>
      </c>
      <c r="I28" s="524">
        <f>+[5]제주!$F$15</f>
        <v>339.45101903695416</v>
      </c>
      <c r="J28" s="198">
        <f t="shared" si="1"/>
        <v>-3.2489809630457671</v>
      </c>
      <c r="K28" s="525">
        <f>+([5]제주!$E$10*0.4+[5]제주!$E$11+[5]제주!$E$12+[5]제주!$E$13+[5]제주!$E$14)/[5]제주!$E$15</f>
        <v>0</v>
      </c>
      <c r="L28" s="526">
        <f>+([5]제주!$F$10*0.4+[5]제주!$F$11+[5]제주!$F$12+[5]제주!$F$13+[5]제주!$F$14)/[5]제주!$F$15</f>
        <v>0</v>
      </c>
      <c r="M28" s="527">
        <f t="shared" si="2"/>
        <v>0</v>
      </c>
      <c r="N28" s="523">
        <f>+[5]제주!$E$16</f>
        <v>709.7</v>
      </c>
      <c r="O28" s="524">
        <f>+[5]제주!$F$16</f>
        <v>665.12178051511762</v>
      </c>
      <c r="P28" s="198">
        <f t="shared" si="3"/>
        <v>-44.578219484882425</v>
      </c>
      <c r="Q28" s="523">
        <f>+[5]제주!$E$17</f>
        <v>1038.3</v>
      </c>
      <c r="R28" s="524">
        <f>+[5]제주!$F$17</f>
        <v>967.63437849944023</v>
      </c>
      <c r="S28" s="198">
        <f t="shared" si="4"/>
        <v>-70.665621500559723</v>
      </c>
      <c r="T28" s="528">
        <f>+[5]제주!$E$19</f>
        <v>3.04</v>
      </c>
      <c r="U28" s="529">
        <f>+[5]제주!$F$19</f>
        <v>2.8687346024636056</v>
      </c>
      <c r="V28" s="530">
        <f t="shared" si="5"/>
        <v>-0.17126539753639447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>
    <tabColor theme="1" tint="0.249977111117893"/>
    <pageSetUpPr fitToPage="1"/>
  </sheetPr>
  <dimension ref="D3:AH55"/>
  <sheetViews>
    <sheetView showGridLines="0" view="pageBreakPreview" topLeftCell="A4" zoomScale="60" zoomScaleNormal="70" workbookViewId="0">
      <pane ySplit="6" topLeftCell="A10" activePane="bottomLeft" state="frozenSplit"/>
      <selection pane="bottomLeft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21" width="10.25" style="6" hidden="1" customWidth="1"/>
    <col min="22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184" t="s">
        <v>212</v>
      </c>
      <c r="F6" s="184"/>
      <c r="G6" s="184"/>
      <c r="H6" s="184"/>
      <c r="I6" s="184"/>
      <c r="J6" s="184"/>
      <c r="K6" s="184"/>
      <c r="L6" s="184"/>
      <c r="M6" s="184"/>
    </row>
    <row r="7" spans="4:17" ht="21.95" customHeight="1" thickBot="1">
      <c r="D7" s="185"/>
      <c r="O7" s="186" t="s">
        <v>76</v>
      </c>
    </row>
    <row r="8" spans="4:17" ht="25.5" customHeight="1" thickTop="1">
      <c r="D8" s="827" t="s">
        <v>11</v>
      </c>
      <c r="E8" s="828"/>
      <c r="F8" s="837" t="s">
        <v>227</v>
      </c>
      <c r="G8" s="838"/>
      <c r="H8" s="838"/>
      <c r="I8" s="838"/>
      <c r="J8" s="839"/>
      <c r="K8" s="804" t="s">
        <v>226</v>
      </c>
      <c r="L8" s="804"/>
      <c r="M8" s="804"/>
      <c r="N8" s="804"/>
      <c r="O8" s="807"/>
      <c r="P8" s="187"/>
      <c r="Q8" s="187"/>
    </row>
    <row r="9" spans="4:17" ht="25.5" customHeight="1">
      <c r="D9" s="829"/>
      <c r="E9" s="830"/>
      <c r="F9" s="569" t="s">
        <v>12</v>
      </c>
      <c r="G9" s="358" t="s">
        <v>13</v>
      </c>
      <c r="H9" s="367" t="s">
        <v>71</v>
      </c>
      <c r="I9" s="358" t="s">
        <v>14</v>
      </c>
      <c r="J9" s="570" t="s">
        <v>72</v>
      </c>
      <c r="K9" s="367" t="s">
        <v>12</v>
      </c>
      <c r="L9" s="358" t="s">
        <v>13</v>
      </c>
      <c r="M9" s="367" t="s">
        <v>71</v>
      </c>
      <c r="N9" s="358" t="s">
        <v>14</v>
      </c>
      <c r="O9" s="368" t="s">
        <v>72</v>
      </c>
      <c r="P9" s="187"/>
      <c r="Q9" s="187"/>
    </row>
    <row r="10" spans="4:17" ht="25.5" customHeight="1">
      <c r="D10" s="71" t="s">
        <v>110</v>
      </c>
      <c r="E10" s="90" t="s">
        <v>86</v>
      </c>
      <c r="F10" s="571">
        <f>+IFERROR(HLOOKUP($F$8,[13]손익!$G$5:$AI$63,2,),)</f>
        <v>7300</v>
      </c>
      <c r="G10" s="359">
        <f>+'[7]4월'!$G$8</f>
        <v>8574.9830000000002</v>
      </c>
      <c r="H10" s="204">
        <f>+G10-F10</f>
        <v>1274.9830000000002</v>
      </c>
      <c r="I10" s="359">
        <f>+IFERROR(HLOOKUP($F$8,[8]월별!$E$2:$T$53,2,),)</f>
        <v>9357.5969999999998</v>
      </c>
      <c r="J10" s="572">
        <f>+G10-I10</f>
        <v>-782.61399999999958</v>
      </c>
      <c r="K10" s="204">
        <f>+F10+[4]건자재!K10</f>
        <v>27900</v>
      </c>
      <c r="L10" s="359">
        <f>+G10+[4]건자재!L10</f>
        <v>30310.545999999998</v>
      </c>
      <c r="M10" s="204">
        <f>+L10-K10</f>
        <v>2410.5459999999985</v>
      </c>
      <c r="N10" s="359">
        <f>+I10+[4]건자재!N10</f>
        <v>34525.302000000003</v>
      </c>
      <c r="O10" s="352">
        <f>+L10-N10</f>
        <v>-4214.7560000000049</v>
      </c>
      <c r="P10" s="77"/>
      <c r="Q10" s="77"/>
    </row>
    <row r="11" spans="4:17" ht="25.5" customHeight="1">
      <c r="D11" s="72" t="s">
        <v>21</v>
      </c>
      <c r="E11" s="357" t="s">
        <v>122</v>
      </c>
      <c r="F11" s="573">
        <f>+F12/F10*1000</f>
        <v>978767.12328767125</v>
      </c>
      <c r="G11" s="360">
        <f t="shared" ref="G11" si="0">+G12/G10*1000</f>
        <v>853042.90795678552</v>
      </c>
      <c r="H11" s="214">
        <f t="shared" ref="H11:H28" si="1">+G11-F11</f>
        <v>-125724.21533088572</v>
      </c>
      <c r="I11" s="360">
        <f>+I12/I10*1000</f>
        <v>1048311.1321207784</v>
      </c>
      <c r="J11" s="574">
        <f t="shared" ref="J11:J28" si="2">+G11-I11</f>
        <v>-195268.22416399291</v>
      </c>
      <c r="K11" s="214">
        <f>+K12/K10*1000</f>
        <v>977956.98924731184</v>
      </c>
      <c r="L11" s="360">
        <f>+L12/L10*1000</f>
        <v>880502.35531883861</v>
      </c>
      <c r="M11" s="214">
        <f t="shared" ref="M11:M28" si="3">+L11-K11</f>
        <v>-97454.633928473224</v>
      </c>
      <c r="N11" s="360">
        <f>+N12/N10*1000</f>
        <v>1048495.0807671428</v>
      </c>
      <c r="O11" s="212">
        <f t="shared" ref="O11:O28" si="4">+L11-N11</f>
        <v>-167992.72544830421</v>
      </c>
      <c r="P11" s="77"/>
      <c r="Q11" s="77"/>
    </row>
    <row r="12" spans="4:17" ht="25.5" customHeight="1">
      <c r="D12" s="188" t="s">
        <v>77</v>
      </c>
      <c r="E12" s="91" t="s">
        <v>122</v>
      </c>
      <c r="F12" s="418">
        <f>+IFERROR(HLOOKUP($F$8,[13]손익!$G$5:$AI$63,22,),)</f>
        <v>7145000</v>
      </c>
      <c r="G12" s="361">
        <f>+'[7]4월'!$G$9</f>
        <v>7314828.4340000004</v>
      </c>
      <c r="H12" s="196">
        <f t="shared" si="1"/>
        <v>169828.43400000036</v>
      </c>
      <c r="I12" s="361">
        <f>+IFERROR(HLOOKUP($F$8,[8]월별!$E$2:$T$53,5,),)</f>
        <v>9809673.1050000004</v>
      </c>
      <c r="J12" s="419">
        <f t="shared" si="2"/>
        <v>-2494844.6710000001</v>
      </c>
      <c r="K12" s="196">
        <f>+F12+[4]건자재!K12</f>
        <v>27285000</v>
      </c>
      <c r="L12" s="361">
        <f>+G12+[4]건자재!L12</f>
        <v>26688507.144000001</v>
      </c>
      <c r="M12" s="196">
        <f t="shared" si="3"/>
        <v>-596492.85599999875</v>
      </c>
      <c r="N12" s="361">
        <f>+I12+[4]건자재!N12</f>
        <v>36199609.309</v>
      </c>
      <c r="O12" s="219">
        <f t="shared" si="4"/>
        <v>-9511102.1649999991</v>
      </c>
      <c r="P12" s="77"/>
      <c r="Q12" s="77"/>
    </row>
    <row r="13" spans="4:17" ht="25.5" customHeight="1">
      <c r="D13" s="188"/>
      <c r="E13" s="92" t="s">
        <v>123</v>
      </c>
      <c r="F13" s="575">
        <f>+IFERROR(HLOOKUP($F$8,[13]손익!$G$5:$AI$63,23,),)</f>
        <v>1784315.7894736845</v>
      </c>
      <c r="G13" s="362">
        <f>+'[7]4월'!$J$9</f>
        <v>1507211.0580000002</v>
      </c>
      <c r="H13" s="206">
        <f t="shared" si="1"/>
        <v>-277104.73147368431</v>
      </c>
      <c r="I13" s="362">
        <f>+IFERROR(HLOOKUP($F$8,[8]월별!$E$2:$T$53,6,),)</f>
        <v>1598941.902999999</v>
      </c>
      <c r="J13" s="576">
        <f t="shared" si="2"/>
        <v>-91730.844999998808</v>
      </c>
      <c r="K13" s="206">
        <f>+F13+[4]건자재!K13</f>
        <v>6851772.6315789502</v>
      </c>
      <c r="L13" s="362">
        <f>+G13+[4]건자재!L13</f>
        <v>5067065.2760000005</v>
      </c>
      <c r="M13" s="206">
        <f t="shared" si="3"/>
        <v>-1784707.3555789497</v>
      </c>
      <c r="N13" s="362">
        <f>+I13+[4]건자재!N13</f>
        <v>5172080.2599999988</v>
      </c>
      <c r="O13" s="353">
        <f t="shared" si="4"/>
        <v>-105014.98399999831</v>
      </c>
      <c r="P13" s="77"/>
      <c r="Q13" s="77"/>
    </row>
    <row r="14" spans="4:17" ht="25.5" customHeight="1">
      <c r="D14" s="188"/>
      <c r="E14" s="94" t="s">
        <v>58</v>
      </c>
      <c r="F14" s="416">
        <f>SUM(F12:F13)</f>
        <v>8929315.7894736845</v>
      </c>
      <c r="G14" s="363">
        <f>SUM(G12:G13)</f>
        <v>8822039.4920000006</v>
      </c>
      <c r="H14" s="205">
        <f t="shared" si="1"/>
        <v>-107276.29747368395</v>
      </c>
      <c r="I14" s="363">
        <f>SUM(I12:I13)</f>
        <v>11408615.007999999</v>
      </c>
      <c r="J14" s="417">
        <f t="shared" si="2"/>
        <v>-2586575.5159999989</v>
      </c>
      <c r="K14" s="205">
        <f>SUM(K12:K13)</f>
        <v>34136772.631578952</v>
      </c>
      <c r="L14" s="363">
        <f>SUM(L12:L13)</f>
        <v>31755572.420000002</v>
      </c>
      <c r="M14" s="205">
        <f t="shared" si="3"/>
        <v>-2381200.2115789503</v>
      </c>
      <c r="N14" s="363">
        <f>SUM(N12:N13)</f>
        <v>41371689.568999998</v>
      </c>
      <c r="O14" s="222">
        <f t="shared" si="4"/>
        <v>-9616117.1489999965</v>
      </c>
      <c r="P14" s="77"/>
      <c r="Q14" s="77"/>
    </row>
    <row r="15" spans="4:17" ht="25.5" customHeight="1">
      <c r="D15" s="71" t="s">
        <v>5</v>
      </c>
      <c r="E15" s="90" t="s">
        <v>122</v>
      </c>
      <c r="F15" s="571">
        <f>+IFERROR(HLOOKUP($F$8,[13]손익!$G$5:$AI$63,25,),)</f>
        <v>6978185</v>
      </c>
      <c r="G15" s="359">
        <f>+'[7]4월'!$G$11</f>
        <v>7182086.8200000003</v>
      </c>
      <c r="H15" s="204">
        <f t="shared" si="1"/>
        <v>203901.8200000003</v>
      </c>
      <c r="I15" s="359">
        <f>+IFERROR(HLOOKUP($F$8,[8]월별!$E$2:$T$53,8,),)</f>
        <v>9601536.9480000008</v>
      </c>
      <c r="J15" s="572">
        <f t="shared" si="2"/>
        <v>-2419450.1280000005</v>
      </c>
      <c r="K15" s="204">
        <f>+F15+[4]건자재!K15</f>
        <v>26648980</v>
      </c>
      <c r="L15" s="359">
        <f>+G15+[4]건자재!L15</f>
        <v>26089130.177000001</v>
      </c>
      <c r="M15" s="204">
        <f t="shared" si="3"/>
        <v>-559849.82299999893</v>
      </c>
      <c r="N15" s="359">
        <f>+I15+[4]건자재!N15</f>
        <v>35493775.987999998</v>
      </c>
      <c r="O15" s="352">
        <f t="shared" si="4"/>
        <v>-9404645.810999997</v>
      </c>
      <c r="P15" s="77"/>
      <c r="Q15" s="77"/>
    </row>
    <row r="16" spans="4:17" ht="25.5" customHeight="1">
      <c r="D16" s="188"/>
      <c r="E16" s="92" t="s">
        <v>123</v>
      </c>
      <c r="F16" s="575">
        <f>+IFERROR(HLOOKUP($F$8,[13]손익!$G$5:$AI$63,26,),)</f>
        <v>1722257.2863157876</v>
      </c>
      <c r="G16" s="362">
        <f>+'[7]4월'!$J$11</f>
        <v>1476998.9679999985</v>
      </c>
      <c r="H16" s="206">
        <f t="shared" si="1"/>
        <v>-245258.3183157891</v>
      </c>
      <c r="I16" s="362">
        <f>+IFERROR(HLOOKUP($F$8,[8]월별!$E$2:$T$53,9,),)</f>
        <v>1569971.4459999986</v>
      </c>
      <c r="J16" s="576">
        <f t="shared" si="2"/>
        <v>-92972.478000000119</v>
      </c>
      <c r="K16" s="206">
        <f>+F16+[4]건자재!K16</f>
        <v>6613467.9794526277</v>
      </c>
      <c r="L16" s="362">
        <f>+G16+[4]건자재!L16</f>
        <v>4969680.095999999</v>
      </c>
      <c r="M16" s="206">
        <f t="shared" si="3"/>
        <v>-1643787.8834526287</v>
      </c>
      <c r="N16" s="362">
        <f>+I16+[4]건자재!N16</f>
        <v>5065729.0529999984</v>
      </c>
      <c r="O16" s="353">
        <f t="shared" si="4"/>
        <v>-96048.956999999471</v>
      </c>
      <c r="P16" s="77"/>
      <c r="Q16" s="77"/>
    </row>
    <row r="17" spans="4:17" ht="25.5" customHeight="1">
      <c r="D17" s="72"/>
      <c r="E17" s="369" t="s">
        <v>43</v>
      </c>
      <c r="F17" s="577">
        <f>SUM(F15:F16)</f>
        <v>8700442.2863157876</v>
      </c>
      <c r="G17" s="370">
        <f>SUM(G15:G16)</f>
        <v>8659085.7879999988</v>
      </c>
      <c r="H17" s="371">
        <f t="shared" si="1"/>
        <v>-41356.498315788805</v>
      </c>
      <c r="I17" s="370">
        <f>SUM(I15:I16)</f>
        <v>11171508.393999999</v>
      </c>
      <c r="J17" s="578">
        <f t="shared" si="2"/>
        <v>-2512422.6060000006</v>
      </c>
      <c r="K17" s="371">
        <f>SUM(K15:K16)</f>
        <v>33262447.979452629</v>
      </c>
      <c r="L17" s="370">
        <f>SUM(L15:L16)</f>
        <v>31058810.273000002</v>
      </c>
      <c r="M17" s="371">
        <f t="shared" si="3"/>
        <v>-2203637.7064526267</v>
      </c>
      <c r="N17" s="370">
        <f>SUM(N15:N16)</f>
        <v>40559505.040999994</v>
      </c>
      <c r="O17" s="372">
        <f t="shared" si="4"/>
        <v>-9500694.7679999918</v>
      </c>
      <c r="P17" s="77"/>
      <c r="Q17" s="77"/>
    </row>
    <row r="18" spans="4:17" ht="25.5" customHeight="1">
      <c r="D18" s="188" t="s">
        <v>18</v>
      </c>
      <c r="E18" s="91" t="s">
        <v>122</v>
      </c>
      <c r="F18" s="418">
        <f>+F12-F15</f>
        <v>166815</v>
      </c>
      <c r="G18" s="361">
        <f>+G12-G15</f>
        <v>132741.61400000006</v>
      </c>
      <c r="H18" s="196">
        <f t="shared" si="1"/>
        <v>-34073.38599999994</v>
      </c>
      <c r="I18" s="361">
        <f>+I12-I15</f>
        <v>208136.15699999966</v>
      </c>
      <c r="J18" s="419">
        <f t="shared" si="2"/>
        <v>-75394.542999999598</v>
      </c>
      <c r="K18" s="196">
        <f>+K12-K15</f>
        <v>636020</v>
      </c>
      <c r="L18" s="361">
        <f>+L12-L15</f>
        <v>599376.96700000018</v>
      </c>
      <c r="M18" s="196">
        <f t="shared" si="3"/>
        <v>-36643.032999999821</v>
      </c>
      <c r="N18" s="361">
        <f>+N12-N15</f>
        <v>705833.32100000232</v>
      </c>
      <c r="O18" s="219">
        <f t="shared" si="4"/>
        <v>-106456.35400000215</v>
      </c>
      <c r="P18" s="77"/>
      <c r="Q18" s="77"/>
    </row>
    <row r="19" spans="4:17" ht="25.5" customHeight="1">
      <c r="D19" s="188"/>
      <c r="E19" s="194" t="s">
        <v>9</v>
      </c>
      <c r="F19" s="579">
        <f>+F18/F12</f>
        <v>2.3347095871238628E-2</v>
      </c>
      <c r="G19" s="364">
        <f>+G18/G12</f>
        <v>1.8146921038230335E-2</v>
      </c>
      <c r="H19" s="197">
        <f t="shared" si="1"/>
        <v>-5.2001748330082927E-3</v>
      </c>
      <c r="I19" s="364">
        <f>+I18/I12</f>
        <v>2.1217440660067709E-2</v>
      </c>
      <c r="J19" s="580">
        <f t="shared" si="2"/>
        <v>-3.070519621837374E-3</v>
      </c>
      <c r="K19" s="197">
        <f>+K18/K12</f>
        <v>2.3310243723657687E-2</v>
      </c>
      <c r="L19" s="364">
        <f>+L18/L12</f>
        <v>2.2458242559840955E-2</v>
      </c>
      <c r="M19" s="197">
        <f t="shared" si="3"/>
        <v>-8.5200116381673255E-4</v>
      </c>
      <c r="N19" s="364">
        <f>+N18/N12</f>
        <v>1.9498368476162448E-2</v>
      </c>
      <c r="O19" s="354">
        <f t="shared" si="4"/>
        <v>2.9598740836785063E-3</v>
      </c>
      <c r="P19" s="77"/>
      <c r="Q19" s="77"/>
    </row>
    <row r="20" spans="4:17" ht="25.5" customHeight="1">
      <c r="D20" s="188"/>
      <c r="E20" s="93" t="s">
        <v>123</v>
      </c>
      <c r="F20" s="416">
        <f>+F13-F16</f>
        <v>62058.503157896921</v>
      </c>
      <c r="G20" s="363">
        <f>+G13-G16</f>
        <v>30212.090000001714</v>
      </c>
      <c r="H20" s="205">
        <f t="shared" si="1"/>
        <v>-31846.413157895207</v>
      </c>
      <c r="I20" s="363">
        <f>+I13-I16</f>
        <v>28970.457000000402</v>
      </c>
      <c r="J20" s="417">
        <f t="shared" si="2"/>
        <v>1241.6330000013113</v>
      </c>
      <c r="K20" s="205">
        <f>+K13-K16</f>
        <v>238304.6521263225</v>
      </c>
      <c r="L20" s="363">
        <f>+L13-L16</f>
        <v>97385.180000001565</v>
      </c>
      <c r="M20" s="205">
        <f t="shared" si="3"/>
        <v>-140919.47212632094</v>
      </c>
      <c r="N20" s="363">
        <f>+N13-N16</f>
        <v>106351.2070000004</v>
      </c>
      <c r="O20" s="222">
        <f t="shared" si="4"/>
        <v>-8966.0269999988377</v>
      </c>
      <c r="P20" s="77"/>
      <c r="Q20" s="77"/>
    </row>
    <row r="21" spans="4:17" ht="25.5" customHeight="1">
      <c r="D21" s="188"/>
      <c r="E21" s="195" t="s">
        <v>9</v>
      </c>
      <c r="F21" s="581">
        <f>+F20/F13</f>
        <v>3.478000000000122E-2</v>
      </c>
      <c r="G21" s="365">
        <f>+G20/G13</f>
        <v>2.0045029420160815E-2</v>
      </c>
      <c r="H21" s="207">
        <f t="shared" si="1"/>
        <v>-1.4734970579840405E-2</v>
      </c>
      <c r="I21" s="365">
        <f>+I20/I13</f>
        <v>1.811851759319389E-2</v>
      </c>
      <c r="J21" s="582">
        <f t="shared" si="2"/>
        <v>1.9265118269669243E-3</v>
      </c>
      <c r="K21" s="207">
        <f>+K20/K13</f>
        <v>3.4780000000000963E-2</v>
      </c>
      <c r="L21" s="365">
        <f>+L20/L13</f>
        <v>1.9219247176716567E-2</v>
      </c>
      <c r="M21" s="207">
        <f t="shared" si="3"/>
        <v>-1.5560752823284396E-2</v>
      </c>
      <c r="N21" s="365">
        <f>+N20/N13</f>
        <v>2.0562559290214964E-2</v>
      </c>
      <c r="O21" s="355">
        <f t="shared" si="4"/>
        <v>-1.3433121134983975E-3</v>
      </c>
      <c r="P21" s="77"/>
      <c r="Q21" s="77"/>
    </row>
    <row r="22" spans="4:17" ht="25.5" customHeight="1">
      <c r="D22" s="188"/>
      <c r="E22" s="94" t="s">
        <v>58</v>
      </c>
      <c r="F22" s="416">
        <f>SUM(F18,F20)</f>
        <v>228873.50315789692</v>
      </c>
      <c r="G22" s="363">
        <f>SUM(G18,G20)</f>
        <v>162953.70400000177</v>
      </c>
      <c r="H22" s="205">
        <f t="shared" si="1"/>
        <v>-65919.799157895148</v>
      </c>
      <c r="I22" s="363">
        <f>SUM(I18,I20)</f>
        <v>237106.61400000006</v>
      </c>
      <c r="J22" s="417">
        <f t="shared" si="2"/>
        <v>-74152.909999998286</v>
      </c>
      <c r="K22" s="205">
        <f>+K14-K17</f>
        <v>874324.65212632343</v>
      </c>
      <c r="L22" s="363">
        <f>+L14-L17</f>
        <v>696762.14699999988</v>
      </c>
      <c r="M22" s="205">
        <f t="shared" si="3"/>
        <v>-177562.50512632355</v>
      </c>
      <c r="N22" s="363">
        <f>+N14-N17</f>
        <v>812184.52800000459</v>
      </c>
      <c r="O22" s="222">
        <f t="shared" si="4"/>
        <v>-115422.38100000471</v>
      </c>
      <c r="P22" s="77"/>
      <c r="Q22" s="77"/>
    </row>
    <row r="23" spans="4:17" ht="25.5" customHeight="1">
      <c r="D23" s="188"/>
      <c r="E23" s="373" t="s">
        <v>9</v>
      </c>
      <c r="F23" s="579">
        <f>+F22/F14</f>
        <v>2.5631695479703408E-2</v>
      </c>
      <c r="G23" s="364">
        <f>+G22/G14</f>
        <v>1.847120545626342E-2</v>
      </c>
      <c r="H23" s="197">
        <f t="shared" si="1"/>
        <v>-7.1604900234399881E-3</v>
      </c>
      <c r="I23" s="364">
        <f>+I22/I14</f>
        <v>2.0783119934692784E-2</v>
      </c>
      <c r="J23" s="580">
        <f t="shared" si="2"/>
        <v>-2.3119144784293638E-3</v>
      </c>
      <c r="K23" s="197">
        <f>+K22/K14</f>
        <v>2.5612399319715148E-2</v>
      </c>
      <c r="L23" s="364">
        <f>+L22/L14</f>
        <v>2.1941413550497724E-2</v>
      </c>
      <c r="M23" s="197">
        <f t="shared" si="3"/>
        <v>-3.670985769217424E-3</v>
      </c>
      <c r="N23" s="364">
        <f>+N22/N14</f>
        <v>1.9631408251902245E-2</v>
      </c>
      <c r="O23" s="354">
        <f t="shared" si="4"/>
        <v>2.3100052985954786E-3</v>
      </c>
      <c r="P23" s="77"/>
      <c r="Q23" s="77"/>
    </row>
    <row r="24" spans="4:17" ht="25.5" customHeight="1">
      <c r="D24" s="71" t="s">
        <v>124</v>
      </c>
      <c r="E24" s="90" t="s">
        <v>125</v>
      </c>
      <c r="F24" s="571">
        <f>+IFERROR(HLOOKUP($F$8,[13]판매4!$G$4:$U$50,7,),)</f>
        <v>83504.47</v>
      </c>
      <c r="G24" s="359">
        <f>+'[7]4월'!$M$19</f>
        <v>90280.524999999994</v>
      </c>
      <c r="H24" s="204">
        <f t="shared" si="1"/>
        <v>6776.054999999993</v>
      </c>
      <c r="I24" s="359">
        <f>+IFERROR(HLOOKUP($F$8,[8]월별!$E$2:$T$53,17,),)</f>
        <v>84157.857000000004</v>
      </c>
      <c r="J24" s="572">
        <f t="shared" si="2"/>
        <v>6122.6679999999906</v>
      </c>
      <c r="K24" s="204">
        <f>+F24+[4]건자재!K24</f>
        <v>331443.06</v>
      </c>
      <c r="L24" s="359">
        <f>+G24+[4]건자재!L24</f>
        <v>355065.34299999999</v>
      </c>
      <c r="M24" s="204">
        <f t="shared" si="3"/>
        <v>23622.282999999996</v>
      </c>
      <c r="N24" s="359">
        <f>+I24+[4]건자재!N24</f>
        <v>337947.34299999999</v>
      </c>
      <c r="O24" s="352">
        <f t="shared" si="4"/>
        <v>17118</v>
      </c>
      <c r="P24" s="77"/>
      <c r="Q24" s="77"/>
    </row>
    <row r="25" spans="4:17" ht="25.5" customHeight="1">
      <c r="D25" s="188"/>
      <c r="E25" s="92" t="s">
        <v>126</v>
      </c>
      <c r="F25" s="575">
        <f>+IFERROR(HLOOKUP($F$8,[13]판매4!$G$4:$U$50,31,),)+IFERROR(HLOOKUP($F$8,[13]판매4!$G$4:$U$50,34,),)</f>
        <v>37999.589999999997</v>
      </c>
      <c r="G25" s="362">
        <f>+'[7]4월'!$M$37+'[7]4월'!$M$40</f>
        <v>78855.846999999994</v>
      </c>
      <c r="H25" s="206">
        <f t="shared" si="1"/>
        <v>40856.256999999998</v>
      </c>
      <c r="I25" s="362">
        <f>+IFERROR(HLOOKUP($F$8,[8]월별!$E$2:$T$53,35,),)+IFERROR(HLOOKUP($F$8,[8]월별!$E$2:$T$53,38,),)</f>
        <v>36550.050999999999</v>
      </c>
      <c r="J25" s="576">
        <f t="shared" si="2"/>
        <v>42305.795999999995</v>
      </c>
      <c r="K25" s="206">
        <f>+F25+[4]건자재!K25</f>
        <v>175172.55000000002</v>
      </c>
      <c r="L25" s="362">
        <f>+G25+[4]건자재!L25</f>
        <v>199112.23599999998</v>
      </c>
      <c r="M25" s="206">
        <f t="shared" si="3"/>
        <v>23939.685999999958</v>
      </c>
      <c r="N25" s="362">
        <f>+I25+[4]건자재!N25</f>
        <v>151634.405</v>
      </c>
      <c r="O25" s="353">
        <f t="shared" si="4"/>
        <v>47477.830999999976</v>
      </c>
      <c r="P25" s="77"/>
      <c r="Q25" s="77"/>
    </row>
    <row r="26" spans="4:17" ht="25.5" customHeight="1">
      <c r="D26" s="72"/>
      <c r="E26" s="369" t="s">
        <v>58</v>
      </c>
      <c r="F26" s="577">
        <f>SUM(F24:F25)</f>
        <v>121504.06</v>
      </c>
      <c r="G26" s="370">
        <f>SUM(G24:G25)</f>
        <v>169136.37199999997</v>
      </c>
      <c r="H26" s="371">
        <f t="shared" si="1"/>
        <v>47632.311999999976</v>
      </c>
      <c r="I26" s="370">
        <f>SUM(I24:I25)</f>
        <v>120707.908</v>
      </c>
      <c r="J26" s="578">
        <f t="shared" si="2"/>
        <v>48428.463999999978</v>
      </c>
      <c r="K26" s="371">
        <f>SUM(K24:K25)</f>
        <v>506615.61</v>
      </c>
      <c r="L26" s="370">
        <f>SUM(L24:L25)</f>
        <v>554177.57899999991</v>
      </c>
      <c r="M26" s="371">
        <f t="shared" si="3"/>
        <v>47561.968999999925</v>
      </c>
      <c r="N26" s="370">
        <f>SUM(N24:N25)</f>
        <v>489581.74800000002</v>
      </c>
      <c r="O26" s="372">
        <f t="shared" si="4"/>
        <v>64595.830999999889</v>
      </c>
      <c r="P26" s="77"/>
      <c r="Q26" s="77"/>
    </row>
    <row r="27" spans="4:17" ht="25.5" customHeight="1">
      <c r="D27" s="188" t="s">
        <v>7</v>
      </c>
      <c r="E27" s="373"/>
      <c r="F27" s="418">
        <f>+F22-F26</f>
        <v>107369.44315789692</v>
      </c>
      <c r="G27" s="361">
        <f>+G22-G26</f>
        <v>-6182.6679999982007</v>
      </c>
      <c r="H27" s="196">
        <f t="shared" si="1"/>
        <v>-113552.11115789512</v>
      </c>
      <c r="I27" s="361">
        <f>+I22-I26</f>
        <v>116398.70600000006</v>
      </c>
      <c r="J27" s="419">
        <f t="shared" si="2"/>
        <v>-122581.37399999826</v>
      </c>
      <c r="K27" s="196">
        <f>+K22-K26</f>
        <v>367709.04212632345</v>
      </c>
      <c r="L27" s="361">
        <f>+L22-L26</f>
        <v>142584.56799999997</v>
      </c>
      <c r="M27" s="196">
        <f t="shared" si="3"/>
        <v>-225124.47412632348</v>
      </c>
      <c r="N27" s="361">
        <f>+N22-N26</f>
        <v>322602.78000000457</v>
      </c>
      <c r="O27" s="219">
        <f t="shared" si="4"/>
        <v>-180018.2120000046</v>
      </c>
      <c r="P27" s="77"/>
      <c r="Q27" s="77"/>
    </row>
    <row r="28" spans="4:17" ht="25.5" customHeight="1" thickBot="1">
      <c r="D28" s="188"/>
      <c r="E28" s="568" t="s">
        <v>10</v>
      </c>
      <c r="F28" s="583">
        <f>+F27/F14</f>
        <v>1.2024375180511511E-2</v>
      </c>
      <c r="G28" s="584">
        <f>+G27/G14</f>
        <v>-7.0082071221793621E-4</v>
      </c>
      <c r="H28" s="585">
        <f t="shared" si="1"/>
        <v>-1.2725195892729448E-2</v>
      </c>
      <c r="I28" s="584">
        <f>+I27/I14</f>
        <v>1.020270259960376E-2</v>
      </c>
      <c r="J28" s="586">
        <f t="shared" si="2"/>
        <v>-1.0903523311821697E-2</v>
      </c>
      <c r="K28" s="208">
        <f>+K27/K14</f>
        <v>1.0771640485608365E-2</v>
      </c>
      <c r="L28" s="366">
        <f>+L27/L14</f>
        <v>4.4900644873968219E-3</v>
      </c>
      <c r="M28" s="208">
        <f t="shared" si="3"/>
        <v>-6.2815759982115431E-3</v>
      </c>
      <c r="N28" s="366">
        <f>+N27/N14</f>
        <v>7.7976699371188445E-3</v>
      </c>
      <c r="O28" s="356">
        <f t="shared" si="4"/>
        <v>-3.3076054497220226E-3</v>
      </c>
      <c r="P28" s="77"/>
      <c r="Q28" s="77"/>
    </row>
    <row r="29" spans="4:17" ht="25.5" customHeight="1" thickTop="1">
      <c r="D29" s="831" t="s">
        <v>129</v>
      </c>
      <c r="E29" s="832"/>
      <c r="F29" s="165"/>
      <c r="G29" s="165"/>
      <c r="H29" s="165"/>
      <c r="I29" s="165"/>
      <c r="J29" s="165"/>
      <c r="K29" s="165"/>
      <c r="L29" s="165"/>
      <c r="M29" s="165"/>
      <c r="N29" s="75"/>
      <c r="O29" s="189"/>
      <c r="P29" s="77"/>
      <c r="Q29" s="77"/>
    </row>
    <row r="30" spans="4:17" ht="25.5" customHeight="1">
      <c r="D30" s="833"/>
      <c r="E30" s="834"/>
      <c r="F30" s="165"/>
      <c r="G30" s="165"/>
      <c r="H30" s="165"/>
      <c r="I30" s="165"/>
      <c r="J30" s="165"/>
      <c r="K30" s="165"/>
      <c r="L30" s="165"/>
      <c r="M30" s="165"/>
      <c r="N30" s="75"/>
      <c r="O30" s="189"/>
      <c r="P30" s="77"/>
      <c r="Q30" s="77"/>
    </row>
    <row r="31" spans="4:17" ht="25.5" customHeight="1">
      <c r="D31" s="833"/>
      <c r="E31" s="834"/>
      <c r="F31" s="165"/>
      <c r="G31" s="165"/>
      <c r="H31" s="165"/>
      <c r="I31" s="165"/>
      <c r="J31" s="165"/>
      <c r="K31" s="165"/>
      <c r="L31" s="165"/>
      <c r="M31" s="165"/>
      <c r="N31" s="75"/>
      <c r="O31" s="189"/>
      <c r="P31" s="77"/>
      <c r="Q31" s="77"/>
    </row>
    <row r="32" spans="4:17" ht="25.5" customHeight="1">
      <c r="D32" s="833"/>
      <c r="E32" s="834"/>
      <c r="F32" s="165"/>
      <c r="G32" s="165"/>
      <c r="H32" s="165"/>
      <c r="I32" s="165"/>
      <c r="J32" s="165"/>
      <c r="K32" s="165"/>
      <c r="L32" s="165"/>
      <c r="M32" s="165"/>
      <c r="N32" s="75"/>
      <c r="O32" s="189"/>
      <c r="P32" s="77"/>
      <c r="Q32" s="77"/>
    </row>
    <row r="33" spans="4:34" ht="25.5" customHeight="1">
      <c r="D33" s="833"/>
      <c r="E33" s="834"/>
      <c r="F33" s="165"/>
      <c r="G33" s="165"/>
      <c r="H33" s="165"/>
      <c r="I33" s="165"/>
      <c r="J33" s="165"/>
      <c r="K33" s="165"/>
      <c r="L33" s="165"/>
      <c r="M33" s="165"/>
      <c r="N33" s="75"/>
      <c r="O33" s="189"/>
      <c r="P33" s="77"/>
      <c r="Q33" s="77"/>
    </row>
    <row r="34" spans="4:34" ht="25.5" customHeight="1">
      <c r="D34" s="835"/>
      <c r="E34" s="836"/>
      <c r="F34" s="199"/>
      <c r="G34" s="199"/>
      <c r="H34" s="199"/>
      <c r="I34" s="199"/>
      <c r="J34" s="199"/>
      <c r="K34" s="199"/>
      <c r="L34" s="199"/>
      <c r="M34" s="199"/>
      <c r="N34" s="167"/>
      <c r="O34" s="198"/>
      <c r="R34" s="6" t="s">
        <v>164</v>
      </c>
    </row>
    <row r="35" spans="4:34" ht="21.95" customHeight="1"/>
    <row r="36" spans="4:34" ht="21.95" customHeight="1">
      <c r="F36" s="6">
        <f>+IFERROR(HLOOKUP($F$8,[13]손익!$G$5:$AJ$65,17,),)</f>
        <v>107369.44315789692</v>
      </c>
      <c r="G36" s="6">
        <f>+'[7]4월'!$M$41</f>
        <v>-6182.6679999982007</v>
      </c>
      <c r="I36" s="6">
        <f>+IFERROR(HLOOKUP($F$8,[8]월별!$E$2:$T$53,39,),)</f>
        <v>116398.70600000005</v>
      </c>
      <c r="K36" s="6">
        <f>+F36+[4]건자재!K36</f>
        <v>367709.04212632246</v>
      </c>
      <c r="L36" s="6">
        <f>+G36+[4]건자재!L36</f>
        <v>142584.56800000177</v>
      </c>
      <c r="N36" s="6">
        <f>+I36+[4]건자재!N36</f>
        <v>322602.7800000009</v>
      </c>
      <c r="R36" s="504"/>
      <c r="S36" s="593" t="s">
        <v>180</v>
      </c>
      <c r="T36" s="593" t="s">
        <v>179</v>
      </c>
      <c r="U36" s="593" t="s">
        <v>181</v>
      </c>
      <c r="V36" s="593" t="s">
        <v>173</v>
      </c>
      <c r="W36" s="593" t="s">
        <v>182</v>
      </c>
      <c r="X36" s="593" t="s">
        <v>183</v>
      </c>
      <c r="Y36" s="593" t="s">
        <v>185</v>
      </c>
      <c r="Z36" s="593" t="s">
        <v>189</v>
      </c>
      <c r="AA36" s="593" t="s">
        <v>190</v>
      </c>
      <c r="AB36" s="593" t="s">
        <v>191</v>
      </c>
      <c r="AC36" s="593" t="s">
        <v>192</v>
      </c>
      <c r="AD36" s="593" t="s">
        <v>193</v>
      </c>
      <c r="AE36" s="593" t="s">
        <v>180</v>
      </c>
      <c r="AF36" s="593" t="s">
        <v>204</v>
      </c>
      <c r="AG36" s="593" t="s">
        <v>211</v>
      </c>
      <c r="AH36" s="593" t="s">
        <v>216</v>
      </c>
    </row>
    <row r="37" spans="4:34" ht="21.95" customHeight="1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200" t="s">
        <v>121</v>
      </c>
      <c r="S37" s="210" t="s">
        <v>180</v>
      </c>
      <c r="T37" s="210" t="s">
        <v>179</v>
      </c>
      <c r="U37" s="210">
        <v>3</v>
      </c>
      <c r="V37" s="210" t="s">
        <v>173</v>
      </c>
      <c r="W37" s="210" t="s">
        <v>182</v>
      </c>
      <c r="X37" s="210" t="s">
        <v>183</v>
      </c>
      <c r="Y37" s="210" t="s">
        <v>185</v>
      </c>
      <c r="Z37" s="210" t="str">
        <f t="shared" ref="Z37:AE37" si="5">+Z36</f>
        <v>8월</v>
      </c>
      <c r="AA37" s="210" t="str">
        <f t="shared" si="5"/>
        <v>9월</v>
      </c>
      <c r="AB37" s="210" t="str">
        <f t="shared" si="5"/>
        <v>10월</v>
      </c>
      <c r="AC37" s="210" t="str">
        <f t="shared" si="5"/>
        <v>11월</v>
      </c>
      <c r="AD37" s="210" t="str">
        <f t="shared" si="5"/>
        <v>12월</v>
      </c>
      <c r="AE37" s="210" t="str">
        <f t="shared" si="5"/>
        <v>1월</v>
      </c>
      <c r="AF37" s="210" t="str">
        <f t="shared" ref="AF37:AG37" si="6">+AF36</f>
        <v>2월</v>
      </c>
      <c r="AG37" s="210" t="str">
        <f t="shared" si="6"/>
        <v>3월</v>
      </c>
      <c r="AH37" s="210" t="str">
        <f t="shared" ref="AH37" si="7">+AH36</f>
        <v>4월</v>
      </c>
    </row>
    <row r="38" spans="4:34" ht="21.95" customHeight="1">
      <c r="K38" s="594">
        <f>+K27-K36</f>
        <v>9.8953023552894592E-10</v>
      </c>
      <c r="L38" s="594">
        <f>+L27-L36</f>
        <v>-1.8044374883174896E-9</v>
      </c>
      <c r="N38" s="99">
        <f>+N27-N36</f>
        <v>3.6670826375484467E-9</v>
      </c>
      <c r="R38" s="201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</row>
    <row r="39" spans="4:34" ht="21.95" customHeight="1">
      <c r="R39" s="202" t="s">
        <v>128</v>
      </c>
      <c r="S39" s="203">
        <f>+IFERROR(HLOOKUP(S$36,[8]월별!$E$2:$S$67,43,),)</f>
        <v>1.9263299607757241E-2</v>
      </c>
      <c r="T39" s="203">
        <f>+IFERROR(HLOOKUP(T$36,[8]월별!$E$2:$S$67,43,),)</f>
        <v>2.0328430506478493E-2</v>
      </c>
      <c r="U39" s="203">
        <f>+IFERROR(HLOOKUP(U$36,[8]월별!$E$2:$S$67,43,),)</f>
        <v>1.815970186077798E-2</v>
      </c>
      <c r="V39" s="203">
        <f>+IFERROR(HLOOKUP(V$36,[8]월별!$E$2:$S$67,43,),)</f>
        <v>2.0783119934692784E-2</v>
      </c>
      <c r="W39" s="203">
        <f>+IFERROR(HLOOKUP(W$36,[8]월별!$E$2:$S$67,43,),)</f>
        <v>1.8530156032889104E-2</v>
      </c>
      <c r="X39" s="203">
        <f>+IFERROR(HLOOKUP(X$36,[8]월별!$E$2:$S$67,43,),)</f>
        <v>2.338088905753952E-2</v>
      </c>
      <c r="Y39" s="203">
        <f>+IFERROR(HLOOKUP(Y$36,[8]월별!$E$2:$S$67,43,),)</f>
        <v>2.4066421287530761E-2</v>
      </c>
      <c r="Z39" s="203">
        <f>+IFERROR(HLOOKUP(Z$36,[8]월별!$E$2:$S$67,43,),)</f>
        <v>2.751551238666371E-2</v>
      </c>
      <c r="AA39" s="203">
        <f>+IFERROR(HLOOKUP(AA$36,[8]월별!$E$2:$S$67,43,),)</f>
        <v>1.6738202604907604E-2</v>
      </c>
      <c r="AB39" s="203">
        <f>+IFERROR(HLOOKUP(AB$36,[8]월별!$E$2:$S$67,43,),)</f>
        <v>1.8118540365804674E-2</v>
      </c>
      <c r="AC39" s="203">
        <f>+IFERROR(HLOOKUP(AC$36,[8]월별!$E$2:$S$67,43,),)</f>
        <v>1.7419708473984639E-2</v>
      </c>
      <c r="AD39" s="203">
        <f>+IFERROR(HLOOKUP(AD$36,[8]월별!$E$2:$S$67,43,),)</f>
        <v>2.0746012557623313E-2</v>
      </c>
      <c r="AE39" s="203">
        <f>+IFERROR(HLOOKUP(AE$36,[8]월별!$E$2:$S$67,43,),)</f>
        <v>1.9263299607757241E-2</v>
      </c>
      <c r="AF39" s="203">
        <f>+IFERROR(HLOOKUP(AF$36,[8]월별!$E$2:$S$67,43,),)</f>
        <v>2.0328430506478493E-2</v>
      </c>
      <c r="AG39" s="203">
        <f>+IFERROR(HLOOKUP(AG$36,[8]월별!$E$2:$S$67,43,),)</f>
        <v>1.815970186077798E-2</v>
      </c>
      <c r="AH39" s="203">
        <f>+IFERROR(HLOOKUP(AH$36,[8]월별!$E$2:$S$67,43,),)</f>
        <v>2.0783119934692784E-2</v>
      </c>
    </row>
    <row r="40" spans="4:34" ht="21.95" customHeight="1"/>
    <row r="41" spans="4:34" ht="21.95" customHeight="1"/>
    <row r="42" spans="4:34" ht="21.95" customHeight="1"/>
    <row r="43" spans="4:34" ht="21.95" customHeight="1"/>
    <row r="44" spans="4:34" ht="21.95" customHeight="1"/>
    <row r="45" spans="4:34" ht="21.95" customHeight="1"/>
    <row r="46" spans="4:34" ht="21.95" customHeight="1"/>
    <row r="47" spans="4:34" ht="21.95" customHeight="1"/>
    <row r="48" spans="4:34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>
    <tabColor theme="0" tint="-0.249977111117893"/>
    <pageSetUpPr fitToPage="1"/>
  </sheetPr>
  <dimension ref="A1:AG53"/>
  <sheetViews>
    <sheetView showGridLines="0" showZeros="0" view="pageBreakPreview" zoomScale="60" zoomScaleNormal="85" workbookViewId="0">
      <pane xSplit="6" ySplit="7" topLeftCell="G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0" width="10.625" style="6" customWidth="1"/>
    <col min="31" max="31" width="9" style="6"/>
    <col min="32" max="33" width="14.25" style="6" customWidth="1"/>
    <col min="34" max="16384" width="9" style="6"/>
  </cols>
  <sheetData>
    <row r="1" spans="1:33" ht="22.5" customHeight="1">
      <c r="A1" s="423" t="s">
        <v>227</v>
      </c>
    </row>
    <row r="2" spans="1:33" ht="9.75" customHeight="1"/>
    <row r="3" spans="1:33" ht="9.9499999999999993" customHeight="1"/>
    <row r="4" spans="1:33" ht="31.5">
      <c r="D4" s="184" t="s">
        <v>228</v>
      </c>
      <c r="F4" s="184"/>
      <c r="I4" s="184"/>
    </row>
    <row r="5" spans="1:33" ht="21.95" customHeight="1" thickBot="1">
      <c r="J5" s="76"/>
      <c r="Y5" s="76"/>
      <c r="AB5" s="76"/>
      <c r="AD5" s="186" t="s">
        <v>167</v>
      </c>
    </row>
    <row r="6" spans="1:33" ht="24" customHeight="1" thickTop="1">
      <c r="D6" s="296" t="s">
        <v>15</v>
      </c>
      <c r="E6" s="840" t="s">
        <v>11</v>
      </c>
      <c r="F6" s="841"/>
      <c r="G6" s="294" t="s">
        <v>140</v>
      </c>
      <c r="H6" s="293"/>
      <c r="I6" s="293"/>
      <c r="J6" s="293" t="s">
        <v>139</v>
      </c>
      <c r="K6" s="293"/>
      <c r="L6" s="295"/>
      <c r="M6" s="389" t="s">
        <v>138</v>
      </c>
      <c r="N6" s="390"/>
      <c r="O6" s="391"/>
      <c r="P6" s="294" t="s">
        <v>186</v>
      </c>
      <c r="Q6" s="293"/>
      <c r="R6" s="293"/>
      <c r="S6" s="293" t="s">
        <v>187</v>
      </c>
      <c r="T6" s="293"/>
      <c r="U6" s="295"/>
      <c r="V6" s="389" t="s">
        <v>188</v>
      </c>
      <c r="W6" s="390"/>
      <c r="X6" s="391"/>
      <c r="Y6" s="388" t="s">
        <v>137</v>
      </c>
      <c r="Z6" s="293"/>
      <c r="AA6" s="295"/>
      <c r="AB6" s="389" t="s">
        <v>136</v>
      </c>
      <c r="AC6" s="390"/>
      <c r="AD6" s="391"/>
    </row>
    <row r="7" spans="1:33" ht="24" customHeight="1">
      <c r="D7" s="292"/>
      <c r="E7" s="842"/>
      <c r="F7" s="843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392" t="s">
        <v>15</v>
      </c>
      <c r="N7" s="374" t="s">
        <v>16</v>
      </c>
      <c r="O7" s="393" t="s">
        <v>36</v>
      </c>
      <c r="P7" s="288" t="s">
        <v>12</v>
      </c>
      <c r="Q7" s="374" t="s">
        <v>13</v>
      </c>
      <c r="R7" s="291" t="s">
        <v>36</v>
      </c>
      <c r="S7" s="290" t="s">
        <v>15</v>
      </c>
      <c r="T7" s="374" t="s">
        <v>16</v>
      </c>
      <c r="U7" s="289" t="s">
        <v>36</v>
      </c>
      <c r="V7" s="392" t="s">
        <v>15</v>
      </c>
      <c r="W7" s="374" t="s">
        <v>16</v>
      </c>
      <c r="X7" s="393" t="s">
        <v>36</v>
      </c>
      <c r="Y7" s="289" t="s">
        <v>15</v>
      </c>
      <c r="Z7" s="374" t="s">
        <v>16</v>
      </c>
      <c r="AA7" s="289" t="s">
        <v>36</v>
      </c>
      <c r="AB7" s="392" t="s">
        <v>15</v>
      </c>
      <c r="AC7" s="374" t="s">
        <v>16</v>
      </c>
      <c r="AD7" s="393" t="s">
        <v>36</v>
      </c>
    </row>
    <row r="8" spans="1:33" ht="24" customHeight="1">
      <c r="D8" s="77"/>
      <c r="E8" s="265" t="s">
        <v>110</v>
      </c>
      <c r="F8" s="264" t="s">
        <v>132</v>
      </c>
      <c r="G8" s="260">
        <f>+IFERROR(HLOOKUP($A$1,[14]손익요약!$G$5:$AL$106,3,),)</f>
        <v>0</v>
      </c>
      <c r="H8" s="375">
        <f>+'[9]서부산크라샤(당월)'!$F$66</f>
        <v>16840</v>
      </c>
      <c r="I8" s="263">
        <f>H8-G8</f>
        <v>16840</v>
      </c>
      <c r="J8" s="262">
        <f>+IFERROR(HLOOKUP($A$1,[14]손익요약!$G$5:$AL$106,6,),)</f>
        <v>0</v>
      </c>
      <c r="K8" s="375">
        <f>+'[9]서부산크라샤(당월)'!$I$66</f>
        <v>144</v>
      </c>
      <c r="L8" s="261">
        <f>K8-J8</f>
        <v>144</v>
      </c>
      <c r="M8" s="394">
        <f>+G8+J8</f>
        <v>0</v>
      </c>
      <c r="N8" s="375">
        <f>+H8+K8</f>
        <v>16984</v>
      </c>
      <c r="O8" s="395">
        <f>N8-M8</f>
        <v>16984</v>
      </c>
      <c r="P8" s="260">
        <f>+IFERROR(HLOOKUP($A$1,[15]손익요약!$G$5:$AL$106,3,),)</f>
        <v>10863.361164706679</v>
      </c>
      <c r="Q8" s="375">
        <f>+'[9]부산크라샤(당월)'!$F$66</f>
        <v>11476</v>
      </c>
      <c r="R8" s="263">
        <f>Q8-P8</f>
        <v>612.63883529332088</v>
      </c>
      <c r="S8" s="262">
        <f>+IFERROR(HLOOKUP($A$1,[15]손익요약!$G$5:$AL$106,6,),)</f>
        <v>9970.614085331119</v>
      </c>
      <c r="T8" s="375">
        <f>+'[9]부산크라샤(당월)'!$I$66</f>
        <v>12840</v>
      </c>
      <c r="U8" s="261">
        <f>T8-S8</f>
        <v>2869.385914668881</v>
      </c>
      <c r="V8" s="394">
        <f>+P8+S8</f>
        <v>20833.975250037798</v>
      </c>
      <c r="W8" s="375">
        <f>+Q8+T8</f>
        <v>24316</v>
      </c>
      <c r="X8" s="395">
        <f>W8-V8</f>
        <v>3482.0247499622019</v>
      </c>
      <c r="Y8" s="261">
        <f>+IFERROR(HLOOKUP($A$1,[16]손익계획!$G$5:$AX$449,3,),)</f>
        <v>10696.307872616711</v>
      </c>
      <c r="Z8" s="375">
        <f>+'[9]부산모래장(당월)'!$R$48</f>
        <v>10516</v>
      </c>
      <c r="AA8" s="261">
        <f>Z8-Y8</f>
        <v>-180.30787261671139</v>
      </c>
      <c r="AB8" s="394">
        <f>+M8+V8+Y8</f>
        <v>31530.283122654509</v>
      </c>
      <c r="AC8" s="375">
        <f>+N8+W8+Z8</f>
        <v>51816</v>
      </c>
      <c r="AD8" s="395">
        <f>AC8-AB8</f>
        <v>20285.716877345491</v>
      </c>
    </row>
    <row r="9" spans="1:33" ht="24" customHeight="1">
      <c r="D9" s="77"/>
      <c r="E9" s="282"/>
      <c r="F9" s="287" t="s">
        <v>10</v>
      </c>
      <c r="G9" s="283" t="e">
        <f>+G8/G$12</f>
        <v>#DIV/0!</v>
      </c>
      <c r="H9" s="376">
        <f>+H8/H$12</f>
        <v>0.67230916640051097</v>
      </c>
      <c r="I9" s="286" t="e">
        <f>+H9-G9</f>
        <v>#DIV/0!</v>
      </c>
      <c r="J9" s="285" t="e">
        <f>+J8/J$12</f>
        <v>#DIV/0!</v>
      </c>
      <c r="K9" s="376">
        <f>+K8/K$12</f>
        <v>6.569343065693431E-2</v>
      </c>
      <c r="L9" s="284" t="e">
        <f>+K9-J9</f>
        <v>#DIV/0!</v>
      </c>
      <c r="M9" s="396" t="e">
        <f>+M8/M$12</f>
        <v>#DIV/0!</v>
      </c>
      <c r="N9" s="376">
        <f>+N8/N$12</f>
        <v>0.62349486049926583</v>
      </c>
      <c r="O9" s="397" t="e">
        <f>+N9-M9</f>
        <v>#DIV/0!</v>
      </c>
      <c r="P9" s="283">
        <f>+P8/P$12</f>
        <v>0.64419904540991524</v>
      </c>
      <c r="Q9" s="376">
        <f>+Q8/Q$12</f>
        <v>0.64025887078777055</v>
      </c>
      <c r="R9" s="286">
        <f>+Q9-P9</f>
        <v>-3.9401746221446876E-3</v>
      </c>
      <c r="S9" s="285">
        <f>+S8/S$12</f>
        <v>0.39929390808167242</v>
      </c>
      <c r="T9" s="376">
        <f>+T8/T$12</f>
        <v>0.62330097087378644</v>
      </c>
      <c r="U9" s="284">
        <f>+T9-S9</f>
        <v>0.22400706279211402</v>
      </c>
      <c r="V9" s="396">
        <f>+V8/V$12</f>
        <v>0.49801567088747983</v>
      </c>
      <c r="W9" s="376">
        <f>+W8/W$12</f>
        <v>0.63119094590385216</v>
      </c>
      <c r="X9" s="397">
        <f>+W9-V9</f>
        <v>0.13317527501637233</v>
      </c>
      <c r="Y9" s="284">
        <f>+Y8/Y$12</f>
        <v>0.62201188486799786</v>
      </c>
      <c r="Z9" s="376">
        <f>+Z8/Z$12</f>
        <v>0.5110063657126197</v>
      </c>
      <c r="AA9" s="284">
        <f>+Z9-Y9</f>
        <v>-0.11100551915537815</v>
      </c>
      <c r="AB9" s="396">
        <f>+AB8/AB$12</f>
        <v>0.53413741989243291</v>
      </c>
      <c r="AC9" s="376">
        <f>+AC8/AC$12</f>
        <v>0.60011813349084464</v>
      </c>
      <c r="AD9" s="397">
        <f>+AC9-AB9</f>
        <v>6.5980713598411733E-2</v>
      </c>
    </row>
    <row r="10" spans="1:33" ht="24" customHeight="1">
      <c r="D10" s="258"/>
      <c r="E10" s="282"/>
      <c r="F10" s="281" t="s">
        <v>135</v>
      </c>
      <c r="G10" s="277">
        <f>+IFERROR(HLOOKUP($A$1,[14]손익요약!$G$5:$AL$106,2,),)</f>
        <v>0</v>
      </c>
      <c r="H10" s="377">
        <f>+'[9]서부산크라샤(당월)'!$F$59</f>
        <v>8208</v>
      </c>
      <c r="I10" s="280">
        <f>H10-G10</f>
        <v>8208</v>
      </c>
      <c r="J10" s="279">
        <f>+IFERROR(HLOOKUP($A$1,[14]손익요약!$G$5:$AL$106,5,),)</f>
        <v>0</v>
      </c>
      <c r="K10" s="377">
        <f>+'[9]서부산크라샤(당월)'!$I$59</f>
        <v>2048</v>
      </c>
      <c r="L10" s="278">
        <f>K10-J10</f>
        <v>2048</v>
      </c>
      <c r="M10" s="398">
        <f>+G10+J10</f>
        <v>0</v>
      </c>
      <c r="N10" s="377">
        <f>+H10+K10</f>
        <v>10256</v>
      </c>
      <c r="O10" s="399">
        <f>N10-M10</f>
        <v>10256</v>
      </c>
      <c r="P10" s="277">
        <f>+IFERROR(HLOOKUP($A$1,[15]손익요약!$G$5:$AL$106,2,),)</f>
        <v>6000</v>
      </c>
      <c r="Q10" s="377">
        <f>+'[9]부산크라샤(당월)'!$F$59</f>
        <v>6448</v>
      </c>
      <c r="R10" s="280">
        <f>Q10-P10</f>
        <v>448</v>
      </c>
      <c r="S10" s="279">
        <f>+IFERROR(HLOOKUP($A$1,[15]손익요약!$G$5:$AL$106,5,),)</f>
        <v>15000</v>
      </c>
      <c r="T10" s="377">
        <f>+'[9]부산크라샤(당월)'!$I$59</f>
        <v>7760</v>
      </c>
      <c r="U10" s="278">
        <f>T10-S10</f>
        <v>-7240</v>
      </c>
      <c r="V10" s="398">
        <f>+P10+S10</f>
        <v>21000</v>
      </c>
      <c r="W10" s="377">
        <f>+Q10+T10</f>
        <v>14208</v>
      </c>
      <c r="X10" s="399">
        <f>W10-V10</f>
        <v>-6792</v>
      </c>
      <c r="Y10" s="278">
        <f>+IFERROR(HLOOKUP($A$1,[16]손익계획!$G$5:$AX$449,2,),)</f>
        <v>6500</v>
      </c>
      <c r="Z10" s="377">
        <f>+'[9]부산모래장(당월)'!$R$47</f>
        <v>10063</v>
      </c>
      <c r="AA10" s="278">
        <f>Z10-Y10</f>
        <v>3563</v>
      </c>
      <c r="AB10" s="398">
        <f>+M10+V10+Y10</f>
        <v>27500</v>
      </c>
      <c r="AC10" s="377">
        <f>+N10+W10+Z10</f>
        <v>34527</v>
      </c>
      <c r="AD10" s="399">
        <f>AC10-AB10</f>
        <v>7027</v>
      </c>
    </row>
    <row r="11" spans="1:33" ht="24" customHeight="1">
      <c r="D11" s="258"/>
      <c r="E11" s="259"/>
      <c r="F11" s="276" t="s">
        <v>10</v>
      </c>
      <c r="G11" s="272" t="e">
        <f>+G10/G$12</f>
        <v>#DIV/0!</v>
      </c>
      <c r="H11" s="378">
        <f>+H10/H$12</f>
        <v>0.32769083359948897</v>
      </c>
      <c r="I11" s="275" t="e">
        <f>+H11-G11</f>
        <v>#DIV/0!</v>
      </c>
      <c r="J11" s="274" t="e">
        <f>+J10/J$12</f>
        <v>#DIV/0!</v>
      </c>
      <c r="K11" s="378">
        <f>+K10/K$12</f>
        <v>0.93430656934306566</v>
      </c>
      <c r="L11" s="273" t="e">
        <f>+K11-J11</f>
        <v>#DIV/0!</v>
      </c>
      <c r="M11" s="400" t="e">
        <f>+M10/M$12</f>
        <v>#DIV/0!</v>
      </c>
      <c r="N11" s="378">
        <f>+N10/N$12</f>
        <v>0.37650513950073422</v>
      </c>
      <c r="O11" s="401" t="e">
        <f>+N11-M11</f>
        <v>#DIV/0!</v>
      </c>
      <c r="P11" s="272">
        <f>+P10/P$12</f>
        <v>0.35580095459008476</v>
      </c>
      <c r="Q11" s="378">
        <f>+Q10/Q$12</f>
        <v>0.35974112921222939</v>
      </c>
      <c r="R11" s="275">
        <f>+Q11-P11</f>
        <v>3.9401746221446321E-3</v>
      </c>
      <c r="S11" s="274">
        <f>+S10/S$12</f>
        <v>0.60070609191832758</v>
      </c>
      <c r="T11" s="378">
        <f>+T10/T$12</f>
        <v>0.37669902912621361</v>
      </c>
      <c r="U11" s="273">
        <f>+T11-S11</f>
        <v>-0.22400706279211396</v>
      </c>
      <c r="V11" s="400">
        <f>+V10/V$12</f>
        <v>0.50198432911252033</v>
      </c>
      <c r="W11" s="378">
        <f>+W10/W$12</f>
        <v>0.36880905409614784</v>
      </c>
      <c r="X11" s="401">
        <f>+W11-V11</f>
        <v>-0.1331752750163725</v>
      </c>
      <c r="Y11" s="273">
        <f>+Y10/Y$12</f>
        <v>0.37798811513200214</v>
      </c>
      <c r="Z11" s="378">
        <f>+Z10/Z$12</f>
        <v>0.48899363428738035</v>
      </c>
      <c r="AA11" s="273">
        <f>+Z11-Y11</f>
        <v>0.11100551915537821</v>
      </c>
      <c r="AB11" s="400">
        <f>+AB10/AB$12</f>
        <v>0.46586258010756704</v>
      </c>
      <c r="AC11" s="378">
        <f>+AC10/AC$12</f>
        <v>0.39988186650915536</v>
      </c>
      <c r="AD11" s="401">
        <f>+AC11-AB11</f>
        <v>-6.5980713598411678E-2</v>
      </c>
    </row>
    <row r="12" spans="1:33" ht="24" customHeight="1">
      <c r="D12" s="258"/>
      <c r="E12" s="271"/>
      <c r="F12" s="270" t="s">
        <v>43</v>
      </c>
      <c r="G12" s="266">
        <f>G8+G10</f>
        <v>0</v>
      </c>
      <c r="H12" s="379">
        <f>H8+H10</f>
        <v>25048</v>
      </c>
      <c r="I12" s="269">
        <f t="shared" ref="I12:I32" si="0">H12-G12</f>
        <v>25048</v>
      </c>
      <c r="J12" s="268">
        <f>J8+J10</f>
        <v>0</v>
      </c>
      <c r="K12" s="379">
        <f>K8+K10</f>
        <v>2192</v>
      </c>
      <c r="L12" s="267">
        <f t="shared" ref="L12:L32" si="1">K12-J12</f>
        <v>2192</v>
      </c>
      <c r="M12" s="402">
        <f>M8+M10</f>
        <v>0</v>
      </c>
      <c r="N12" s="379">
        <f>N8+N10</f>
        <v>27240</v>
      </c>
      <c r="O12" s="403">
        <f t="shared" ref="O12:O32" si="2">N12-M12</f>
        <v>27240</v>
      </c>
      <c r="P12" s="266">
        <f>P8+P10</f>
        <v>16863.361164706679</v>
      </c>
      <c r="Q12" s="379">
        <f>Q8+Q10</f>
        <v>17924</v>
      </c>
      <c r="R12" s="269">
        <f t="shared" ref="R12:R32" si="3">Q12-P12</f>
        <v>1060.6388352933209</v>
      </c>
      <c r="S12" s="268">
        <f>S8+S10</f>
        <v>24970.614085331119</v>
      </c>
      <c r="T12" s="379">
        <f>T8+T10</f>
        <v>20600</v>
      </c>
      <c r="U12" s="267">
        <f t="shared" ref="U12:U32" si="4">T12-S12</f>
        <v>-4370.614085331119</v>
      </c>
      <c r="V12" s="402">
        <f>V8+V10</f>
        <v>41833.975250037794</v>
      </c>
      <c r="W12" s="379">
        <f>W8+W10</f>
        <v>38524</v>
      </c>
      <c r="X12" s="403">
        <f t="shared" ref="X12:X32" si="5">W12-V12</f>
        <v>-3309.9752500377945</v>
      </c>
      <c r="Y12" s="267">
        <f>Y8+Y10</f>
        <v>17196.307872616711</v>
      </c>
      <c r="Z12" s="379">
        <f>Z8+Z10</f>
        <v>20579</v>
      </c>
      <c r="AA12" s="267">
        <f t="shared" ref="AA12:AA32" si="6">Z12-Y12</f>
        <v>3382.6921273832886</v>
      </c>
      <c r="AB12" s="402">
        <f>AB8+AB10</f>
        <v>59030.283122654509</v>
      </c>
      <c r="AC12" s="379">
        <f>AC8+AC10</f>
        <v>86343</v>
      </c>
      <c r="AD12" s="403">
        <f t="shared" ref="AD12:AD32" si="7">AC12-AB12</f>
        <v>27312.716877345491</v>
      </c>
      <c r="AF12" s="6">
        <f>+'사업장별(당월)'!J32*1000</f>
        <v>59030.283122654509</v>
      </c>
      <c r="AG12" s="6">
        <f>+'사업장별(당월)'!K32*1000</f>
        <v>86343</v>
      </c>
    </row>
    <row r="13" spans="1:33" ht="24" customHeight="1">
      <c r="D13" s="258"/>
      <c r="E13" s="265" t="s">
        <v>77</v>
      </c>
      <c r="F13" s="264" t="s">
        <v>132</v>
      </c>
      <c r="G13" s="260">
        <f>+IFERROR(HLOOKUP($A$1,[14]손익요약!$G$5:$AL$106,15,),)</f>
        <v>0</v>
      </c>
      <c r="H13" s="375">
        <f>+'[9]서부산크라샤(당월)'!$F$72</f>
        <v>270144</v>
      </c>
      <c r="I13" s="263">
        <f t="shared" si="0"/>
        <v>270144</v>
      </c>
      <c r="J13" s="262">
        <f>+IFERROR(HLOOKUP($A$1,[14]손익요약!$G$5:$AL$106,18,),)</f>
        <v>0</v>
      </c>
      <c r="K13" s="375">
        <f>+'[9]서부산크라샤(당월)'!$I$72</f>
        <v>1296</v>
      </c>
      <c r="L13" s="261">
        <f t="shared" si="1"/>
        <v>1296</v>
      </c>
      <c r="M13" s="394">
        <f>+G13+J13</f>
        <v>0</v>
      </c>
      <c r="N13" s="375">
        <f>+H13+K13</f>
        <v>271440</v>
      </c>
      <c r="O13" s="395">
        <f t="shared" si="2"/>
        <v>271440</v>
      </c>
      <c r="P13" s="260">
        <f>+IFERROR(HLOOKUP($A$1,[15]손익요약!$G$5:$AL$106,12,),)</f>
        <v>173813.77863530687</v>
      </c>
      <c r="Q13" s="375">
        <f>+'[9]부산크라샤(당월)'!$F$72</f>
        <v>200830</v>
      </c>
      <c r="R13" s="263">
        <f t="shared" si="3"/>
        <v>27016.221364693134</v>
      </c>
      <c r="S13" s="262">
        <f>+IFERROR(HLOOKUP($A$1,[15]손익요약!$G$5:$AL$106,15,),)</f>
        <v>219823.22073680931</v>
      </c>
      <c r="T13" s="375">
        <f>+'[9]부산크라샤(당월)'!$I$72</f>
        <v>286276</v>
      </c>
      <c r="U13" s="261">
        <f t="shared" si="4"/>
        <v>66452.779263190692</v>
      </c>
      <c r="V13" s="394">
        <f>+P13+S13</f>
        <v>393636.99937211617</v>
      </c>
      <c r="W13" s="375">
        <f>+Q13+T13</f>
        <v>487106</v>
      </c>
      <c r="X13" s="395">
        <f t="shared" si="5"/>
        <v>93469.000627883826</v>
      </c>
      <c r="Y13" s="261">
        <f>+IFERROR(HLOOKUP($A$1,[16]손익계획!$G$5:$AX$449,6,),)</f>
        <v>334339.11138622963</v>
      </c>
      <c r="Z13" s="375">
        <f>+'[9]부산모래장(당월)'!$R$54</f>
        <v>330200.408</v>
      </c>
      <c r="AA13" s="261">
        <f t="shared" si="6"/>
        <v>-4138.7033862296375</v>
      </c>
      <c r="AB13" s="394">
        <f>+M13+V13+Y13</f>
        <v>727976.11075834581</v>
      </c>
      <c r="AC13" s="375">
        <f>+N13+W13+Z13</f>
        <v>1088746.4080000001</v>
      </c>
      <c r="AD13" s="395">
        <f t="shared" si="7"/>
        <v>360770.29724165425</v>
      </c>
      <c r="AF13" s="6" t="b">
        <f>+AF12=AB12</f>
        <v>1</v>
      </c>
      <c r="AG13" s="6" t="b">
        <f>+AG12=AC12</f>
        <v>1</v>
      </c>
    </row>
    <row r="14" spans="1:33" ht="24" customHeight="1">
      <c r="D14" s="258"/>
      <c r="E14" s="259"/>
      <c r="F14" s="257" t="s">
        <v>131</v>
      </c>
      <c r="G14" s="253" t="e">
        <f>+G13/G8*1000</f>
        <v>#DIV/0!</v>
      </c>
      <c r="H14" s="380">
        <f>+H13/H8*1000</f>
        <v>16041.805225653206</v>
      </c>
      <c r="I14" s="256" t="e">
        <f t="shared" si="0"/>
        <v>#DIV/0!</v>
      </c>
      <c r="J14" s="255" t="e">
        <f>+J13/J8*1000</f>
        <v>#DIV/0!</v>
      </c>
      <c r="K14" s="380">
        <f>+K13/K8*1000</f>
        <v>9000</v>
      </c>
      <c r="L14" s="254" t="e">
        <f t="shared" si="1"/>
        <v>#DIV/0!</v>
      </c>
      <c r="M14" s="404" t="e">
        <f>+M13/M8*1000</f>
        <v>#DIV/0!</v>
      </c>
      <c r="N14" s="380">
        <f>+N13/N8*1000</f>
        <v>15982.100800753651</v>
      </c>
      <c r="O14" s="405" t="e">
        <f t="shared" si="2"/>
        <v>#DIV/0!</v>
      </c>
      <c r="P14" s="253">
        <f>+P13/P8*1000</f>
        <v>16000</v>
      </c>
      <c r="Q14" s="380">
        <f>+Q13/Q8*1000</f>
        <v>17500</v>
      </c>
      <c r="R14" s="256">
        <f t="shared" si="3"/>
        <v>1500</v>
      </c>
      <c r="S14" s="255">
        <f>+S13/S8*1000</f>
        <v>22047.109521590624</v>
      </c>
      <c r="T14" s="380">
        <f>+T13/T8*1000</f>
        <v>22295.638629283487</v>
      </c>
      <c r="U14" s="254">
        <f t="shared" si="4"/>
        <v>248.52910769286245</v>
      </c>
      <c r="V14" s="404">
        <f>+V13/V8*1000</f>
        <v>18893.993808090079</v>
      </c>
      <c r="W14" s="380">
        <f>+W13/W8*1000</f>
        <v>20032.324395459778</v>
      </c>
      <c r="X14" s="405">
        <f t="shared" si="5"/>
        <v>1138.3305873696991</v>
      </c>
      <c r="Y14" s="254">
        <f>+Y13/Y8*1000</f>
        <v>31257.431570585297</v>
      </c>
      <c r="Z14" s="380">
        <f>+Z13/Z8*1000</f>
        <v>31399.810574362873</v>
      </c>
      <c r="AA14" s="254">
        <f t="shared" si="6"/>
        <v>142.37900377757614</v>
      </c>
      <c r="AB14" s="404">
        <f>+AB13/AB8*1000</f>
        <v>23088.156485194861</v>
      </c>
      <c r="AC14" s="380">
        <f>+AC13/AC8*1000</f>
        <v>21011.780299521382</v>
      </c>
      <c r="AD14" s="405">
        <f t="shared" si="7"/>
        <v>-2076.3761856734782</v>
      </c>
    </row>
    <row r="15" spans="1:33" ht="24" customHeight="1">
      <c r="D15" s="258"/>
      <c r="E15" s="663"/>
      <c r="F15" s="224" t="s">
        <v>135</v>
      </c>
      <c r="G15" s="248">
        <f>+IFERROR(HLOOKUP($A$1,[14]손익요약!$G$5:$AL$106,14,),)</f>
        <v>0</v>
      </c>
      <c r="H15" s="381">
        <f>+'[9]서부산크라샤(당월)'!$F$71</f>
        <v>94392</v>
      </c>
      <c r="I15" s="251">
        <f t="shared" si="0"/>
        <v>94392</v>
      </c>
      <c r="J15" s="250">
        <f>+IFERROR(HLOOKUP($A$1,[14]손익요약!$G$5:$AL$106,17,),)</f>
        <v>0</v>
      </c>
      <c r="K15" s="381">
        <f>+'[9]서부산크라샤(당월)'!$I$71</f>
        <v>16416</v>
      </c>
      <c r="L15" s="249">
        <f t="shared" si="1"/>
        <v>16416</v>
      </c>
      <c r="M15" s="406">
        <f>+G15+J15</f>
        <v>0</v>
      </c>
      <c r="N15" s="381">
        <f>+H15+K15</f>
        <v>110808</v>
      </c>
      <c r="O15" s="407">
        <f t="shared" si="2"/>
        <v>110808</v>
      </c>
      <c r="P15" s="248">
        <f>+IFERROR(HLOOKUP($A$1,[15]손익요약!$G$5:$AL$106,11,),)</f>
        <v>72000</v>
      </c>
      <c r="Q15" s="381">
        <f>+'[9]부산크라샤(당월)'!$F$71</f>
        <v>83824</v>
      </c>
      <c r="R15" s="251">
        <f t="shared" si="3"/>
        <v>11824</v>
      </c>
      <c r="S15" s="250">
        <f>+IFERROR(HLOOKUP($A$1,[15]손익요약!$G$5:$AL$106,14,),)</f>
        <v>285000</v>
      </c>
      <c r="T15" s="381">
        <f>+'[9]부산크라샤(당월)'!$I$71</f>
        <v>139936</v>
      </c>
      <c r="U15" s="249">
        <f t="shared" si="4"/>
        <v>-145064</v>
      </c>
      <c r="V15" s="406">
        <f>+P15+S15</f>
        <v>357000</v>
      </c>
      <c r="W15" s="381">
        <f>+Q15+T15</f>
        <v>223760</v>
      </c>
      <c r="X15" s="407">
        <f t="shared" si="5"/>
        <v>-133240</v>
      </c>
      <c r="Y15" s="249">
        <f>+IFERROR(HLOOKUP($A$1,[16]손익계획!$G$5:$AX$449,5,),)</f>
        <v>204750</v>
      </c>
      <c r="Z15" s="381">
        <f>+'[9]부산모래장(당월)'!$R$53</f>
        <v>323506.00000000006</v>
      </c>
      <c r="AA15" s="249">
        <f t="shared" si="6"/>
        <v>118756.00000000006</v>
      </c>
      <c r="AB15" s="406">
        <f>+M15+V15+Y15</f>
        <v>561750</v>
      </c>
      <c r="AC15" s="381">
        <f>+N15+W15+Z15</f>
        <v>658074</v>
      </c>
      <c r="AD15" s="407">
        <f t="shared" si="7"/>
        <v>96324</v>
      </c>
    </row>
    <row r="16" spans="1:33" ht="24" customHeight="1">
      <c r="D16" s="76"/>
      <c r="E16" s="663"/>
      <c r="F16" s="257" t="s">
        <v>131</v>
      </c>
      <c r="G16" s="253">
        <f>IFERROR(G15/G10,)*1000</f>
        <v>0</v>
      </c>
      <c r="H16" s="380">
        <f>IFERROR(H15/H10,)*1000</f>
        <v>11500</v>
      </c>
      <c r="I16" s="256">
        <f t="shared" si="0"/>
        <v>11500</v>
      </c>
      <c r="J16" s="255">
        <f>IFERROR(J15/J10,)*1000</f>
        <v>0</v>
      </c>
      <c r="K16" s="380">
        <f>IFERROR(K15/K10,)*1000</f>
        <v>8015.625</v>
      </c>
      <c r="L16" s="254">
        <f t="shared" si="1"/>
        <v>8015.625</v>
      </c>
      <c r="M16" s="404">
        <f>IFERROR(M15/M10,)*1000</f>
        <v>0</v>
      </c>
      <c r="N16" s="380">
        <f>IFERROR(N15/N10,)*1000</f>
        <v>10804.21216848674</v>
      </c>
      <c r="O16" s="405">
        <f t="shared" si="2"/>
        <v>10804.21216848674</v>
      </c>
      <c r="P16" s="253">
        <f>IFERROR(P15/P10,)*1000</f>
        <v>12000</v>
      </c>
      <c r="Q16" s="380">
        <f>IFERROR(Q15/Q10,)*1000</f>
        <v>13000</v>
      </c>
      <c r="R16" s="256">
        <f t="shared" si="3"/>
        <v>1000</v>
      </c>
      <c r="S16" s="255">
        <f>IFERROR(S15/S10,)*1000</f>
        <v>19000</v>
      </c>
      <c r="T16" s="380">
        <f>IFERROR(T15/T10,)*1000</f>
        <v>18032.98969072165</v>
      </c>
      <c r="U16" s="254">
        <f t="shared" si="4"/>
        <v>-967.01030927835018</v>
      </c>
      <c r="V16" s="404">
        <f>IFERROR(V15/V10,)*1000</f>
        <v>17000</v>
      </c>
      <c r="W16" s="380">
        <f>IFERROR(W15/W10,)*1000</f>
        <v>15748.873873873874</v>
      </c>
      <c r="X16" s="405">
        <f t="shared" si="5"/>
        <v>-1251.1261261261261</v>
      </c>
      <c r="Y16" s="254">
        <f>IFERROR(Y15/Y10,)*1000</f>
        <v>31500</v>
      </c>
      <c r="Z16" s="380">
        <f>IFERROR(Z15/Z10,)*1000</f>
        <v>32148.067176786248</v>
      </c>
      <c r="AA16" s="254">
        <f t="shared" si="6"/>
        <v>648.06717678624773</v>
      </c>
      <c r="AB16" s="404">
        <f>IFERROR(AB15/AB10,)*1000</f>
        <v>20427.272727272724</v>
      </c>
      <c r="AC16" s="380">
        <f>IFERROR(AC15/AC10,)*1000</f>
        <v>19059.692414632027</v>
      </c>
      <c r="AD16" s="405">
        <f t="shared" si="7"/>
        <v>-1367.5803126406972</v>
      </c>
    </row>
    <row r="17" spans="4:33" ht="24" customHeight="1">
      <c r="D17" s="76"/>
      <c r="E17" s="663"/>
      <c r="F17" s="252" t="s">
        <v>43</v>
      </c>
      <c r="G17" s="248">
        <f>G13+G15</f>
        <v>0</v>
      </c>
      <c r="H17" s="381">
        <f>H13+H15</f>
        <v>364536</v>
      </c>
      <c r="I17" s="251">
        <f t="shared" si="0"/>
        <v>364536</v>
      </c>
      <c r="J17" s="250">
        <f>J13+J15</f>
        <v>0</v>
      </c>
      <c r="K17" s="381">
        <f>K13+K15</f>
        <v>17712</v>
      </c>
      <c r="L17" s="249">
        <f t="shared" si="1"/>
        <v>17712</v>
      </c>
      <c r="M17" s="406">
        <f>M13+M15</f>
        <v>0</v>
      </c>
      <c r="N17" s="381">
        <f>N13+N15</f>
        <v>382248</v>
      </c>
      <c r="O17" s="407">
        <f t="shared" si="2"/>
        <v>382248</v>
      </c>
      <c r="P17" s="248">
        <f>P13+P15</f>
        <v>245813.77863530687</v>
      </c>
      <c r="Q17" s="381">
        <f>Q13+Q15</f>
        <v>284654</v>
      </c>
      <c r="R17" s="251">
        <f t="shared" si="3"/>
        <v>38840.221364693134</v>
      </c>
      <c r="S17" s="250">
        <f>S13+S15</f>
        <v>504823.22073680931</v>
      </c>
      <c r="T17" s="381">
        <f>T13+T15</f>
        <v>426212</v>
      </c>
      <c r="U17" s="249">
        <f t="shared" si="4"/>
        <v>-78611.220736809308</v>
      </c>
      <c r="V17" s="406">
        <f>V13+V15</f>
        <v>750636.99937211617</v>
      </c>
      <c r="W17" s="381">
        <f>W13+W15</f>
        <v>710866</v>
      </c>
      <c r="X17" s="407">
        <f t="shared" si="5"/>
        <v>-39770.999372116174</v>
      </c>
      <c r="Y17" s="249">
        <f>Y13+Y15</f>
        <v>539089.11138622963</v>
      </c>
      <c r="Z17" s="381">
        <f>Z13+Z15</f>
        <v>653706.40800000005</v>
      </c>
      <c r="AA17" s="249">
        <f t="shared" si="6"/>
        <v>114617.29661377042</v>
      </c>
      <c r="AB17" s="406">
        <f>AB13+AB15</f>
        <v>1289726.1107583458</v>
      </c>
      <c r="AC17" s="381">
        <f>AC13+AC15</f>
        <v>1746820.4080000001</v>
      </c>
      <c r="AD17" s="407">
        <f t="shared" si="7"/>
        <v>457094.29724165425</v>
      </c>
      <c r="AF17" s="6">
        <f>+'사업장별(당월)'!O32*1000</f>
        <v>1289726.1107583458</v>
      </c>
      <c r="AG17" s="6">
        <f>+'사업장별(당월)'!P32*1000</f>
        <v>1746820.4080000001</v>
      </c>
    </row>
    <row r="18" spans="4:33" ht="24" customHeight="1">
      <c r="D18" s="76"/>
      <c r="E18" s="247" t="s">
        <v>7</v>
      </c>
      <c r="F18" s="246" t="s">
        <v>134</v>
      </c>
      <c r="G18" s="785">
        <f>+IFERROR(HLOOKUP($A$1,[14]손익요약!$G$5:$AL$106,80,),)+[14]손익요약!$J$95</f>
        <v>-95073.312555555545</v>
      </c>
      <c r="H18" s="382">
        <f>+'[9]서부산크라샤(당월)'!$F$87</f>
        <v>60851.970906242845</v>
      </c>
      <c r="I18" s="233">
        <f t="shared" si="0"/>
        <v>155925.28346179839</v>
      </c>
      <c r="J18" s="232">
        <f>+IFERROR(HLOOKUP($A$1,[14]손익요약!$G$5:$AL$106,83,),)</f>
        <v>0</v>
      </c>
      <c r="K18" s="382">
        <f>+'[9]서부산크라샤(당월)'!$I$87</f>
        <v>572.42598461609248</v>
      </c>
      <c r="L18" s="231">
        <f t="shared" si="1"/>
        <v>572.42598461609248</v>
      </c>
      <c r="M18" s="408">
        <f>+G18+J18</f>
        <v>-95073.312555555545</v>
      </c>
      <c r="N18" s="382">
        <f>+H18+K18</f>
        <v>61424.396890858938</v>
      </c>
      <c r="O18" s="409">
        <f t="shared" si="2"/>
        <v>156497.70944641449</v>
      </c>
      <c r="P18" s="661">
        <f>+IFERROR(HLOOKUP($A$1,[15]손익요약!$G$5:$U$95,57,),)</f>
        <v>-3198.0328203220861</v>
      </c>
      <c r="Q18" s="382">
        <f>+'[9]부산크라샤(당월)'!$F$87</f>
        <v>4962.983348834071</v>
      </c>
      <c r="R18" s="233">
        <f t="shared" si="3"/>
        <v>8161.016169156157</v>
      </c>
      <c r="S18" s="232">
        <f>+IFERROR(HLOOKUP($A$1,[15]손익요약!$G$5:$AL$106,60,),)</f>
        <v>55718.017737808965</v>
      </c>
      <c r="T18" s="382">
        <f>+'[9]부산크라샤(당월)'!$I$87</f>
        <v>65421.664062694268</v>
      </c>
      <c r="U18" s="231">
        <f t="shared" si="4"/>
        <v>9703.6463248853033</v>
      </c>
      <c r="V18" s="408">
        <f>+P18+S18</f>
        <v>52519.98491748688</v>
      </c>
      <c r="W18" s="382">
        <f>+Q18+T18</f>
        <v>70384.647411528334</v>
      </c>
      <c r="X18" s="409">
        <f t="shared" si="5"/>
        <v>17864.662494041455</v>
      </c>
      <c r="Y18" s="231">
        <f>+IFERROR(HLOOKUP($A$1,[16]손익계획!$G$5:$AX$449,25,),)</f>
        <v>20886.631994069936</v>
      </c>
      <c r="Z18" s="382">
        <f>+'[9]부산모래장(당월)'!$R$82</f>
        <v>25390.114000000001</v>
      </c>
      <c r="AA18" s="231">
        <f t="shared" si="6"/>
        <v>4503.4820059300655</v>
      </c>
      <c r="AB18" s="408">
        <f t="shared" ref="AB18:AC19" si="8">+M18+V18+Y18</f>
        <v>-21666.69564399873</v>
      </c>
      <c r="AC18" s="382">
        <f t="shared" si="8"/>
        <v>157199.15830238728</v>
      </c>
      <c r="AD18" s="409">
        <f t="shared" si="7"/>
        <v>178865.85394638602</v>
      </c>
      <c r="AF18" s="6" t="b">
        <f>+AF17=AB17</f>
        <v>1</v>
      </c>
      <c r="AG18" s="6" t="b">
        <f>+AG17=AC17</f>
        <v>1</v>
      </c>
    </row>
    <row r="19" spans="4:33" ht="24" customHeight="1">
      <c r="D19" s="76"/>
      <c r="E19" s="166"/>
      <c r="F19" s="245" t="s">
        <v>133</v>
      </c>
      <c r="G19" s="241">
        <f>+IFERROR(HLOOKUP($A$1,[14]손익요약!$G$5:$AL$106,79,),)</f>
        <v>0</v>
      </c>
      <c r="H19" s="383">
        <f>+'[9]서부산크라샤(당월)'!$F$86</f>
        <v>-6502.6372581305541</v>
      </c>
      <c r="I19" s="244">
        <f t="shared" si="0"/>
        <v>-6502.6372581305541</v>
      </c>
      <c r="J19" s="243">
        <f>+IFERROR(HLOOKUP($A$1,[14]손익요약!$G$5:$AL$106,82,),)</f>
        <v>0</v>
      </c>
      <c r="K19" s="383">
        <f>+'[9]서부산크라샤(당월)'!$I$86</f>
        <v>6185.5564304413092</v>
      </c>
      <c r="L19" s="242">
        <f t="shared" si="1"/>
        <v>6185.5564304413092</v>
      </c>
      <c r="M19" s="410">
        <f>+G19+J19</f>
        <v>0</v>
      </c>
      <c r="N19" s="383">
        <f>+H19+K19</f>
        <v>-317.08082768924487</v>
      </c>
      <c r="O19" s="411">
        <f t="shared" si="2"/>
        <v>-317.08082768924487</v>
      </c>
      <c r="P19" s="241">
        <f>+IFERROR(HLOOKUP($A$1,[15]손익요약!$G$5:$AL$106,56,),)</f>
        <v>-25113.451576886189</v>
      </c>
      <c r="Q19" s="383">
        <f>+'[9]부산크라샤(당월)'!$F$86</f>
        <v>-25513.158402770077</v>
      </c>
      <c r="R19" s="244">
        <f t="shared" si="3"/>
        <v>-399.70682588388809</v>
      </c>
      <c r="S19" s="243">
        <f>+IFERROR(HLOOKUP($A$1,[15]손익요약!$G$5:$AL$106,59,),)</f>
        <v>39360.06170708529</v>
      </c>
      <c r="T19" s="383">
        <f>+'[9]부산크라샤(당월)'!$I$86</f>
        <v>7274.4486712417602</v>
      </c>
      <c r="U19" s="242">
        <f t="shared" si="4"/>
        <v>-32085.613035843529</v>
      </c>
      <c r="V19" s="410">
        <f>+P19+S19</f>
        <v>14246.6101301991</v>
      </c>
      <c r="W19" s="383">
        <f>+Q19+T19</f>
        <v>-18238.709731528317</v>
      </c>
      <c r="X19" s="411">
        <f t="shared" si="5"/>
        <v>-32485.319861727417</v>
      </c>
      <c r="Y19" s="242">
        <f>+IFERROR(HLOOKUP($A$1,[16]손익계획!$G$5:$AX$449,24,),)</f>
        <v>12157.756916895716</v>
      </c>
      <c r="Z19" s="383">
        <f>+'[9]부산모래장(당월)'!$I$81-'[9]부산모래장(당월)'!$R$82</f>
        <v>15234.077761937486</v>
      </c>
      <c r="AA19" s="242">
        <f t="shared" si="6"/>
        <v>3076.3208450417696</v>
      </c>
      <c r="AB19" s="410">
        <f t="shared" si="8"/>
        <v>26404.367047094816</v>
      </c>
      <c r="AC19" s="383">
        <f t="shared" si="8"/>
        <v>-3321.7127972800772</v>
      </c>
      <c r="AD19" s="411">
        <f t="shared" si="7"/>
        <v>-29726.079844374894</v>
      </c>
    </row>
    <row r="20" spans="4:33" ht="24" customHeight="1">
      <c r="D20" s="76"/>
      <c r="E20" s="664"/>
      <c r="F20" s="240" t="s">
        <v>58</v>
      </c>
      <c r="G20" s="236">
        <f>G18+G19</f>
        <v>-95073.312555555545</v>
      </c>
      <c r="H20" s="384">
        <f>H18+H19</f>
        <v>54349.33364811229</v>
      </c>
      <c r="I20" s="239">
        <f t="shared" si="0"/>
        <v>149422.64620366783</v>
      </c>
      <c r="J20" s="238">
        <f>J18+J19</f>
        <v>0</v>
      </c>
      <c r="K20" s="384">
        <f>K18+K19</f>
        <v>6757.9824150574013</v>
      </c>
      <c r="L20" s="237">
        <f t="shared" si="1"/>
        <v>6757.9824150574013</v>
      </c>
      <c r="M20" s="412">
        <f>M18+M19</f>
        <v>-95073.312555555545</v>
      </c>
      <c r="N20" s="384">
        <f>N18+N19</f>
        <v>61107.316063169696</v>
      </c>
      <c r="O20" s="413">
        <f t="shared" si="2"/>
        <v>156180.62861872523</v>
      </c>
      <c r="P20" s="236">
        <f>P18+P19</f>
        <v>-28311.484397208274</v>
      </c>
      <c r="Q20" s="384">
        <f>Q18+Q19</f>
        <v>-20550.175053936007</v>
      </c>
      <c r="R20" s="239">
        <f t="shared" si="3"/>
        <v>7761.3093432722671</v>
      </c>
      <c r="S20" s="238">
        <f>S18+S19</f>
        <v>95078.079444894247</v>
      </c>
      <c r="T20" s="384">
        <f>T18+T19</f>
        <v>72696.112733936025</v>
      </c>
      <c r="U20" s="237">
        <f t="shared" si="4"/>
        <v>-22381.966710958222</v>
      </c>
      <c r="V20" s="412">
        <f>V18+V19</f>
        <v>66766.595047685987</v>
      </c>
      <c r="W20" s="384">
        <f>W18+W19</f>
        <v>52145.937680000017</v>
      </c>
      <c r="X20" s="413">
        <f t="shared" si="5"/>
        <v>-14620.65736768597</v>
      </c>
      <c r="Y20" s="237">
        <f>Y18+Y19</f>
        <v>33044.388910965652</v>
      </c>
      <c r="Z20" s="384">
        <f>Z18+Z19</f>
        <v>40624.191761937487</v>
      </c>
      <c r="AA20" s="237">
        <f t="shared" si="6"/>
        <v>7579.8028509718351</v>
      </c>
      <c r="AB20" s="412">
        <f>AB18+AB19</f>
        <v>4737.6714030960866</v>
      </c>
      <c r="AC20" s="384">
        <f>AC18+AC19</f>
        <v>153877.4455051072</v>
      </c>
      <c r="AD20" s="413">
        <f t="shared" si="7"/>
        <v>149139.77410201111</v>
      </c>
      <c r="AF20" s="6">
        <f>+'사업장별(당월)'!T32*1000</f>
        <v>4737.6714030961011</v>
      </c>
      <c r="AG20" s="6">
        <f>'사업장별(당월)'!U32*1000</f>
        <v>153877.44550510726</v>
      </c>
    </row>
    <row r="21" spans="4:33" ht="24" customHeight="1">
      <c r="D21" s="76"/>
      <c r="E21" s="235" t="s">
        <v>132</v>
      </c>
      <c r="F21" s="234" t="s">
        <v>25</v>
      </c>
      <c r="G21" s="230">
        <f>+IFERROR(HLOOKUP($A$1,[14]손익!$G$5:$AB$252,3,),)</f>
        <v>0</v>
      </c>
      <c r="H21" s="382">
        <f>+'[9]서부산크라샤(당월)'!$F$60</f>
        <v>1024</v>
      </c>
      <c r="I21" s="233">
        <f t="shared" si="0"/>
        <v>1024</v>
      </c>
      <c r="J21" s="232">
        <f>+IFERROR(HLOOKUP($A$1,[14]손익!$G$5:$AB$252,12,),)</f>
        <v>0</v>
      </c>
      <c r="K21" s="382">
        <f>+'[9]서부산크라샤(당월)'!$I$60</f>
        <v>0</v>
      </c>
      <c r="L21" s="231">
        <f t="shared" si="1"/>
        <v>0</v>
      </c>
      <c r="M21" s="408">
        <f t="shared" ref="M21:N26" si="9">+G21+J21</f>
        <v>0</v>
      </c>
      <c r="N21" s="382">
        <f t="shared" si="9"/>
        <v>1024</v>
      </c>
      <c r="O21" s="409">
        <f t="shared" si="2"/>
        <v>1024</v>
      </c>
      <c r="P21" s="230">
        <f>+IFERROR(HLOOKUP($A$1,[15]손익!$G$5:$AB$252,3,),)</f>
        <v>10863.361164706679</v>
      </c>
      <c r="Q21" s="382">
        <f>+'[9]부산크라샤(당월)'!$F$60</f>
        <v>11476</v>
      </c>
      <c r="R21" s="233">
        <f t="shared" si="3"/>
        <v>612.63883529332088</v>
      </c>
      <c r="S21" s="232">
        <f>+IFERROR(HLOOKUP($A$1,[15]손익!$G$5:$AB$252,12,),)</f>
        <v>7595.3882788795063</v>
      </c>
      <c r="T21" s="382">
        <f>+'[9]부산크라샤(당월)'!$I$60</f>
        <v>8600</v>
      </c>
      <c r="U21" s="231">
        <f t="shared" si="4"/>
        <v>1004.6117211204937</v>
      </c>
      <c r="V21" s="408">
        <f t="shared" ref="V21:W26" si="10">+P21+S21</f>
        <v>18458.749443586184</v>
      </c>
      <c r="W21" s="382">
        <f t="shared" si="10"/>
        <v>20076</v>
      </c>
      <c r="X21" s="409">
        <f t="shared" si="5"/>
        <v>1617.2505564138155</v>
      </c>
      <c r="Y21" s="231">
        <f>+IFERROR(HLOOKUP($A$1,[16]이송계획!$G$193:$U$216,16,),)</f>
        <v>4302.1819984908389</v>
      </c>
      <c r="Z21" s="382">
        <f>+'[9]부산모래장(당월)'!$R$64</f>
        <v>4900</v>
      </c>
      <c r="AA21" s="231">
        <f t="shared" si="6"/>
        <v>597.81800150916115</v>
      </c>
      <c r="AB21" s="408">
        <f t="shared" ref="AB21:AC26" si="11">+M21+V21+Y21</f>
        <v>22760.931442077024</v>
      </c>
      <c r="AC21" s="382">
        <f t="shared" si="11"/>
        <v>26000</v>
      </c>
      <c r="AD21" s="409">
        <f t="shared" si="7"/>
        <v>3239.0685579229757</v>
      </c>
      <c r="AF21" s="595" t="b">
        <f>+AF20=AB20</f>
        <v>0</v>
      </c>
      <c r="AG21" s="595" t="b">
        <f>+AG20=AC20</f>
        <v>1</v>
      </c>
    </row>
    <row r="22" spans="4:33" ht="24" customHeight="1">
      <c r="D22" s="76"/>
      <c r="E22" s="166" t="s">
        <v>0</v>
      </c>
      <c r="F22" s="221" t="s">
        <v>26</v>
      </c>
      <c r="G22" s="226">
        <f>+IFERROR(HLOOKUP($A$1,[14]손익!$G$5:$AB$252,4,),)</f>
        <v>0</v>
      </c>
      <c r="H22" s="385">
        <f>+'[9]서부산크라샤(당월)'!$F$61</f>
        <v>13720</v>
      </c>
      <c r="I22" s="229">
        <f t="shared" si="0"/>
        <v>13720</v>
      </c>
      <c r="J22" s="228">
        <f>+IFERROR(HLOOKUP($A$1,[14]손익!$G$5:$AB$252,13,),)</f>
        <v>0</v>
      </c>
      <c r="K22" s="385">
        <f>+'[9]서부산크라샤(당월)'!$I$61</f>
        <v>0</v>
      </c>
      <c r="L22" s="227">
        <f t="shared" si="1"/>
        <v>0</v>
      </c>
      <c r="M22" s="414">
        <f t="shared" si="9"/>
        <v>0</v>
      </c>
      <c r="N22" s="385">
        <f t="shared" si="9"/>
        <v>13720</v>
      </c>
      <c r="O22" s="415">
        <f t="shared" si="2"/>
        <v>13720</v>
      </c>
      <c r="P22" s="226">
        <f>+IFERROR(HLOOKUP($A$1,[15]손익!$G$5:$AB$252,4,),)</f>
        <v>0</v>
      </c>
      <c r="Q22" s="385">
        <f>+'[9]부산크라샤(당월)'!$F$61</f>
        <v>0</v>
      </c>
      <c r="R22" s="229">
        <f t="shared" si="3"/>
        <v>0</v>
      </c>
      <c r="S22" s="228">
        <f>+IFERROR(HLOOKUP($A$1,[15]손익!$G$5:$AB$252,13,),)</f>
        <v>2375.2258064516132</v>
      </c>
      <c r="T22" s="385">
        <f>+'[9]부산크라샤(당월)'!$I$61</f>
        <v>3616</v>
      </c>
      <c r="U22" s="227">
        <f t="shared" si="4"/>
        <v>1240.7741935483868</v>
      </c>
      <c r="V22" s="414">
        <f t="shared" si="10"/>
        <v>2375.2258064516132</v>
      </c>
      <c r="W22" s="385">
        <f t="shared" si="10"/>
        <v>3616</v>
      </c>
      <c r="X22" s="415">
        <f t="shared" si="5"/>
        <v>1240.7741935483868</v>
      </c>
      <c r="Y22" s="227">
        <f>+IFERROR(HLOOKUP($A$1,[16]이송계획!$G$193:$U$216,17,),)</f>
        <v>0</v>
      </c>
      <c r="Z22" s="385">
        <f>+'[9]부산모래장(당월)'!$R$65</f>
        <v>1120</v>
      </c>
      <c r="AA22" s="227">
        <f t="shared" si="6"/>
        <v>1120</v>
      </c>
      <c r="AB22" s="414">
        <f t="shared" si="11"/>
        <v>2375.2258064516132</v>
      </c>
      <c r="AC22" s="385">
        <f t="shared" si="11"/>
        <v>18456</v>
      </c>
      <c r="AD22" s="415">
        <f t="shared" si="7"/>
        <v>16080.774193548386</v>
      </c>
      <c r="AF22" s="99">
        <f>+AB20-AF20</f>
        <v>-1.4551915228366852E-11</v>
      </c>
      <c r="AG22" s="99">
        <f>+AC20-AG20</f>
        <v>0</v>
      </c>
    </row>
    <row r="23" spans="4:33" ht="24" customHeight="1">
      <c r="D23" s="76"/>
      <c r="E23" s="166"/>
      <c r="F23" s="221" t="s">
        <v>27</v>
      </c>
      <c r="G23" s="226">
        <f>+IFERROR(HLOOKUP($A$1,[14]손익!$G$5:$AB$252,5,),)</f>
        <v>0</v>
      </c>
      <c r="H23" s="385">
        <f>+'[9]서부산크라샤(당월)'!$F$62</f>
        <v>992</v>
      </c>
      <c r="I23" s="229">
        <f t="shared" si="0"/>
        <v>992</v>
      </c>
      <c r="J23" s="228">
        <f>+IFERROR(HLOOKUP($A$1,[14]손익!$G$5:$AB$252,14,),)</f>
        <v>0</v>
      </c>
      <c r="K23" s="385">
        <f>+'[9]서부산크라샤(당월)'!$I$62</f>
        <v>0</v>
      </c>
      <c r="L23" s="227">
        <f t="shared" si="1"/>
        <v>0</v>
      </c>
      <c r="M23" s="414">
        <f t="shared" si="9"/>
        <v>0</v>
      </c>
      <c r="N23" s="385">
        <f t="shared" si="9"/>
        <v>992</v>
      </c>
      <c r="O23" s="415">
        <f t="shared" si="2"/>
        <v>992</v>
      </c>
      <c r="P23" s="226">
        <f>+IFERROR(HLOOKUP($A$1,[15]손익!$G$5:$AB$252,5,),)</f>
        <v>0</v>
      </c>
      <c r="Q23" s="385">
        <f>+'[9]부산크라샤(당월)'!$F$62</f>
        <v>0</v>
      </c>
      <c r="R23" s="229">
        <f t="shared" si="3"/>
        <v>0</v>
      </c>
      <c r="S23" s="228">
        <f>+IFERROR(HLOOKUP($A$1,[15]손익!$G$5:$AB$252,14,),)</f>
        <v>0</v>
      </c>
      <c r="T23" s="385">
        <f>+'[9]부산크라샤(당월)'!$I$62</f>
        <v>0</v>
      </c>
      <c r="U23" s="227">
        <f t="shared" si="4"/>
        <v>0</v>
      </c>
      <c r="V23" s="414">
        <f t="shared" si="10"/>
        <v>0</v>
      </c>
      <c r="W23" s="385">
        <f t="shared" si="10"/>
        <v>0</v>
      </c>
      <c r="X23" s="415">
        <f t="shared" si="5"/>
        <v>0</v>
      </c>
      <c r="Y23" s="227">
        <f>+IFERROR(HLOOKUP($A$1,[16]이송계획!$G$193:$U$216,18,),)</f>
        <v>1594.4055944055945</v>
      </c>
      <c r="Z23" s="385">
        <f>+'[9]부산모래장(당월)'!$V$64</f>
        <v>0</v>
      </c>
      <c r="AA23" s="227">
        <f t="shared" si="6"/>
        <v>-1594.4055944055945</v>
      </c>
      <c r="AB23" s="414">
        <f t="shared" si="11"/>
        <v>1594.4055944055945</v>
      </c>
      <c r="AC23" s="385">
        <f t="shared" si="11"/>
        <v>992</v>
      </c>
      <c r="AD23" s="415">
        <f t="shared" si="7"/>
        <v>-602.40559440559446</v>
      </c>
    </row>
    <row r="24" spans="4:33" ht="24" customHeight="1">
      <c r="D24" s="76"/>
      <c r="E24" s="166"/>
      <c r="F24" s="221" t="s">
        <v>28</v>
      </c>
      <c r="G24" s="226">
        <f>+IFERROR(HLOOKUP($A$1,[14]손익!$G$5:$AB$252,6,),)</f>
        <v>0</v>
      </c>
      <c r="H24" s="385">
        <f>+'[9]서부산크라샤(당월)'!$F$63</f>
        <v>0</v>
      </c>
      <c r="I24" s="229">
        <f t="shared" si="0"/>
        <v>0</v>
      </c>
      <c r="J24" s="228">
        <f>+IFERROR(HLOOKUP($A$1,[14]손익!$G$5:$AB$252,15,),)</f>
        <v>0</v>
      </c>
      <c r="K24" s="385">
        <f>+'[9]서부산크라샤(당월)'!$I$63</f>
        <v>0</v>
      </c>
      <c r="L24" s="227">
        <f t="shared" si="1"/>
        <v>0</v>
      </c>
      <c r="M24" s="414">
        <f t="shared" si="9"/>
        <v>0</v>
      </c>
      <c r="N24" s="385">
        <f t="shared" si="9"/>
        <v>0</v>
      </c>
      <c r="O24" s="415">
        <f t="shared" si="2"/>
        <v>0</v>
      </c>
      <c r="P24" s="226">
        <f>+IFERROR(HLOOKUP($A$1,[15]손익!$G$5:$AB$252,6,),)</f>
        <v>0</v>
      </c>
      <c r="Q24" s="385">
        <f>+'[9]부산크라샤(당월)'!$F$63</f>
        <v>0</v>
      </c>
      <c r="R24" s="229">
        <f t="shared" si="3"/>
        <v>0</v>
      </c>
      <c r="S24" s="228">
        <f>+IFERROR(HLOOKUP($A$1,[15]손익!$G$5:$AB$252,15,),)</f>
        <v>0</v>
      </c>
      <c r="T24" s="385">
        <f>+'[9]부산크라샤(당월)'!$I$63</f>
        <v>624</v>
      </c>
      <c r="U24" s="227">
        <f t="shared" si="4"/>
        <v>624</v>
      </c>
      <c r="V24" s="414">
        <f t="shared" si="10"/>
        <v>0</v>
      </c>
      <c r="W24" s="385">
        <f t="shared" si="10"/>
        <v>624</v>
      </c>
      <c r="X24" s="415">
        <f t="shared" si="5"/>
        <v>624</v>
      </c>
      <c r="Y24" s="227">
        <f>+IFERROR(HLOOKUP($A$1,[16]이송계획!$G$193:$U$216,19,),)</f>
        <v>4168.9510489510485</v>
      </c>
      <c r="Z24" s="385">
        <f>+'[9]부산모래장(당월)'!$V$65</f>
        <v>0</v>
      </c>
      <c r="AA24" s="227">
        <f t="shared" si="6"/>
        <v>-4168.9510489510485</v>
      </c>
      <c r="AB24" s="414">
        <f t="shared" si="11"/>
        <v>4168.9510489510485</v>
      </c>
      <c r="AC24" s="385">
        <f t="shared" si="11"/>
        <v>624</v>
      </c>
      <c r="AD24" s="415">
        <f t="shared" si="7"/>
        <v>-3544.9510489510485</v>
      </c>
    </row>
    <row r="25" spans="4:33" ht="24" customHeight="1">
      <c r="D25" s="76"/>
      <c r="E25" s="166"/>
      <c r="F25" s="221" t="s">
        <v>29</v>
      </c>
      <c r="G25" s="226">
        <f>+IFERROR(HLOOKUP($A$1,[14]손익!$G$5:$AB$252,7,),)</f>
        <v>0</v>
      </c>
      <c r="H25" s="385">
        <f>+'[9]서부산크라샤(당월)'!$F$64</f>
        <v>0</v>
      </c>
      <c r="I25" s="229">
        <f t="shared" si="0"/>
        <v>0</v>
      </c>
      <c r="J25" s="228">
        <f>+IFERROR(HLOOKUP($A$1,[14]손익!$G$5:$AB$252,16,),)</f>
        <v>0</v>
      </c>
      <c r="K25" s="385">
        <f>+'[9]서부산크라샤(당월)'!$I$64</f>
        <v>144</v>
      </c>
      <c r="L25" s="227">
        <f t="shared" si="1"/>
        <v>144</v>
      </c>
      <c r="M25" s="414">
        <f t="shared" si="9"/>
        <v>0</v>
      </c>
      <c r="N25" s="385">
        <f t="shared" si="9"/>
        <v>144</v>
      </c>
      <c r="O25" s="415">
        <f t="shared" si="2"/>
        <v>144</v>
      </c>
      <c r="P25" s="226">
        <f>+IFERROR(HLOOKUP($A$1,[15]손익!$G$5:$AB$252,7,),)</f>
        <v>0</v>
      </c>
      <c r="Q25" s="385">
        <f>+'[9]부산크라샤(당월)'!$F$64</f>
        <v>0</v>
      </c>
      <c r="R25" s="229">
        <f t="shared" si="3"/>
        <v>0</v>
      </c>
      <c r="S25" s="228">
        <f>+IFERROR(HLOOKUP($A$1,[15]손익!$G$5:$AB$252,16,),)</f>
        <v>0</v>
      </c>
      <c r="T25" s="385">
        <f>+'[9]부산크라샤(당월)'!$I$64</f>
        <v>0</v>
      </c>
      <c r="U25" s="227">
        <f t="shared" si="4"/>
        <v>0</v>
      </c>
      <c r="V25" s="414">
        <f t="shared" si="10"/>
        <v>0</v>
      </c>
      <c r="W25" s="385">
        <f t="shared" si="10"/>
        <v>0</v>
      </c>
      <c r="X25" s="415">
        <f t="shared" si="5"/>
        <v>0</v>
      </c>
      <c r="Y25" s="227">
        <f>+IFERROR(HLOOKUP($A$1,[16]이송계획!$G$193:$U$216,20,),)</f>
        <v>630.76923076923072</v>
      </c>
      <c r="Z25" s="385">
        <f>+'[9]부산모래장(당월)'!$R$66</f>
        <v>2368</v>
      </c>
      <c r="AA25" s="227">
        <f t="shared" si="6"/>
        <v>1737.2307692307693</v>
      </c>
      <c r="AB25" s="414">
        <f t="shared" si="11"/>
        <v>630.76923076923072</v>
      </c>
      <c r="AC25" s="385">
        <f t="shared" si="11"/>
        <v>2512</v>
      </c>
      <c r="AD25" s="415">
        <f t="shared" si="7"/>
        <v>1881.2307692307693</v>
      </c>
    </row>
    <row r="26" spans="4:33" ht="24" customHeight="1">
      <c r="D26" s="76"/>
      <c r="E26" s="166"/>
      <c r="F26" s="221" t="s">
        <v>30</v>
      </c>
      <c r="G26" s="226">
        <f>+IFERROR(HLOOKUP($A$1,[14]손익!$G$5:$AB$252,8,),)</f>
        <v>0</v>
      </c>
      <c r="H26" s="385">
        <f>+'[9]서부산크라샤(당월)'!$F$65</f>
        <v>1104</v>
      </c>
      <c r="I26" s="229">
        <f t="shared" si="0"/>
        <v>1104</v>
      </c>
      <c r="J26" s="228">
        <f>+IFERROR(HLOOKUP($A$1,[14]손익!$G$5:$AB$252,17,),)</f>
        <v>0</v>
      </c>
      <c r="K26" s="385">
        <f>+'[9]서부산크라샤(당월)'!$I$65</f>
        <v>0</v>
      </c>
      <c r="L26" s="227">
        <f t="shared" si="1"/>
        <v>0</v>
      </c>
      <c r="M26" s="414">
        <f t="shared" si="9"/>
        <v>0</v>
      </c>
      <c r="N26" s="383">
        <f t="shared" si="9"/>
        <v>1104</v>
      </c>
      <c r="O26" s="433">
        <f t="shared" si="2"/>
        <v>1104</v>
      </c>
      <c r="P26" s="226">
        <f>+IFERROR(HLOOKUP($A$1,[15]손익!$G$5:$AB$252,8,),)</f>
        <v>0</v>
      </c>
      <c r="Q26" s="385">
        <f>+'[9]부산크라샤(당월)'!$F$65</f>
        <v>0</v>
      </c>
      <c r="R26" s="229">
        <f t="shared" si="3"/>
        <v>0</v>
      </c>
      <c r="S26" s="228">
        <f>+IFERROR(HLOOKUP($A$1,[15]손익!$G$5:$AB$252,17,),)</f>
        <v>0</v>
      </c>
      <c r="T26" s="385">
        <f>+'[9]부산크라샤(당월)'!$I$65</f>
        <v>0</v>
      </c>
      <c r="U26" s="227">
        <f t="shared" si="4"/>
        <v>0</v>
      </c>
      <c r="V26" s="414">
        <f t="shared" si="10"/>
        <v>0</v>
      </c>
      <c r="W26" s="383">
        <f t="shared" si="10"/>
        <v>0</v>
      </c>
      <c r="X26" s="433">
        <f t="shared" si="5"/>
        <v>0</v>
      </c>
      <c r="Y26" s="227">
        <f>+IFERROR(HLOOKUP($A$1,[16]이송계획!$G$193:$U$216,21,),)</f>
        <v>0</v>
      </c>
      <c r="Z26" s="385"/>
      <c r="AA26" s="227">
        <f t="shared" si="6"/>
        <v>0</v>
      </c>
      <c r="AB26" s="414">
        <f t="shared" si="11"/>
        <v>0</v>
      </c>
      <c r="AC26" s="383">
        <f t="shared" si="11"/>
        <v>1104</v>
      </c>
      <c r="AD26" s="415">
        <f t="shared" si="7"/>
        <v>1104</v>
      </c>
    </row>
    <row r="27" spans="4:33" ht="24" customHeight="1">
      <c r="D27" s="76"/>
      <c r="E27" s="225" t="s">
        <v>132</v>
      </c>
      <c r="F27" s="224" t="s">
        <v>25</v>
      </c>
      <c r="G27" s="192">
        <f>+IFERROR(HLOOKUP($A$1,[14]손익!$G$5:$AB$252,31,),)</f>
        <v>0</v>
      </c>
      <c r="H27" s="386">
        <f t="shared" ref="H27:H32" si="12">IFERROR(H35/H21,)*1000</f>
        <v>12500</v>
      </c>
      <c r="I27" s="193">
        <f t="shared" si="0"/>
        <v>12500</v>
      </c>
      <c r="J27" s="223">
        <f>+IFERROR(HLOOKUP($A$1,[14]손익!$G$5:$AB$252,40,),)</f>
        <v>0</v>
      </c>
      <c r="K27" s="386">
        <f t="shared" ref="K27:K32" si="13">IFERROR(K35/K21,)*1000</f>
        <v>0</v>
      </c>
      <c r="L27" s="205">
        <f t="shared" si="1"/>
        <v>0</v>
      </c>
      <c r="M27" s="428">
        <f>+IFERROR(HLOOKUP($A$1,[14]손익!$G$5:$AB$252,48,),)</f>
        <v>0</v>
      </c>
      <c r="N27" s="424">
        <f t="shared" ref="N27:N32" si="14">IFERROR(N35/N21,)*1000</f>
        <v>12500</v>
      </c>
      <c r="O27" s="434">
        <f t="shared" si="2"/>
        <v>12500</v>
      </c>
      <c r="P27" s="192">
        <f>+IFERROR(HLOOKUP($A$1,[15]손익!$G$5:$AB$252,30,),)</f>
        <v>16000</v>
      </c>
      <c r="Q27" s="386">
        <f t="shared" ref="Q27:Q32" si="15">IFERROR(Q35/Q21,)*1000</f>
        <v>17500</v>
      </c>
      <c r="R27" s="193">
        <f t="shared" si="3"/>
        <v>1500</v>
      </c>
      <c r="S27" s="223">
        <f>+IFERROR(HLOOKUP($A$1,[15]손익!$G$5:$AB$252,39,),)</f>
        <v>23000</v>
      </c>
      <c r="T27" s="386">
        <f t="shared" ref="T27:T32" si="16">IFERROR(T35/T21,)*1000</f>
        <v>23500</v>
      </c>
      <c r="U27" s="205">
        <f t="shared" si="4"/>
        <v>500</v>
      </c>
      <c r="V27" s="428">
        <f>+IFERROR(HLOOKUP($A$1,[15]손익!$G$5:$AB$252,48,),)</f>
        <v>18880.353195900312</v>
      </c>
      <c r="W27" s="424">
        <f t="shared" ref="W27:W32" si="17">IFERROR(W35/W21,)*1000</f>
        <v>20070.233114166167</v>
      </c>
      <c r="X27" s="434">
        <f t="shared" si="5"/>
        <v>1189.8799182658549</v>
      </c>
      <c r="Y27" s="205">
        <f t="shared" ref="Y27:Z32" si="18">IFERROR(Y35/Y21,)*1000</f>
        <v>32423.997081013276</v>
      </c>
      <c r="Z27" s="386">
        <f t="shared" si="18"/>
        <v>33378</v>
      </c>
      <c r="AA27" s="205">
        <f t="shared" si="6"/>
        <v>954.00291898672367</v>
      </c>
      <c r="AB27" s="416">
        <f t="shared" ref="AB27:AB32" si="19">+AB35/AB21*1000</f>
        <v>21440.319648274388</v>
      </c>
      <c r="AC27" s="386">
        <f t="shared" ref="AC27:AC32" si="20">IFERROR(AC35/AC21,)*1000</f>
        <v>22280.084615384614</v>
      </c>
      <c r="AD27" s="417">
        <f t="shared" si="7"/>
        <v>839.76496711022628</v>
      </c>
    </row>
    <row r="28" spans="4:33" ht="24" customHeight="1">
      <c r="D28" s="76"/>
      <c r="E28" s="166" t="s">
        <v>131</v>
      </c>
      <c r="F28" s="221" t="s">
        <v>26</v>
      </c>
      <c r="G28" s="190">
        <f>+IFERROR(HLOOKUP($A$1,[14]손익!$G$5:$AB$252,32,),)</f>
        <v>0</v>
      </c>
      <c r="H28" s="95">
        <f t="shared" si="12"/>
        <v>17000</v>
      </c>
      <c r="I28" s="191">
        <f t="shared" si="0"/>
        <v>17000</v>
      </c>
      <c r="J28" s="220">
        <f>+IFERROR(HLOOKUP($A$1,[14]손익!$G$5:$AB$252,41,),)</f>
        <v>0</v>
      </c>
      <c r="K28" s="95">
        <f t="shared" si="13"/>
        <v>0</v>
      </c>
      <c r="L28" s="196">
        <f t="shared" si="1"/>
        <v>0</v>
      </c>
      <c r="M28" s="429">
        <f>+IFERROR(HLOOKUP($A$1,[14]손익!$G$5:$AB$252,49,),)</f>
        <v>0</v>
      </c>
      <c r="N28" s="425">
        <f t="shared" si="14"/>
        <v>17000</v>
      </c>
      <c r="O28" s="435">
        <f t="shared" si="2"/>
        <v>17000</v>
      </c>
      <c r="P28" s="190">
        <f>+IFERROR(HLOOKUP($A$1,[15]손익!$G$5:$AB$252,31,),)</f>
        <v>0</v>
      </c>
      <c r="Q28" s="95">
        <f t="shared" si="15"/>
        <v>0</v>
      </c>
      <c r="R28" s="191">
        <f t="shared" si="3"/>
        <v>0</v>
      </c>
      <c r="S28" s="220">
        <f>+IFERROR(HLOOKUP($A$1,[15]손익!$G$5:$AB$252,40,),)</f>
        <v>19000</v>
      </c>
      <c r="T28" s="95">
        <f t="shared" si="16"/>
        <v>20000</v>
      </c>
      <c r="U28" s="196">
        <f t="shared" si="4"/>
        <v>1000</v>
      </c>
      <c r="V28" s="429">
        <f>+IFERROR(HLOOKUP($A$1,[15]손익!$G$5:$AB$252,49,),)</f>
        <v>19000</v>
      </c>
      <c r="W28" s="425">
        <f t="shared" si="17"/>
        <v>20000</v>
      </c>
      <c r="X28" s="435">
        <f t="shared" si="5"/>
        <v>1000</v>
      </c>
      <c r="Y28" s="196">
        <f t="shared" si="18"/>
        <v>0</v>
      </c>
      <c r="Z28" s="95">
        <f t="shared" si="18"/>
        <v>28000</v>
      </c>
      <c r="AA28" s="196">
        <f t="shared" si="6"/>
        <v>28000</v>
      </c>
      <c r="AB28" s="418">
        <f t="shared" si="19"/>
        <v>19000</v>
      </c>
      <c r="AC28" s="95">
        <f t="shared" si="20"/>
        <v>18255.309926311227</v>
      </c>
      <c r="AD28" s="419">
        <f t="shared" si="7"/>
        <v>-744.69007368877283</v>
      </c>
    </row>
    <row r="29" spans="4:33" ht="24" customHeight="1">
      <c r="D29" s="76"/>
      <c r="E29" s="166"/>
      <c r="F29" s="221" t="s">
        <v>27</v>
      </c>
      <c r="G29" s="190">
        <f>+IFERROR(HLOOKUP($A$1,[14]손익!$G$5:$AB$252,33,),)</f>
        <v>0</v>
      </c>
      <c r="H29" s="95">
        <f t="shared" si="12"/>
        <v>11500</v>
      </c>
      <c r="I29" s="191">
        <f t="shared" si="0"/>
        <v>11500</v>
      </c>
      <c r="J29" s="220">
        <f>+IFERROR(HLOOKUP($A$1,[14]손익!$G$5:$AB$252,42,),)</f>
        <v>0</v>
      </c>
      <c r="K29" s="95">
        <f t="shared" si="13"/>
        <v>0</v>
      </c>
      <c r="L29" s="196">
        <f t="shared" si="1"/>
        <v>0</v>
      </c>
      <c r="M29" s="430">
        <f>+IFERROR(HLOOKUP($A$1,[14]손익!$G$5:$AB$252,50,),)</f>
        <v>0</v>
      </c>
      <c r="N29" s="426">
        <f t="shared" si="14"/>
        <v>11500</v>
      </c>
      <c r="O29" s="435">
        <f t="shared" si="2"/>
        <v>11500</v>
      </c>
      <c r="P29" s="190">
        <f>+IFERROR(HLOOKUP($A$1,[15]손익!$G$5:$AB$252,32,),)</f>
        <v>0</v>
      </c>
      <c r="Q29" s="95">
        <f t="shared" si="15"/>
        <v>0</v>
      </c>
      <c r="R29" s="191">
        <f t="shared" si="3"/>
        <v>0</v>
      </c>
      <c r="S29" s="220">
        <f>+IFERROR(HLOOKUP($A$1,[15]손익!$G$5:$AB$252,41,),)</f>
        <v>0</v>
      </c>
      <c r="T29" s="95">
        <f t="shared" si="16"/>
        <v>0</v>
      </c>
      <c r="U29" s="196">
        <f t="shared" si="4"/>
        <v>0</v>
      </c>
      <c r="V29" s="430">
        <f>+IFERROR(HLOOKUP($A$1,[15]손익!$G$5:$AB$252,50,),)</f>
        <v>0</v>
      </c>
      <c r="W29" s="426">
        <f t="shared" si="17"/>
        <v>0</v>
      </c>
      <c r="X29" s="435">
        <f t="shared" si="5"/>
        <v>0</v>
      </c>
      <c r="Y29" s="196">
        <f t="shared" si="18"/>
        <v>27500.000000000004</v>
      </c>
      <c r="Z29" s="95">
        <f t="shared" si="18"/>
        <v>0</v>
      </c>
      <c r="AA29" s="196">
        <f t="shared" si="6"/>
        <v>-27500.000000000004</v>
      </c>
      <c r="AB29" s="418">
        <f t="shared" si="19"/>
        <v>27500.000000000004</v>
      </c>
      <c r="AC29" s="95">
        <f t="shared" si="20"/>
        <v>82072.129032258061</v>
      </c>
      <c r="AD29" s="419">
        <f t="shared" si="7"/>
        <v>54572.129032258061</v>
      </c>
    </row>
    <row r="30" spans="4:33" ht="24" customHeight="1">
      <c r="D30" s="76"/>
      <c r="E30" s="166"/>
      <c r="F30" s="221" t="s">
        <v>28</v>
      </c>
      <c r="G30" s="190">
        <f>+IFERROR(HLOOKUP($A$1,[14]손익!$G$5:$AB$252,34,),)</f>
        <v>0</v>
      </c>
      <c r="H30" s="95">
        <f t="shared" si="12"/>
        <v>0</v>
      </c>
      <c r="I30" s="191">
        <f t="shared" si="0"/>
        <v>0</v>
      </c>
      <c r="J30" s="220">
        <f>+IFERROR(HLOOKUP($A$1,[14]손익!$G$5:$AB$252,43,),)</f>
        <v>0</v>
      </c>
      <c r="K30" s="95">
        <f t="shared" si="13"/>
        <v>0</v>
      </c>
      <c r="L30" s="196">
        <f t="shared" si="1"/>
        <v>0</v>
      </c>
      <c r="M30" s="430">
        <f>+IFERROR(HLOOKUP($A$1,[14]손익!$G$5:$AB$252,51,),)</f>
        <v>0</v>
      </c>
      <c r="N30" s="55">
        <f t="shared" si="14"/>
        <v>0</v>
      </c>
      <c r="O30" s="436">
        <f t="shared" si="2"/>
        <v>0</v>
      </c>
      <c r="P30" s="190">
        <f>+IFERROR(HLOOKUP($A$1,[15]손익!$G$5:$AB$252,33,),)</f>
        <v>0</v>
      </c>
      <c r="Q30" s="95">
        <f t="shared" si="15"/>
        <v>0</v>
      </c>
      <c r="R30" s="191">
        <f t="shared" si="3"/>
        <v>0</v>
      </c>
      <c r="S30" s="220">
        <f>+IFERROR(HLOOKUP($A$1,[15]손익!$G$5:$AB$252,42,),)</f>
        <v>0</v>
      </c>
      <c r="T30" s="95">
        <f t="shared" si="16"/>
        <v>19000</v>
      </c>
      <c r="U30" s="196">
        <f t="shared" si="4"/>
        <v>19000</v>
      </c>
      <c r="V30" s="430">
        <f>+IFERROR(HLOOKUP($A$1,[15]손익!$G$5:$AB$252,51,),)</f>
        <v>0</v>
      </c>
      <c r="W30" s="55">
        <f t="shared" si="17"/>
        <v>19000</v>
      </c>
      <c r="X30" s="436">
        <f t="shared" si="5"/>
        <v>19000</v>
      </c>
      <c r="Y30" s="196">
        <f t="shared" si="18"/>
        <v>31000</v>
      </c>
      <c r="Z30" s="95">
        <f t="shared" si="18"/>
        <v>0</v>
      </c>
      <c r="AA30" s="196">
        <f t="shared" si="6"/>
        <v>-31000</v>
      </c>
      <c r="AB30" s="418">
        <f t="shared" si="19"/>
        <v>31000</v>
      </c>
      <c r="AC30" s="95">
        <f t="shared" si="20"/>
        <v>123616.43589743591</v>
      </c>
      <c r="AD30" s="419">
        <f t="shared" si="7"/>
        <v>92616.435897435906</v>
      </c>
    </row>
    <row r="31" spans="4:33" ht="24" customHeight="1">
      <c r="D31" s="76"/>
      <c r="E31" s="166"/>
      <c r="F31" s="221" t="s">
        <v>29</v>
      </c>
      <c r="G31" s="190">
        <f>+IFERROR(HLOOKUP($A$1,[14]손익!$G$5:$AB$252,35,),)</f>
        <v>0</v>
      </c>
      <c r="H31" s="95">
        <f t="shared" si="12"/>
        <v>0</v>
      </c>
      <c r="I31" s="191">
        <f t="shared" si="0"/>
        <v>0</v>
      </c>
      <c r="J31" s="220">
        <f>+IFERROR(HLOOKUP($A$1,[14]손익!$G$5:$AB$252,44,),)</f>
        <v>0</v>
      </c>
      <c r="K31" s="95">
        <f t="shared" si="13"/>
        <v>9000</v>
      </c>
      <c r="L31" s="196">
        <f t="shared" si="1"/>
        <v>9000</v>
      </c>
      <c r="M31" s="430">
        <f>+IFERROR(HLOOKUP($A$1,[14]손익!$G$5:$AB$252,52,),)</f>
        <v>0</v>
      </c>
      <c r="N31" s="55">
        <f t="shared" si="14"/>
        <v>9000</v>
      </c>
      <c r="O31" s="436">
        <f t="shared" si="2"/>
        <v>9000</v>
      </c>
      <c r="P31" s="190">
        <f>+IFERROR(HLOOKUP($A$1,[15]손익!$G$5:$AB$252,34,),)</f>
        <v>0</v>
      </c>
      <c r="Q31" s="95">
        <f t="shared" si="15"/>
        <v>0</v>
      </c>
      <c r="R31" s="191">
        <f t="shared" si="3"/>
        <v>0</v>
      </c>
      <c r="S31" s="220">
        <f>+IFERROR(HLOOKUP($A$1,[15]손익!$G$5:$AB$252,43,),)</f>
        <v>0</v>
      </c>
      <c r="T31" s="95">
        <f t="shared" si="16"/>
        <v>0</v>
      </c>
      <c r="U31" s="196">
        <f t="shared" si="4"/>
        <v>0</v>
      </c>
      <c r="V31" s="430">
        <f>+IFERROR(HLOOKUP($A$1,[15]손익!$G$5:$AB$252,52,),)</f>
        <v>0</v>
      </c>
      <c r="W31" s="55">
        <f t="shared" si="17"/>
        <v>0</v>
      </c>
      <c r="X31" s="436">
        <f t="shared" si="5"/>
        <v>0</v>
      </c>
      <c r="Y31" s="196">
        <f t="shared" si="18"/>
        <v>34500</v>
      </c>
      <c r="Z31" s="95">
        <f t="shared" si="18"/>
        <v>0</v>
      </c>
      <c r="AA31" s="196">
        <f t="shared" si="6"/>
        <v>-34500</v>
      </c>
      <c r="AB31" s="418">
        <f t="shared" si="19"/>
        <v>34500</v>
      </c>
      <c r="AC31" s="95">
        <f t="shared" si="20"/>
        <v>515.92356687898086</v>
      </c>
      <c r="AD31" s="419">
        <f t="shared" si="7"/>
        <v>-33984.076433121016</v>
      </c>
    </row>
    <row r="32" spans="4:33" ht="24" customHeight="1" thickBot="1">
      <c r="D32" s="76"/>
      <c r="E32" s="218"/>
      <c r="F32" s="217" t="s">
        <v>30</v>
      </c>
      <c r="G32" s="213">
        <f>+IFERROR(HLOOKUP($A$1,[14]손익!$G$5:$AB$252,36,),)</f>
        <v>0</v>
      </c>
      <c r="H32" s="387">
        <f t="shared" si="12"/>
        <v>11500</v>
      </c>
      <c r="I32" s="216">
        <f t="shared" si="0"/>
        <v>11500</v>
      </c>
      <c r="J32" s="215">
        <f>+IFERROR(HLOOKUP($A$1,[14]손익!$G$5:$AB$252,45,),)</f>
        <v>0</v>
      </c>
      <c r="K32" s="387">
        <f t="shared" si="13"/>
        <v>0</v>
      </c>
      <c r="L32" s="214">
        <f t="shared" si="1"/>
        <v>0</v>
      </c>
      <c r="M32" s="431">
        <f>+IFERROR(HLOOKUP($A$1,[14]손익!$G$5:$AB$252,53,),)</f>
        <v>0</v>
      </c>
      <c r="N32" s="427">
        <f t="shared" si="14"/>
        <v>11500</v>
      </c>
      <c r="O32" s="437">
        <f t="shared" si="2"/>
        <v>11500</v>
      </c>
      <c r="P32" s="213">
        <f>+IFERROR(HLOOKUP($A$1,[15]손익!$G$5:$AB$252,35,),)</f>
        <v>0</v>
      </c>
      <c r="Q32" s="387">
        <f t="shared" si="15"/>
        <v>0</v>
      </c>
      <c r="R32" s="216">
        <f t="shared" si="3"/>
        <v>0</v>
      </c>
      <c r="S32" s="215">
        <f>+IFERROR(HLOOKUP($A$1,[15]손익!$G$5:$AB$252,44,),)</f>
        <v>0</v>
      </c>
      <c r="T32" s="387">
        <f t="shared" si="16"/>
        <v>0</v>
      </c>
      <c r="U32" s="214">
        <f t="shared" si="4"/>
        <v>0</v>
      </c>
      <c r="V32" s="431">
        <f>+IFERROR(HLOOKUP($A$1,[15]손익!$G$5:$AB$252,53,),)</f>
        <v>0</v>
      </c>
      <c r="W32" s="427">
        <f t="shared" si="17"/>
        <v>0</v>
      </c>
      <c r="X32" s="437">
        <f t="shared" si="5"/>
        <v>0</v>
      </c>
      <c r="Y32" s="214">
        <f t="shared" si="18"/>
        <v>0</v>
      </c>
      <c r="Z32" s="387">
        <f t="shared" si="18"/>
        <v>0</v>
      </c>
      <c r="AA32" s="214">
        <f t="shared" si="6"/>
        <v>0</v>
      </c>
      <c r="AB32" s="420" t="e">
        <f t="shared" si="19"/>
        <v>#DIV/0!</v>
      </c>
      <c r="AC32" s="421">
        <f t="shared" si="20"/>
        <v>11500</v>
      </c>
      <c r="AD32" s="422" t="e">
        <f t="shared" si="7"/>
        <v>#DIV/0!</v>
      </c>
    </row>
    <row r="33" spans="5:30" ht="21.95" customHeight="1" thickTop="1">
      <c r="E33" s="6" t="s">
        <v>130</v>
      </c>
      <c r="G33" s="211"/>
      <c r="H33" s="211"/>
      <c r="I33" s="211"/>
      <c r="J33" s="76"/>
      <c r="P33" s="211"/>
      <c r="Q33" s="211"/>
      <c r="R33" s="211"/>
      <c r="S33" s="76"/>
      <c r="Y33" s="76"/>
      <c r="AB33" s="76"/>
    </row>
    <row r="34" spans="5:30" ht="21.95" customHeight="1">
      <c r="J34" s="76"/>
      <c r="S34" s="76"/>
      <c r="Y34" s="76"/>
      <c r="Z34" s="6" t="s">
        <v>164</v>
      </c>
      <c r="AB34" s="76"/>
    </row>
    <row r="35" spans="5:30" ht="21.95" customHeight="1">
      <c r="E35" s="26" t="s">
        <v>132</v>
      </c>
      <c r="F35" s="432" t="s">
        <v>25</v>
      </c>
      <c r="G35" s="6">
        <f>+IFERROR(HLOOKUP($A$1,[14]손익!$G$5:$AB$252,59,),)</f>
        <v>0</v>
      </c>
      <c r="H35" s="6">
        <f>+IFERROR(VLOOKUP($F35,'[17]서부산(손익)'!$L$16:$R$29,4,),)/1000</f>
        <v>12800</v>
      </c>
      <c r="I35" s="6">
        <f t="shared" ref="I35:I41" si="21">+H35-G35</f>
        <v>12800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6">
        <f>SUM(G35,J35)</f>
        <v>0</v>
      </c>
      <c r="N35" s="6">
        <f t="shared" ref="N35:N40" si="22">SUM(H35,K35)</f>
        <v>12800</v>
      </c>
      <c r="O35" s="6">
        <f t="shared" ref="O35:O41" si="23">+N35-M35</f>
        <v>12800</v>
      </c>
      <c r="P35" s="6">
        <f>+IFERROR(HLOOKUP($A$1,[15]손익!$G$5:$AB$252,57,),)</f>
        <v>173813.77863530687</v>
      </c>
      <c r="Q35" s="6">
        <f>+IFERROR(VLOOKUP($F35,'[17]부산크라샤(손익)'!$L$16:$R$29,3,),)/1000</f>
        <v>200830</v>
      </c>
      <c r="R35" s="6">
        <f t="shared" ref="R35:R41" si="24">+Q35-P35</f>
        <v>27016.221364693134</v>
      </c>
      <c r="S35" s="76">
        <f>+IFERROR(HLOOKUP($A$1,[15]손익!$G$5:$AB$252,66,),)</f>
        <v>174693.93041422864</v>
      </c>
      <c r="T35" s="6">
        <f>+IFERROR(VLOOKUP($F35,'[17]부산크라샤(손익)'!$L$16:$R$29,4,),)/1000</f>
        <v>202100</v>
      </c>
      <c r="U35" s="6">
        <f>+T35-S35</f>
        <v>27406.069585771358</v>
      </c>
      <c r="V35" s="6">
        <f>SUM(P35,S35)</f>
        <v>348507.70904953551</v>
      </c>
      <c r="W35" s="6">
        <f t="shared" ref="W35:W41" si="25">SUM(Q35,T35)</f>
        <v>402930</v>
      </c>
      <c r="X35" s="6">
        <f t="shared" ref="X35:X41" si="26">+W35-V35</f>
        <v>54422.290950464492</v>
      </c>
      <c r="Y35" s="438">
        <f>+IFERROR(HLOOKUP($A$1,[16]이송계획!$G$70:$W$100,16,),)+IFERROR(HLOOKUP($A$1,[16]이송계획!$G$70:$W$100,23,),)</f>
        <v>139493.93656105481</v>
      </c>
      <c r="Z35" s="6">
        <f>+'[9]부산모래장(당월)'!R76</f>
        <v>163552.20000000001</v>
      </c>
      <c r="AB35" s="76">
        <f t="shared" ref="AB35:AC41" si="27">+M35+V35+Y35</f>
        <v>488001.64561059035</v>
      </c>
      <c r="AC35" s="76">
        <f t="shared" si="27"/>
        <v>579282.19999999995</v>
      </c>
      <c r="AD35" s="6">
        <f t="shared" ref="AD35:AD41" si="28">+AC35-AB35</f>
        <v>91280.554389409604</v>
      </c>
    </row>
    <row r="36" spans="5:30" ht="21.95" customHeight="1">
      <c r="E36" s="26" t="s">
        <v>77</v>
      </c>
      <c r="F36" s="432" t="s">
        <v>26</v>
      </c>
      <c r="G36" s="6">
        <f>+IFERROR(HLOOKUP($A$1,[14]손익!$G$5:$AB$252,60,),)</f>
        <v>0</v>
      </c>
      <c r="H36" s="6">
        <f>+IFERROR(VLOOKUP($F36,'[17]서부산(손익)'!$L$16:$R$29,4,),)/1000</f>
        <v>233240</v>
      </c>
      <c r="I36" s="6">
        <f t="shared" si="21"/>
        <v>233240</v>
      </c>
      <c r="J36" s="76">
        <f>+IFERROR(HLOOKUP($A$1,[14]손익!$G$5:$AB$252,69,),)</f>
        <v>0</v>
      </c>
      <c r="K36" s="6">
        <f>+IFERROR(VLOOKUP($F36,'[17]서부산(손익)'!$L$16:$R$29,3,),)/1000</f>
        <v>0</v>
      </c>
      <c r="L36" s="6">
        <f t="shared" ref="L36:L41" si="29">+K36-J36</f>
        <v>0</v>
      </c>
      <c r="M36" s="6">
        <f t="shared" ref="M36:N41" si="30">SUM(G36,J36)</f>
        <v>0</v>
      </c>
      <c r="N36" s="6">
        <f t="shared" si="22"/>
        <v>233240</v>
      </c>
      <c r="O36" s="6">
        <f t="shared" si="23"/>
        <v>233240</v>
      </c>
      <c r="P36" s="6">
        <f>+IFERROR(HLOOKUP($A$1,[15]손익!$G$5:$AB$252,58,),)</f>
        <v>0</v>
      </c>
      <c r="Q36" s="6">
        <f>+IFERROR(VLOOKUP($F36,'[17]부산크라샤(손익)'!$L$16:$R$29,3,),)/1000</f>
        <v>0</v>
      </c>
      <c r="R36" s="6">
        <f t="shared" si="24"/>
        <v>0</v>
      </c>
      <c r="S36" s="76">
        <f>+IFERROR(HLOOKUP($A$1,[15]손익!$G$5:$AB$252,67,),)</f>
        <v>45129.290322580651</v>
      </c>
      <c r="T36" s="6">
        <f>+IFERROR(VLOOKUP($F36,'[17]부산크라샤(손익)'!$L$16:$R$29,4,),)/1000</f>
        <v>72320</v>
      </c>
      <c r="U36" s="6">
        <f t="shared" ref="U36:U41" si="31">+T36-S36</f>
        <v>27190.709677419349</v>
      </c>
      <c r="V36" s="6">
        <f t="shared" ref="V36:V41" si="32">SUM(P36,S36)</f>
        <v>45129.290322580651</v>
      </c>
      <c r="W36" s="6">
        <f t="shared" si="25"/>
        <v>72320</v>
      </c>
      <c r="X36" s="6">
        <f>+W36-V36</f>
        <v>27190.709677419349</v>
      </c>
      <c r="Y36" s="438">
        <f>+IFERROR(HLOOKUP($A$1,[16]이송계획!$G$70:$W$100,17,),)+IFERROR(HLOOKUP($A$1,[16]이송계획!$G$70:$W$100,24,),)</f>
        <v>0</v>
      </c>
      <c r="Z36" s="6">
        <f>+'[9]부산모래장(당월)'!R77</f>
        <v>31360</v>
      </c>
      <c r="AB36" s="6">
        <f t="shared" si="27"/>
        <v>45129.290322580651</v>
      </c>
      <c r="AC36" s="6">
        <f t="shared" si="27"/>
        <v>336920</v>
      </c>
      <c r="AD36" s="6">
        <f t="shared" si="28"/>
        <v>291790.70967741933</v>
      </c>
    </row>
    <row r="37" spans="5:30" ht="21.95" customHeight="1">
      <c r="F37" s="432" t="s">
        <v>27</v>
      </c>
      <c r="G37" s="6">
        <f>+IFERROR(HLOOKUP($A$1,[14]손익!$G$5:$AB$252,61,),)</f>
        <v>0</v>
      </c>
      <c r="H37" s="6">
        <f>+IFERROR(VLOOKUP($F37,'[17]서부산(손익)'!$L$16:$R$29,4,),)/1000</f>
        <v>11408</v>
      </c>
      <c r="I37" s="6">
        <f t="shared" si="21"/>
        <v>11408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29"/>
        <v>0</v>
      </c>
      <c r="M37" s="6">
        <f t="shared" si="30"/>
        <v>0</v>
      </c>
      <c r="N37" s="6">
        <f t="shared" si="22"/>
        <v>11408</v>
      </c>
      <c r="O37" s="6">
        <f t="shared" si="23"/>
        <v>11408</v>
      </c>
      <c r="P37" s="6">
        <f>+IFERROR(HLOOKUP($A$1,[15]손익!$G$5:$AB$252,59,),)</f>
        <v>0</v>
      </c>
      <c r="Q37" s="6">
        <f>+IFERROR(VLOOKUP($F37,'[17]부산크라샤(손익)'!$L$16:$R$29,3,),)/1000</f>
        <v>0</v>
      </c>
      <c r="R37" s="6">
        <f t="shared" si="24"/>
        <v>0</v>
      </c>
      <c r="S37" s="76">
        <f>+IFERROR(HLOOKUP($A$1,[15]손익!$G$5:$AB$252,68,),)</f>
        <v>0</v>
      </c>
      <c r="T37" s="6">
        <f>+IFERROR(VLOOKUP($F37,'[17]부산크라샤(손익)'!$L$16:$R$29,4,),)/1000</f>
        <v>0</v>
      </c>
      <c r="U37" s="6">
        <f t="shared" si="31"/>
        <v>0</v>
      </c>
      <c r="V37" s="6">
        <f t="shared" si="32"/>
        <v>0</v>
      </c>
      <c r="W37" s="6">
        <f t="shared" si="25"/>
        <v>0</v>
      </c>
      <c r="X37" s="6">
        <f t="shared" si="26"/>
        <v>0</v>
      </c>
      <c r="Y37" s="438">
        <f>+IFERROR(HLOOKUP($A$1,[16]이송계획!$G$70:$W$100,18,),)+IFERROR(HLOOKUP($A$1,[16]이송계획!$G$70:$W$100,25,),)</f>
        <v>43846.153846153851</v>
      </c>
      <c r="Z37" s="6">
        <f>+'[9]부산모래장(당월)'!R78</f>
        <v>70007.551999999996</v>
      </c>
      <c r="AB37" s="6">
        <f t="shared" si="27"/>
        <v>43846.153846153851</v>
      </c>
      <c r="AC37" s="6">
        <f t="shared" si="27"/>
        <v>81415.551999999996</v>
      </c>
      <c r="AD37" s="6">
        <f t="shared" si="28"/>
        <v>37569.398153846145</v>
      </c>
    </row>
    <row r="38" spans="5:30" ht="21.95" customHeight="1">
      <c r="F38" s="432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21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29"/>
        <v>0</v>
      </c>
      <c r="M38" s="6">
        <f t="shared" si="30"/>
        <v>0</v>
      </c>
      <c r="N38" s="6">
        <f t="shared" si="22"/>
        <v>0</v>
      </c>
      <c r="O38" s="6">
        <f t="shared" si="23"/>
        <v>0</v>
      </c>
      <c r="P38" s="6">
        <f>+IFERROR(HLOOKUP($A$1,[15]손익!$G$5:$AB$252,60,),)</f>
        <v>0</v>
      </c>
      <c r="Q38" s="6">
        <f>+IFERROR(VLOOKUP($F38,'[17]부산크라샤(손익)'!$L$16:$R$29,3,),)/1000</f>
        <v>0</v>
      </c>
      <c r="R38" s="6">
        <f t="shared" si="24"/>
        <v>0</v>
      </c>
      <c r="S38" s="76">
        <f>+IFERROR(HLOOKUP($A$1,[15]손익!$G$5:$AB$252,69,),)</f>
        <v>0</v>
      </c>
      <c r="T38" s="6">
        <f>+IFERROR(VLOOKUP($F38,'[17]부산크라샤(손익)'!$L$16:$R$29,4,),)/1000</f>
        <v>11856</v>
      </c>
      <c r="U38" s="6">
        <f t="shared" si="31"/>
        <v>11856</v>
      </c>
      <c r="V38" s="6">
        <f t="shared" si="32"/>
        <v>0</v>
      </c>
      <c r="W38" s="6">
        <f t="shared" si="25"/>
        <v>11856</v>
      </c>
      <c r="X38" s="6">
        <f t="shared" si="26"/>
        <v>11856</v>
      </c>
      <c r="Y38" s="438">
        <f>+IFERROR(HLOOKUP($A$1,[16]이송계획!$G$70:$W$100,19,),)+IFERROR(HLOOKUP($A$1,[16]이송계획!$G$70:$W$100,26,),)</f>
        <v>129237.48251748251</v>
      </c>
      <c r="Z38" s="6">
        <f>+'[9]부산모래장(당월)'!R79</f>
        <v>65280.656000000003</v>
      </c>
      <c r="AB38" s="6">
        <f t="shared" si="27"/>
        <v>129237.48251748251</v>
      </c>
      <c r="AC38" s="6">
        <f t="shared" si="27"/>
        <v>77136.656000000003</v>
      </c>
      <c r="AD38" s="6">
        <f t="shared" si="28"/>
        <v>-52100.826517482506</v>
      </c>
    </row>
    <row r="39" spans="5:30" ht="21.95" customHeight="1">
      <c r="F39" s="432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21"/>
        <v>0</v>
      </c>
      <c r="J39" s="76">
        <f>+IFERROR(HLOOKUP($A$1,[14]손익!$G$5:$AB$252,72,),)</f>
        <v>0</v>
      </c>
      <c r="K39" s="6">
        <f>+IFERROR(VLOOKUP($F39,'[17]서부산(손익)'!$L$16:$R$29,3,),)/1000</f>
        <v>1296</v>
      </c>
      <c r="L39" s="6">
        <f t="shared" si="29"/>
        <v>1296</v>
      </c>
      <c r="M39" s="6">
        <f t="shared" si="30"/>
        <v>0</v>
      </c>
      <c r="N39" s="6">
        <f t="shared" si="22"/>
        <v>1296</v>
      </c>
      <c r="O39" s="6">
        <f t="shared" si="23"/>
        <v>1296</v>
      </c>
      <c r="P39" s="6">
        <f>+IFERROR(HLOOKUP($A$1,[15]손익!$G$5:$AB$252,61,),)</f>
        <v>0</v>
      </c>
      <c r="Q39" s="6">
        <f>+IFERROR(VLOOKUP($F39,'[17]부산크라샤(손익)'!$L$16:$R$29,3,),)/1000</f>
        <v>0</v>
      </c>
      <c r="R39" s="6">
        <f t="shared" si="24"/>
        <v>0</v>
      </c>
      <c r="S39" s="76">
        <f>+IFERROR(HLOOKUP($A$1,[15]손익!$G$5:$AB$252,70,),)</f>
        <v>0</v>
      </c>
      <c r="T39" s="6">
        <f>+IFERROR(VLOOKUP($F39,'[17]부산크라샤(손익)'!$L$16:$R$29,4,),)/1000</f>
        <v>0</v>
      </c>
      <c r="U39" s="6">
        <f t="shared" si="31"/>
        <v>0</v>
      </c>
      <c r="V39" s="6">
        <f t="shared" si="32"/>
        <v>0</v>
      </c>
      <c r="W39" s="6">
        <f t="shared" si="25"/>
        <v>0</v>
      </c>
      <c r="X39" s="6">
        <f t="shared" si="26"/>
        <v>0</v>
      </c>
      <c r="Y39" s="438">
        <f>+IFERROR(HLOOKUP($A$1,[16]이송계획!$G$70:$W$100,20,),)+IFERROR(HLOOKUP($A$1,[16]이송계획!$G$70:$W$100,27,),)</f>
        <v>21761.538461538461</v>
      </c>
      <c r="Z39" s="6">
        <f>+'[9]부산모래장(당월)'!R80</f>
        <v>0</v>
      </c>
      <c r="AB39" s="6">
        <f t="shared" si="27"/>
        <v>21761.538461538461</v>
      </c>
      <c r="AC39" s="6">
        <f t="shared" si="27"/>
        <v>1296</v>
      </c>
      <c r="AD39" s="6">
        <f t="shared" si="28"/>
        <v>-20465.538461538461</v>
      </c>
    </row>
    <row r="40" spans="5:30" ht="21.95" customHeight="1">
      <c r="F40" s="432" t="s">
        <v>30</v>
      </c>
      <c r="G40" s="6">
        <f>+IFERROR(HLOOKUP($A$1,[14]손익!$G$5:$AB$252,64,),)</f>
        <v>0</v>
      </c>
      <c r="H40" s="6">
        <f>+IFERROR(VLOOKUP($F40,'[17]서부산(손익)'!$L$16:$R$29,4,),)/1000</f>
        <v>12696</v>
      </c>
      <c r="I40" s="6">
        <f t="shared" si="21"/>
        <v>12696</v>
      </c>
      <c r="J40" s="76">
        <f>+IFERROR(HLOOKUP($A$1,[14]손익!$G$5:$AB$252,73,),)</f>
        <v>0</v>
      </c>
      <c r="K40" s="6">
        <f>+IFERROR(VLOOKUP($F40,'[17]서부산(손익)'!$L$16:$R$29,3,),)/1000</f>
        <v>0</v>
      </c>
      <c r="L40" s="6">
        <f t="shared" si="29"/>
        <v>0</v>
      </c>
      <c r="M40" s="6">
        <f t="shared" si="30"/>
        <v>0</v>
      </c>
      <c r="N40" s="6">
        <f t="shared" si="22"/>
        <v>12696</v>
      </c>
      <c r="O40" s="6">
        <f t="shared" si="23"/>
        <v>12696</v>
      </c>
      <c r="P40" s="6">
        <f>+IFERROR(HLOOKUP($A$1,[15]손익!$G$5:$AB$252,62,),)</f>
        <v>0</v>
      </c>
      <c r="Q40" s="6">
        <f>+IFERROR(VLOOKUP($F40,'[17]부산크라샤(손익)'!$L$16:$R$29,3,),)/1000</f>
        <v>0</v>
      </c>
      <c r="R40" s="6">
        <f t="shared" si="24"/>
        <v>0</v>
      </c>
      <c r="S40" s="76">
        <f>+IFERROR(HLOOKUP($A$1,[15]손익!$G$5:$AB$252,71,),)</f>
        <v>0</v>
      </c>
      <c r="T40" s="6">
        <f>+IFERROR(VLOOKUP($F40,'[17]부산크라샤(손익)'!$L$16:$R$29,4,),)/1000</f>
        <v>0</v>
      </c>
      <c r="U40" s="6">
        <f t="shared" si="31"/>
        <v>0</v>
      </c>
      <c r="V40" s="6">
        <f t="shared" si="32"/>
        <v>0</v>
      </c>
      <c r="W40" s="6">
        <f t="shared" si="25"/>
        <v>0</v>
      </c>
      <c r="X40" s="6">
        <f t="shared" si="26"/>
        <v>0</v>
      </c>
      <c r="Y40" s="438">
        <f>+IFERROR(HLOOKUP($A$1,[16]이송계획!$G$70:$W$100,21,),)+IFERROR(HLOOKUP($A$1,[16]이송계획!$G$70:$W$100,28,),)</f>
        <v>0</v>
      </c>
      <c r="AB40" s="6">
        <f t="shared" si="27"/>
        <v>0</v>
      </c>
      <c r="AC40" s="6">
        <f t="shared" si="27"/>
        <v>12696</v>
      </c>
      <c r="AD40" s="6">
        <f t="shared" si="28"/>
        <v>12696</v>
      </c>
    </row>
    <row r="41" spans="5:30" ht="21.95" customHeight="1">
      <c r="F41" s="432" t="s">
        <v>8</v>
      </c>
      <c r="G41" s="6">
        <f>SUM(G35:G40)</f>
        <v>0</v>
      </c>
      <c r="H41" s="6">
        <f>SUM(H35:H40)</f>
        <v>270144</v>
      </c>
      <c r="I41" s="6">
        <f t="shared" si="21"/>
        <v>270144</v>
      </c>
      <c r="J41" s="76">
        <f>SUM(J35:J40)</f>
        <v>0</v>
      </c>
      <c r="K41" s="76">
        <f>SUM(K35:K40)</f>
        <v>1296</v>
      </c>
      <c r="L41" s="6">
        <f t="shared" si="29"/>
        <v>1296</v>
      </c>
      <c r="M41" s="6">
        <f t="shared" si="30"/>
        <v>0</v>
      </c>
      <c r="N41" s="6">
        <f t="shared" si="30"/>
        <v>271440</v>
      </c>
      <c r="O41" s="6">
        <f t="shared" si="23"/>
        <v>271440</v>
      </c>
      <c r="P41" s="6">
        <f>SUM(P35:P40)</f>
        <v>173813.77863530687</v>
      </c>
      <c r="Q41" s="6">
        <f>SUM(Q35:Q40)</f>
        <v>200830</v>
      </c>
      <c r="R41" s="6">
        <f t="shared" si="24"/>
        <v>27016.221364693134</v>
      </c>
      <c r="S41" s="76">
        <f>SUM(S35:S40)</f>
        <v>219823.22073680931</v>
      </c>
      <c r="T41" s="76">
        <f>SUM(T35:T40)</f>
        <v>286276</v>
      </c>
      <c r="U41" s="6">
        <f t="shared" si="31"/>
        <v>66452.779263190692</v>
      </c>
      <c r="V41" s="6">
        <f t="shared" si="32"/>
        <v>393636.99937211617</v>
      </c>
      <c r="W41" s="6">
        <f t="shared" si="25"/>
        <v>487106</v>
      </c>
      <c r="X41" s="6">
        <f t="shared" si="26"/>
        <v>93469.000627883826</v>
      </c>
      <c r="Y41" s="6">
        <f>SUM(Y35:Y40)</f>
        <v>334339.11138622958</v>
      </c>
      <c r="Z41" s="6">
        <f>SUM(Z35:Z40)</f>
        <v>330200.408</v>
      </c>
      <c r="AB41" s="6">
        <f t="shared" si="27"/>
        <v>727976.11075834581</v>
      </c>
      <c r="AC41" s="6">
        <f t="shared" si="27"/>
        <v>1088746.4080000001</v>
      </c>
      <c r="AD41" s="6">
        <f t="shared" si="28"/>
        <v>360770.29724165425</v>
      </c>
    </row>
    <row r="42" spans="5:30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</row>
    <row r="43" spans="5:30" ht="21.95" customHeight="1"/>
    <row r="44" spans="5:30" ht="21.95" customHeight="1"/>
    <row r="45" spans="5:30" ht="21.95" customHeight="1"/>
    <row r="46" spans="5:30" ht="21.95" customHeight="1"/>
    <row r="47" spans="5:30" ht="21.95" customHeight="1"/>
    <row r="48" spans="5:3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>
    <tabColor theme="0" tint="-0.249977111117893"/>
    <pageSetUpPr fitToPage="1"/>
  </sheetPr>
  <dimension ref="A1:AG53"/>
  <sheetViews>
    <sheetView showGridLines="0" showZeros="0" zoomScale="85" zoomScaleNormal="85" workbookViewId="0">
      <pane xSplit="6" ySplit="7" topLeftCell="G8" activePane="bottomRight" state="frozen"/>
      <selection pane="topRight"/>
      <selection pane="bottomLeft"/>
      <selection pane="bottomRight" activeCell="P8" sqref="P8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0" width="10.625" style="6" customWidth="1"/>
    <col min="31" max="31" width="9" style="6"/>
    <col min="32" max="33" width="14.25" style="6" customWidth="1"/>
    <col min="34" max="16384" width="9" style="6"/>
  </cols>
  <sheetData>
    <row r="1" spans="1:33" ht="22.5" customHeight="1">
      <c r="A1" s="423" t="s">
        <v>216</v>
      </c>
    </row>
    <row r="2" spans="1:33" ht="9.75" customHeight="1"/>
    <row r="3" spans="1:33" ht="9.9499999999999993" customHeight="1"/>
    <row r="4" spans="1:33" ht="31.5">
      <c r="D4" s="184" t="s">
        <v>229</v>
      </c>
      <c r="F4" s="184"/>
      <c r="I4" s="184"/>
    </row>
    <row r="5" spans="1:33" ht="21.95" customHeight="1" thickBot="1">
      <c r="J5" s="76"/>
      <c r="Y5" s="76"/>
      <c r="AB5" s="76"/>
      <c r="AD5" s="186" t="s">
        <v>167</v>
      </c>
    </row>
    <row r="6" spans="1:33" ht="24" customHeight="1" thickTop="1">
      <c r="D6" s="296" t="s">
        <v>15</v>
      </c>
      <c r="E6" s="840" t="s">
        <v>11</v>
      </c>
      <c r="F6" s="841"/>
      <c r="G6" s="294" t="s">
        <v>140</v>
      </c>
      <c r="H6" s="293"/>
      <c r="I6" s="293"/>
      <c r="J6" s="293" t="s">
        <v>139</v>
      </c>
      <c r="K6" s="293"/>
      <c r="L6" s="295"/>
      <c r="M6" s="389" t="s">
        <v>138</v>
      </c>
      <c r="N6" s="390"/>
      <c r="O6" s="391"/>
      <c r="P6" s="294" t="s">
        <v>186</v>
      </c>
      <c r="Q6" s="293"/>
      <c r="R6" s="293"/>
      <c r="S6" s="293" t="s">
        <v>187</v>
      </c>
      <c r="T6" s="293"/>
      <c r="U6" s="295"/>
      <c r="V6" s="389" t="s">
        <v>188</v>
      </c>
      <c r="W6" s="390"/>
      <c r="X6" s="391"/>
      <c r="Y6" s="388" t="s">
        <v>137</v>
      </c>
      <c r="Z6" s="293"/>
      <c r="AA6" s="295"/>
      <c r="AB6" s="389" t="s">
        <v>136</v>
      </c>
      <c r="AC6" s="390"/>
      <c r="AD6" s="391"/>
    </row>
    <row r="7" spans="1:33" ht="24" customHeight="1">
      <c r="D7" s="292"/>
      <c r="E7" s="842"/>
      <c r="F7" s="843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392" t="s">
        <v>15</v>
      </c>
      <c r="N7" s="374" t="s">
        <v>16</v>
      </c>
      <c r="O7" s="393" t="s">
        <v>36</v>
      </c>
      <c r="P7" s="288" t="s">
        <v>12</v>
      </c>
      <c r="Q7" s="374" t="s">
        <v>13</v>
      </c>
      <c r="R7" s="291" t="s">
        <v>36</v>
      </c>
      <c r="S7" s="290" t="s">
        <v>15</v>
      </c>
      <c r="T7" s="374" t="s">
        <v>16</v>
      </c>
      <c r="U7" s="289" t="s">
        <v>36</v>
      </c>
      <c r="V7" s="392" t="s">
        <v>15</v>
      </c>
      <c r="W7" s="374" t="s">
        <v>16</v>
      </c>
      <c r="X7" s="393" t="s">
        <v>36</v>
      </c>
      <c r="Y7" s="289" t="s">
        <v>15</v>
      </c>
      <c r="Z7" s="374" t="s">
        <v>16</v>
      </c>
      <c r="AA7" s="289" t="s">
        <v>36</v>
      </c>
      <c r="AB7" s="392" t="s">
        <v>15</v>
      </c>
      <c r="AC7" s="374" t="s">
        <v>16</v>
      </c>
      <c r="AD7" s="393" t="s">
        <v>36</v>
      </c>
    </row>
    <row r="8" spans="1:33" ht="24" customHeight="1">
      <c r="D8" s="77"/>
      <c r="E8" s="265" t="s">
        <v>110</v>
      </c>
      <c r="F8" s="264" t="s">
        <v>132</v>
      </c>
      <c r="G8" s="260">
        <f>+'골재사업소(당월)'!G8+'[4]골재사업소(누계)'!G8</f>
        <v>21758</v>
      </c>
      <c r="H8" s="375">
        <f>+'골재사업소(당월)'!H8+'[4]골재사업소(누계)'!H8</f>
        <v>55218</v>
      </c>
      <c r="I8" s="263">
        <f>H8-G8</f>
        <v>33460</v>
      </c>
      <c r="J8" s="262">
        <f>+'골재사업소(당월)'!J8+'[4]골재사업소(누계)'!J8</f>
        <v>1751.6000000000001</v>
      </c>
      <c r="K8" s="375">
        <f>+'골재사업소(당월)'!K8+'[4]골재사업소(누계)'!K8</f>
        <v>1808</v>
      </c>
      <c r="L8" s="261">
        <f>K8-J8</f>
        <v>56.399999999999864</v>
      </c>
      <c r="M8" s="394">
        <f>+G8+J8</f>
        <v>23509.599999999999</v>
      </c>
      <c r="N8" s="375">
        <f>+H8+K8</f>
        <v>57026</v>
      </c>
      <c r="O8" s="395">
        <f>N8-M8</f>
        <v>33516.400000000001</v>
      </c>
      <c r="P8" s="260">
        <f>+'골재사업소(당월)'!P8+'[4]골재사업소(누계)'!P8</f>
        <v>39851.407964092759</v>
      </c>
      <c r="Q8" s="375">
        <f>+'골재사업소(당월)'!Q8+'[4]골재사업소(누계)'!Q8</f>
        <v>42570</v>
      </c>
      <c r="R8" s="263">
        <f>Q8-P8</f>
        <v>2718.5920359072406</v>
      </c>
      <c r="S8" s="262">
        <f>+'골재사업소(당월)'!S8+'[4]골재사업소(누계)'!S8</f>
        <v>36079.578472906753</v>
      </c>
      <c r="T8" s="375">
        <f>+'골재사업소(당월)'!T8+'[4]골재사업소(누계)'!T8</f>
        <v>49259</v>
      </c>
      <c r="U8" s="261">
        <f>T8-S8</f>
        <v>13179.421527093247</v>
      </c>
      <c r="V8" s="394">
        <f>+P8+S8</f>
        <v>75930.986436999519</v>
      </c>
      <c r="W8" s="375">
        <f>+Q8+T8</f>
        <v>91829</v>
      </c>
      <c r="X8" s="395">
        <f>W8-V8</f>
        <v>15898.013563000481</v>
      </c>
      <c r="Y8" s="261">
        <f>+'골재사업소(당월)'!Y8+'[4]골재사업소(누계)'!Y8</f>
        <v>47727.773787099824</v>
      </c>
      <c r="Z8" s="375">
        <f>+'골재사업소(당월)'!Z8+'[4]골재사업소(누계)'!Z8</f>
        <v>50069</v>
      </c>
      <c r="AA8" s="261">
        <f>Z8-Y8</f>
        <v>2341.2262129001756</v>
      </c>
      <c r="AB8" s="394">
        <f>+M8+V8+Y8</f>
        <v>147168.36022409936</v>
      </c>
      <c r="AC8" s="375">
        <f>+N8+W8+Z8</f>
        <v>198924</v>
      </c>
      <c r="AD8" s="395">
        <f>AC8-AB8</f>
        <v>51755.639775900636</v>
      </c>
    </row>
    <row r="9" spans="1:33" ht="24" customHeight="1">
      <c r="D9" s="77"/>
      <c r="E9" s="282"/>
      <c r="F9" s="287" t="s">
        <v>10</v>
      </c>
      <c r="G9" s="283">
        <f>+G8/G$12</f>
        <v>1</v>
      </c>
      <c r="H9" s="376">
        <f>+H8/H$12</f>
        <v>0.60983367570074876</v>
      </c>
      <c r="I9" s="286">
        <f>+H9-G9</f>
        <v>-0.39016632429925124</v>
      </c>
      <c r="J9" s="285">
        <f>+J8/J$12</f>
        <v>1</v>
      </c>
      <c r="K9" s="376">
        <f>+K8/K$12</f>
        <v>0.19720767888307156</v>
      </c>
      <c r="L9" s="284">
        <f>+K9-J9</f>
        <v>-0.80279232111692844</v>
      </c>
      <c r="M9" s="396">
        <f>+M8/M$12</f>
        <v>1</v>
      </c>
      <c r="N9" s="376">
        <f>+N8/N$12</f>
        <v>0.57189562147742545</v>
      </c>
      <c r="O9" s="397">
        <f>+N9-M9</f>
        <v>-0.42810437852257455</v>
      </c>
      <c r="P9" s="283">
        <f>+P8/P$12</f>
        <v>0.62412731738826255</v>
      </c>
      <c r="Q9" s="376">
        <f>+Q8/Q$12</f>
        <v>0.67176897585608331</v>
      </c>
      <c r="R9" s="286">
        <f>+Q9-P9</f>
        <v>4.7641658467820758E-2</v>
      </c>
      <c r="S9" s="285">
        <f>+S8/S$12</f>
        <v>0.37164951723575873</v>
      </c>
      <c r="T9" s="376">
        <f>+T8/T$12</f>
        <v>0.69095678276360273</v>
      </c>
      <c r="U9" s="284">
        <f>+T9-S9</f>
        <v>0.319307265527844</v>
      </c>
      <c r="V9" s="396">
        <f>+V8/V$12</f>
        <v>0.47182328349627445</v>
      </c>
      <c r="W9" s="376">
        <f>+W8/W$12</f>
        <v>0.68192720980833355</v>
      </c>
      <c r="X9" s="397">
        <f>+W9-V9</f>
        <v>0.2101039263120591</v>
      </c>
      <c r="Y9" s="284">
        <f>+Y8/Y$12</f>
        <v>0.63868855404520319</v>
      </c>
      <c r="Z9" s="376">
        <f>+Z8/Z$12</f>
        <v>0.57759704677856605</v>
      </c>
      <c r="AA9" s="284">
        <f>+Z9-Y9</f>
        <v>-6.1091507266637146E-2</v>
      </c>
      <c r="AB9" s="396">
        <f>+AB8/AB$12</f>
        <v>0.56784848311284941</v>
      </c>
      <c r="AC9" s="376">
        <f>+AC8/AC$12</f>
        <v>0.61958512427583634</v>
      </c>
      <c r="AD9" s="397">
        <f>+AC9-AB9</f>
        <v>5.1736641162986929E-2</v>
      </c>
    </row>
    <row r="10" spans="1:33" ht="24" customHeight="1">
      <c r="D10" s="258"/>
      <c r="E10" s="282"/>
      <c r="F10" s="281" t="s">
        <v>135</v>
      </c>
      <c r="G10" s="277">
        <f>+'골재사업소(당월)'!G10+'[4]골재사업소(누계)'!G10</f>
        <v>0</v>
      </c>
      <c r="H10" s="377">
        <f>+'골재사업소(당월)'!H10+'[4]골재사업소(누계)'!H10</f>
        <v>35328</v>
      </c>
      <c r="I10" s="280">
        <f>H10-G10</f>
        <v>35328</v>
      </c>
      <c r="J10" s="279">
        <f>+'골재사업소(당월)'!J10+'[4]골재사업소(누계)'!J10</f>
        <v>0</v>
      </c>
      <c r="K10" s="377">
        <f>+'골재사업소(당월)'!K10+'[4]골재사업소(누계)'!K10</f>
        <v>7360</v>
      </c>
      <c r="L10" s="278">
        <f>K10-J10</f>
        <v>7360</v>
      </c>
      <c r="M10" s="398">
        <f>+G10+J10</f>
        <v>0</v>
      </c>
      <c r="N10" s="377">
        <f>+H10+K10</f>
        <v>42688</v>
      </c>
      <c r="O10" s="399">
        <f>N10-M10</f>
        <v>42688</v>
      </c>
      <c r="P10" s="277">
        <f>+'골재사업소(당월)'!P10+'[4]골재사업소(누계)'!P10</f>
        <v>24000</v>
      </c>
      <c r="Q10" s="377">
        <f>+'골재사업소(당월)'!Q10+'[4]골재사업소(누계)'!Q10</f>
        <v>20800</v>
      </c>
      <c r="R10" s="280">
        <f>Q10-P10</f>
        <v>-3200</v>
      </c>
      <c r="S10" s="279">
        <f>+'골재사업소(당월)'!S10+'[4]골재사업소(누계)'!S10</f>
        <v>61000</v>
      </c>
      <c r="T10" s="377">
        <f>+'골재사업소(당월)'!T10+'[4]골재사업소(누계)'!T10</f>
        <v>22032</v>
      </c>
      <c r="U10" s="278">
        <f>T10-S10</f>
        <v>-38968</v>
      </c>
      <c r="V10" s="398">
        <f>+P10+S10</f>
        <v>85000</v>
      </c>
      <c r="W10" s="377">
        <f>+Q10+T10</f>
        <v>42832</v>
      </c>
      <c r="X10" s="399">
        <f>W10-V10</f>
        <v>-42168</v>
      </c>
      <c r="Y10" s="278">
        <f>+'골재사업소(당월)'!Y10+'[4]골재사업소(누계)'!Y10</f>
        <v>27000</v>
      </c>
      <c r="Z10" s="377">
        <f>+'골재사업소(당월)'!Z10+'[4]골재사업소(누계)'!Z10</f>
        <v>36616</v>
      </c>
      <c r="AA10" s="278">
        <f>Z10-Y10</f>
        <v>9616</v>
      </c>
      <c r="AB10" s="398">
        <f>+M10+V10+Y10</f>
        <v>112000</v>
      </c>
      <c r="AC10" s="377">
        <f>+N10+W10+Z10</f>
        <v>122136</v>
      </c>
      <c r="AD10" s="399">
        <f>AC10-AB10</f>
        <v>10136</v>
      </c>
    </row>
    <row r="11" spans="1:33" ht="24" customHeight="1">
      <c r="D11" s="258"/>
      <c r="E11" s="259"/>
      <c r="F11" s="276" t="s">
        <v>10</v>
      </c>
      <c r="G11" s="272">
        <f>+G10/G$12</f>
        <v>0</v>
      </c>
      <c r="H11" s="378">
        <f>+H10/H$12</f>
        <v>0.39016632429925119</v>
      </c>
      <c r="I11" s="275">
        <f>+H11-G11</f>
        <v>0.39016632429925119</v>
      </c>
      <c r="J11" s="274">
        <f>+J10/J$12</f>
        <v>0</v>
      </c>
      <c r="K11" s="378">
        <f>+K10/K$12</f>
        <v>0.80279232111692844</v>
      </c>
      <c r="L11" s="273">
        <f>+K11-J11</f>
        <v>0.80279232111692844</v>
      </c>
      <c r="M11" s="400">
        <f>+M10/M$12</f>
        <v>0</v>
      </c>
      <c r="N11" s="378">
        <f>+N10/N$12</f>
        <v>0.42810437852257455</v>
      </c>
      <c r="O11" s="401">
        <f>+N11-M11</f>
        <v>0.42810437852257455</v>
      </c>
      <c r="P11" s="272">
        <f>+P10/P$12</f>
        <v>0.3758726826117374</v>
      </c>
      <c r="Q11" s="378">
        <f>+Q10/Q$12</f>
        <v>0.32823102414391669</v>
      </c>
      <c r="R11" s="275">
        <f>+Q11-P11</f>
        <v>-4.7641658467820702E-2</v>
      </c>
      <c r="S11" s="274">
        <f>+S10/S$12</f>
        <v>0.62835048276424121</v>
      </c>
      <c r="T11" s="378">
        <f>+T10/T$12</f>
        <v>0.30904321723639733</v>
      </c>
      <c r="U11" s="273">
        <f>+T11-S11</f>
        <v>-0.31930726552784389</v>
      </c>
      <c r="V11" s="400">
        <f>+V10/V$12</f>
        <v>0.52817671650372555</v>
      </c>
      <c r="W11" s="378">
        <f>+W10/W$12</f>
        <v>0.31807279019166645</v>
      </c>
      <c r="X11" s="401">
        <f>+W11-V11</f>
        <v>-0.2101039263120591</v>
      </c>
      <c r="Y11" s="273">
        <f>+Y10/Y$12</f>
        <v>0.36131144595479681</v>
      </c>
      <c r="Z11" s="378">
        <f>+Z10/Z$12</f>
        <v>0.42240295322143395</v>
      </c>
      <c r="AA11" s="273">
        <f>+Z11-Y11</f>
        <v>6.1091507266637146E-2</v>
      </c>
      <c r="AB11" s="400">
        <f>+AB10/AB$12</f>
        <v>0.43215151688715059</v>
      </c>
      <c r="AC11" s="378">
        <f>+AC10/AC$12</f>
        <v>0.38041487572416371</v>
      </c>
      <c r="AD11" s="401">
        <f>+AC11-AB11</f>
        <v>-5.1736641162986874E-2</v>
      </c>
    </row>
    <row r="12" spans="1:33" ht="24" customHeight="1">
      <c r="D12" s="258"/>
      <c r="E12" s="271"/>
      <c r="F12" s="270" t="s">
        <v>43</v>
      </c>
      <c r="G12" s="266">
        <f>G8+G10</f>
        <v>21758</v>
      </c>
      <c r="H12" s="379">
        <f>H8+H10</f>
        <v>90546</v>
      </c>
      <c r="I12" s="269">
        <f t="shared" ref="I12:I32" si="0">H12-G12</f>
        <v>68788</v>
      </c>
      <c r="J12" s="268">
        <f>J8+J10</f>
        <v>1751.6000000000001</v>
      </c>
      <c r="K12" s="379">
        <f>K8+K10</f>
        <v>9168</v>
      </c>
      <c r="L12" s="267">
        <f t="shared" ref="L12:L32" si="1">K12-J12</f>
        <v>7416.4</v>
      </c>
      <c r="M12" s="402">
        <f>M8+M10</f>
        <v>23509.599999999999</v>
      </c>
      <c r="N12" s="379">
        <f>N8+N10</f>
        <v>99714</v>
      </c>
      <c r="O12" s="403">
        <f t="shared" ref="O12:O32" si="2">N12-M12</f>
        <v>76204.399999999994</v>
      </c>
      <c r="P12" s="266">
        <f>P8+P10</f>
        <v>63851.407964092759</v>
      </c>
      <c r="Q12" s="379">
        <f>Q8+Q10</f>
        <v>63370</v>
      </c>
      <c r="R12" s="269">
        <f t="shared" ref="R12:R32" si="3">Q12-P12</f>
        <v>-481.40796409275936</v>
      </c>
      <c r="S12" s="268">
        <f>S8+S10</f>
        <v>97079.578472906753</v>
      </c>
      <c r="T12" s="379">
        <f>T8+T10</f>
        <v>71291</v>
      </c>
      <c r="U12" s="267">
        <f t="shared" ref="U12:U32" si="4">T12-S12</f>
        <v>-25788.578472906753</v>
      </c>
      <c r="V12" s="402">
        <f>V8+V10</f>
        <v>160930.98643699952</v>
      </c>
      <c r="W12" s="379">
        <f>W8+W10</f>
        <v>134661</v>
      </c>
      <c r="X12" s="403">
        <f t="shared" ref="X12:X32" si="5">W12-V12</f>
        <v>-26269.986436999519</v>
      </c>
      <c r="Y12" s="267">
        <f>Y8+Y10</f>
        <v>74727.773787099824</v>
      </c>
      <c r="Z12" s="379">
        <f>Z8+Z10</f>
        <v>86685</v>
      </c>
      <c r="AA12" s="267">
        <f t="shared" ref="AA12:AA32" si="6">Z12-Y12</f>
        <v>11957.226212900176</v>
      </c>
      <c r="AB12" s="402">
        <f>AB8+AB10</f>
        <v>259168.36022409936</v>
      </c>
      <c r="AC12" s="379">
        <f>AC8+AC10</f>
        <v>321060</v>
      </c>
      <c r="AD12" s="403">
        <f t="shared" ref="AD12:AD32" si="7">AC12-AB12</f>
        <v>61891.639775900636</v>
      </c>
      <c r="AF12" s="6">
        <f>+'골재사업소(당월)'!AF12+'[4]골재사업소(누계)'!AF12</f>
        <v>259168.36022409931</v>
      </c>
      <c r="AG12" s="6">
        <f>+'골재사업소(당월)'!AG12+'[4]골재사업소(누계)'!AG12</f>
        <v>321060</v>
      </c>
    </row>
    <row r="13" spans="1:33" ht="24" customHeight="1">
      <c r="D13" s="258"/>
      <c r="E13" s="265" t="s">
        <v>77</v>
      </c>
      <c r="F13" s="264" t="s">
        <v>132</v>
      </c>
      <c r="G13" s="260">
        <f>+'골재사업소(당월)'!G13+'[4]골재사업소(누계)'!G13</f>
        <v>348128</v>
      </c>
      <c r="H13" s="375">
        <f>+'골재사업소(당월)'!H13+'[4]골재사업소(누계)'!H13</f>
        <v>893930</v>
      </c>
      <c r="I13" s="263">
        <f t="shared" si="0"/>
        <v>545802</v>
      </c>
      <c r="J13" s="262">
        <f>+'골재사업소(당월)'!J13+'[4]골재사업소(누계)'!J13</f>
        <v>18391.800000000003</v>
      </c>
      <c r="K13" s="375">
        <f>+'골재사업소(당월)'!K13+'[4]골재사업소(누계)'!K13</f>
        <v>17232</v>
      </c>
      <c r="L13" s="261">
        <f t="shared" si="1"/>
        <v>-1159.8000000000029</v>
      </c>
      <c r="M13" s="394">
        <f>+G13+J13</f>
        <v>366519.8</v>
      </c>
      <c r="N13" s="375">
        <f>+H13+K13</f>
        <v>911162</v>
      </c>
      <c r="O13" s="395">
        <f t="shared" si="2"/>
        <v>544642.19999999995</v>
      </c>
      <c r="P13" s="260">
        <f>+'골재사업소(당월)'!P13+'[4]골재사업소(누계)'!P13</f>
        <v>637622.52742548415</v>
      </c>
      <c r="Q13" s="375">
        <f>+'골재사업소(당월)'!Q13+'[4]골재사업소(누계)'!Q13</f>
        <v>744007</v>
      </c>
      <c r="R13" s="263">
        <f t="shared" si="3"/>
        <v>106384.47257451585</v>
      </c>
      <c r="S13" s="262">
        <f>+'골재사업소(당월)'!S13+'[4]골재사업소(누계)'!S13</f>
        <v>796354.16294137144</v>
      </c>
      <c r="T13" s="375">
        <f>+'골재사업소(당월)'!T13+'[4]골재사업소(누계)'!T13</f>
        <v>1091106.5</v>
      </c>
      <c r="U13" s="261">
        <f t="shared" si="4"/>
        <v>294752.33705862856</v>
      </c>
      <c r="V13" s="394">
        <f>+P13+S13</f>
        <v>1433976.6903668556</v>
      </c>
      <c r="W13" s="375">
        <f>+Q13+T13</f>
        <v>1835113.5</v>
      </c>
      <c r="X13" s="395">
        <f t="shared" si="5"/>
        <v>401136.80963314441</v>
      </c>
      <c r="Y13" s="261">
        <f>+'골재사업소(당월)'!Y13+'[4]골재사업소(누계)'!Y13</f>
        <v>1469226.4242225001</v>
      </c>
      <c r="Z13" s="375">
        <f>+'골재사업소(당월)'!Z13+'[4]골재사업소(누계)'!Z13</f>
        <v>1507138.08</v>
      </c>
      <c r="AA13" s="261">
        <f t="shared" si="6"/>
        <v>37911.655777500011</v>
      </c>
      <c r="AB13" s="394">
        <f>+M13+V13+Y13</f>
        <v>3269722.9145893557</v>
      </c>
      <c r="AC13" s="375">
        <f>+N13+W13+Z13</f>
        <v>4253413.58</v>
      </c>
      <c r="AD13" s="395">
        <f t="shared" si="7"/>
        <v>983690.66541064437</v>
      </c>
      <c r="AF13" s="6" t="b">
        <f>+AF12=AB12</f>
        <v>1</v>
      </c>
      <c r="AG13" s="6" t="b">
        <f>+AG12=AC12</f>
        <v>1</v>
      </c>
    </row>
    <row r="14" spans="1:33" ht="24" customHeight="1">
      <c r="D14" s="258"/>
      <c r="E14" s="259"/>
      <c r="F14" s="257" t="s">
        <v>131</v>
      </c>
      <c r="G14" s="253">
        <f>+G13/G8*1000</f>
        <v>16000</v>
      </c>
      <c r="H14" s="380">
        <f>+H13/H8*1000</f>
        <v>16189.105001992104</v>
      </c>
      <c r="I14" s="256">
        <f t="shared" si="0"/>
        <v>189.10500199210401</v>
      </c>
      <c r="J14" s="255">
        <f>+J13/J8*1000</f>
        <v>10500</v>
      </c>
      <c r="K14" s="380">
        <f>+K13/K8*1000</f>
        <v>9530.9734513274343</v>
      </c>
      <c r="L14" s="254">
        <f t="shared" si="1"/>
        <v>-969.0265486725657</v>
      </c>
      <c r="M14" s="404">
        <f>+M13/M8*1000</f>
        <v>15590.218463946643</v>
      </c>
      <c r="N14" s="380">
        <f>+N13/N8*1000</f>
        <v>15978.010030512398</v>
      </c>
      <c r="O14" s="405">
        <f t="shared" si="2"/>
        <v>387.79156656575469</v>
      </c>
      <c r="P14" s="253">
        <f>+P13/P8*1000</f>
        <v>16000</v>
      </c>
      <c r="Q14" s="380">
        <f>+Q13/Q8*1000</f>
        <v>17477.260981912146</v>
      </c>
      <c r="R14" s="256">
        <f t="shared" si="3"/>
        <v>1477.2609819121462</v>
      </c>
      <c r="S14" s="255">
        <f>+S13/S8*1000</f>
        <v>22072.15817500135</v>
      </c>
      <c r="T14" s="380">
        <f>+T13/T8*1000</f>
        <v>22150.39891187397</v>
      </c>
      <c r="U14" s="254">
        <f t="shared" si="4"/>
        <v>78.240736872619891</v>
      </c>
      <c r="V14" s="404">
        <f>+V13/V8*1000</f>
        <v>18885.263548586139</v>
      </c>
      <c r="W14" s="380">
        <f>+W13/W8*1000</f>
        <v>19984.03009942393</v>
      </c>
      <c r="X14" s="405">
        <f t="shared" si="5"/>
        <v>1098.7665508377904</v>
      </c>
      <c r="Y14" s="254">
        <f>+Y13/Y8*1000</f>
        <v>30783.468568559387</v>
      </c>
      <c r="Z14" s="380">
        <f>+Z13/Z8*1000</f>
        <v>30101.221913759015</v>
      </c>
      <c r="AA14" s="254">
        <f t="shared" si="6"/>
        <v>-682.2466548003722</v>
      </c>
      <c r="AB14" s="404">
        <f>+AB13/AB8*1000</f>
        <v>22217.567074950166</v>
      </c>
      <c r="AC14" s="380">
        <f>+AC13/AC8*1000</f>
        <v>21382.103617461948</v>
      </c>
      <c r="AD14" s="405">
        <f t="shared" si="7"/>
        <v>-835.46345748821841</v>
      </c>
    </row>
    <row r="15" spans="1:33" ht="24" customHeight="1">
      <c r="D15" s="258"/>
      <c r="E15" s="666"/>
      <c r="F15" s="224" t="s">
        <v>135</v>
      </c>
      <c r="G15" s="248">
        <f>+'골재사업소(당월)'!G15+'[4]골재사업소(누계)'!G15</f>
        <v>0</v>
      </c>
      <c r="H15" s="381">
        <f>+'골재사업소(당월)'!H15+'[4]골재사업소(누계)'!H15</f>
        <v>414128</v>
      </c>
      <c r="I15" s="251">
        <f t="shared" si="0"/>
        <v>414128</v>
      </c>
      <c r="J15" s="250">
        <f>+'골재사업소(당월)'!J15+'[4]골재사업소(누계)'!J15</f>
        <v>0</v>
      </c>
      <c r="K15" s="381">
        <f>+'골재사업소(당월)'!K15+'[4]골재사업소(누계)'!K15</f>
        <v>59072</v>
      </c>
      <c r="L15" s="249">
        <f t="shared" si="1"/>
        <v>59072</v>
      </c>
      <c r="M15" s="406">
        <f>+G15+J15</f>
        <v>0</v>
      </c>
      <c r="N15" s="381">
        <f>+H15+K15</f>
        <v>473200</v>
      </c>
      <c r="O15" s="407">
        <f t="shared" si="2"/>
        <v>473200</v>
      </c>
      <c r="P15" s="248">
        <f>+'골재사업소(당월)'!P15+'[4]골재사업소(누계)'!P15</f>
        <v>288000</v>
      </c>
      <c r="Q15" s="381">
        <f>+'골재사업소(당월)'!Q15+'[4]골재사업소(누계)'!Q15</f>
        <v>270400</v>
      </c>
      <c r="R15" s="251">
        <f t="shared" si="3"/>
        <v>-17600</v>
      </c>
      <c r="S15" s="250">
        <f>+'골재사업소(당월)'!S15+'[4]골재사업소(누계)'!S15</f>
        <v>1159000</v>
      </c>
      <c r="T15" s="381">
        <f>+'골재사업소(당월)'!T15+'[4]골재사업소(누계)'!T15</f>
        <v>402080</v>
      </c>
      <c r="U15" s="249">
        <f t="shared" si="4"/>
        <v>-756920</v>
      </c>
      <c r="V15" s="406">
        <f>+P15+S15</f>
        <v>1447000</v>
      </c>
      <c r="W15" s="381">
        <f>+Q15+T15</f>
        <v>672480</v>
      </c>
      <c r="X15" s="407">
        <f t="shared" si="5"/>
        <v>-774520</v>
      </c>
      <c r="Y15" s="249">
        <f>+'골재사업소(당월)'!Y15+'[4]골재사업소(누계)'!Y15</f>
        <v>847500</v>
      </c>
      <c r="Z15" s="381">
        <f>+'골재사업소(당월)'!Z15+'[4]골재사업소(누계)'!Z15</f>
        <v>1129336</v>
      </c>
      <c r="AA15" s="249">
        <f t="shared" si="6"/>
        <v>281836</v>
      </c>
      <c r="AB15" s="406">
        <f>+M15+V15+Y15</f>
        <v>2294500</v>
      </c>
      <c r="AC15" s="381">
        <f>+N15+W15+Z15</f>
        <v>2275016</v>
      </c>
      <c r="AD15" s="407">
        <f t="shared" si="7"/>
        <v>-19484</v>
      </c>
    </row>
    <row r="16" spans="1:33" ht="24" customHeight="1">
      <c r="D16" s="76"/>
      <c r="E16" s="666"/>
      <c r="F16" s="257" t="s">
        <v>131</v>
      </c>
      <c r="G16" s="253">
        <f>IFERROR(G15/G10,)*1000</f>
        <v>0</v>
      </c>
      <c r="H16" s="380">
        <f>IFERROR(H15/H10,)*1000</f>
        <v>11722.373188405796</v>
      </c>
      <c r="I16" s="256">
        <f t="shared" si="0"/>
        <v>11722.373188405796</v>
      </c>
      <c r="J16" s="255">
        <f>IFERROR(J15/J10,)*1000</f>
        <v>0</v>
      </c>
      <c r="K16" s="380">
        <f>IFERROR(K15/K10,)*1000</f>
        <v>8026.086956521739</v>
      </c>
      <c r="L16" s="254">
        <f t="shared" si="1"/>
        <v>8026.086956521739</v>
      </c>
      <c r="M16" s="404">
        <f>IFERROR(M15/M10,)*1000</f>
        <v>0</v>
      </c>
      <c r="N16" s="380">
        <f>IFERROR(N15/N10,)*1000</f>
        <v>11085.082458770614</v>
      </c>
      <c r="O16" s="405">
        <f t="shared" si="2"/>
        <v>11085.082458770614</v>
      </c>
      <c r="P16" s="253">
        <f>IFERROR(P15/P10,)*1000</f>
        <v>12000</v>
      </c>
      <c r="Q16" s="380">
        <f>IFERROR(Q15/Q10,)*1000</f>
        <v>13000</v>
      </c>
      <c r="R16" s="256">
        <f t="shared" si="3"/>
        <v>1000</v>
      </c>
      <c r="S16" s="255">
        <f>IFERROR(S15/S10,)*1000</f>
        <v>19000</v>
      </c>
      <c r="T16" s="380">
        <f>IFERROR(T15/T10,)*1000</f>
        <v>18249.818445896879</v>
      </c>
      <c r="U16" s="254">
        <f t="shared" si="4"/>
        <v>-750.18155410312102</v>
      </c>
      <c r="V16" s="404">
        <f>IFERROR(V15/V10,)*1000</f>
        <v>17023.529411764706</v>
      </c>
      <c r="W16" s="380">
        <f>IFERROR(W15/W10,)*1000</f>
        <v>15700.410907732536</v>
      </c>
      <c r="X16" s="405">
        <f t="shared" si="5"/>
        <v>-1323.1185040321707</v>
      </c>
      <c r="Y16" s="254">
        <f>IFERROR(Y15/Y10,)*1000</f>
        <v>31388.888888888891</v>
      </c>
      <c r="Z16" s="380">
        <f>IFERROR(Z15/Z10,)*1000</f>
        <v>30842.6917194669</v>
      </c>
      <c r="AA16" s="254">
        <f t="shared" si="6"/>
        <v>-546.19716942199011</v>
      </c>
      <c r="AB16" s="404">
        <f>IFERROR(AB15/AB10,)*1000</f>
        <v>20486.607142857141</v>
      </c>
      <c r="AC16" s="380">
        <f>IFERROR(AC15/AC10,)*1000</f>
        <v>18626.907709438659</v>
      </c>
      <c r="AD16" s="405">
        <f t="shared" si="7"/>
        <v>-1859.6994334184819</v>
      </c>
    </row>
    <row r="17" spans="4:33" ht="24" customHeight="1">
      <c r="D17" s="76"/>
      <c r="E17" s="666"/>
      <c r="F17" s="252" t="s">
        <v>43</v>
      </c>
      <c r="G17" s="248">
        <f>G13+G15</f>
        <v>348128</v>
      </c>
      <c r="H17" s="381">
        <f>H13+H15</f>
        <v>1308058</v>
      </c>
      <c r="I17" s="251">
        <f t="shared" si="0"/>
        <v>959930</v>
      </c>
      <c r="J17" s="250">
        <f>J13+J15</f>
        <v>18391.800000000003</v>
      </c>
      <c r="K17" s="381">
        <f>K13+K15</f>
        <v>76304</v>
      </c>
      <c r="L17" s="249">
        <f t="shared" si="1"/>
        <v>57912.2</v>
      </c>
      <c r="M17" s="406">
        <f>M13+M15</f>
        <v>366519.8</v>
      </c>
      <c r="N17" s="381">
        <f>N13+N15</f>
        <v>1384362</v>
      </c>
      <c r="O17" s="407">
        <f t="shared" si="2"/>
        <v>1017842.2</v>
      </c>
      <c r="P17" s="248">
        <f>P13+P15</f>
        <v>925622.52742548415</v>
      </c>
      <c r="Q17" s="381">
        <f>Q13+Q15</f>
        <v>1014407</v>
      </c>
      <c r="R17" s="251">
        <f t="shared" si="3"/>
        <v>88784.47257451585</v>
      </c>
      <c r="S17" s="250">
        <f>S13+S15</f>
        <v>1955354.1629413716</v>
      </c>
      <c r="T17" s="381">
        <f>T13+T15</f>
        <v>1493186.5</v>
      </c>
      <c r="U17" s="249">
        <f t="shared" si="4"/>
        <v>-462167.66294137156</v>
      </c>
      <c r="V17" s="406">
        <f>V13+V15</f>
        <v>2880976.6903668558</v>
      </c>
      <c r="W17" s="381">
        <f>W13+W15</f>
        <v>2507593.5</v>
      </c>
      <c r="X17" s="407">
        <f t="shared" si="5"/>
        <v>-373383.19036685582</v>
      </c>
      <c r="Y17" s="249">
        <f>Y13+Y15</f>
        <v>2316726.4242225001</v>
      </c>
      <c r="Z17" s="381">
        <f>Z13+Z15</f>
        <v>2636474.08</v>
      </c>
      <c r="AA17" s="249">
        <f t="shared" si="6"/>
        <v>319747.65577750001</v>
      </c>
      <c r="AB17" s="406">
        <f>AB13+AB15</f>
        <v>5564222.9145893557</v>
      </c>
      <c r="AC17" s="381">
        <f>AC13+AC15</f>
        <v>6528429.5800000001</v>
      </c>
      <c r="AD17" s="407">
        <f t="shared" si="7"/>
        <v>964206.66541064437</v>
      </c>
      <c r="AF17" s="6">
        <f>+'골재사업소(당월)'!AF17+'[4]골재사업소(누계)'!AF17</f>
        <v>5564222.9145893548</v>
      </c>
      <c r="AG17" s="6">
        <f>+'골재사업소(당월)'!AG17+'[4]골재사업소(누계)'!AG17</f>
        <v>6528429.5800000001</v>
      </c>
    </row>
    <row r="18" spans="4:33" ht="24" customHeight="1">
      <c r="D18" s="76"/>
      <c r="E18" s="247" t="s">
        <v>7</v>
      </c>
      <c r="F18" s="246" t="s">
        <v>134</v>
      </c>
      <c r="G18" s="230">
        <f>+'골재사업소(당월)'!G18+'[4]골재사업소(누계)'!G18</f>
        <v>-45595.468294173974</v>
      </c>
      <c r="H18" s="382">
        <f>+'골재사업소(당월)'!H18+'[4]골재사업소(누계)'!H18</f>
        <v>193635.05235809754</v>
      </c>
      <c r="I18" s="233">
        <f t="shared" si="0"/>
        <v>239230.52065227152</v>
      </c>
      <c r="J18" s="232">
        <f>+'골재사업소(당월)'!J18+'[4]골재사업소(누계)'!J18</f>
        <v>2033.3022670358764</v>
      </c>
      <c r="K18" s="382">
        <f>+'골재사업소(당월)'!K18+'[4]골재사업소(누계)'!K18</f>
        <v>8485.0301039589849</v>
      </c>
      <c r="L18" s="231">
        <f t="shared" si="1"/>
        <v>6451.727836923108</v>
      </c>
      <c r="M18" s="408">
        <f>+G18+J18</f>
        <v>-43562.166027138097</v>
      </c>
      <c r="N18" s="382">
        <f>+H18+K18</f>
        <v>202120.08246205654</v>
      </c>
      <c r="O18" s="409">
        <f t="shared" si="2"/>
        <v>245682.24848919464</v>
      </c>
      <c r="P18" s="661">
        <f>+'골재사업소(당월)'!P18+'[4]골재사업소(누계)'!P18</f>
        <v>-62133.285366316937</v>
      </c>
      <c r="Q18" s="382">
        <f>+'골재사업소(당월)'!Q18+'[4]골재사업소(누계)'!Q18</f>
        <v>5330.9461821636778</v>
      </c>
      <c r="R18" s="233">
        <f t="shared" si="3"/>
        <v>67464.231548480617</v>
      </c>
      <c r="S18" s="232">
        <f>+'골재사업소(당월)'!S18+'[4]골재사업소(누계)'!S18</f>
        <v>157543.3008020022</v>
      </c>
      <c r="T18" s="382">
        <f>+'골재사업소(당월)'!T18+'[4]골재사업소(누계)'!T18</f>
        <v>239662.99113749826</v>
      </c>
      <c r="U18" s="231">
        <f t="shared" si="4"/>
        <v>82119.690335496067</v>
      </c>
      <c r="V18" s="408">
        <f>+P18+S18</f>
        <v>95410.015435685258</v>
      </c>
      <c r="W18" s="382">
        <f>+Q18+T18</f>
        <v>244993.93731966193</v>
      </c>
      <c r="X18" s="409">
        <f t="shared" si="5"/>
        <v>149583.92188397667</v>
      </c>
      <c r="Y18" s="231">
        <f>+'골재사업소(당월)'!Y18+'[4]골재사업소(누계)'!Y18</f>
        <v>67275.639518355951</v>
      </c>
      <c r="Z18" s="382">
        <f>+'골재사업소(당월)'!Z18+'[4]골재사업소(누계)'!Z18</f>
        <v>148415.49599999998</v>
      </c>
      <c r="AA18" s="231">
        <f t="shared" si="6"/>
        <v>81139.856481644034</v>
      </c>
      <c r="AB18" s="408">
        <f t="shared" ref="AB18:AC19" si="8">+M18+V18+Y18</f>
        <v>119123.48892690311</v>
      </c>
      <c r="AC18" s="382">
        <f t="shared" si="8"/>
        <v>595529.51578171854</v>
      </c>
      <c r="AD18" s="409">
        <f t="shared" si="7"/>
        <v>476406.02685481543</v>
      </c>
      <c r="AF18" s="6" t="b">
        <f>+AF17=AB17</f>
        <v>0</v>
      </c>
      <c r="AG18" s="6" t="b">
        <f>+AG17=AC17</f>
        <v>1</v>
      </c>
    </row>
    <row r="19" spans="4:33" ht="24" customHeight="1">
      <c r="D19" s="76"/>
      <c r="E19" s="166"/>
      <c r="F19" s="245" t="s">
        <v>133</v>
      </c>
      <c r="G19" s="241">
        <f>+'골재사업소(당월)'!G19+'[4]골재사업소(누계)'!G19</f>
        <v>0</v>
      </c>
      <c r="H19" s="383">
        <f>+'골재사업소(당월)'!H19+'[4]골재사업소(누계)'!H19</f>
        <v>-25679.843281061927</v>
      </c>
      <c r="I19" s="244">
        <f t="shared" si="0"/>
        <v>-25679.843281061927</v>
      </c>
      <c r="J19" s="243">
        <f>+'골재사업소(당월)'!J19+'[4]골재사업소(누계)'!J19</f>
        <v>0</v>
      </c>
      <c r="K19" s="383">
        <f>+'골재사업소(당월)'!K19+'[4]골재사업소(누계)'!K19</f>
        <v>21668.360647951486</v>
      </c>
      <c r="L19" s="242">
        <f t="shared" si="1"/>
        <v>21668.360647951486</v>
      </c>
      <c r="M19" s="410">
        <f>+G19+J19</f>
        <v>0</v>
      </c>
      <c r="N19" s="383">
        <f>+H19+K19</f>
        <v>-4011.4826331104414</v>
      </c>
      <c r="O19" s="411">
        <f t="shared" si="2"/>
        <v>-4011.4826331104414</v>
      </c>
      <c r="P19" s="241">
        <f>+'골재사업소(당월)'!P19+'[4]골재사업소(누계)'!P19</f>
        <v>-132028.78474865155</v>
      </c>
      <c r="Q19" s="383">
        <f>+'골재사업소(당월)'!Q19+'[4]골재사업소(누계)'!Q19</f>
        <v>-87723.208623961298</v>
      </c>
      <c r="R19" s="244">
        <f t="shared" si="3"/>
        <v>44305.576124690255</v>
      </c>
      <c r="S19" s="243">
        <f>+'골재사업소(당월)'!S19+'[4]골재사업소(누계)'!S19</f>
        <v>80896.633463215636</v>
      </c>
      <c r="T19" s="383">
        <f>+'골재사업소(당월)'!T19+'[4]골재사업소(누계)'!T19</f>
        <v>23242.122854299341</v>
      </c>
      <c r="U19" s="242">
        <f t="shared" si="4"/>
        <v>-57654.510608916295</v>
      </c>
      <c r="V19" s="410">
        <f>+P19+S19</f>
        <v>-51132.151285435917</v>
      </c>
      <c r="W19" s="383">
        <f>+Q19+T19</f>
        <v>-64481.085769661957</v>
      </c>
      <c r="X19" s="411">
        <f t="shared" si="5"/>
        <v>-13348.93448422604</v>
      </c>
      <c r="Y19" s="242">
        <f>+'골재사업소(당월)'!Y19+'[4]골재사업소(누계)'!Y19</f>
        <v>40732.233766286692</v>
      </c>
      <c r="Z19" s="383">
        <f>+'골재사업소(당월)'!Z19+'[4]골재사업소(누계)'!Z19</f>
        <v>45961.190997775302</v>
      </c>
      <c r="AA19" s="242">
        <f t="shared" si="6"/>
        <v>5228.95723148861</v>
      </c>
      <c r="AB19" s="410">
        <f t="shared" si="8"/>
        <v>-10399.917519149225</v>
      </c>
      <c r="AC19" s="383">
        <f t="shared" si="8"/>
        <v>-22531.377404997089</v>
      </c>
      <c r="AD19" s="411">
        <f t="shared" si="7"/>
        <v>-12131.459885847864</v>
      </c>
    </row>
    <row r="20" spans="4:33" ht="24" customHeight="1">
      <c r="D20" s="76"/>
      <c r="E20" s="667"/>
      <c r="F20" s="240" t="s">
        <v>58</v>
      </c>
      <c r="G20" s="236">
        <f>G18+G19</f>
        <v>-45595.468294173974</v>
      </c>
      <c r="H20" s="384">
        <f>H18+H19</f>
        <v>167955.2090770356</v>
      </c>
      <c r="I20" s="239">
        <f t="shared" si="0"/>
        <v>213550.67737120957</v>
      </c>
      <c r="J20" s="238">
        <f>J18+J19</f>
        <v>2033.3022670358764</v>
      </c>
      <c r="K20" s="384">
        <f>K18+K19</f>
        <v>30153.390751910469</v>
      </c>
      <c r="L20" s="237">
        <f t="shared" si="1"/>
        <v>28120.088484874592</v>
      </c>
      <c r="M20" s="412">
        <f>M18+M19</f>
        <v>-43562.166027138097</v>
      </c>
      <c r="N20" s="384">
        <f>N18+N19</f>
        <v>198108.59982894611</v>
      </c>
      <c r="O20" s="413">
        <f t="shared" si="2"/>
        <v>241670.76585608421</v>
      </c>
      <c r="P20" s="236">
        <f>P18+P19</f>
        <v>-194162.07011496849</v>
      </c>
      <c r="Q20" s="384">
        <f>Q18+Q19</f>
        <v>-82392.262441797619</v>
      </c>
      <c r="R20" s="239">
        <f t="shared" si="3"/>
        <v>111769.80767317087</v>
      </c>
      <c r="S20" s="238">
        <f>S18+S19</f>
        <v>238439.93426521783</v>
      </c>
      <c r="T20" s="384">
        <f>T18+T19</f>
        <v>262905.11399179761</v>
      </c>
      <c r="U20" s="237">
        <f t="shared" si="4"/>
        <v>24465.17972657978</v>
      </c>
      <c r="V20" s="412">
        <f>V18+V19</f>
        <v>44277.864150249341</v>
      </c>
      <c r="W20" s="384">
        <f>W18+W19</f>
        <v>180512.85154999996</v>
      </c>
      <c r="X20" s="413">
        <f t="shared" si="5"/>
        <v>136234.98739975062</v>
      </c>
      <c r="Y20" s="237">
        <f>Y18+Y19</f>
        <v>108007.87328464264</v>
      </c>
      <c r="Z20" s="384">
        <f>Z18+Z19</f>
        <v>194376.68699777528</v>
      </c>
      <c r="AA20" s="237">
        <f t="shared" si="6"/>
        <v>86368.813713132637</v>
      </c>
      <c r="AB20" s="412">
        <f>AB18+AB19</f>
        <v>108723.57140775389</v>
      </c>
      <c r="AC20" s="384">
        <f>AC18+AC19</f>
        <v>572998.13837672141</v>
      </c>
      <c r="AD20" s="413">
        <f t="shared" si="7"/>
        <v>464274.56696896756</v>
      </c>
      <c r="AF20" s="6">
        <f>+'골재사업소(당월)'!AF20+'[4]골재사업소(누계)'!AF20</f>
        <v>108723.5714077537</v>
      </c>
      <c r="AG20" s="6">
        <f>+'골재사업소(당월)'!AG20+'[4]골재사업소(누계)'!AG20</f>
        <v>572998.13836672157</v>
      </c>
    </row>
    <row r="21" spans="4:33" ht="24" customHeight="1">
      <c r="D21" s="76"/>
      <c r="E21" s="235" t="s">
        <v>132</v>
      </c>
      <c r="F21" s="234" t="s">
        <v>25</v>
      </c>
      <c r="G21" s="230">
        <f>+'골재사업소(당월)'!G21+'[4]골재사업소(누계)'!G21</f>
        <v>0</v>
      </c>
      <c r="H21" s="382">
        <f>+'골재사업소(당월)'!H21+'[4]골재사업소(누계)'!H21</f>
        <v>3888</v>
      </c>
      <c r="I21" s="233">
        <f t="shared" si="0"/>
        <v>3888</v>
      </c>
      <c r="J21" s="232">
        <f>+'골재사업소(당월)'!J21+'[4]골재사업소(누계)'!J21</f>
        <v>0</v>
      </c>
      <c r="K21" s="382">
        <f>+'골재사업소(당월)'!K21+'[4]골재사업소(누계)'!K21</f>
        <v>0</v>
      </c>
      <c r="L21" s="231">
        <f t="shared" si="1"/>
        <v>0</v>
      </c>
      <c r="M21" s="408">
        <f t="shared" ref="M21:N26" si="9">+G21+J21</f>
        <v>0</v>
      </c>
      <c r="N21" s="382">
        <f t="shared" si="9"/>
        <v>3888</v>
      </c>
      <c r="O21" s="409">
        <f t="shared" si="2"/>
        <v>3888</v>
      </c>
      <c r="P21" s="230">
        <f>+'골재사업소(당월)'!P21+'[4]골재사업소(누계)'!P21</f>
        <v>39851.407964092759</v>
      </c>
      <c r="Q21" s="382">
        <f>+'골재사업소(당월)'!Q21+'[4]골재사업소(누계)'!Q21</f>
        <v>42394</v>
      </c>
      <c r="R21" s="233">
        <f t="shared" si="3"/>
        <v>2542.5920359072406</v>
      </c>
      <c r="S21" s="232">
        <f>+'골재사업소(당월)'!S21+'[4]골재사업소(누계)'!S21</f>
        <v>27710.542989035781</v>
      </c>
      <c r="T21" s="382">
        <f>+'골재사업소(당월)'!T21+'[4]골재사업소(누계)'!T21</f>
        <v>30923</v>
      </c>
      <c r="U21" s="231">
        <f t="shared" si="4"/>
        <v>3212.4570109642191</v>
      </c>
      <c r="V21" s="408">
        <f t="shared" ref="V21:W26" si="10">+P21+S21</f>
        <v>67561.950953128544</v>
      </c>
      <c r="W21" s="382">
        <f t="shared" si="10"/>
        <v>73317</v>
      </c>
      <c r="X21" s="409">
        <f t="shared" si="5"/>
        <v>5755.0490468714561</v>
      </c>
      <c r="Y21" s="231">
        <f>+'골재사업소(당월)'!Y21+'[4]골재사업소(누계)'!Y21</f>
        <v>15622.284276610306</v>
      </c>
      <c r="Z21" s="382">
        <f>+'골재사업소(당월)'!Z21+'[4]골재사업소(누계)'!Z21</f>
        <v>18133</v>
      </c>
      <c r="AA21" s="231">
        <f t="shared" si="6"/>
        <v>2510.7157233896942</v>
      </c>
      <c r="AB21" s="408">
        <f t="shared" ref="AB21:AC26" si="11">+M21+V21+Y21</f>
        <v>83184.235229738842</v>
      </c>
      <c r="AC21" s="382">
        <f t="shared" si="11"/>
        <v>95338</v>
      </c>
      <c r="AD21" s="409">
        <f t="shared" si="7"/>
        <v>12153.764770261158</v>
      </c>
      <c r="AF21" s="595" t="b">
        <f>+AF20=AB20</f>
        <v>1</v>
      </c>
      <c r="AG21" s="595" t="b">
        <f>+AG20=AC20</f>
        <v>0</v>
      </c>
    </row>
    <row r="22" spans="4:33" ht="24" customHeight="1">
      <c r="D22" s="76"/>
      <c r="E22" s="166" t="s">
        <v>0</v>
      </c>
      <c r="F22" s="221" t="s">
        <v>26</v>
      </c>
      <c r="G22" s="226">
        <f>+'골재사업소(당월)'!G22+'[4]골재사업소(누계)'!G22</f>
        <v>21758</v>
      </c>
      <c r="H22" s="385">
        <f>+'골재사업소(당월)'!H22+'[4]골재사업소(누계)'!H22</f>
        <v>46370</v>
      </c>
      <c r="I22" s="229">
        <f t="shared" si="0"/>
        <v>24612</v>
      </c>
      <c r="J22" s="228">
        <f>+'골재사업소(당월)'!J22+'[4]골재사업소(누계)'!J22</f>
        <v>1751.6000000000001</v>
      </c>
      <c r="K22" s="385">
        <f>+'골재사업소(당월)'!K22+'[4]골재사업소(누계)'!K22</f>
        <v>640</v>
      </c>
      <c r="L22" s="227">
        <f t="shared" si="1"/>
        <v>-1111.6000000000001</v>
      </c>
      <c r="M22" s="414">
        <f t="shared" si="9"/>
        <v>23509.599999999999</v>
      </c>
      <c r="N22" s="385">
        <f t="shared" si="9"/>
        <v>47010</v>
      </c>
      <c r="O22" s="415">
        <f t="shared" si="2"/>
        <v>23500.400000000001</v>
      </c>
      <c r="P22" s="226">
        <f>+'골재사업소(당월)'!P22+'[4]골재사업소(누계)'!P22</f>
        <v>0</v>
      </c>
      <c r="Q22" s="385">
        <f>+'골재사업소(당월)'!Q22+'[4]골재사업소(누계)'!Q22</f>
        <v>176</v>
      </c>
      <c r="R22" s="229">
        <f t="shared" si="3"/>
        <v>176</v>
      </c>
      <c r="S22" s="228">
        <f>+'골재사업소(당월)'!S22+'[4]골재사업소(누계)'!S22</f>
        <v>8369.0354838709682</v>
      </c>
      <c r="T22" s="385">
        <f>+'골재사업소(당월)'!T22+'[4]골재사업소(누계)'!T22</f>
        <v>16032</v>
      </c>
      <c r="U22" s="227">
        <f t="shared" si="4"/>
        <v>7662.9645161290318</v>
      </c>
      <c r="V22" s="414">
        <f t="shared" si="10"/>
        <v>8369.0354838709682</v>
      </c>
      <c r="W22" s="385">
        <f t="shared" si="10"/>
        <v>16208</v>
      </c>
      <c r="X22" s="415">
        <f t="shared" si="5"/>
        <v>7838.9645161290318</v>
      </c>
      <c r="Y22" s="227">
        <f>+'골재사업소(당월)'!Y22+'[4]골재사업소(누계)'!Y22</f>
        <v>6926.8251748251751</v>
      </c>
      <c r="Z22" s="385">
        <f>+'골재사업소(당월)'!Z22+'[4]골재사업소(누계)'!Z22</f>
        <v>10320</v>
      </c>
      <c r="AA22" s="227">
        <f t="shared" si="6"/>
        <v>3393.1748251748249</v>
      </c>
      <c r="AB22" s="414">
        <f t="shared" si="11"/>
        <v>38805.460658696145</v>
      </c>
      <c r="AC22" s="385">
        <f t="shared" si="11"/>
        <v>73538</v>
      </c>
      <c r="AD22" s="415">
        <f t="shared" si="7"/>
        <v>34732.539341303855</v>
      </c>
      <c r="AF22" s="99">
        <f>+AB20-AF20</f>
        <v>1.8917489796876907E-10</v>
      </c>
      <c r="AG22" s="99">
        <f>+AC20-AG20</f>
        <v>9.9998433142900467E-6</v>
      </c>
    </row>
    <row r="23" spans="4:33" ht="24" customHeight="1">
      <c r="D23" s="76"/>
      <c r="E23" s="166"/>
      <c r="F23" s="221" t="s">
        <v>27</v>
      </c>
      <c r="G23" s="226">
        <f>+'골재사업소(당월)'!G23+'[4]골재사업소(누계)'!G23</f>
        <v>0</v>
      </c>
      <c r="H23" s="385">
        <f>+'골재사업소(당월)'!H23+'[4]골재사업소(누계)'!H23</f>
        <v>3696</v>
      </c>
      <c r="I23" s="229">
        <f t="shared" si="0"/>
        <v>3696</v>
      </c>
      <c r="J23" s="228">
        <f>+'골재사업소(당월)'!J23+'[4]골재사업소(누계)'!J23</f>
        <v>0</v>
      </c>
      <c r="K23" s="385">
        <f>+'골재사업소(당월)'!K23+'[4]골재사업소(누계)'!K23</f>
        <v>0</v>
      </c>
      <c r="L23" s="227">
        <f t="shared" si="1"/>
        <v>0</v>
      </c>
      <c r="M23" s="414">
        <f t="shared" si="9"/>
        <v>0</v>
      </c>
      <c r="N23" s="385">
        <f t="shared" si="9"/>
        <v>3696</v>
      </c>
      <c r="O23" s="415">
        <f t="shared" si="2"/>
        <v>3696</v>
      </c>
      <c r="P23" s="226">
        <f>+'골재사업소(당월)'!P23+'[4]골재사업소(누계)'!P23</f>
        <v>0</v>
      </c>
      <c r="Q23" s="385">
        <f>+'골재사업소(당월)'!Q23+'[4]골재사업소(누계)'!Q23</f>
        <v>0</v>
      </c>
      <c r="R23" s="229">
        <f t="shared" si="3"/>
        <v>0</v>
      </c>
      <c r="S23" s="228">
        <f>+'골재사업소(당월)'!S23+'[4]골재사업소(누계)'!S23</f>
        <v>0</v>
      </c>
      <c r="T23" s="385">
        <f>+'골재사업소(당월)'!T23+'[4]골재사업소(누계)'!T23</f>
        <v>0</v>
      </c>
      <c r="U23" s="227">
        <f t="shared" si="4"/>
        <v>0</v>
      </c>
      <c r="V23" s="414">
        <f t="shared" si="10"/>
        <v>0</v>
      </c>
      <c r="W23" s="385">
        <f t="shared" si="10"/>
        <v>0</v>
      </c>
      <c r="X23" s="415">
        <f t="shared" si="5"/>
        <v>0</v>
      </c>
      <c r="Y23" s="227">
        <f>+'골재사업소(당월)'!Y23+'[4]골재사업소(누계)'!Y23</f>
        <v>5713.2867132867132</v>
      </c>
      <c r="Z23" s="385">
        <f>+'골재사업소(당월)'!Z23+'[4]골재사업소(누계)'!Z23</f>
        <v>0</v>
      </c>
      <c r="AA23" s="227">
        <f t="shared" si="6"/>
        <v>-5713.2867132867132</v>
      </c>
      <c r="AB23" s="414">
        <f t="shared" si="11"/>
        <v>5713.2867132867132</v>
      </c>
      <c r="AC23" s="385">
        <f t="shared" si="11"/>
        <v>3696</v>
      </c>
      <c r="AD23" s="415">
        <f t="shared" si="7"/>
        <v>-2017.2867132867132</v>
      </c>
    </row>
    <row r="24" spans="4:33" ht="24" customHeight="1">
      <c r="D24" s="76"/>
      <c r="E24" s="166"/>
      <c r="F24" s="221" t="s">
        <v>28</v>
      </c>
      <c r="G24" s="226">
        <f>+'골재사업소(당월)'!G24+'[4]골재사업소(누계)'!G24</f>
        <v>0</v>
      </c>
      <c r="H24" s="385">
        <f>+'골재사업소(당월)'!H24+'[4]골재사업소(누계)'!H24</f>
        <v>0</v>
      </c>
      <c r="I24" s="229">
        <f t="shared" si="0"/>
        <v>0</v>
      </c>
      <c r="J24" s="228">
        <f>+'골재사업소(당월)'!J24+'[4]골재사업소(누계)'!J24</f>
        <v>0</v>
      </c>
      <c r="K24" s="385">
        <f>+'골재사업소(당월)'!K24+'[4]골재사업소(누계)'!K24</f>
        <v>0</v>
      </c>
      <c r="L24" s="227">
        <f t="shared" si="1"/>
        <v>0</v>
      </c>
      <c r="M24" s="414">
        <f t="shared" si="9"/>
        <v>0</v>
      </c>
      <c r="N24" s="385">
        <f t="shared" si="9"/>
        <v>0</v>
      </c>
      <c r="O24" s="415">
        <f t="shared" si="2"/>
        <v>0</v>
      </c>
      <c r="P24" s="226">
        <f>+'골재사업소(당월)'!P24+'[4]골재사업소(누계)'!P24</f>
        <v>0</v>
      </c>
      <c r="Q24" s="385">
        <f>+'골재사업소(당월)'!Q24+'[4]골재사업소(누계)'!Q24</f>
        <v>0</v>
      </c>
      <c r="R24" s="229">
        <f t="shared" si="3"/>
        <v>0</v>
      </c>
      <c r="S24" s="228">
        <f>+'골재사업소(당월)'!S24+'[4]골재사업소(누계)'!S24</f>
        <v>0</v>
      </c>
      <c r="T24" s="385">
        <f>+'골재사업소(당월)'!T24+'[4]골재사업소(누계)'!T24</f>
        <v>2064</v>
      </c>
      <c r="U24" s="227">
        <f t="shared" si="4"/>
        <v>2064</v>
      </c>
      <c r="V24" s="414">
        <f t="shared" si="10"/>
        <v>0</v>
      </c>
      <c r="W24" s="385">
        <f t="shared" si="10"/>
        <v>2064</v>
      </c>
      <c r="X24" s="415">
        <f t="shared" si="5"/>
        <v>2064</v>
      </c>
      <c r="Y24" s="227">
        <f>+'골재사업소(당월)'!Y24+'[4]골재사업소(누계)'!Y24</f>
        <v>16212.587412587411</v>
      </c>
      <c r="Z24" s="385">
        <f>+'골재사업소(당월)'!Z24+'[4]골재사업소(누계)'!Z24</f>
        <v>0</v>
      </c>
      <c r="AA24" s="227">
        <f t="shared" si="6"/>
        <v>-16212.587412587411</v>
      </c>
      <c r="AB24" s="414">
        <f t="shared" si="11"/>
        <v>16212.587412587411</v>
      </c>
      <c r="AC24" s="385">
        <f t="shared" si="11"/>
        <v>2064</v>
      </c>
      <c r="AD24" s="415">
        <f t="shared" si="7"/>
        <v>-14148.587412587411</v>
      </c>
    </row>
    <row r="25" spans="4:33" ht="24" customHeight="1">
      <c r="D25" s="76"/>
      <c r="E25" s="166"/>
      <c r="F25" s="221" t="s">
        <v>29</v>
      </c>
      <c r="G25" s="226">
        <f>+'골재사업소(당월)'!G25+'[4]골재사업소(누계)'!G25</f>
        <v>0</v>
      </c>
      <c r="H25" s="385">
        <f>+'골재사업소(당월)'!H25+'[4]골재사업소(누계)'!H25</f>
        <v>0</v>
      </c>
      <c r="I25" s="229">
        <f t="shared" si="0"/>
        <v>0</v>
      </c>
      <c r="J25" s="228">
        <f>+'골재사업소(당월)'!J25+'[4]골재사업소(누계)'!J25</f>
        <v>0</v>
      </c>
      <c r="K25" s="385">
        <f>+'골재사업소(당월)'!K25+'[4]골재사업소(누계)'!K25</f>
        <v>928</v>
      </c>
      <c r="L25" s="227">
        <f t="shared" si="1"/>
        <v>928</v>
      </c>
      <c r="M25" s="414">
        <f t="shared" si="9"/>
        <v>0</v>
      </c>
      <c r="N25" s="385">
        <f t="shared" si="9"/>
        <v>928</v>
      </c>
      <c r="O25" s="415">
        <f t="shared" si="2"/>
        <v>928</v>
      </c>
      <c r="P25" s="226">
        <f>+'골재사업소(당월)'!P25+'[4]골재사업소(누계)'!P25</f>
        <v>0</v>
      </c>
      <c r="Q25" s="385">
        <f>+'골재사업소(당월)'!Q25+'[4]골재사업소(누계)'!Q25</f>
        <v>0</v>
      </c>
      <c r="R25" s="229">
        <f t="shared" si="3"/>
        <v>0</v>
      </c>
      <c r="S25" s="228">
        <f>+'골재사업소(당월)'!S25+'[4]골재사업소(누계)'!S25</f>
        <v>0</v>
      </c>
      <c r="T25" s="385">
        <f>+'골재사업소(당월)'!T25+'[4]골재사업소(누계)'!T25</f>
        <v>240</v>
      </c>
      <c r="U25" s="227">
        <f t="shared" si="4"/>
        <v>240</v>
      </c>
      <c r="V25" s="414">
        <f t="shared" si="10"/>
        <v>0</v>
      </c>
      <c r="W25" s="385">
        <f t="shared" si="10"/>
        <v>240</v>
      </c>
      <c r="X25" s="415">
        <f t="shared" si="5"/>
        <v>240</v>
      </c>
      <c r="Y25" s="227">
        <f>+'골재사업소(당월)'!Y25+'[4]골재사업소(누계)'!Y25</f>
        <v>3252.7902097902097</v>
      </c>
      <c r="Z25" s="385">
        <f>+'골재사업소(당월)'!Z25+'[4]골재사업소(누계)'!Z25</f>
        <v>8624</v>
      </c>
      <c r="AA25" s="227">
        <f t="shared" si="6"/>
        <v>5371.2097902097903</v>
      </c>
      <c r="AB25" s="414">
        <f t="shared" si="11"/>
        <v>3252.7902097902097</v>
      </c>
      <c r="AC25" s="385">
        <f t="shared" si="11"/>
        <v>9792</v>
      </c>
      <c r="AD25" s="415">
        <f t="shared" si="7"/>
        <v>6539.2097902097903</v>
      </c>
    </row>
    <row r="26" spans="4:33" ht="24" customHeight="1">
      <c r="D26" s="76"/>
      <c r="E26" s="166"/>
      <c r="F26" s="221" t="s">
        <v>30</v>
      </c>
      <c r="G26" s="226">
        <f>+'골재사업소(당월)'!G26+'[4]골재사업소(누계)'!G26</f>
        <v>0</v>
      </c>
      <c r="H26" s="385">
        <f>+'골재사업소(당월)'!H26+'[4]골재사업소(누계)'!H26</f>
        <v>1264</v>
      </c>
      <c r="I26" s="229">
        <f t="shared" si="0"/>
        <v>1264</v>
      </c>
      <c r="J26" s="228">
        <f>+'골재사업소(당월)'!J26+'[4]골재사업소(누계)'!J26</f>
        <v>0</v>
      </c>
      <c r="K26" s="385">
        <f>+'골재사업소(당월)'!K26+'[4]골재사업소(누계)'!K26</f>
        <v>240</v>
      </c>
      <c r="L26" s="227">
        <f t="shared" si="1"/>
        <v>240</v>
      </c>
      <c r="M26" s="414">
        <f t="shared" si="9"/>
        <v>0</v>
      </c>
      <c r="N26" s="383">
        <f t="shared" si="9"/>
        <v>1504</v>
      </c>
      <c r="O26" s="433">
        <f t="shared" si="2"/>
        <v>1504</v>
      </c>
      <c r="P26" s="226">
        <f>+'골재사업소(당월)'!P26+'[4]골재사업소(누계)'!P26</f>
        <v>0</v>
      </c>
      <c r="Q26" s="385">
        <f>+'골재사업소(당월)'!Q26+'[4]골재사업소(누계)'!Q26</f>
        <v>0</v>
      </c>
      <c r="R26" s="229">
        <f t="shared" si="3"/>
        <v>0</v>
      </c>
      <c r="S26" s="228">
        <f>+'골재사업소(당월)'!S26+'[4]골재사업소(누계)'!S26</f>
        <v>0</v>
      </c>
      <c r="T26" s="385">
        <f>+'골재사업소(당월)'!T26+'[4]골재사업소(누계)'!T26</f>
        <v>0</v>
      </c>
      <c r="U26" s="227">
        <f t="shared" si="4"/>
        <v>0</v>
      </c>
      <c r="V26" s="414">
        <f t="shared" si="10"/>
        <v>0</v>
      </c>
      <c r="W26" s="383">
        <f t="shared" si="10"/>
        <v>0</v>
      </c>
      <c r="X26" s="433">
        <f t="shared" si="5"/>
        <v>0</v>
      </c>
      <c r="Y26" s="227">
        <f>+'골재사업소(당월)'!Y26+'[4]골재사업소(누계)'!Y26</f>
        <v>0</v>
      </c>
      <c r="Z26" s="385">
        <f>+'골재사업소(당월)'!Z26+'[4]골재사업소(누계)'!Z26</f>
        <v>0</v>
      </c>
      <c r="AA26" s="227">
        <f t="shared" si="6"/>
        <v>0</v>
      </c>
      <c r="AB26" s="414">
        <f t="shared" si="11"/>
        <v>0</v>
      </c>
      <c r="AC26" s="383">
        <f t="shared" si="11"/>
        <v>1504</v>
      </c>
      <c r="AD26" s="415">
        <f t="shared" si="7"/>
        <v>1504</v>
      </c>
    </row>
    <row r="27" spans="4:33" ht="24" customHeight="1">
      <c r="D27" s="76"/>
      <c r="E27" s="225" t="s">
        <v>132</v>
      </c>
      <c r="F27" s="224" t="s">
        <v>25</v>
      </c>
      <c r="G27" s="192">
        <f>IFERROR(G35/G21,)*1000</f>
        <v>0</v>
      </c>
      <c r="H27" s="386">
        <f t="shared" ref="H27:H32" si="12">IFERROR(H35/H21,)*1000</f>
        <v>12500</v>
      </c>
      <c r="I27" s="193">
        <f t="shared" si="0"/>
        <v>12500</v>
      </c>
      <c r="J27" s="223">
        <f t="shared" ref="J27:K27" si="13">IFERROR(J35/J21,)*1000</f>
        <v>0</v>
      </c>
      <c r="K27" s="386">
        <f t="shared" si="13"/>
        <v>0</v>
      </c>
      <c r="L27" s="205">
        <f t="shared" si="1"/>
        <v>0</v>
      </c>
      <c r="M27" s="428">
        <f>+IFERROR(HLOOKUP($A$1,[14]손익!$G$5:$AB$252,48,),)</f>
        <v>0</v>
      </c>
      <c r="N27" s="424">
        <f t="shared" ref="N27:N32" si="14">IFERROR(N35/N21,)*1000</f>
        <v>12500</v>
      </c>
      <c r="O27" s="434">
        <f t="shared" si="2"/>
        <v>12500</v>
      </c>
      <c r="P27" s="192">
        <f t="shared" ref="P27:Q27" si="15">IFERROR(P35/P21,)*1000</f>
        <v>16000</v>
      </c>
      <c r="Q27" s="386">
        <f t="shared" si="15"/>
        <v>17500</v>
      </c>
      <c r="R27" s="193">
        <f t="shared" si="3"/>
        <v>1500</v>
      </c>
      <c r="S27" s="223">
        <f t="shared" ref="S27:T27" si="16">IFERROR(S35/S21,)*1000</f>
        <v>23000.000000000004</v>
      </c>
      <c r="T27" s="386">
        <f t="shared" si="16"/>
        <v>23500</v>
      </c>
      <c r="U27" s="205">
        <f t="shared" si="4"/>
        <v>499.99999999999636</v>
      </c>
      <c r="V27" s="428">
        <f>+IFERROR(HLOOKUP($A$1,[15]손익!$G$5:$AB$252,48,),)</f>
        <v>18880.353195900312</v>
      </c>
      <c r="W27" s="424">
        <f t="shared" ref="W27:W32" si="17">IFERROR(W35/W21,)*1000</f>
        <v>20030.627276075127</v>
      </c>
      <c r="X27" s="434">
        <f t="shared" si="5"/>
        <v>1150.274080174815</v>
      </c>
      <c r="Y27" s="205">
        <f t="shared" ref="Y27:Z27" si="18">IFERROR(Y35/Y21,)*1000</f>
        <v>32880.891706617265</v>
      </c>
      <c r="Z27" s="386">
        <f t="shared" si="18"/>
        <v>32706.468868913034</v>
      </c>
      <c r="AA27" s="205">
        <f t="shared" si="6"/>
        <v>-174.42283770423091</v>
      </c>
      <c r="AB27" s="416">
        <f t="shared" ref="AB27:AB32" si="19">+AB35/AB21*1000</f>
        <v>21502.146996274496</v>
      </c>
      <c r="AC27" s="386">
        <f t="shared" ref="AC27:AC32" si="20">IFERROR(AC35/AC21,)*1000</f>
        <v>22134.425937191885</v>
      </c>
      <c r="AD27" s="417">
        <f t="shared" si="7"/>
        <v>632.27894091738926</v>
      </c>
    </row>
    <row r="28" spans="4:33" ht="24" customHeight="1">
      <c r="D28" s="76"/>
      <c r="E28" s="166" t="s">
        <v>131</v>
      </c>
      <c r="F28" s="221" t="s">
        <v>26</v>
      </c>
      <c r="G28" s="190">
        <f t="shared" ref="G28" si="21">IFERROR(G36/G22,)*1000</f>
        <v>16000</v>
      </c>
      <c r="H28" s="95">
        <f t="shared" si="12"/>
        <v>17000</v>
      </c>
      <c r="I28" s="191">
        <f t="shared" si="0"/>
        <v>1000</v>
      </c>
      <c r="J28" s="220">
        <f t="shared" ref="J28:K28" si="22">IFERROR(J36/J22,)*1000</f>
        <v>10500</v>
      </c>
      <c r="K28" s="95">
        <f t="shared" si="22"/>
        <v>10500</v>
      </c>
      <c r="L28" s="196">
        <f t="shared" si="1"/>
        <v>0</v>
      </c>
      <c r="M28" s="429">
        <f>+IFERROR(HLOOKUP($A$1,[14]손익!$G$5:$AB$252,49,),)</f>
        <v>0</v>
      </c>
      <c r="N28" s="425">
        <f t="shared" si="14"/>
        <v>16911.508189746863</v>
      </c>
      <c r="O28" s="435">
        <f t="shared" si="2"/>
        <v>16911.508189746863</v>
      </c>
      <c r="P28" s="190">
        <f t="shared" ref="P28:Q28" si="23">IFERROR(P36/P22,)*1000</f>
        <v>0</v>
      </c>
      <c r="Q28" s="95">
        <f t="shared" si="23"/>
        <v>12000</v>
      </c>
      <c r="R28" s="191">
        <f t="shared" si="3"/>
        <v>12000</v>
      </c>
      <c r="S28" s="220">
        <f t="shared" ref="S28:T28" si="24">IFERROR(S36/S22,)*1000</f>
        <v>19000</v>
      </c>
      <c r="T28" s="95">
        <f t="shared" si="24"/>
        <v>20000</v>
      </c>
      <c r="U28" s="196">
        <f t="shared" si="4"/>
        <v>1000</v>
      </c>
      <c r="V28" s="429">
        <f>+IFERROR(HLOOKUP($A$1,[15]손익!$G$5:$AB$252,49,),)</f>
        <v>19000</v>
      </c>
      <c r="W28" s="425">
        <f t="shared" si="17"/>
        <v>19913.129318854884</v>
      </c>
      <c r="X28" s="435">
        <f t="shared" si="5"/>
        <v>913.12931885488433</v>
      </c>
      <c r="Y28" s="196">
        <f t="shared" ref="Y28:Z28" si="25">IFERROR(Y36/Y22,)*1000</f>
        <v>27999.999999999996</v>
      </c>
      <c r="Z28" s="95">
        <f t="shared" si="25"/>
        <v>28009.238759689921</v>
      </c>
      <c r="AA28" s="196">
        <f t="shared" si="6"/>
        <v>9.2387596899243363</v>
      </c>
      <c r="AB28" s="418">
        <f t="shared" si="19"/>
        <v>18540.756039895641</v>
      </c>
      <c r="AC28" s="95">
        <f t="shared" si="20"/>
        <v>19130.481438168023</v>
      </c>
      <c r="AD28" s="419">
        <f t="shared" si="7"/>
        <v>589.72539827238143</v>
      </c>
    </row>
    <row r="29" spans="4:33" ht="24" customHeight="1">
      <c r="D29" s="76"/>
      <c r="E29" s="166"/>
      <c r="F29" s="221" t="s">
        <v>27</v>
      </c>
      <c r="G29" s="190">
        <f t="shared" ref="G29" si="26">IFERROR(G37/G23,)*1000</f>
        <v>0</v>
      </c>
      <c r="H29" s="95">
        <f t="shared" si="12"/>
        <v>11500</v>
      </c>
      <c r="I29" s="191">
        <f t="shared" si="0"/>
        <v>11500</v>
      </c>
      <c r="J29" s="220">
        <f t="shared" ref="J29:K29" si="27">IFERROR(J37/J23,)*1000</f>
        <v>0</v>
      </c>
      <c r="K29" s="95">
        <f t="shared" si="27"/>
        <v>0</v>
      </c>
      <c r="L29" s="196">
        <f t="shared" si="1"/>
        <v>0</v>
      </c>
      <c r="M29" s="430">
        <f>+IFERROR(HLOOKUP($A$1,[14]손익!$G$5:$AB$252,50,),)</f>
        <v>0</v>
      </c>
      <c r="N29" s="426">
        <f t="shared" si="14"/>
        <v>11500</v>
      </c>
      <c r="O29" s="435">
        <f t="shared" si="2"/>
        <v>11500</v>
      </c>
      <c r="P29" s="190">
        <f t="shared" ref="P29:Q29" si="28">IFERROR(P37/P23,)*1000</f>
        <v>0</v>
      </c>
      <c r="Q29" s="95">
        <f t="shared" si="28"/>
        <v>0</v>
      </c>
      <c r="R29" s="191">
        <f t="shared" si="3"/>
        <v>0</v>
      </c>
      <c r="S29" s="220">
        <f t="shared" ref="S29:T29" si="29">IFERROR(S37/S23,)*1000</f>
        <v>0</v>
      </c>
      <c r="T29" s="95">
        <f t="shared" si="29"/>
        <v>0</v>
      </c>
      <c r="U29" s="196">
        <f t="shared" si="4"/>
        <v>0</v>
      </c>
      <c r="V29" s="430">
        <f>+IFERROR(HLOOKUP($A$1,[15]손익!$G$5:$AB$252,50,),)</f>
        <v>0</v>
      </c>
      <c r="W29" s="426">
        <f t="shared" si="17"/>
        <v>0</v>
      </c>
      <c r="X29" s="435">
        <f t="shared" si="5"/>
        <v>0</v>
      </c>
      <c r="Y29" s="196">
        <f t="shared" ref="Y29:Z29" si="30">IFERROR(Y37/Y23,)*1000</f>
        <v>27500.000000000004</v>
      </c>
      <c r="Z29" s="95">
        <f t="shared" si="30"/>
        <v>0</v>
      </c>
      <c r="AA29" s="196">
        <f t="shared" si="6"/>
        <v>-27500.000000000004</v>
      </c>
      <c r="AB29" s="418">
        <f t="shared" si="19"/>
        <v>27500.000000000004</v>
      </c>
      <c r="AC29" s="95">
        <f t="shared" si="20"/>
        <v>78790.025974025964</v>
      </c>
      <c r="AD29" s="419">
        <f t="shared" si="7"/>
        <v>51290.025974025964</v>
      </c>
    </row>
    <row r="30" spans="4:33" ht="24" customHeight="1">
      <c r="D30" s="76"/>
      <c r="E30" s="166"/>
      <c r="F30" s="221" t="s">
        <v>28</v>
      </c>
      <c r="G30" s="190">
        <f t="shared" ref="G30" si="31">IFERROR(G38/G24,)*1000</f>
        <v>0</v>
      </c>
      <c r="H30" s="95">
        <f t="shared" si="12"/>
        <v>0</v>
      </c>
      <c r="I30" s="191">
        <f t="shared" si="0"/>
        <v>0</v>
      </c>
      <c r="J30" s="220">
        <f t="shared" ref="J30:K30" si="32">IFERROR(J38/J24,)*1000</f>
        <v>0</v>
      </c>
      <c r="K30" s="95">
        <f t="shared" si="32"/>
        <v>0</v>
      </c>
      <c r="L30" s="196">
        <f t="shared" si="1"/>
        <v>0</v>
      </c>
      <c r="M30" s="430">
        <f>+IFERROR(HLOOKUP($A$1,[14]손익!$G$5:$AB$252,51,),)</f>
        <v>0</v>
      </c>
      <c r="N30" s="55">
        <f t="shared" si="14"/>
        <v>0</v>
      </c>
      <c r="O30" s="436">
        <f t="shared" si="2"/>
        <v>0</v>
      </c>
      <c r="P30" s="190">
        <f t="shared" ref="P30:Q30" si="33">IFERROR(P38/P24,)*1000</f>
        <v>0</v>
      </c>
      <c r="Q30" s="95">
        <f t="shared" si="33"/>
        <v>0</v>
      </c>
      <c r="R30" s="191">
        <f t="shared" si="3"/>
        <v>0</v>
      </c>
      <c r="S30" s="220">
        <f t="shared" ref="S30:T30" si="34">IFERROR(S38/S24,)*1000</f>
        <v>0</v>
      </c>
      <c r="T30" s="95">
        <f t="shared" si="34"/>
        <v>19000</v>
      </c>
      <c r="U30" s="196">
        <f t="shared" si="4"/>
        <v>19000</v>
      </c>
      <c r="V30" s="430">
        <f>+IFERROR(HLOOKUP($A$1,[15]손익!$G$5:$AB$252,51,),)</f>
        <v>0</v>
      </c>
      <c r="W30" s="55">
        <f t="shared" si="17"/>
        <v>19000</v>
      </c>
      <c r="X30" s="436">
        <f t="shared" si="5"/>
        <v>19000</v>
      </c>
      <c r="Y30" s="196">
        <f t="shared" ref="Y30:Z30" si="35">IFERROR(Y38/Y24,)*1000</f>
        <v>31000.000000000004</v>
      </c>
      <c r="Z30" s="95">
        <f t="shared" si="35"/>
        <v>0</v>
      </c>
      <c r="AA30" s="196">
        <f t="shared" si="6"/>
        <v>-31000.000000000004</v>
      </c>
      <c r="AB30" s="418">
        <f t="shared" si="19"/>
        <v>31000.000000000004</v>
      </c>
      <c r="AC30" s="95">
        <f t="shared" si="20"/>
        <v>185659.10852713179</v>
      </c>
      <c r="AD30" s="419">
        <f t="shared" si="7"/>
        <v>154659.10852713179</v>
      </c>
    </row>
    <row r="31" spans="4:33" ht="24" customHeight="1">
      <c r="D31" s="76"/>
      <c r="E31" s="166"/>
      <c r="F31" s="221" t="s">
        <v>29</v>
      </c>
      <c r="G31" s="190">
        <f t="shared" ref="G31" si="36">IFERROR(G39/G25,)*1000</f>
        <v>0</v>
      </c>
      <c r="H31" s="95">
        <f t="shared" si="12"/>
        <v>0</v>
      </c>
      <c r="I31" s="191">
        <f t="shared" si="0"/>
        <v>0</v>
      </c>
      <c r="J31" s="220">
        <f t="shared" ref="J31:K31" si="37">IFERROR(J39/J25,)*1000</f>
        <v>0</v>
      </c>
      <c r="K31" s="95">
        <f t="shared" si="37"/>
        <v>9000</v>
      </c>
      <c r="L31" s="196">
        <f t="shared" si="1"/>
        <v>9000</v>
      </c>
      <c r="M31" s="430">
        <f>+IFERROR(HLOOKUP($A$1,[14]손익!$G$5:$AB$252,52,),)</f>
        <v>0</v>
      </c>
      <c r="N31" s="55">
        <f t="shared" si="14"/>
        <v>9000</v>
      </c>
      <c r="O31" s="436">
        <f t="shared" si="2"/>
        <v>9000</v>
      </c>
      <c r="P31" s="190">
        <f t="shared" ref="P31:Q31" si="38">IFERROR(P39/P25,)*1000</f>
        <v>0</v>
      </c>
      <c r="Q31" s="95">
        <f t="shared" si="38"/>
        <v>0</v>
      </c>
      <c r="R31" s="191">
        <f t="shared" si="3"/>
        <v>0</v>
      </c>
      <c r="S31" s="220">
        <f t="shared" ref="S31:T31" si="39">IFERROR(S39/S25,)*1000</f>
        <v>0</v>
      </c>
      <c r="T31" s="95">
        <f t="shared" si="39"/>
        <v>19000</v>
      </c>
      <c r="U31" s="196">
        <f t="shared" si="4"/>
        <v>19000</v>
      </c>
      <c r="V31" s="430">
        <f>+IFERROR(HLOOKUP($A$1,[15]손익!$G$5:$AB$252,52,),)</f>
        <v>0</v>
      </c>
      <c r="W31" s="55">
        <f t="shared" si="17"/>
        <v>19000</v>
      </c>
      <c r="X31" s="436">
        <f t="shared" si="5"/>
        <v>19000</v>
      </c>
      <c r="Y31" s="196">
        <f t="shared" ref="Y31:Z31" si="40">IFERROR(Y39/Y25,)*1000</f>
        <v>31325.44088023408</v>
      </c>
      <c r="Z31" s="95">
        <f t="shared" si="40"/>
        <v>3748.6085343228201</v>
      </c>
      <c r="AA31" s="196">
        <f t="shared" si="6"/>
        <v>-27576.832345911262</v>
      </c>
      <c r="AB31" s="418">
        <f t="shared" si="19"/>
        <v>31325.44088023408</v>
      </c>
      <c r="AC31" s="95">
        <f t="shared" si="20"/>
        <v>4620.0980392156862</v>
      </c>
      <c r="AD31" s="419">
        <f t="shared" si="7"/>
        <v>-26705.342841018395</v>
      </c>
    </row>
    <row r="32" spans="4:33" ht="24" customHeight="1" thickBot="1">
      <c r="D32" s="76"/>
      <c r="E32" s="218"/>
      <c r="F32" s="217" t="s">
        <v>30</v>
      </c>
      <c r="G32" s="213">
        <f t="shared" ref="G32" si="41">IFERROR(G40/G26,)*1000</f>
        <v>0</v>
      </c>
      <c r="H32" s="387">
        <f t="shared" si="12"/>
        <v>11500</v>
      </c>
      <c r="I32" s="216">
        <f t="shared" si="0"/>
        <v>11500</v>
      </c>
      <c r="J32" s="215">
        <f t="shared" ref="J32:K32" si="42">IFERROR(J40/J26,)*1000</f>
        <v>0</v>
      </c>
      <c r="K32" s="387">
        <f t="shared" si="42"/>
        <v>9000</v>
      </c>
      <c r="L32" s="214">
        <f t="shared" si="1"/>
        <v>9000</v>
      </c>
      <c r="M32" s="431">
        <f>+IFERROR(HLOOKUP($A$1,[14]손익!$G$5:$AB$252,53,),)</f>
        <v>0</v>
      </c>
      <c r="N32" s="427">
        <f t="shared" si="14"/>
        <v>11101.063829787234</v>
      </c>
      <c r="O32" s="437">
        <f t="shared" si="2"/>
        <v>11101.063829787234</v>
      </c>
      <c r="P32" s="213">
        <f t="shared" ref="P32:Q32" si="43">IFERROR(P40/P26,)*1000</f>
        <v>0</v>
      </c>
      <c r="Q32" s="387">
        <f t="shared" si="43"/>
        <v>0</v>
      </c>
      <c r="R32" s="216">
        <f t="shared" si="3"/>
        <v>0</v>
      </c>
      <c r="S32" s="215">
        <f t="shared" ref="S32:T32" si="44">IFERROR(S40/S26,)*1000</f>
        <v>0</v>
      </c>
      <c r="T32" s="387">
        <f t="shared" si="44"/>
        <v>0</v>
      </c>
      <c r="U32" s="214">
        <f t="shared" si="4"/>
        <v>0</v>
      </c>
      <c r="V32" s="431">
        <f>+IFERROR(HLOOKUP($A$1,[15]손익!$G$5:$AB$252,53,),)</f>
        <v>0</v>
      </c>
      <c r="W32" s="427">
        <f t="shared" si="17"/>
        <v>0</v>
      </c>
      <c r="X32" s="437">
        <f t="shared" si="5"/>
        <v>0</v>
      </c>
      <c r="Y32" s="214">
        <f t="shared" ref="Y32:Z32" si="45">IFERROR(Y40/Y26,)*1000</f>
        <v>0</v>
      </c>
      <c r="Z32" s="387">
        <f t="shared" si="45"/>
        <v>0</v>
      </c>
      <c r="AA32" s="214">
        <f t="shared" si="6"/>
        <v>0</v>
      </c>
      <c r="AB32" s="420" t="e">
        <f t="shared" si="19"/>
        <v>#DIV/0!</v>
      </c>
      <c r="AC32" s="421">
        <f t="shared" si="20"/>
        <v>11101.063829787234</v>
      </c>
      <c r="AD32" s="422" t="e">
        <f t="shared" si="7"/>
        <v>#DIV/0!</v>
      </c>
    </row>
    <row r="33" spans="5:30" ht="21.95" customHeight="1" thickTop="1">
      <c r="E33" s="6" t="s">
        <v>130</v>
      </c>
      <c r="G33" s="211"/>
      <c r="H33" s="211"/>
      <c r="I33" s="211"/>
      <c r="J33" s="76"/>
      <c r="P33" s="211"/>
      <c r="Q33" s="211"/>
      <c r="R33" s="211"/>
      <c r="S33" s="76"/>
      <c r="Y33" s="76"/>
      <c r="AB33" s="76"/>
    </row>
    <row r="34" spans="5:30" ht="21.95" customHeight="1">
      <c r="J34" s="76"/>
      <c r="S34" s="76"/>
      <c r="Y34" s="76"/>
      <c r="Z34" s="6" t="s">
        <v>164</v>
      </c>
      <c r="AB34" s="76"/>
    </row>
    <row r="35" spans="5:30" ht="21.95" customHeight="1">
      <c r="E35" s="26" t="s">
        <v>132</v>
      </c>
      <c r="F35" s="432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48600</v>
      </c>
      <c r="I35" s="6">
        <f t="shared" ref="I35:I41" si="46">+H35-G35</f>
        <v>48600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6">
        <f>SUM(G35,J35)</f>
        <v>0</v>
      </c>
      <c r="N35" s="6">
        <f t="shared" ref="N35:N40" si="47">SUM(H35,K35)</f>
        <v>48600</v>
      </c>
      <c r="O35" s="6">
        <f t="shared" ref="O35:O41" si="48">+N35-M35</f>
        <v>48600</v>
      </c>
      <c r="P35" s="6">
        <f>+'골재사업소(당월)'!P35+'[4]골재사업소(누계)'!P35</f>
        <v>637622.52742548415</v>
      </c>
      <c r="Q35" s="6">
        <f>+'골재사업소(당월)'!Q35+'[4]골재사업소(누계)'!Q35</f>
        <v>741895</v>
      </c>
      <c r="R35" s="6">
        <f t="shared" ref="R35:R41" si="49">+Q35-P35</f>
        <v>104272.47257451585</v>
      </c>
      <c r="S35" s="76">
        <f>+'골재사업소(당월)'!S35+'[4]골재사업소(누계)'!S35</f>
        <v>637342.48874782305</v>
      </c>
      <c r="T35" s="6">
        <f>+'골재사업소(당월)'!T35+'[4]골재사업소(누계)'!T35</f>
        <v>726690.5</v>
      </c>
      <c r="U35" s="6">
        <f>+T35-S35</f>
        <v>89348.011252176948</v>
      </c>
      <c r="V35" s="6">
        <f>SUM(P35,S35)</f>
        <v>1274965.0161733073</v>
      </c>
      <c r="W35" s="6">
        <f t="shared" ref="W35:W41" si="50">SUM(Q35,T35)</f>
        <v>1468585.5</v>
      </c>
      <c r="X35" s="6">
        <f t="shared" ref="X35:X41" si="51">+W35-V35</f>
        <v>193620.48382669268</v>
      </c>
      <c r="Y35" s="438">
        <f>+'골재사업소(당월)'!Y35+'[4]골재사업소(누계)'!Y35</f>
        <v>513674.63750921306</v>
      </c>
      <c r="Z35" s="6">
        <f>+'골재사업소(당월)'!Z35+'[4]골재사업소(누계)'!Z35</f>
        <v>593066.4</v>
      </c>
      <c r="AB35" s="76">
        <f t="shared" ref="AB35:AC41" si="52">+M35+V35+Y35</f>
        <v>1788639.6536825204</v>
      </c>
      <c r="AC35" s="76">
        <f t="shared" si="52"/>
        <v>2110251.9</v>
      </c>
      <c r="AD35" s="6">
        <f t="shared" ref="AD35:AD41" si="53">+AC35-AB35</f>
        <v>321612.24631747953</v>
      </c>
    </row>
    <row r="36" spans="5:30" ht="21.95" customHeight="1">
      <c r="E36" s="26" t="s">
        <v>77</v>
      </c>
      <c r="F36" s="432" t="s">
        <v>26</v>
      </c>
      <c r="G36" s="6">
        <f>+'골재사업소(당월)'!G36+'[4]골재사업소(누계)'!G36</f>
        <v>348128</v>
      </c>
      <c r="H36" s="6">
        <f>+'골재사업소(당월)'!H36+'[4]골재사업소(누계)'!H36</f>
        <v>788290</v>
      </c>
      <c r="I36" s="6">
        <f t="shared" si="46"/>
        <v>440162</v>
      </c>
      <c r="J36" s="76">
        <f>+'골재사업소(당월)'!J36+'[4]골재사업소(누계)'!J36</f>
        <v>18391.800000000003</v>
      </c>
      <c r="K36" s="6">
        <f>+'골재사업소(당월)'!K36+'[4]골재사업소(누계)'!K36</f>
        <v>6720</v>
      </c>
      <c r="L36" s="6">
        <f t="shared" ref="L36:L41" si="54">+K36-J36</f>
        <v>-11671.800000000003</v>
      </c>
      <c r="M36" s="6">
        <f t="shared" ref="M36:N41" si="55">SUM(G36,J36)</f>
        <v>366519.8</v>
      </c>
      <c r="N36" s="6">
        <f t="shared" si="47"/>
        <v>795010</v>
      </c>
      <c r="O36" s="6">
        <f t="shared" si="48"/>
        <v>428490.2</v>
      </c>
      <c r="P36" s="6">
        <f>+'골재사업소(당월)'!P36+'[4]골재사업소(누계)'!P36</f>
        <v>0</v>
      </c>
      <c r="Q36" s="6">
        <f>+'골재사업소(당월)'!Q36+'[4]골재사업소(누계)'!Q36</f>
        <v>2112</v>
      </c>
      <c r="R36" s="6">
        <f t="shared" si="49"/>
        <v>2112</v>
      </c>
      <c r="S36" s="76">
        <f>+'골재사업소(당월)'!S36+'[4]골재사업소(누계)'!S36</f>
        <v>159011.67419354839</v>
      </c>
      <c r="T36" s="6">
        <f>+'골재사업소(당월)'!T36+'[4]골재사업소(누계)'!T36</f>
        <v>320640</v>
      </c>
      <c r="U36" s="6">
        <f t="shared" ref="U36:U41" si="56">+T36-S36</f>
        <v>161628.32580645161</v>
      </c>
      <c r="V36" s="6">
        <f t="shared" ref="V36:V41" si="57">SUM(P36,S36)</f>
        <v>159011.67419354839</v>
      </c>
      <c r="W36" s="6">
        <f t="shared" si="50"/>
        <v>322752</v>
      </c>
      <c r="X36" s="6">
        <f>+W36-V36</f>
        <v>163740.32580645161</v>
      </c>
      <c r="Y36" s="438">
        <f>+'골재사업소(당월)'!Y36+'[4]골재사업소(누계)'!Y36</f>
        <v>193951.10489510489</v>
      </c>
      <c r="Z36" s="6">
        <f>+'골재사업소(당월)'!Z36+'[4]골재사업소(누계)'!Z36</f>
        <v>289055.34399999998</v>
      </c>
      <c r="AB36" s="6">
        <f t="shared" si="52"/>
        <v>719482.5790886532</v>
      </c>
      <c r="AC36" s="6">
        <f t="shared" si="52"/>
        <v>1406817.344</v>
      </c>
      <c r="AD36" s="6">
        <f t="shared" si="53"/>
        <v>687334.76491134684</v>
      </c>
    </row>
    <row r="37" spans="5:30" ht="21.95" customHeight="1">
      <c r="F37" s="432" t="s">
        <v>27</v>
      </c>
      <c r="G37" s="6">
        <f>+'골재사업소(당월)'!G37+'[4]골재사업소(누계)'!G37</f>
        <v>0</v>
      </c>
      <c r="H37" s="6">
        <f>+'골재사업소(당월)'!H37+'[4]골재사업소(누계)'!H37</f>
        <v>42504</v>
      </c>
      <c r="I37" s="6">
        <f t="shared" si="46"/>
        <v>42504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54"/>
        <v>0</v>
      </c>
      <c r="M37" s="6">
        <f t="shared" si="55"/>
        <v>0</v>
      </c>
      <c r="N37" s="6">
        <f t="shared" si="47"/>
        <v>42504</v>
      </c>
      <c r="O37" s="6">
        <f t="shared" si="48"/>
        <v>42504</v>
      </c>
      <c r="P37" s="6">
        <f>+'골재사업소(당월)'!P37+'[4]골재사업소(누계)'!P37</f>
        <v>0</v>
      </c>
      <c r="Q37" s="6">
        <f>+'골재사업소(당월)'!Q37+'[4]골재사업소(누계)'!Q37</f>
        <v>0</v>
      </c>
      <c r="R37" s="6">
        <f t="shared" si="49"/>
        <v>0</v>
      </c>
      <c r="S37" s="7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56"/>
        <v>0</v>
      </c>
      <c r="V37" s="6">
        <f t="shared" si="57"/>
        <v>0</v>
      </c>
      <c r="W37" s="6">
        <f t="shared" si="50"/>
        <v>0</v>
      </c>
      <c r="X37" s="6">
        <f t="shared" si="51"/>
        <v>0</v>
      </c>
      <c r="Y37" s="438">
        <f>+'골재사업소(당월)'!Y37+'[4]골재사업소(누계)'!Y37</f>
        <v>157115.38461538462</v>
      </c>
      <c r="Z37" s="6">
        <f>+'골재사업소(당월)'!Z37+'[4]골재사업소(누계)'!Z37</f>
        <v>248703.93599999999</v>
      </c>
      <c r="AB37" s="6">
        <f t="shared" si="52"/>
        <v>157115.38461538462</v>
      </c>
      <c r="AC37" s="6">
        <f t="shared" si="52"/>
        <v>291207.93599999999</v>
      </c>
      <c r="AD37" s="6">
        <f t="shared" si="53"/>
        <v>134092.55138461536</v>
      </c>
    </row>
    <row r="38" spans="5:30" ht="21.95" customHeight="1">
      <c r="F38" s="432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46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54"/>
        <v>0</v>
      </c>
      <c r="M38" s="6">
        <f t="shared" si="55"/>
        <v>0</v>
      </c>
      <c r="N38" s="6">
        <f t="shared" si="47"/>
        <v>0</v>
      </c>
      <c r="O38" s="6">
        <f t="shared" si="48"/>
        <v>0</v>
      </c>
      <c r="P38" s="6">
        <f>+'골재사업소(당월)'!P38+'[4]골재사업소(누계)'!P38</f>
        <v>0</v>
      </c>
      <c r="Q38" s="6">
        <f>+'골재사업소(당월)'!Q38+'[4]골재사업소(누계)'!Q38</f>
        <v>0</v>
      </c>
      <c r="R38" s="6">
        <f t="shared" si="49"/>
        <v>0</v>
      </c>
      <c r="S38" s="76">
        <f>+'골재사업소(당월)'!S38+'[4]골재사업소(누계)'!S38</f>
        <v>0</v>
      </c>
      <c r="T38" s="6">
        <f>+'골재사업소(당월)'!T38+'[4]골재사업소(누계)'!T38</f>
        <v>39216</v>
      </c>
      <c r="U38" s="6">
        <f t="shared" si="56"/>
        <v>39216</v>
      </c>
      <c r="V38" s="6">
        <f t="shared" si="57"/>
        <v>0</v>
      </c>
      <c r="W38" s="6">
        <f t="shared" si="50"/>
        <v>39216</v>
      </c>
      <c r="X38" s="6">
        <f t="shared" si="51"/>
        <v>39216</v>
      </c>
      <c r="Y38" s="438">
        <f>+'골재사업소(당월)'!Y38+'[4]골재사업소(누계)'!Y38</f>
        <v>502590.20979020977</v>
      </c>
      <c r="Z38" s="6">
        <f>+'골재사업소(당월)'!Z38+'[4]골재사업소(누계)'!Z38</f>
        <v>343984.4</v>
      </c>
      <c r="AB38" s="6">
        <f t="shared" si="52"/>
        <v>502590.20979020977</v>
      </c>
      <c r="AC38" s="6">
        <f t="shared" si="52"/>
        <v>383200.4</v>
      </c>
      <c r="AD38" s="6">
        <f t="shared" si="53"/>
        <v>-119389.80979020975</v>
      </c>
    </row>
    <row r="39" spans="5:30" ht="21.95" customHeight="1">
      <c r="F39" s="432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46"/>
        <v>0</v>
      </c>
      <c r="J39" s="76">
        <f>+'골재사업소(당월)'!J39+'[4]골재사업소(누계)'!J39</f>
        <v>0</v>
      </c>
      <c r="K39" s="6">
        <f>+'골재사업소(당월)'!K39+'[4]골재사업소(누계)'!K39</f>
        <v>8352</v>
      </c>
      <c r="L39" s="6">
        <f t="shared" si="54"/>
        <v>8352</v>
      </c>
      <c r="M39" s="6">
        <f t="shared" si="55"/>
        <v>0</v>
      </c>
      <c r="N39" s="6">
        <f t="shared" si="47"/>
        <v>8352</v>
      </c>
      <c r="O39" s="6">
        <f t="shared" si="48"/>
        <v>8352</v>
      </c>
      <c r="P39" s="6">
        <f>+'골재사업소(당월)'!P39+'[4]골재사업소(누계)'!P39</f>
        <v>0</v>
      </c>
      <c r="Q39" s="6">
        <f>+'골재사업소(당월)'!Q39+'[4]골재사업소(누계)'!Q39</f>
        <v>0</v>
      </c>
      <c r="R39" s="6">
        <f t="shared" si="49"/>
        <v>0</v>
      </c>
      <c r="S39" s="76">
        <f>+'골재사업소(당월)'!S39+'[4]골재사업소(누계)'!S39</f>
        <v>0</v>
      </c>
      <c r="T39" s="6">
        <f>+'골재사업소(당월)'!T39+'[4]골재사업소(누계)'!T39</f>
        <v>4560</v>
      </c>
      <c r="U39" s="6">
        <f t="shared" si="56"/>
        <v>4560</v>
      </c>
      <c r="V39" s="6">
        <f t="shared" si="57"/>
        <v>0</v>
      </c>
      <c r="W39" s="6">
        <f t="shared" si="50"/>
        <v>4560</v>
      </c>
      <c r="X39" s="6">
        <f t="shared" si="51"/>
        <v>4560</v>
      </c>
      <c r="Y39" s="438">
        <f>+'골재사업소(당월)'!Y39+'[4]골재사업소(누계)'!Y39</f>
        <v>101895.08741258743</v>
      </c>
      <c r="Z39" s="6">
        <f>+'골재사업소(당월)'!Z39+'[4]골재사업소(누계)'!Z39</f>
        <v>32328</v>
      </c>
      <c r="AB39" s="6">
        <f t="shared" si="52"/>
        <v>101895.08741258743</v>
      </c>
      <c r="AC39" s="6">
        <f t="shared" si="52"/>
        <v>45240</v>
      </c>
      <c r="AD39" s="6">
        <f t="shared" si="53"/>
        <v>-56655.087412587425</v>
      </c>
    </row>
    <row r="40" spans="5:30" ht="21.95" customHeight="1">
      <c r="F40" s="432" t="s">
        <v>30</v>
      </c>
      <c r="G40" s="6">
        <f>+'골재사업소(당월)'!G40+'[4]골재사업소(누계)'!G40</f>
        <v>0</v>
      </c>
      <c r="H40" s="6">
        <f>+'골재사업소(당월)'!H40+'[4]골재사업소(누계)'!H40</f>
        <v>14536</v>
      </c>
      <c r="I40" s="6">
        <f t="shared" si="46"/>
        <v>14536</v>
      </c>
      <c r="J40" s="76">
        <f>+'골재사업소(당월)'!J40+'[4]골재사업소(누계)'!J40</f>
        <v>0</v>
      </c>
      <c r="K40" s="6">
        <f>+'골재사업소(당월)'!K40+'[4]골재사업소(누계)'!K40</f>
        <v>2160</v>
      </c>
      <c r="L40" s="6">
        <f t="shared" si="54"/>
        <v>2160</v>
      </c>
      <c r="M40" s="6">
        <f t="shared" si="55"/>
        <v>0</v>
      </c>
      <c r="N40" s="6">
        <f t="shared" si="47"/>
        <v>16696</v>
      </c>
      <c r="O40" s="6">
        <f t="shared" si="48"/>
        <v>16696</v>
      </c>
      <c r="P40" s="6">
        <f>+'골재사업소(당월)'!P40+'[4]골재사업소(누계)'!P40</f>
        <v>0</v>
      </c>
      <c r="Q40" s="6">
        <f>+'골재사업소(당월)'!Q40+'[4]골재사업소(누계)'!Q40</f>
        <v>0</v>
      </c>
      <c r="R40" s="6">
        <f t="shared" si="49"/>
        <v>0</v>
      </c>
      <c r="S40" s="7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56"/>
        <v>0</v>
      </c>
      <c r="V40" s="6">
        <f t="shared" si="57"/>
        <v>0</v>
      </c>
      <c r="W40" s="6">
        <f t="shared" si="50"/>
        <v>0</v>
      </c>
      <c r="X40" s="6">
        <f t="shared" si="51"/>
        <v>0</v>
      </c>
      <c r="Y40" s="438">
        <f>+'골재사업소(당월)'!Y40+'[4]골재사업소(누계)'!Y40</f>
        <v>0</v>
      </c>
      <c r="Z40" s="6">
        <f>+'골재사업소(당월)'!Z40+'[4]골재사업소(누계)'!Z40</f>
        <v>0</v>
      </c>
      <c r="AB40" s="6">
        <f t="shared" si="52"/>
        <v>0</v>
      </c>
      <c r="AC40" s="6">
        <f t="shared" si="52"/>
        <v>16696</v>
      </c>
      <c r="AD40" s="6">
        <f t="shared" si="53"/>
        <v>16696</v>
      </c>
    </row>
    <row r="41" spans="5:30" ht="21.95" customHeight="1">
      <c r="F41" s="432" t="s">
        <v>8</v>
      </c>
      <c r="G41" s="6">
        <f>SUM(G35:G40)</f>
        <v>348128</v>
      </c>
      <c r="H41" s="6">
        <f>SUM(H35:H40)</f>
        <v>893930</v>
      </c>
      <c r="I41" s="6">
        <f t="shared" si="46"/>
        <v>545802</v>
      </c>
      <c r="J41" s="76">
        <f>SUM(J35:J40)</f>
        <v>18391.800000000003</v>
      </c>
      <c r="K41" s="76">
        <f>SUM(K35:K40)</f>
        <v>17232</v>
      </c>
      <c r="L41" s="6">
        <f t="shared" si="54"/>
        <v>-1159.8000000000029</v>
      </c>
      <c r="M41" s="6">
        <f t="shared" si="55"/>
        <v>366519.8</v>
      </c>
      <c r="N41" s="6">
        <f t="shared" si="55"/>
        <v>911162</v>
      </c>
      <c r="O41" s="6">
        <f t="shared" si="48"/>
        <v>544642.19999999995</v>
      </c>
      <c r="P41" s="6">
        <f>SUM(P35:P40)</f>
        <v>637622.52742548415</v>
      </c>
      <c r="Q41" s="6">
        <f>SUM(Q35:Q40)</f>
        <v>744007</v>
      </c>
      <c r="R41" s="6">
        <f t="shared" si="49"/>
        <v>106384.47257451585</v>
      </c>
      <c r="S41" s="76">
        <f>SUM(S35:S40)</f>
        <v>796354.16294137144</v>
      </c>
      <c r="T41" s="76">
        <f>SUM(T35:T40)</f>
        <v>1091106.5</v>
      </c>
      <c r="U41" s="6">
        <f t="shared" si="56"/>
        <v>294752.33705862856</v>
      </c>
      <c r="V41" s="6">
        <f t="shared" si="57"/>
        <v>1433976.6903668556</v>
      </c>
      <c r="W41" s="6">
        <f t="shared" si="50"/>
        <v>1835113.5</v>
      </c>
      <c r="X41" s="6">
        <f t="shared" si="51"/>
        <v>401136.80963314441</v>
      </c>
      <c r="Y41" s="6">
        <f>SUM(Y35:Y40)</f>
        <v>1469226.4242224996</v>
      </c>
      <c r="Z41" s="6">
        <f>SUM(Z35:Z40)</f>
        <v>1507138.08</v>
      </c>
      <c r="AB41" s="6">
        <f t="shared" si="52"/>
        <v>3269722.9145893552</v>
      </c>
      <c r="AC41" s="6">
        <f t="shared" si="52"/>
        <v>4253413.58</v>
      </c>
      <c r="AD41" s="6">
        <f t="shared" si="53"/>
        <v>983690.66541064484</v>
      </c>
    </row>
    <row r="42" spans="5:30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</row>
    <row r="43" spans="5:30" ht="21.95" customHeight="1"/>
    <row r="44" spans="5:30" ht="21.95" customHeight="1"/>
    <row r="45" spans="5:30" ht="21.95" customHeight="1"/>
    <row r="46" spans="5:30" ht="21.95" customHeight="1"/>
    <row r="47" spans="5:30" ht="21.95" customHeight="1"/>
    <row r="48" spans="5:3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2024-05-17T05:47:09Z</cp:lastPrinted>
  <dcterms:created xsi:type="dcterms:W3CDTF">2018-12-20T00:38:36Z</dcterms:created>
  <dcterms:modified xsi:type="dcterms:W3CDTF">2024-09-04T05:23:57Z</dcterms:modified>
</cp:coreProperties>
</file>