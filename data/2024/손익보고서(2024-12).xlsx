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원가손익\202412(최종)\00_보고서\"/>
    </mc:Choice>
  </mc:AlternateContent>
  <xr:revisionPtr revIDLastSave="0" documentId="13_ncr:1_{B8BADD3E-B2A8-4312-9A10-173D1B485114}" xr6:coauthVersionLast="36" xr6:coauthVersionMax="36" xr10:uidLastSave="{00000000-0000-0000-0000-000000000000}"/>
  <bookViews>
    <workbookView xWindow="480" yWindow="75" windowWidth="27975" windowHeight="12495" firstSheet="2" activeTab="5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사업장별(당월)_공장 송부용" sheetId="46" r:id="rId5"/>
    <sheet name="사업장별(누계)_공장 송부용" sheetId="45" r:id="rId6"/>
    <sheet name="건자재" sheetId="29" r:id="rId7"/>
    <sheet name="골재사업소(당월)" sheetId="41" r:id="rId8"/>
    <sheet name="골재사업소(누계)" sheetId="4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8" hidden="1">{"Header",#N/A,TRUE,"Summary";"ProjectInfo",#N/A,TRUE,"Total Value"}</definedName>
    <definedName name="edsd" localSheetId="7" hidden="1">{"Header",#N/A,TRUE,"Summary";"ProjectInfo",#N/A,TRUE,"Total Value"}</definedName>
    <definedName name="edsd" hidden="1">{"Header",#N/A,TRUE,"Summary";"ProjectInfo",#N/A,TRUE,"Total Value"}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8" hidden="1">{"Header",#N/A,TRUE,"Summary";"ProjectInfo",#N/A,TRUE,"Total Value"}</definedName>
    <definedName name="jijk" localSheetId="7" hidden="1">{"Header",#N/A,TRUE,"Summary";"ProjectInfo",#N/A,TRUE,"Total Value"}</definedName>
    <definedName name="jijk" hidden="1">{"Header",#N/A,TRUE,"Summary";"ProjectInfo",#N/A,TRUE,"Total Value"}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6">건자재!$D$6:$O$34</definedName>
    <definedName name="_xlnm.Print_Area" localSheetId="8">'골재사업소(누계)'!$D$4:$AJ$33</definedName>
    <definedName name="_xlnm.Print_Area" localSheetId="7">'골재사업소(당월)'!$D$4:$AJ$33</definedName>
    <definedName name="_xlnm.Print_Area" localSheetId="3">'사업장별(누계)'!$H$3:$AG$43</definedName>
    <definedName name="_xlnm.Print_Area" localSheetId="5">'사업장별(누계)_공장 송부용'!$H$3:$AG$42</definedName>
    <definedName name="_xlnm.Print_Area" localSheetId="2">'사업장별(당월)'!$H$3:$AG$43</definedName>
    <definedName name="_xlnm.Print_Area" localSheetId="4">'사업장별(당월)_공장 송부용'!$H$3:$AG$42</definedName>
    <definedName name="_xlnm.Print_Area" localSheetId="1">손익총괄!$C$3:$X$36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8" hidden="1">{"Header",#N/A,TRUE,"Summary";"ProjectInfo",#N/A,TRUE,"Total Value"}</definedName>
    <definedName name="w" localSheetId="7" hidden="1">{"Header",#N/A,TRUE,"Summary";"ProjectInfo",#N/A,TRUE,"Total Value"}</definedName>
    <definedName name="w" hidden="1">{"Header",#N/A,TRUE,"Summary";"ProjectInfo",#N/A,TRUE,"Total Value"}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8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hidden="1">{"Header",#N/A,TRUE,"Summary";"ProjectInfo",#N/A,TRUE,"Total Value"}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8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8" hidden="1">{"Header",#N/A,TRUE,"Summary";"ProjectInfo",#N/A,TRUE,"Total Value"}</definedName>
    <definedName name="ㅈㅇ" localSheetId="7" hidden="1">{"Header",#N/A,TRUE,"Summary";"ProjectInfo",#N/A,TRUE,"Total Value"}</definedName>
    <definedName name="ㅈㅇ" hidden="1">{"Header",#N/A,TRUE,"Summary";"ProjectInfo",#N/A,TRUE,"Total Value"}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U47" i="45" l="1"/>
  <c r="M38" i="1" l="1"/>
  <c r="J38" i="1"/>
  <c r="T28" i="1"/>
  <c r="S28" i="1"/>
  <c r="M28" i="1"/>
  <c r="J28" i="1"/>
  <c r="T27" i="1"/>
  <c r="S27" i="1"/>
  <c r="M27" i="1"/>
  <c r="J27" i="1"/>
  <c r="M26" i="1"/>
  <c r="J26" i="1"/>
  <c r="M25" i="1"/>
  <c r="J25" i="1"/>
  <c r="T24" i="1"/>
  <c r="S24" i="1"/>
  <c r="T23" i="1"/>
  <c r="S23" i="1"/>
  <c r="V20" i="1"/>
  <c r="T20" i="1"/>
  <c r="S20" i="1"/>
  <c r="V19" i="1"/>
  <c r="T19" i="1"/>
  <c r="S19" i="1"/>
  <c r="V18" i="1"/>
  <c r="T18" i="1"/>
  <c r="S18" i="1"/>
  <c r="M18" i="1"/>
  <c r="J18" i="1"/>
  <c r="V17" i="1"/>
  <c r="T17" i="1"/>
  <c r="S17" i="1"/>
  <c r="M17" i="1"/>
  <c r="J17" i="1"/>
  <c r="V16" i="1"/>
  <c r="T16" i="1"/>
  <c r="S16" i="1"/>
  <c r="M16" i="1"/>
  <c r="J16" i="1"/>
  <c r="V15" i="1"/>
  <c r="T15" i="1"/>
  <c r="S15" i="1"/>
  <c r="M15" i="1"/>
  <c r="J15" i="1"/>
  <c r="V14" i="1"/>
  <c r="T14" i="1"/>
  <c r="S14" i="1"/>
  <c r="V13" i="1"/>
  <c r="T13" i="1"/>
  <c r="S13" i="1"/>
  <c r="M13" i="1"/>
  <c r="J13" i="1"/>
  <c r="M12" i="1"/>
  <c r="J12" i="1"/>
  <c r="V11" i="1"/>
  <c r="T11" i="1"/>
  <c r="S11" i="1"/>
  <c r="M11" i="1"/>
  <c r="J11" i="1"/>
  <c r="V10" i="1"/>
  <c r="T10" i="1"/>
  <c r="S10" i="1"/>
  <c r="M10" i="1"/>
  <c r="J10" i="1"/>
  <c r="V9" i="1"/>
  <c r="T9" i="1"/>
  <c r="S9" i="1"/>
  <c r="M9" i="1"/>
  <c r="J9" i="1"/>
  <c r="M8" i="1"/>
  <c r="J8" i="1"/>
  <c r="M7" i="1"/>
  <c r="J7" i="1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AD27" i="46"/>
  <c r="AC27" i="46"/>
  <c r="AB27" i="46"/>
  <c r="AA27" i="46"/>
  <c r="Z27" i="46"/>
  <c r="Y27" i="46"/>
  <c r="AD26" i="46"/>
  <c r="AC26" i="46"/>
  <c r="AB26" i="46"/>
  <c r="AA26" i="46"/>
  <c r="Z26" i="46"/>
  <c r="Y26" i="46"/>
  <c r="AD25" i="46"/>
  <c r="AC25" i="46"/>
  <c r="AB25" i="46"/>
  <c r="AA25" i="46"/>
  <c r="Z25" i="46"/>
  <c r="Y25" i="46"/>
  <c r="AD24" i="46"/>
  <c r="AC24" i="46"/>
  <c r="AB24" i="46"/>
  <c r="AA24" i="46"/>
  <c r="Z24" i="46"/>
  <c r="Y24" i="46"/>
  <c r="AD23" i="46"/>
  <c r="AC23" i="46"/>
  <c r="AB23" i="46"/>
  <c r="AA23" i="46"/>
  <c r="Z23" i="46"/>
  <c r="Y23" i="46"/>
  <c r="AD22" i="46"/>
  <c r="AC22" i="46"/>
  <c r="AB22" i="46"/>
  <c r="AA22" i="46"/>
  <c r="Z22" i="46"/>
  <c r="Y22" i="46"/>
  <c r="AD21" i="46"/>
  <c r="AC21" i="46"/>
  <c r="AB21" i="46"/>
  <c r="AA21" i="46"/>
  <c r="Z21" i="46"/>
  <c r="Y21" i="46"/>
  <c r="AD20" i="46"/>
  <c r="AC20" i="46"/>
  <c r="AB20" i="46"/>
  <c r="AA20" i="46"/>
  <c r="Z20" i="46"/>
  <c r="Y20" i="46"/>
  <c r="AD19" i="46"/>
  <c r="AC19" i="46"/>
  <c r="AB19" i="46"/>
  <c r="AA19" i="46"/>
  <c r="Z19" i="46"/>
  <c r="Y19" i="46"/>
  <c r="AD18" i="46"/>
  <c r="AC18" i="46"/>
  <c r="AB18" i="46"/>
  <c r="AA18" i="46"/>
  <c r="Z18" i="46"/>
  <c r="Y18" i="46"/>
  <c r="AD17" i="46"/>
  <c r="AC17" i="46"/>
  <c r="AB17" i="46"/>
  <c r="AA17" i="46"/>
  <c r="Z17" i="46"/>
  <c r="Y17" i="46"/>
  <c r="AD16" i="46"/>
  <c r="AC16" i="46"/>
  <c r="AB16" i="46"/>
  <c r="AA16" i="46"/>
  <c r="Z16" i="46"/>
  <c r="Y16" i="46"/>
  <c r="AD15" i="46"/>
  <c r="AC15" i="46"/>
  <c r="AB15" i="46"/>
  <c r="AA15" i="46"/>
  <c r="Z15" i="46"/>
  <c r="Y15" i="46"/>
  <c r="AD14" i="46"/>
  <c r="AC14" i="46"/>
  <c r="AB14" i="46"/>
  <c r="AA14" i="46"/>
  <c r="Z14" i="46"/>
  <c r="Y14" i="46"/>
  <c r="AD13" i="46"/>
  <c r="AC13" i="46"/>
  <c r="AB13" i="46"/>
  <c r="AA13" i="46"/>
  <c r="Z13" i="46"/>
  <c r="Y13" i="46"/>
  <c r="AD12" i="46"/>
  <c r="AC12" i="46"/>
  <c r="AB12" i="46"/>
  <c r="AA12" i="46"/>
  <c r="Z12" i="46"/>
  <c r="Y12" i="46"/>
  <c r="AD11" i="46"/>
  <c r="AC11" i="46"/>
  <c r="AB11" i="46"/>
  <c r="AA11" i="46"/>
  <c r="Z11" i="46"/>
  <c r="Y11" i="46"/>
  <c r="AD10" i="46"/>
  <c r="AC10" i="46"/>
  <c r="AB10" i="46"/>
  <c r="AA10" i="46"/>
  <c r="Z10" i="46"/>
  <c r="Y10" i="46"/>
  <c r="AD9" i="46"/>
  <c r="AC9" i="46"/>
  <c r="AB9" i="46"/>
  <c r="AA9" i="46"/>
  <c r="Z9" i="46"/>
  <c r="Y9" i="46"/>
  <c r="AD8" i="46"/>
  <c r="AC8" i="46"/>
  <c r="AB8" i="46"/>
  <c r="AA8" i="46"/>
  <c r="Z8" i="46"/>
  <c r="Y8" i="46"/>
  <c r="AD7" i="46"/>
  <c r="AC7" i="46"/>
  <c r="AB7" i="46"/>
  <c r="AA7" i="46"/>
  <c r="Z7" i="46"/>
  <c r="Y7" i="46"/>
  <c r="W45" i="45"/>
  <c r="T45" i="45"/>
  <c r="R45" i="45"/>
  <c r="O45" i="45"/>
  <c r="M45" i="45"/>
  <c r="J45" i="45"/>
  <c r="W39" i="45"/>
  <c r="U39" i="45"/>
  <c r="T39" i="45"/>
  <c r="R39" i="45"/>
  <c r="P39" i="45"/>
  <c r="O39" i="45"/>
  <c r="W38" i="45"/>
  <c r="T38" i="45"/>
  <c r="R38" i="45"/>
  <c r="O38" i="45"/>
  <c r="W37" i="45"/>
  <c r="T37" i="45"/>
  <c r="R37" i="45"/>
  <c r="P37" i="45"/>
  <c r="O37" i="45"/>
  <c r="W36" i="45"/>
  <c r="T36" i="45"/>
  <c r="R36" i="45"/>
  <c r="P36" i="45"/>
  <c r="O36" i="45"/>
  <c r="W35" i="45"/>
  <c r="T35" i="45"/>
  <c r="R35" i="45"/>
  <c r="P35" i="45"/>
  <c r="O35" i="45"/>
  <c r="W34" i="45"/>
  <c r="T34" i="45"/>
  <c r="R34" i="45"/>
  <c r="O34" i="45"/>
  <c r="W33" i="45"/>
  <c r="T33" i="45"/>
  <c r="R33" i="45"/>
  <c r="O33" i="45"/>
  <c r="W31" i="45"/>
  <c r="T31" i="45"/>
  <c r="R31" i="45"/>
  <c r="O31" i="45"/>
  <c r="M31" i="45"/>
  <c r="J31" i="45"/>
  <c r="W30" i="45"/>
  <c r="T30" i="45"/>
  <c r="R30" i="45"/>
  <c r="O30" i="45"/>
  <c r="M30" i="45"/>
  <c r="J30" i="45"/>
  <c r="W29" i="45"/>
  <c r="T29" i="45"/>
  <c r="R29" i="45"/>
  <c r="O29" i="45"/>
  <c r="M29" i="45"/>
  <c r="J29" i="45"/>
  <c r="W28" i="45"/>
  <c r="T28" i="45"/>
  <c r="R28" i="45"/>
  <c r="O28" i="45"/>
  <c r="M28" i="45"/>
  <c r="J28" i="45"/>
  <c r="AD27" i="45"/>
  <c r="AC27" i="45"/>
  <c r="AB27" i="45"/>
  <c r="AA27" i="45"/>
  <c r="Z27" i="45"/>
  <c r="Y27" i="45"/>
  <c r="AD26" i="45"/>
  <c r="AC26" i="45"/>
  <c r="AB26" i="45"/>
  <c r="AA26" i="45"/>
  <c r="Z26" i="45"/>
  <c r="Y26" i="45"/>
  <c r="AD25" i="45"/>
  <c r="AC25" i="45"/>
  <c r="AB25" i="45"/>
  <c r="AA25" i="45"/>
  <c r="Z25" i="45"/>
  <c r="Y25" i="45"/>
  <c r="AD24" i="45"/>
  <c r="AC24" i="45"/>
  <c r="AB24" i="45"/>
  <c r="AA24" i="45"/>
  <c r="Z24" i="45"/>
  <c r="Y24" i="45"/>
  <c r="AD23" i="45"/>
  <c r="AC23" i="45"/>
  <c r="AB23" i="45"/>
  <c r="AA23" i="45"/>
  <c r="Z23" i="45"/>
  <c r="Y23" i="45"/>
  <c r="W23" i="45"/>
  <c r="T23" i="45"/>
  <c r="R23" i="45"/>
  <c r="O23" i="45"/>
  <c r="M23" i="45"/>
  <c r="J23" i="45"/>
  <c r="AD22" i="45"/>
  <c r="AC22" i="45"/>
  <c r="AB22" i="45"/>
  <c r="AA22" i="45"/>
  <c r="Z22" i="45"/>
  <c r="Y22" i="45"/>
  <c r="W22" i="45"/>
  <c r="T22" i="45"/>
  <c r="R22" i="45"/>
  <c r="O22" i="45"/>
  <c r="M22" i="45"/>
  <c r="J22" i="45"/>
  <c r="AD21" i="45"/>
  <c r="AC21" i="45"/>
  <c r="AB21" i="45"/>
  <c r="AA21" i="45"/>
  <c r="Z21" i="45"/>
  <c r="Y21" i="45"/>
  <c r="W21" i="45"/>
  <c r="T21" i="45"/>
  <c r="R21" i="45"/>
  <c r="O21" i="45"/>
  <c r="M21" i="45"/>
  <c r="J21" i="45"/>
  <c r="AD20" i="45"/>
  <c r="AC20" i="45"/>
  <c r="AB20" i="45"/>
  <c r="AA20" i="45"/>
  <c r="Z20" i="45"/>
  <c r="Y20" i="45"/>
  <c r="W20" i="45"/>
  <c r="T20" i="45"/>
  <c r="R20" i="45"/>
  <c r="O20" i="45"/>
  <c r="M20" i="45"/>
  <c r="J20" i="45"/>
  <c r="AD19" i="45"/>
  <c r="AC19" i="45"/>
  <c r="AB19" i="45"/>
  <c r="AA19" i="45"/>
  <c r="Z19" i="45"/>
  <c r="Y19" i="45"/>
  <c r="W19" i="45"/>
  <c r="T19" i="45"/>
  <c r="R19" i="45"/>
  <c r="O19" i="45"/>
  <c r="M19" i="45"/>
  <c r="J19" i="45"/>
  <c r="AD18" i="45"/>
  <c r="AC18" i="45"/>
  <c r="AB18" i="45"/>
  <c r="AA18" i="45"/>
  <c r="Z18" i="45"/>
  <c r="Y18" i="45"/>
  <c r="W18" i="45"/>
  <c r="T18" i="45"/>
  <c r="R18" i="45"/>
  <c r="O18" i="45"/>
  <c r="M18" i="45"/>
  <c r="J18" i="45"/>
  <c r="AD17" i="45"/>
  <c r="AC17" i="45"/>
  <c r="AB17" i="45"/>
  <c r="AA17" i="45"/>
  <c r="Z17" i="45"/>
  <c r="Y17" i="45"/>
  <c r="W17" i="45"/>
  <c r="T17" i="45"/>
  <c r="R17" i="45"/>
  <c r="O17" i="45"/>
  <c r="M17" i="45"/>
  <c r="J17" i="45"/>
  <c r="AD16" i="45"/>
  <c r="AC16" i="45"/>
  <c r="AB16" i="45"/>
  <c r="AA16" i="45"/>
  <c r="Z16" i="45"/>
  <c r="Y16" i="45"/>
  <c r="W16" i="45"/>
  <c r="T16" i="45"/>
  <c r="R16" i="45"/>
  <c r="O16" i="45"/>
  <c r="M16" i="45"/>
  <c r="J16" i="45"/>
  <c r="AD15" i="45"/>
  <c r="AC15" i="45"/>
  <c r="AB15" i="45"/>
  <c r="AA15" i="45"/>
  <c r="Z15" i="45"/>
  <c r="Y15" i="45"/>
  <c r="W15" i="45"/>
  <c r="T15" i="45"/>
  <c r="R15" i="45"/>
  <c r="O15" i="45"/>
  <c r="M15" i="45"/>
  <c r="J15" i="45"/>
  <c r="AD14" i="45"/>
  <c r="AC14" i="45"/>
  <c r="AB14" i="45"/>
  <c r="AA14" i="45"/>
  <c r="Z14" i="45"/>
  <c r="Y14" i="45"/>
  <c r="W14" i="45"/>
  <c r="T14" i="45"/>
  <c r="R14" i="45"/>
  <c r="O14" i="45"/>
  <c r="M14" i="45"/>
  <c r="J14" i="45"/>
  <c r="AD13" i="45"/>
  <c r="AC13" i="45"/>
  <c r="AB13" i="45"/>
  <c r="AA13" i="45"/>
  <c r="Z13" i="45"/>
  <c r="Y13" i="45"/>
  <c r="W13" i="45"/>
  <c r="T13" i="45"/>
  <c r="R13" i="45"/>
  <c r="O13" i="45"/>
  <c r="M13" i="45"/>
  <c r="J13" i="45"/>
  <c r="AD12" i="45"/>
  <c r="AC12" i="45"/>
  <c r="AB12" i="45"/>
  <c r="AA12" i="45"/>
  <c r="Z12" i="45"/>
  <c r="Y12" i="45"/>
  <c r="W12" i="45"/>
  <c r="T12" i="45"/>
  <c r="R12" i="45"/>
  <c r="O12" i="45"/>
  <c r="M12" i="45"/>
  <c r="J12" i="45"/>
  <c r="AD11" i="45"/>
  <c r="AC11" i="45"/>
  <c r="AB11" i="45"/>
  <c r="AA11" i="45"/>
  <c r="Z11" i="45"/>
  <c r="Y11" i="45"/>
  <c r="W11" i="45"/>
  <c r="T11" i="45"/>
  <c r="R11" i="45"/>
  <c r="O11" i="45"/>
  <c r="M11" i="45"/>
  <c r="J11" i="45"/>
  <c r="AD10" i="45"/>
  <c r="AC10" i="45"/>
  <c r="AB10" i="45"/>
  <c r="AA10" i="45"/>
  <c r="Z10" i="45"/>
  <c r="Y10" i="45"/>
  <c r="W10" i="45"/>
  <c r="T10" i="45"/>
  <c r="R10" i="45"/>
  <c r="O10" i="45"/>
  <c r="M10" i="45"/>
  <c r="J10" i="45"/>
  <c r="AD9" i="45"/>
  <c r="AC9" i="45"/>
  <c r="AB9" i="45"/>
  <c r="AA9" i="45"/>
  <c r="Z9" i="45"/>
  <c r="Y9" i="45"/>
  <c r="W9" i="45"/>
  <c r="T9" i="45"/>
  <c r="R9" i="45"/>
  <c r="O9" i="45"/>
  <c r="M9" i="45"/>
  <c r="J9" i="45"/>
  <c r="AD8" i="45"/>
  <c r="AC8" i="45"/>
  <c r="AB8" i="45"/>
  <c r="AA8" i="45"/>
  <c r="Z8" i="45"/>
  <c r="Y8" i="45"/>
  <c r="W8" i="45"/>
  <c r="T8" i="45"/>
  <c r="R8" i="45"/>
  <c r="O8" i="45"/>
  <c r="M8" i="45"/>
  <c r="J8" i="45"/>
  <c r="AD7" i="45"/>
  <c r="AC7" i="45"/>
  <c r="AB7" i="45"/>
  <c r="AA7" i="45"/>
  <c r="Z7" i="45"/>
  <c r="Y7" i="45"/>
  <c r="W7" i="45"/>
  <c r="T7" i="45"/>
  <c r="R7" i="45"/>
  <c r="O7" i="45"/>
  <c r="M7" i="45"/>
  <c r="J7" i="45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L36" i="29"/>
  <c r="G36" i="29"/>
  <c r="G25" i="29"/>
  <c r="L25" i="29" s="1"/>
  <c r="G24" i="29"/>
  <c r="L24" i="29" s="1"/>
  <c r="G16" i="29"/>
  <c r="L16" i="29" s="1"/>
  <c r="G15" i="29"/>
  <c r="L15" i="29" s="1"/>
  <c r="L13" i="29"/>
  <c r="G13" i="29"/>
  <c r="G12" i="29"/>
  <c r="L12" i="29" s="1"/>
  <c r="L10" i="29"/>
  <c r="G10" i="29"/>
  <c r="W40" i="41"/>
  <c r="T40" i="41"/>
  <c r="K40" i="41"/>
  <c r="H40" i="41"/>
  <c r="AF39" i="41"/>
  <c r="AF39" i="43" s="1"/>
  <c r="W39" i="41"/>
  <c r="W39" i="43" s="1"/>
  <c r="T39" i="41"/>
  <c r="T39" i="43" s="1"/>
  <c r="K39" i="41"/>
  <c r="K39" i="43" s="1"/>
  <c r="H39" i="41"/>
  <c r="H39" i="43" s="1"/>
  <c r="AF38" i="41"/>
  <c r="AF38" i="43" s="1"/>
  <c r="W38" i="41"/>
  <c r="W38" i="43" s="1"/>
  <c r="T38" i="41"/>
  <c r="K38" i="41"/>
  <c r="H38" i="41"/>
  <c r="H38" i="43" s="1"/>
  <c r="AF37" i="41"/>
  <c r="W37" i="41"/>
  <c r="W37" i="43" s="1"/>
  <c r="T37" i="41"/>
  <c r="T37" i="43" s="1"/>
  <c r="K37" i="41"/>
  <c r="H37" i="41"/>
  <c r="AF36" i="41"/>
  <c r="W36" i="41"/>
  <c r="T36" i="41"/>
  <c r="T36" i="43" s="1"/>
  <c r="K36" i="41"/>
  <c r="K36" i="43" s="1"/>
  <c r="H36" i="41"/>
  <c r="H36" i="43" s="1"/>
  <c r="AF35" i="41"/>
  <c r="AF35" i="43" s="1"/>
  <c r="W35" i="41"/>
  <c r="W35" i="43" s="1"/>
  <c r="T35" i="41"/>
  <c r="T35" i="43" s="1"/>
  <c r="K35" i="41"/>
  <c r="H35" i="41"/>
  <c r="Z26" i="41"/>
  <c r="Z26" i="43" s="1"/>
  <c r="W26" i="41"/>
  <c r="W26" i="43" s="1"/>
  <c r="T26" i="41"/>
  <c r="K26" i="41"/>
  <c r="H26" i="41"/>
  <c r="AF25" i="41"/>
  <c r="Z25" i="41"/>
  <c r="W25" i="41"/>
  <c r="T25" i="41"/>
  <c r="K25" i="41"/>
  <c r="H25" i="41"/>
  <c r="AF24" i="41"/>
  <c r="Z24" i="41"/>
  <c r="W24" i="41"/>
  <c r="T24" i="41"/>
  <c r="K24" i="41"/>
  <c r="H24" i="41"/>
  <c r="H24" i="43" s="1"/>
  <c r="AF23" i="41"/>
  <c r="AF23" i="43" s="1"/>
  <c r="Z23" i="41"/>
  <c r="Z23" i="43" s="1"/>
  <c r="W23" i="41"/>
  <c r="W23" i="43" s="1"/>
  <c r="T23" i="41"/>
  <c r="T23" i="43" s="1"/>
  <c r="K23" i="41"/>
  <c r="K23" i="43" s="1"/>
  <c r="H23" i="41"/>
  <c r="AF22" i="41"/>
  <c r="Z22" i="41"/>
  <c r="W22" i="41"/>
  <c r="T22" i="41"/>
  <c r="T22" i="43" s="1"/>
  <c r="K22" i="41"/>
  <c r="K22" i="43" s="1"/>
  <c r="H22" i="41"/>
  <c r="AF21" i="41"/>
  <c r="Z21" i="41"/>
  <c r="W21" i="41"/>
  <c r="T21" i="41"/>
  <c r="K21" i="41"/>
  <c r="K21" i="43" s="1"/>
  <c r="H21" i="41"/>
  <c r="H21" i="43" s="1"/>
  <c r="AF19" i="41"/>
  <c r="AF19" i="43" s="1"/>
  <c r="Z19" i="41"/>
  <c r="Z19" i="43" s="1"/>
  <c r="W19" i="41"/>
  <c r="W19" i="43" s="1"/>
  <c r="T19" i="41"/>
  <c r="T19" i="43" s="1"/>
  <c r="K19" i="41"/>
  <c r="H19" i="41"/>
  <c r="AF18" i="41"/>
  <c r="AF18" i="43" s="1"/>
  <c r="Z18" i="41"/>
  <c r="W18" i="41"/>
  <c r="T18" i="41"/>
  <c r="K18" i="41"/>
  <c r="H18" i="41"/>
  <c r="AF15" i="41"/>
  <c r="Z15" i="41"/>
  <c r="W15" i="41"/>
  <c r="T15" i="41"/>
  <c r="K15" i="41"/>
  <c r="K15" i="43" s="1"/>
  <c r="H15" i="41"/>
  <c r="H15" i="43" s="1"/>
  <c r="AF13" i="41"/>
  <c r="Z13" i="41"/>
  <c r="W13" i="41"/>
  <c r="T13" i="41"/>
  <c r="K13" i="41"/>
  <c r="K13" i="43" s="1"/>
  <c r="H13" i="41"/>
  <c r="H13" i="43" s="1"/>
  <c r="AF10" i="41"/>
  <c r="AF10" i="43" s="1"/>
  <c r="Z10" i="41"/>
  <c r="Z10" i="43" s="1"/>
  <c r="W10" i="41"/>
  <c r="W10" i="43" s="1"/>
  <c r="T10" i="41"/>
  <c r="K10" i="41"/>
  <c r="H10" i="41"/>
  <c r="AF8" i="41"/>
  <c r="Z8" i="41"/>
  <c r="Z8" i="43" s="1"/>
  <c r="W8" i="41"/>
  <c r="T8" i="41"/>
  <c r="K8" i="41"/>
  <c r="H8" i="41"/>
  <c r="AF40" i="43"/>
  <c r="AE40" i="43"/>
  <c r="W40" i="43"/>
  <c r="V40" i="43"/>
  <c r="T40" i="43"/>
  <c r="S40" i="43"/>
  <c r="N40" i="43"/>
  <c r="M40" i="43"/>
  <c r="K40" i="43"/>
  <c r="J40" i="43"/>
  <c r="H40" i="43"/>
  <c r="G40" i="43"/>
  <c r="AE39" i="43"/>
  <c r="V39" i="43"/>
  <c r="S39" i="43"/>
  <c r="N39" i="43"/>
  <c r="M39" i="43"/>
  <c r="J39" i="43"/>
  <c r="G39" i="43"/>
  <c r="AE38" i="43"/>
  <c r="V38" i="43"/>
  <c r="T38" i="43"/>
  <c r="S38" i="43"/>
  <c r="N38" i="43"/>
  <c r="M38" i="43"/>
  <c r="K38" i="43"/>
  <c r="J38" i="43"/>
  <c r="G38" i="43"/>
  <c r="AF37" i="43"/>
  <c r="AE37" i="43"/>
  <c r="V37" i="43"/>
  <c r="S37" i="43"/>
  <c r="N37" i="43"/>
  <c r="M37" i="43"/>
  <c r="K37" i="43"/>
  <c r="J37" i="43"/>
  <c r="H37" i="43"/>
  <c r="G37" i="43"/>
  <c r="AF36" i="43"/>
  <c r="AE36" i="43"/>
  <c r="W36" i="43"/>
  <c r="V36" i="43"/>
  <c r="S36" i="43"/>
  <c r="N36" i="43"/>
  <c r="M36" i="43"/>
  <c r="J36" i="43"/>
  <c r="G36" i="43"/>
  <c r="AE35" i="43"/>
  <c r="V35" i="43"/>
  <c r="S35" i="43"/>
  <c r="N35" i="43"/>
  <c r="M35" i="43"/>
  <c r="K35" i="43"/>
  <c r="J35" i="43"/>
  <c r="H35" i="43"/>
  <c r="G35" i="43"/>
  <c r="AF26" i="43"/>
  <c r="AE26" i="43"/>
  <c r="Y26" i="43"/>
  <c r="V26" i="43"/>
  <c r="T26" i="43"/>
  <c r="S26" i="43"/>
  <c r="N26" i="43"/>
  <c r="M26" i="43"/>
  <c r="K26" i="43"/>
  <c r="J26" i="43"/>
  <c r="H26" i="43"/>
  <c r="G26" i="43"/>
  <c r="AF25" i="43"/>
  <c r="AE25" i="43"/>
  <c r="Z25" i="43"/>
  <c r="Y25" i="43"/>
  <c r="W25" i="43"/>
  <c r="V25" i="43"/>
  <c r="T25" i="43"/>
  <c r="S25" i="43"/>
  <c r="N25" i="43"/>
  <c r="M25" i="43"/>
  <c r="K25" i="43"/>
  <c r="J25" i="43"/>
  <c r="H25" i="43"/>
  <c r="G25" i="43"/>
  <c r="AF24" i="43"/>
  <c r="AE24" i="43"/>
  <c r="Z24" i="43"/>
  <c r="Y24" i="43"/>
  <c r="W24" i="43"/>
  <c r="V24" i="43"/>
  <c r="T24" i="43"/>
  <c r="S24" i="43"/>
  <c r="N24" i="43"/>
  <c r="M24" i="43"/>
  <c r="K24" i="43"/>
  <c r="J24" i="43"/>
  <c r="G24" i="43"/>
  <c r="AE23" i="43"/>
  <c r="Y23" i="43"/>
  <c r="V23" i="43"/>
  <c r="S23" i="43"/>
  <c r="N23" i="43"/>
  <c r="M23" i="43"/>
  <c r="J23" i="43"/>
  <c r="H23" i="43"/>
  <c r="G23" i="43"/>
  <c r="AF22" i="43"/>
  <c r="AE22" i="43"/>
  <c r="Z22" i="43"/>
  <c r="Y22" i="43"/>
  <c r="W22" i="43"/>
  <c r="V22" i="43"/>
  <c r="S22" i="43"/>
  <c r="N22" i="43"/>
  <c r="M22" i="43"/>
  <c r="J22" i="43"/>
  <c r="H22" i="43"/>
  <c r="G22" i="43"/>
  <c r="AF21" i="43"/>
  <c r="AE21" i="43"/>
  <c r="Z21" i="43"/>
  <c r="Y21" i="43"/>
  <c r="W21" i="43"/>
  <c r="V21" i="43"/>
  <c r="T21" i="43"/>
  <c r="S21" i="43"/>
  <c r="N21" i="43"/>
  <c r="M21" i="43"/>
  <c r="J21" i="43"/>
  <c r="G21" i="43"/>
  <c r="AL20" i="43"/>
  <c r="AE19" i="43"/>
  <c r="Y19" i="43"/>
  <c r="V19" i="43"/>
  <c r="S19" i="43"/>
  <c r="N19" i="43"/>
  <c r="M19" i="43"/>
  <c r="K19" i="43"/>
  <c r="J19" i="43"/>
  <c r="H19" i="43"/>
  <c r="G19" i="43"/>
  <c r="AE18" i="43"/>
  <c r="Z18" i="43"/>
  <c r="Y18" i="43"/>
  <c r="W18" i="43"/>
  <c r="V18" i="43"/>
  <c r="T18" i="43"/>
  <c r="S18" i="43"/>
  <c r="N18" i="43"/>
  <c r="M18" i="43"/>
  <c r="K18" i="43"/>
  <c r="J18" i="43"/>
  <c r="H18" i="43"/>
  <c r="G18" i="43"/>
  <c r="AL17" i="43"/>
  <c r="AF15" i="43"/>
  <c r="AE15" i="43"/>
  <c r="Z15" i="43"/>
  <c r="Y15" i="43"/>
  <c r="W15" i="43"/>
  <c r="V15" i="43"/>
  <c r="T15" i="43"/>
  <c r="S15" i="43"/>
  <c r="N15" i="43"/>
  <c r="M15" i="43"/>
  <c r="J15" i="43"/>
  <c r="G15" i="43"/>
  <c r="AF13" i="43"/>
  <c r="AE13" i="43"/>
  <c r="Z13" i="43"/>
  <c r="Y13" i="43"/>
  <c r="W13" i="43"/>
  <c r="V13" i="43"/>
  <c r="T13" i="43"/>
  <c r="S13" i="43"/>
  <c r="N13" i="43"/>
  <c r="M13" i="43"/>
  <c r="J13" i="43"/>
  <c r="G13" i="43"/>
  <c r="AL12" i="43"/>
  <c r="AE10" i="43"/>
  <c r="Y10" i="43"/>
  <c r="V10" i="43"/>
  <c r="T10" i="43"/>
  <c r="S10" i="43"/>
  <c r="N10" i="43"/>
  <c r="M10" i="43"/>
  <c r="K10" i="43"/>
  <c r="J10" i="43"/>
  <c r="H10" i="43"/>
  <c r="G10" i="43"/>
  <c r="AF8" i="43"/>
  <c r="AE8" i="43"/>
  <c r="Y8" i="43"/>
  <c r="W8" i="43"/>
  <c r="V8" i="43"/>
  <c r="T8" i="43"/>
  <c r="S8" i="43"/>
  <c r="N8" i="43"/>
  <c r="M8" i="43"/>
  <c r="K8" i="43"/>
  <c r="J8" i="43"/>
  <c r="H8" i="43"/>
  <c r="G8" i="43"/>
  <c r="AH4" i="43"/>
  <c r="AE4" i="43"/>
  <c r="AB4" i="43"/>
  <c r="V4" i="43"/>
  <c r="S4" i="43"/>
  <c r="P4" i="43"/>
  <c r="W46" i="42"/>
  <c r="T46" i="42"/>
  <c r="R46" i="42"/>
  <c r="O46" i="42"/>
  <c r="M46" i="42"/>
  <c r="J46" i="42"/>
  <c r="W40" i="42"/>
  <c r="U40" i="42"/>
  <c r="T40" i="42"/>
  <c r="R40" i="42"/>
  <c r="P40" i="42"/>
  <c r="O40" i="42"/>
  <c r="W39" i="42"/>
  <c r="T39" i="42"/>
  <c r="R39" i="42"/>
  <c r="O39" i="42"/>
  <c r="W38" i="42"/>
  <c r="T38" i="42"/>
  <c r="R38" i="42"/>
  <c r="P38" i="42"/>
  <c r="O38" i="42"/>
  <c r="W37" i="42"/>
  <c r="T37" i="42"/>
  <c r="R37" i="42"/>
  <c r="P37" i="42"/>
  <c r="O37" i="42"/>
  <c r="W36" i="42"/>
  <c r="T36" i="42"/>
  <c r="R36" i="42"/>
  <c r="P36" i="42"/>
  <c r="O36" i="42"/>
  <c r="W35" i="42"/>
  <c r="T35" i="42"/>
  <c r="R35" i="42"/>
  <c r="P35" i="42"/>
  <c r="O35" i="42"/>
  <c r="W34" i="42"/>
  <c r="T34" i="42"/>
  <c r="R34" i="42"/>
  <c r="O34" i="42"/>
  <c r="W33" i="42"/>
  <c r="T33" i="42"/>
  <c r="R33" i="42"/>
  <c r="O33" i="42"/>
  <c r="W31" i="42"/>
  <c r="T31" i="42"/>
  <c r="R31" i="42"/>
  <c r="O31" i="42"/>
  <c r="M31" i="42"/>
  <c r="J31" i="42"/>
  <c r="W30" i="42"/>
  <c r="T30" i="42"/>
  <c r="R30" i="42"/>
  <c r="O30" i="42"/>
  <c r="M30" i="42"/>
  <c r="J30" i="42"/>
  <c r="W29" i="42"/>
  <c r="T29" i="42"/>
  <c r="R29" i="42"/>
  <c r="O29" i="42"/>
  <c r="M29" i="42"/>
  <c r="J29" i="42"/>
  <c r="W28" i="42"/>
  <c r="T28" i="42"/>
  <c r="R28" i="42"/>
  <c r="O28" i="42"/>
  <c r="M28" i="42"/>
  <c r="J28" i="42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W23" i="42"/>
  <c r="T23" i="42"/>
  <c r="R23" i="42"/>
  <c r="O23" i="42"/>
  <c r="M23" i="42"/>
  <c r="J23" i="42"/>
  <c r="AD22" i="42"/>
  <c r="AC22" i="42"/>
  <c r="AB22" i="42"/>
  <c r="AA22" i="42"/>
  <c r="Z22" i="42"/>
  <c r="Y22" i="42"/>
  <c r="W22" i="42"/>
  <c r="T22" i="42"/>
  <c r="R22" i="42"/>
  <c r="O22" i="42"/>
  <c r="M22" i="42"/>
  <c r="J22" i="42"/>
  <c r="AD21" i="42"/>
  <c r="AC21" i="42"/>
  <c r="AB21" i="42"/>
  <c r="AA21" i="42"/>
  <c r="Z21" i="42"/>
  <c r="Y21" i="42"/>
  <c r="W21" i="42"/>
  <c r="T21" i="42"/>
  <c r="R21" i="42"/>
  <c r="O21" i="42"/>
  <c r="M21" i="42"/>
  <c r="J21" i="42"/>
  <c r="AD20" i="42"/>
  <c r="AC20" i="42"/>
  <c r="AB20" i="42"/>
  <c r="AA20" i="42"/>
  <c r="Z20" i="42"/>
  <c r="Y20" i="42"/>
  <c r="W20" i="42"/>
  <c r="T20" i="42"/>
  <c r="R20" i="42"/>
  <c r="O20" i="42"/>
  <c r="M20" i="42"/>
  <c r="J20" i="42"/>
  <c r="AD19" i="42"/>
  <c r="AC19" i="42"/>
  <c r="AB19" i="42"/>
  <c r="AA19" i="42"/>
  <c r="Z19" i="42"/>
  <c r="Y19" i="42"/>
  <c r="W19" i="42"/>
  <c r="T19" i="42"/>
  <c r="R19" i="42"/>
  <c r="O19" i="42"/>
  <c r="M19" i="42"/>
  <c r="J19" i="42"/>
  <c r="AD18" i="42"/>
  <c r="AC18" i="42"/>
  <c r="AB18" i="42"/>
  <c r="AA18" i="42"/>
  <c r="Z18" i="42"/>
  <c r="Y18" i="42"/>
  <c r="W18" i="42"/>
  <c r="T18" i="42"/>
  <c r="R18" i="42"/>
  <c r="O18" i="42"/>
  <c r="M18" i="42"/>
  <c r="J18" i="42"/>
  <c r="AD17" i="42"/>
  <c r="AC17" i="42"/>
  <c r="AB17" i="42"/>
  <c r="AA17" i="42"/>
  <c r="Z17" i="42"/>
  <c r="Y17" i="42"/>
  <c r="W17" i="42"/>
  <c r="T17" i="42"/>
  <c r="R17" i="42"/>
  <c r="O17" i="42"/>
  <c r="M17" i="42"/>
  <c r="J17" i="42"/>
  <c r="AD16" i="42"/>
  <c r="AC16" i="42"/>
  <c r="AB16" i="42"/>
  <c r="AA16" i="42"/>
  <c r="Z16" i="42"/>
  <c r="Y16" i="42"/>
  <c r="W16" i="42"/>
  <c r="T16" i="42"/>
  <c r="R16" i="42"/>
  <c r="O16" i="42"/>
  <c r="M16" i="42"/>
  <c r="J16" i="42"/>
  <c r="AD15" i="42"/>
  <c r="AC15" i="42"/>
  <c r="AB15" i="42"/>
  <c r="AA15" i="42"/>
  <c r="Z15" i="42"/>
  <c r="Y15" i="42"/>
  <c r="W15" i="42"/>
  <c r="T15" i="42"/>
  <c r="R15" i="42"/>
  <c r="O15" i="42"/>
  <c r="M15" i="42"/>
  <c r="J15" i="42"/>
  <c r="AD14" i="42"/>
  <c r="AC14" i="42"/>
  <c r="AB14" i="42"/>
  <c r="AA14" i="42"/>
  <c r="Z14" i="42"/>
  <c r="Y14" i="42"/>
  <c r="W14" i="42"/>
  <c r="T14" i="42"/>
  <c r="R14" i="42"/>
  <c r="O14" i="42"/>
  <c r="M14" i="42"/>
  <c r="J14" i="42"/>
  <c r="AD13" i="42"/>
  <c r="AC13" i="42"/>
  <c r="AB13" i="42"/>
  <c r="AA13" i="42"/>
  <c r="Z13" i="42"/>
  <c r="Y13" i="42"/>
  <c r="W13" i="42"/>
  <c r="T13" i="42"/>
  <c r="R13" i="42"/>
  <c r="O13" i="42"/>
  <c r="M13" i="42"/>
  <c r="J13" i="42"/>
  <c r="AD12" i="42"/>
  <c r="AC12" i="42"/>
  <c r="AB12" i="42"/>
  <c r="AA12" i="42"/>
  <c r="Z12" i="42"/>
  <c r="Y12" i="42"/>
  <c r="W12" i="42"/>
  <c r="T12" i="42"/>
  <c r="R12" i="42"/>
  <c r="O12" i="42"/>
  <c r="M12" i="42"/>
  <c r="J12" i="42"/>
  <c r="AD11" i="42"/>
  <c r="AC11" i="42"/>
  <c r="AB11" i="42"/>
  <c r="AA11" i="42"/>
  <c r="Z11" i="42"/>
  <c r="Y11" i="42"/>
  <c r="W11" i="42"/>
  <c r="T11" i="42"/>
  <c r="R11" i="42"/>
  <c r="O11" i="42"/>
  <c r="M11" i="42"/>
  <c r="J11" i="42"/>
  <c r="AD10" i="42"/>
  <c r="AC10" i="42"/>
  <c r="AB10" i="42"/>
  <c r="AA10" i="42"/>
  <c r="Z10" i="42"/>
  <c r="Y10" i="42"/>
  <c r="W10" i="42"/>
  <c r="T10" i="42"/>
  <c r="R10" i="42"/>
  <c r="O10" i="42"/>
  <c r="M10" i="42"/>
  <c r="J10" i="42"/>
  <c r="AD9" i="42"/>
  <c r="AC9" i="42"/>
  <c r="AB9" i="42"/>
  <c r="AA9" i="42"/>
  <c r="Z9" i="42"/>
  <c r="Y9" i="42"/>
  <c r="W9" i="42"/>
  <c r="T9" i="42"/>
  <c r="R9" i="42"/>
  <c r="O9" i="42"/>
  <c r="M9" i="42"/>
  <c r="J9" i="42"/>
  <c r="AD8" i="42"/>
  <c r="AC8" i="42"/>
  <c r="AB8" i="42"/>
  <c r="AA8" i="42"/>
  <c r="Z8" i="42"/>
  <c r="Y8" i="42"/>
  <c r="W8" i="42"/>
  <c r="T8" i="42"/>
  <c r="R8" i="42"/>
  <c r="O8" i="42"/>
  <c r="M8" i="42"/>
  <c r="J8" i="42"/>
  <c r="AD7" i="42"/>
  <c r="AC7" i="42"/>
  <c r="AB7" i="42"/>
  <c r="AA7" i="42"/>
  <c r="Z7" i="42"/>
  <c r="Y7" i="42"/>
  <c r="W7" i="42"/>
  <c r="T7" i="42"/>
  <c r="R7" i="42"/>
  <c r="O7" i="42"/>
  <c r="M7" i="42"/>
  <c r="J7" i="42"/>
  <c r="W36" i="2" l="1"/>
  <c r="U35" i="2"/>
  <c r="U35" i="42" l="1"/>
  <c r="U35" i="45"/>
  <c r="AP37" i="29"/>
  <c r="W45" i="46"/>
  <c r="U45" i="46"/>
  <c r="T45" i="46"/>
  <c r="R45" i="46"/>
  <c r="P45" i="46"/>
  <c r="O45" i="46"/>
  <c r="M45" i="46"/>
  <c r="J45" i="46"/>
  <c r="W38" i="46"/>
  <c r="U38" i="46"/>
  <c r="T38" i="46"/>
  <c r="R38" i="46"/>
  <c r="P38" i="46"/>
  <c r="O38" i="46"/>
  <c r="W37" i="46"/>
  <c r="U37" i="46"/>
  <c r="T37" i="46"/>
  <c r="R37" i="46"/>
  <c r="U36" i="46"/>
  <c r="W35" i="46"/>
  <c r="U35" i="46"/>
  <c r="T35" i="46"/>
  <c r="W34" i="46"/>
  <c r="U34" i="46"/>
  <c r="T34" i="46"/>
  <c r="R34" i="46"/>
  <c r="P34" i="46"/>
  <c r="O34" i="46"/>
  <c r="W33" i="46"/>
  <c r="U33" i="46"/>
  <c r="T33" i="46"/>
  <c r="R33" i="46"/>
  <c r="P33" i="46"/>
  <c r="O33" i="46"/>
  <c r="W31" i="46"/>
  <c r="U31" i="46"/>
  <c r="T31" i="46"/>
  <c r="R31" i="46"/>
  <c r="P31" i="46"/>
  <c r="O31" i="46"/>
  <c r="M31" i="46"/>
  <c r="J31" i="46"/>
  <c r="W30" i="46"/>
  <c r="U30" i="46"/>
  <c r="T30" i="46"/>
  <c r="R30" i="46"/>
  <c r="P30" i="46"/>
  <c r="O30" i="46"/>
  <c r="M30" i="46"/>
  <c r="J30" i="46"/>
  <c r="W29" i="46"/>
  <c r="U29" i="46"/>
  <c r="T29" i="46"/>
  <c r="R29" i="46"/>
  <c r="P29" i="46"/>
  <c r="O29" i="46"/>
  <c r="M29" i="46"/>
  <c r="J29" i="46"/>
  <c r="W28" i="46"/>
  <c r="U28" i="46"/>
  <c r="T28" i="46"/>
  <c r="R28" i="46"/>
  <c r="P28" i="46"/>
  <c r="O28" i="46"/>
  <c r="M28" i="46"/>
  <c r="J28" i="46"/>
  <c r="W23" i="46"/>
  <c r="U23" i="46"/>
  <c r="T23" i="46"/>
  <c r="R23" i="46"/>
  <c r="P23" i="46"/>
  <c r="O23" i="46"/>
  <c r="M23" i="46"/>
  <c r="J23" i="46"/>
  <c r="W22" i="46"/>
  <c r="U22" i="46"/>
  <c r="T22" i="46"/>
  <c r="R22" i="46"/>
  <c r="P22" i="46"/>
  <c r="O22" i="46"/>
  <c r="M22" i="46"/>
  <c r="J22" i="46"/>
  <c r="W21" i="46"/>
  <c r="U21" i="46"/>
  <c r="T21" i="46"/>
  <c r="R21" i="46"/>
  <c r="P21" i="46"/>
  <c r="O21" i="46"/>
  <c r="M21" i="46"/>
  <c r="J21" i="46"/>
  <c r="W20" i="46"/>
  <c r="U20" i="46"/>
  <c r="T20" i="46"/>
  <c r="R20" i="46"/>
  <c r="P20" i="46"/>
  <c r="O20" i="46"/>
  <c r="M20" i="46"/>
  <c r="J20" i="46"/>
  <c r="W19" i="46"/>
  <c r="U19" i="46"/>
  <c r="T19" i="46"/>
  <c r="R19" i="46"/>
  <c r="P19" i="46"/>
  <c r="O19" i="46"/>
  <c r="M19" i="46"/>
  <c r="J19" i="46"/>
  <c r="W18" i="46"/>
  <c r="U18" i="46"/>
  <c r="T18" i="46"/>
  <c r="R18" i="46"/>
  <c r="P18" i="46"/>
  <c r="O18" i="46"/>
  <c r="M18" i="46"/>
  <c r="J18" i="46"/>
  <c r="W17" i="46"/>
  <c r="U17" i="46"/>
  <c r="T17" i="46"/>
  <c r="R17" i="46"/>
  <c r="P17" i="46"/>
  <c r="O17" i="46"/>
  <c r="M17" i="46"/>
  <c r="J17" i="46"/>
  <c r="W16" i="46"/>
  <c r="U16" i="46"/>
  <c r="T16" i="46"/>
  <c r="R16" i="46"/>
  <c r="P16" i="46"/>
  <c r="O16" i="46"/>
  <c r="M16" i="46"/>
  <c r="J16" i="46"/>
  <c r="W15" i="46"/>
  <c r="U15" i="46"/>
  <c r="T15" i="46"/>
  <c r="R15" i="46"/>
  <c r="P15" i="46"/>
  <c r="O15" i="46"/>
  <c r="M15" i="46"/>
  <c r="J15" i="46"/>
  <c r="W14" i="46"/>
  <c r="U14" i="46"/>
  <c r="T14" i="46"/>
  <c r="R14" i="46"/>
  <c r="P14" i="46"/>
  <c r="O14" i="46"/>
  <c r="M14" i="46"/>
  <c r="J14" i="46"/>
  <c r="W13" i="46"/>
  <c r="U13" i="46"/>
  <c r="T13" i="46"/>
  <c r="R13" i="46"/>
  <c r="P13" i="46"/>
  <c r="O13" i="46"/>
  <c r="M13" i="46"/>
  <c r="J13" i="46"/>
  <c r="W12" i="46"/>
  <c r="U12" i="46"/>
  <c r="T12" i="46"/>
  <c r="R12" i="46"/>
  <c r="P12" i="46"/>
  <c r="O12" i="46"/>
  <c r="M12" i="46"/>
  <c r="J12" i="46"/>
  <c r="W11" i="46"/>
  <c r="U11" i="46"/>
  <c r="T11" i="46"/>
  <c r="R11" i="46"/>
  <c r="P11" i="46"/>
  <c r="O11" i="46"/>
  <c r="M11" i="46"/>
  <c r="J11" i="46"/>
  <c r="W10" i="46"/>
  <c r="U10" i="46"/>
  <c r="T10" i="46"/>
  <c r="R10" i="46"/>
  <c r="P10" i="46"/>
  <c r="O10" i="46"/>
  <c r="M10" i="46"/>
  <c r="J10" i="46"/>
  <c r="W9" i="46"/>
  <c r="U9" i="46"/>
  <c r="T9" i="46"/>
  <c r="R9" i="46"/>
  <c r="P9" i="46"/>
  <c r="O9" i="46"/>
  <c r="M9" i="46"/>
  <c r="J9" i="46"/>
  <c r="W8" i="46"/>
  <c r="U8" i="46"/>
  <c r="T8" i="46"/>
  <c r="R8" i="46"/>
  <c r="P8" i="46"/>
  <c r="O8" i="46"/>
  <c r="M8" i="46"/>
  <c r="J8" i="46"/>
  <c r="W7" i="46"/>
  <c r="U7" i="46"/>
  <c r="T7" i="46"/>
  <c r="R7" i="46"/>
  <c r="P7" i="46"/>
  <c r="O7" i="46"/>
  <c r="M7" i="46"/>
  <c r="J7" i="46"/>
  <c r="W46" i="2" l="1"/>
  <c r="U46" i="2"/>
  <c r="T46" i="2"/>
  <c r="R46" i="2"/>
  <c r="P46" i="2"/>
  <c r="O46" i="2"/>
  <c r="M46" i="2"/>
  <c r="J46" i="2"/>
  <c r="W39" i="2"/>
  <c r="U39" i="2"/>
  <c r="T39" i="2"/>
  <c r="R39" i="2"/>
  <c r="P39" i="2"/>
  <c r="O39" i="2"/>
  <c r="W38" i="2"/>
  <c r="U38" i="2"/>
  <c r="T38" i="2"/>
  <c r="R38" i="2"/>
  <c r="W37" i="2"/>
  <c r="U37" i="2"/>
  <c r="U36" i="2"/>
  <c r="U36" i="42" s="1"/>
  <c r="T36" i="2"/>
  <c r="W35" i="2"/>
  <c r="T35" i="2"/>
  <c r="W34" i="2"/>
  <c r="U34" i="2"/>
  <c r="T34" i="2"/>
  <c r="R34" i="2"/>
  <c r="P34" i="2"/>
  <c r="O34" i="2"/>
  <c r="W33" i="2"/>
  <c r="U33" i="2"/>
  <c r="T33" i="2"/>
  <c r="R33" i="2"/>
  <c r="P33" i="2"/>
  <c r="O33" i="2"/>
  <c r="W31" i="2"/>
  <c r="U31" i="2"/>
  <c r="T31" i="2"/>
  <c r="R31" i="2"/>
  <c r="P31" i="2"/>
  <c r="O31" i="2"/>
  <c r="M31" i="2"/>
  <c r="J31" i="2"/>
  <c r="W30" i="2"/>
  <c r="U30" i="2"/>
  <c r="T30" i="2"/>
  <c r="R30" i="2"/>
  <c r="P30" i="2"/>
  <c r="O30" i="2"/>
  <c r="M30" i="2"/>
  <c r="J30" i="2"/>
  <c r="W29" i="2"/>
  <c r="U29" i="2"/>
  <c r="T29" i="2"/>
  <c r="R29" i="2"/>
  <c r="P29" i="2"/>
  <c r="O29" i="2"/>
  <c r="M29" i="2"/>
  <c r="J29" i="2"/>
  <c r="W28" i="2"/>
  <c r="U28" i="2"/>
  <c r="T28" i="2"/>
  <c r="R28" i="2"/>
  <c r="P28" i="2"/>
  <c r="O28" i="2"/>
  <c r="M28" i="2"/>
  <c r="J28" i="2"/>
  <c r="W23" i="2"/>
  <c r="U23" i="2"/>
  <c r="T23" i="2"/>
  <c r="R23" i="2"/>
  <c r="P23" i="2"/>
  <c r="O23" i="2"/>
  <c r="M23" i="2"/>
  <c r="J23" i="2"/>
  <c r="W22" i="2"/>
  <c r="U22" i="2"/>
  <c r="T22" i="2"/>
  <c r="R22" i="2"/>
  <c r="P22" i="2"/>
  <c r="O22" i="2"/>
  <c r="M22" i="2"/>
  <c r="J22" i="2"/>
  <c r="W21" i="2"/>
  <c r="U21" i="2"/>
  <c r="T21" i="2"/>
  <c r="R21" i="2"/>
  <c r="P21" i="2"/>
  <c r="O21" i="2"/>
  <c r="M21" i="2"/>
  <c r="J21" i="2"/>
  <c r="W20" i="2"/>
  <c r="U20" i="2"/>
  <c r="T20" i="2"/>
  <c r="R20" i="2"/>
  <c r="P20" i="2"/>
  <c r="O20" i="2"/>
  <c r="M20" i="2"/>
  <c r="J20" i="2"/>
  <c r="W19" i="2"/>
  <c r="U19" i="2"/>
  <c r="T19" i="2"/>
  <c r="R19" i="2"/>
  <c r="P19" i="2"/>
  <c r="O19" i="2"/>
  <c r="M19" i="2"/>
  <c r="J19" i="2"/>
  <c r="W18" i="2"/>
  <c r="U18" i="2"/>
  <c r="T18" i="2"/>
  <c r="R18" i="2"/>
  <c r="P18" i="2"/>
  <c r="O18" i="2"/>
  <c r="M18" i="2"/>
  <c r="J18" i="2"/>
  <c r="W17" i="2"/>
  <c r="U17" i="2"/>
  <c r="T17" i="2"/>
  <c r="R17" i="2"/>
  <c r="P17" i="2"/>
  <c r="O17" i="2"/>
  <c r="M17" i="2"/>
  <c r="J17" i="2"/>
  <c r="W16" i="2"/>
  <c r="U16" i="2"/>
  <c r="T16" i="2"/>
  <c r="R16" i="2"/>
  <c r="P16" i="2"/>
  <c r="O16" i="2"/>
  <c r="M16" i="2"/>
  <c r="J16" i="2"/>
  <c r="W15" i="2"/>
  <c r="U15" i="2"/>
  <c r="T15" i="2"/>
  <c r="R15" i="2"/>
  <c r="P15" i="2"/>
  <c r="O15" i="2"/>
  <c r="M15" i="2"/>
  <c r="J15" i="2"/>
  <c r="W14" i="2"/>
  <c r="U14" i="2"/>
  <c r="T14" i="2"/>
  <c r="R14" i="2"/>
  <c r="P14" i="2"/>
  <c r="O14" i="2"/>
  <c r="M14" i="2"/>
  <c r="J14" i="2"/>
  <c r="W13" i="2"/>
  <c r="U13" i="2"/>
  <c r="T13" i="2"/>
  <c r="R13" i="2"/>
  <c r="P13" i="2"/>
  <c r="O13" i="2"/>
  <c r="M13" i="2"/>
  <c r="J13" i="2"/>
  <c r="W12" i="2"/>
  <c r="U12" i="2"/>
  <c r="T12" i="2"/>
  <c r="R12" i="2"/>
  <c r="P12" i="2"/>
  <c r="O12" i="2"/>
  <c r="M12" i="2"/>
  <c r="J12" i="2"/>
  <c r="W11" i="2"/>
  <c r="U11" i="2"/>
  <c r="T11" i="2"/>
  <c r="R11" i="2"/>
  <c r="P11" i="2"/>
  <c r="O11" i="2"/>
  <c r="M11" i="2"/>
  <c r="J11" i="2"/>
  <c r="W10" i="2"/>
  <c r="U10" i="2"/>
  <c r="T10" i="2"/>
  <c r="R10" i="2"/>
  <c r="P10" i="2"/>
  <c r="O10" i="2"/>
  <c r="M10" i="2"/>
  <c r="J10" i="2"/>
  <c r="W9" i="2"/>
  <c r="U9" i="2"/>
  <c r="T9" i="2"/>
  <c r="R9" i="2"/>
  <c r="P9" i="2"/>
  <c r="O9" i="2"/>
  <c r="M9" i="2"/>
  <c r="J9" i="2"/>
  <c r="W8" i="2"/>
  <c r="U8" i="2"/>
  <c r="T8" i="2"/>
  <c r="R8" i="2"/>
  <c r="P8" i="2"/>
  <c r="O8" i="2"/>
  <c r="M8" i="2"/>
  <c r="J8" i="2"/>
  <c r="W7" i="2"/>
  <c r="U7" i="2"/>
  <c r="T7" i="2"/>
  <c r="R7" i="2"/>
  <c r="P7" i="2"/>
  <c r="O7" i="2"/>
  <c r="M7" i="2"/>
  <c r="J7" i="2"/>
  <c r="V28" i="1"/>
  <c r="V27" i="1"/>
  <c r="V24" i="1"/>
  <c r="V23" i="1"/>
  <c r="AA28" i="1"/>
  <c r="P15" i="45" l="1"/>
  <c r="P15" i="42"/>
  <c r="P29" i="42"/>
  <c r="P29" i="45"/>
  <c r="U38" i="42"/>
  <c r="U37" i="45"/>
  <c r="P33" i="45"/>
  <c r="P33" i="42"/>
  <c r="U7" i="42"/>
  <c r="U7" i="45"/>
  <c r="P20" i="42"/>
  <c r="P20" i="45"/>
  <c r="U10" i="42"/>
  <c r="U10" i="45"/>
  <c r="U15" i="42"/>
  <c r="U15" i="45"/>
  <c r="U20" i="42"/>
  <c r="U20" i="45"/>
  <c r="U29" i="42"/>
  <c r="U29" i="45"/>
  <c r="U36" i="45"/>
  <c r="U37" i="42"/>
  <c r="U12" i="45"/>
  <c r="U12" i="42"/>
  <c r="P10" i="42"/>
  <c r="P10" i="45"/>
  <c r="U8" i="45"/>
  <c r="U8" i="42"/>
  <c r="U13" i="42"/>
  <c r="U13" i="45"/>
  <c r="U18" i="42"/>
  <c r="U18" i="45"/>
  <c r="U23" i="42"/>
  <c r="U23" i="45"/>
  <c r="U39" i="42"/>
  <c r="U38" i="45"/>
  <c r="U33" i="42"/>
  <c r="U33" i="45"/>
  <c r="P34" i="45"/>
  <c r="P34" i="42"/>
  <c r="U31" i="42"/>
  <c r="U31" i="45"/>
  <c r="P11" i="45"/>
  <c r="P11" i="42"/>
  <c r="P21" i="45"/>
  <c r="P21" i="42"/>
  <c r="P18" i="42"/>
  <c r="P18" i="45"/>
  <c r="P16" i="42"/>
  <c r="P16" i="45"/>
  <c r="P30" i="42"/>
  <c r="P30" i="45"/>
  <c r="U17" i="42"/>
  <c r="U17" i="45"/>
  <c r="U21" i="42"/>
  <c r="U21" i="45"/>
  <c r="U34" i="45"/>
  <c r="U34" i="42"/>
  <c r="P8" i="42"/>
  <c r="P8" i="45"/>
  <c r="U11" i="45"/>
  <c r="U11" i="42"/>
  <c r="P9" i="42"/>
  <c r="P9" i="45"/>
  <c r="P14" i="42"/>
  <c r="P14" i="45"/>
  <c r="P45" i="45"/>
  <c r="P46" i="42"/>
  <c r="P13" i="45"/>
  <c r="P13" i="42"/>
  <c r="U30" i="45"/>
  <c r="U30" i="42"/>
  <c r="P19" i="45"/>
  <c r="P19" i="42"/>
  <c r="P23" i="45"/>
  <c r="P23" i="42"/>
  <c r="U16" i="45"/>
  <c r="U16" i="42"/>
  <c r="P28" i="45"/>
  <c r="P28" i="42"/>
  <c r="U22" i="42"/>
  <c r="U22" i="45"/>
  <c r="U19" i="42"/>
  <c r="U19" i="45"/>
  <c r="U28" i="45"/>
  <c r="U28" i="42"/>
  <c r="U46" i="42"/>
  <c r="U45" i="45"/>
  <c r="P38" i="45"/>
  <c r="P39" i="42"/>
  <c r="U9" i="42"/>
  <c r="U9" i="45"/>
  <c r="U14" i="42"/>
  <c r="U14" i="45"/>
  <c r="P7" i="45"/>
  <c r="P7" i="42"/>
  <c r="P12" i="42"/>
  <c r="P12" i="45"/>
  <c r="P17" i="42"/>
  <c r="P17" i="45"/>
  <c r="P22" i="42"/>
  <c r="P22" i="45"/>
  <c r="P31" i="42"/>
  <c r="P31" i="45"/>
  <c r="H38" i="1"/>
  <c r="F38" i="1"/>
  <c r="K38" i="1" s="1"/>
  <c r="E38" i="1"/>
  <c r="H27" i="1"/>
  <c r="F27" i="1"/>
  <c r="K27" i="1" s="1"/>
  <c r="E27" i="1"/>
  <c r="H26" i="1"/>
  <c r="F26" i="1"/>
  <c r="K26" i="1" s="1"/>
  <c r="E26" i="1"/>
  <c r="H25" i="1"/>
  <c r="F25" i="1"/>
  <c r="K25" i="1" s="1"/>
  <c r="E25" i="1"/>
  <c r="H17" i="1"/>
  <c r="F17" i="1"/>
  <c r="K17" i="1" s="1"/>
  <c r="E17" i="1"/>
  <c r="H16" i="1"/>
  <c r="F16" i="1"/>
  <c r="K16" i="1" s="1"/>
  <c r="E16" i="1"/>
  <c r="H15" i="1"/>
  <c r="F15" i="1"/>
  <c r="K15" i="1" s="1"/>
  <c r="E15" i="1"/>
  <c r="H12" i="1"/>
  <c r="F12" i="1"/>
  <c r="K12" i="1" s="1"/>
  <c r="E12" i="1"/>
  <c r="H11" i="1"/>
  <c r="F11" i="1"/>
  <c r="K11" i="1" s="1"/>
  <c r="E11" i="1"/>
  <c r="H10" i="1"/>
  <c r="F10" i="1"/>
  <c r="K10" i="1" s="1"/>
  <c r="E10" i="1"/>
  <c r="E9" i="1"/>
  <c r="E8" i="1"/>
  <c r="E7" i="1"/>
  <c r="E13" i="1" l="1"/>
  <c r="H18" i="1"/>
  <c r="E28" i="1"/>
  <c r="F18" i="1"/>
  <c r="K18" i="1" s="1"/>
  <c r="E18" i="1"/>
  <c r="F28" i="1"/>
  <c r="K28" i="1" s="1"/>
  <c r="H28" i="1"/>
  <c r="F13" i="1"/>
  <c r="K13" i="1" s="1"/>
  <c r="H13" i="1"/>
  <c r="AA41" i="43" l="1"/>
  <c r="AA40" i="43"/>
  <c r="AC40" i="43"/>
  <c r="N32" i="43"/>
  <c r="AA39" i="43"/>
  <c r="Q39" i="43"/>
  <c r="AA38" i="43"/>
  <c r="N30" i="43"/>
  <c r="Q38" i="43"/>
  <c r="AA37" i="43"/>
  <c r="AA36" i="43"/>
  <c r="N28" i="43"/>
  <c r="AA35" i="43"/>
  <c r="AC35" i="43"/>
  <c r="P32" i="43"/>
  <c r="P31" i="43"/>
  <c r="P30" i="43"/>
  <c r="P29" i="43"/>
  <c r="P28" i="43"/>
  <c r="P27" i="43"/>
  <c r="AA26" i="43"/>
  <c r="Y32" i="43"/>
  <c r="Z31" i="43"/>
  <c r="Y31" i="43"/>
  <c r="AC25" i="43"/>
  <c r="O25" i="43"/>
  <c r="M31" i="43"/>
  <c r="AA24" i="43"/>
  <c r="Y30" i="43"/>
  <c r="Q24" i="43"/>
  <c r="Z29" i="43"/>
  <c r="Y29" i="43"/>
  <c r="Z28" i="43"/>
  <c r="Y28" i="43"/>
  <c r="Y27" i="43"/>
  <c r="N27" i="43"/>
  <c r="AA13" i="43"/>
  <c r="K12" i="43"/>
  <c r="K42" i="41"/>
  <c r="AF41" i="41"/>
  <c r="AF42" i="41" s="1"/>
  <c r="AA41" i="41"/>
  <c r="W41" i="41"/>
  <c r="W42" i="41" s="1"/>
  <c r="T41" i="41"/>
  <c r="T42" i="41" s="1"/>
  <c r="O41" i="41"/>
  <c r="K41" i="41"/>
  <c r="H41" i="41"/>
  <c r="H42" i="41" s="1"/>
  <c r="AE40" i="41"/>
  <c r="AC40" i="41"/>
  <c r="AA40" i="41"/>
  <c r="V40" i="41"/>
  <c r="S40" i="41"/>
  <c r="Q40" i="41"/>
  <c r="AI40" i="41" s="1"/>
  <c r="O40" i="41"/>
  <c r="J40" i="41"/>
  <c r="G40" i="41"/>
  <c r="AE39" i="41"/>
  <c r="AC39" i="41"/>
  <c r="AA39" i="41"/>
  <c r="V39" i="41"/>
  <c r="S39" i="41"/>
  <c r="Q39" i="41"/>
  <c r="O39" i="41"/>
  <c r="J39" i="41"/>
  <c r="G39" i="41"/>
  <c r="AE38" i="41"/>
  <c r="AC38" i="41"/>
  <c r="AA38" i="41"/>
  <c r="V38" i="41"/>
  <c r="S38" i="41"/>
  <c r="Q38" i="41"/>
  <c r="O38" i="41"/>
  <c r="J38" i="41"/>
  <c r="G38" i="41"/>
  <c r="AE37" i="41"/>
  <c r="AC37" i="41"/>
  <c r="AA37" i="41"/>
  <c r="V37" i="41"/>
  <c r="S37" i="41"/>
  <c r="Q37" i="41"/>
  <c r="Q29" i="41" s="1"/>
  <c r="O37" i="41"/>
  <c r="J37" i="41"/>
  <c r="G37" i="41"/>
  <c r="AE36" i="41"/>
  <c r="AC36" i="41"/>
  <c r="AA36" i="41"/>
  <c r="V36" i="41"/>
  <c r="S36" i="41"/>
  <c r="Q36" i="41"/>
  <c r="O36" i="41"/>
  <c r="J36" i="41"/>
  <c r="G36" i="41"/>
  <c r="AE35" i="41"/>
  <c r="AC35" i="41"/>
  <c r="AA35" i="41"/>
  <c r="V35" i="41"/>
  <c r="S35" i="41"/>
  <c r="Q35" i="41"/>
  <c r="O35" i="41"/>
  <c r="J35" i="41"/>
  <c r="G35" i="41"/>
  <c r="AF32" i="41"/>
  <c r="Z32" i="41"/>
  <c r="AA32" i="41" s="1"/>
  <c r="W32" i="41"/>
  <c r="V32" i="41"/>
  <c r="T32" i="41"/>
  <c r="S32" i="41"/>
  <c r="P32" i="41"/>
  <c r="O32" i="41"/>
  <c r="K32" i="41"/>
  <c r="J32" i="41"/>
  <c r="H32" i="41"/>
  <c r="G32" i="41"/>
  <c r="AF31" i="41"/>
  <c r="Z31" i="41"/>
  <c r="AA31" i="41" s="1"/>
  <c r="W31" i="41"/>
  <c r="V31" i="41"/>
  <c r="X31" i="41" s="1"/>
  <c r="T31" i="41"/>
  <c r="S31" i="41"/>
  <c r="AB31" i="41" s="1"/>
  <c r="P31" i="41"/>
  <c r="O31" i="41"/>
  <c r="K31" i="41"/>
  <c r="J31" i="41"/>
  <c r="H31" i="41"/>
  <c r="G31" i="41"/>
  <c r="AF30" i="41"/>
  <c r="Z30" i="41"/>
  <c r="AA30" i="41" s="1"/>
  <c r="W30" i="41"/>
  <c r="V30" i="41"/>
  <c r="T30" i="41"/>
  <c r="S30" i="41"/>
  <c r="P30" i="41"/>
  <c r="O30" i="41"/>
  <c r="K30" i="41"/>
  <c r="J30" i="41"/>
  <c r="L30" i="41" s="1"/>
  <c r="H30" i="41"/>
  <c r="G30" i="41"/>
  <c r="I30" i="41" s="1"/>
  <c r="AF29" i="41"/>
  <c r="Z29" i="41"/>
  <c r="AA29" i="41" s="1"/>
  <c r="W29" i="41"/>
  <c r="V29" i="41"/>
  <c r="X29" i="41" s="1"/>
  <c r="T29" i="41"/>
  <c r="S29" i="41"/>
  <c r="U29" i="41" s="1"/>
  <c r="P29" i="41"/>
  <c r="O29" i="41"/>
  <c r="K29" i="41"/>
  <c r="J29" i="41"/>
  <c r="L29" i="41" s="1"/>
  <c r="H29" i="41"/>
  <c r="G29" i="41"/>
  <c r="AF28" i="41"/>
  <c r="Z28" i="41"/>
  <c r="AA28" i="41" s="1"/>
  <c r="W28" i="41"/>
  <c r="V28" i="41"/>
  <c r="X28" i="41" s="1"/>
  <c r="T28" i="41"/>
  <c r="S28" i="41"/>
  <c r="P28" i="41"/>
  <c r="O28" i="41"/>
  <c r="K28" i="41"/>
  <c r="J28" i="41"/>
  <c r="H28" i="41"/>
  <c r="G28" i="41"/>
  <c r="AF27" i="41"/>
  <c r="Z27" i="41"/>
  <c r="AA27" i="41" s="1"/>
  <c r="W27" i="41"/>
  <c r="V27" i="41"/>
  <c r="T27" i="41"/>
  <c r="S27" i="41"/>
  <c r="P27" i="41"/>
  <c r="O27" i="41"/>
  <c r="K27" i="41"/>
  <c r="J27" i="41"/>
  <c r="L27" i="41" s="1"/>
  <c r="H27" i="41"/>
  <c r="G27" i="41"/>
  <c r="AE26" i="41"/>
  <c r="AC26" i="41"/>
  <c r="AA26" i="41"/>
  <c r="V26" i="41"/>
  <c r="S26" i="41"/>
  <c r="Q26" i="41"/>
  <c r="O26" i="41"/>
  <c r="J26" i="41"/>
  <c r="G26" i="41"/>
  <c r="AE25" i="41"/>
  <c r="AC25" i="41"/>
  <c r="AA25" i="41"/>
  <c r="V25" i="41"/>
  <c r="S25" i="41"/>
  <c r="Q25" i="41"/>
  <c r="AI25" i="41" s="1"/>
  <c r="O25" i="41"/>
  <c r="J25" i="41"/>
  <c r="G25" i="41"/>
  <c r="AE24" i="41"/>
  <c r="AC24" i="41"/>
  <c r="AA24" i="41"/>
  <c r="V24" i="41"/>
  <c r="S24" i="41"/>
  <c r="Q24" i="41"/>
  <c r="Q30" i="41" s="1"/>
  <c r="O24" i="41"/>
  <c r="J24" i="41"/>
  <c r="G24" i="41"/>
  <c r="AE23" i="41"/>
  <c r="AC23" i="41"/>
  <c r="AA23" i="41"/>
  <c r="V23" i="41"/>
  <c r="S23" i="41"/>
  <c r="Q23" i="41"/>
  <c r="AI23" i="41" s="1"/>
  <c r="O23" i="41"/>
  <c r="J23" i="41"/>
  <c r="G23" i="41"/>
  <c r="AE22" i="41"/>
  <c r="AC22" i="41"/>
  <c r="AA22" i="41"/>
  <c r="V22" i="41"/>
  <c r="S22" i="41"/>
  <c r="Q22" i="41"/>
  <c r="O22" i="41"/>
  <c r="J22" i="41"/>
  <c r="G22" i="41"/>
  <c r="AE21" i="41"/>
  <c r="AC21" i="41"/>
  <c r="AA21" i="41"/>
  <c r="V21" i="41"/>
  <c r="S21" i="41"/>
  <c r="Q21" i="41"/>
  <c r="O21" i="41"/>
  <c r="J21" i="41"/>
  <c r="G21" i="41"/>
  <c r="AF20" i="41"/>
  <c r="Z20" i="41"/>
  <c r="AA20" i="41" s="1"/>
  <c r="W20" i="41"/>
  <c r="T20" i="41"/>
  <c r="K20" i="41"/>
  <c r="H20" i="41"/>
  <c r="AE19" i="41"/>
  <c r="AC19" i="41"/>
  <c r="AA19" i="41"/>
  <c r="V19" i="41"/>
  <c r="S19" i="41"/>
  <c r="Q19" i="41"/>
  <c r="M19" i="41"/>
  <c r="J19" i="41"/>
  <c r="G19" i="41"/>
  <c r="AE18" i="41"/>
  <c r="AC18" i="41"/>
  <c r="AA18" i="41"/>
  <c r="V18" i="41"/>
  <c r="S18" i="41"/>
  <c r="Q18" i="41"/>
  <c r="M18" i="41"/>
  <c r="J18" i="41"/>
  <c r="G18" i="41"/>
  <c r="AF17" i="41"/>
  <c r="Z17" i="41"/>
  <c r="AA17" i="41" s="1"/>
  <c r="W17" i="41"/>
  <c r="T17" i="41"/>
  <c r="K17" i="41"/>
  <c r="H17" i="41"/>
  <c r="AF16" i="41"/>
  <c r="Z16" i="41"/>
  <c r="AA16" i="41" s="1"/>
  <c r="W16" i="41"/>
  <c r="T16" i="41"/>
  <c r="K16" i="41"/>
  <c r="H16" i="41"/>
  <c r="AE15" i="41"/>
  <c r="AC15" i="41"/>
  <c r="AA15" i="41"/>
  <c r="V15" i="41"/>
  <c r="S15" i="41"/>
  <c r="Q15" i="41"/>
  <c r="M15" i="41"/>
  <c r="J15" i="41"/>
  <c r="G15" i="41"/>
  <c r="AF14" i="41"/>
  <c r="Z14" i="41"/>
  <c r="AA14" i="41" s="1"/>
  <c r="W14" i="41"/>
  <c r="T14" i="41"/>
  <c r="K14" i="41"/>
  <c r="H14" i="41"/>
  <c r="AE13" i="41"/>
  <c r="AC13" i="41"/>
  <c r="AA13" i="41"/>
  <c r="V13" i="41"/>
  <c r="S13" i="41"/>
  <c r="Q13" i="41"/>
  <c r="M13" i="41"/>
  <c r="J13" i="41"/>
  <c r="G13" i="41"/>
  <c r="AF12" i="41"/>
  <c r="AF4" i="43" s="1"/>
  <c r="Z12" i="41"/>
  <c r="AA12" i="41" s="1"/>
  <c r="W12" i="41"/>
  <c r="W4" i="43" s="1"/>
  <c r="T12" i="41"/>
  <c r="T4" i="43" s="1"/>
  <c r="K12" i="41"/>
  <c r="K11" i="41" s="1"/>
  <c r="H12" i="41"/>
  <c r="H9" i="41" s="1"/>
  <c r="H11" i="41"/>
  <c r="AE10" i="41"/>
  <c r="AC10" i="41"/>
  <c r="AA10" i="41"/>
  <c r="V10" i="41"/>
  <c r="S10" i="41"/>
  <c r="Q10" i="41"/>
  <c r="M10" i="41"/>
  <c r="J10" i="41"/>
  <c r="G10" i="41"/>
  <c r="AE8" i="41"/>
  <c r="AC8" i="41"/>
  <c r="AA8" i="41"/>
  <c r="V8" i="41"/>
  <c r="S8" i="41"/>
  <c r="Q8" i="41"/>
  <c r="M8" i="41"/>
  <c r="J8" i="41"/>
  <c r="G8" i="41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I36" i="29"/>
  <c r="N36" i="29" s="1"/>
  <c r="F36" i="29"/>
  <c r="K36" i="29" s="1"/>
  <c r="I25" i="29"/>
  <c r="N25" i="29" s="1"/>
  <c r="F25" i="29"/>
  <c r="K25" i="29" s="1"/>
  <c r="I24" i="29"/>
  <c r="N24" i="29" s="1"/>
  <c r="F24" i="29"/>
  <c r="K24" i="29" s="1"/>
  <c r="I16" i="29"/>
  <c r="N16" i="29" s="1"/>
  <c r="F16" i="29"/>
  <c r="K16" i="29" s="1"/>
  <c r="I15" i="29"/>
  <c r="N15" i="29" s="1"/>
  <c r="G17" i="29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N10" i="29" s="1"/>
  <c r="F10" i="29"/>
  <c r="K10" i="29" s="1"/>
  <c r="L40" i="45"/>
  <c r="K40" i="45"/>
  <c r="J40" i="45"/>
  <c r="Q39" i="45"/>
  <c r="N39" i="45"/>
  <c r="N38" i="45"/>
  <c r="L38" i="45"/>
  <c r="M37" i="45"/>
  <c r="N37" i="45" s="1"/>
  <c r="N36" i="45"/>
  <c r="N35" i="45"/>
  <c r="L35" i="45"/>
  <c r="N34" i="45"/>
  <c r="L34" i="45"/>
  <c r="N33" i="45"/>
  <c r="L33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G7" i="45"/>
  <c r="N40" i="46"/>
  <c r="M40" i="46"/>
  <c r="L40" i="46"/>
  <c r="K40" i="46"/>
  <c r="J40" i="46"/>
  <c r="V39" i="46"/>
  <c r="S39" i="46"/>
  <c r="Q39" i="46"/>
  <c r="N39" i="46"/>
  <c r="N38" i="46"/>
  <c r="L38" i="46"/>
  <c r="G38" i="46"/>
  <c r="S37" i="46"/>
  <c r="Q37" i="46"/>
  <c r="N37" i="46"/>
  <c r="M37" i="46"/>
  <c r="G37" i="46"/>
  <c r="X36" i="46"/>
  <c r="S36" i="46"/>
  <c r="Q36" i="46"/>
  <c r="N36" i="46"/>
  <c r="G36" i="46"/>
  <c r="S35" i="46"/>
  <c r="Q35" i="46"/>
  <c r="N35" i="46"/>
  <c r="L35" i="46"/>
  <c r="G35" i="46"/>
  <c r="N34" i="46"/>
  <c r="L34" i="46"/>
  <c r="G34" i="46"/>
  <c r="N33" i="46"/>
  <c r="L33" i="46"/>
  <c r="G33" i="46"/>
  <c r="G31" i="46"/>
  <c r="G30" i="46"/>
  <c r="G29" i="46"/>
  <c r="X28" i="46"/>
  <c r="V28" i="46"/>
  <c r="Q28" i="46"/>
  <c r="AG27" i="46"/>
  <c r="AG26" i="46"/>
  <c r="G26" i="46"/>
  <c r="AG25" i="46"/>
  <c r="G25" i="46"/>
  <c r="AG24" i="46"/>
  <c r="G24" i="46"/>
  <c r="AG23" i="46"/>
  <c r="G23" i="46"/>
  <c r="AG22" i="46"/>
  <c r="G22" i="46"/>
  <c r="AG21" i="46"/>
  <c r="X21" i="46"/>
  <c r="V21" i="46"/>
  <c r="S21" i="46"/>
  <c r="G21" i="46"/>
  <c r="AG20" i="46"/>
  <c r="X20" i="46"/>
  <c r="G20" i="46"/>
  <c r="AG19" i="46"/>
  <c r="G19" i="46"/>
  <c r="AG18" i="46"/>
  <c r="G18" i="46"/>
  <c r="AG17" i="46"/>
  <c r="V17" i="46"/>
  <c r="G17" i="46"/>
  <c r="AG16" i="46"/>
  <c r="G16" i="46"/>
  <c r="AG15" i="46"/>
  <c r="X15" i="46"/>
  <c r="G15" i="46"/>
  <c r="AG14" i="46"/>
  <c r="G14" i="46"/>
  <c r="AG13" i="46"/>
  <c r="X13" i="46"/>
  <c r="G13" i="46"/>
  <c r="AG12" i="46"/>
  <c r="X12" i="46"/>
  <c r="V12" i="46"/>
  <c r="Q12" i="46"/>
  <c r="G12" i="46"/>
  <c r="AG11" i="46"/>
  <c r="G11" i="46"/>
  <c r="AG10" i="46"/>
  <c r="G10" i="46"/>
  <c r="AG9" i="46"/>
  <c r="X9" i="46"/>
  <c r="S9" i="46"/>
  <c r="G9" i="46"/>
  <c r="AG8" i="46"/>
  <c r="V8" i="46"/>
  <c r="G8" i="46"/>
  <c r="AG7" i="46"/>
  <c r="X7" i="46"/>
  <c r="G7" i="46"/>
  <c r="S62" i="42"/>
  <c r="S61" i="42"/>
  <c r="S60" i="42"/>
  <c r="S59" i="42"/>
  <c r="AK43" i="42"/>
  <c r="AJ43" i="42"/>
  <c r="AI43" i="42"/>
  <c r="M41" i="42"/>
  <c r="N41" i="42" s="1"/>
  <c r="L41" i="42"/>
  <c r="K41" i="42"/>
  <c r="J41" i="42"/>
  <c r="V40" i="42"/>
  <c r="N40" i="42"/>
  <c r="N39" i="42"/>
  <c r="L39" i="42"/>
  <c r="Q38" i="42"/>
  <c r="M38" i="42"/>
  <c r="N38" i="42" s="1"/>
  <c r="T60" i="42"/>
  <c r="S37" i="42"/>
  <c r="N37" i="42"/>
  <c r="AM36" i="42"/>
  <c r="Q36" i="42"/>
  <c r="N36" i="42"/>
  <c r="N35" i="42"/>
  <c r="L35" i="42"/>
  <c r="N34" i="42"/>
  <c r="L34" i="42"/>
  <c r="N33" i="42"/>
  <c r="L33" i="42"/>
  <c r="AG27" i="42"/>
  <c r="AG26" i="42"/>
  <c r="AG25" i="42"/>
  <c r="AG24" i="42"/>
  <c r="AG23" i="42"/>
  <c r="AG22" i="42"/>
  <c r="AG21" i="42"/>
  <c r="AG20" i="42"/>
  <c r="AG19" i="42"/>
  <c r="AG18" i="42"/>
  <c r="AG17" i="42"/>
  <c r="AG16" i="42"/>
  <c r="AG15" i="42"/>
  <c r="AG14" i="42"/>
  <c r="AG13" i="42"/>
  <c r="AG12" i="42"/>
  <c r="AG11" i="42"/>
  <c r="AG10" i="42"/>
  <c r="AG9" i="42"/>
  <c r="AG8" i="42"/>
  <c r="AG7" i="42"/>
  <c r="S62" i="2"/>
  <c r="S61" i="2"/>
  <c r="T60" i="2"/>
  <c r="S60" i="2"/>
  <c r="S59" i="2"/>
  <c r="N41" i="2"/>
  <c r="M41" i="2"/>
  <c r="L41" i="2"/>
  <c r="K41" i="2"/>
  <c r="J41" i="2"/>
  <c r="V40" i="2"/>
  <c r="S40" i="2"/>
  <c r="Q40" i="2"/>
  <c r="N40" i="2"/>
  <c r="N39" i="2"/>
  <c r="L39" i="2"/>
  <c r="G39" i="2"/>
  <c r="U61" i="2"/>
  <c r="V38" i="2"/>
  <c r="Q38" i="2"/>
  <c r="N38" i="2"/>
  <c r="M38" i="2"/>
  <c r="G38" i="2"/>
  <c r="AE21" i="1"/>
  <c r="V37" i="2"/>
  <c r="S37" i="2"/>
  <c r="Q37" i="2"/>
  <c r="N37" i="2"/>
  <c r="G37" i="2"/>
  <c r="S36" i="2"/>
  <c r="Q36" i="2"/>
  <c r="N36" i="2"/>
  <c r="G36" i="2"/>
  <c r="V34" i="1"/>
  <c r="AC19" i="1"/>
  <c r="S34" i="1"/>
  <c r="S35" i="2"/>
  <c r="Q35" i="2"/>
  <c r="N35" i="2"/>
  <c r="L35" i="2"/>
  <c r="G35" i="2"/>
  <c r="V33" i="1"/>
  <c r="N34" i="2"/>
  <c r="L34" i="2"/>
  <c r="G34" i="2"/>
  <c r="S32" i="1"/>
  <c r="N33" i="2"/>
  <c r="L33" i="2"/>
  <c r="G33" i="2"/>
  <c r="G31" i="2"/>
  <c r="G30" i="2"/>
  <c r="G29" i="2"/>
  <c r="X28" i="2"/>
  <c r="U51" i="2"/>
  <c r="T51" i="2"/>
  <c r="AG27" i="2"/>
  <c r="AG26" i="2"/>
  <c r="G26" i="2"/>
  <c r="AG25" i="2"/>
  <c r="G25" i="2"/>
  <c r="AG24" i="2"/>
  <c r="G24" i="2"/>
  <c r="AF23" i="2"/>
  <c r="AG23" i="2"/>
  <c r="V23" i="2"/>
  <c r="G23" i="2"/>
  <c r="AG22" i="2"/>
  <c r="G22" i="2"/>
  <c r="AG21" i="2"/>
  <c r="G21" i="2"/>
  <c r="AG20" i="2"/>
  <c r="G20" i="2"/>
  <c r="AG19" i="2"/>
  <c r="V19" i="2"/>
  <c r="G19" i="2"/>
  <c r="AG18" i="2"/>
  <c r="G18" i="2"/>
  <c r="AG17" i="2"/>
  <c r="G17" i="2"/>
  <c r="AG16" i="2"/>
  <c r="X16" i="2"/>
  <c r="G16" i="2"/>
  <c r="AG15" i="2"/>
  <c r="G15" i="2"/>
  <c r="AG14" i="2"/>
  <c r="X14" i="2"/>
  <c r="Q14" i="2"/>
  <c r="G14" i="2"/>
  <c r="AG13" i="2"/>
  <c r="G13" i="2"/>
  <c r="AG12" i="2"/>
  <c r="G12" i="2"/>
  <c r="AG11" i="2"/>
  <c r="G11" i="2"/>
  <c r="AG10" i="2"/>
  <c r="X10" i="2"/>
  <c r="G10" i="2"/>
  <c r="AG9" i="2"/>
  <c r="S9" i="2"/>
  <c r="G9" i="2"/>
  <c r="AG8" i="2"/>
  <c r="AE8" i="2"/>
  <c r="S8" i="2"/>
  <c r="Q8" i="2"/>
  <c r="G8" i="2"/>
  <c r="AG7" i="2"/>
  <c r="G7" i="2"/>
  <c r="T33" i="1"/>
  <c r="V32" i="1"/>
  <c r="T32" i="1"/>
  <c r="V29" i="1"/>
  <c r="T29" i="1"/>
  <c r="S29" i="1"/>
  <c r="W28" i="1"/>
  <c r="U28" i="1"/>
  <c r="W27" i="1"/>
  <c r="U27" i="1"/>
  <c r="AA24" i="1"/>
  <c r="AA22" i="1"/>
  <c r="AB21" i="1"/>
  <c r="AA21" i="1"/>
  <c r="AC20" i="1"/>
  <c r="AA20" i="1"/>
  <c r="AA18" i="1"/>
  <c r="AA17" i="1"/>
  <c r="I17" i="1"/>
  <c r="G17" i="1"/>
  <c r="AA16" i="1"/>
  <c r="AA15" i="1"/>
  <c r="H20" i="1"/>
  <c r="H30" i="1" s="1"/>
  <c r="H31" i="1" s="1"/>
  <c r="AE16" i="1" s="1"/>
  <c r="AA13" i="1"/>
  <c r="AA12" i="1"/>
  <c r="V12" i="1"/>
  <c r="AE12" i="1"/>
  <c r="AC12" i="1"/>
  <c r="AB12" i="1"/>
  <c r="AA11" i="1"/>
  <c r="AC11" i="1"/>
  <c r="AB11" i="1"/>
  <c r="AA10" i="1"/>
  <c r="E20" i="1"/>
  <c r="AA9" i="1"/>
  <c r="AB9" i="1"/>
  <c r="AA8" i="1"/>
  <c r="AA7" i="1"/>
  <c r="AK6" i="1"/>
  <c r="AJ6" i="1"/>
  <c r="AI6" i="1"/>
  <c r="AH6" i="1"/>
  <c r="AG6" i="1"/>
  <c r="AF6" i="1"/>
  <c r="AE6" i="1"/>
  <c r="AD6" i="1"/>
  <c r="AC6" i="1"/>
  <c r="AB6" i="1"/>
  <c r="AG5" i="1"/>
  <c r="AB5" i="1"/>
  <c r="AI38" i="41" l="1"/>
  <c r="T11" i="41"/>
  <c r="X30" i="41"/>
  <c r="Z9" i="41"/>
  <c r="AA9" i="41" s="1"/>
  <c r="AI13" i="41"/>
  <c r="U26" i="41"/>
  <c r="AE31" i="41"/>
  <c r="M12" i="41"/>
  <c r="O12" i="41" s="1"/>
  <c r="I15" i="41"/>
  <c r="AE30" i="41"/>
  <c r="AG30" i="41" s="1"/>
  <c r="AB40" i="41"/>
  <c r="AD40" i="41" s="1"/>
  <c r="AI8" i="41"/>
  <c r="AI14" i="41" s="1"/>
  <c r="O15" i="41"/>
  <c r="J20" i="41"/>
  <c r="L20" i="41" s="1"/>
  <c r="AG22" i="41"/>
  <c r="X40" i="41"/>
  <c r="AG8" i="41"/>
  <c r="Q16" i="41"/>
  <c r="O18" i="41"/>
  <c r="I23" i="41"/>
  <c r="AC30" i="41"/>
  <c r="U38" i="41"/>
  <c r="L22" i="41"/>
  <c r="I40" i="41"/>
  <c r="U22" i="41"/>
  <c r="V12" i="41"/>
  <c r="H15" i="29"/>
  <c r="Q20" i="41"/>
  <c r="K9" i="41"/>
  <c r="I13" i="41"/>
  <c r="I21" i="41"/>
  <c r="X10" i="41"/>
  <c r="X19" i="41"/>
  <c r="X35" i="41"/>
  <c r="L38" i="41"/>
  <c r="L23" i="41"/>
  <c r="T9" i="41"/>
  <c r="L13" i="41"/>
  <c r="X25" i="41"/>
  <c r="X36" i="41"/>
  <c r="L35" i="41"/>
  <c r="I22" i="41"/>
  <c r="X24" i="41"/>
  <c r="U15" i="41"/>
  <c r="U23" i="41"/>
  <c r="X27" i="41"/>
  <c r="L24" i="41"/>
  <c r="AG19" i="41"/>
  <c r="AC20" i="41"/>
  <c r="I39" i="41"/>
  <c r="AG13" i="41"/>
  <c r="P25" i="41"/>
  <c r="AG15" i="41"/>
  <c r="U13" i="41"/>
  <c r="U21" i="41"/>
  <c r="L39" i="41"/>
  <c r="Q41" i="41"/>
  <c r="Q42" i="41" s="1"/>
  <c r="X39" i="41"/>
  <c r="AG10" i="41"/>
  <c r="X23" i="41"/>
  <c r="O10" i="41"/>
  <c r="L31" i="41"/>
  <c r="AG21" i="41"/>
  <c r="I36" i="41"/>
  <c r="AG23" i="41"/>
  <c r="L37" i="41"/>
  <c r="U37" i="41"/>
  <c r="X26" i="41"/>
  <c r="AB8" i="41"/>
  <c r="AD8" i="41" s="1"/>
  <c r="R30" i="41"/>
  <c r="L15" i="41"/>
  <c r="O19" i="41"/>
  <c r="AC29" i="41"/>
  <c r="I35" i="41"/>
  <c r="Q30" i="43"/>
  <c r="R30" i="43" s="1"/>
  <c r="I27" i="41"/>
  <c r="Q27" i="41"/>
  <c r="R27" i="41" s="1"/>
  <c r="AC27" i="41"/>
  <c r="AC31" i="41"/>
  <c r="AD31" i="41" s="1"/>
  <c r="Q28" i="41"/>
  <c r="R28" i="41" s="1"/>
  <c r="AI19" i="41"/>
  <c r="Q32" i="41"/>
  <c r="R32" i="41" s="1"/>
  <c r="AC17" i="41"/>
  <c r="Q14" i="41"/>
  <c r="Z11" i="41"/>
  <c r="AA11" i="41" s="1"/>
  <c r="AC32" i="41"/>
  <c r="AI22" i="41"/>
  <c r="AI26" i="41"/>
  <c r="AI32" i="41" s="1"/>
  <c r="AF28" i="43"/>
  <c r="Q12" i="41"/>
  <c r="Q4" i="43" s="1"/>
  <c r="AI24" i="41"/>
  <c r="AI30" i="41" s="1"/>
  <c r="AI39" i="41"/>
  <c r="AI31" i="41" s="1"/>
  <c r="AC28" i="41"/>
  <c r="AI35" i="41"/>
  <c r="Q13" i="43"/>
  <c r="I20" i="29"/>
  <c r="I21" i="29" s="1"/>
  <c r="U29" i="1"/>
  <c r="AE19" i="1"/>
  <c r="AB19" i="1"/>
  <c r="X30" i="2"/>
  <c r="Q30" i="2"/>
  <c r="S23" i="46"/>
  <c r="S10" i="46"/>
  <c r="P23" i="41"/>
  <c r="R23" i="41" s="1"/>
  <c r="I32" i="41"/>
  <c r="AB37" i="41"/>
  <c r="AD37" i="41" s="1"/>
  <c r="J17" i="41"/>
  <c r="L17" i="41" s="1"/>
  <c r="AE27" i="41"/>
  <c r="AG27" i="41" s="1"/>
  <c r="S17" i="41"/>
  <c r="U17" i="41" s="1"/>
  <c r="V31" i="46"/>
  <c r="V31" i="2"/>
  <c r="AB36" i="41"/>
  <c r="AD36" i="41" s="1"/>
  <c r="G20" i="41"/>
  <c r="I20" i="41" s="1"/>
  <c r="I28" i="41"/>
  <c r="V16" i="41"/>
  <c r="X16" i="41" s="1"/>
  <c r="V14" i="46"/>
  <c r="V29" i="2"/>
  <c r="AE28" i="41"/>
  <c r="AG28" i="41" s="1"/>
  <c r="Q16" i="46"/>
  <c r="P8" i="41"/>
  <c r="AB18" i="41"/>
  <c r="AD18" i="41" s="1"/>
  <c r="AB39" i="41"/>
  <c r="AD39" i="41" s="1"/>
  <c r="X19" i="2"/>
  <c r="V15" i="2"/>
  <c r="S30" i="46"/>
  <c r="Q7" i="2"/>
  <c r="S14" i="2"/>
  <c r="S14" i="46"/>
  <c r="Q9" i="2"/>
  <c r="V36" i="2"/>
  <c r="X14" i="46"/>
  <c r="X23" i="46"/>
  <c r="S16" i="2"/>
  <c r="S18" i="46"/>
  <c r="S11" i="2"/>
  <c r="Q34" i="46"/>
  <c r="S34" i="46"/>
  <c r="R32" i="46"/>
  <c r="S13" i="2"/>
  <c r="S22" i="46"/>
  <c r="S12" i="46"/>
  <c r="AI10" i="41"/>
  <c r="AC24" i="43"/>
  <c r="AI24" i="43" s="1"/>
  <c r="AC12" i="41"/>
  <c r="AC4" i="43" s="1"/>
  <c r="AC14" i="41"/>
  <c r="AC16" i="41"/>
  <c r="AC41" i="41"/>
  <c r="AC42" i="41" s="1"/>
  <c r="W28" i="43"/>
  <c r="Q31" i="41"/>
  <c r="R31" i="41" s="1"/>
  <c r="AI18" i="41"/>
  <c r="U32" i="41"/>
  <c r="AI37" i="41"/>
  <c r="AI29" i="41" s="1"/>
  <c r="W9" i="41"/>
  <c r="W11" i="41"/>
  <c r="Q17" i="41"/>
  <c r="I29" i="41"/>
  <c r="X32" i="41"/>
  <c r="Z14" i="43"/>
  <c r="AA19" i="43"/>
  <c r="AA22" i="43"/>
  <c r="H31" i="43"/>
  <c r="AF9" i="41"/>
  <c r="AF11" i="41"/>
  <c r="H27" i="43"/>
  <c r="W29" i="1"/>
  <c r="Z16" i="43"/>
  <c r="R29" i="41"/>
  <c r="AI15" i="41"/>
  <c r="L28" i="41"/>
  <c r="T29" i="43"/>
  <c r="AI36" i="41"/>
  <c r="K20" i="43"/>
  <c r="AI21" i="41"/>
  <c r="I31" i="41"/>
  <c r="L32" i="41"/>
  <c r="AC38" i="43"/>
  <c r="AI38" i="43" s="1"/>
  <c r="AF17" i="46"/>
  <c r="AF23" i="46"/>
  <c r="AE9" i="46"/>
  <c r="AF11" i="46"/>
  <c r="W26" i="46"/>
  <c r="S20" i="2"/>
  <c r="X18" i="46"/>
  <c r="X29" i="46"/>
  <c r="X34" i="46"/>
  <c r="W25" i="46"/>
  <c r="S38" i="46"/>
  <c r="S33" i="46"/>
  <c r="R40" i="46"/>
  <c r="X10" i="46"/>
  <c r="X30" i="46"/>
  <c r="H29" i="1"/>
  <c r="S8" i="46"/>
  <c r="I26" i="1"/>
  <c r="AF19" i="1"/>
  <c r="V9" i="41"/>
  <c r="X12" i="41"/>
  <c r="G26" i="29"/>
  <c r="I26" i="29"/>
  <c r="U8" i="41"/>
  <c r="P24" i="41"/>
  <c r="R24" i="41" s="1"/>
  <c r="I25" i="41"/>
  <c r="AB28" i="41"/>
  <c r="W31" i="43"/>
  <c r="S14" i="41"/>
  <c r="U14" i="41" s="1"/>
  <c r="G17" i="41"/>
  <c r="I17" i="41" s="1"/>
  <c r="AD11" i="1"/>
  <c r="AE20" i="1"/>
  <c r="AF20" i="1" s="1"/>
  <c r="J24" i="46"/>
  <c r="Q9" i="46"/>
  <c r="V10" i="46"/>
  <c r="S16" i="46"/>
  <c r="X17" i="46"/>
  <c r="T32" i="46"/>
  <c r="V32" i="46" s="1"/>
  <c r="X8" i="41"/>
  <c r="O23" i="43"/>
  <c r="AA10" i="43"/>
  <c r="W26" i="2"/>
  <c r="X15" i="41"/>
  <c r="Q8" i="46"/>
  <c r="V9" i="46"/>
  <c r="X16" i="46"/>
  <c r="AB25" i="41"/>
  <c r="AD25" i="41" s="1"/>
  <c r="AC21" i="43"/>
  <c r="W29" i="43"/>
  <c r="H19" i="1"/>
  <c r="W33" i="1"/>
  <c r="AC21" i="1"/>
  <c r="AD21" i="1" s="1"/>
  <c r="V12" i="2"/>
  <c r="S35" i="45"/>
  <c r="P21" i="41"/>
  <c r="R21" i="41" s="1"/>
  <c r="O35" i="43"/>
  <c r="M32" i="43"/>
  <c r="O32" i="43" s="1"/>
  <c r="T34" i="1"/>
  <c r="U34" i="1" s="1"/>
  <c r="AB15" i="41"/>
  <c r="AD15" i="41" s="1"/>
  <c r="R24" i="46"/>
  <c r="X31" i="46"/>
  <c r="X37" i="46"/>
  <c r="Q26" i="43"/>
  <c r="P35" i="41"/>
  <c r="R35" i="41" s="1"/>
  <c r="X37" i="41"/>
  <c r="W20" i="43"/>
  <c r="U32" i="46"/>
  <c r="S36" i="42"/>
  <c r="W24" i="46"/>
  <c r="S28" i="46"/>
  <c r="V14" i="41"/>
  <c r="X14" i="41" s="1"/>
  <c r="H12" i="43"/>
  <c r="H11" i="43" s="1"/>
  <c r="Y20" i="43"/>
  <c r="Q22" i="43"/>
  <c r="S20" i="46"/>
  <c r="I8" i="41"/>
  <c r="AB22" i="41"/>
  <c r="AD22" i="41" s="1"/>
  <c r="O24" i="43"/>
  <c r="S19" i="46"/>
  <c r="V10" i="2"/>
  <c r="T59" i="2"/>
  <c r="Q19" i="46"/>
  <c r="P19" i="41"/>
  <c r="R19" i="41" s="1"/>
  <c r="M28" i="43"/>
  <c r="O28" i="43" s="1"/>
  <c r="H14" i="43"/>
  <c r="W24" i="1"/>
  <c r="Q37" i="45"/>
  <c r="U60" i="2"/>
  <c r="V60" i="2" s="1"/>
  <c r="U26" i="46"/>
  <c r="T40" i="46"/>
  <c r="X35" i="46"/>
  <c r="AB30" i="41"/>
  <c r="P38" i="41"/>
  <c r="R38" i="41" s="1"/>
  <c r="O8" i="41"/>
  <c r="V19" i="46"/>
  <c r="X33" i="46"/>
  <c r="X38" i="46"/>
  <c r="P15" i="41"/>
  <c r="I18" i="41"/>
  <c r="H16" i="43"/>
  <c r="P39" i="41"/>
  <c r="R39" i="41" s="1"/>
  <c r="AF8" i="2"/>
  <c r="AE16" i="2"/>
  <c r="Q22" i="46"/>
  <c r="V23" i="46"/>
  <c r="E22" i="1"/>
  <c r="E33" i="1" s="1"/>
  <c r="AB18" i="1" s="1"/>
  <c r="J25" i="46"/>
  <c r="Q14" i="46"/>
  <c r="T61" i="2"/>
  <c r="V61" i="2" s="1"/>
  <c r="O26" i="46"/>
  <c r="AE20" i="2"/>
  <c r="Q30" i="46"/>
  <c r="V33" i="2"/>
  <c r="Q18" i="46"/>
  <c r="T26" i="46"/>
  <c r="AE11" i="2"/>
  <c r="AE20" i="46"/>
  <c r="AB10" i="1"/>
  <c r="J32" i="46"/>
  <c r="V35" i="46"/>
  <c r="V7" i="2"/>
  <c r="O32" i="46"/>
  <c r="AE7" i="2"/>
  <c r="AF9" i="46"/>
  <c r="AE16" i="46"/>
  <c r="AF21" i="2"/>
  <c r="AF13" i="2"/>
  <c r="Q15" i="43"/>
  <c r="AA21" i="43"/>
  <c r="Z27" i="43"/>
  <c r="AA27" i="43" s="1"/>
  <c r="Q36" i="43"/>
  <c r="AC37" i="43"/>
  <c r="AF41" i="43"/>
  <c r="AF42" i="43" s="1"/>
  <c r="W16" i="43"/>
  <c r="S39" i="45"/>
  <c r="T12" i="43"/>
  <c r="T9" i="43" s="1"/>
  <c r="Y12" i="43"/>
  <c r="Y9" i="43" s="1"/>
  <c r="K17" i="43"/>
  <c r="O22" i="43"/>
  <c r="T11" i="43"/>
  <c r="Y11" i="43"/>
  <c r="W27" i="43"/>
  <c r="AG21" i="1"/>
  <c r="AA29" i="43"/>
  <c r="Q35" i="42"/>
  <c r="W12" i="43"/>
  <c r="W9" i="43" s="1"/>
  <c r="S35" i="42"/>
  <c r="Z12" i="43"/>
  <c r="Z11" i="43" s="1"/>
  <c r="N17" i="43"/>
  <c r="AF20" i="43"/>
  <c r="K30" i="43"/>
  <c r="Y16" i="43"/>
  <c r="AA8" i="43"/>
  <c r="M30" i="43"/>
  <c r="O30" i="43" s="1"/>
  <c r="AA23" i="43"/>
  <c r="H20" i="43"/>
  <c r="N12" i="43"/>
  <c r="N11" i="43" s="1"/>
  <c r="AC15" i="43"/>
  <c r="AA31" i="43"/>
  <c r="M40" i="45"/>
  <c r="N40" i="45" s="1"/>
  <c r="W14" i="43"/>
  <c r="O26" i="43"/>
  <c r="W41" i="43"/>
  <c r="W42" i="43" s="1"/>
  <c r="Y14" i="43"/>
  <c r="Q18" i="43"/>
  <c r="T30" i="43"/>
  <c r="O21" i="43"/>
  <c r="K28" i="43"/>
  <c r="T20" i="43"/>
  <c r="AC26" i="43"/>
  <c r="M29" i="43"/>
  <c r="O39" i="43"/>
  <c r="AC19" i="43"/>
  <c r="AF17" i="43"/>
  <c r="M27" i="43"/>
  <c r="O27" i="43" s="1"/>
  <c r="W15" i="1"/>
  <c r="AF19" i="46"/>
  <c r="AF20" i="46"/>
  <c r="AF7" i="2"/>
  <c r="AE11" i="46"/>
  <c r="AE23" i="46"/>
  <c r="AF16" i="46"/>
  <c r="AF13" i="46"/>
  <c r="AE14" i="46"/>
  <c r="AD12" i="1"/>
  <c r="AF12" i="1"/>
  <c r="G16" i="1"/>
  <c r="S33" i="1"/>
  <c r="U33" i="1" s="1"/>
  <c r="R24" i="2"/>
  <c r="S7" i="2"/>
  <c r="U32" i="2"/>
  <c r="X31" i="2"/>
  <c r="U53" i="2"/>
  <c r="U41" i="2"/>
  <c r="X34" i="2"/>
  <c r="U58" i="2"/>
  <c r="Q10" i="46"/>
  <c r="F20" i="1"/>
  <c r="S10" i="2"/>
  <c r="V51" i="2"/>
  <c r="Q7" i="46"/>
  <c r="P24" i="46"/>
  <c r="S7" i="46"/>
  <c r="AB8" i="1"/>
  <c r="G10" i="1"/>
  <c r="F14" i="1"/>
  <c r="Q10" i="2"/>
  <c r="Q12" i="2"/>
  <c r="S19" i="2"/>
  <c r="I16" i="1"/>
  <c r="G11" i="1"/>
  <c r="W24" i="2"/>
  <c r="Q13" i="2"/>
  <c r="Q19" i="2"/>
  <c r="X23" i="2"/>
  <c r="T14" i="43"/>
  <c r="AC13" i="43"/>
  <c r="T17" i="43"/>
  <c r="E30" i="1"/>
  <c r="AE10" i="1"/>
  <c r="I15" i="1"/>
  <c r="X8" i="2"/>
  <c r="I10" i="1"/>
  <c r="I11" i="1"/>
  <c r="H21" i="1"/>
  <c r="H32" i="1" s="1"/>
  <c r="AE17" i="1" s="1"/>
  <c r="G12" i="1"/>
  <c r="H14" i="1"/>
  <c r="X7" i="2"/>
  <c r="V8" i="2"/>
  <c r="S12" i="2"/>
  <c r="R25" i="2"/>
  <c r="S17" i="2"/>
  <c r="Q17" i="2"/>
  <c r="R32" i="2"/>
  <c r="O41" i="2"/>
  <c r="X11" i="2"/>
  <c r="U25" i="2"/>
  <c r="Q15" i="2"/>
  <c r="Q16" i="2"/>
  <c r="S18" i="2"/>
  <c r="S30" i="2"/>
  <c r="AB27" i="41"/>
  <c r="U27" i="41"/>
  <c r="AB20" i="1"/>
  <c r="AD20" i="1" s="1"/>
  <c r="V11" i="2"/>
  <c r="I12" i="1"/>
  <c r="X12" i="2"/>
  <c r="V13" i="2"/>
  <c r="S15" i="2"/>
  <c r="X20" i="2"/>
  <c r="V20" i="2"/>
  <c r="T25" i="2"/>
  <c r="AD19" i="1"/>
  <c r="G25" i="1"/>
  <c r="W32" i="1"/>
  <c r="U32" i="1"/>
  <c r="X13" i="2"/>
  <c r="V14" i="2"/>
  <c r="V17" i="2"/>
  <c r="S17" i="46"/>
  <c r="Q17" i="46"/>
  <c r="G27" i="1"/>
  <c r="O32" i="2"/>
  <c r="AL17" i="41" s="1"/>
  <c r="T58" i="2"/>
  <c r="I25" i="1"/>
  <c r="X17" i="2"/>
  <c r="T24" i="2"/>
  <c r="S15" i="46"/>
  <c r="Q15" i="46"/>
  <c r="AB7" i="1"/>
  <c r="F22" i="1"/>
  <c r="U24" i="2"/>
  <c r="O24" i="46"/>
  <c r="G15" i="1"/>
  <c r="I27" i="1"/>
  <c r="AE15" i="1"/>
  <c r="E21" i="1"/>
  <c r="E32" i="1" s="1"/>
  <c r="AB17" i="1" s="1"/>
  <c r="H22" i="1"/>
  <c r="H33" i="1" s="1"/>
  <c r="AE18" i="1" s="1"/>
  <c r="X38" i="2"/>
  <c r="AC10" i="1"/>
  <c r="F21" i="1"/>
  <c r="O26" i="2"/>
  <c r="U59" i="2"/>
  <c r="X36" i="2"/>
  <c r="V34" i="2"/>
  <c r="E29" i="1"/>
  <c r="AE11" i="1"/>
  <c r="AF11" i="1" s="1"/>
  <c r="G26" i="1"/>
  <c r="O24" i="2"/>
  <c r="P26" i="2"/>
  <c r="O25" i="46"/>
  <c r="S13" i="46"/>
  <c r="Q13" i="46"/>
  <c r="S12" i="41"/>
  <c r="S16" i="41"/>
  <c r="U16" i="41" s="1"/>
  <c r="AB10" i="41"/>
  <c r="U10" i="41"/>
  <c r="V18" i="2"/>
  <c r="R26" i="2"/>
  <c r="Q29" i="2"/>
  <c r="J32" i="2"/>
  <c r="AL12" i="41" s="1"/>
  <c r="Q33" i="2"/>
  <c r="V7" i="46"/>
  <c r="T24" i="46"/>
  <c r="S11" i="46"/>
  <c r="P25" i="46"/>
  <c r="Q11" i="46"/>
  <c r="Q20" i="2"/>
  <c r="V30" i="2"/>
  <c r="U24" i="46"/>
  <c r="X8" i="46"/>
  <c r="R25" i="46"/>
  <c r="V15" i="46"/>
  <c r="Q36" i="45"/>
  <c r="S36" i="45"/>
  <c r="X18" i="2"/>
  <c r="W25" i="2"/>
  <c r="T26" i="2"/>
  <c r="S29" i="2"/>
  <c r="S33" i="2"/>
  <c r="P41" i="2"/>
  <c r="T25" i="46"/>
  <c r="P32" i="46"/>
  <c r="U26" i="2"/>
  <c r="X11" i="46"/>
  <c r="U25" i="46"/>
  <c r="V13" i="46"/>
  <c r="Q21" i="2"/>
  <c r="Q28" i="2"/>
  <c r="Q39" i="2"/>
  <c r="R41" i="2"/>
  <c r="V11" i="46"/>
  <c r="S31" i="46"/>
  <c r="Q31" i="46"/>
  <c r="AE20" i="41"/>
  <c r="AG20" i="41" s="1"/>
  <c r="AG18" i="41"/>
  <c r="S21" i="2"/>
  <c r="J24" i="2"/>
  <c r="S28" i="2"/>
  <c r="P32" i="2"/>
  <c r="S39" i="2"/>
  <c r="T41" i="2"/>
  <c r="N29" i="43"/>
  <c r="Q37" i="43"/>
  <c r="O37" i="43"/>
  <c r="Q22" i="2"/>
  <c r="X29" i="2"/>
  <c r="X33" i="2"/>
  <c r="X37" i="2"/>
  <c r="T62" i="2"/>
  <c r="Q37" i="42"/>
  <c r="P26" i="46"/>
  <c r="V35" i="2"/>
  <c r="U62" i="2"/>
  <c r="V21" i="2"/>
  <c r="S22" i="2"/>
  <c r="J25" i="2"/>
  <c r="V28" i="2"/>
  <c r="V39" i="2"/>
  <c r="W41" i="2"/>
  <c r="T53" i="2"/>
  <c r="J26" i="46"/>
  <c r="Q23" i="46"/>
  <c r="Q23" i="2"/>
  <c r="T32" i="2"/>
  <c r="X35" i="2"/>
  <c r="X21" i="2"/>
  <c r="X39" i="2"/>
  <c r="V22" i="2"/>
  <c r="S23" i="2"/>
  <c r="P24" i="2"/>
  <c r="J26" i="2"/>
  <c r="Q31" i="2"/>
  <c r="W40" i="46"/>
  <c r="W23" i="1"/>
  <c r="V9" i="2"/>
  <c r="X15" i="2"/>
  <c r="W32" i="2"/>
  <c r="Q34" i="2"/>
  <c r="S38" i="2"/>
  <c r="O40" i="46"/>
  <c r="Q11" i="2"/>
  <c r="V16" i="2"/>
  <c r="X22" i="2"/>
  <c r="O25" i="2"/>
  <c r="S31" i="2"/>
  <c r="S40" i="42"/>
  <c r="Q40" i="42"/>
  <c r="X22" i="46"/>
  <c r="V22" i="46"/>
  <c r="X9" i="2"/>
  <c r="Q18" i="2"/>
  <c r="P25" i="2"/>
  <c r="S34" i="2"/>
  <c r="R26" i="46"/>
  <c r="P40" i="46"/>
  <c r="AG31" i="41"/>
  <c r="AC22" i="43"/>
  <c r="W32" i="46"/>
  <c r="AB24" i="41"/>
  <c r="AD24" i="41" s="1"/>
  <c r="U24" i="41"/>
  <c r="Z20" i="43"/>
  <c r="AA18" i="43"/>
  <c r="V16" i="46"/>
  <c r="Q38" i="46"/>
  <c r="L36" i="41"/>
  <c r="Q21" i="43"/>
  <c r="K27" i="43"/>
  <c r="J41" i="41"/>
  <c r="AA25" i="43"/>
  <c r="T31" i="43"/>
  <c r="AC39" i="43"/>
  <c r="V36" i="46"/>
  <c r="M17" i="41"/>
  <c r="O17" i="41" s="1"/>
  <c r="M14" i="41"/>
  <c r="O14" i="41" s="1"/>
  <c r="L18" i="41"/>
  <c r="U40" i="46"/>
  <c r="O13" i="41"/>
  <c r="X38" i="41"/>
  <c r="V34" i="46"/>
  <c r="I11" i="29"/>
  <c r="X21" i="41"/>
  <c r="V38" i="46"/>
  <c r="AB19" i="41"/>
  <c r="AD19" i="41" s="1"/>
  <c r="V18" i="46"/>
  <c r="Q29" i="46"/>
  <c r="Q33" i="46"/>
  <c r="V39" i="45"/>
  <c r="Q23" i="43"/>
  <c r="AA28" i="43"/>
  <c r="AC36" i="43"/>
  <c r="T28" i="43"/>
  <c r="K32" i="43"/>
  <c r="Q40" i="43"/>
  <c r="Q20" i="46"/>
  <c r="V30" i="46"/>
  <c r="U19" i="41"/>
  <c r="AG25" i="41"/>
  <c r="S29" i="46"/>
  <c r="AB32" i="41"/>
  <c r="H29" i="43"/>
  <c r="Q35" i="43"/>
  <c r="H41" i="43"/>
  <c r="Q21" i="46"/>
  <c r="R25" i="41"/>
  <c r="K11" i="43"/>
  <c r="Q10" i="43"/>
  <c r="K16" i="43"/>
  <c r="K41" i="43"/>
  <c r="X19" i="46"/>
  <c r="V29" i="46"/>
  <c r="V33" i="46"/>
  <c r="P10" i="41"/>
  <c r="I10" i="41"/>
  <c r="L40" i="41"/>
  <c r="AF12" i="43"/>
  <c r="AF11" i="43" s="1"/>
  <c r="AF27" i="43"/>
  <c r="M41" i="43"/>
  <c r="V20" i="46"/>
  <c r="V37" i="46"/>
  <c r="G16" i="41"/>
  <c r="I16" i="41" s="1"/>
  <c r="Q25" i="43"/>
  <c r="Q31" i="43" s="1"/>
  <c r="R31" i="43" s="1"/>
  <c r="L25" i="41"/>
  <c r="K9" i="43"/>
  <c r="Q8" i="43"/>
  <c r="T41" i="43"/>
  <c r="M11" i="41"/>
  <c r="O11" i="41" s="1"/>
  <c r="P13" i="41"/>
  <c r="AE16" i="41"/>
  <c r="AG16" i="41" s="1"/>
  <c r="V17" i="41"/>
  <c r="X17" i="41" s="1"/>
  <c r="M20" i="41"/>
  <c r="O20" i="41" s="1"/>
  <c r="P22" i="41"/>
  <c r="AB23" i="41"/>
  <c r="G41" i="41"/>
  <c r="AE41" i="41"/>
  <c r="AE42" i="41" s="1"/>
  <c r="AC23" i="43"/>
  <c r="G11" i="29"/>
  <c r="J16" i="41"/>
  <c r="L16" i="41" s="1"/>
  <c r="AB26" i="41"/>
  <c r="AD26" i="41" s="1"/>
  <c r="AB29" i="41"/>
  <c r="T32" i="43"/>
  <c r="O40" i="43"/>
  <c r="G12" i="41"/>
  <c r="G14" i="41"/>
  <c r="I14" i="41" s="1"/>
  <c r="AB21" i="41"/>
  <c r="AD21" i="41" s="1"/>
  <c r="U30" i="41"/>
  <c r="K14" i="43"/>
  <c r="AC18" i="43"/>
  <c r="Q19" i="43"/>
  <c r="K29" i="43"/>
  <c r="K31" i="43"/>
  <c r="Q35" i="45"/>
  <c r="U35" i="41"/>
  <c r="P36" i="41"/>
  <c r="I37" i="41"/>
  <c r="AB38" i="41"/>
  <c r="AD38" i="41" s="1"/>
  <c r="U39" i="41"/>
  <c r="P40" i="41"/>
  <c r="AF14" i="43"/>
  <c r="AF16" i="43"/>
  <c r="AF29" i="43"/>
  <c r="AF31" i="43"/>
  <c r="M9" i="41"/>
  <c r="O9" i="41" s="1"/>
  <c r="AE12" i="41"/>
  <c r="AE14" i="41"/>
  <c r="AG14" i="41" s="1"/>
  <c r="M16" i="41"/>
  <c r="O16" i="41" s="1"/>
  <c r="P18" i="41"/>
  <c r="AE29" i="41"/>
  <c r="AG29" i="41" s="1"/>
  <c r="W17" i="43"/>
  <c r="W30" i="43"/>
  <c r="W32" i="43"/>
  <c r="J12" i="41"/>
  <c r="J14" i="41"/>
  <c r="L14" i="41" s="1"/>
  <c r="S20" i="41"/>
  <c r="U20" i="41" s="1"/>
  <c r="I26" i="41"/>
  <c r="AG26" i="41"/>
  <c r="AE32" i="41"/>
  <c r="AG32" i="41" s="1"/>
  <c r="N14" i="43"/>
  <c r="N16" i="43"/>
  <c r="N31" i="43"/>
  <c r="O31" i="43" s="1"/>
  <c r="Y17" i="43"/>
  <c r="Z17" i="43"/>
  <c r="Z30" i="43"/>
  <c r="AA30" i="43" s="1"/>
  <c r="Z32" i="43"/>
  <c r="AA32" i="43" s="1"/>
  <c r="O38" i="43"/>
  <c r="N41" i="43"/>
  <c r="X13" i="41"/>
  <c r="AE17" i="41"/>
  <c r="AG17" i="41" s="1"/>
  <c r="I19" i="41"/>
  <c r="V20" i="41"/>
  <c r="X20" i="41" s="1"/>
  <c r="X22" i="41"/>
  <c r="U25" i="41"/>
  <c r="L26" i="41"/>
  <c r="U28" i="41"/>
  <c r="AB35" i="41"/>
  <c r="AD35" i="41" s="1"/>
  <c r="U36" i="41"/>
  <c r="P37" i="41"/>
  <c r="I38" i="41"/>
  <c r="U40" i="41"/>
  <c r="AA15" i="43"/>
  <c r="U18" i="41"/>
  <c r="L21" i="41"/>
  <c r="U31" i="41"/>
  <c r="H17" i="43"/>
  <c r="N20" i="43"/>
  <c r="H28" i="43"/>
  <c r="H30" i="43"/>
  <c r="H32" i="43"/>
  <c r="P26" i="41"/>
  <c r="S41" i="41"/>
  <c r="L10" i="41"/>
  <c r="AB13" i="41"/>
  <c r="L19" i="41"/>
  <c r="I24" i="41"/>
  <c r="T16" i="43"/>
  <c r="T27" i="43"/>
  <c r="X18" i="41"/>
  <c r="AG24" i="41"/>
  <c r="V41" i="41"/>
  <c r="AF30" i="43"/>
  <c r="AF32" i="43"/>
  <c r="O36" i="43"/>
  <c r="L8" i="41"/>
  <c r="AC8" i="43"/>
  <c r="AC10" i="43"/>
  <c r="AE19" i="2"/>
  <c r="AE19" i="46"/>
  <c r="AF19" i="2"/>
  <c r="AF20" i="2"/>
  <c r="AE13" i="46"/>
  <c r="AE13" i="2"/>
  <c r="AF14" i="2"/>
  <c r="AE7" i="46"/>
  <c r="AE8" i="46"/>
  <c r="AE21" i="46"/>
  <c r="AE15" i="2"/>
  <c r="AF15" i="2"/>
  <c r="AE22" i="2"/>
  <c r="AE23" i="2"/>
  <c r="AE22" i="46"/>
  <c r="AE9" i="2"/>
  <c r="AE10" i="2"/>
  <c r="AF10" i="2"/>
  <c r="AE12" i="46"/>
  <c r="AF18" i="46"/>
  <c r="AE12" i="2"/>
  <c r="F20" i="29"/>
  <c r="F21" i="29" s="1"/>
  <c r="F26" i="29"/>
  <c r="F11" i="29"/>
  <c r="H13" i="29"/>
  <c r="H25" i="29"/>
  <c r="F17" i="29"/>
  <c r="H17" i="29" s="1"/>
  <c r="I17" i="29"/>
  <c r="J17" i="29" s="1"/>
  <c r="J13" i="29"/>
  <c r="J15" i="29"/>
  <c r="J25" i="29"/>
  <c r="F14" i="29"/>
  <c r="H10" i="29"/>
  <c r="I14" i="29"/>
  <c r="I18" i="29"/>
  <c r="G18" i="29"/>
  <c r="H16" i="29"/>
  <c r="J10" i="29"/>
  <c r="J12" i="29"/>
  <c r="J16" i="29"/>
  <c r="J24" i="29"/>
  <c r="G20" i="29"/>
  <c r="F18" i="29"/>
  <c r="H12" i="29"/>
  <c r="H24" i="29"/>
  <c r="G14" i="29"/>
  <c r="AE17" i="46"/>
  <c r="W13" i="1"/>
  <c r="AE14" i="2"/>
  <c r="AF9" i="2"/>
  <c r="AF7" i="46"/>
  <c r="AF12" i="46"/>
  <c r="AE18" i="46"/>
  <c r="AF16" i="2"/>
  <c r="AE21" i="2"/>
  <c r="AF22" i="2"/>
  <c r="AF14" i="46"/>
  <c r="AF8" i="46"/>
  <c r="AF17" i="2"/>
  <c r="AF15" i="46"/>
  <c r="AF21" i="46"/>
  <c r="AF11" i="2"/>
  <c r="AE17" i="2"/>
  <c r="AE15" i="46"/>
  <c r="AF12" i="2"/>
  <c r="AF18" i="2"/>
  <c r="AF10" i="46"/>
  <c r="AF22" i="46"/>
  <c r="AE18" i="2"/>
  <c r="AE10" i="46"/>
  <c r="W16" i="1"/>
  <c r="W14" i="1"/>
  <c r="AI27" i="41" l="1"/>
  <c r="AD27" i="41"/>
  <c r="AD28" i="41"/>
  <c r="Q14" i="43"/>
  <c r="AD29" i="41"/>
  <c r="X9" i="41"/>
  <c r="AD30" i="41"/>
  <c r="AI13" i="43"/>
  <c r="AD32" i="41"/>
  <c r="V11" i="41"/>
  <c r="X11" i="41" s="1"/>
  <c r="AE9" i="41"/>
  <c r="AG9" i="41" s="1"/>
  <c r="AH8" i="41"/>
  <c r="S11" i="41"/>
  <c r="U11" i="41" s="1"/>
  <c r="AH15" i="41"/>
  <c r="AA14" i="43"/>
  <c r="AB12" i="41"/>
  <c r="J26" i="29"/>
  <c r="AC29" i="43"/>
  <c r="R15" i="41"/>
  <c r="AI28" i="41"/>
  <c r="AI16" i="41"/>
  <c r="Q11" i="41"/>
  <c r="AC9" i="41"/>
  <c r="AI20" i="41"/>
  <c r="Q9" i="41"/>
  <c r="W27" i="46"/>
  <c r="W42" i="46" s="1"/>
  <c r="W46" i="46" s="1"/>
  <c r="J27" i="46"/>
  <c r="J46" i="46" s="1"/>
  <c r="R8" i="41"/>
  <c r="AH38" i="41"/>
  <c r="AH21" i="41"/>
  <c r="AJ21" i="41" s="1"/>
  <c r="AH39" i="41"/>
  <c r="AJ39" i="41" s="1"/>
  <c r="P12" i="41"/>
  <c r="W34" i="1"/>
  <c r="AF21" i="1"/>
  <c r="V59" i="2"/>
  <c r="X32" i="46"/>
  <c r="X26" i="46"/>
  <c r="H26" i="29"/>
  <c r="Z9" i="43"/>
  <c r="AA9" i="43" s="1"/>
  <c r="AI36" i="43"/>
  <c r="AC16" i="43"/>
  <c r="H9" i="43"/>
  <c r="AA12" i="43"/>
  <c r="AC11" i="41"/>
  <c r="AI17" i="41"/>
  <c r="AI12" i="41"/>
  <c r="AI4" i="43" s="1"/>
  <c r="AA16" i="43"/>
  <c r="AI41" i="41"/>
  <c r="AI42" i="41" s="1"/>
  <c r="J11" i="29"/>
  <c r="AA20" i="43"/>
  <c r="AA11" i="43"/>
  <c r="AH24" i="41"/>
  <c r="AJ24" i="41" s="1"/>
  <c r="AH25" i="41"/>
  <c r="AJ25" i="41" s="1"/>
  <c r="R27" i="46"/>
  <c r="R42" i="46" s="1"/>
  <c r="R46" i="46" s="1"/>
  <c r="AI26" i="43"/>
  <c r="Q28" i="43"/>
  <c r="R28" i="43" s="1"/>
  <c r="AI22" i="43"/>
  <c r="V26" i="46"/>
  <c r="N9" i="43"/>
  <c r="H11" i="29"/>
  <c r="AA17" i="43"/>
  <c r="T63" i="2"/>
  <c r="O27" i="46"/>
  <c r="O42" i="46" s="1"/>
  <c r="O46" i="46" s="1"/>
  <c r="V62" i="2"/>
  <c r="Q17" i="43"/>
  <c r="Q16" i="43"/>
  <c r="AI15" i="43"/>
  <c r="AI17" i="43" s="1"/>
  <c r="W11" i="43"/>
  <c r="Q20" i="43"/>
  <c r="AI18" i="43"/>
  <c r="O29" i="43"/>
  <c r="AD12" i="41"/>
  <c r="AB9" i="41"/>
  <c r="R12" i="41"/>
  <c r="P9" i="41"/>
  <c r="AI30" i="43"/>
  <c r="R40" i="41"/>
  <c r="AH40" i="41"/>
  <c r="AC32" i="43"/>
  <c r="K42" i="43"/>
  <c r="AB20" i="41"/>
  <c r="AD20" i="41" s="1"/>
  <c r="Q32" i="46"/>
  <c r="S32" i="46"/>
  <c r="AF10" i="1"/>
  <c r="AD10" i="1"/>
  <c r="T27" i="2"/>
  <c r="G20" i="1"/>
  <c r="I20" i="1"/>
  <c r="F30" i="1"/>
  <c r="L12" i="41"/>
  <c r="J11" i="41"/>
  <c r="L11" i="41" s="1"/>
  <c r="P17" i="41"/>
  <c r="R17" i="41" s="1"/>
  <c r="P14" i="41"/>
  <c r="R14" i="41" s="1"/>
  <c r="R13" i="41"/>
  <c r="AH13" i="41"/>
  <c r="S26" i="46"/>
  <c r="Q26" i="46"/>
  <c r="AM17" i="41"/>
  <c r="AM17" i="43" s="1"/>
  <c r="S32" i="2"/>
  <c r="Q32" i="2"/>
  <c r="U12" i="41"/>
  <c r="S9" i="41"/>
  <c r="U9" i="41" s="1"/>
  <c r="AC31" i="43"/>
  <c r="I14" i="1"/>
  <c r="AI39" i="43"/>
  <c r="AL11" i="43"/>
  <c r="P27" i="46"/>
  <c r="S24" i="46"/>
  <c r="Q24" i="46"/>
  <c r="X41" i="41"/>
  <c r="V42" i="41"/>
  <c r="U41" i="41"/>
  <c r="S42" i="41"/>
  <c r="AB41" i="41"/>
  <c r="S25" i="2"/>
  <c r="Q25" i="2"/>
  <c r="I28" i="1"/>
  <c r="G28" i="1"/>
  <c r="I12" i="41"/>
  <c r="G9" i="41"/>
  <c r="I9" i="41" s="1"/>
  <c r="G21" i="1"/>
  <c r="I21" i="1"/>
  <c r="F32" i="1"/>
  <c r="R26" i="41"/>
  <c r="AH26" i="41"/>
  <c r="AJ26" i="41" s="1"/>
  <c r="R37" i="41"/>
  <c r="AH37" i="41"/>
  <c r="R36" i="41"/>
  <c r="AH36" i="41"/>
  <c r="T42" i="43"/>
  <c r="AC41" i="43"/>
  <c r="AI10" i="43"/>
  <c r="V36" i="1"/>
  <c r="V35" i="1" s="1"/>
  <c r="AE26" i="1"/>
  <c r="X25" i="46"/>
  <c r="V25" i="46"/>
  <c r="X25" i="2"/>
  <c r="V25" i="2"/>
  <c r="AB13" i="1"/>
  <c r="AB14" i="1" s="1"/>
  <c r="E23" i="1"/>
  <c r="F23" i="1"/>
  <c r="AC13" i="1"/>
  <c r="I13" i="1"/>
  <c r="G13" i="1"/>
  <c r="F19" i="1"/>
  <c r="I18" i="1"/>
  <c r="G18" i="1"/>
  <c r="X40" i="46"/>
  <c r="V40" i="46"/>
  <c r="S41" i="2"/>
  <c r="Q41" i="2"/>
  <c r="U27" i="46"/>
  <c r="X24" i="46"/>
  <c r="V24" i="46"/>
  <c r="AE13" i="1"/>
  <c r="AE14" i="1" s="1"/>
  <c r="H23" i="1"/>
  <c r="E31" i="1"/>
  <c r="AB16" i="1" s="1"/>
  <c r="AB15" i="1"/>
  <c r="AD13" i="41"/>
  <c r="AB17" i="41"/>
  <c r="AD17" i="41" s="1"/>
  <c r="AB14" i="41"/>
  <c r="AD14" i="41" s="1"/>
  <c r="R18" i="41"/>
  <c r="P20" i="41"/>
  <c r="R20" i="41" s="1"/>
  <c r="AH18" i="41"/>
  <c r="Q32" i="43"/>
  <c r="R32" i="43" s="1"/>
  <c r="AI40" i="43"/>
  <c r="AF9" i="43"/>
  <c r="S26" i="2"/>
  <c r="Q26" i="2"/>
  <c r="W27" i="2"/>
  <c r="W43" i="2" s="1"/>
  <c r="W47" i="2" s="1"/>
  <c r="V58" i="2"/>
  <c r="U63" i="2"/>
  <c r="J42" i="41"/>
  <c r="L41" i="41"/>
  <c r="J27" i="2"/>
  <c r="J47" i="2" s="1"/>
  <c r="J9" i="41"/>
  <c r="L9" i="41" s="1"/>
  <c r="AC28" i="43"/>
  <c r="AC30" i="43"/>
  <c r="Q29" i="43"/>
  <c r="R29" i="43" s="1"/>
  <c r="AI37" i="43"/>
  <c r="T36" i="1"/>
  <c r="X41" i="2"/>
  <c r="V41" i="2"/>
  <c r="AC26" i="1"/>
  <c r="AC27" i="43"/>
  <c r="AE11" i="41"/>
  <c r="AG11" i="41" s="1"/>
  <c r="AG12" i="41"/>
  <c r="Q12" i="43"/>
  <c r="Q11" i="43" s="1"/>
  <c r="AI8" i="43"/>
  <c r="AH19" i="41"/>
  <c r="AJ19" i="41" s="1"/>
  <c r="V53" i="2"/>
  <c r="AI19" i="43"/>
  <c r="AJ8" i="41"/>
  <c r="Q25" i="46"/>
  <c r="S25" i="46"/>
  <c r="E14" i="1"/>
  <c r="G14" i="1" s="1"/>
  <c r="R27" i="2"/>
  <c r="R43" i="2" s="1"/>
  <c r="R47" i="2" s="1"/>
  <c r="AC20" i="43"/>
  <c r="E19" i="1"/>
  <c r="R10" i="41"/>
  <c r="AH10" i="41"/>
  <c r="AH16" i="41" s="1"/>
  <c r="T27" i="46"/>
  <c r="T42" i="46" s="1"/>
  <c r="O27" i="2"/>
  <c r="O43" i="2" s="1"/>
  <c r="O47" i="2" s="1"/>
  <c r="U27" i="2"/>
  <c r="X24" i="2"/>
  <c r="V24" i="2"/>
  <c r="G11" i="41"/>
  <c r="I11" i="41" s="1"/>
  <c r="Q41" i="43"/>
  <c r="H42" i="43"/>
  <c r="AI23" i="43"/>
  <c r="AC17" i="43"/>
  <c r="AC14" i="43"/>
  <c r="R22" i="41"/>
  <c r="AH22" i="41"/>
  <c r="AJ22" i="41" s="1"/>
  <c r="AB11" i="41"/>
  <c r="AD10" i="41"/>
  <c r="AB16" i="41"/>
  <c r="AD16" i="41" s="1"/>
  <c r="Q27" i="43"/>
  <c r="R27" i="43" s="1"/>
  <c r="AI35" i="43"/>
  <c r="S40" i="46"/>
  <c r="Q40" i="46"/>
  <c r="P16" i="41"/>
  <c r="R16" i="41" s="1"/>
  <c r="F29" i="1"/>
  <c r="AM20" i="41"/>
  <c r="AM20" i="43" s="1"/>
  <c r="X32" i="2"/>
  <c r="V32" i="2"/>
  <c r="U52" i="2"/>
  <c r="AI25" i="43"/>
  <c r="P41" i="41"/>
  <c r="G42" i="41"/>
  <c r="I41" i="41"/>
  <c r="AH35" i="41"/>
  <c r="AJ15" i="41"/>
  <c r="G22" i="1"/>
  <c r="I22" i="1"/>
  <c r="F33" i="1"/>
  <c r="S36" i="1"/>
  <c r="S35" i="1" s="1"/>
  <c r="AB26" i="1"/>
  <c r="AB22" i="1" s="1"/>
  <c r="AC12" i="43"/>
  <c r="N42" i="43"/>
  <c r="O41" i="43"/>
  <c r="AH23" i="41"/>
  <c r="AJ23" i="41" s="1"/>
  <c r="AD23" i="41"/>
  <c r="AI21" i="43"/>
  <c r="S24" i="2"/>
  <c r="Q24" i="2"/>
  <c r="P27" i="2"/>
  <c r="AL20" i="41"/>
  <c r="T52" i="2"/>
  <c r="X26" i="2"/>
  <c r="V26" i="2"/>
  <c r="U15" i="1"/>
  <c r="U13" i="1"/>
  <c r="H14" i="29"/>
  <c r="J14" i="29"/>
  <c r="I22" i="29"/>
  <c r="I19" i="29"/>
  <c r="F19" i="29"/>
  <c r="F22" i="29"/>
  <c r="G19" i="29"/>
  <c r="G22" i="29"/>
  <c r="H18" i="29"/>
  <c r="J18" i="29"/>
  <c r="G21" i="29"/>
  <c r="H20" i="29"/>
  <c r="J20" i="29"/>
  <c r="AJ16" i="41" l="1"/>
  <c r="AD9" i="41"/>
  <c r="AD11" i="41"/>
  <c r="R9" i="41"/>
  <c r="P11" i="41"/>
  <c r="R11" i="41" s="1"/>
  <c r="AH30" i="41"/>
  <c r="AJ30" i="41" s="1"/>
  <c r="AI28" i="43"/>
  <c r="AJ38" i="41"/>
  <c r="AH31" i="41"/>
  <c r="AJ31" i="41" s="1"/>
  <c r="AI16" i="43"/>
  <c r="AI9" i="41"/>
  <c r="AI11" i="41"/>
  <c r="AB23" i="1"/>
  <c r="V63" i="2"/>
  <c r="U11" i="1"/>
  <c r="T12" i="1"/>
  <c r="W9" i="1"/>
  <c r="U14" i="1"/>
  <c r="W11" i="1"/>
  <c r="U16" i="1"/>
  <c r="U10" i="1"/>
  <c r="W10" i="1"/>
  <c r="AM18" i="41"/>
  <c r="AI31" i="43"/>
  <c r="AB42" i="41"/>
  <c r="AD41" i="41"/>
  <c r="AC17" i="1"/>
  <c r="G32" i="1"/>
  <c r="I32" i="1"/>
  <c r="V52" i="2"/>
  <c r="H34" i="1"/>
  <c r="H35" i="1" s="1"/>
  <c r="H24" i="1"/>
  <c r="P43" i="2"/>
  <c r="S27" i="2"/>
  <c r="Q27" i="2"/>
  <c r="AJ10" i="41"/>
  <c r="AI12" i="43"/>
  <c r="AI29" i="43"/>
  <c r="AI32" i="43"/>
  <c r="AC42" i="43"/>
  <c r="AF13" i="1"/>
  <c r="AD13" i="1"/>
  <c r="F31" i="1"/>
  <c r="AC15" i="1"/>
  <c r="I30" i="1"/>
  <c r="G30" i="1"/>
  <c r="AH32" i="41"/>
  <c r="AJ32" i="41" s="1"/>
  <c r="AJ40" i="41"/>
  <c r="AM21" i="41"/>
  <c r="AM22" i="41"/>
  <c r="I23" i="1"/>
  <c r="G23" i="1"/>
  <c r="F34" i="1"/>
  <c r="F35" i="1" s="1"/>
  <c r="F24" i="1"/>
  <c r="X27" i="2"/>
  <c r="V27" i="2"/>
  <c r="U50" i="2"/>
  <c r="U43" i="2"/>
  <c r="Q9" i="43"/>
  <c r="AJ36" i="41"/>
  <c r="AH28" i="41"/>
  <c r="AJ28" i="41" s="1"/>
  <c r="AJ35" i="41"/>
  <c r="AH27" i="41"/>
  <c r="AJ27" i="41" s="1"/>
  <c r="AJ18" i="41"/>
  <c r="AH20" i="41"/>
  <c r="AL21" i="41" s="1"/>
  <c r="AE22" i="1"/>
  <c r="AE23" i="1" s="1"/>
  <c r="AH17" i="41"/>
  <c r="AH14" i="41"/>
  <c r="AJ14" i="41" s="1"/>
  <c r="AJ13" i="41"/>
  <c r="I19" i="1"/>
  <c r="G19" i="1"/>
  <c r="S27" i="46"/>
  <c r="P42" i="46"/>
  <c r="Q27" i="46"/>
  <c r="Q42" i="43"/>
  <c r="AI41" i="43"/>
  <c r="E34" i="1"/>
  <c r="E35" i="1" s="1"/>
  <c r="E24" i="1"/>
  <c r="U42" i="46"/>
  <c r="V27" i="46"/>
  <c r="X27" i="46"/>
  <c r="AI20" i="43"/>
  <c r="I33" i="1"/>
  <c r="AC18" i="1"/>
  <c r="G33" i="1"/>
  <c r="P42" i="41"/>
  <c r="R41" i="41"/>
  <c r="AH41" i="41"/>
  <c r="AH29" i="41"/>
  <c r="AJ29" i="41" s="1"/>
  <c r="AJ37" i="41"/>
  <c r="T50" i="2"/>
  <c r="T43" i="2"/>
  <c r="T43" i="46"/>
  <c r="T46" i="46"/>
  <c r="AD26" i="1"/>
  <c r="AF26" i="1" s="1"/>
  <c r="AC22" i="1"/>
  <c r="AC11" i="43"/>
  <c r="AH12" i="41"/>
  <c r="AC14" i="1"/>
  <c r="G29" i="1"/>
  <c r="I29" i="1"/>
  <c r="AI14" i="43"/>
  <c r="A14" i="1"/>
  <c r="AC9" i="43"/>
  <c r="AI27" i="43"/>
  <c r="W36" i="1"/>
  <c r="U36" i="1"/>
  <c r="T35" i="1"/>
  <c r="G27" i="29"/>
  <c r="G23" i="29"/>
  <c r="H22" i="29"/>
  <c r="J22" i="29"/>
  <c r="J19" i="29"/>
  <c r="H19" i="29"/>
  <c r="F27" i="29"/>
  <c r="F23" i="29"/>
  <c r="J21" i="29"/>
  <c r="H21" i="29"/>
  <c r="I27" i="29"/>
  <c r="I23" i="29"/>
  <c r="S12" i="1" l="1"/>
  <c r="AI11" i="43"/>
  <c r="W12" i="1"/>
  <c r="U12" i="1"/>
  <c r="U9" i="1"/>
  <c r="AE26" i="46"/>
  <c r="AE25" i="46"/>
  <c r="AE25" i="2"/>
  <c r="W35" i="1"/>
  <c r="U35" i="1"/>
  <c r="AD18" i="1"/>
  <c r="AF18" i="1"/>
  <c r="AF22" i="1"/>
  <c r="AD22" i="1"/>
  <c r="AF17" i="1"/>
  <c r="AD17" i="1"/>
  <c r="S42" i="46"/>
  <c r="Q42" i="46"/>
  <c r="G42" i="46"/>
  <c r="P43" i="46"/>
  <c r="P46" i="46"/>
  <c r="P44" i="2"/>
  <c r="Q43" i="2"/>
  <c r="G43" i="2"/>
  <c r="S43" i="2"/>
  <c r="P47" i="2"/>
  <c r="AJ41" i="41"/>
  <c r="AH42" i="41"/>
  <c r="AF14" i="1"/>
  <c r="AD14" i="1"/>
  <c r="U43" i="46"/>
  <c r="G43" i="46"/>
  <c r="V42" i="46"/>
  <c r="X42" i="46"/>
  <c r="U46" i="46"/>
  <c r="G44" i="2"/>
  <c r="U44" i="2"/>
  <c r="X43" i="2"/>
  <c r="V43" i="2"/>
  <c r="U47" i="2"/>
  <c r="AJ20" i="41"/>
  <c r="AL22" i="41"/>
  <c r="AJ12" i="41"/>
  <c r="AL13" i="41"/>
  <c r="AH9" i="41"/>
  <c r="AJ9" i="41" s="1"/>
  <c r="W50" i="2"/>
  <c r="V50" i="2"/>
  <c r="U54" i="2"/>
  <c r="U56" i="2" s="1"/>
  <c r="AC23" i="1"/>
  <c r="AF15" i="1"/>
  <c r="AD15" i="1"/>
  <c r="I31" i="1"/>
  <c r="AC16" i="1"/>
  <c r="G31" i="1"/>
  <c r="F40" i="1"/>
  <c r="F36" i="1"/>
  <c r="I35" i="1"/>
  <c r="F39" i="1"/>
  <c r="G35" i="1"/>
  <c r="E36" i="1"/>
  <c r="AB24" i="1" s="1"/>
  <c r="E40" i="1"/>
  <c r="E39" i="1"/>
  <c r="H39" i="1"/>
  <c r="H36" i="1"/>
  <c r="AE24" i="1" s="1"/>
  <c r="H40" i="1"/>
  <c r="G24" i="1"/>
  <c r="I24" i="1"/>
  <c r="AI42" i="43"/>
  <c r="I34" i="1"/>
  <c r="G34" i="1"/>
  <c r="AI9" i="43"/>
  <c r="AH11" i="41"/>
  <c r="AJ11" i="41" s="1"/>
  <c r="T54" i="2"/>
  <c r="T55" i="2" s="1"/>
  <c r="T44" i="2"/>
  <c r="T47" i="2"/>
  <c r="AJ17" i="41"/>
  <c r="AL18" i="41"/>
  <c r="I38" i="29"/>
  <c r="I28" i="29"/>
  <c r="I37" i="29"/>
  <c r="J23" i="29"/>
  <c r="H23" i="29"/>
  <c r="G28" i="29"/>
  <c r="G38" i="29"/>
  <c r="G37" i="29"/>
  <c r="J27" i="29"/>
  <c r="H27" i="29"/>
  <c r="F28" i="29"/>
  <c r="F38" i="29"/>
  <c r="F37" i="29"/>
  <c r="AE26" i="2" l="1"/>
  <c r="AE27" i="46"/>
  <c r="AE27" i="2"/>
  <c r="AE24" i="2"/>
  <c r="AE24" i="46"/>
  <c r="G36" i="1"/>
  <c r="AD24" i="1" s="1"/>
  <c r="I36" i="1"/>
  <c r="AF24" i="1" s="1"/>
  <c r="AC24" i="1"/>
  <c r="V54" i="2"/>
  <c r="V55" i="2" s="1"/>
  <c r="U55" i="2"/>
  <c r="AD16" i="1"/>
  <c r="AF16" i="1"/>
  <c r="T56" i="2"/>
  <c r="V56" i="2" s="1"/>
  <c r="AD23" i="1"/>
  <c r="AF23" i="1"/>
  <c r="H28" i="29"/>
  <c r="J28" i="29"/>
  <c r="AF24" i="2" l="1"/>
  <c r="AF24" i="46"/>
  <c r="AF27" i="2"/>
  <c r="AF27" i="46"/>
  <c r="AF26" i="46"/>
  <c r="AF26" i="2"/>
  <c r="AF25" i="46"/>
  <c r="AF25" i="2"/>
  <c r="W20" i="1" l="1"/>
  <c r="U20" i="1"/>
  <c r="W19" i="1" l="1"/>
  <c r="U19" i="1"/>
  <c r="W18" i="1"/>
  <c r="U18" i="1"/>
  <c r="W17" i="1"/>
  <c r="U17" i="1"/>
  <c r="AG9" i="1" l="1"/>
  <c r="AG8" i="1"/>
  <c r="AG7" i="1"/>
  <c r="AJ19" i="1" l="1"/>
  <c r="AG12" i="1"/>
  <c r="M22" i="1"/>
  <c r="M33" i="1" s="1"/>
  <c r="AJ18" i="1" s="1"/>
  <c r="AJ12" i="1"/>
  <c r="AJ11" i="1"/>
  <c r="AI30" i="42"/>
  <c r="L11" i="29"/>
  <c r="L18" i="29"/>
  <c r="J21" i="1"/>
  <c r="J32" i="1" s="1"/>
  <c r="AG17" i="1" s="1"/>
  <c r="AG11" i="1"/>
  <c r="AG10" i="1"/>
  <c r="J20" i="1"/>
  <c r="T61" i="42"/>
  <c r="T62" i="42"/>
  <c r="J29" i="1"/>
  <c r="T59" i="42"/>
  <c r="M19" i="1"/>
  <c r="J22" i="1"/>
  <c r="J33" i="1" s="1"/>
  <c r="AG18" i="1" s="1"/>
  <c r="M29" i="1"/>
  <c r="M21" i="1" l="1"/>
  <c r="M32" i="1" s="1"/>
  <c r="AJ17" i="1" s="1"/>
  <c r="R32" i="45"/>
  <c r="R32" i="42"/>
  <c r="M23" i="1"/>
  <c r="M34" i="1" s="1"/>
  <c r="AJ13" i="1"/>
  <c r="W32" i="45"/>
  <c r="W32" i="42"/>
  <c r="W26" i="42"/>
  <c r="W26" i="45"/>
  <c r="T51" i="42"/>
  <c r="T50" i="45"/>
  <c r="S38" i="42"/>
  <c r="S37" i="45"/>
  <c r="J32" i="42"/>
  <c r="J32" i="45"/>
  <c r="AI31" i="42"/>
  <c r="AJ21" i="1"/>
  <c r="J19" i="1"/>
  <c r="R25" i="45"/>
  <c r="R25" i="42"/>
  <c r="L19" i="29"/>
  <c r="M20" i="1"/>
  <c r="AJ10" i="1"/>
  <c r="M14" i="1"/>
  <c r="AG19" i="1"/>
  <c r="AJ20" i="1"/>
  <c r="W40" i="45"/>
  <c r="J23" i="1"/>
  <c r="J34" i="1" s="1"/>
  <c r="AG13" i="1"/>
  <c r="AG14" i="1" s="1"/>
  <c r="J14" i="1"/>
  <c r="O32" i="45"/>
  <c r="J30" i="1"/>
  <c r="W24" i="42" l="1"/>
  <c r="W24" i="45"/>
  <c r="J24" i="1"/>
  <c r="T24" i="45"/>
  <c r="J25" i="45"/>
  <c r="R24" i="45"/>
  <c r="T26" i="42"/>
  <c r="R24" i="42"/>
  <c r="T24" i="42"/>
  <c r="AJ14" i="1"/>
  <c r="O24" i="45"/>
  <c r="W25" i="42"/>
  <c r="W27" i="42" s="1"/>
  <c r="W25" i="45"/>
  <c r="W27" i="45" s="1"/>
  <c r="W42" i="45" s="1"/>
  <c r="W46" i="45" s="1"/>
  <c r="R26" i="45"/>
  <c r="R27" i="45" s="1"/>
  <c r="R26" i="42"/>
  <c r="O25" i="45"/>
  <c r="J26" i="45"/>
  <c r="T25" i="42"/>
  <c r="O40" i="45"/>
  <c r="T25" i="45"/>
  <c r="J25" i="42"/>
  <c r="T26" i="45"/>
  <c r="O26" i="45"/>
  <c r="T53" i="42"/>
  <c r="AG20" i="1"/>
  <c r="T41" i="42"/>
  <c r="AG26" i="1" s="1"/>
  <c r="T58" i="42"/>
  <c r="T63" i="42" s="1"/>
  <c r="R41" i="42"/>
  <c r="M30" i="1"/>
  <c r="M24" i="1"/>
  <c r="J24" i="42"/>
  <c r="T52" i="45"/>
  <c r="T40" i="45"/>
  <c r="R40" i="45"/>
  <c r="O41" i="42"/>
  <c r="AG15" i="1"/>
  <c r="J31" i="1"/>
  <c r="AG16" i="1" s="1"/>
  <c r="J35" i="1"/>
  <c r="O25" i="42"/>
  <c r="J26" i="42"/>
  <c r="J24" i="45"/>
  <c r="O24" i="42"/>
  <c r="W41" i="42"/>
  <c r="AJ26" i="1" s="1"/>
  <c r="AJ22" i="1" s="1"/>
  <c r="O26" i="42"/>
  <c r="T32" i="45"/>
  <c r="T51" i="45" s="1"/>
  <c r="O32" i="42"/>
  <c r="AI29" i="42"/>
  <c r="AI32" i="42" s="1"/>
  <c r="T32" i="42"/>
  <c r="T52" i="42" s="1"/>
  <c r="AG22" i="1" l="1"/>
  <c r="T27" i="45"/>
  <c r="T27" i="42"/>
  <c r="R42" i="45"/>
  <c r="R46" i="45" s="1"/>
  <c r="R27" i="42"/>
  <c r="R43" i="42" s="1"/>
  <c r="R47" i="42" s="1"/>
  <c r="O27" i="45"/>
  <c r="O42" i="45" s="1"/>
  <c r="O46" i="45" s="1"/>
  <c r="J27" i="45"/>
  <c r="J46" i="45" s="1"/>
  <c r="AG23" i="1"/>
  <c r="J39" i="1"/>
  <c r="J36" i="1"/>
  <c r="AG24" i="1" s="1"/>
  <c r="J40" i="1"/>
  <c r="M31" i="1"/>
  <c r="AJ16" i="1" s="1"/>
  <c r="AJ15" i="1"/>
  <c r="AJ23" i="1" s="1"/>
  <c r="M35" i="1"/>
  <c r="T43" i="42"/>
  <c r="T50" i="42"/>
  <c r="O27" i="42"/>
  <c r="O43" i="42" s="1"/>
  <c r="O47" i="42" s="1"/>
  <c r="J27" i="42"/>
  <c r="J47" i="42" s="1"/>
  <c r="T42" i="45"/>
  <c r="T49" i="45"/>
  <c r="T53" i="45" s="1"/>
  <c r="W43" i="42"/>
  <c r="W47" i="42" s="1"/>
  <c r="T54" i="42" l="1"/>
  <c r="T55" i="42" s="1"/>
  <c r="T44" i="42"/>
  <c r="T47" i="42"/>
  <c r="M39" i="1"/>
  <c r="M40" i="1"/>
  <c r="M36" i="1"/>
  <c r="AJ24" i="1" s="1"/>
  <c r="T43" i="45"/>
  <c r="T46" i="45"/>
  <c r="T56" i="42" l="1"/>
  <c r="O10" i="29" l="1"/>
  <c r="M10" i="29"/>
  <c r="N26" i="29" l="1"/>
  <c r="N14" i="29"/>
  <c r="N20" i="29"/>
  <c r="N21" i="29" s="1"/>
  <c r="K20" i="29"/>
  <c r="K21" i="29" s="1"/>
  <c r="N17" i="29"/>
  <c r="O15" i="29"/>
  <c r="K11" i="29"/>
  <c r="M11" i="29" s="1"/>
  <c r="K18" i="29"/>
  <c r="K14" i="29"/>
  <c r="M12" i="29"/>
  <c r="K17" i="29"/>
  <c r="M15" i="29"/>
  <c r="K26" i="29"/>
  <c r="N18" i="29"/>
  <c r="N11" i="29"/>
  <c r="O11" i="29" s="1"/>
  <c r="O12" i="29"/>
  <c r="N19" i="29" l="1"/>
  <c r="O19" i="29" s="1"/>
  <c r="O18" i="29"/>
  <c r="K19" i="29"/>
  <c r="M19" i="29" s="1"/>
  <c r="M18" i="29"/>
  <c r="K22" i="29"/>
  <c r="N22" i="29"/>
  <c r="K27" i="29" l="1"/>
  <c r="K23" i="29"/>
  <c r="N27" i="29"/>
  <c r="N23" i="29"/>
  <c r="N37" i="29" l="1"/>
  <c r="N38" i="29"/>
  <c r="N28" i="29"/>
  <c r="K28" i="29"/>
  <c r="K38" i="29"/>
  <c r="K37" i="29"/>
  <c r="O8" i="43" l="1"/>
  <c r="M12" i="43"/>
  <c r="O12" i="43" s="1"/>
  <c r="O10" i="43"/>
  <c r="M11" i="43"/>
  <c r="O11" i="43" s="1"/>
  <c r="O13" i="43"/>
  <c r="M42" i="43"/>
  <c r="M17" i="43"/>
  <c r="O17" i="43" s="1"/>
  <c r="M14" i="43"/>
  <c r="O14" i="43" s="1"/>
  <c r="M16" i="43"/>
  <c r="O16" i="43" s="1"/>
  <c r="O15" i="43"/>
  <c r="O18" i="43" l="1"/>
  <c r="M9" i="43"/>
  <c r="O9" i="43" s="1"/>
  <c r="O19" i="43"/>
  <c r="M20" i="43" l="1"/>
  <c r="O20" i="43" s="1"/>
  <c r="I18" i="43" l="1"/>
  <c r="U18" i="43" l="1"/>
  <c r="S20" i="43"/>
  <c r="U20" i="43" s="1"/>
  <c r="U19" i="43"/>
  <c r="AG19" i="43"/>
  <c r="AG18" i="43" l="1"/>
  <c r="AE20" i="43"/>
  <c r="AG20" i="43" s="1"/>
  <c r="AE41" i="43"/>
  <c r="AG26" i="43"/>
  <c r="AG25" i="43"/>
  <c r="AG24" i="43"/>
  <c r="AG23" i="43"/>
  <c r="AG22" i="43"/>
  <c r="AG21" i="43"/>
  <c r="AG10" i="43"/>
  <c r="AE12" i="43" l="1"/>
  <c r="AE9" i="43"/>
  <c r="AG9" i="43" s="1"/>
  <c r="AG8" i="43"/>
  <c r="AE16" i="43"/>
  <c r="AG16" i="43" s="1"/>
  <c r="AG15" i="43"/>
  <c r="AG13" i="43"/>
  <c r="AE14" i="43"/>
  <c r="AG14" i="43" s="1"/>
  <c r="AE17" i="43"/>
  <c r="AG17" i="43" s="1"/>
  <c r="AE29" i="43"/>
  <c r="AG29" i="43" s="1"/>
  <c r="AE32" i="43"/>
  <c r="AG32" i="43" s="1"/>
  <c r="AE31" i="43"/>
  <c r="AG31" i="43" s="1"/>
  <c r="AE30" i="43"/>
  <c r="AG30" i="43" s="1"/>
  <c r="AE27" i="43"/>
  <c r="AG27" i="43" s="1"/>
  <c r="AE28" i="43"/>
  <c r="AG28" i="43" s="1"/>
  <c r="AE42" i="43"/>
  <c r="X19" i="43" l="1"/>
  <c r="AB19" i="43"/>
  <c r="AD19" i="43" s="1"/>
  <c r="AE11" i="43"/>
  <c r="AG11" i="43" s="1"/>
  <c r="AG12" i="43"/>
  <c r="X18" i="43" l="1"/>
  <c r="V20" i="43"/>
  <c r="X20" i="43" s="1"/>
  <c r="AB18" i="43"/>
  <c r="X36" i="43"/>
  <c r="X26" i="43"/>
  <c r="X25" i="43"/>
  <c r="X24" i="43"/>
  <c r="X23" i="43"/>
  <c r="X21" i="43"/>
  <c r="X10" i="43"/>
  <c r="L19" i="43"/>
  <c r="X35" i="43" l="1"/>
  <c r="V41" i="43"/>
  <c r="V27" i="43"/>
  <c r="X27" i="43" s="1"/>
  <c r="L35" i="43"/>
  <c r="J41" i="43"/>
  <c r="AB24" i="43"/>
  <c r="AD24" i="43" s="1"/>
  <c r="U24" i="43"/>
  <c r="U36" i="43"/>
  <c r="S28" i="43"/>
  <c r="AB36" i="43"/>
  <c r="AD36" i="43" s="1"/>
  <c r="V28" i="43"/>
  <c r="X28" i="43" s="1"/>
  <c r="X22" i="43"/>
  <c r="L36" i="43"/>
  <c r="I15" i="43"/>
  <c r="P15" i="43"/>
  <c r="AB26" i="43"/>
  <c r="AD26" i="43" s="1"/>
  <c r="U26" i="43"/>
  <c r="V30" i="43"/>
  <c r="X30" i="43" s="1"/>
  <c r="X38" i="43"/>
  <c r="U25" i="43"/>
  <c r="AB25" i="43"/>
  <c r="AD25" i="43" s="1"/>
  <c r="I37" i="43"/>
  <c r="P37" i="43"/>
  <c r="AB39" i="43"/>
  <c r="AD39" i="43" s="1"/>
  <c r="U39" i="43"/>
  <c r="S31" i="43"/>
  <c r="U23" i="43"/>
  <c r="AB23" i="43"/>
  <c r="AD23" i="43" s="1"/>
  <c r="L39" i="43"/>
  <c r="V12" i="43"/>
  <c r="V9" i="43" s="1"/>
  <c r="X9" i="43" s="1"/>
  <c r="X8" i="43"/>
  <c r="X39" i="43"/>
  <c r="V31" i="43"/>
  <c r="X31" i="43" s="1"/>
  <c r="AB22" i="43"/>
  <c r="AD22" i="43" s="1"/>
  <c r="U22" i="43"/>
  <c r="X37" i="43"/>
  <c r="V29" i="43"/>
  <c r="X29" i="43" s="1"/>
  <c r="AB10" i="43"/>
  <c r="U10" i="43"/>
  <c r="U40" i="43"/>
  <c r="AB40" i="43"/>
  <c r="AD40" i="43" s="1"/>
  <c r="S32" i="43"/>
  <c r="P19" i="43"/>
  <c r="I19" i="43"/>
  <c r="G20" i="43"/>
  <c r="I20" i="43" s="1"/>
  <c r="L38" i="43"/>
  <c r="AB8" i="43"/>
  <c r="U8" i="43"/>
  <c r="S12" i="43"/>
  <c r="U12" i="43" s="1"/>
  <c r="V32" i="43"/>
  <c r="X32" i="43" s="1"/>
  <c r="X40" i="43"/>
  <c r="I35" i="43"/>
  <c r="P35" i="43"/>
  <c r="S17" i="43"/>
  <c r="U17" i="43" s="1"/>
  <c r="U13" i="43"/>
  <c r="S14" i="43"/>
  <c r="U14" i="43" s="1"/>
  <c r="AB13" i="43"/>
  <c r="I36" i="43"/>
  <c r="P36" i="43"/>
  <c r="L15" i="43"/>
  <c r="X13" i="43"/>
  <c r="V14" i="43"/>
  <c r="X14" i="43" s="1"/>
  <c r="V17" i="43"/>
  <c r="X17" i="43" s="1"/>
  <c r="L37" i="43"/>
  <c r="G41" i="43"/>
  <c r="I39" i="43"/>
  <c r="P39" i="43"/>
  <c r="AD18" i="43"/>
  <c r="AB20" i="43"/>
  <c r="AD20" i="43" s="1"/>
  <c r="AB37" i="43"/>
  <c r="AD37" i="43" s="1"/>
  <c r="S29" i="43"/>
  <c r="U37" i="43"/>
  <c r="U38" i="43"/>
  <c r="S30" i="43"/>
  <c r="AB38" i="43"/>
  <c r="AD38" i="43" s="1"/>
  <c r="I38" i="43"/>
  <c r="P38" i="43"/>
  <c r="L13" i="43"/>
  <c r="J17" i="43"/>
  <c r="L17" i="43" s="1"/>
  <c r="U15" i="43"/>
  <c r="S16" i="43"/>
  <c r="U16" i="43" s="1"/>
  <c r="AB15" i="43"/>
  <c r="V16" i="43"/>
  <c r="X16" i="43" s="1"/>
  <c r="X15" i="43"/>
  <c r="I13" i="43"/>
  <c r="P13" i="43"/>
  <c r="G17" i="43"/>
  <c r="I17" i="43" s="1"/>
  <c r="AB35" i="43"/>
  <c r="AD35" i="43" s="1"/>
  <c r="S41" i="43"/>
  <c r="U35" i="43"/>
  <c r="S27" i="43"/>
  <c r="L40" i="43"/>
  <c r="G32" i="43"/>
  <c r="I32" i="43" s="1"/>
  <c r="I40" i="43"/>
  <c r="P40" i="43"/>
  <c r="J20" i="43"/>
  <c r="L20" i="43" s="1"/>
  <c r="L18" i="43"/>
  <c r="P18" i="43"/>
  <c r="AB21" i="43"/>
  <c r="AD21" i="43" s="1"/>
  <c r="U21" i="43"/>
  <c r="L26" i="43"/>
  <c r="J31" i="43"/>
  <c r="L31" i="43" s="1"/>
  <c r="I25" i="43"/>
  <c r="L24" i="43"/>
  <c r="G30" i="43"/>
  <c r="I30" i="43" s="1"/>
  <c r="L23" i="43"/>
  <c r="L22" i="43"/>
  <c r="L21" i="43"/>
  <c r="L10" i="43"/>
  <c r="J14" i="43"/>
  <c r="L14" i="43" s="1"/>
  <c r="G14" i="43"/>
  <c r="I14" i="43" s="1"/>
  <c r="S9" i="43" l="1"/>
  <c r="U9" i="43" s="1"/>
  <c r="P20" i="43"/>
  <c r="R20" i="43" s="1"/>
  <c r="AH18" i="43"/>
  <c r="R18" i="43"/>
  <c r="J29" i="43"/>
  <c r="L29" i="43" s="1"/>
  <c r="AD8" i="43"/>
  <c r="AB12" i="43"/>
  <c r="V11" i="43"/>
  <c r="X11" i="43" s="1"/>
  <c r="X12" i="43"/>
  <c r="I23" i="43"/>
  <c r="P23" i="43"/>
  <c r="R40" i="43"/>
  <c r="AH40" i="43"/>
  <c r="J30" i="43"/>
  <c r="L30" i="43" s="1"/>
  <c r="J28" i="43"/>
  <c r="L28" i="43" s="1"/>
  <c r="P21" i="43"/>
  <c r="I21" i="43"/>
  <c r="P22" i="43"/>
  <c r="I22" i="43"/>
  <c r="R38" i="43"/>
  <c r="AH38" i="43"/>
  <c r="J32" i="43"/>
  <c r="L32" i="43" s="1"/>
  <c r="AH36" i="43"/>
  <c r="R36" i="43"/>
  <c r="R19" i="43"/>
  <c r="AH19" i="43"/>
  <c r="AJ19" i="43" s="1"/>
  <c r="AB31" i="43"/>
  <c r="AD31" i="43" s="1"/>
  <c r="U31" i="43"/>
  <c r="AB28" i="43"/>
  <c r="AD28" i="43" s="1"/>
  <c r="U28" i="43"/>
  <c r="R39" i="43"/>
  <c r="AH39" i="43"/>
  <c r="P25" i="43"/>
  <c r="L25" i="43"/>
  <c r="AB27" i="43"/>
  <c r="AD27" i="43" s="1"/>
  <c r="U27" i="43"/>
  <c r="AB30" i="43"/>
  <c r="AD30" i="43" s="1"/>
  <c r="U30" i="43"/>
  <c r="G28" i="43"/>
  <c r="I28" i="43" s="1"/>
  <c r="AB32" i="43"/>
  <c r="AD32" i="43" s="1"/>
  <c r="U32" i="43"/>
  <c r="I41" i="43"/>
  <c r="G42" i="43"/>
  <c r="P41" i="43"/>
  <c r="J16" i="43"/>
  <c r="L16" i="43" s="1"/>
  <c r="P26" i="43"/>
  <c r="I26" i="43"/>
  <c r="S42" i="43"/>
  <c r="AB41" i="43"/>
  <c r="U41" i="43"/>
  <c r="AD13" i="43"/>
  <c r="AB14" i="43"/>
  <c r="AD14" i="43" s="1"/>
  <c r="AB17" i="43"/>
  <c r="AD17" i="43" s="1"/>
  <c r="G29" i="43"/>
  <c r="I29" i="43" s="1"/>
  <c r="I10" i="43"/>
  <c r="P10" i="43"/>
  <c r="AH15" i="43"/>
  <c r="P16" i="43"/>
  <c r="R16" i="43" s="1"/>
  <c r="R15" i="43"/>
  <c r="U29" i="43"/>
  <c r="AB29" i="43"/>
  <c r="AD29" i="43" s="1"/>
  <c r="AH37" i="43"/>
  <c r="R37" i="43"/>
  <c r="J27" i="43"/>
  <c r="L27" i="43" s="1"/>
  <c r="I24" i="43"/>
  <c r="P24" i="43"/>
  <c r="AD10" i="43"/>
  <c r="AB11" i="43"/>
  <c r="AD11" i="43" s="1"/>
  <c r="J42" i="43"/>
  <c r="L41" i="43"/>
  <c r="S11" i="43"/>
  <c r="U11" i="43" s="1"/>
  <c r="R13" i="43"/>
  <c r="AH13" i="43"/>
  <c r="P17" i="43"/>
  <c r="R17" i="43" s="1"/>
  <c r="AH35" i="43"/>
  <c r="R35" i="43"/>
  <c r="I8" i="43"/>
  <c r="P8" i="43"/>
  <c r="G12" i="43"/>
  <c r="I12" i="43" s="1"/>
  <c r="AB16" i="43"/>
  <c r="AD16" i="43" s="1"/>
  <c r="AD15" i="43"/>
  <c r="G16" i="43"/>
  <c r="I16" i="43" s="1"/>
  <c r="V42" i="43"/>
  <c r="X41" i="43"/>
  <c r="J12" i="43"/>
  <c r="L8" i="43"/>
  <c r="J9" i="43"/>
  <c r="L9" i="43" s="1"/>
  <c r="G31" i="43"/>
  <c r="I31" i="43" s="1"/>
  <c r="G27" i="43"/>
  <c r="I27" i="43" s="1"/>
  <c r="AH21" i="43" l="1"/>
  <c r="AJ21" i="43" s="1"/>
  <c r="R21" i="43"/>
  <c r="AJ38" i="43"/>
  <c r="AJ15" i="43"/>
  <c r="AJ39" i="43"/>
  <c r="AH23" i="43"/>
  <c r="AJ23" i="43" s="1"/>
  <c r="R23" i="43"/>
  <c r="R8" i="43"/>
  <c r="AH8" i="43"/>
  <c r="P12" i="43"/>
  <c r="AB42" i="43"/>
  <c r="AD41" i="43"/>
  <c r="R10" i="43"/>
  <c r="AH10" i="43"/>
  <c r="AH16" i="43" s="1"/>
  <c r="AJ16" i="43" s="1"/>
  <c r="P11" i="43"/>
  <c r="R11" i="43" s="1"/>
  <c r="AH32" i="43"/>
  <c r="AJ32" i="43" s="1"/>
  <c r="AJ40" i="43"/>
  <c r="AH27" i="43"/>
  <c r="AJ27" i="43" s="1"/>
  <c r="AJ35" i="43"/>
  <c r="AH24" i="43"/>
  <c r="AJ24" i="43" s="1"/>
  <c r="R24" i="43"/>
  <c r="AB9" i="43"/>
  <c r="AD9" i="43" s="1"/>
  <c r="AD12" i="43"/>
  <c r="AH22" i="43"/>
  <c r="AJ22" i="43" s="1"/>
  <c r="R22" i="43"/>
  <c r="R26" i="43"/>
  <c r="AH26" i="43"/>
  <c r="AJ26" i="43" s="1"/>
  <c r="AH17" i="43"/>
  <c r="AJ17" i="43" s="1"/>
  <c r="AJ13" i="43"/>
  <c r="P14" i="43"/>
  <c r="R14" i="43" s="1"/>
  <c r="J11" i="43"/>
  <c r="L11" i="43" s="1"/>
  <c r="L12" i="43"/>
  <c r="G11" i="43"/>
  <c r="I11" i="43" s="1"/>
  <c r="AH29" i="43"/>
  <c r="AJ29" i="43" s="1"/>
  <c r="AJ37" i="43"/>
  <c r="AH28" i="43"/>
  <c r="AJ28" i="43" s="1"/>
  <c r="AJ36" i="43"/>
  <c r="AH20" i="43"/>
  <c r="AJ20" i="43" s="1"/>
  <c r="AJ18" i="43"/>
  <c r="R25" i="43"/>
  <c r="AH25" i="43"/>
  <c r="AJ25" i="43" s="1"/>
  <c r="P42" i="43"/>
  <c r="AH41" i="43"/>
  <c r="R41" i="43"/>
  <c r="G9" i="43"/>
  <c r="I9" i="43" s="1"/>
  <c r="AJ8" i="43" l="1"/>
  <c r="AH12" i="43"/>
  <c r="AH42" i="43"/>
  <c r="AJ41" i="43"/>
  <c r="AH31" i="43"/>
  <c r="AJ31" i="43" s="1"/>
  <c r="P9" i="43"/>
  <c r="R9" i="43" s="1"/>
  <c r="R12" i="43"/>
  <c r="AH30" i="43"/>
  <c r="AJ30" i="43" s="1"/>
  <c r="AH14" i="43"/>
  <c r="AJ14" i="43" s="1"/>
  <c r="AJ10" i="43"/>
  <c r="AH11" i="43"/>
  <c r="AJ11" i="43" s="1"/>
  <c r="AH9" i="43" l="1"/>
  <c r="AJ9" i="43" s="1"/>
  <c r="AJ12" i="43"/>
  <c r="AL13" i="43" l="1"/>
  <c r="AL18" i="43" l="1"/>
  <c r="AL22" i="43" l="1"/>
  <c r="AL21" i="43"/>
  <c r="M25" i="29" l="1"/>
  <c r="O25" i="29"/>
  <c r="O16" i="29"/>
  <c r="M16" i="29"/>
  <c r="L17" i="29"/>
  <c r="L20" i="29"/>
  <c r="M13" i="29"/>
  <c r="O13" i="29"/>
  <c r="L14" i="29"/>
  <c r="M14" i="29" l="1"/>
  <c r="O14" i="29"/>
  <c r="L22" i="29"/>
  <c r="O24" i="29"/>
  <c r="L26" i="29"/>
  <c r="M24" i="29"/>
  <c r="L21" i="29"/>
  <c r="M20" i="29"/>
  <c r="O20" i="29"/>
  <c r="O17" i="29"/>
  <c r="M17" i="29"/>
  <c r="M21" i="29" l="1"/>
  <c r="O21" i="29"/>
  <c r="M26" i="29"/>
  <c r="O26" i="29"/>
  <c r="O22" i="29"/>
  <c r="M22" i="29"/>
  <c r="L27" i="29"/>
  <c r="L23" i="29"/>
  <c r="M23" i="29" l="1"/>
  <c r="O23" i="29"/>
  <c r="L28" i="29"/>
  <c r="L37" i="29"/>
  <c r="O27" i="29"/>
  <c r="L38" i="29"/>
  <c r="M27" i="29"/>
  <c r="O28" i="29" l="1"/>
  <c r="M28" i="29"/>
  <c r="S31" i="42" l="1"/>
  <c r="Q31" i="42"/>
  <c r="S31" i="45"/>
  <c r="Q31" i="45"/>
  <c r="K21" i="1"/>
  <c r="AH11" i="1"/>
  <c r="N11" i="1"/>
  <c r="L11" i="1"/>
  <c r="L16" i="1"/>
  <c r="N16" i="1"/>
  <c r="S30" i="42"/>
  <c r="Q30" i="42"/>
  <c r="S30" i="45"/>
  <c r="Q30" i="45"/>
  <c r="AH10" i="1"/>
  <c r="L10" i="1"/>
  <c r="N10" i="1"/>
  <c r="AH12" i="1"/>
  <c r="L12" i="1"/>
  <c r="K22" i="1"/>
  <c r="N12" i="1"/>
  <c r="L17" i="1"/>
  <c r="N17" i="1"/>
  <c r="V36" i="42" l="1"/>
  <c r="U59" i="42"/>
  <c r="V59" i="42" s="1"/>
  <c r="X36" i="42"/>
  <c r="S21" i="45"/>
  <c r="Q21" i="45"/>
  <c r="S12" i="42"/>
  <c r="Q12" i="42"/>
  <c r="S21" i="42"/>
  <c r="Q21" i="42"/>
  <c r="Q16" i="42"/>
  <c r="S16" i="42"/>
  <c r="S8" i="45"/>
  <c r="Q8" i="45"/>
  <c r="S16" i="45"/>
  <c r="Q16" i="45"/>
  <c r="L22" i="1"/>
  <c r="N22" i="1"/>
  <c r="S23" i="45"/>
  <c r="Q23" i="45"/>
  <c r="Q28" i="45"/>
  <c r="G29" i="45"/>
  <c r="S28" i="45"/>
  <c r="S23" i="42"/>
  <c r="Q23" i="42"/>
  <c r="Q12" i="45"/>
  <c r="S12" i="45"/>
  <c r="S28" i="42"/>
  <c r="G29" i="42"/>
  <c r="Q28" i="42"/>
  <c r="Q10" i="42"/>
  <c r="S10" i="42"/>
  <c r="S13" i="42"/>
  <c r="Q13" i="42"/>
  <c r="Q11" i="45"/>
  <c r="P25" i="45"/>
  <c r="S11" i="45"/>
  <c r="Q10" i="45"/>
  <c r="S10" i="45"/>
  <c r="S22" i="45"/>
  <c r="Q22" i="45"/>
  <c r="Q13" i="45"/>
  <c r="S13" i="45"/>
  <c r="S17" i="45"/>
  <c r="Q17" i="45"/>
  <c r="P25" i="42"/>
  <c r="S11" i="42"/>
  <c r="Q11" i="42"/>
  <c r="Q14" i="42"/>
  <c r="S14" i="42"/>
  <c r="Q22" i="42"/>
  <c r="S22" i="42"/>
  <c r="AK11" i="1"/>
  <c r="AI11" i="1"/>
  <c r="S29" i="45"/>
  <c r="Q29" i="45"/>
  <c r="P32" i="45"/>
  <c r="P24" i="42"/>
  <c r="S7" i="42"/>
  <c r="Q7" i="42"/>
  <c r="Q14" i="45"/>
  <c r="S14" i="45"/>
  <c r="K32" i="1"/>
  <c r="L21" i="1"/>
  <c r="N21" i="1"/>
  <c r="Q29" i="42"/>
  <c r="P32" i="42"/>
  <c r="S29" i="42"/>
  <c r="S7" i="45"/>
  <c r="Q7" i="45"/>
  <c r="P24" i="45"/>
  <c r="S9" i="42"/>
  <c r="Q9" i="42"/>
  <c r="Q9" i="45"/>
  <c r="S9" i="45"/>
  <c r="Q8" i="42"/>
  <c r="S8" i="42"/>
  <c r="AI10" i="1"/>
  <c r="AK10" i="1"/>
  <c r="S15" i="45"/>
  <c r="Q15" i="45"/>
  <c r="S19" i="45"/>
  <c r="Q19" i="45"/>
  <c r="P26" i="45"/>
  <c r="S15" i="42"/>
  <c r="Q15" i="42"/>
  <c r="S20" i="45"/>
  <c r="Q20" i="45"/>
  <c r="S18" i="45"/>
  <c r="Q18" i="45"/>
  <c r="Q17" i="42"/>
  <c r="S17" i="42"/>
  <c r="AI12" i="1"/>
  <c r="AK12" i="1"/>
  <c r="Q20" i="42"/>
  <c r="S20" i="42"/>
  <c r="Q18" i="42"/>
  <c r="S18" i="42"/>
  <c r="Q19" i="42"/>
  <c r="P26" i="42"/>
  <c r="S19" i="42"/>
  <c r="AM18" i="43" l="1"/>
  <c r="Q34" i="45"/>
  <c r="S34" i="45"/>
  <c r="S34" i="42"/>
  <c r="Q34" i="42"/>
  <c r="N27" i="1"/>
  <c r="L27" i="1"/>
  <c r="L26" i="1"/>
  <c r="N26" i="1"/>
  <c r="S24" i="42"/>
  <c r="Q24" i="42"/>
  <c r="P27" i="42"/>
  <c r="Q32" i="45"/>
  <c r="S32" i="45"/>
  <c r="Q25" i="45"/>
  <c r="S25" i="45"/>
  <c r="AH17" i="1"/>
  <c r="N32" i="1"/>
  <c r="L32" i="1"/>
  <c r="S33" i="42"/>
  <c r="Q33" i="42"/>
  <c r="S33" i="45"/>
  <c r="Q33" i="45"/>
  <c r="S24" i="45"/>
  <c r="P27" i="45"/>
  <c r="Q24" i="45"/>
  <c r="K33" i="1"/>
  <c r="Q25" i="42"/>
  <c r="S25" i="42"/>
  <c r="Q26" i="42"/>
  <c r="S26" i="42"/>
  <c r="S26" i="45"/>
  <c r="Q26" i="45"/>
  <c r="S32" i="42"/>
  <c r="Q32" i="42"/>
  <c r="X19" i="45" l="1"/>
  <c r="V19" i="45"/>
  <c r="F19" i="45"/>
  <c r="X12" i="45"/>
  <c r="V12" i="45"/>
  <c r="F12" i="45"/>
  <c r="L13" i="1"/>
  <c r="AH13" i="1"/>
  <c r="N13" i="1"/>
  <c r="K14" i="1"/>
  <c r="V18" i="42"/>
  <c r="AJ18" i="42"/>
  <c r="F18" i="42"/>
  <c r="AI18" i="42"/>
  <c r="X18" i="42"/>
  <c r="F20" i="42"/>
  <c r="AI20" i="42"/>
  <c r="V20" i="42"/>
  <c r="X20" i="42"/>
  <c r="F15" i="42"/>
  <c r="V15" i="42"/>
  <c r="AI15" i="42"/>
  <c r="X15" i="42"/>
  <c r="X14" i="42"/>
  <c r="F14" i="42"/>
  <c r="AI14" i="42"/>
  <c r="V14" i="42"/>
  <c r="F10" i="42"/>
  <c r="X10" i="42"/>
  <c r="V10" i="42"/>
  <c r="AI10" i="42"/>
  <c r="F20" i="45"/>
  <c r="X20" i="45"/>
  <c r="V20" i="45"/>
  <c r="F15" i="45"/>
  <c r="X15" i="45"/>
  <c r="V15" i="45"/>
  <c r="AI19" i="42"/>
  <c r="F19" i="42"/>
  <c r="V19" i="42"/>
  <c r="AJ19" i="42"/>
  <c r="X19" i="42"/>
  <c r="V14" i="45"/>
  <c r="X14" i="45"/>
  <c r="F14" i="45"/>
  <c r="F10" i="45"/>
  <c r="X10" i="45"/>
  <c r="V10" i="45"/>
  <c r="S27" i="42"/>
  <c r="Q27" i="42"/>
  <c r="V18" i="45"/>
  <c r="F18" i="45"/>
  <c r="X18" i="45"/>
  <c r="U26" i="42"/>
  <c r="F17" i="45"/>
  <c r="V17" i="45"/>
  <c r="X17" i="45"/>
  <c r="X17" i="42"/>
  <c r="V17" i="42"/>
  <c r="AI17" i="42"/>
  <c r="F17" i="42"/>
  <c r="Q27" i="45"/>
  <c r="S27" i="45"/>
  <c r="F8" i="42"/>
  <c r="X8" i="42"/>
  <c r="V8" i="42"/>
  <c r="AI8" i="42"/>
  <c r="AK17" i="1"/>
  <c r="AI17" i="1"/>
  <c r="F21" i="45"/>
  <c r="X21" i="45"/>
  <c r="V21" i="45"/>
  <c r="V8" i="45"/>
  <c r="X8" i="45"/>
  <c r="F8" i="45"/>
  <c r="X36" i="45"/>
  <c r="V36" i="45"/>
  <c r="V13" i="42"/>
  <c r="F13" i="42"/>
  <c r="AI13" i="42"/>
  <c r="X13" i="42"/>
  <c r="F21" i="42"/>
  <c r="AJ21" i="42"/>
  <c r="V21" i="42"/>
  <c r="AI21" i="42"/>
  <c r="X21" i="42"/>
  <c r="AH21" i="1"/>
  <c r="U60" i="42"/>
  <c r="V60" i="42" s="1"/>
  <c r="V37" i="42"/>
  <c r="X37" i="42"/>
  <c r="V13" i="45"/>
  <c r="F13" i="45"/>
  <c r="X13" i="45"/>
  <c r="V12" i="42"/>
  <c r="AI12" i="42"/>
  <c r="F12" i="42"/>
  <c r="X12" i="42"/>
  <c r="X30" i="45"/>
  <c r="V30" i="45"/>
  <c r="X9" i="45"/>
  <c r="V9" i="45"/>
  <c r="F9" i="45"/>
  <c r="L25" i="1"/>
  <c r="N25" i="1"/>
  <c r="AJ30" i="42"/>
  <c r="X30" i="42"/>
  <c r="V30" i="42"/>
  <c r="AK30" i="42" s="1"/>
  <c r="AJ31" i="42"/>
  <c r="X31" i="42"/>
  <c r="V31" i="42"/>
  <c r="AK31" i="42" s="1"/>
  <c r="X9" i="42"/>
  <c r="V9" i="42"/>
  <c r="AI9" i="42"/>
  <c r="F9" i="42"/>
  <c r="N33" i="1"/>
  <c r="AH18" i="1"/>
  <c r="L33" i="1"/>
  <c r="F16" i="45"/>
  <c r="V16" i="45"/>
  <c r="X16" i="45"/>
  <c r="F23" i="45"/>
  <c r="X23" i="45"/>
  <c r="V23" i="45"/>
  <c r="X31" i="45"/>
  <c r="V31" i="45"/>
  <c r="X16" i="42"/>
  <c r="V16" i="42"/>
  <c r="AI16" i="42"/>
  <c r="F16" i="42"/>
  <c r="AI23" i="42"/>
  <c r="V23" i="42"/>
  <c r="AJ23" i="42"/>
  <c r="F23" i="42"/>
  <c r="X23" i="42"/>
  <c r="X11" i="42"/>
  <c r="V11" i="42"/>
  <c r="AI11" i="42"/>
  <c r="F11" i="42"/>
  <c r="U25" i="42"/>
  <c r="V35" i="45"/>
  <c r="X35" i="45"/>
  <c r="U25" i="45"/>
  <c r="F11" i="45"/>
  <c r="X11" i="45"/>
  <c r="V11" i="45"/>
  <c r="X35" i="42"/>
  <c r="V35" i="42"/>
  <c r="AH19" i="1"/>
  <c r="S38" i="45" l="1"/>
  <c r="Q38" i="45"/>
  <c r="P40" i="45"/>
  <c r="V38" i="42"/>
  <c r="U61" i="42"/>
  <c r="V61" i="42" s="1"/>
  <c r="X38" i="42"/>
  <c r="S39" i="42"/>
  <c r="Q39" i="42"/>
  <c r="P41" i="42"/>
  <c r="X37" i="45"/>
  <c r="V37" i="45"/>
  <c r="X29" i="42"/>
  <c r="AJ29" i="42"/>
  <c r="AJ32" i="42" s="1"/>
  <c r="V29" i="42"/>
  <c r="AK29" i="42" s="1"/>
  <c r="AK32" i="42" s="1"/>
  <c r="U32" i="42"/>
  <c r="AK19" i="1"/>
  <c r="AI19" i="1"/>
  <c r="U32" i="45"/>
  <c r="V29" i="45"/>
  <c r="X29" i="45"/>
  <c r="AK18" i="1"/>
  <c r="AI18" i="1"/>
  <c r="L14" i="1"/>
  <c r="N14" i="1"/>
  <c r="B14" i="1"/>
  <c r="V28" i="45"/>
  <c r="U50" i="45"/>
  <c r="V50" i="45" s="1"/>
  <c r="X28" i="45"/>
  <c r="X26" i="42"/>
  <c r="F26" i="42"/>
  <c r="AI26" i="42"/>
  <c r="V26" i="42"/>
  <c r="AK13" i="1"/>
  <c r="AI13" i="1"/>
  <c r="AH14" i="1"/>
  <c r="V28" i="42"/>
  <c r="U51" i="42"/>
  <c r="V51" i="42" s="1"/>
  <c r="X28" i="42"/>
  <c r="F25" i="45"/>
  <c r="V25" i="45"/>
  <c r="X25" i="45"/>
  <c r="X33" i="42"/>
  <c r="V33" i="42"/>
  <c r="V33" i="45"/>
  <c r="X33" i="45"/>
  <c r="AI22" i="42"/>
  <c r="X22" i="42"/>
  <c r="V22" i="42"/>
  <c r="AJ22" i="42"/>
  <c r="F22" i="42"/>
  <c r="AI25" i="42"/>
  <c r="X25" i="42"/>
  <c r="V25" i="42"/>
  <c r="F25" i="42"/>
  <c r="F22" i="45"/>
  <c r="X22" i="45"/>
  <c r="V22" i="45"/>
  <c r="U26" i="45"/>
  <c r="AI21" i="1"/>
  <c r="AK21" i="1"/>
  <c r="X34" i="45" l="1"/>
  <c r="V34" i="45"/>
  <c r="AI14" i="1"/>
  <c r="AK14" i="1"/>
  <c r="U52" i="45"/>
  <c r="V52" i="45" s="1"/>
  <c r="U58" i="42"/>
  <c r="S41" i="42"/>
  <c r="Q41" i="42"/>
  <c r="P43" i="42"/>
  <c r="U53" i="42"/>
  <c r="AH20" i="1"/>
  <c r="V34" i="42"/>
  <c r="X34" i="42"/>
  <c r="AM22" i="43"/>
  <c r="AM21" i="43"/>
  <c r="Q40" i="45"/>
  <c r="S40" i="45"/>
  <c r="P42" i="45"/>
  <c r="F26" i="45"/>
  <c r="X26" i="45"/>
  <c r="V26" i="45"/>
  <c r="N28" i="1"/>
  <c r="L28" i="1"/>
  <c r="K29" i="1"/>
  <c r="X32" i="45"/>
  <c r="V32" i="45"/>
  <c r="U51" i="45"/>
  <c r="V51" i="45" s="1"/>
  <c r="U52" i="42"/>
  <c r="V52" i="42" s="1"/>
  <c r="V32" i="42"/>
  <c r="X32" i="42"/>
  <c r="AK20" i="1" l="1"/>
  <c r="AI20" i="1"/>
  <c r="P44" i="42"/>
  <c r="G43" i="42"/>
  <c r="S43" i="42"/>
  <c r="Q43" i="42"/>
  <c r="P47" i="42"/>
  <c r="V53" i="42"/>
  <c r="Q42" i="45"/>
  <c r="G42" i="45"/>
  <c r="S42" i="45"/>
  <c r="P43" i="45"/>
  <c r="P46" i="45"/>
  <c r="V58" i="42"/>
  <c r="N29" i="1"/>
  <c r="L29" i="1"/>
  <c r="N15" i="1" l="1"/>
  <c r="L15" i="1"/>
  <c r="K20" i="1"/>
  <c r="N20" i="1" l="1"/>
  <c r="L20" i="1"/>
  <c r="K30" i="1"/>
  <c r="K31" i="1" l="1"/>
  <c r="L30" i="1"/>
  <c r="N30" i="1"/>
  <c r="AH15" i="1"/>
  <c r="L18" i="1"/>
  <c r="N18" i="1"/>
  <c r="K23" i="1"/>
  <c r="K19" i="1"/>
  <c r="L23" i="1" l="1"/>
  <c r="N23" i="1"/>
  <c r="K34" i="1"/>
  <c r="K24" i="1"/>
  <c r="AK15" i="1"/>
  <c r="AI15" i="1"/>
  <c r="N31" i="1"/>
  <c r="L31" i="1"/>
  <c r="AH16" i="1"/>
  <c r="V7" i="42"/>
  <c r="X7" i="42"/>
  <c r="U24" i="42"/>
  <c r="AJ7" i="42"/>
  <c r="AI7" i="42"/>
  <c r="F7" i="42"/>
  <c r="L19" i="1"/>
  <c r="N19" i="1"/>
  <c r="V7" i="45"/>
  <c r="U24" i="45"/>
  <c r="F7" i="45"/>
  <c r="X7" i="45"/>
  <c r="AK16" i="1" l="1"/>
  <c r="AI16" i="1"/>
  <c r="F24" i="45"/>
  <c r="V24" i="45"/>
  <c r="X24" i="45"/>
  <c r="U27" i="45"/>
  <c r="F24" i="42"/>
  <c r="U27" i="42"/>
  <c r="AI24" i="42"/>
  <c r="X24" i="42"/>
  <c r="V24" i="42"/>
  <c r="N24" i="1"/>
  <c r="L24" i="1"/>
  <c r="N34" i="1"/>
  <c r="L34" i="1"/>
  <c r="K35" i="1"/>
  <c r="U49" i="45" l="1"/>
  <c r="X27" i="45"/>
  <c r="F27" i="45"/>
  <c r="V27" i="45"/>
  <c r="N35" i="1"/>
  <c r="L35" i="1"/>
  <c r="K36" i="1"/>
  <c r="X27" i="42"/>
  <c r="AI27" i="42"/>
  <c r="V27" i="42"/>
  <c r="F27" i="42"/>
  <c r="U50" i="42"/>
  <c r="V50" i="42" l="1"/>
  <c r="W50" i="42"/>
  <c r="AH24" i="1"/>
  <c r="N36" i="1"/>
  <c r="AK24" i="1" s="1"/>
  <c r="L36" i="1"/>
  <c r="AI24" i="1" s="1"/>
  <c r="V49" i="45"/>
  <c r="W49" i="45"/>
  <c r="K39" i="1" l="1"/>
  <c r="K40" i="1"/>
  <c r="U53" i="45" l="1"/>
  <c r="V53" i="45" s="1"/>
  <c r="U62" i="42"/>
  <c r="X39" i="42"/>
  <c r="V39" i="42"/>
  <c r="U41" i="42"/>
  <c r="U54" i="42"/>
  <c r="X38" i="45"/>
  <c r="V38" i="45"/>
  <c r="U40" i="45"/>
  <c r="V40" i="45" l="1"/>
  <c r="X40" i="45"/>
  <c r="U42" i="45"/>
  <c r="V54" i="42"/>
  <c r="V55" i="42" s="1"/>
  <c r="U55" i="42"/>
  <c r="U56" i="42"/>
  <c r="V56" i="42" s="1"/>
  <c r="X41" i="42"/>
  <c r="AH26" i="1"/>
  <c r="AH22" i="1" s="1"/>
  <c r="V41" i="42"/>
  <c r="U43" i="42"/>
  <c r="V62" i="42"/>
  <c r="V63" i="42" s="1"/>
  <c r="U63" i="42"/>
  <c r="G44" i="42" l="1"/>
  <c r="U44" i="42"/>
  <c r="V43" i="42"/>
  <c r="X43" i="42"/>
  <c r="U47" i="42"/>
  <c r="AI22" i="1"/>
  <c r="AK22" i="1"/>
  <c r="AH23" i="1"/>
  <c r="U43" i="45"/>
  <c r="G43" i="45"/>
  <c r="X42" i="45"/>
  <c r="V42" i="45"/>
  <c r="U46" i="45"/>
  <c r="AI23" i="1" l="1"/>
  <c r="AK23" i="1"/>
  <c r="AK13" i="42" l="1"/>
  <c r="AK17" i="42"/>
  <c r="AK24" i="42" l="1"/>
  <c r="AK7" i="42"/>
  <c r="AK12" i="42"/>
  <c r="AK26" i="42"/>
  <c r="AK25" i="42"/>
  <c r="AE18" i="42"/>
  <c r="AE18" i="45"/>
  <c r="AK15" i="42"/>
  <c r="AK27" i="42"/>
  <c r="AK8" i="42"/>
  <c r="AK18" i="42"/>
  <c r="AK11" i="42"/>
  <c r="AK10" i="42"/>
  <c r="AK9" i="42"/>
  <c r="AK14" i="42"/>
  <c r="AE14" i="45"/>
  <c r="AE14" i="42"/>
  <c r="AE22" i="42"/>
  <c r="AE22" i="45"/>
  <c r="AK16" i="42"/>
  <c r="AE21" i="45" l="1"/>
  <c r="AE21" i="42"/>
  <c r="AE8" i="42"/>
  <c r="AE8" i="45"/>
  <c r="AE12" i="42"/>
  <c r="AE12" i="45"/>
  <c r="AE19" i="45"/>
  <c r="AE19" i="42"/>
  <c r="AE10" i="42"/>
  <c r="AE10" i="45"/>
  <c r="AF21" i="42" l="1"/>
  <c r="AF21" i="45"/>
  <c r="AE23" i="45"/>
  <c r="AE23" i="42"/>
  <c r="AE9" i="45"/>
  <c r="AE9" i="42"/>
  <c r="AE16" i="45"/>
  <c r="AE16" i="42"/>
  <c r="AF7" i="45"/>
  <c r="AE13" i="45"/>
  <c r="AE13" i="42"/>
  <c r="AE20" i="42"/>
  <c r="AE20" i="45"/>
  <c r="AE25" i="42"/>
  <c r="AE25" i="45"/>
  <c r="AE27" i="42"/>
  <c r="AE27" i="45"/>
  <c r="AE7" i="45"/>
  <c r="AE7" i="42"/>
  <c r="AF17" i="45"/>
  <c r="AE17" i="45"/>
  <c r="AE17" i="42"/>
  <c r="AF18" i="45"/>
  <c r="AF9" i="45"/>
  <c r="AF11" i="45"/>
  <c r="AE15" i="42"/>
  <c r="AE15" i="45"/>
  <c r="AE11" i="45"/>
  <c r="AE11" i="42"/>
  <c r="AE24" i="45"/>
  <c r="AE24" i="42"/>
  <c r="AF12" i="45"/>
  <c r="AF20" i="45" l="1"/>
  <c r="AF20" i="42"/>
  <c r="AF14" i="45"/>
  <c r="AL11" i="42"/>
  <c r="AF11" i="42"/>
  <c r="AM11" i="42" s="1"/>
  <c r="AL18" i="42"/>
  <c r="AF18" i="42"/>
  <c r="AM18" i="42" s="1"/>
  <c r="AM9" i="42"/>
  <c r="AF26" i="45"/>
  <c r="AE26" i="45"/>
  <c r="AE26" i="42"/>
  <c r="AL7" i="42"/>
  <c r="AF7" i="42"/>
  <c r="AM7" i="42" s="1"/>
  <c r="AF10" i="45"/>
  <c r="AF24" i="45"/>
  <c r="AF22" i="42"/>
  <c r="AF22" i="45"/>
  <c r="AF16" i="45"/>
  <c r="AL12" i="42"/>
  <c r="AF12" i="42"/>
  <c r="AM12" i="42" s="1"/>
  <c r="AF8" i="45"/>
  <c r="AF13" i="45"/>
  <c r="AF15" i="45"/>
  <c r="AL9" i="42"/>
  <c r="AF9" i="42"/>
  <c r="AF25" i="45"/>
  <c r="AF19" i="45"/>
  <c r="AF19" i="42"/>
  <c r="AF23" i="42"/>
  <c r="AF23" i="45"/>
  <c r="AL17" i="42"/>
  <c r="AF17" i="42"/>
  <c r="AM17" i="42" s="1"/>
  <c r="AF27" i="45" l="1"/>
  <c r="AL13" i="42"/>
  <c r="AF13" i="42"/>
  <c r="AM13" i="42" s="1"/>
  <c r="AL26" i="42"/>
  <c r="AF26" i="42"/>
  <c r="AM26" i="42" s="1"/>
  <c r="AL14" i="42"/>
  <c r="AF14" i="42"/>
  <c r="AM14" i="42" s="1"/>
  <c r="AL25" i="42"/>
  <c r="AF25" i="42"/>
  <c r="AM25" i="42" s="1"/>
  <c r="AL16" i="42"/>
  <c r="AF16" i="42"/>
  <c r="AM16" i="42" s="1"/>
  <c r="AL24" i="42"/>
  <c r="AF24" i="42"/>
  <c r="AM24" i="42" s="1"/>
  <c r="AL15" i="42"/>
  <c r="AF15" i="42"/>
  <c r="AM15" i="42" s="1"/>
  <c r="AL8" i="42"/>
  <c r="AF8" i="42"/>
  <c r="AM8" i="42" s="1"/>
  <c r="AL10" i="42"/>
  <c r="AF10" i="42"/>
  <c r="AM10" i="42" s="1"/>
  <c r="AL27" i="42" l="1"/>
  <c r="AF27" i="42"/>
  <c r="AM27" i="42" s="1"/>
  <c r="U24" i="1" l="1"/>
  <c r="U23" i="1" l="1"/>
  <c r="H8" i="1" l="1"/>
  <c r="AE8" i="1" l="1"/>
  <c r="AJ8" i="1" l="1"/>
  <c r="M26" i="46" l="1"/>
  <c r="M26" i="45"/>
  <c r="M26" i="2"/>
  <c r="M32" i="46"/>
  <c r="M26" i="42"/>
  <c r="M32" i="45"/>
  <c r="M32" i="42"/>
  <c r="M32" i="2"/>
  <c r="M24" i="2"/>
  <c r="M24" i="46"/>
  <c r="M25" i="2"/>
  <c r="M25" i="46"/>
  <c r="M25" i="42" l="1"/>
  <c r="M25" i="45"/>
  <c r="M27" i="46"/>
  <c r="M24" i="42"/>
  <c r="M24" i="45"/>
  <c r="M27" i="2"/>
  <c r="M47" i="2" l="1"/>
  <c r="M27" i="45"/>
  <c r="M27" i="42"/>
  <c r="M46" i="46"/>
  <c r="M47" i="42" l="1"/>
  <c r="M46" i="45"/>
  <c r="H7" i="1" l="1"/>
  <c r="H9" i="1"/>
  <c r="AE9" i="1" l="1"/>
  <c r="AE7" i="1"/>
  <c r="AJ7" i="1" l="1"/>
  <c r="AJ9" i="1"/>
  <c r="K28" i="46" l="1"/>
  <c r="K28" i="2"/>
  <c r="F8" i="1"/>
  <c r="K8" i="1" s="1"/>
  <c r="K28" i="42" l="1"/>
  <c r="K28" i="45"/>
  <c r="G8" i="1"/>
  <c r="AC8" i="1"/>
  <c r="I8" i="1"/>
  <c r="L28" i="2"/>
  <c r="N28" i="2"/>
  <c r="L28" i="46"/>
  <c r="N28" i="46"/>
  <c r="G28" i="42" l="1"/>
  <c r="L28" i="42"/>
  <c r="N28" i="42"/>
  <c r="L28" i="45"/>
  <c r="G28" i="45"/>
  <c r="N28" i="45"/>
  <c r="AD8" i="1"/>
  <c r="AF8" i="1"/>
  <c r="AH8" i="1"/>
  <c r="L8" i="1"/>
  <c r="N8" i="1"/>
  <c r="AI8" i="1" l="1"/>
  <c r="AK8" i="1"/>
  <c r="K22" i="46" l="1"/>
  <c r="K22" i="2"/>
  <c r="K11" i="46"/>
  <c r="K11" i="2"/>
  <c r="K29" i="46"/>
  <c r="K29" i="2"/>
  <c r="K29" i="42" l="1"/>
  <c r="K29" i="45"/>
  <c r="K11" i="42"/>
  <c r="K11" i="45"/>
  <c r="K22" i="45"/>
  <c r="K22" i="42"/>
  <c r="K17" i="46"/>
  <c r="K17" i="2"/>
  <c r="K15" i="46"/>
  <c r="K15" i="2"/>
  <c r="K9" i="46"/>
  <c r="K9" i="2"/>
  <c r="K21" i="46"/>
  <c r="K21" i="2"/>
  <c r="K30" i="46"/>
  <c r="K30" i="2"/>
  <c r="K8" i="46"/>
  <c r="K8" i="2"/>
  <c r="K31" i="46"/>
  <c r="K32" i="46" s="1"/>
  <c r="K31" i="2"/>
  <c r="K20" i="46"/>
  <c r="K20" i="2"/>
  <c r="K16" i="46"/>
  <c r="K16" i="2"/>
  <c r="K12" i="46"/>
  <c r="K12" i="2"/>
  <c r="K14" i="46"/>
  <c r="K14" i="2"/>
  <c r="L29" i="2"/>
  <c r="N29" i="2"/>
  <c r="K10" i="46"/>
  <c r="K10" i="2"/>
  <c r="L29" i="46"/>
  <c r="N29" i="46"/>
  <c r="K7" i="46"/>
  <c r="K7" i="2"/>
  <c r="L11" i="2"/>
  <c r="N11" i="2"/>
  <c r="K13" i="46"/>
  <c r="K13" i="2"/>
  <c r="L11" i="46"/>
  <c r="N11" i="46"/>
  <c r="K23" i="46"/>
  <c r="K23" i="2"/>
  <c r="L22" i="2"/>
  <c r="N22" i="2"/>
  <c r="K18" i="46"/>
  <c r="K18" i="2"/>
  <c r="K19" i="46"/>
  <c r="K19" i="2"/>
  <c r="L22" i="46"/>
  <c r="N22" i="46"/>
  <c r="K31" i="45" l="1"/>
  <c r="K31" i="42"/>
  <c r="K21" i="42"/>
  <c r="K21" i="45"/>
  <c r="K30" i="42"/>
  <c r="K30" i="45"/>
  <c r="K19" i="42"/>
  <c r="K19" i="45"/>
  <c r="K15" i="45"/>
  <c r="K15" i="42"/>
  <c r="K13" i="42"/>
  <c r="K13" i="45"/>
  <c r="K7" i="45"/>
  <c r="K7" i="42"/>
  <c r="K17" i="42"/>
  <c r="K17" i="45"/>
  <c r="K8" i="45"/>
  <c r="K8" i="42"/>
  <c r="K14" i="45"/>
  <c r="K14" i="42"/>
  <c r="K12" i="42"/>
  <c r="K12" i="45"/>
  <c r="K18" i="45"/>
  <c r="K18" i="42"/>
  <c r="K16" i="45"/>
  <c r="K16" i="42"/>
  <c r="K9" i="42"/>
  <c r="K9" i="45"/>
  <c r="K20" i="42"/>
  <c r="K20" i="45"/>
  <c r="K10" i="45"/>
  <c r="K10" i="42"/>
  <c r="K23" i="45"/>
  <c r="K23" i="42"/>
  <c r="K25" i="46"/>
  <c r="L32" i="46"/>
  <c r="N32" i="46"/>
  <c r="L25" i="46"/>
  <c r="N25" i="46"/>
  <c r="L16" i="2"/>
  <c r="N16" i="2"/>
  <c r="K26" i="46"/>
  <c r="L19" i="46"/>
  <c r="N19" i="46"/>
  <c r="L18" i="2"/>
  <c r="N18" i="2"/>
  <c r="L18" i="46"/>
  <c r="N18" i="46"/>
  <c r="G22" i="45"/>
  <c r="L22" i="45"/>
  <c r="N22" i="45"/>
  <c r="L23" i="2"/>
  <c r="N23" i="2"/>
  <c r="L10" i="2"/>
  <c r="N10" i="2"/>
  <c r="L30" i="2"/>
  <c r="N30" i="2"/>
  <c r="G11" i="45"/>
  <c r="L11" i="45"/>
  <c r="N11" i="45"/>
  <c r="K24" i="2"/>
  <c r="L7" i="2"/>
  <c r="N7" i="2"/>
  <c r="L20" i="46"/>
  <c r="N20" i="46"/>
  <c r="L8" i="2"/>
  <c r="N8" i="2"/>
  <c r="F7" i="1"/>
  <c r="K7" i="1" s="1"/>
  <c r="L23" i="46"/>
  <c r="N23" i="46"/>
  <c r="L10" i="46"/>
  <c r="N10" i="46"/>
  <c r="L30" i="46"/>
  <c r="N30" i="46"/>
  <c r="G11" i="42"/>
  <c r="L11" i="42"/>
  <c r="N11" i="42"/>
  <c r="L19" i="2"/>
  <c r="K26" i="2"/>
  <c r="N19" i="2"/>
  <c r="F9" i="1"/>
  <c r="K9" i="1" s="1"/>
  <c r="L21" i="2"/>
  <c r="N21" i="2"/>
  <c r="K32" i="2"/>
  <c r="L21" i="46"/>
  <c r="N21" i="46"/>
  <c r="L8" i="46"/>
  <c r="N8" i="46"/>
  <c r="L9" i="2"/>
  <c r="N9" i="2"/>
  <c r="L13" i="2"/>
  <c r="N13" i="2"/>
  <c r="L29" i="42"/>
  <c r="N29" i="42"/>
  <c r="L9" i="46"/>
  <c r="N9" i="46"/>
  <c r="L13" i="46"/>
  <c r="N13" i="46"/>
  <c r="L29" i="45"/>
  <c r="N29" i="45"/>
  <c r="L14" i="2"/>
  <c r="N14" i="2"/>
  <c r="L15" i="2"/>
  <c r="N15" i="2"/>
  <c r="L14" i="46"/>
  <c r="N14" i="46"/>
  <c r="L15" i="46"/>
  <c r="N15" i="46"/>
  <c r="K25" i="2"/>
  <c r="L12" i="2"/>
  <c r="N12" i="2"/>
  <c r="L17" i="2"/>
  <c r="N17" i="2"/>
  <c r="L16" i="46"/>
  <c r="N16" i="46"/>
  <c r="L20" i="2"/>
  <c r="N20" i="2"/>
  <c r="K24" i="46"/>
  <c r="L7" i="46"/>
  <c r="N7" i="46"/>
  <c r="L31" i="2"/>
  <c r="N31" i="2"/>
  <c r="L31" i="46"/>
  <c r="N31" i="46"/>
  <c r="L22" i="42"/>
  <c r="G22" i="42"/>
  <c r="N22" i="42"/>
  <c r="L12" i="46"/>
  <c r="N12" i="46"/>
  <c r="L17" i="46"/>
  <c r="N17" i="46"/>
  <c r="K32" i="45" l="1"/>
  <c r="K25" i="42"/>
  <c r="L25" i="42" s="1"/>
  <c r="K24" i="42"/>
  <c r="L7" i="42"/>
  <c r="G7" i="42"/>
  <c r="N7" i="42"/>
  <c r="G9" i="42"/>
  <c r="L9" i="42"/>
  <c r="N9" i="42"/>
  <c r="G14" i="42"/>
  <c r="L14" i="42"/>
  <c r="N14" i="42"/>
  <c r="L14" i="45"/>
  <c r="G14" i="45"/>
  <c r="N14" i="45"/>
  <c r="L24" i="2"/>
  <c r="K27" i="2"/>
  <c r="N24" i="2"/>
  <c r="G9" i="45"/>
  <c r="L9" i="45"/>
  <c r="N9" i="45"/>
  <c r="L15" i="42"/>
  <c r="G15" i="42"/>
  <c r="N15" i="42"/>
  <c r="L15" i="45"/>
  <c r="G15" i="45"/>
  <c r="N15" i="45"/>
  <c r="K25" i="45"/>
  <c r="G18" i="45"/>
  <c r="L18" i="45"/>
  <c r="N18" i="45"/>
  <c r="G7" i="1"/>
  <c r="AC7" i="1"/>
  <c r="A7" i="1"/>
  <c r="I7" i="1"/>
  <c r="L30" i="42"/>
  <c r="N30" i="42"/>
  <c r="G12" i="45"/>
  <c r="L12" i="45"/>
  <c r="N12" i="45"/>
  <c r="L21" i="45"/>
  <c r="G21" i="45"/>
  <c r="N21" i="45"/>
  <c r="L30" i="45"/>
  <c r="N30" i="45"/>
  <c r="L26" i="46"/>
  <c r="N26" i="46"/>
  <c r="L20" i="45"/>
  <c r="G20" i="45"/>
  <c r="N20" i="45"/>
  <c r="AM12" i="41"/>
  <c r="AM12" i="43" s="1"/>
  <c r="L32" i="2"/>
  <c r="N32" i="2"/>
  <c r="L12" i="42"/>
  <c r="G12" i="42"/>
  <c r="N12" i="42"/>
  <c r="G21" i="42"/>
  <c r="L21" i="42"/>
  <c r="N21" i="42"/>
  <c r="G32" i="45"/>
  <c r="L32" i="45"/>
  <c r="N32" i="45"/>
  <c r="L25" i="2"/>
  <c r="N25" i="2"/>
  <c r="AC9" i="1"/>
  <c r="G9" i="1"/>
  <c r="I9" i="1"/>
  <c r="G17" i="42"/>
  <c r="L17" i="42"/>
  <c r="N17" i="42"/>
  <c r="G17" i="45"/>
  <c r="L17" i="45"/>
  <c r="N17" i="45"/>
  <c r="L31" i="42"/>
  <c r="N31" i="42"/>
  <c r="K32" i="42"/>
  <c r="L8" i="45"/>
  <c r="G8" i="45"/>
  <c r="N8" i="45"/>
  <c r="L10" i="45"/>
  <c r="G10" i="45"/>
  <c r="N10" i="45"/>
  <c r="G16" i="42"/>
  <c r="L16" i="42"/>
  <c r="N16" i="42"/>
  <c r="L31" i="45"/>
  <c r="N31" i="45"/>
  <c r="L8" i="42"/>
  <c r="G8" i="42"/>
  <c r="N8" i="42"/>
  <c r="L10" i="42"/>
  <c r="G10" i="42"/>
  <c r="N10" i="42"/>
  <c r="L16" i="45"/>
  <c r="G16" i="45"/>
  <c r="N16" i="45"/>
  <c r="L26" i="2"/>
  <c r="N26" i="2"/>
  <c r="G20" i="42"/>
  <c r="L20" i="42"/>
  <c r="N20" i="42"/>
  <c r="K27" i="46"/>
  <c r="L24" i="46"/>
  <c r="N24" i="46"/>
  <c r="L13" i="45"/>
  <c r="G13" i="45"/>
  <c r="N13" i="45"/>
  <c r="G19" i="45"/>
  <c r="L19" i="45"/>
  <c r="K26" i="45"/>
  <c r="N19" i="45"/>
  <c r="L23" i="45"/>
  <c r="G23" i="45"/>
  <c r="N23" i="45"/>
  <c r="K45" i="46"/>
  <c r="K46" i="46" s="1"/>
  <c r="K46" i="2"/>
  <c r="L7" i="45"/>
  <c r="K24" i="45"/>
  <c r="G7" i="45"/>
  <c r="N7" i="45"/>
  <c r="G18" i="42"/>
  <c r="L18" i="42"/>
  <c r="N18" i="42"/>
  <c r="L13" i="42"/>
  <c r="G13" i="42"/>
  <c r="N13" i="42"/>
  <c r="L19" i="42"/>
  <c r="G19" i="42"/>
  <c r="K26" i="42"/>
  <c r="N19" i="42"/>
  <c r="G23" i="42"/>
  <c r="L23" i="42"/>
  <c r="N23" i="42"/>
  <c r="K45" i="45" l="1"/>
  <c r="K46" i="42"/>
  <c r="N25" i="42"/>
  <c r="G25" i="42"/>
  <c r="AD7" i="1"/>
  <c r="AF7" i="1"/>
  <c r="K47" i="2"/>
  <c r="L26" i="45"/>
  <c r="G26" i="45"/>
  <c r="N26" i="45"/>
  <c r="L32" i="42"/>
  <c r="G32" i="42"/>
  <c r="N32" i="42"/>
  <c r="G27" i="2"/>
  <c r="L27" i="2"/>
  <c r="N27" i="2"/>
  <c r="L25" i="45"/>
  <c r="G25" i="45"/>
  <c r="N25" i="45"/>
  <c r="AD9" i="1"/>
  <c r="AF9" i="1"/>
  <c r="G26" i="42"/>
  <c r="L26" i="42"/>
  <c r="N26" i="42"/>
  <c r="AH9" i="1"/>
  <c r="L9" i="1"/>
  <c r="N9" i="1"/>
  <c r="L27" i="46"/>
  <c r="G27" i="46"/>
  <c r="N27" i="46"/>
  <c r="K27" i="42"/>
  <c r="L24" i="42"/>
  <c r="G24" i="42"/>
  <c r="N24" i="42"/>
  <c r="AH7" i="1"/>
  <c r="B7" i="1"/>
  <c r="L7" i="1"/>
  <c r="N7" i="1"/>
  <c r="K27" i="45"/>
  <c r="G24" i="45"/>
  <c r="L24" i="45"/>
  <c r="N24" i="45"/>
  <c r="AM13" i="43"/>
  <c r="AM13" i="41"/>
  <c r="L27" i="45" l="1"/>
  <c r="G27" i="45"/>
  <c r="N27" i="45"/>
  <c r="G27" i="42"/>
  <c r="L27" i="42"/>
  <c r="N27" i="42"/>
  <c r="K46" i="45"/>
  <c r="AI9" i="1"/>
  <c r="AK9" i="1"/>
  <c r="K47" i="42"/>
  <c r="AI7" i="1"/>
  <c r="AK7" i="1"/>
</calcChain>
</file>

<file path=xl/sharedStrings.xml><?xml version="1.0" encoding="utf-8"?>
<sst xmlns="http://schemas.openxmlformats.org/spreadsheetml/2006/main" count="842" uniqueCount="218">
  <si>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</si>
  <si>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</si>
  <si>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</si>
  <si>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</si>
  <si>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</si>
  <si>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</si>
  <si>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</si>
  <si>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</si>
  <si>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</si>
  <si>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</si>
  <si>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</si>
  <si>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</si>
  <si>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</si>
  <si>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</si>
  <si>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</si>
  <si>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</si>
  <si>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</si>
  <si>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</si>
  <si>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</si>
  <si>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</si>
  <si>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</si>
  <si>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</si>
  <si>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</si>
  <si>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</si>
  <si>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</si>
  <si>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</si>
  <si>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</si>
  <si>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</si>
  <si>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</si>
  <si>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</si>
  <si>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</si>
  <si>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</si>
  <si>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</si>
  <si>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</si>
  <si>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</si>
  <si>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</si>
  <si>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</si>
  <si>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</si>
  <si>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</si>
  <si>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</si>
  <si>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</si>
  <si>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</si>
  <si>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</si>
  <si>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</si>
  <si>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</si>
  <si>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</si>
  <si>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</si>
  <si>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</si>
  <si>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</si>
  <si>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</si>
  <si>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</si>
  <si>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</si>
  <si>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</si>
  <si>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</si>
  <si>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</si>
  <si>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</si>
  <si>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</si>
  <si>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</si>
  <si>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</si>
  <si>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</si>
  <si>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</si>
  <si>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</si>
  <si>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</si>
  <si>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</si>
  <si>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</si>
  <si>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</si>
  <si>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</si>
  <si>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</si>
  <si>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</si>
  <si>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</si>
  <si>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</si>
  <si>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</si>
  <si>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</si>
  <si>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</si>
  <si>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</si>
  <si>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</si>
  <si>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</si>
  <si>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</si>
  <si>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</si>
  <si>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</si>
  <si>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</si>
  <si>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</si>
  <si>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</si>
  <si>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</si>
  <si>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</si>
  <si>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</si>
  <si>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</si>
  <si>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</si>
  <si>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</si>
  <si>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</si>
  <si>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</si>
  <si>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</si>
  <si>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</si>
  <si>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</si>
  <si>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</si>
  <si>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</si>
  <si>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</si>
  <si>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</si>
  <si>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</si>
  <si>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</si>
  <si>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</si>
  <si>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</si>
  <si>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</si>
  <si>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</si>
  <si>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</si>
  <si>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</si>
  <si>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</si>
  <si>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</si>
  <si>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</si>
  <si>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</si>
  <si>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</si>
  <si>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</si>
  <si>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</si>
  <si>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</si>
  <si>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</si>
  <si>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</si>
  <si>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</si>
  <si>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</si>
  <si>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</si>
  <si>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</si>
  <si>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</si>
  <si>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</si>
  <si>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</si>
  <si>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</si>
  <si>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</si>
  <si>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</si>
  <si>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</si>
  <si>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</si>
  <si>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</si>
  <si>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</si>
  <si>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</si>
  <si>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</si>
  <si>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</si>
  <si>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</si>
  <si>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</si>
  <si>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</si>
  <si>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</si>
  <si>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</si>
  <si>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</si>
  <si>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</si>
  <si>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</si>
  <si>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</si>
  <si>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</si>
  <si>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</si>
  <si>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</si>
  <si>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2월</t>
  </si>
  <si>
    <t>1월</t>
    <phoneticPr fontId="1" type="noConversion"/>
  </si>
  <si>
    <t>3월</t>
    <phoneticPr fontId="1" type="noConversion"/>
  </si>
  <si>
    <t>6월</t>
  </si>
  <si>
    <t>□ 기타내역(영업이익)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</si>
  <si>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</si>
  <si>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</si>
  <si>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</si>
  <si>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</si>
  <si>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</si>
  <si>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</si>
  <si>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</si>
  <si>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</si>
  <si>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</si>
  <si>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</si>
  <si>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</si>
  <si>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</si>
  <si>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</si>
  <si>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</si>
  <si>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</si>
  <si>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</si>
  <si>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</si>
  <si>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</si>
  <si>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</si>
  <si>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</si>
  <si>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</si>
  <si>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</si>
  <si>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</si>
  <si>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</si>
  <si>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</si>
  <si>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</si>
  <si>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4월</t>
  </si>
  <si>
    <t>5월</t>
  </si>
  <si>
    <t>혼합석(25mm)</t>
  </si>
  <si>
    <t>혼합석(25mm)</t>
    <phoneticPr fontId="1" type="noConversion"/>
  </si>
  <si>
    <t>양산</t>
    <phoneticPr fontId="1" type="noConversion"/>
  </si>
  <si>
    <t>시그마 5백만원</t>
    <phoneticPr fontId="1" type="noConversion"/>
  </si>
  <si>
    <t>공통 상각비 7천만원</t>
    <phoneticPr fontId="1" type="noConversion"/>
  </si>
  <si>
    <t>회계팀 재고자산평가손실 8.3천만원</t>
    <phoneticPr fontId="1" type="noConversion"/>
  </si>
  <si>
    <t>서부산CR</t>
  </si>
  <si>
    <t>서부산CR</t>
    <phoneticPr fontId="1" type="noConversion"/>
  </si>
  <si>
    <t>부산CR</t>
  </si>
  <si>
    <t>부산CR</t>
    <phoneticPr fontId="1" type="noConversion"/>
  </si>
  <si>
    <t>부산모래장</t>
  </si>
  <si>
    <t>㎥</t>
    <phoneticPr fontId="1" type="noConversion"/>
  </si>
  <si>
    <t>서해사1</t>
    <phoneticPr fontId="1" type="noConversion"/>
  </si>
  <si>
    <t>공통비</t>
    <phoneticPr fontId="1" type="noConversion"/>
  </si>
  <si>
    <t>8월</t>
  </si>
  <si>
    <t>7월</t>
    <phoneticPr fontId="1" type="noConversion"/>
  </si>
  <si>
    <t>9월</t>
    <phoneticPr fontId="1" type="noConversion"/>
  </si>
  <si>
    <t>2024년 11월 마감 손익</t>
    <phoneticPr fontId="1" type="noConversion"/>
  </si>
  <si>
    <t>11월누계</t>
    <phoneticPr fontId="1" type="noConversion"/>
  </si>
  <si>
    <t>11월</t>
    <phoneticPr fontId="1" type="noConversion"/>
  </si>
  <si>
    <t xml:space="preserve">  ▶ 운반비 소급</t>
    <phoneticPr fontId="1" type="noConversion"/>
  </si>
  <si>
    <t>2024년 12월 마감 손익</t>
    <phoneticPr fontId="1" type="noConversion"/>
  </si>
  <si>
    <t>12월</t>
  </si>
  <si>
    <t>12월 누계</t>
    <phoneticPr fontId="1" type="noConversion"/>
  </si>
  <si>
    <t>12월 주요지표</t>
  </si>
  <si>
    <t>□ 사업장별 손익실적(2024-12)</t>
  </si>
  <si>
    <t>2024년 12월 마감 손익</t>
  </si>
  <si>
    <t xml:space="preserve">  - OPC 소급분 : 삼표 2.5억(총 9.9억 中 1회차) → 8~12월 총 4회 소급예정</t>
  </si>
  <si>
    <t>□ 건자재 손익실적(2024-12)</t>
    <phoneticPr fontId="1" type="noConversion"/>
  </si>
  <si>
    <t>□ 2024년 골재사업소 손익(2024-12)</t>
  </si>
  <si>
    <t>□ 2024년 골재사업소 손익(2024-11누계)</t>
  </si>
  <si>
    <t>□ 건재사업본부 손익실적(2024-12)</t>
    <phoneticPr fontId="1" type="noConversion"/>
  </si>
  <si>
    <t xml:space="preserve">    - 파주 : 75백만원</t>
    <phoneticPr fontId="1" type="noConversion"/>
  </si>
  <si>
    <t xml:space="preserve"> - 1군단가 소급분 : 3.5억</t>
    <phoneticPr fontId="1" type="noConversion"/>
  </si>
  <si>
    <t xml:space="preserve">   (DL건설 1.3억, 롯데건설 0.4억, 한라 0.6억 등)</t>
    <phoneticPr fontId="1" type="noConversion"/>
  </si>
  <si>
    <t xml:space="preserve">    - 집합대손 : 574백만원</t>
    <phoneticPr fontId="1" type="noConversion"/>
  </si>
  <si>
    <t xml:space="preserve">  □ 대손 : 275백만원</t>
    <phoneticPr fontId="1" type="noConversion"/>
  </si>
  <si>
    <t xml:space="preserve">    - 대손환입 : 319백만원</t>
    <phoneticPr fontId="1" type="noConversion"/>
  </si>
  <si>
    <t>□ 사업장별 손익실적(2024-12누계)</t>
    <phoneticPr fontId="1" type="noConversion"/>
  </si>
  <si>
    <t>□ 건재부문 실적(12월)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</si>
</sst>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_);[Red]\(#,##0.00\)"/>
    <numFmt numFmtId="182" formatCode="_-* #,##0.0_-;\-* #,##0.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728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0" fillId="0" borderId="0" xfId="0" applyNumberFormat="1" applyAlignment="1">
      <alignment horizontal="center"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07" xfId="0" applyFont="1" applyFill="1" applyBorder="1" applyAlignment="1">
      <alignment horizontal="centerContinuous" vertical="center"/>
    </xf>
    <xf numFmtId="0" fontId="16" fillId="6" borderId="108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7" fontId="6" fillId="0" borderId="110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0" fillId="0" borderId="0" xfId="0" applyNumberFormat="1" applyAlignment="1">
      <alignment horizontal="center" vertical="center" wrapText="1"/>
    </xf>
    <xf numFmtId="181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2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3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12" xfId="1" applyNumberFormat="1" applyFont="1" applyBorder="1" applyAlignment="1">
      <alignment horizontal="right" vertical="center"/>
    </xf>
    <xf numFmtId="178" fontId="15" fillId="0" borderId="113" xfId="1" applyNumberFormat="1" applyFont="1" applyBorder="1" applyAlignment="1">
      <alignment horizontal="right" vertical="center"/>
    </xf>
    <xf numFmtId="179" fontId="15" fillId="0" borderId="112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18" xfId="1" applyNumberFormat="1" applyFont="1" applyBorder="1" applyAlignment="1">
      <alignment horizontal="right" vertical="center"/>
    </xf>
    <xf numFmtId="178" fontId="15" fillId="0" borderId="119" xfId="1" applyNumberFormat="1" applyFont="1" applyBorder="1" applyAlignment="1">
      <alignment horizontal="right" vertical="center"/>
    </xf>
    <xf numFmtId="179" fontId="15" fillId="0" borderId="118" xfId="0" applyNumberFormat="1" applyFont="1" applyBorder="1" applyAlignment="1">
      <alignment horizontal="right" vertical="center"/>
    </xf>
    <xf numFmtId="0" fontId="14" fillId="13" borderId="121" xfId="0" applyFont="1" applyFill="1" applyBorder="1" applyAlignment="1">
      <alignment horizontal="center" vertical="center"/>
    </xf>
    <xf numFmtId="0" fontId="14" fillId="13" borderId="122" xfId="0" applyFont="1" applyFill="1" applyBorder="1" applyAlignment="1">
      <alignment horizontal="center" vertical="center"/>
    </xf>
    <xf numFmtId="0" fontId="14" fillId="13" borderId="123" xfId="0" applyFont="1" applyFill="1" applyBorder="1" applyAlignment="1">
      <alignment horizontal="center" vertical="center"/>
    </xf>
    <xf numFmtId="0" fontId="14" fillId="13" borderId="120" xfId="0" applyFont="1" applyFill="1" applyBorder="1" applyAlignment="1">
      <alignment horizontal="center" vertical="center"/>
    </xf>
    <xf numFmtId="0" fontId="14" fillId="13" borderId="124" xfId="0" applyFont="1" applyFill="1" applyBorder="1" applyAlignment="1">
      <alignment horizontal="center" vertical="center"/>
    </xf>
    <xf numFmtId="0" fontId="14" fillId="13" borderId="125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12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18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4" borderId="55" xfId="0" applyFont="1" applyFill="1" applyBorder="1" applyAlignment="1">
      <alignment horizontal="center" vertical="center"/>
    </xf>
    <xf numFmtId="178" fontId="7" fillId="14" borderId="48" xfId="1" applyNumberFormat="1" applyFont="1" applyFill="1" applyBorder="1" applyAlignment="1">
      <alignment horizontal="right" vertical="center"/>
    </xf>
    <xf numFmtId="178" fontId="7" fillId="14" borderId="55" xfId="1" applyNumberFormat="1" applyFont="1" applyFill="1" applyBorder="1" applyAlignment="1">
      <alignment horizontal="right" vertical="center"/>
    </xf>
    <xf numFmtId="178" fontId="7" fillId="14" borderId="67" xfId="1" applyNumberFormat="1" applyFont="1" applyFill="1" applyBorder="1" applyAlignment="1">
      <alignment horizontal="right" vertical="center"/>
    </xf>
    <xf numFmtId="178" fontId="7" fillId="14" borderId="117" xfId="1" applyNumberFormat="1" applyFont="1" applyFill="1" applyBorder="1" applyAlignment="1">
      <alignment horizontal="right" vertical="center"/>
    </xf>
    <xf numFmtId="178" fontId="7" fillId="14" borderId="69" xfId="1" applyNumberFormat="1" applyFont="1" applyFill="1" applyBorder="1" applyAlignment="1">
      <alignment horizontal="right" vertical="center"/>
    </xf>
    <xf numFmtId="178" fontId="7" fillId="14" borderId="3" xfId="0" applyNumberFormat="1" applyFont="1" applyFill="1" applyBorder="1" applyAlignment="1">
      <alignment horizontal="center" vertical="center"/>
    </xf>
    <xf numFmtId="179" fontId="7" fillId="14" borderId="1" xfId="0" applyNumberFormat="1" applyFont="1" applyFill="1" applyBorder="1" applyAlignment="1">
      <alignment horizontal="right" vertical="center"/>
    </xf>
    <xf numFmtId="179" fontId="7" fillId="14" borderId="3" xfId="0" applyNumberFormat="1" applyFont="1" applyFill="1" applyBorder="1" applyAlignment="1">
      <alignment horizontal="right" vertical="center"/>
    </xf>
    <xf numFmtId="179" fontId="7" fillId="14" borderId="70" xfId="0" applyNumberFormat="1" applyFont="1" applyFill="1" applyBorder="1" applyAlignment="1">
      <alignment horizontal="right" vertical="center"/>
    </xf>
    <xf numFmtId="179" fontId="7" fillId="14" borderId="116" xfId="0" applyNumberFormat="1" applyFont="1" applyFill="1" applyBorder="1" applyAlignment="1">
      <alignment horizontal="right" vertical="center"/>
    </xf>
    <xf numFmtId="179" fontId="7" fillId="14" borderId="2" xfId="0" applyNumberFormat="1" applyFont="1" applyFill="1" applyBorder="1" applyAlignment="1">
      <alignment horizontal="right" vertical="center"/>
    </xf>
    <xf numFmtId="177" fontId="6" fillId="9" borderId="126" xfId="0" applyNumberFormat="1" applyFont="1" applyFill="1" applyBorder="1" applyAlignment="1">
      <alignment horizontal="center" vertical="center"/>
    </xf>
    <xf numFmtId="177" fontId="6" fillId="9" borderId="127" xfId="0" applyNumberFormat="1" applyFont="1" applyFill="1" applyBorder="1" applyAlignment="1">
      <alignment horizontal="right" vertical="center"/>
    </xf>
    <xf numFmtId="177" fontId="6" fillId="9" borderId="126" xfId="0" applyNumberFormat="1" applyFont="1" applyFill="1" applyBorder="1" applyAlignment="1">
      <alignment horizontal="right" vertical="center"/>
    </xf>
    <xf numFmtId="177" fontId="6" fillId="9" borderId="128" xfId="0" applyNumberFormat="1" applyFont="1" applyFill="1" applyBorder="1" applyAlignment="1">
      <alignment horizontal="right" vertical="center"/>
    </xf>
    <xf numFmtId="177" fontId="6" fillId="9" borderId="129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14" xfId="1" applyNumberFormat="1" applyFont="1" applyFill="1" applyBorder="1" applyAlignment="1">
      <alignment horizontal="right" vertical="center"/>
    </xf>
    <xf numFmtId="179" fontId="14" fillId="5" borderId="111" xfId="0" applyNumberFormat="1" applyFont="1" applyFill="1" applyBorder="1" applyAlignment="1">
      <alignment horizontal="right" vertical="center"/>
    </xf>
    <xf numFmtId="177" fontId="6" fillId="9" borderId="115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12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18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12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18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11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16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82" fontId="6" fillId="0" borderId="0" xfId="1" applyNumberFormat="1" applyFont="1">
      <alignment vertical="center"/>
    </xf>
    <xf numFmtId="182" fontId="2" fillId="0" borderId="0" xfId="1" applyNumberFormat="1" applyFont="1">
      <alignment vertical="center"/>
    </xf>
    <xf numFmtId="182" fontId="0" fillId="0" borderId="0" xfId="1" applyNumberFormat="1" applyFont="1">
      <alignment vertical="center"/>
    </xf>
    <xf numFmtId="41" fontId="2" fillId="0" borderId="0" xfId="0" applyNumberFormat="1" applyFont="1">
      <alignment vertical="center"/>
    </xf>
    <xf numFmtId="179" fontId="6" fillId="0" borderId="4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7" fontId="0" fillId="0" borderId="0" xfId="0" applyNumberFormat="1" applyFont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9" fontId="6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78" fontId="2" fillId="9" borderId="4" xfId="1" applyNumberFormat="1" applyFont="1" applyFill="1" applyBorder="1" applyAlignment="1">
      <alignment vertical="center"/>
    </xf>
    <xf numFmtId="178" fontId="0" fillId="12" borderId="0" xfId="0" applyNumberFormat="1" applyFont="1" applyFill="1">
      <alignment vertical="center"/>
    </xf>
    <xf numFmtId="9" fontId="6" fillId="0" borderId="0" xfId="1" applyNumberFormat="1" applyFont="1" applyFill="1" applyBorder="1" applyAlignment="1">
      <alignment vertical="center"/>
    </xf>
    <xf numFmtId="9" fontId="0" fillId="0" borderId="0" xfId="1" applyNumberFormat="1" applyFont="1">
      <alignment vertical="center"/>
    </xf>
    <xf numFmtId="3" fontId="0" fillId="0" borderId="0" xfId="0" applyNumberFormat="1">
      <alignment vertical="center"/>
    </xf>
    <xf numFmtId="3" fontId="6" fillId="0" borderId="0" xfId="1" applyNumberFormat="1" applyFont="1" applyFill="1" applyBorder="1" applyAlignment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3" borderId="67" xfId="0" applyFont="1" applyFill="1" applyBorder="1" applyAlignment="1">
      <alignment horizontal="center" vertical="center"/>
    </xf>
    <xf numFmtId="0" fontId="14" fillId="13" borderId="70" xfId="0" applyFont="1" applyFill="1" applyBorder="1" applyAlignment="1">
      <alignment horizontal="center" vertical="center"/>
    </xf>
    <xf numFmtId="0" fontId="14" fillId="13" borderId="117" xfId="0" applyFont="1" applyFill="1" applyBorder="1" applyAlignment="1">
      <alignment horizontal="center" vertical="center"/>
    </xf>
    <xf numFmtId="0" fontId="14" fillId="13" borderId="55" xfId="0" applyFont="1" applyFill="1" applyBorder="1" applyAlignment="1">
      <alignment horizontal="center" vertical="center"/>
    </xf>
    <xf numFmtId="0" fontId="14" fillId="13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3" borderId="123" xfId="0" applyFont="1" applyFill="1" applyBorder="1" applyAlignment="1">
      <alignment horizontal="center" vertical="center"/>
    </xf>
    <xf numFmtId="0" fontId="14" fillId="13" borderId="120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04" xfId="0" applyFont="1" applyFill="1" applyBorder="1" applyAlignment="1">
      <alignment horizontal="center" vertical="center"/>
    </xf>
    <xf numFmtId="0" fontId="16" fillId="6" borderId="105" xfId="0" applyFont="1" applyFill="1" applyBorder="1" applyAlignment="1">
      <alignment horizontal="center" vertical="center"/>
    </xf>
    <xf numFmtId="0" fontId="16" fillId="6" borderId="106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건자재!$Z$37:$AO$37</c:f>
              <c:strCache>
                <c:ptCount val="11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</c:strCache>
            </c:strRef>
          </c:cat>
          <c:val>
            <c:numRef>
              <c:f>건자재!$Z$38:$AO$38</c:f>
              <c:numCache>
                <c:formatCode>#,##0_);[Red]\(#,##0\)</c:formatCode>
                <c:ptCount val="11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건자재!$Z$37:$AO$37</c:f>
              <c:strCache>
                <c:ptCount val="11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</c:strCache>
            </c:strRef>
          </c:cat>
          <c:val>
            <c:numRef>
              <c:f>건자재!$Z$39:$AO$39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302559</xdr:colOff>
      <xdr:row>30</xdr:row>
      <xdr:rowOff>11206</xdr:rowOff>
    </xdr:from>
    <xdr:to>
      <xdr:col>36</xdr:col>
      <xdr:colOff>250759</xdr:colOff>
      <xdr:row>42</xdr:row>
      <xdr:rowOff>225121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2D9DF8-F762-4BB9-AD34-6DBB3AA6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1353" y="7429500"/>
          <a:ext cx="2200582" cy="3172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27</xdr:row>
      <xdr:rowOff>299358</xdr:rowOff>
    </xdr:from>
    <xdr:to>
      <xdr:col>13</xdr:col>
      <xdr:colOff>966107</xdr:colOff>
      <xdr:row>34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1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2(&#52572;&#51333;)/01_&#47112;&#48120;&#53080;/&#47112;&#48120;&#53080;&#50896;&#44032;&#49552;&#51061;(2024-12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2(&#52572;&#51333;)/01_&#47112;&#48120;&#53080;/&#47112;&#48120;&#53080;&#50896;&#44032;&#49552;&#51061;(2024-12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2(&#52572;&#51333;)/03_&#44264;&#51116;/&#44264;&#51116;&#50896;&#44032;&#49552;&#51061;(2024-12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12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2(&#52572;&#51333;)/01_&#47112;&#48120;&#53080;/&#47112;&#48120;&#53080;&#50896;&#44032;&#49552;&#51061;(2024-12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2(&#52572;&#51333;)/01_&#47112;&#48120;&#53080;/&#47112;&#48120;&#53080;&#50896;&#44032;&#49552;&#51061;(2024-12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2(&#52572;&#51333;)/03_&#44264;&#51116;/&#44264;&#51116;&#49892;&#51201;(2024-1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7">
          <cell r="Z7">
            <v>241000</v>
          </cell>
        </row>
      </sheetData>
      <sheetData sheetId="4">
        <row r="7">
          <cell r="Z7">
            <v>229000</v>
          </cell>
        </row>
      </sheetData>
      <sheetData sheetId="5">
        <row r="7">
          <cell r="Z7">
            <v>286000</v>
          </cell>
        </row>
      </sheetData>
      <sheetData sheetId="6">
        <row r="7">
          <cell r="Z7">
            <v>308500</v>
          </cell>
        </row>
      </sheetData>
      <sheetData sheetId="7">
        <row r="6">
          <cell r="D6" t="str">
            <v>구분</v>
          </cell>
        </row>
      </sheetData>
      <sheetData sheetId="8">
        <row r="7">
          <cell r="Z7">
            <v>303500</v>
          </cell>
        </row>
      </sheetData>
      <sheetData sheetId="9">
        <row r="6">
          <cell r="D6" t="str">
            <v>구분</v>
          </cell>
        </row>
      </sheetData>
      <sheetData sheetId="10">
        <row r="7">
          <cell r="Z7">
            <v>286500</v>
          </cell>
        </row>
      </sheetData>
      <sheetData sheetId="11">
        <row r="7">
          <cell r="Z7">
            <v>288500</v>
          </cell>
        </row>
      </sheetData>
      <sheetData sheetId="12">
        <row r="6">
          <cell r="D6" t="str">
            <v>구분</v>
          </cell>
        </row>
      </sheetData>
      <sheetData sheetId="13">
        <row r="6">
          <cell r="D6" t="str">
            <v>구분</v>
          </cell>
        </row>
      </sheetData>
      <sheetData sheetId="14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42000</v>
          </cell>
          <cell r="G7">
            <v>36000</v>
          </cell>
          <cell r="H7">
            <v>22000</v>
          </cell>
          <cell r="I7">
            <v>13500</v>
          </cell>
          <cell r="J7">
            <v>24000</v>
          </cell>
          <cell r="K7">
            <v>26000</v>
          </cell>
          <cell r="L7">
            <v>14000</v>
          </cell>
          <cell r="M7">
            <v>19000</v>
          </cell>
          <cell r="N7">
            <v>12000</v>
          </cell>
          <cell r="O7">
            <v>15000</v>
          </cell>
          <cell r="P7">
            <v>16000</v>
          </cell>
          <cell r="Q7">
            <v>12000</v>
          </cell>
          <cell r="R7">
            <v>27000</v>
          </cell>
          <cell r="S7">
            <v>11000</v>
          </cell>
          <cell r="T7">
            <v>7000</v>
          </cell>
          <cell r="U7">
            <v>4000</v>
          </cell>
          <cell r="V7">
            <v>7000</v>
          </cell>
          <cell r="W7">
            <v>0</v>
          </cell>
          <cell r="X7">
            <v>0</v>
          </cell>
          <cell r="Y7">
            <v>0</v>
          </cell>
          <cell r="Z7">
            <v>307500</v>
          </cell>
          <cell r="AA7">
            <v>8600</v>
          </cell>
          <cell r="AB7">
            <v>50439.763333333336</v>
          </cell>
          <cell r="AC7">
            <v>41933.0060593015</v>
          </cell>
          <cell r="AD7">
            <v>28532.457621864596</v>
          </cell>
          <cell r="AE7">
            <v>120905.22701449943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44594197.366419174</v>
          </cell>
          <cell r="F8">
            <v>4277415.2</v>
          </cell>
          <cell r="G8">
            <v>3835560.8300000005</v>
          </cell>
          <cell r="H8">
            <v>2212421.2412538026</v>
          </cell>
          <cell r="I8">
            <v>1296193.5</v>
          </cell>
          <cell r="J8">
            <v>2582410.3019999997</v>
          </cell>
          <cell r="K8">
            <v>2719003.52</v>
          </cell>
          <cell r="L8">
            <v>1414005.6</v>
          </cell>
          <cell r="M8">
            <v>1976000</v>
          </cell>
          <cell r="N8">
            <v>1166521.8300000003</v>
          </cell>
          <cell r="O8">
            <v>1523358</v>
          </cell>
          <cell r="P8">
            <v>1564160</v>
          </cell>
          <cell r="Q8">
            <v>1215190.3</v>
          </cell>
          <cell r="R8">
            <v>2727000</v>
          </cell>
          <cell r="S8">
            <v>1127831.2599999998</v>
          </cell>
          <cell r="T8">
            <v>762999.02899999998</v>
          </cell>
          <cell r="U8">
            <v>431600</v>
          </cell>
          <cell r="V8">
            <v>888300</v>
          </cell>
          <cell r="W8">
            <v>0</v>
          </cell>
          <cell r="X8">
            <v>0</v>
          </cell>
          <cell r="Y8">
            <v>0</v>
          </cell>
          <cell r="Z8">
            <v>31719970.612253807</v>
          </cell>
          <cell r="AA8">
            <v>10504631.578947367</v>
          </cell>
          <cell r="AB8">
            <v>623245.78333333333</v>
          </cell>
          <cell r="AC8">
            <v>770377.21380474255</v>
          </cell>
          <cell r="AD8">
            <v>811064.67774659046</v>
          </cell>
          <cell r="AE8">
            <v>2204687.6748846667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101843.21904761906</v>
          </cell>
          <cell r="G9">
            <v>106543.3563888889</v>
          </cell>
          <cell r="H9">
            <v>100564.60187517284</v>
          </cell>
          <cell r="I9">
            <v>96014.333333333343</v>
          </cell>
          <cell r="J9">
            <v>107600.42924999999</v>
          </cell>
          <cell r="K9">
            <v>104577.05846153846</v>
          </cell>
          <cell r="L9">
            <v>101000.40000000001</v>
          </cell>
          <cell r="M9">
            <v>104000</v>
          </cell>
          <cell r="N9">
            <v>97210.152500000026</v>
          </cell>
          <cell r="O9">
            <v>101557.2</v>
          </cell>
          <cell r="P9">
            <v>97760</v>
          </cell>
          <cell r="Q9">
            <v>101265.85833333334</v>
          </cell>
          <cell r="R9">
            <v>101000</v>
          </cell>
          <cell r="S9">
            <v>102530.11454545452</v>
          </cell>
          <cell r="T9">
            <v>108999.86128571429</v>
          </cell>
          <cell r="U9">
            <v>107900</v>
          </cell>
          <cell r="V9">
            <v>126900</v>
          </cell>
          <cell r="W9">
            <v>0</v>
          </cell>
          <cell r="X9">
            <v>0</v>
          </cell>
          <cell r="Y9">
            <v>0</v>
          </cell>
          <cell r="Z9">
            <v>103154.37597480913</v>
          </cell>
          <cell r="AA9">
            <v>1221468.788249694</v>
          </cell>
          <cell r="AB9">
            <v>12356.239247487878</v>
          </cell>
          <cell r="AC9">
            <v>18371.619070554541</v>
          </cell>
          <cell r="AD9">
            <v>28426.036358153273</v>
          </cell>
          <cell r="AE9">
            <v>18234.841696465879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38117196.064485282</v>
          </cell>
          <cell r="F10">
            <v>3571402.5563153676</v>
          </cell>
          <cell r="G10">
            <v>3159727.6658928571</v>
          </cell>
          <cell r="H10">
            <v>1874676.8612422463</v>
          </cell>
          <cell r="I10">
            <v>1094426.8879847899</v>
          </cell>
          <cell r="J10">
            <v>2128050.5969001148</v>
          </cell>
          <cell r="K10">
            <v>2168499.4753344115</v>
          </cell>
          <cell r="L10">
            <v>1179250.0224989615</v>
          </cell>
          <cell r="M10">
            <v>1631335.2537628009</v>
          </cell>
          <cell r="N10">
            <v>959460.05004827026</v>
          </cell>
          <cell r="O10">
            <v>1204581.8116678703</v>
          </cell>
          <cell r="P10">
            <v>1268099.8279804068</v>
          </cell>
          <cell r="Q10">
            <v>1067101.5390574769</v>
          </cell>
          <cell r="R10">
            <v>2281103.0645058705</v>
          </cell>
          <cell r="S10">
            <v>892852.17626802134</v>
          </cell>
          <cell r="T10">
            <v>549902.35204828787</v>
          </cell>
          <cell r="U10">
            <v>366403.69320431759</v>
          </cell>
          <cell r="V10">
            <v>700971.73670625477</v>
          </cell>
          <cell r="W10">
            <v>0</v>
          </cell>
          <cell r="X10">
            <v>0</v>
          </cell>
          <cell r="Y10">
            <v>0</v>
          </cell>
          <cell r="Z10">
            <v>26097845.571418326</v>
          </cell>
          <cell r="AA10">
            <v>10235760.29263158</v>
          </cell>
          <cell r="AB10">
            <v>441446.83333333337</v>
          </cell>
          <cell r="AC10">
            <v>603175.42241511052</v>
          </cell>
          <cell r="AD10">
            <v>700714.02968693664</v>
          </cell>
          <cell r="AE10">
            <v>1745336.2854353804</v>
          </cell>
          <cell r="AF10">
            <v>141.58099999999999</v>
          </cell>
          <cell r="AG10">
            <v>780.69200000000001</v>
          </cell>
          <cell r="AH10">
            <v>459.28500000000003</v>
          </cell>
          <cell r="AI10">
            <v>273.40800000000002</v>
          </cell>
          <cell r="AJ10">
            <v>191.119</v>
          </cell>
          <cell r="AK10">
            <v>0</v>
          </cell>
          <cell r="AL10">
            <v>1846.0849999999998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85033.394197984948</v>
          </cell>
          <cell r="G11">
            <v>87770.212941468257</v>
          </cell>
          <cell r="H11">
            <v>85212.584601920287</v>
          </cell>
          <cell r="I11">
            <v>81068.658369243698</v>
          </cell>
          <cell r="J11">
            <v>88668.774870838126</v>
          </cell>
          <cell r="K11">
            <v>83403.825974400446</v>
          </cell>
          <cell r="L11">
            <v>84232.144464211538</v>
          </cell>
          <cell r="M11">
            <v>85859.750198042151</v>
          </cell>
          <cell r="N11">
            <v>79955.004170689193</v>
          </cell>
          <cell r="O11">
            <v>80305.454111191357</v>
          </cell>
          <cell r="P11">
            <v>79256.239248775426</v>
          </cell>
          <cell r="Q11">
            <v>88925.128254789743</v>
          </cell>
          <cell r="R11">
            <v>84485.298685402609</v>
          </cell>
          <cell r="S11">
            <v>81168.379660729217</v>
          </cell>
          <cell r="T11">
            <v>78557.478864041128</v>
          </cell>
          <cell r="U11">
            <v>91600.923301079398</v>
          </cell>
          <cell r="V11">
            <v>100138.81952946496</v>
          </cell>
          <cell r="W11">
            <v>0</v>
          </cell>
          <cell r="X11">
            <v>0</v>
          </cell>
          <cell r="Y11">
            <v>0</v>
          </cell>
          <cell r="Z11">
            <v>84871.042508677492</v>
          </cell>
          <cell r="AA11">
            <v>1190204.6851897184</v>
          </cell>
          <cell r="AB11">
            <v>8751.9608372468574</v>
          </cell>
          <cell r="AC11">
            <v>14384.263831743951</v>
          </cell>
          <cell r="AD11">
            <v>24558.488405498418</v>
          </cell>
          <cell r="AE11">
            <v>14435.57345313179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6477001.3019338921</v>
          </cell>
          <cell r="F12">
            <v>706012.64368463261</v>
          </cell>
          <cell r="G12">
            <v>675833.16410714341</v>
          </cell>
          <cell r="H12">
            <v>337744.3800115562</v>
          </cell>
          <cell r="I12">
            <v>201766.61201521009</v>
          </cell>
          <cell r="J12">
            <v>454359.70509988489</v>
          </cell>
          <cell r="K12">
            <v>550504.04466558853</v>
          </cell>
          <cell r="L12">
            <v>234755.57750103856</v>
          </cell>
          <cell r="M12">
            <v>344664.74623719906</v>
          </cell>
          <cell r="N12">
            <v>207061.77995173004</v>
          </cell>
          <cell r="O12">
            <v>318776.18833212974</v>
          </cell>
          <cell r="P12">
            <v>296060.17201959318</v>
          </cell>
          <cell r="Q12">
            <v>148088.76094252313</v>
          </cell>
          <cell r="R12">
            <v>445896.93549412955</v>
          </cell>
          <cell r="S12">
            <v>234979.08373197843</v>
          </cell>
          <cell r="T12">
            <v>213096.67695171211</v>
          </cell>
          <cell r="U12">
            <v>65196.306795682409</v>
          </cell>
          <cell r="V12">
            <v>187328.26329374523</v>
          </cell>
          <cell r="W12">
            <v>0</v>
          </cell>
          <cell r="X12">
            <v>0</v>
          </cell>
          <cell r="Y12">
            <v>0</v>
          </cell>
          <cell r="Z12">
            <v>5622125.0408354811</v>
          </cell>
          <cell r="AA12">
            <v>268871.28631578758</v>
          </cell>
          <cell r="AB12">
            <v>181798.94999999995</v>
          </cell>
          <cell r="AC12">
            <v>167201.79138963204</v>
          </cell>
          <cell r="AD12">
            <v>110350.64805965382</v>
          </cell>
          <cell r="AE12">
            <v>459351.38944928627</v>
          </cell>
          <cell r="AF12">
            <v>12358.419</v>
          </cell>
          <cell r="AG12">
            <v>49219.307999999997</v>
          </cell>
          <cell r="AH12">
            <v>27880.715</v>
          </cell>
          <cell r="AI12">
            <v>66774.092333333334</v>
          </cell>
          <cell r="AJ12">
            <v>5058.8810000000003</v>
          </cell>
          <cell r="AK12">
            <v>0</v>
          </cell>
          <cell r="AL12">
            <v>161291.41533333334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808703.08200000005</v>
          </cell>
          <cell r="F13">
            <v>68246.599999999991</v>
          </cell>
          <cell r="G13">
            <v>64281.440000000002</v>
          </cell>
          <cell r="H13">
            <v>47585.41</v>
          </cell>
          <cell r="I13">
            <v>34943.03</v>
          </cell>
          <cell r="J13">
            <v>56447.16</v>
          </cell>
          <cell r="K13">
            <v>48180</v>
          </cell>
          <cell r="L13">
            <v>35627.57</v>
          </cell>
          <cell r="M13">
            <v>46119.53</v>
          </cell>
          <cell r="N13">
            <v>36366.870000000003</v>
          </cell>
          <cell r="O13">
            <v>40906.69</v>
          </cell>
          <cell r="P13">
            <v>36021.94</v>
          </cell>
          <cell r="Q13">
            <v>27135.420000000006</v>
          </cell>
          <cell r="R13">
            <v>42611.259999999995</v>
          </cell>
          <cell r="S13">
            <v>25865.47</v>
          </cell>
          <cell r="T13">
            <v>10153.150000000001</v>
          </cell>
          <cell r="U13">
            <v>10376.630000000001</v>
          </cell>
          <cell r="V13">
            <v>15581.390000000001</v>
          </cell>
          <cell r="W13">
            <v>0</v>
          </cell>
          <cell r="X13">
            <v>0</v>
          </cell>
          <cell r="Y13">
            <v>0</v>
          </cell>
          <cell r="Z13">
            <v>646449.56000000006</v>
          </cell>
          <cell r="AA13">
            <v>124922.94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414.08499999999998</v>
          </cell>
          <cell r="AN13">
            <v>237.679</v>
          </cell>
          <cell r="AO13">
            <v>145.50200000000001</v>
          </cell>
          <cell r="AP13">
            <v>150</v>
          </cell>
          <cell r="AQ13">
            <v>9494.7459999999992</v>
          </cell>
          <cell r="AR13">
            <v>26888.569999999996</v>
          </cell>
          <cell r="AS13">
            <v>0</v>
          </cell>
          <cell r="AT13">
            <v>0</v>
          </cell>
          <cell r="AU13">
            <v>37330.581999999995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242914.522</v>
          </cell>
          <cell r="F15">
            <v>19950.059999999998</v>
          </cell>
          <cell r="G15">
            <v>18203.510000000002</v>
          </cell>
          <cell r="H15">
            <v>13422.37</v>
          </cell>
          <cell r="I15">
            <v>9558.5299999999988</v>
          </cell>
          <cell r="J15">
            <v>16083.16</v>
          </cell>
          <cell r="K15">
            <v>14697.17</v>
          </cell>
          <cell r="L15">
            <v>10189.83</v>
          </cell>
          <cell r="M15">
            <v>13063.220000000001</v>
          </cell>
          <cell r="N15">
            <v>10168.85</v>
          </cell>
          <cell r="O15">
            <v>10805.8</v>
          </cell>
          <cell r="P15">
            <v>10503.02</v>
          </cell>
          <cell r="Q15">
            <v>8277.3700000000008</v>
          </cell>
          <cell r="R15">
            <v>13368.38</v>
          </cell>
          <cell r="S15">
            <v>7904.84</v>
          </cell>
          <cell r="T15">
            <v>3412.3900000000003</v>
          </cell>
          <cell r="U15">
            <v>4395.08</v>
          </cell>
          <cell r="V15">
            <v>5027.8600000000006</v>
          </cell>
          <cell r="W15">
            <v>0</v>
          </cell>
          <cell r="X15">
            <v>0</v>
          </cell>
          <cell r="Y15">
            <v>0</v>
          </cell>
          <cell r="Z15">
            <v>189031.44</v>
          </cell>
          <cell r="AA15">
            <v>41418.47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414.08499999999998</v>
          </cell>
          <cell r="AN15">
            <v>237.679</v>
          </cell>
          <cell r="AO15">
            <v>145.50200000000001</v>
          </cell>
          <cell r="AP15">
            <v>150</v>
          </cell>
          <cell r="AQ15">
            <v>9494.7459999999992</v>
          </cell>
          <cell r="AR15">
            <v>2022.6</v>
          </cell>
          <cell r="AS15">
            <v>0</v>
          </cell>
          <cell r="AT15">
            <v>0</v>
          </cell>
          <cell r="AU15">
            <v>12464.611999999999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5668298.2199338917</v>
          </cell>
          <cell r="F17">
            <v>637766.04368463263</v>
          </cell>
          <cell r="G17">
            <v>611551.72410714347</v>
          </cell>
          <cell r="H17">
            <v>290158.97001155617</v>
          </cell>
          <cell r="I17">
            <v>166823.58201521009</v>
          </cell>
          <cell r="J17">
            <v>397912.54509988485</v>
          </cell>
          <cell r="K17">
            <v>502324.04466558853</v>
          </cell>
          <cell r="L17">
            <v>199128.00750103855</v>
          </cell>
          <cell r="M17">
            <v>298545.21623719903</v>
          </cell>
          <cell r="N17">
            <v>170694.90995173005</v>
          </cell>
          <cell r="O17">
            <v>277869.49833212973</v>
          </cell>
          <cell r="P17">
            <v>260038.23201959318</v>
          </cell>
          <cell r="Q17">
            <v>120953.34094252312</v>
          </cell>
          <cell r="R17">
            <v>403285.67549412954</v>
          </cell>
          <cell r="S17">
            <v>209113.61373197843</v>
          </cell>
          <cell r="T17">
            <v>202943.52695171212</v>
          </cell>
          <cell r="U17">
            <v>54819.676795682404</v>
          </cell>
          <cell r="V17">
            <v>171746.87329374522</v>
          </cell>
          <cell r="W17">
            <v>0</v>
          </cell>
          <cell r="X17">
            <v>0</v>
          </cell>
          <cell r="Y17">
            <v>0</v>
          </cell>
          <cell r="Z17">
            <v>4975675.4808354806</v>
          </cell>
          <cell r="AA17">
            <v>143948.34631578758</v>
          </cell>
          <cell r="AB17">
            <v>181798.94999999995</v>
          </cell>
          <cell r="AC17">
            <v>167201.79138963204</v>
          </cell>
          <cell r="AD17">
            <v>110350.64805965382</v>
          </cell>
          <cell r="AE17">
            <v>459351.38944928627</v>
          </cell>
          <cell r="AF17">
            <v>12358.419</v>
          </cell>
          <cell r="AG17">
            <v>49219.307999999997</v>
          </cell>
          <cell r="AH17">
            <v>27880.715</v>
          </cell>
          <cell r="AI17">
            <v>66774.092333333334</v>
          </cell>
          <cell r="AJ17">
            <v>5058.8810000000003</v>
          </cell>
          <cell r="AK17">
            <v>0</v>
          </cell>
          <cell r="AL17">
            <v>161291.41533333334</v>
          </cell>
          <cell r="AM17">
            <v>-414.08499999999998</v>
          </cell>
          <cell r="AN17">
            <v>-237.679</v>
          </cell>
          <cell r="AO17">
            <v>-145.50200000000001</v>
          </cell>
          <cell r="AP17">
            <v>-150</v>
          </cell>
          <cell r="AQ17">
            <v>-9494.7459999999992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-71968.411999999982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467537.73155639449</v>
          </cell>
          <cell r="F18">
            <v>30236.577444444443</v>
          </cell>
          <cell r="G18">
            <v>34461.201683911124</v>
          </cell>
          <cell r="H18">
            <v>17060.498555555554</v>
          </cell>
          <cell r="I18">
            <v>19620.378888888885</v>
          </cell>
          <cell r="J18">
            <v>46892.19733333333</v>
          </cell>
          <cell r="K18">
            <v>1974.0617777777784</v>
          </cell>
          <cell r="L18">
            <v>12068.37588888889</v>
          </cell>
          <cell r="M18">
            <v>23561.66377777778</v>
          </cell>
          <cell r="N18">
            <v>10760.140111111112</v>
          </cell>
          <cell r="O18">
            <v>32560.991888888886</v>
          </cell>
          <cell r="P18">
            <v>14030.872474676307</v>
          </cell>
          <cell r="Q18">
            <v>12019.427222222223</v>
          </cell>
          <cell r="R18">
            <v>22903.428222222225</v>
          </cell>
          <cell r="S18">
            <v>23608.662666666667</v>
          </cell>
          <cell r="T18">
            <v>10301.92511111111</v>
          </cell>
          <cell r="U18">
            <v>5428.9927777777775</v>
          </cell>
          <cell r="V18">
            <v>10105.497842236317</v>
          </cell>
          <cell r="W18">
            <v>0</v>
          </cell>
          <cell r="X18">
            <v>0</v>
          </cell>
          <cell r="Y18">
            <v>0</v>
          </cell>
          <cell r="Z18">
            <v>327594.8936674904</v>
          </cell>
          <cell r="AA18">
            <v>4908.0999999999995</v>
          </cell>
          <cell r="AB18">
            <v>33318.322555555547</v>
          </cell>
          <cell r="AC18">
            <v>56856.659666666688</v>
          </cell>
          <cell r="AD18">
            <v>34019.718222222225</v>
          </cell>
          <cell r="AE18">
            <v>124194.70044444445</v>
          </cell>
          <cell r="AF18">
            <v>3169.12</v>
          </cell>
          <cell r="AG18">
            <v>5255.8180000000002</v>
          </cell>
          <cell r="AH18">
            <v>5673.2289999999994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11307.723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-14097.802</v>
          </cell>
          <cell r="AR18">
            <v>0</v>
          </cell>
          <cell r="AS18">
            <v>0</v>
          </cell>
          <cell r="AT18">
            <v>6562.5290000000005</v>
          </cell>
          <cell r="AU18">
            <v>-467.68555554035993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438199.10311193485</v>
          </cell>
          <cell r="F19">
            <v>27908.955444444444</v>
          </cell>
          <cell r="G19">
            <v>31851.319683911126</v>
          </cell>
          <cell r="H19">
            <v>15463.690555555555</v>
          </cell>
          <cell r="I19">
            <v>18428.390888888884</v>
          </cell>
          <cell r="J19">
            <v>43789.895333333327</v>
          </cell>
          <cell r="K19">
            <v>409.65977777777834</v>
          </cell>
          <cell r="L19">
            <v>10874.77688888889</v>
          </cell>
          <cell r="M19">
            <v>21704.011777777781</v>
          </cell>
          <cell r="N19">
            <v>9272.8881111111114</v>
          </cell>
          <cell r="O19">
            <v>31342.225888888886</v>
          </cell>
          <cell r="P19">
            <v>12825.484474676306</v>
          </cell>
          <cell r="Q19">
            <v>10917.272222222222</v>
          </cell>
          <cell r="R19">
            <v>21315.227222222224</v>
          </cell>
          <cell r="S19">
            <v>22765.504666666668</v>
          </cell>
          <cell r="T19">
            <v>9859.0561111111092</v>
          </cell>
          <cell r="U19">
            <v>5058.5927777777779</v>
          </cell>
          <cell r="V19">
            <v>9280.1278422363157</v>
          </cell>
          <cell r="W19">
            <v>0</v>
          </cell>
          <cell r="X19">
            <v>0</v>
          </cell>
          <cell r="Y19">
            <v>0</v>
          </cell>
          <cell r="Z19">
            <v>303067.07966749038</v>
          </cell>
          <cell r="AA19">
            <v>0</v>
          </cell>
          <cell r="AB19">
            <v>33318.322555555547</v>
          </cell>
          <cell r="AC19">
            <v>56856.659666666688</v>
          </cell>
          <cell r="AD19">
            <v>33649.318222222224</v>
          </cell>
          <cell r="AE19">
            <v>123824.30044444445</v>
          </cell>
          <cell r="AF19">
            <v>3169.12</v>
          </cell>
          <cell r="AG19">
            <v>5255.8180000000002</v>
          </cell>
          <cell r="AH19">
            <v>5673.2289999999994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11307.723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29338.628444459639</v>
          </cell>
          <cell r="F20">
            <v>2327.6220000000003</v>
          </cell>
          <cell r="G20">
            <v>2609.8820000000001</v>
          </cell>
          <cell r="H20">
            <v>1596.808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24527.813999999998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-14097.802</v>
          </cell>
          <cell r="AR20">
            <v>0</v>
          </cell>
          <cell r="AS20">
            <v>0</v>
          </cell>
          <cell r="AT20">
            <v>6562.5290000000005</v>
          </cell>
          <cell r="AU20">
            <v>-467.68555554035993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5200760.4883774975</v>
          </cell>
          <cell r="F21">
            <v>607529.46624018822</v>
          </cell>
          <cell r="G21">
            <v>577090.52242323232</v>
          </cell>
          <cell r="H21">
            <v>273098.47145600064</v>
          </cell>
          <cell r="I21">
            <v>147203.2031263212</v>
          </cell>
          <cell r="J21">
            <v>351020.34776655154</v>
          </cell>
          <cell r="K21">
            <v>500349.98288781074</v>
          </cell>
          <cell r="L21">
            <v>187059.63161214965</v>
          </cell>
          <cell r="M21">
            <v>274983.55245942122</v>
          </cell>
          <cell r="N21">
            <v>159934.76984061894</v>
          </cell>
          <cell r="O21">
            <v>245308.50644324085</v>
          </cell>
          <cell r="P21">
            <v>246007.35954491686</v>
          </cell>
          <cell r="Q21">
            <v>108933.9137203009</v>
          </cell>
          <cell r="R21">
            <v>380382.24727190728</v>
          </cell>
          <cell r="S21">
            <v>185504.95106531176</v>
          </cell>
          <cell r="T21">
            <v>192641.60184060101</v>
          </cell>
          <cell r="U21">
            <v>49390.684017904627</v>
          </cell>
          <cell r="V21">
            <v>161641.37545150891</v>
          </cell>
          <cell r="W21">
            <v>0</v>
          </cell>
          <cell r="X21">
            <v>0</v>
          </cell>
          <cell r="Y21">
            <v>0</v>
          </cell>
          <cell r="Z21">
            <v>4648080.5871679904</v>
          </cell>
          <cell r="AA21">
            <v>139040.24631578758</v>
          </cell>
          <cell r="AB21">
            <v>148480.6274444444</v>
          </cell>
          <cell r="AC21">
            <v>110345.13172296535</v>
          </cell>
          <cell r="AD21">
            <v>76330.929837431584</v>
          </cell>
          <cell r="AE21">
            <v>335156.68900484184</v>
          </cell>
          <cell r="AF21">
            <v>9189.2989999999991</v>
          </cell>
          <cell r="AG21">
            <v>43963.49</v>
          </cell>
          <cell r="AH21">
            <v>22207.486000000001</v>
          </cell>
          <cell r="AI21">
            <v>70877.42833333333</v>
          </cell>
          <cell r="AJ21">
            <v>3745.9890000000005</v>
          </cell>
          <cell r="AK21">
            <v>0</v>
          </cell>
          <cell r="AL21">
            <v>149983.69233333334</v>
          </cell>
          <cell r="AM21">
            <v>-5639.3734444596394</v>
          </cell>
          <cell r="AN21">
            <v>-1294.1360000000002</v>
          </cell>
          <cell r="AO21">
            <v>-499.17400000000004</v>
          </cell>
          <cell r="AP21">
            <v>-582.17000000000007</v>
          </cell>
          <cell r="AQ21">
            <v>4603.0560000000005</v>
          </cell>
          <cell r="AR21">
            <v>-63296.399999999994</v>
          </cell>
          <cell r="AS21">
            <v>0</v>
          </cell>
          <cell r="AT21">
            <v>-4792.5290000000005</v>
          </cell>
          <cell r="AU21">
            <v>-71500.726444459622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1249436.4217773317</v>
          </cell>
          <cell r="F22">
            <v>165256.17864075341</v>
          </cell>
          <cell r="G22">
            <v>148185.31661596854</v>
          </cell>
          <cell r="H22">
            <v>85475.985560914385</v>
          </cell>
          <cell r="I22">
            <v>50077.903260123865</v>
          </cell>
          <cell r="J22">
            <v>99439.823803984269</v>
          </cell>
          <cell r="K22">
            <v>104699.56332725823</v>
          </cell>
          <cell r="L22">
            <v>54448.538875851751</v>
          </cell>
          <cell r="M22">
            <v>76089.028797823063</v>
          </cell>
          <cell r="N22">
            <v>44918.781941376146</v>
          </cell>
          <cell r="O22">
            <v>58659.327293215654</v>
          </cell>
          <cell r="P22">
            <v>60230.473322066246</v>
          </cell>
          <cell r="Q22">
            <v>46792.838932963175</v>
          </cell>
          <cell r="R22">
            <v>100509.67560906748</v>
          </cell>
          <cell r="S22">
            <v>41568.740038271288</v>
          </cell>
          <cell r="T22">
            <v>28122.033331435079</v>
          </cell>
          <cell r="U22">
            <v>15907.581955582515</v>
          </cell>
          <cell r="V22">
            <v>32740.280470676433</v>
          </cell>
          <cell r="W22">
            <v>0</v>
          </cell>
          <cell r="X22">
            <v>0</v>
          </cell>
          <cell r="Y22">
            <v>0</v>
          </cell>
          <cell r="Z22">
            <v>1213122.0717773316</v>
          </cell>
          <cell r="AA22">
            <v>0</v>
          </cell>
          <cell r="AB22">
            <v>10265.746831090179</v>
          </cell>
          <cell r="AC22">
            <v>12689.211307716749</v>
          </cell>
          <cell r="AD22">
            <v>13359.391861193075</v>
          </cell>
          <cell r="AE22">
            <v>36314.350000000006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228440.24333333335</v>
          </cell>
          <cell r="F23">
            <v>27575.579052456185</v>
          </cell>
          <cell r="G23">
            <v>24727.038627947422</v>
          </cell>
          <cell r="H23">
            <v>14263.00557297488</v>
          </cell>
          <cell r="I23">
            <v>8356.2816923944774</v>
          </cell>
          <cell r="J23">
            <v>16317.708662495173</v>
          </cell>
          <cell r="K23">
            <v>17180.812536759651</v>
          </cell>
          <cell r="L23">
            <v>8934.8045932387577</v>
          </cell>
          <cell r="M23">
            <v>12485.929246843001</v>
          </cell>
          <cell r="N23">
            <v>7371.0065962944445</v>
          </cell>
          <cell r="O23">
            <v>9625.7794562815088</v>
          </cell>
          <cell r="P23">
            <v>9883.5987301325658</v>
          </cell>
          <cell r="Q23">
            <v>7678.5324429402435</v>
          </cell>
          <cell r="R23">
            <v>12733.535692305017</v>
          </cell>
          <cell r="S23">
            <v>5266.3291544214644</v>
          </cell>
          <cell r="T23">
            <v>3562.7705790119435</v>
          </cell>
          <cell r="U23">
            <v>2015.3260010263457</v>
          </cell>
          <cell r="V23">
            <v>4147.8546958102479</v>
          </cell>
          <cell r="W23">
            <v>0</v>
          </cell>
          <cell r="X23">
            <v>0</v>
          </cell>
          <cell r="Y23">
            <v>0</v>
          </cell>
          <cell r="Z23">
            <v>192125.89333333334</v>
          </cell>
          <cell r="AA23">
            <v>0</v>
          </cell>
          <cell r="AB23">
            <v>10265.746831090179</v>
          </cell>
          <cell r="AC23">
            <v>12689.211307716749</v>
          </cell>
          <cell r="AD23">
            <v>13359.391861193075</v>
          </cell>
          <cell r="AE23">
            <v>36314.350000000006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360644.37466666667</v>
          </cell>
          <cell r="F24">
            <v>48632.634274817392</v>
          </cell>
          <cell r="G24">
            <v>43608.912944482232</v>
          </cell>
          <cell r="H24">
            <v>25154.414069444021</v>
          </cell>
          <cell r="I24">
            <v>14737.242350215502</v>
          </cell>
          <cell r="J24">
            <v>29361.053321334504</v>
          </cell>
          <cell r="K24">
            <v>30914.067865121233</v>
          </cell>
          <cell r="L24">
            <v>16076.722504596635</v>
          </cell>
          <cell r="M24">
            <v>22466.391695395654</v>
          </cell>
          <cell r="N24">
            <v>13262.923256077809</v>
          </cell>
          <cell r="O24">
            <v>17320.018988013431</v>
          </cell>
          <cell r="P24">
            <v>17783.922689407929</v>
          </cell>
          <cell r="Q24">
            <v>13816.265821986515</v>
          </cell>
          <cell r="R24">
            <v>31004.984895416983</v>
          </cell>
          <cell r="S24">
            <v>12823.025735562556</v>
          </cell>
          <cell r="T24">
            <v>8675.0177372067556</v>
          </cell>
          <cell r="U24">
            <v>4907.1329229416824</v>
          </cell>
          <cell r="V24">
            <v>10099.64359464573</v>
          </cell>
          <cell r="W24">
            <v>0</v>
          </cell>
          <cell r="X24">
            <v>0</v>
          </cell>
          <cell r="Y24">
            <v>0</v>
          </cell>
          <cell r="Z24">
            <v>360644.37466666667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660351.8037773316</v>
          </cell>
          <cell r="F25">
            <v>89047.965313479828</v>
          </cell>
          <cell r="G25">
            <v>79849.365043538884</v>
          </cell>
          <cell r="H25">
            <v>46058.565918495493</v>
          </cell>
          <cell r="I25">
            <v>26984.379217513888</v>
          </cell>
          <cell r="J25">
            <v>53761.061820154588</v>
          </cell>
          <cell r="K25">
            <v>56604.682925377347</v>
          </cell>
          <cell r="L25">
            <v>29437.01177801636</v>
          </cell>
          <cell r="M25">
            <v>41136.707855584398</v>
          </cell>
          <cell r="N25">
            <v>24284.852089003896</v>
          </cell>
          <cell r="O25">
            <v>31713.52884892072</v>
          </cell>
          <cell r="P25">
            <v>32562.951902525754</v>
          </cell>
          <cell r="Q25">
            <v>25298.040668036418</v>
          </cell>
          <cell r="R25">
            <v>56771.155021345476</v>
          </cell>
          <cell r="S25">
            <v>23479.385148287267</v>
          </cell>
          <cell r="T25">
            <v>15884.24501521638</v>
          </cell>
          <cell r="U25">
            <v>8985.1230316144865</v>
          </cell>
          <cell r="V25">
            <v>18492.782180220456</v>
          </cell>
          <cell r="W25">
            <v>0</v>
          </cell>
          <cell r="X25">
            <v>0</v>
          </cell>
          <cell r="Y25">
            <v>0</v>
          </cell>
          <cell r="Z25">
            <v>660351.8037773316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3951324.0666001658</v>
          </cell>
          <cell r="F26">
            <v>442273.28759943484</v>
          </cell>
          <cell r="G26">
            <v>428905.20580726379</v>
          </cell>
          <cell r="H26">
            <v>187622.48589508625</v>
          </cell>
          <cell r="I26">
            <v>97125.29986619734</v>
          </cell>
          <cell r="J26">
            <v>251580.52396256727</v>
          </cell>
          <cell r="K26">
            <v>395650.41956055252</v>
          </cell>
          <cell r="L26">
            <v>132611.0927362979</v>
          </cell>
          <cell r="M26">
            <v>198894.52366159816</v>
          </cell>
          <cell r="N26">
            <v>115015.9878992428</v>
          </cell>
          <cell r="O26">
            <v>186649.17915002519</v>
          </cell>
          <cell r="P26">
            <v>185776.88622285062</v>
          </cell>
          <cell r="Q26">
            <v>62141.074787337726</v>
          </cell>
          <cell r="R26">
            <v>279872.57166283979</v>
          </cell>
          <cell r="S26">
            <v>143936.21102704047</v>
          </cell>
          <cell r="T26">
            <v>164519.56850916593</v>
          </cell>
          <cell r="U26">
            <v>33483.102062322112</v>
          </cell>
          <cell r="V26">
            <v>128901.09498083248</v>
          </cell>
          <cell r="W26">
            <v>0</v>
          </cell>
          <cell r="X26">
            <v>0</v>
          </cell>
          <cell r="Y26">
            <v>0</v>
          </cell>
          <cell r="Z26">
            <v>3434958.5153906588</v>
          </cell>
          <cell r="AA26">
            <v>139040.24631578758</v>
          </cell>
          <cell r="AB26">
            <v>138214.88061335421</v>
          </cell>
          <cell r="AC26">
            <v>97655.920415248605</v>
          </cell>
          <cell r="AD26">
            <v>62971.537976238513</v>
          </cell>
          <cell r="AE26">
            <v>298842.33900484187</v>
          </cell>
          <cell r="AF26">
            <v>9189.2989999999991</v>
          </cell>
          <cell r="AG26">
            <v>43963.49</v>
          </cell>
          <cell r="AH26">
            <v>22207.486000000001</v>
          </cell>
          <cell r="AI26">
            <v>70877.42833333333</v>
          </cell>
          <cell r="AJ26">
            <v>3745.9890000000005</v>
          </cell>
          <cell r="AK26">
            <v>0</v>
          </cell>
          <cell r="AL26">
            <v>149983.69233333334</v>
          </cell>
          <cell r="AM26">
            <v>-5639.3734444596394</v>
          </cell>
          <cell r="AN26">
            <v>-1294.1360000000002</v>
          </cell>
          <cell r="AO26">
            <v>-499.17400000000004</v>
          </cell>
          <cell r="AP26">
            <v>-582.17000000000007</v>
          </cell>
          <cell r="AQ26">
            <v>4603.0560000000005</v>
          </cell>
          <cell r="AR26">
            <v>-63296.399999999994</v>
          </cell>
          <cell r="AS26">
            <v>0</v>
          </cell>
          <cell r="AT26">
            <v>-4792.5290000000005</v>
          </cell>
          <cell r="AU26">
            <v>-71500.726444459622</v>
          </cell>
          <cell r="AV26"/>
          <cell r="AW26"/>
          <cell r="AX26"/>
          <cell r="AY26"/>
          <cell r="AZ26"/>
        </row>
        <row r="27">
          <cell r="E27">
            <v>3984210.1846001591</v>
          </cell>
          <cell r="F27">
            <v>442273.28759943473</v>
          </cell>
          <cell r="G27">
            <v>428905.20580726379</v>
          </cell>
          <cell r="H27">
            <v>187622.48589508625</v>
          </cell>
          <cell r="I27">
            <v>97125.29986619734</v>
          </cell>
          <cell r="J27">
            <v>251580.52396256727</v>
          </cell>
          <cell r="K27">
            <v>395650.41956055252</v>
          </cell>
          <cell r="L27">
            <v>132611.0927362979</v>
          </cell>
          <cell r="M27">
            <v>198894.52366159821</v>
          </cell>
          <cell r="N27">
            <v>115015.9878992428</v>
          </cell>
          <cell r="O27">
            <v>186649.17915002519</v>
          </cell>
          <cell r="P27">
            <v>185776.88622285065</v>
          </cell>
          <cell r="Q27">
            <v>62141.07478733774</v>
          </cell>
          <cell r="R27">
            <v>279872.57166283985</v>
          </cell>
          <cell r="S27">
            <v>143936.21102704047</v>
          </cell>
          <cell r="T27">
            <v>164519.56850916593</v>
          </cell>
          <cell r="U27">
            <v>33483.102062322112</v>
          </cell>
          <cell r="V27">
            <v>128901.09498083248</v>
          </cell>
          <cell r="W27">
            <v>0</v>
          </cell>
          <cell r="X27">
            <v>0</v>
          </cell>
          <cell r="Y27">
            <v>0</v>
          </cell>
          <cell r="Z27">
            <v>3434958.5153906564</v>
          </cell>
          <cell r="AA27">
            <v>139040.24631578758</v>
          </cell>
          <cell r="AB27">
            <v>138214.88061335421</v>
          </cell>
          <cell r="AC27">
            <v>97655.920415248605</v>
          </cell>
          <cell r="AD27">
            <v>62971.537976238513</v>
          </cell>
          <cell r="AE27">
            <v>298842.33900484134</v>
          </cell>
          <cell r="AF27">
            <v>9189.2989999999991</v>
          </cell>
          <cell r="AG27">
            <v>43963.49</v>
          </cell>
          <cell r="AH27">
            <v>22207.486000000001</v>
          </cell>
          <cell r="AI27">
            <v>70877.42833333333</v>
          </cell>
          <cell r="AJ27">
            <v>3745.9890000000005</v>
          </cell>
          <cell r="AK27">
            <v>0</v>
          </cell>
          <cell r="AL27">
            <v>149983.69233333331</v>
          </cell>
          <cell r="AM27">
            <v>-5639.3734444596394</v>
          </cell>
          <cell r="AN27">
            <v>-1294.1360000000002</v>
          </cell>
          <cell r="AO27">
            <v>0</v>
          </cell>
          <cell r="AP27">
            <v>0</v>
          </cell>
          <cell r="AQ27">
            <v>-6562.5290000000005</v>
          </cell>
          <cell r="AR27">
            <v>0</v>
          </cell>
          <cell r="AS27">
            <v>0</v>
          </cell>
          <cell r="AT27">
            <v>-25118.569999999996</v>
          </cell>
          <cell r="AU27">
            <v>-38614.608444459634</v>
          </cell>
          <cell r="AV27"/>
          <cell r="AW27"/>
          <cell r="AX27"/>
          <cell r="AY27"/>
          <cell r="AZ27"/>
        </row>
        <row r="28">
          <cell r="E28">
            <v>-32886.117999993265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-499.17400000000004</v>
          </cell>
          <cell r="AP28">
            <v>-582.17000000000007</v>
          </cell>
          <cell r="AQ28">
            <v>11165.585000000001</v>
          </cell>
          <cell r="AR28">
            <v>-63296.399999999994</v>
          </cell>
          <cell r="AS28">
            <v>0</v>
          </cell>
          <cell r="AT28">
            <v>20326.040999999997</v>
          </cell>
          <cell r="AU28">
            <v>-32886.117999999988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437005.22701449943</v>
          </cell>
          <cell r="F30">
            <v>42000</v>
          </cell>
          <cell r="G30">
            <v>36000</v>
          </cell>
          <cell r="H30">
            <v>22000</v>
          </cell>
          <cell r="I30">
            <v>13500</v>
          </cell>
          <cell r="J30">
            <v>24000</v>
          </cell>
          <cell r="K30">
            <v>26000</v>
          </cell>
          <cell r="L30">
            <v>14000</v>
          </cell>
          <cell r="M30">
            <v>19000</v>
          </cell>
          <cell r="N30">
            <v>12000</v>
          </cell>
          <cell r="O30">
            <v>15000</v>
          </cell>
          <cell r="P30">
            <v>16000</v>
          </cell>
          <cell r="Q30">
            <v>12000</v>
          </cell>
          <cell r="R30">
            <v>27000</v>
          </cell>
          <cell r="S30">
            <v>11000</v>
          </cell>
          <cell r="T30">
            <v>7000</v>
          </cell>
          <cell r="U30">
            <v>4000</v>
          </cell>
          <cell r="V30">
            <v>7000</v>
          </cell>
          <cell r="W30">
            <v>0</v>
          </cell>
          <cell r="X30">
            <v>0</v>
          </cell>
          <cell r="Y30">
            <v>0</v>
          </cell>
          <cell r="Z30">
            <v>307500</v>
          </cell>
          <cell r="AA30">
            <v>8600</v>
          </cell>
          <cell r="AB30">
            <v>50439.763333333336</v>
          </cell>
          <cell r="AC30">
            <v>41933.0060593015</v>
          </cell>
          <cell r="AD30">
            <v>28532.457621864596</v>
          </cell>
          <cell r="AE30">
            <v>120905.22701449943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44594197.366419174</v>
          </cell>
          <cell r="F31">
            <v>4277415.2</v>
          </cell>
          <cell r="G31">
            <v>3835560.8300000005</v>
          </cell>
          <cell r="H31">
            <v>2212421.2412538026</v>
          </cell>
          <cell r="I31">
            <v>1296193.5</v>
          </cell>
          <cell r="J31">
            <v>2582410.3019999997</v>
          </cell>
          <cell r="K31">
            <v>2719003.52</v>
          </cell>
          <cell r="L31">
            <v>1414005.6</v>
          </cell>
          <cell r="M31">
            <v>1976000</v>
          </cell>
          <cell r="N31">
            <v>1166521.8300000003</v>
          </cell>
          <cell r="O31">
            <v>1523358</v>
          </cell>
          <cell r="P31">
            <v>1564160</v>
          </cell>
          <cell r="Q31">
            <v>1215190.3</v>
          </cell>
          <cell r="R31">
            <v>2727000</v>
          </cell>
          <cell r="S31">
            <v>1127831.2599999998</v>
          </cell>
          <cell r="T31">
            <v>762999.02899999998</v>
          </cell>
          <cell r="U31">
            <v>431600</v>
          </cell>
          <cell r="V31">
            <v>888300</v>
          </cell>
          <cell r="W31">
            <v>0</v>
          </cell>
          <cell r="X31">
            <v>0</v>
          </cell>
          <cell r="Y31">
            <v>0</v>
          </cell>
          <cell r="Z31">
            <v>31719970.612253807</v>
          </cell>
          <cell r="AA31">
            <v>10504631.578947367</v>
          </cell>
          <cell r="AB31">
            <v>623245.78333333333</v>
          </cell>
          <cell r="AC31">
            <v>770377.21380474255</v>
          </cell>
          <cell r="AD31">
            <v>811064.67774659046</v>
          </cell>
          <cell r="AE31">
            <v>2204687.6748846667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38555395.167597219</v>
          </cell>
          <cell r="F32">
            <v>3599311.511759812</v>
          </cell>
          <cell r="G32">
            <v>3191578.9855767684</v>
          </cell>
          <cell r="H32">
            <v>1890140.5517978019</v>
          </cell>
          <cell r="I32">
            <v>1112855.2788736788</v>
          </cell>
          <cell r="J32">
            <v>2171840.4922334482</v>
          </cell>
          <cell r="K32">
            <v>2168909.1351121892</v>
          </cell>
          <cell r="L32">
            <v>1190124.7993878503</v>
          </cell>
          <cell r="M32">
            <v>1653039.2655405786</v>
          </cell>
          <cell r="N32">
            <v>968732.93815938139</v>
          </cell>
          <cell r="O32">
            <v>1235924.0375567591</v>
          </cell>
          <cell r="P32">
            <v>1280925.312455083</v>
          </cell>
          <cell r="Q32">
            <v>1078018.8112796992</v>
          </cell>
          <cell r="R32">
            <v>2302418.2917280928</v>
          </cell>
          <cell r="S32">
            <v>915617.68093468796</v>
          </cell>
          <cell r="T32">
            <v>559761.40815939894</v>
          </cell>
          <cell r="U32">
            <v>371462.28598209535</v>
          </cell>
          <cell r="V32">
            <v>710251.86454849108</v>
          </cell>
          <cell r="W32">
            <v>0</v>
          </cell>
          <cell r="X32">
            <v>0</v>
          </cell>
          <cell r="Y32">
            <v>0</v>
          </cell>
          <cell r="Z32">
            <v>26400912.651085816</v>
          </cell>
          <cell r="AA32">
            <v>10235760.29263158</v>
          </cell>
          <cell r="AB32">
            <v>474765.15588888893</v>
          </cell>
          <cell r="AC32">
            <v>660032.08208177716</v>
          </cell>
          <cell r="AD32">
            <v>734363.34790915891</v>
          </cell>
          <cell r="AE32">
            <v>1869160.5858798248</v>
          </cell>
          <cell r="AF32">
            <v>3310.701</v>
          </cell>
          <cell r="AG32">
            <v>6036.51</v>
          </cell>
          <cell r="AH32">
            <v>6132.5139999999992</v>
          </cell>
          <cell r="AI32">
            <v>-3829.9279999999994</v>
          </cell>
          <cell r="AJ32">
            <v>1504.011</v>
          </cell>
          <cell r="AK32">
            <v>0</v>
          </cell>
          <cell r="AL32">
            <v>13153.807999999999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6038802.1988219535</v>
          </cell>
          <cell r="F33">
            <v>678103.68824018817</v>
          </cell>
          <cell r="G33">
            <v>643981.84442323213</v>
          </cell>
          <cell r="H33">
            <v>322280.68945600069</v>
          </cell>
          <cell r="I33">
            <v>183338.22112632124</v>
          </cell>
          <cell r="J33">
            <v>410569.80976655148</v>
          </cell>
          <cell r="K33">
            <v>550094.3848878108</v>
          </cell>
          <cell r="L33">
            <v>223880.80061214976</v>
          </cell>
          <cell r="M33">
            <v>322960.73445942136</v>
          </cell>
          <cell r="N33">
            <v>197788.89184061892</v>
          </cell>
          <cell r="O33">
            <v>287433.96244324092</v>
          </cell>
          <cell r="P33">
            <v>283234.68754491699</v>
          </cell>
          <cell r="Q33">
            <v>137171.48872030084</v>
          </cell>
          <cell r="R33">
            <v>424581.70827190718</v>
          </cell>
          <cell r="S33">
            <v>212213.57906531182</v>
          </cell>
          <cell r="T33">
            <v>203237.62084060104</v>
          </cell>
          <cell r="U33">
            <v>60137.714017904655</v>
          </cell>
          <cell r="V33">
            <v>178048.13545150892</v>
          </cell>
          <cell r="W33">
            <v>0</v>
          </cell>
          <cell r="X33">
            <v>0</v>
          </cell>
          <cell r="Y33">
            <v>0</v>
          </cell>
          <cell r="Z33">
            <v>5319057.9611679912</v>
          </cell>
          <cell r="AA33">
            <v>268871.28631578758</v>
          </cell>
          <cell r="AB33">
            <v>148480.6274444444</v>
          </cell>
          <cell r="AC33">
            <v>110345.13172296539</v>
          </cell>
          <cell r="AD33">
            <v>76701.329837431549</v>
          </cell>
          <cell r="AE33">
            <v>335527.08900484187</v>
          </cell>
          <cell r="AF33">
            <v>9189.2989999999991</v>
          </cell>
          <cell r="AG33">
            <v>43963.49</v>
          </cell>
          <cell r="AH33">
            <v>22207.486000000001</v>
          </cell>
          <cell r="AI33">
            <v>70877.42833333333</v>
          </cell>
          <cell r="AJ33">
            <v>3745.989</v>
          </cell>
          <cell r="AK33">
            <v>0</v>
          </cell>
          <cell r="AL33">
            <v>149983.69233333334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2087478.1322217914</v>
          </cell>
          <cell r="F34">
            <v>235830.40064075342</v>
          </cell>
          <cell r="G34">
            <v>215076.63861596855</v>
          </cell>
          <cell r="H34">
            <v>134658.20356091438</v>
          </cell>
          <cell r="I34">
            <v>86212.921260123854</v>
          </cell>
          <cell r="J34">
            <v>158989.28580398427</v>
          </cell>
          <cell r="K34">
            <v>154443.96532725822</v>
          </cell>
          <cell r="L34">
            <v>91269.70787585176</v>
          </cell>
          <cell r="M34">
            <v>124066.21079782306</v>
          </cell>
          <cell r="N34">
            <v>82772.903941376149</v>
          </cell>
          <cell r="O34">
            <v>100784.78329321566</v>
          </cell>
          <cell r="P34">
            <v>97457.801322066254</v>
          </cell>
          <cell r="Q34">
            <v>75030.413932963187</v>
          </cell>
          <cell r="R34">
            <v>144709.13660906747</v>
          </cell>
          <cell r="S34">
            <v>68277.368038271292</v>
          </cell>
          <cell r="T34">
            <v>38718.052331435079</v>
          </cell>
          <cell r="U34">
            <v>26654.611955582517</v>
          </cell>
          <cell r="V34">
            <v>49147.040470676438</v>
          </cell>
          <cell r="W34">
            <v>0</v>
          </cell>
          <cell r="X34">
            <v>0</v>
          </cell>
          <cell r="Y34">
            <v>0</v>
          </cell>
          <cell r="Z34">
            <v>1884099.4457773317</v>
          </cell>
          <cell r="AA34">
            <v>129831.04000000001</v>
          </cell>
          <cell r="AB34">
            <v>10265.746831090179</v>
          </cell>
          <cell r="AC34">
            <v>12689.211307716749</v>
          </cell>
          <cell r="AD34">
            <v>13729.791861193075</v>
          </cell>
          <cell r="AE34">
            <v>36684.750000000007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5639.3734444596394</v>
          </cell>
          <cell r="AN34">
            <v>1294.1360000000002</v>
          </cell>
          <cell r="AO34">
            <v>499.17400000000004</v>
          </cell>
          <cell r="AP34">
            <v>582.17000000000007</v>
          </cell>
          <cell r="AQ34">
            <v>-4603.0560000000005</v>
          </cell>
          <cell r="AR34">
            <v>26888.569999999996</v>
          </cell>
          <cell r="AS34">
            <v>0</v>
          </cell>
          <cell r="AT34">
            <v>6562.5290000000005</v>
          </cell>
          <cell r="AU34">
            <v>36862.896444459635</v>
          </cell>
        </row>
        <row r="35">
          <cell r="D35" t="str">
            <v>영업이익</v>
          </cell>
          <cell r="E35">
            <v>3951324.0666001625</v>
          </cell>
          <cell r="F35">
            <v>442273.28759943473</v>
          </cell>
          <cell r="G35">
            <v>428905.20580726361</v>
          </cell>
          <cell r="H35">
            <v>187622.48589508631</v>
          </cell>
          <cell r="I35">
            <v>97125.299866197383</v>
          </cell>
          <cell r="J35">
            <v>251580.52396256721</v>
          </cell>
          <cell r="K35">
            <v>395650.41956055257</v>
          </cell>
          <cell r="L35">
            <v>132611.09273629799</v>
          </cell>
          <cell r="M35">
            <v>198894.5236615983</v>
          </cell>
          <cell r="N35">
            <v>115015.98789924277</v>
          </cell>
          <cell r="O35">
            <v>186649.17915002524</v>
          </cell>
          <cell r="P35">
            <v>185776.88622285074</v>
          </cell>
          <cell r="Q35">
            <v>62141.074787337653</v>
          </cell>
          <cell r="R35">
            <v>279872.57166283973</v>
          </cell>
          <cell r="S35">
            <v>143936.21102704052</v>
          </cell>
          <cell r="T35">
            <v>164519.56850916595</v>
          </cell>
          <cell r="U35">
            <v>33483.102062322141</v>
          </cell>
          <cell r="V35">
            <v>128901.09498083248</v>
          </cell>
          <cell r="W35">
            <v>0</v>
          </cell>
          <cell r="X35">
            <v>0</v>
          </cell>
          <cell r="Y35">
            <v>0</v>
          </cell>
          <cell r="Z35">
            <v>3434958.5153906597</v>
          </cell>
          <cell r="AA35">
            <v>139040.24631578758</v>
          </cell>
          <cell r="AB35">
            <v>138214.88061335421</v>
          </cell>
          <cell r="AC35">
            <v>97655.920415248649</v>
          </cell>
          <cell r="AD35">
            <v>62971.537976238476</v>
          </cell>
          <cell r="AE35">
            <v>298842.33900484187</v>
          </cell>
          <cell r="AF35">
            <v>9189.2989999999991</v>
          </cell>
          <cell r="AG35">
            <v>43963.49</v>
          </cell>
          <cell r="AH35">
            <v>22207.486000000001</v>
          </cell>
          <cell r="AI35">
            <v>70877.42833333333</v>
          </cell>
          <cell r="AJ35">
            <v>3745.989</v>
          </cell>
          <cell r="AK35">
            <v>0</v>
          </cell>
          <cell r="AL35">
            <v>149983.69233333334</v>
          </cell>
          <cell r="AM35">
            <v>-5639.3734444596394</v>
          </cell>
          <cell r="AN35">
            <v>-1294.1360000000002</v>
          </cell>
          <cell r="AO35">
            <v>-499.17400000000004</v>
          </cell>
          <cell r="AP35">
            <v>-582.17000000000007</v>
          </cell>
          <cell r="AQ35">
            <v>4603.0560000000005</v>
          </cell>
          <cell r="AR35">
            <v>-63296.399999999994</v>
          </cell>
          <cell r="AS35">
            <v>0</v>
          </cell>
          <cell r="AT35">
            <v>-4792.5290000000005</v>
          </cell>
          <cell r="AU35">
            <v>-71500.726444459637</v>
          </cell>
        </row>
      </sheetData>
      <sheetData sheetId="15"/>
      <sheetData sheetId="16"/>
      <sheetData sheetId="17">
        <row r="26">
          <cell r="E26">
            <v>8767461.1192195099</v>
          </cell>
        </row>
      </sheetData>
      <sheetData sheetId="18">
        <row r="6">
          <cell r="D6" t="str">
            <v>구분</v>
          </cell>
        </row>
      </sheetData>
      <sheetData sheetId="19"/>
      <sheetData sheetId="20"/>
      <sheetData sheetId="21"/>
      <sheetData sheetId="22"/>
      <sheetData sheetId="23">
        <row r="6">
          <cell r="D6" t="str">
            <v>구분</v>
          </cell>
        </row>
      </sheetData>
      <sheetData sheetId="24">
        <row r="6">
          <cell r="D6" t="str">
            <v>구분</v>
          </cell>
        </row>
      </sheetData>
      <sheetData sheetId="25">
        <row r="6">
          <cell r="D6" t="str">
            <v>구분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G6" t="str">
            <v>안양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34670</v>
          </cell>
          <cell r="H7">
            <v>30362</v>
          </cell>
          <cell r="I7">
            <v>16303</v>
          </cell>
          <cell r="J7">
            <v>13418.5</v>
          </cell>
          <cell r="K7">
            <v>17339</v>
          </cell>
          <cell r="L7">
            <v>24067</v>
          </cell>
          <cell r="M7">
            <v>12184</v>
          </cell>
          <cell r="N7">
            <v>22034</v>
          </cell>
          <cell r="O7">
            <v>10174</v>
          </cell>
          <cell r="P7">
            <v>12315</v>
          </cell>
          <cell r="Q7">
            <v>18708</v>
          </cell>
          <cell r="R7">
            <v>12451</v>
          </cell>
          <cell r="S7">
            <v>22732</v>
          </cell>
          <cell r="T7">
            <v>4010</v>
          </cell>
          <cell r="U7">
            <v>5608</v>
          </cell>
          <cell r="V7">
            <v>10326</v>
          </cell>
          <cell r="W7">
            <v>5587.5</v>
          </cell>
          <cell r="Z7">
            <v>272289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272289</v>
          </cell>
          <cell r="AJ7">
            <v>23035</v>
          </cell>
          <cell r="AK7">
            <v>1000</v>
          </cell>
          <cell r="AL7">
            <v>35645</v>
          </cell>
          <cell r="AN7">
            <v>59680</v>
          </cell>
          <cell r="AO7">
            <v>8003.0569999999998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36064336.910999998</v>
          </cell>
          <cell r="G8">
            <v>3342260.1409999998</v>
          </cell>
          <cell r="H8">
            <v>2969394.392</v>
          </cell>
          <cell r="I8">
            <v>1513063.34</v>
          </cell>
          <cell r="J8">
            <v>1247616.1459999999</v>
          </cell>
          <cell r="K8">
            <v>1980469.4</v>
          </cell>
          <cell r="L8">
            <v>2361636</v>
          </cell>
          <cell r="M8">
            <v>1145962.0999999999</v>
          </cell>
          <cell r="N8">
            <v>2288994.5</v>
          </cell>
          <cell r="O8">
            <v>958230.2</v>
          </cell>
          <cell r="P8">
            <v>1261810.55</v>
          </cell>
          <cell r="Q8">
            <v>1801690.764</v>
          </cell>
          <cell r="R8">
            <v>1273389.1000000001</v>
          </cell>
          <cell r="S8">
            <v>2299482.3020000001</v>
          </cell>
          <cell r="T8">
            <v>460867</v>
          </cell>
          <cell r="U8">
            <v>597354</v>
          </cell>
          <cell r="V8">
            <v>1002051.928</v>
          </cell>
          <cell r="W8">
            <v>668437.152</v>
          </cell>
          <cell r="Z8">
            <v>27172709.015000001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27263549.015000001</v>
          </cell>
          <cell r="AJ8">
            <v>638333</v>
          </cell>
          <cell r="AK8">
            <v>11500</v>
          </cell>
          <cell r="AL8">
            <v>630681.5</v>
          </cell>
          <cell r="AN8">
            <v>1280514.5</v>
          </cell>
          <cell r="AO8">
            <v>7445901.6059999997</v>
          </cell>
          <cell r="AP8">
            <v>0</v>
          </cell>
          <cell r="AS8">
            <v>7445901.6059999997</v>
          </cell>
          <cell r="AT8">
            <v>5512.5</v>
          </cell>
          <cell r="AU8">
            <v>5250</v>
          </cell>
          <cell r="AV8">
            <v>61929.440000000002</v>
          </cell>
          <cell r="BA8">
            <v>72691.94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1679.85</v>
          </cell>
        </row>
        <row r="9">
          <cell r="G9">
            <v>96402.08079030861</v>
          </cell>
          <cell r="H9">
            <v>97799.696726170863</v>
          </cell>
          <cell r="I9">
            <v>92808.890388272106</v>
          </cell>
          <cell r="J9">
            <v>92977.318329172398</v>
          </cell>
          <cell r="K9">
            <v>114220.50867985465</v>
          </cell>
          <cell r="L9">
            <v>98127.560560103055</v>
          </cell>
          <cell r="M9">
            <v>94054.670059093885</v>
          </cell>
          <cell r="N9">
            <v>103884.65553235907</v>
          </cell>
          <cell r="O9">
            <v>94184.214664831918</v>
          </cell>
          <cell r="P9">
            <v>102461.27080795777</v>
          </cell>
          <cell r="Q9">
            <v>96305.899294419505</v>
          </cell>
          <cell r="R9">
            <v>102272.03437474903</v>
          </cell>
          <cell r="S9">
            <v>101156.18080239311</v>
          </cell>
          <cell r="T9">
            <v>114929.42643391521</v>
          </cell>
          <cell r="U9">
            <v>106518.1883024251</v>
          </cell>
          <cell r="V9">
            <v>97041.635483246166</v>
          </cell>
          <cell r="W9">
            <v>119630.81020134229</v>
          </cell>
          <cell r="Z9">
            <v>99793.634759391673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100127.25088049829</v>
          </cell>
          <cell r="AJ9">
            <v>27711.439114391145</v>
          </cell>
          <cell r="AK9">
            <v>11500</v>
          </cell>
          <cell r="AL9">
            <v>17693.407209987374</v>
          </cell>
          <cell r="AO9">
            <v>930382.17846005596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33746057.736829996</v>
          </cell>
          <cell r="G10">
            <v>3153826.3093499998</v>
          </cell>
          <cell r="H10">
            <v>2891540.5182899996</v>
          </cell>
          <cell r="I10">
            <v>1583684.13188</v>
          </cell>
          <cell r="J10">
            <v>1220923.5654200001</v>
          </cell>
          <cell r="K10">
            <v>1741054.5973199999</v>
          </cell>
          <cell r="L10">
            <v>2097180.5120700002</v>
          </cell>
          <cell r="M10">
            <v>1130198.0429799999</v>
          </cell>
          <cell r="N10">
            <v>2072592.7387699999</v>
          </cell>
          <cell r="O10">
            <v>934691.31764999998</v>
          </cell>
          <cell r="P10">
            <v>1101787.8125100001</v>
          </cell>
          <cell r="Q10">
            <v>1560083.01333</v>
          </cell>
          <cell r="R10">
            <v>1181457.81109</v>
          </cell>
          <cell r="S10">
            <v>2143811.4738599998</v>
          </cell>
          <cell r="T10">
            <v>398610.84314000001</v>
          </cell>
          <cell r="U10">
            <v>490374.17550000001</v>
          </cell>
          <cell r="V10">
            <v>921340.26247000007</v>
          </cell>
          <cell r="W10">
            <v>584561.98011</v>
          </cell>
          <cell r="Z10">
            <v>25207719.10574</v>
          </cell>
          <cell r="AA10">
            <v>593.60500000000002</v>
          </cell>
          <cell r="AB10">
            <v>0</v>
          </cell>
          <cell r="AC10">
            <v>3234.752</v>
          </cell>
          <cell r="AD10">
            <v>5110.6809999999996</v>
          </cell>
          <cell r="AH10">
            <v>8939.0380000000005</v>
          </cell>
          <cell r="AI10">
            <v>25216658.143739998</v>
          </cell>
          <cell r="AJ10">
            <v>583562.56908000004</v>
          </cell>
          <cell r="AK10">
            <v>130484.38006</v>
          </cell>
          <cell r="AL10">
            <v>828351.43394999998</v>
          </cell>
          <cell r="AN10">
            <v>1542398.3830900001</v>
          </cell>
          <cell r="AO10">
            <v>7310057.0540000005</v>
          </cell>
          <cell r="AP10">
            <v>0</v>
          </cell>
          <cell r="AS10">
            <v>7310057.0540000005</v>
          </cell>
          <cell r="AT10">
            <v>143.00399999999999</v>
          </cell>
          <cell r="AU10">
            <v>186.25200000000001</v>
          </cell>
          <cell r="AV10">
            <v>0</v>
          </cell>
          <cell r="BA10">
            <v>329.25599999999997</v>
          </cell>
          <cell r="BB10">
            <v>0</v>
          </cell>
          <cell r="BC10">
            <v>0</v>
          </cell>
          <cell r="BD10">
            <v>-300000</v>
          </cell>
          <cell r="BE10">
            <v>0</v>
          </cell>
          <cell r="BF10">
            <v>0</v>
          </cell>
          <cell r="BG10">
            <v>-23385.1</v>
          </cell>
          <cell r="BJ10">
            <v>-323385.09999999998</v>
          </cell>
        </row>
        <row r="11">
          <cell r="G11">
            <v>90967.012095471582</v>
          </cell>
          <cell r="H11">
            <v>95235.508803438497</v>
          </cell>
          <cell r="I11">
            <v>97140.65704962278</v>
          </cell>
          <cell r="J11">
            <v>90988.081038864271</v>
          </cell>
          <cell r="K11">
            <v>100412.63033162235</v>
          </cell>
          <cell r="L11">
            <v>87139.257575518364</v>
          </cell>
          <cell r="M11">
            <v>92760.837408076157</v>
          </cell>
          <cell r="N11">
            <v>94063.390159299262</v>
          </cell>
          <cell r="O11">
            <v>91870.583610182817</v>
          </cell>
          <cell r="P11">
            <v>89467.13865286237</v>
          </cell>
          <cell r="Q11">
            <v>83391.223718729962</v>
          </cell>
          <cell r="R11">
            <v>94888.588152758821</v>
          </cell>
          <cell r="S11">
            <v>94308.088767376379</v>
          </cell>
          <cell r="T11">
            <v>99404.200284289269</v>
          </cell>
          <cell r="U11">
            <v>87441.900053495003</v>
          </cell>
          <cell r="V11">
            <v>89225.282052101509</v>
          </cell>
          <cell r="W11">
            <v>104619.5937557047</v>
          </cell>
          <cell r="Z11">
            <v>92577.07474683148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92609.90397606953</v>
          </cell>
          <cell r="AJ11">
            <v>25333.734277403953</v>
          </cell>
          <cell r="AK11">
            <v>130484.38006000001</v>
          </cell>
          <cell r="AL11">
            <v>23238.923662505262</v>
          </cell>
          <cell r="AO11">
            <v>913408.09568143776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2318279.1741700023</v>
          </cell>
          <cell r="G12">
            <v>188433.83165000007</v>
          </cell>
          <cell r="H12">
            <v>77853.873710000422</v>
          </cell>
          <cell r="I12">
            <v>-70620.791879999917</v>
          </cell>
          <cell r="J12">
            <v>26692.580579999834</v>
          </cell>
          <cell r="K12">
            <v>239414.80267999996</v>
          </cell>
          <cell r="L12">
            <v>264455.48792999983</v>
          </cell>
          <cell r="M12">
            <v>15764.057019999949</v>
          </cell>
          <cell r="N12">
            <v>216401.76123000006</v>
          </cell>
          <cell r="O12">
            <v>23538.882349999971</v>
          </cell>
          <cell r="P12">
            <v>160022.73748999997</v>
          </cell>
          <cell r="Q12">
            <v>241607.75066999998</v>
          </cell>
          <cell r="R12">
            <v>91931.288910000119</v>
          </cell>
          <cell r="S12">
            <v>155670.82814000035</v>
          </cell>
          <cell r="T12">
            <v>62256.156859999988</v>
          </cell>
          <cell r="U12">
            <v>106979.82449999999</v>
          </cell>
          <cell r="V12">
            <v>80711.665529999882</v>
          </cell>
          <cell r="W12">
            <v>83875.171889999998</v>
          </cell>
          <cell r="Z12">
            <v>1964989.9092600006</v>
          </cell>
          <cell r="AA12">
            <v>49406.394999999997</v>
          </cell>
          <cell r="AB12">
            <v>0</v>
          </cell>
          <cell r="AC12">
            <v>9265.2479999999996</v>
          </cell>
          <cell r="AD12">
            <v>23229.319</v>
          </cell>
          <cell r="AH12">
            <v>81900.962</v>
          </cell>
          <cell r="AI12">
            <v>2046890.8712600023</v>
          </cell>
          <cell r="AJ12">
            <v>54770.430919999955</v>
          </cell>
          <cell r="AK12">
            <v>-118984.38006</v>
          </cell>
          <cell r="AL12">
            <v>-197669.93394999998</v>
          </cell>
          <cell r="AN12">
            <v>-261883.88309000013</v>
          </cell>
          <cell r="AO12">
            <v>135844.55199999921</v>
          </cell>
          <cell r="AP12">
            <v>0</v>
          </cell>
          <cell r="AS12">
            <v>135844.55199999921</v>
          </cell>
          <cell r="AT12">
            <v>5369.4960000000001</v>
          </cell>
          <cell r="AU12">
            <v>5063.7479999999996</v>
          </cell>
          <cell r="AV12">
            <v>61929.440000000002</v>
          </cell>
          <cell r="BA12">
            <v>72362.684000000008</v>
          </cell>
          <cell r="BB12">
            <v>0</v>
          </cell>
          <cell r="BC12">
            <v>1679.85</v>
          </cell>
          <cell r="BD12">
            <v>300000</v>
          </cell>
          <cell r="BE12">
            <v>0</v>
          </cell>
          <cell r="BF12">
            <v>0</v>
          </cell>
          <cell r="BG12">
            <v>23385.1</v>
          </cell>
          <cell r="BJ12">
            <v>325064.94999999995</v>
          </cell>
        </row>
        <row r="13">
          <cell r="F13">
            <v>1248409.3910000001</v>
          </cell>
          <cell r="G13">
            <v>107034.55099999999</v>
          </cell>
          <cell r="H13">
            <v>91159.116999999998</v>
          </cell>
          <cell r="I13">
            <v>71420.666999999987</v>
          </cell>
          <cell r="J13">
            <v>54944.850999999995</v>
          </cell>
          <cell r="K13">
            <v>70383.842999999993</v>
          </cell>
          <cell r="L13">
            <v>77478.274000000005</v>
          </cell>
          <cell r="M13">
            <v>58708.627999999997</v>
          </cell>
          <cell r="N13">
            <v>70201.785999999993</v>
          </cell>
          <cell r="O13">
            <v>40589.192999999999</v>
          </cell>
          <cell r="P13">
            <v>55451.78</v>
          </cell>
          <cell r="Q13">
            <v>57775.728000000003</v>
          </cell>
          <cell r="R13">
            <v>53082.938000000002</v>
          </cell>
          <cell r="S13">
            <v>72902.850000000006</v>
          </cell>
          <cell r="T13">
            <v>17399.862000000001</v>
          </cell>
          <cell r="U13">
            <v>15957.017</v>
          </cell>
          <cell r="V13">
            <v>48805.993000000002</v>
          </cell>
          <cell r="W13">
            <v>21152.028000000002</v>
          </cell>
          <cell r="Z13">
            <v>984449.10600000003</v>
          </cell>
          <cell r="AA13">
            <v>0</v>
          </cell>
          <cell r="AB13">
            <v>176.358</v>
          </cell>
          <cell r="AC13">
            <v>0</v>
          </cell>
          <cell r="AD13">
            <v>0</v>
          </cell>
          <cell r="AH13">
            <v>176.358</v>
          </cell>
          <cell r="AI13">
            <v>984625.46400000004</v>
          </cell>
          <cell r="AJ13">
            <v>40</v>
          </cell>
          <cell r="AK13">
            <v>19261.812000000002</v>
          </cell>
          <cell r="AL13">
            <v>0</v>
          </cell>
          <cell r="AN13">
            <v>19301.812000000002</v>
          </cell>
          <cell r="AO13">
            <v>231522.68900000001</v>
          </cell>
          <cell r="AP13">
            <v>0</v>
          </cell>
          <cell r="AS13">
            <v>231522.68900000001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12959.425999999999</v>
          </cell>
          <cell r="BG13">
            <v>0</v>
          </cell>
          <cell r="BJ13">
            <v>12959.425999999999</v>
          </cell>
        </row>
        <row r="14">
          <cell r="F14">
            <v>900088.86899999995</v>
          </cell>
          <cell r="G14">
            <v>79399.953999999998</v>
          </cell>
          <cell r="H14">
            <v>63880.913</v>
          </cell>
          <cell r="I14">
            <v>56859.022999999994</v>
          </cell>
          <cell r="J14">
            <v>42810.214999999997</v>
          </cell>
          <cell r="K14">
            <v>53647.096999999994</v>
          </cell>
          <cell r="L14">
            <v>58006.402000000002</v>
          </cell>
          <cell r="M14">
            <v>44520.160999999993</v>
          </cell>
          <cell r="N14">
            <v>56216.896999999997</v>
          </cell>
          <cell r="O14">
            <v>33381.864999999998</v>
          </cell>
          <cell r="P14">
            <v>44367.968999999997</v>
          </cell>
          <cell r="Q14">
            <v>44433.042000000001</v>
          </cell>
          <cell r="R14">
            <v>42741.368000000002</v>
          </cell>
          <cell r="S14">
            <v>52285.743999999999</v>
          </cell>
          <cell r="T14">
            <v>12182.313</v>
          </cell>
          <cell r="U14">
            <v>12299.984</v>
          </cell>
          <cell r="V14">
            <v>36212.095000000001</v>
          </cell>
          <cell r="W14">
            <v>17283.548000000003</v>
          </cell>
          <cell r="Z14">
            <v>750528.59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750528.59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149560.27900000001</v>
          </cell>
          <cell r="AP14">
            <v>0</v>
          </cell>
          <cell r="AS14">
            <v>149560.27900000001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348320.52200000006</v>
          </cell>
          <cell r="G15">
            <v>27634.596999999998</v>
          </cell>
          <cell r="H15">
            <v>27278.204000000002</v>
          </cell>
          <cell r="I15">
            <v>14561.644</v>
          </cell>
          <cell r="J15">
            <v>12134.635999999999</v>
          </cell>
          <cell r="K15">
            <v>16736.745999999999</v>
          </cell>
          <cell r="L15">
            <v>19471.871999999996</v>
          </cell>
          <cell r="M15">
            <v>14188.467000000001</v>
          </cell>
          <cell r="N15">
            <v>13984.888999999997</v>
          </cell>
          <cell r="O15">
            <v>7207.3279999999995</v>
          </cell>
          <cell r="P15">
            <v>11083.811</v>
          </cell>
          <cell r="Q15">
            <v>13342.686000000003</v>
          </cell>
          <cell r="R15">
            <v>10341.57</v>
          </cell>
          <cell r="S15">
            <v>20617.106000000003</v>
          </cell>
          <cell r="T15">
            <v>5217.549</v>
          </cell>
          <cell r="U15">
            <v>3657.0330000000004</v>
          </cell>
          <cell r="V15">
            <v>12593.898000000001</v>
          </cell>
          <cell r="W15">
            <v>3868.4799999999996</v>
          </cell>
          <cell r="Z15">
            <v>233920.51600000003</v>
          </cell>
          <cell r="AA15">
            <v>0</v>
          </cell>
          <cell r="AB15">
            <v>176.358</v>
          </cell>
          <cell r="AC15">
            <v>0</v>
          </cell>
          <cell r="AD15">
            <v>0</v>
          </cell>
          <cell r="AH15">
            <v>176.358</v>
          </cell>
          <cell r="AI15">
            <v>234096.87400000004</v>
          </cell>
          <cell r="AJ15">
            <v>40</v>
          </cell>
          <cell r="AK15">
            <v>19261.812000000002</v>
          </cell>
          <cell r="AL15">
            <v>0</v>
          </cell>
          <cell r="AN15">
            <v>19301.812000000002</v>
          </cell>
          <cell r="AO15">
            <v>81962.410000000018</v>
          </cell>
          <cell r="AP15">
            <v>0</v>
          </cell>
          <cell r="AS15">
            <v>81962.410000000018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12959.425999999999</v>
          </cell>
          <cell r="BG15">
            <v>0</v>
          </cell>
          <cell r="BJ15">
            <v>12959.425999999999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1069869.7831700023</v>
          </cell>
          <cell r="G17">
            <v>81399.280650000073</v>
          </cell>
          <cell r="H17">
            <v>-13305.243289999577</v>
          </cell>
          <cell r="I17">
            <v>-142041.4588799999</v>
          </cell>
          <cell r="J17">
            <v>-28252.270420000161</v>
          </cell>
          <cell r="K17">
            <v>169030.95967999997</v>
          </cell>
          <cell r="L17">
            <v>186977.21392999982</v>
          </cell>
          <cell r="M17">
            <v>-42944.570980000048</v>
          </cell>
          <cell r="N17">
            <v>146199.97523000007</v>
          </cell>
          <cell r="O17">
            <v>-17050.310650000029</v>
          </cell>
          <cell r="P17">
            <v>104570.95748999997</v>
          </cell>
          <cell r="Q17">
            <v>183832.02266999998</v>
          </cell>
          <cell r="R17">
            <v>38848.350910000117</v>
          </cell>
          <cell r="S17">
            <v>82767.978140000341</v>
          </cell>
          <cell r="T17">
            <v>44856.294859999987</v>
          </cell>
          <cell r="U17">
            <v>91022.807499999995</v>
          </cell>
          <cell r="V17">
            <v>31905.67252999988</v>
          </cell>
          <cell r="W17">
            <v>62723.143889999992</v>
          </cell>
          <cell r="Z17">
            <v>980540.80326000054</v>
          </cell>
          <cell r="AA17">
            <v>49406.394999999997</v>
          </cell>
          <cell r="AB17">
            <v>-176.358</v>
          </cell>
          <cell r="AC17">
            <v>9265.2479999999996</v>
          </cell>
          <cell r="AD17">
            <v>23229.319</v>
          </cell>
          <cell r="AH17">
            <v>81724.604000000007</v>
          </cell>
          <cell r="AI17">
            <v>1062265.4072600021</v>
          </cell>
          <cell r="AJ17">
            <v>54730.430919999955</v>
          </cell>
          <cell r="AK17">
            <v>-138246.19206</v>
          </cell>
          <cell r="AL17">
            <v>-197669.93394999998</v>
          </cell>
          <cell r="AN17">
            <v>-281185.69509000011</v>
          </cell>
          <cell r="AO17">
            <v>-95678.137000000803</v>
          </cell>
          <cell r="AP17">
            <v>0</v>
          </cell>
          <cell r="AS17">
            <v>-95678.137000000803</v>
          </cell>
          <cell r="AT17">
            <v>5369.4960000000001</v>
          </cell>
          <cell r="AU17">
            <v>5063.7479999999996</v>
          </cell>
          <cell r="AV17">
            <v>61929.440000000002</v>
          </cell>
          <cell r="BA17">
            <v>72362.684000000008</v>
          </cell>
          <cell r="BB17">
            <v>0</v>
          </cell>
          <cell r="BC17">
            <v>1679.85</v>
          </cell>
          <cell r="BD17">
            <v>300000</v>
          </cell>
          <cell r="BE17">
            <v>0</v>
          </cell>
          <cell r="BF17">
            <v>-12959.425999999999</v>
          </cell>
          <cell r="BG17">
            <v>23385.1</v>
          </cell>
          <cell r="BJ17">
            <v>312105.52399999998</v>
          </cell>
        </row>
        <row r="18">
          <cell r="F18">
            <v>531746.80316999997</v>
          </cell>
          <cell r="G18">
            <v>29871.131649999999</v>
          </cell>
          <cell r="H18">
            <v>36235.976710000003</v>
          </cell>
          <cell r="I18">
            <v>18187.967120000001</v>
          </cell>
          <cell r="J18">
            <v>18041.279579999995</v>
          </cell>
          <cell r="K18">
            <v>76847.150680000021</v>
          </cell>
          <cell r="L18">
            <v>23884.89993</v>
          </cell>
          <cell r="M18">
            <v>15281.375019999999</v>
          </cell>
          <cell r="N18">
            <v>44918.158229999994</v>
          </cell>
          <cell r="O18">
            <v>11778.056349999999</v>
          </cell>
          <cell r="P18">
            <v>31812.600489999997</v>
          </cell>
          <cell r="Q18">
            <v>15792.041669999999</v>
          </cell>
          <cell r="R18">
            <v>14482.12491</v>
          </cell>
          <cell r="S18">
            <v>24298.737140000001</v>
          </cell>
          <cell r="T18">
            <v>5721.0178600000008</v>
          </cell>
          <cell r="U18">
            <v>10870.5535</v>
          </cell>
          <cell r="V18">
            <v>21252.345530000002</v>
          </cell>
          <cell r="W18">
            <v>13041.60089</v>
          </cell>
          <cell r="Z18">
            <v>412317.01725999994</v>
          </cell>
          <cell r="AA18">
            <v>5302.277</v>
          </cell>
          <cell r="AB18">
            <v>353.65199999999999</v>
          </cell>
          <cell r="AC18">
            <v>0</v>
          </cell>
          <cell r="AD18">
            <v>0</v>
          </cell>
          <cell r="AH18">
            <v>5655.9290000000001</v>
          </cell>
          <cell r="AI18">
            <v>417972.94625999988</v>
          </cell>
          <cell r="AJ18">
            <v>39038.823920000003</v>
          </cell>
          <cell r="AK18">
            <v>12881.44694</v>
          </cell>
          <cell r="AL18">
            <v>59881.445049999995</v>
          </cell>
          <cell r="AN18">
            <v>111801.71591</v>
          </cell>
          <cell r="AO18">
            <v>5423.9359999999997</v>
          </cell>
          <cell r="AP18">
            <v>855.83299999999997</v>
          </cell>
          <cell r="AS18">
            <v>6279.7689999999993</v>
          </cell>
          <cell r="AT18">
            <v>1312.9010000000001</v>
          </cell>
          <cell r="AU18">
            <v>-4103.3419999999996</v>
          </cell>
          <cell r="AV18">
            <v>0</v>
          </cell>
          <cell r="BA18">
            <v>-2790.4409999999998</v>
          </cell>
          <cell r="BB18">
            <v>0</v>
          </cell>
          <cell r="BC18">
            <v>7752.652</v>
          </cell>
          <cell r="BD18">
            <v>0</v>
          </cell>
          <cell r="BE18">
            <v>0</v>
          </cell>
          <cell r="BF18">
            <v>-9269.8389999999999</v>
          </cell>
          <cell r="BG18">
            <v>0</v>
          </cell>
          <cell r="BJ18">
            <v>-1517.1869999999999</v>
          </cell>
        </row>
        <row r="19">
          <cell r="F19">
            <v>505035.93016999995</v>
          </cell>
          <cell r="G19">
            <v>27543.500649999998</v>
          </cell>
          <cell r="H19">
            <v>34290.83771</v>
          </cell>
          <cell r="I19">
            <v>16885.509120000002</v>
          </cell>
          <cell r="J19">
            <v>16849.288579999997</v>
          </cell>
          <cell r="K19">
            <v>74971.080680000014</v>
          </cell>
          <cell r="L19">
            <v>22320.496930000001</v>
          </cell>
          <cell r="M19">
            <v>14087.77202</v>
          </cell>
          <cell r="N19">
            <v>43354.855229999994</v>
          </cell>
          <cell r="O19">
            <v>11028.021349999999</v>
          </cell>
          <cell r="P19">
            <v>30593.835489999998</v>
          </cell>
          <cell r="Q19">
            <v>14586.66167</v>
          </cell>
          <cell r="R19">
            <v>13379.973910000001</v>
          </cell>
          <cell r="S19">
            <v>22710.525140000002</v>
          </cell>
          <cell r="T19">
            <v>5350.6188600000005</v>
          </cell>
          <cell r="U19">
            <v>10427.684499999999</v>
          </cell>
          <cell r="V19">
            <v>20125.488530000002</v>
          </cell>
          <cell r="W19">
            <v>12216.22789</v>
          </cell>
          <cell r="Z19">
            <v>390722.37825999991</v>
          </cell>
          <cell r="AA19">
            <v>5302.277</v>
          </cell>
          <cell r="AB19">
            <v>0</v>
          </cell>
          <cell r="AC19">
            <v>0</v>
          </cell>
          <cell r="AD19">
            <v>0</v>
          </cell>
          <cell r="AH19">
            <v>5302.277</v>
          </cell>
          <cell r="AI19">
            <v>396024.65525999991</v>
          </cell>
          <cell r="AJ19">
            <v>39038.823920000003</v>
          </cell>
          <cell r="AK19">
            <v>12881.44694</v>
          </cell>
          <cell r="AL19">
            <v>59881.445049999995</v>
          </cell>
          <cell r="AN19">
            <v>111801.71591</v>
          </cell>
          <cell r="AO19">
            <v>0</v>
          </cell>
          <cell r="AP19">
            <v>0</v>
          </cell>
          <cell r="AS19">
            <v>0</v>
          </cell>
          <cell r="AT19">
            <v>1312.9010000000001</v>
          </cell>
          <cell r="AU19">
            <v>-4103.3419999999996</v>
          </cell>
          <cell r="AV19">
            <v>0</v>
          </cell>
          <cell r="BA19">
            <v>-2790.4409999999998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26710.873</v>
          </cell>
          <cell r="G20">
            <v>2327.6309999999999</v>
          </cell>
          <cell r="H20">
            <v>1945.1389999999999</v>
          </cell>
          <cell r="I20">
            <v>1302.4580000000001</v>
          </cell>
          <cell r="J20">
            <v>1191.991</v>
          </cell>
          <cell r="K20">
            <v>1876.07</v>
          </cell>
          <cell r="L20">
            <v>1564.403</v>
          </cell>
          <cell r="M20">
            <v>1193.6030000000001</v>
          </cell>
          <cell r="N20">
            <v>1563.3030000000001</v>
          </cell>
          <cell r="O20">
            <v>750.03499999999997</v>
          </cell>
          <cell r="P20">
            <v>1218.7650000000001</v>
          </cell>
          <cell r="Q20">
            <v>1205.3800000000001</v>
          </cell>
          <cell r="R20">
            <v>1102.1510000000001</v>
          </cell>
          <cell r="S20">
            <v>1588.212</v>
          </cell>
          <cell r="T20">
            <v>370.399</v>
          </cell>
          <cell r="U20">
            <v>442.86900000000003</v>
          </cell>
          <cell r="V20">
            <v>1126.857</v>
          </cell>
          <cell r="W20">
            <v>825.37300000000005</v>
          </cell>
          <cell r="Z20">
            <v>21594.638999999999</v>
          </cell>
          <cell r="AA20">
            <v>0</v>
          </cell>
          <cell r="AB20">
            <v>353.65199999999999</v>
          </cell>
          <cell r="AC20">
            <v>0</v>
          </cell>
          <cell r="AD20">
            <v>0</v>
          </cell>
          <cell r="AH20">
            <v>353.65199999999999</v>
          </cell>
          <cell r="AI20">
            <v>21948.290999999997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5423.9359999999997</v>
          </cell>
          <cell r="AP20">
            <v>855.83299999999997</v>
          </cell>
          <cell r="AS20">
            <v>6279.7689999999993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7752.652</v>
          </cell>
          <cell r="BD20">
            <v>0</v>
          </cell>
          <cell r="BE20">
            <v>0</v>
          </cell>
          <cell r="BF20">
            <v>-9269.8389999999999</v>
          </cell>
          <cell r="BG20">
            <v>0</v>
          </cell>
          <cell r="BJ20">
            <v>-1517.1869999999999</v>
          </cell>
        </row>
        <row r="21">
          <cell r="F21">
            <v>538122.98000000231</v>
          </cell>
          <cell r="G21">
            <v>51528.149000000078</v>
          </cell>
          <cell r="H21">
            <v>-49541.219999999579</v>
          </cell>
          <cell r="I21">
            <v>-160229.42599999992</v>
          </cell>
          <cell r="J21">
            <v>-46293.550000000156</v>
          </cell>
          <cell r="K21">
            <v>92183.80899999995</v>
          </cell>
          <cell r="L21">
            <v>163092.31399999984</v>
          </cell>
          <cell r="M21">
            <v>-58225.946000000047</v>
          </cell>
          <cell r="N21">
            <v>101281.81700000007</v>
          </cell>
          <cell r="O21">
            <v>-28828.367000000027</v>
          </cell>
          <cell r="P21">
            <v>72758.356999999975</v>
          </cell>
          <cell r="Q21">
            <v>168039.98099999997</v>
          </cell>
          <cell r="R21">
            <v>24366.226000000119</v>
          </cell>
          <cell r="S21">
            <v>58469.241000000344</v>
          </cell>
          <cell r="T21">
            <v>39135.276999999987</v>
          </cell>
          <cell r="U21">
            <v>80152.254000000001</v>
          </cell>
          <cell r="V21">
            <v>10653.326999999877</v>
          </cell>
          <cell r="W21">
            <v>49681.542999999991</v>
          </cell>
          <cell r="Z21">
            <v>568223.78600000055</v>
          </cell>
          <cell r="AA21">
            <v>44104.117999999995</v>
          </cell>
          <cell r="AB21">
            <v>-530.01</v>
          </cell>
          <cell r="AC21">
            <v>9265.2479999999996</v>
          </cell>
          <cell r="AD21">
            <v>23229.319</v>
          </cell>
          <cell r="AH21">
            <v>76068.675000000003</v>
          </cell>
          <cell r="AI21">
            <v>644292.46100000222</v>
          </cell>
          <cell r="AJ21">
            <v>15691.606999999953</v>
          </cell>
          <cell r="AK21">
            <v>-151127.639</v>
          </cell>
          <cell r="AL21">
            <v>-257551.37899999996</v>
          </cell>
          <cell r="AN21">
            <v>-392987.41100000008</v>
          </cell>
          <cell r="AO21">
            <v>-101102.0730000008</v>
          </cell>
          <cell r="AP21">
            <v>-855.83299999999997</v>
          </cell>
          <cell r="AS21">
            <v>-101957.9060000008</v>
          </cell>
          <cell r="AT21">
            <v>4056.5950000000003</v>
          </cell>
          <cell r="AU21">
            <v>9167.09</v>
          </cell>
          <cell r="AV21">
            <v>61929.440000000002</v>
          </cell>
          <cell r="BA21">
            <v>75153.125000000015</v>
          </cell>
          <cell r="BB21">
            <v>0</v>
          </cell>
          <cell r="BC21">
            <v>-6072.8019999999997</v>
          </cell>
          <cell r="BD21">
            <v>300000</v>
          </cell>
          <cell r="BE21">
            <v>0</v>
          </cell>
          <cell r="BF21">
            <v>-3689.5869999999995</v>
          </cell>
          <cell r="BG21">
            <v>23385.1</v>
          </cell>
          <cell r="BJ21">
            <v>313622.71099999995</v>
          </cell>
        </row>
        <row r="22">
          <cell r="F22">
            <v>1844333.3160006681</v>
          </cell>
          <cell r="G22">
            <v>257660.19163048046</v>
          </cell>
          <cell r="H22">
            <v>228915.37336775908</v>
          </cell>
          <cell r="I22">
            <v>116644.47819337319</v>
          </cell>
          <cell r="J22">
            <v>96180.728518475167</v>
          </cell>
          <cell r="K22">
            <v>153963.54826181754</v>
          </cell>
          <cell r="L22">
            <v>183595.79716952244</v>
          </cell>
          <cell r="M22">
            <v>89088.16823403773</v>
          </cell>
          <cell r="N22">
            <v>177948.5788428667</v>
          </cell>
          <cell r="O22">
            <v>74493.714289971394</v>
          </cell>
          <cell r="P22">
            <v>98094.335369279404</v>
          </cell>
          <cell r="Q22">
            <v>140065.12945667573</v>
          </cell>
          <cell r="R22">
            <v>98994.462703600671</v>
          </cell>
          <cell r="S22">
            <v>171030.80393052165</v>
          </cell>
          <cell r="T22">
            <v>34278.347542179828</v>
          </cell>
          <cell r="U22">
            <v>44429.972242992641</v>
          </cell>
          <cell r="V22">
            <v>74530.578764145306</v>
          </cell>
          <cell r="W22">
            <v>49716.992117814654</v>
          </cell>
          <cell r="Z22">
            <v>2089631.2006355135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2089631.2006355135</v>
          </cell>
          <cell r="AJ22">
            <v>36995.888356637552</v>
          </cell>
          <cell r="AK22">
            <v>666.50590851692118</v>
          </cell>
          <cell r="AL22">
            <v>36552.430100000005</v>
          </cell>
          <cell r="AN22">
            <v>74214.824365154476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-319512.70899999997</v>
          </cell>
          <cell r="BF22">
            <v>0</v>
          </cell>
          <cell r="BG22">
            <v>0</v>
          </cell>
          <cell r="BJ22">
            <v>-319512.70899999997</v>
          </cell>
        </row>
        <row r="23">
          <cell r="F23">
            <v>349683.10100066831</v>
          </cell>
          <cell r="G23">
            <v>34517.021517479836</v>
          </cell>
          <cell r="H23">
            <v>30666.269469940686</v>
          </cell>
          <cell r="I23">
            <v>15626.084643568118</v>
          </cell>
          <cell r="J23">
            <v>12884.692256226523</v>
          </cell>
          <cell r="K23">
            <v>21739.184632370081</v>
          </cell>
          <cell r="L23">
            <v>25923.168032008958</v>
          </cell>
          <cell r="M23">
            <v>12578.978333923536</v>
          </cell>
          <cell r="N23">
            <v>25125.797984043402</v>
          </cell>
          <cell r="O23">
            <v>10518.285835728093</v>
          </cell>
          <cell r="P23">
            <v>13850.621735191891</v>
          </cell>
          <cell r="Q23">
            <v>19776.770178338487</v>
          </cell>
          <cell r="R23">
            <v>13977.716976464051</v>
          </cell>
          <cell r="S23">
            <v>17507.813845884666</v>
          </cell>
          <cell r="T23">
            <v>3508.9522701233332</v>
          </cell>
          <cell r="U23">
            <v>4548.1379104324096</v>
          </cell>
          <cell r="V23">
            <v>7629.4297216703781</v>
          </cell>
          <cell r="W23">
            <v>5089.3512921193651</v>
          </cell>
          <cell r="Z23">
            <v>275468.27663551382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275468.27663551382</v>
          </cell>
          <cell r="AJ23">
            <v>36995.888356637552</v>
          </cell>
          <cell r="AK23">
            <v>666.50590851692118</v>
          </cell>
          <cell r="AL23">
            <v>36552.430100000005</v>
          </cell>
          <cell r="AN23">
            <v>74214.824365154476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629100.43299999984</v>
          </cell>
          <cell r="G24">
            <v>77379.745270927699</v>
          </cell>
          <cell r="H24">
            <v>68747.186624777227</v>
          </cell>
          <cell r="I24">
            <v>35030.324058781604</v>
          </cell>
          <cell r="J24">
            <v>28884.711393079004</v>
          </cell>
          <cell r="K24">
            <v>45851.672587943838</v>
          </cell>
          <cell r="L24">
            <v>54676.411886950315</v>
          </cell>
          <cell r="M24">
            <v>26531.224873957941</v>
          </cell>
          <cell r="N24">
            <v>52994.62156274882</v>
          </cell>
          <cell r="O24">
            <v>22184.870614148316</v>
          </cell>
          <cell r="P24">
            <v>29213.339123852835</v>
          </cell>
          <cell r="Q24">
            <v>41712.603595718472</v>
          </cell>
          <cell r="R24">
            <v>29481.404807494873</v>
          </cell>
          <cell r="S24">
            <v>53237.434334039906</v>
          </cell>
          <cell r="T24">
            <v>10669.956723687787</v>
          </cell>
          <cell r="U24">
            <v>13829.893068329462</v>
          </cell>
          <cell r="V24">
            <v>23199.427831994715</v>
          </cell>
          <cell r="W24">
            <v>15475.604641567123</v>
          </cell>
          <cell r="Z24">
            <v>629100.43299999984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629100.43299999984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865549.78199999989</v>
          </cell>
          <cell r="G25">
            <v>145763.42484207294</v>
          </cell>
          <cell r="H25">
            <v>129501.91727304117</v>
          </cell>
          <cell r="I25">
            <v>65988.069491023474</v>
          </cell>
          <cell r="J25">
            <v>54411.324869169635</v>
          </cell>
          <cell r="K25">
            <v>86372.691041503611</v>
          </cell>
          <cell r="L25">
            <v>102996.21725056316</v>
          </cell>
          <cell r="M25">
            <v>49977.965026156256</v>
          </cell>
          <cell r="N25">
            <v>99828.159296074489</v>
          </cell>
          <cell r="O25">
            <v>41790.557840094989</v>
          </cell>
          <cell r="P25">
            <v>55030.374510234673</v>
          </cell>
          <cell r="Q25">
            <v>78575.755682618779</v>
          </cell>
          <cell r="R25">
            <v>55535.340919641756</v>
          </cell>
          <cell r="S25">
            <v>100285.55575059708</v>
          </cell>
          <cell r="T25">
            <v>20099.438548368711</v>
          </cell>
          <cell r="U25">
            <v>26051.941264230769</v>
          </cell>
          <cell r="V25">
            <v>43701.721210480217</v>
          </cell>
          <cell r="W25">
            <v>29152.036184128166</v>
          </cell>
          <cell r="Z25">
            <v>1185062.4909999999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1185062.4909999999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-319512.70899999997</v>
          </cell>
          <cell r="BF25">
            <v>0</v>
          </cell>
          <cell r="BG25">
            <v>0</v>
          </cell>
          <cell r="BJ25">
            <v>-319512.70899999997</v>
          </cell>
        </row>
        <row r="26">
          <cell r="F26">
            <v>-1306210.3360006658</v>
          </cell>
          <cell r="G26">
            <v>-206132.04263048037</v>
          </cell>
          <cell r="H26">
            <v>-278456.59336775867</v>
          </cell>
          <cell r="I26">
            <v>-276873.90419337311</v>
          </cell>
          <cell r="J26">
            <v>-142474.27851847533</v>
          </cell>
          <cell r="K26">
            <v>-61779.739261817595</v>
          </cell>
          <cell r="L26">
            <v>-20503.483169522602</v>
          </cell>
          <cell r="M26">
            <v>-147314.11423403778</v>
          </cell>
          <cell r="N26">
            <v>-76666.761842866632</v>
          </cell>
          <cell r="O26">
            <v>-103322.08128997142</v>
          </cell>
          <cell r="P26">
            <v>-25335.97836927943</v>
          </cell>
          <cell r="Q26">
            <v>27974.851543324243</v>
          </cell>
          <cell r="R26">
            <v>-74628.23670360056</v>
          </cell>
          <cell r="S26">
            <v>-112561.56293052131</v>
          </cell>
          <cell r="T26">
            <v>4856.9294578201589</v>
          </cell>
          <cell r="U26">
            <v>35722.28175700736</v>
          </cell>
          <cell r="V26">
            <v>-63877.251764145432</v>
          </cell>
          <cell r="W26">
            <v>-35.449117814663623</v>
          </cell>
          <cell r="Z26">
            <v>-1521407.414635513</v>
          </cell>
          <cell r="AA26">
            <v>44104.117999999995</v>
          </cell>
          <cell r="AB26">
            <v>-530.01</v>
          </cell>
          <cell r="AC26">
            <v>9265.2479999999996</v>
          </cell>
          <cell r="AD26">
            <v>23229.319</v>
          </cell>
          <cell r="AH26">
            <v>76068.675000000003</v>
          </cell>
          <cell r="AI26">
            <v>-1445338.7396355113</v>
          </cell>
          <cell r="AJ26">
            <v>-21304.281356637599</v>
          </cell>
          <cell r="AK26">
            <v>-151794.14490851693</v>
          </cell>
          <cell r="AL26">
            <v>-294103.80909999995</v>
          </cell>
          <cell r="AN26">
            <v>-467202.23536515457</v>
          </cell>
          <cell r="AO26">
            <v>-101102.0730000008</v>
          </cell>
          <cell r="AP26">
            <v>-855.83299999999997</v>
          </cell>
          <cell r="AS26">
            <v>-101957.9060000008</v>
          </cell>
          <cell r="AT26">
            <v>4056.5950000000003</v>
          </cell>
          <cell r="AU26">
            <v>9167.09</v>
          </cell>
          <cell r="AV26">
            <v>61929.440000000002</v>
          </cell>
          <cell r="BA26">
            <v>75153.125000000015</v>
          </cell>
          <cell r="BB26">
            <v>0</v>
          </cell>
          <cell r="BC26">
            <v>-6072.8019999999997</v>
          </cell>
          <cell r="BD26">
            <v>300000</v>
          </cell>
          <cell r="BE26">
            <v>319512.70899999997</v>
          </cell>
          <cell r="BF26">
            <v>-3689.5869999999995</v>
          </cell>
          <cell r="BG26">
            <v>23385.1</v>
          </cell>
          <cell r="BJ26">
            <v>633135.41999999993</v>
          </cell>
        </row>
        <row r="27">
          <cell r="F27">
            <v>-1306210.3360006686</v>
          </cell>
          <cell r="G27">
            <v>-206132.0426304804</v>
          </cell>
          <cell r="H27">
            <v>-278456.59336775867</v>
          </cell>
          <cell r="I27">
            <v>-276873.90419337311</v>
          </cell>
          <cell r="J27">
            <v>-142474.27851847533</v>
          </cell>
          <cell r="K27">
            <v>-61779.739261817573</v>
          </cell>
          <cell r="L27">
            <v>-20503.483169522602</v>
          </cell>
          <cell r="M27">
            <v>-147314.11423403778</v>
          </cell>
          <cell r="N27">
            <v>-76666.761842866646</v>
          </cell>
          <cell r="O27">
            <v>-103322.08128997142</v>
          </cell>
          <cell r="P27">
            <v>-25335.978369279423</v>
          </cell>
          <cell r="Q27">
            <v>27974.851543324203</v>
          </cell>
          <cell r="R27">
            <v>-74628.23670360056</v>
          </cell>
          <cell r="S27">
            <v>-112561.56293052131</v>
          </cell>
          <cell r="T27">
            <v>4856.9294578201543</v>
          </cell>
          <cell r="U27">
            <v>35722.281757007346</v>
          </cell>
          <cell r="V27">
            <v>-63877.251764145432</v>
          </cell>
          <cell r="W27">
            <v>-35.449117814658621</v>
          </cell>
          <cell r="Z27">
            <v>-1521407.4146355132</v>
          </cell>
          <cell r="AA27">
            <v>44104.117999999995</v>
          </cell>
          <cell r="AB27">
            <v>-530.01</v>
          </cell>
          <cell r="AC27">
            <v>9265.2479999999996</v>
          </cell>
          <cell r="AD27">
            <v>23229.319</v>
          </cell>
          <cell r="AH27">
            <v>76068.674999999988</v>
          </cell>
          <cell r="AI27">
            <v>-1445338.7396355132</v>
          </cell>
          <cell r="AJ27">
            <v>-21304.281356637599</v>
          </cell>
          <cell r="AK27">
            <v>-151794.14490851693</v>
          </cell>
          <cell r="AL27">
            <v>-294103.80909999995</v>
          </cell>
          <cell r="AN27">
            <v>-467202.23536515445</v>
          </cell>
          <cell r="AO27">
            <v>-101102.07300000082</v>
          </cell>
          <cell r="AP27">
            <v>-855.83299999999997</v>
          </cell>
          <cell r="AS27">
            <v>-101957.90600000082</v>
          </cell>
          <cell r="AT27">
            <v>4056.5950000000003</v>
          </cell>
          <cell r="AU27">
            <v>9167.09</v>
          </cell>
          <cell r="AV27">
            <v>61929.440000000002</v>
          </cell>
          <cell r="BA27">
            <v>75153.125</v>
          </cell>
          <cell r="BB27">
            <v>0</v>
          </cell>
          <cell r="BC27">
            <v>-6072.8019999999997</v>
          </cell>
          <cell r="BD27">
            <v>300000</v>
          </cell>
          <cell r="BE27">
            <v>319512.70899999997</v>
          </cell>
          <cell r="BF27">
            <v>-3689.5869999999995</v>
          </cell>
          <cell r="BG27">
            <v>23385.1</v>
          </cell>
          <cell r="BJ27">
            <v>633135.41999999981</v>
          </cell>
        </row>
        <row r="28">
          <cell r="F28">
            <v>2.7939677238464355E-9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4.0017766878008842E-11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-5.0022208597511053E-12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1.862645149230957E-9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34670</v>
          </cell>
          <cell r="H31">
            <v>30362</v>
          </cell>
          <cell r="I31">
            <v>16303</v>
          </cell>
          <cell r="J31">
            <v>13418.5</v>
          </cell>
          <cell r="K31">
            <v>17339</v>
          </cell>
          <cell r="L31">
            <v>24067</v>
          </cell>
          <cell r="M31">
            <v>12184</v>
          </cell>
          <cell r="N31">
            <v>22034</v>
          </cell>
          <cell r="O31">
            <v>10174</v>
          </cell>
          <cell r="P31">
            <v>12315</v>
          </cell>
          <cell r="Q31">
            <v>18708</v>
          </cell>
          <cell r="R31">
            <v>12451</v>
          </cell>
          <cell r="S31">
            <v>22732</v>
          </cell>
          <cell r="T31">
            <v>4010</v>
          </cell>
          <cell r="U31">
            <v>5608</v>
          </cell>
          <cell r="V31">
            <v>10326</v>
          </cell>
          <cell r="W31">
            <v>5587.5</v>
          </cell>
          <cell r="X31">
            <v>0</v>
          </cell>
          <cell r="Y31">
            <v>0</v>
          </cell>
          <cell r="Z31">
            <v>272289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272289</v>
          </cell>
          <cell r="AJ31">
            <v>23035</v>
          </cell>
          <cell r="AK31">
            <v>1000</v>
          </cell>
          <cell r="AL31">
            <v>35645</v>
          </cell>
          <cell r="AN31">
            <v>59680</v>
          </cell>
          <cell r="AO31">
            <v>8003.0569999999998</v>
          </cell>
          <cell r="AP31">
            <v>0</v>
          </cell>
          <cell r="AS31">
            <v>8003.0569999999998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36064336.910999998</v>
          </cell>
          <cell r="G32">
            <v>3342260.1409999998</v>
          </cell>
          <cell r="H32">
            <v>2969394.392</v>
          </cell>
          <cell r="I32">
            <v>1513063.34</v>
          </cell>
          <cell r="J32">
            <v>1247616.1459999999</v>
          </cell>
          <cell r="K32">
            <v>1980469.4</v>
          </cell>
          <cell r="L32">
            <v>2361636</v>
          </cell>
          <cell r="M32">
            <v>1145962.0999999999</v>
          </cell>
          <cell r="N32">
            <v>2288994.5</v>
          </cell>
          <cell r="O32">
            <v>958230.2</v>
          </cell>
          <cell r="P32">
            <v>1261810.55</v>
          </cell>
          <cell r="Q32">
            <v>1801690.764</v>
          </cell>
          <cell r="R32">
            <v>1273389.1000000001</v>
          </cell>
          <cell r="S32">
            <v>2299482.3020000001</v>
          </cell>
          <cell r="T32">
            <v>460867</v>
          </cell>
          <cell r="U32">
            <v>597354</v>
          </cell>
          <cell r="V32">
            <v>1002051.928</v>
          </cell>
          <cell r="W32">
            <v>668437.152</v>
          </cell>
          <cell r="X32">
            <v>0</v>
          </cell>
          <cell r="Y32">
            <v>0</v>
          </cell>
          <cell r="Z32">
            <v>27172709.015000001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27263549.015000001</v>
          </cell>
          <cell r="AJ32">
            <v>638333</v>
          </cell>
          <cell r="AK32">
            <v>11500</v>
          </cell>
          <cell r="AL32">
            <v>630681.5</v>
          </cell>
          <cell r="AN32">
            <v>1280514.5</v>
          </cell>
          <cell r="AO32">
            <v>7445901.6059999997</v>
          </cell>
          <cell r="AP32">
            <v>0</v>
          </cell>
          <cell r="AS32">
            <v>7445901.6059999997</v>
          </cell>
          <cell r="AT32">
            <v>5512.5</v>
          </cell>
          <cell r="AU32">
            <v>5250</v>
          </cell>
          <cell r="AV32">
            <v>61929.440000000002</v>
          </cell>
          <cell r="BA32">
            <v>72691.94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1679.85</v>
          </cell>
        </row>
        <row r="33">
          <cell r="F33">
            <v>34251093.666999988</v>
          </cell>
          <cell r="G33">
            <v>3181369.8099999996</v>
          </cell>
          <cell r="H33">
            <v>2925831.3559999997</v>
          </cell>
          <cell r="I33">
            <v>1600569.6410000001</v>
          </cell>
          <cell r="J33">
            <v>1237772.8540000001</v>
          </cell>
          <cell r="K33">
            <v>1816025.6779999998</v>
          </cell>
          <cell r="L33">
            <v>2119501.0090000001</v>
          </cell>
          <cell r="M33">
            <v>1144285.8149999999</v>
          </cell>
          <cell r="N33">
            <v>2115947.594</v>
          </cell>
          <cell r="O33">
            <v>945719.33900000004</v>
          </cell>
          <cell r="P33">
            <v>1132381.648</v>
          </cell>
          <cell r="Q33">
            <v>1574669.675</v>
          </cell>
          <cell r="R33">
            <v>1194837.7849999999</v>
          </cell>
          <cell r="S33">
            <v>2166521.9989999998</v>
          </cell>
          <cell r="T33">
            <v>403961.462</v>
          </cell>
          <cell r="U33">
            <v>500801.86</v>
          </cell>
          <cell r="V33">
            <v>941465.75100000005</v>
          </cell>
          <cell r="W33">
            <v>596778.20799999998</v>
          </cell>
          <cell r="X33">
            <v>0</v>
          </cell>
          <cell r="Y33">
            <v>0</v>
          </cell>
          <cell r="Z33">
            <v>25598441.483999994</v>
          </cell>
          <cell r="AA33">
            <v>5895.8819999999996</v>
          </cell>
          <cell r="AB33">
            <v>0</v>
          </cell>
          <cell r="AC33">
            <v>3234.752</v>
          </cell>
          <cell r="AD33">
            <v>5110.6809999999996</v>
          </cell>
          <cell r="AH33">
            <v>14241.314999999999</v>
          </cell>
          <cell r="AI33">
            <v>25612682.798999995</v>
          </cell>
          <cell r="AJ33">
            <v>622601.39300000004</v>
          </cell>
          <cell r="AK33">
            <v>143365.82699999999</v>
          </cell>
          <cell r="AL33">
            <v>888232.87899999996</v>
          </cell>
          <cell r="AN33">
            <v>1654200.0989999999</v>
          </cell>
          <cell r="AO33">
            <v>7310057.0540000005</v>
          </cell>
          <cell r="AP33">
            <v>0</v>
          </cell>
          <cell r="AS33">
            <v>7310057.0540000005</v>
          </cell>
          <cell r="AT33">
            <v>1455.905</v>
          </cell>
          <cell r="AU33">
            <v>-3917.0899999999997</v>
          </cell>
          <cell r="AV33">
            <v>0</v>
          </cell>
          <cell r="BA33">
            <v>-2461.1849999999995</v>
          </cell>
          <cell r="BB33">
            <v>0</v>
          </cell>
          <cell r="BC33">
            <v>0</v>
          </cell>
          <cell r="BD33">
            <v>-300000</v>
          </cell>
          <cell r="BE33">
            <v>0</v>
          </cell>
          <cell r="BF33">
            <v>0</v>
          </cell>
          <cell r="BG33">
            <v>-23385.1</v>
          </cell>
          <cell r="BJ33">
            <v>-323385.09999999998</v>
          </cell>
        </row>
        <row r="34">
          <cell r="F34">
            <v>1813243.2440000102</v>
          </cell>
          <cell r="G34">
            <v>160890.33100000024</v>
          </cell>
          <cell r="H34">
            <v>43563.036000000313</v>
          </cell>
          <cell r="I34">
            <v>-87506.300999999978</v>
          </cell>
          <cell r="J34">
            <v>9843.2919999998994</v>
          </cell>
          <cell r="K34">
            <v>164443.72200000007</v>
          </cell>
          <cell r="L34">
            <v>242134.99099999992</v>
          </cell>
          <cell r="M34">
            <v>1676.2849999999162</v>
          </cell>
          <cell r="N34">
            <v>173046.90599999996</v>
          </cell>
          <cell r="O34">
            <v>12510.860999999917</v>
          </cell>
          <cell r="P34">
            <v>129428.902</v>
          </cell>
          <cell r="Q34">
            <v>227021.08899999992</v>
          </cell>
          <cell r="R34">
            <v>78551.315000000177</v>
          </cell>
          <cell r="S34">
            <v>132960.30300000031</v>
          </cell>
          <cell r="T34">
            <v>56905.538</v>
          </cell>
          <cell r="U34">
            <v>96552.140000000014</v>
          </cell>
          <cell r="V34">
            <v>60586.176999999909</v>
          </cell>
          <cell r="W34">
            <v>71658.944000000018</v>
          </cell>
          <cell r="X34">
            <v>0</v>
          </cell>
          <cell r="Y34">
            <v>0</v>
          </cell>
          <cell r="Z34">
            <v>1574267.5310000069</v>
          </cell>
          <cell r="AA34">
            <v>44104.118000000002</v>
          </cell>
          <cell r="AB34">
            <v>0</v>
          </cell>
          <cell r="AC34">
            <v>9265.2479999999996</v>
          </cell>
          <cell r="AD34">
            <v>23229.319</v>
          </cell>
          <cell r="AH34">
            <v>76598.684999999998</v>
          </cell>
          <cell r="AI34">
            <v>1650866.2160000056</v>
          </cell>
          <cell r="AJ34">
            <v>15731.60699999996</v>
          </cell>
          <cell r="AK34">
            <v>-131865.82699999999</v>
          </cell>
          <cell r="AL34">
            <v>-257551.37899999996</v>
          </cell>
          <cell r="AN34">
            <v>-373685.59899999993</v>
          </cell>
          <cell r="AO34">
            <v>135844.55199999921</v>
          </cell>
          <cell r="AP34">
            <v>0</v>
          </cell>
          <cell r="AS34">
            <v>135844.55199999921</v>
          </cell>
          <cell r="AT34">
            <v>4056.5950000000003</v>
          </cell>
          <cell r="AU34">
            <v>9167.09</v>
          </cell>
          <cell r="AV34">
            <v>61929.440000000002</v>
          </cell>
          <cell r="BA34">
            <v>75153.125</v>
          </cell>
          <cell r="BB34">
            <v>0</v>
          </cell>
          <cell r="BC34">
            <v>1679.85</v>
          </cell>
          <cell r="BD34">
            <v>300000</v>
          </cell>
          <cell r="BE34">
            <v>0</v>
          </cell>
          <cell r="BF34">
            <v>0</v>
          </cell>
          <cell r="BG34">
            <v>23385.1</v>
          </cell>
          <cell r="BJ34">
            <v>325064.94999999995</v>
          </cell>
        </row>
        <row r="35">
          <cell r="F35">
            <v>3119453.5800006688</v>
          </cell>
          <cell r="G35">
            <v>367022.37363048043</v>
          </cell>
          <cell r="H35">
            <v>322019.6293677591</v>
          </cell>
          <cell r="I35">
            <v>189367.60319337319</v>
          </cell>
          <cell r="J35">
            <v>152317.57051847517</v>
          </cell>
          <cell r="K35">
            <v>226223.46126181755</v>
          </cell>
          <cell r="L35">
            <v>262638.47416952247</v>
          </cell>
          <cell r="M35">
            <v>148990.39923403773</v>
          </cell>
          <cell r="N35">
            <v>249713.66784286671</v>
          </cell>
          <cell r="O35">
            <v>115832.9422899714</v>
          </cell>
          <cell r="P35">
            <v>154764.88036927942</v>
          </cell>
          <cell r="Q35">
            <v>199046.23745667574</v>
          </cell>
          <cell r="R35">
            <v>153179.55170360068</v>
          </cell>
          <cell r="S35">
            <v>245521.86593052166</v>
          </cell>
          <cell r="T35">
            <v>52048.608542179827</v>
          </cell>
          <cell r="U35">
            <v>60829.858242992639</v>
          </cell>
          <cell r="V35">
            <v>124463.42876414531</v>
          </cell>
          <cell r="W35">
            <v>71694.393117814659</v>
          </cell>
          <cell r="X35">
            <v>0</v>
          </cell>
          <cell r="Y35">
            <v>0</v>
          </cell>
          <cell r="Z35">
            <v>3095674.9456355143</v>
          </cell>
          <cell r="AA35">
            <v>0</v>
          </cell>
          <cell r="AB35">
            <v>530.01</v>
          </cell>
          <cell r="AC35">
            <v>0</v>
          </cell>
          <cell r="AD35">
            <v>0</v>
          </cell>
          <cell r="AH35">
            <v>530.01</v>
          </cell>
          <cell r="AI35">
            <v>3096204.9556355141</v>
          </cell>
          <cell r="AJ35">
            <v>37035.888356637552</v>
          </cell>
          <cell r="AK35">
            <v>19928.317908516921</v>
          </cell>
          <cell r="AL35">
            <v>36552.430100000005</v>
          </cell>
          <cell r="AN35">
            <v>93516.636365154467</v>
          </cell>
          <cell r="AO35">
            <v>236946.625</v>
          </cell>
          <cell r="AP35">
            <v>855.83299999999997</v>
          </cell>
          <cell r="AS35">
            <v>237802.45800000001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7752.652</v>
          </cell>
          <cell r="BD35">
            <v>0</v>
          </cell>
          <cell r="BE35">
            <v>-319512.70899999997</v>
          </cell>
          <cell r="BF35">
            <v>3689.5869999999995</v>
          </cell>
          <cell r="BG35">
            <v>0</v>
          </cell>
          <cell r="BJ35">
            <v>-308070.46999999997</v>
          </cell>
        </row>
        <row r="36">
          <cell r="F36">
            <v>-1306210.3360006586</v>
          </cell>
          <cell r="G36">
            <v>-206132.04263048019</v>
          </cell>
          <cell r="H36">
            <v>-278456.59336775879</v>
          </cell>
          <cell r="I36">
            <v>-276873.90419337316</v>
          </cell>
          <cell r="J36">
            <v>-142474.27851847527</v>
          </cell>
          <cell r="K36">
            <v>-61779.739261817478</v>
          </cell>
          <cell r="L36">
            <v>-20503.483169522544</v>
          </cell>
          <cell r="M36">
            <v>-147314.11423403781</v>
          </cell>
          <cell r="N36">
            <v>-76666.761842866748</v>
          </cell>
          <cell r="O36">
            <v>-103322.08128997148</v>
          </cell>
          <cell r="P36">
            <v>-25335.978369279415</v>
          </cell>
          <cell r="Q36">
            <v>27974.851543324185</v>
          </cell>
          <cell r="R36">
            <v>-74628.236703600502</v>
          </cell>
          <cell r="S36">
            <v>-112561.56293052135</v>
          </cell>
          <cell r="T36">
            <v>4856.9294578201734</v>
          </cell>
          <cell r="U36">
            <v>35722.281757007375</v>
          </cell>
          <cell r="V36">
            <v>-63877.251764145403</v>
          </cell>
          <cell r="W36">
            <v>-35.449117814641795</v>
          </cell>
          <cell r="X36">
            <v>0</v>
          </cell>
          <cell r="Y36">
            <v>0</v>
          </cell>
          <cell r="Z36">
            <v>-1521407.4146355074</v>
          </cell>
          <cell r="AA36">
            <v>44104.118000000002</v>
          </cell>
          <cell r="AB36">
            <v>-530.01</v>
          </cell>
          <cell r="AC36">
            <v>9265.2479999999996</v>
          </cell>
          <cell r="AD36">
            <v>23229.319</v>
          </cell>
          <cell r="AH36">
            <v>76068.675000000003</v>
          </cell>
          <cell r="AI36">
            <v>-1445338.7396355085</v>
          </cell>
          <cell r="AJ36">
            <v>-21304.281356637592</v>
          </cell>
          <cell r="AK36">
            <v>-151794.1449085169</v>
          </cell>
          <cell r="AL36">
            <v>-294103.80909999995</v>
          </cell>
          <cell r="AN36">
            <v>-467202.2353651544</v>
          </cell>
          <cell r="AO36">
            <v>-101102.07300000079</v>
          </cell>
          <cell r="AP36">
            <v>-855.83299999999997</v>
          </cell>
          <cell r="AS36">
            <v>-101957.9060000008</v>
          </cell>
          <cell r="AT36">
            <v>4056.5950000000003</v>
          </cell>
          <cell r="AU36">
            <v>9167.09</v>
          </cell>
          <cell r="AV36">
            <v>61929.440000000002</v>
          </cell>
          <cell r="BA36">
            <v>75153.125</v>
          </cell>
          <cell r="BB36">
            <v>0</v>
          </cell>
          <cell r="BC36">
            <v>-6072.8019999999997</v>
          </cell>
          <cell r="BD36">
            <v>300000</v>
          </cell>
          <cell r="BE36">
            <v>319512.70899999997</v>
          </cell>
          <cell r="BF36">
            <v>-3689.5869999999995</v>
          </cell>
          <cell r="BG36">
            <v>23385.1</v>
          </cell>
          <cell r="BJ36">
            <v>633135.41999999993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-12291</v>
          </cell>
          <cell r="AK38">
            <v>0</v>
          </cell>
          <cell r="AL38">
            <v>-25869</v>
          </cell>
          <cell r="AN38">
            <v>-38160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-819049.5</v>
          </cell>
          <cell r="Z39">
            <v>0</v>
          </cell>
          <cell r="AH39">
            <v>0</v>
          </cell>
          <cell r="AI39">
            <v>0</v>
          </cell>
          <cell r="AJ39">
            <v>-359040</v>
          </cell>
          <cell r="AK39">
            <v>0</v>
          </cell>
          <cell r="AL39">
            <v>-460009.5</v>
          </cell>
          <cell r="AN39">
            <v>-819049.5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-819049.5</v>
          </cell>
          <cell r="K40">
            <v>48706.406999999999</v>
          </cell>
          <cell r="L40">
            <v>107939.49099999999</v>
          </cell>
          <cell r="M40">
            <v>-1261.32</v>
          </cell>
          <cell r="N40">
            <v>2469.7089999999998</v>
          </cell>
          <cell r="O40">
            <v>0</v>
          </cell>
          <cell r="P40">
            <v>0</v>
          </cell>
          <cell r="Z40">
            <v>157854.28699999998</v>
          </cell>
          <cell r="AH40">
            <v>0</v>
          </cell>
          <cell r="AI40">
            <v>157854.28699999998</v>
          </cell>
          <cell r="AJ40">
            <v>-330571.61800000002</v>
          </cell>
          <cell r="AK40">
            <v>0</v>
          </cell>
          <cell r="AL40">
            <v>-646332.16899999999</v>
          </cell>
          <cell r="AN40">
            <v>-976903.78700000001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-48706.406999999999</v>
          </cell>
          <cell r="L41">
            <v>-107939.49099999999</v>
          </cell>
          <cell r="M41">
            <v>1261.32</v>
          </cell>
          <cell r="N41">
            <v>-2469.7089999999998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-157854.28699999998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-157854.28699999998</v>
          </cell>
          <cell r="AJ41">
            <v>-28468.381999999983</v>
          </cell>
          <cell r="AK41">
            <v>0</v>
          </cell>
          <cell r="AL41">
            <v>186322.66899999999</v>
          </cell>
          <cell r="AN41">
            <v>157854.28700000001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-48706.406999999999</v>
          </cell>
          <cell r="L43">
            <v>-107939.49099999999</v>
          </cell>
          <cell r="M43">
            <v>1261.32</v>
          </cell>
          <cell r="N43">
            <v>-2469.7089999999998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-157854.28699999998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-157854.28699999998</v>
          </cell>
          <cell r="AJ43">
            <v>-28468.381999999983</v>
          </cell>
          <cell r="AK43">
            <v>0</v>
          </cell>
          <cell r="AL43">
            <v>186322.66899999999</v>
          </cell>
          <cell r="AN43">
            <v>157854.28700000001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34670</v>
          </cell>
          <cell r="H45">
            <v>30362</v>
          </cell>
          <cell r="I45">
            <v>16303</v>
          </cell>
          <cell r="J45">
            <v>13418.5</v>
          </cell>
          <cell r="K45">
            <v>17339</v>
          </cell>
          <cell r="L45">
            <v>24067</v>
          </cell>
          <cell r="M45">
            <v>12184</v>
          </cell>
          <cell r="N45">
            <v>22034</v>
          </cell>
          <cell r="O45">
            <v>10174</v>
          </cell>
          <cell r="P45">
            <v>12315</v>
          </cell>
          <cell r="Q45">
            <v>18708</v>
          </cell>
          <cell r="R45">
            <v>12451</v>
          </cell>
          <cell r="S45">
            <v>22732</v>
          </cell>
          <cell r="T45">
            <v>4010</v>
          </cell>
          <cell r="U45">
            <v>5608</v>
          </cell>
          <cell r="V45">
            <v>10326</v>
          </cell>
          <cell r="W45">
            <v>5587.5</v>
          </cell>
          <cell r="X45">
            <v>0</v>
          </cell>
          <cell r="Y45">
            <v>0</v>
          </cell>
          <cell r="Z45">
            <v>272289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272289</v>
          </cell>
          <cell r="AJ45">
            <v>10744</v>
          </cell>
          <cell r="AK45">
            <v>1000</v>
          </cell>
          <cell r="AL45">
            <v>9776</v>
          </cell>
          <cell r="AN45">
            <v>21520</v>
          </cell>
          <cell r="AO45">
            <v>8003.0569999999998</v>
          </cell>
          <cell r="AP45">
            <v>0</v>
          </cell>
          <cell r="AS45">
            <v>8003.0569999999998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35245287.410999998</v>
          </cell>
          <cell r="G46">
            <v>3342260.1409999998</v>
          </cell>
          <cell r="H46">
            <v>2969394.392</v>
          </cell>
          <cell r="I46">
            <v>1513063.34</v>
          </cell>
          <cell r="J46">
            <v>1247616.1459999999</v>
          </cell>
          <cell r="K46">
            <v>1980469.4</v>
          </cell>
          <cell r="L46">
            <v>2361636</v>
          </cell>
          <cell r="M46">
            <v>1145962.0999999999</v>
          </cell>
          <cell r="N46">
            <v>2288994.5</v>
          </cell>
          <cell r="O46">
            <v>958230.2</v>
          </cell>
          <cell r="P46">
            <v>1261810.55</v>
          </cell>
          <cell r="Q46">
            <v>1801690.764</v>
          </cell>
          <cell r="R46">
            <v>1273389.1000000001</v>
          </cell>
          <cell r="S46">
            <v>2299482.3020000001</v>
          </cell>
          <cell r="T46">
            <v>460867</v>
          </cell>
          <cell r="U46">
            <v>597354</v>
          </cell>
          <cell r="V46">
            <v>1002051.928</v>
          </cell>
          <cell r="W46">
            <v>668437.152</v>
          </cell>
          <cell r="X46">
            <v>0</v>
          </cell>
          <cell r="Y46">
            <v>0</v>
          </cell>
          <cell r="Z46">
            <v>27172709.015000001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27263549.015000001</v>
          </cell>
          <cell r="AJ46">
            <v>279293</v>
          </cell>
          <cell r="AK46">
            <v>11500</v>
          </cell>
          <cell r="AL46">
            <v>170672</v>
          </cell>
          <cell r="AN46">
            <v>461465</v>
          </cell>
          <cell r="AO46">
            <v>7445901.6059999997</v>
          </cell>
          <cell r="AP46">
            <v>0</v>
          </cell>
          <cell r="AS46">
            <v>7445901.6059999997</v>
          </cell>
          <cell r="AT46">
            <v>5512.5</v>
          </cell>
          <cell r="AU46">
            <v>5250</v>
          </cell>
          <cell r="AV46">
            <v>61929.440000000002</v>
          </cell>
          <cell r="BA46">
            <v>72691.94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1679.85</v>
          </cell>
        </row>
        <row r="47">
          <cell r="F47">
            <v>33432044.166999988</v>
          </cell>
          <cell r="G47">
            <v>3181369.8099999996</v>
          </cell>
          <cell r="H47">
            <v>2925831.3559999997</v>
          </cell>
          <cell r="I47">
            <v>1600569.6410000001</v>
          </cell>
          <cell r="J47">
            <v>1237772.8540000001</v>
          </cell>
          <cell r="K47">
            <v>1864732.0849999997</v>
          </cell>
          <cell r="L47">
            <v>2227440.5</v>
          </cell>
          <cell r="M47">
            <v>1143024.4949999999</v>
          </cell>
          <cell r="N47">
            <v>2118417.3029999998</v>
          </cell>
          <cell r="O47">
            <v>945719.33900000004</v>
          </cell>
          <cell r="P47">
            <v>1132381.648</v>
          </cell>
          <cell r="Q47">
            <v>1574669.675</v>
          </cell>
          <cell r="R47">
            <v>1194837.7849999999</v>
          </cell>
          <cell r="S47">
            <v>2166521.9989999998</v>
          </cell>
          <cell r="T47">
            <v>403961.462</v>
          </cell>
          <cell r="U47">
            <v>500801.86</v>
          </cell>
          <cell r="V47">
            <v>941465.75100000005</v>
          </cell>
          <cell r="W47">
            <v>596778.20799999998</v>
          </cell>
          <cell r="X47">
            <v>0</v>
          </cell>
          <cell r="Y47">
            <v>0</v>
          </cell>
          <cell r="Z47">
            <v>25756295.770999994</v>
          </cell>
          <cell r="AA47">
            <v>5895.8819999999996</v>
          </cell>
          <cell r="AB47">
            <v>0</v>
          </cell>
          <cell r="AC47">
            <v>3234.752</v>
          </cell>
          <cell r="AD47">
            <v>5110.6809999999996</v>
          </cell>
          <cell r="AH47">
            <v>14241.314999999999</v>
          </cell>
          <cell r="AI47">
            <v>25770537.085999995</v>
          </cell>
          <cell r="AJ47">
            <v>292029.77500000002</v>
          </cell>
          <cell r="AK47">
            <v>143365.82699999999</v>
          </cell>
          <cell r="AL47">
            <v>241900.70999999996</v>
          </cell>
          <cell r="AN47">
            <v>677296.31199999992</v>
          </cell>
          <cell r="AO47">
            <v>7310057.0540000005</v>
          </cell>
          <cell r="AP47">
            <v>0</v>
          </cell>
          <cell r="AS47">
            <v>7310057.0540000005</v>
          </cell>
          <cell r="AT47">
            <v>1455.905</v>
          </cell>
          <cell r="AU47">
            <v>-3917.0899999999997</v>
          </cell>
          <cell r="AV47">
            <v>0</v>
          </cell>
          <cell r="BA47">
            <v>-2461.1849999999995</v>
          </cell>
          <cell r="BB47">
            <v>0</v>
          </cell>
          <cell r="BC47">
            <v>0</v>
          </cell>
          <cell r="BD47">
            <v>-300000</v>
          </cell>
          <cell r="BE47">
            <v>0</v>
          </cell>
          <cell r="BF47">
            <v>0</v>
          </cell>
          <cell r="BG47">
            <v>-23385.1</v>
          </cell>
          <cell r="BJ47">
            <v>-323385.09999999998</v>
          </cell>
        </row>
        <row r="48">
          <cell r="F48">
            <v>1813243.2440000102</v>
          </cell>
          <cell r="G48">
            <v>160890.33100000024</v>
          </cell>
          <cell r="H48">
            <v>43563.036000000313</v>
          </cell>
          <cell r="I48">
            <v>-87506.300999999978</v>
          </cell>
          <cell r="J48">
            <v>9843.2919999998994</v>
          </cell>
          <cell r="K48">
            <v>115737.31500000018</v>
          </cell>
          <cell r="L48">
            <v>134195.5</v>
          </cell>
          <cell r="M48">
            <v>2937.6049999999814</v>
          </cell>
          <cell r="N48">
            <v>170577.19700000016</v>
          </cell>
          <cell r="O48">
            <v>12510.860999999917</v>
          </cell>
          <cell r="P48">
            <v>129428.902</v>
          </cell>
          <cell r="Q48">
            <v>227021.08899999992</v>
          </cell>
          <cell r="R48">
            <v>78551.315000000177</v>
          </cell>
          <cell r="S48">
            <v>132960.30300000031</v>
          </cell>
          <cell r="T48">
            <v>56905.538</v>
          </cell>
          <cell r="U48">
            <v>96552.140000000014</v>
          </cell>
          <cell r="V48">
            <v>60586.176999999909</v>
          </cell>
          <cell r="W48">
            <v>71658.944000000018</v>
          </cell>
          <cell r="X48">
            <v>0</v>
          </cell>
          <cell r="Y48">
            <v>0</v>
          </cell>
          <cell r="Z48">
            <v>1416413.2440000065</v>
          </cell>
          <cell r="AA48">
            <v>44104.118000000002</v>
          </cell>
          <cell r="AB48">
            <v>0</v>
          </cell>
          <cell r="AC48">
            <v>9265.2479999999996</v>
          </cell>
          <cell r="AD48">
            <v>23229.319</v>
          </cell>
          <cell r="AH48">
            <v>76598.684999999998</v>
          </cell>
          <cell r="AI48">
            <v>1493011.9290000051</v>
          </cell>
          <cell r="AJ48">
            <v>-12736.775000000023</v>
          </cell>
          <cell r="AK48">
            <v>-131865.82699999999</v>
          </cell>
          <cell r="AL48">
            <v>-71228.709999999963</v>
          </cell>
          <cell r="AN48">
            <v>-215831.31199999992</v>
          </cell>
          <cell r="AO48">
            <v>135844.55199999921</v>
          </cell>
          <cell r="AP48">
            <v>0</v>
          </cell>
          <cell r="AS48">
            <v>135844.55199999921</v>
          </cell>
          <cell r="AT48">
            <v>4056.5950000000003</v>
          </cell>
          <cell r="AU48">
            <v>9167.09</v>
          </cell>
          <cell r="AV48">
            <v>61929.440000000002</v>
          </cell>
          <cell r="BA48">
            <v>75153.125</v>
          </cell>
          <cell r="BB48">
            <v>0</v>
          </cell>
          <cell r="BC48">
            <v>1679.85</v>
          </cell>
          <cell r="BD48">
            <v>300000</v>
          </cell>
          <cell r="BE48">
            <v>0</v>
          </cell>
          <cell r="BF48">
            <v>0</v>
          </cell>
          <cell r="BG48">
            <v>23385.1</v>
          </cell>
          <cell r="BJ48">
            <v>325064.94999999995</v>
          </cell>
        </row>
        <row r="49">
          <cell r="F49">
            <v>3119453.5800006688</v>
          </cell>
          <cell r="G49">
            <v>367022.37363048043</v>
          </cell>
          <cell r="H49">
            <v>322019.6293677591</v>
          </cell>
          <cell r="I49">
            <v>189367.60319337319</v>
          </cell>
          <cell r="J49">
            <v>152317.57051847517</v>
          </cell>
          <cell r="K49">
            <v>226223.46126181755</v>
          </cell>
          <cell r="L49">
            <v>262638.47416952247</v>
          </cell>
          <cell r="M49">
            <v>148990.39923403773</v>
          </cell>
          <cell r="N49">
            <v>249713.66784286671</v>
          </cell>
          <cell r="O49">
            <v>115832.9422899714</v>
          </cell>
          <cell r="P49">
            <v>154764.88036927942</v>
          </cell>
          <cell r="Q49">
            <v>199046.23745667574</v>
          </cell>
          <cell r="R49">
            <v>153179.55170360068</v>
          </cell>
          <cell r="S49">
            <v>245521.86593052166</v>
          </cell>
          <cell r="T49">
            <v>52048.608542179827</v>
          </cell>
          <cell r="U49">
            <v>60829.858242992639</v>
          </cell>
          <cell r="V49">
            <v>124463.42876414531</v>
          </cell>
          <cell r="W49">
            <v>71694.393117814659</v>
          </cell>
          <cell r="X49">
            <v>0</v>
          </cell>
          <cell r="Y49">
            <v>0</v>
          </cell>
          <cell r="Z49">
            <v>3095674.9456355143</v>
          </cell>
          <cell r="AA49">
            <v>0</v>
          </cell>
          <cell r="AB49">
            <v>530.01</v>
          </cell>
          <cell r="AC49">
            <v>0</v>
          </cell>
          <cell r="AD49">
            <v>0</v>
          </cell>
          <cell r="AH49">
            <v>530.01</v>
          </cell>
          <cell r="AI49">
            <v>3096204.9556355141</v>
          </cell>
          <cell r="AJ49">
            <v>37035.888356637552</v>
          </cell>
          <cell r="AK49">
            <v>19928.317908516921</v>
          </cell>
          <cell r="AL49">
            <v>36552.430100000005</v>
          </cell>
          <cell r="AN49">
            <v>93516.636365154467</v>
          </cell>
          <cell r="AO49">
            <v>236946.625</v>
          </cell>
          <cell r="AP49">
            <v>855.83299999999997</v>
          </cell>
          <cell r="AS49">
            <v>237802.45800000001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7752.652</v>
          </cell>
          <cell r="BD49">
            <v>0</v>
          </cell>
          <cell r="BE49">
            <v>-319512.70899999997</v>
          </cell>
          <cell r="BF49">
            <v>3689.5869999999995</v>
          </cell>
          <cell r="BG49">
            <v>0</v>
          </cell>
          <cell r="BJ49">
            <v>-308070.46999999997</v>
          </cell>
        </row>
        <row r="50">
          <cell r="F50">
            <v>-1306210.3360006586</v>
          </cell>
          <cell r="G50">
            <v>-206132.04263048019</v>
          </cell>
          <cell r="H50">
            <v>-278456.59336775879</v>
          </cell>
          <cell r="I50">
            <v>-276873.90419337316</v>
          </cell>
          <cell r="J50">
            <v>-142474.27851847527</v>
          </cell>
          <cell r="K50">
            <v>-110486.14626181737</v>
          </cell>
          <cell r="L50">
            <v>-128442.97416952247</v>
          </cell>
          <cell r="M50">
            <v>-146052.79423403775</v>
          </cell>
          <cell r="N50">
            <v>-79136.470842866547</v>
          </cell>
          <cell r="O50">
            <v>-103322.08128997148</v>
          </cell>
          <cell r="P50">
            <v>-25335.978369279415</v>
          </cell>
          <cell r="Q50">
            <v>27974.851543324185</v>
          </cell>
          <cell r="R50">
            <v>-74628.236703600502</v>
          </cell>
          <cell r="S50">
            <v>-112561.56293052135</v>
          </cell>
          <cell r="T50">
            <v>4856.9294578201734</v>
          </cell>
          <cell r="U50">
            <v>35722.281757007375</v>
          </cell>
          <cell r="V50">
            <v>-63877.251764145403</v>
          </cell>
          <cell r="W50">
            <v>-35.449117814641795</v>
          </cell>
          <cell r="X50">
            <v>0</v>
          </cell>
          <cell r="Y50">
            <v>0</v>
          </cell>
          <cell r="Z50">
            <v>-1679261.7016355079</v>
          </cell>
          <cell r="AA50">
            <v>44104.118000000002</v>
          </cell>
          <cell r="AB50">
            <v>-530.01</v>
          </cell>
          <cell r="AC50">
            <v>9265.2479999999996</v>
          </cell>
          <cell r="AD50">
            <v>23229.319</v>
          </cell>
          <cell r="AH50">
            <v>76068.675000000003</v>
          </cell>
          <cell r="AI50">
            <v>-1603193.026635509</v>
          </cell>
          <cell r="AJ50">
            <v>-49772.663356637575</v>
          </cell>
          <cell r="AK50">
            <v>-151794.1449085169</v>
          </cell>
          <cell r="AL50">
            <v>-107781.14009999996</v>
          </cell>
          <cell r="AN50">
            <v>-309347.94836515439</v>
          </cell>
          <cell r="AO50">
            <v>-101102.07300000079</v>
          </cell>
          <cell r="AP50">
            <v>-855.83299999999997</v>
          </cell>
          <cell r="AS50">
            <v>-101957.9060000008</v>
          </cell>
          <cell r="AT50">
            <v>4056.5950000000003</v>
          </cell>
          <cell r="AU50">
            <v>9167.09</v>
          </cell>
          <cell r="AV50">
            <v>61929.440000000002</v>
          </cell>
          <cell r="BA50">
            <v>75153.125</v>
          </cell>
          <cell r="BB50">
            <v>0</v>
          </cell>
          <cell r="BC50">
            <v>-6072.8019999999997</v>
          </cell>
          <cell r="BD50">
            <v>300000</v>
          </cell>
          <cell r="BE50">
            <v>319512.70899999997</v>
          </cell>
          <cell r="BF50">
            <v>-3689.5869999999995</v>
          </cell>
          <cell r="BG50">
            <v>23385.1</v>
          </cell>
          <cell r="BJ50">
            <v>633135.41999999993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6">
        <row r="6">
          <cell r="F6" t="str">
            <v>합계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/>
      <sheetData sheetId="5">
        <row r="6">
          <cell r="G6" t="str">
            <v>안양</v>
          </cell>
        </row>
      </sheetData>
      <sheetData sheetId="6"/>
      <sheetData sheetId="7">
        <row r="6">
          <cell r="G6" t="str">
            <v>안양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>
        <row r="6">
          <cell r="F6" t="str">
            <v>합계</v>
          </cell>
        </row>
      </sheetData>
      <sheetData sheetId="23">
        <row r="6">
          <cell r="F6" t="str">
            <v>합계</v>
          </cell>
        </row>
      </sheetData>
      <sheetData sheetId="24">
        <row r="6">
          <cell r="F6" t="str">
            <v>합계</v>
          </cell>
        </row>
      </sheetData>
      <sheetData sheetId="2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41036</v>
          </cell>
          <cell r="H7">
            <v>27740</v>
          </cell>
          <cell r="I7">
            <v>23440</v>
          </cell>
          <cell r="J7">
            <v>12924</v>
          </cell>
          <cell r="K7">
            <v>20362</v>
          </cell>
          <cell r="L7">
            <v>21623</v>
          </cell>
          <cell r="M7">
            <v>12437</v>
          </cell>
          <cell r="N7">
            <v>19458</v>
          </cell>
          <cell r="O7">
            <v>12654</v>
          </cell>
          <cell r="P7">
            <v>19115</v>
          </cell>
          <cell r="Q7">
            <v>17634</v>
          </cell>
          <cell r="R7">
            <v>6727</v>
          </cell>
          <cell r="S7">
            <v>21023</v>
          </cell>
          <cell r="T7">
            <v>6189</v>
          </cell>
          <cell r="U7">
            <v>5055.5</v>
          </cell>
          <cell r="V7">
            <v>11590</v>
          </cell>
          <cell r="W7">
            <v>4902</v>
          </cell>
          <cell r="X7"/>
          <cell r="Y7"/>
          <cell r="Z7">
            <v>283909.5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283909.5</v>
          </cell>
          <cell r="AJ7">
            <v>24924</v>
          </cell>
          <cell r="AK7">
            <v>25332</v>
          </cell>
          <cell r="AL7">
            <v>19977</v>
          </cell>
          <cell r="AM7"/>
          <cell r="AN7">
            <v>70233</v>
          </cell>
          <cell r="AO7">
            <v>7811.91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39037471.892999992</v>
          </cell>
          <cell r="G8">
            <v>3916193.648</v>
          </cell>
          <cell r="H8">
            <v>2752562.0550000002</v>
          </cell>
          <cell r="I8">
            <v>2319542.341</v>
          </cell>
          <cell r="J8">
            <v>1223361.18</v>
          </cell>
          <cell r="K8">
            <v>2088934.9990000001</v>
          </cell>
          <cell r="L8">
            <v>2070265.7</v>
          </cell>
          <cell r="M8">
            <v>1240752.3999999999</v>
          </cell>
          <cell r="N8">
            <v>1970381.9</v>
          </cell>
          <cell r="O8">
            <v>1163153.406</v>
          </cell>
          <cell r="P8">
            <v>1861565.4</v>
          </cell>
          <cell r="Q8">
            <v>1703121.7</v>
          </cell>
          <cell r="R8">
            <v>673849.25</v>
          </cell>
          <cell r="S8">
            <v>2021295.1</v>
          </cell>
          <cell r="T8">
            <v>648477.255</v>
          </cell>
          <cell r="U8">
            <v>527683.32200000004</v>
          </cell>
          <cell r="V8">
            <v>1081651.3999999999</v>
          </cell>
          <cell r="W8">
            <v>579446.33100000001</v>
          </cell>
          <cell r="X8"/>
          <cell r="Y8"/>
          <cell r="Z8">
            <v>27842237.386999995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>
            <v>0</v>
          </cell>
          <cell r="AF8"/>
          <cell r="AG8"/>
          <cell r="AH8">
            <v>90840</v>
          </cell>
          <cell r="AI8">
            <v>27933077.386999995</v>
          </cell>
          <cell r="AJ8">
            <v>710713</v>
          </cell>
          <cell r="AK8">
            <v>323054</v>
          </cell>
          <cell r="AL8">
            <v>367506</v>
          </cell>
          <cell r="AM8"/>
          <cell r="AN8">
            <v>1401273</v>
          </cell>
          <cell r="AO8">
            <v>9622753.1649999991</v>
          </cell>
          <cell r="AP8">
            <v>0</v>
          </cell>
          <cell r="AQ8"/>
          <cell r="AR8"/>
          <cell r="AS8">
            <v>9622753.1649999991</v>
          </cell>
          <cell r="AT8">
            <v>5250</v>
          </cell>
          <cell r="AU8">
            <v>3968.75</v>
          </cell>
          <cell r="AV8">
            <v>0</v>
          </cell>
          <cell r="AW8">
            <v>69447.191000000006</v>
          </cell>
          <cell r="AX8">
            <v>0</v>
          </cell>
          <cell r="AY8"/>
          <cell r="AZ8"/>
          <cell r="BA8">
            <v>78665.941000000006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1702.4</v>
          </cell>
          <cell r="BK8"/>
          <cell r="BL8"/>
          <cell r="BM8"/>
          <cell r="BN8"/>
          <cell r="BO8"/>
        </row>
        <row r="9">
          <cell r="F9"/>
          <cell r="G9">
            <v>95433.123306365145</v>
          </cell>
          <cell r="H9">
            <v>99227.182948810398</v>
          </cell>
          <cell r="I9">
            <v>98956.584513651876</v>
          </cell>
          <cell r="J9">
            <v>94658.091922005566</v>
          </cell>
          <cell r="K9">
            <v>102589.87324427857</v>
          </cell>
          <cell r="L9">
            <v>95743.684965083477</v>
          </cell>
          <cell r="M9">
            <v>99762.997507437482</v>
          </cell>
          <cell r="N9">
            <v>101263.3312776236</v>
          </cell>
          <cell r="O9">
            <v>91919.820293978191</v>
          </cell>
          <cell r="P9">
            <v>97387.67460109861</v>
          </cell>
          <cell r="Q9">
            <v>96581.70012475898</v>
          </cell>
          <cell r="R9">
            <v>100170.84138546156</v>
          </cell>
          <cell r="S9">
            <v>96146.843932835473</v>
          </cell>
          <cell r="T9">
            <v>104779.0038778478</v>
          </cell>
          <cell r="U9">
            <v>104378.06784689943</v>
          </cell>
          <cell r="V9">
            <v>93326.264020707502</v>
          </cell>
          <cell r="W9">
            <v>118206.10587515299</v>
          </cell>
          <cell r="X9"/>
          <cell r="Y9"/>
          <cell r="Z9">
            <v>98067.297455703301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98387.258570072489</v>
          </cell>
          <cell r="AJ9">
            <v>28515.206226929866</v>
          </cell>
          <cell r="AK9">
            <v>12752.802779093638</v>
          </cell>
          <cell r="AL9">
            <v>18396.455924312959</v>
          </cell>
          <cell r="AM9"/>
          <cell r="AN9"/>
          <cell r="AO9">
            <v>1231805.4310661538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36262849.951739997</v>
          </cell>
          <cell r="G10">
            <v>3698454.9446399999</v>
          </cell>
          <cell r="H10">
            <v>2647329.78981</v>
          </cell>
          <cell r="I10">
            <v>2262394.9007800003</v>
          </cell>
          <cell r="J10">
            <v>1207992.7591599999</v>
          </cell>
          <cell r="K10">
            <v>1925754.3802100001</v>
          </cell>
          <cell r="L10">
            <v>1978277.3232</v>
          </cell>
          <cell r="M10">
            <v>1186796.0312699999</v>
          </cell>
          <cell r="N10">
            <v>1815114.4066199998</v>
          </cell>
          <cell r="O10">
            <v>1112210.9877499999</v>
          </cell>
          <cell r="P10">
            <v>1622460.52675</v>
          </cell>
          <cell r="Q10">
            <v>1537163.96695</v>
          </cell>
          <cell r="R10">
            <v>699954.63717</v>
          </cell>
          <cell r="S10">
            <v>1893837.2570499999</v>
          </cell>
          <cell r="T10">
            <v>584234.38188999996</v>
          </cell>
          <cell r="U10">
            <v>461649.97547</v>
          </cell>
          <cell r="V10">
            <v>968438.28344000003</v>
          </cell>
          <cell r="W10">
            <v>547533.51815000002</v>
          </cell>
          <cell r="X10"/>
          <cell r="Y10"/>
          <cell r="Z10">
            <v>26149598.070309997</v>
          </cell>
          <cell r="AA10">
            <v>514.80200000000002</v>
          </cell>
          <cell r="AB10">
            <v>0</v>
          </cell>
          <cell r="AC10">
            <v>3262.49</v>
          </cell>
          <cell r="AD10">
            <v>6131.1030000000001</v>
          </cell>
          <cell r="AE10">
            <v>0</v>
          </cell>
          <cell r="AF10"/>
          <cell r="AG10"/>
          <cell r="AH10">
            <v>9908.3950000000004</v>
          </cell>
          <cell r="AI10">
            <v>26159506.465309996</v>
          </cell>
          <cell r="AJ10">
            <v>676047.07368999999</v>
          </cell>
          <cell r="AK10">
            <v>345364.53512999997</v>
          </cell>
          <cell r="AL10">
            <v>668174.08961000002</v>
          </cell>
          <cell r="AM10"/>
          <cell r="AN10">
            <v>1689585.6984299999</v>
          </cell>
          <cell r="AO10">
            <v>9423119.4069999997</v>
          </cell>
          <cell r="AP10">
            <v>0</v>
          </cell>
          <cell r="AQ10"/>
          <cell r="AR10"/>
          <cell r="AS10">
            <v>9423119.4069999997</v>
          </cell>
          <cell r="AT10">
            <v>126.027</v>
          </cell>
          <cell r="AU10">
            <v>180.29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306.31700000000001</v>
          </cell>
          <cell r="BB10">
            <v>0</v>
          </cell>
          <cell r="BC10">
            <v>0</v>
          </cell>
          <cell r="BD10">
            <v>-1028985.1040000001</v>
          </cell>
          <cell r="BE10">
            <v>0</v>
          </cell>
          <cell r="BF10">
            <v>0</v>
          </cell>
          <cell r="BG10">
            <v>19317.168000000001</v>
          </cell>
          <cell r="BH10"/>
          <cell r="BI10"/>
          <cell r="BJ10">
            <v>-1009667.9360000001</v>
          </cell>
          <cell r="BK10"/>
          <cell r="BL10"/>
          <cell r="BM10"/>
          <cell r="BN10"/>
          <cell r="BO10"/>
        </row>
        <row r="11">
          <cell r="F11"/>
          <cell r="G11">
            <v>90127.082187347696</v>
          </cell>
          <cell r="H11">
            <v>95433.662213770731</v>
          </cell>
          <cell r="I11">
            <v>96518.553787542667</v>
          </cell>
          <cell r="J11">
            <v>93468.953819250994</v>
          </cell>
          <cell r="K11">
            <v>94575.895305470985</v>
          </cell>
          <cell r="L11">
            <v>91489.493742773906</v>
          </cell>
          <cell r="M11">
            <v>95424.622599501468</v>
          </cell>
          <cell r="N11">
            <v>93283.708840579711</v>
          </cell>
          <cell r="O11">
            <v>87894.024636478571</v>
          </cell>
          <cell r="P11">
            <v>84878.918480251115</v>
          </cell>
          <cell r="Q11">
            <v>87170.46427072701</v>
          </cell>
          <cell r="R11">
            <v>104051.52923591498</v>
          </cell>
          <cell r="S11">
            <v>90084.063028587741</v>
          </cell>
          <cell r="T11">
            <v>94398.833719502334</v>
          </cell>
          <cell r="U11">
            <v>91316.383240035604</v>
          </cell>
          <cell r="V11">
            <v>83558.091754961177</v>
          </cell>
          <cell r="W11">
            <v>111695.94413504693</v>
          </cell>
          <cell r="X11"/>
          <cell r="Y11"/>
          <cell r="Z11">
            <v>92105.400031735451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92140.299867774753</v>
          </cell>
          <cell r="AJ11">
            <v>27124.340944069972</v>
          </cell>
          <cell r="AK11">
            <v>13633.52815135007</v>
          </cell>
          <cell r="AL11">
            <v>33447.168724533214</v>
          </cell>
          <cell r="AM11"/>
          <cell r="AN11"/>
          <cell r="AO11">
            <v>1206250.380124707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2774621.9412599951</v>
          </cell>
          <cell r="G12">
            <v>217738.70336000016</v>
          </cell>
          <cell r="H12">
            <v>105232.26519000018</v>
          </cell>
          <cell r="I12">
            <v>57147.440219999757</v>
          </cell>
          <cell r="J12">
            <v>15368.420840000035</v>
          </cell>
          <cell r="K12">
            <v>163180.61878999998</v>
          </cell>
          <cell r="L12">
            <v>91988.376799999969</v>
          </cell>
          <cell r="M12">
            <v>53956.368729999987</v>
          </cell>
          <cell r="N12">
            <v>155267.49338000012</v>
          </cell>
          <cell r="O12">
            <v>50942.418250000104</v>
          </cell>
          <cell r="P12">
            <v>239104.87324999995</v>
          </cell>
          <cell r="Q12">
            <v>165957.73304999992</v>
          </cell>
          <cell r="R12">
            <v>-26105.387170000002</v>
          </cell>
          <cell r="S12">
            <v>127457.84295000019</v>
          </cell>
          <cell r="T12">
            <v>64242.873110000044</v>
          </cell>
          <cell r="U12">
            <v>66033.346530000039</v>
          </cell>
          <cell r="V12">
            <v>113213.11655999988</v>
          </cell>
          <cell r="W12">
            <v>31912.812849999988</v>
          </cell>
          <cell r="X12"/>
          <cell r="Y12"/>
          <cell r="Z12">
            <v>1692639.3166900002</v>
          </cell>
          <cell r="AA12">
            <v>49485.197999999997</v>
          </cell>
          <cell r="AB12">
            <v>0</v>
          </cell>
          <cell r="AC12">
            <v>9237.51</v>
          </cell>
          <cell r="AD12">
            <v>22208.897000000001</v>
          </cell>
          <cell r="AE12">
            <v>0</v>
          </cell>
          <cell r="AF12"/>
          <cell r="AG12"/>
          <cell r="AH12">
            <v>80931.604999999996</v>
          </cell>
          <cell r="AI12">
            <v>1773570.9216899984</v>
          </cell>
          <cell r="AJ12">
            <v>34665.92631000001</v>
          </cell>
          <cell r="AK12">
            <v>-22310.535129999975</v>
          </cell>
          <cell r="AL12">
            <v>-300668.08961000002</v>
          </cell>
          <cell r="AM12"/>
          <cell r="AN12">
            <v>-288312.69842999987</v>
          </cell>
          <cell r="AO12">
            <v>199633.75799999945</v>
          </cell>
          <cell r="AP12">
            <v>0</v>
          </cell>
          <cell r="AQ12"/>
          <cell r="AR12"/>
          <cell r="AS12">
            <v>199633.75799999945</v>
          </cell>
          <cell r="AT12">
            <v>5123.973</v>
          </cell>
          <cell r="AU12">
            <v>3788.46</v>
          </cell>
          <cell r="AV12">
            <v>0</v>
          </cell>
          <cell r="AW12">
            <v>69447.191000000006</v>
          </cell>
          <cell r="AX12">
            <v>0</v>
          </cell>
          <cell r="AY12"/>
          <cell r="AZ12"/>
          <cell r="BA12">
            <v>78359.624000000011</v>
          </cell>
          <cell r="BB12">
            <v>0</v>
          </cell>
          <cell r="BC12">
            <v>1702.4</v>
          </cell>
          <cell r="BD12">
            <v>1028985.1040000001</v>
          </cell>
          <cell r="BE12">
            <v>0</v>
          </cell>
          <cell r="BF12">
            <v>0</v>
          </cell>
          <cell r="BG12">
            <v>-19317.168000000001</v>
          </cell>
          <cell r="BH12"/>
          <cell r="BI12"/>
          <cell r="BJ12">
            <v>1011370.3360000001</v>
          </cell>
          <cell r="BK12"/>
          <cell r="BL12"/>
          <cell r="BM12"/>
          <cell r="BN12"/>
          <cell r="BO12"/>
        </row>
        <row r="13">
          <cell r="F13">
            <v>1773938.3160000001</v>
          </cell>
          <cell r="G13">
            <v>155300.95000000001</v>
          </cell>
          <cell r="H13">
            <v>157418.63799999998</v>
          </cell>
          <cell r="I13">
            <v>117434.93799999999</v>
          </cell>
          <cell r="J13">
            <v>69292.897999999986</v>
          </cell>
          <cell r="K13">
            <v>135718.323</v>
          </cell>
          <cell r="L13">
            <v>109210.00499999999</v>
          </cell>
          <cell r="M13">
            <v>79131.142000000007</v>
          </cell>
          <cell r="N13">
            <v>104236.12999999999</v>
          </cell>
          <cell r="O13">
            <v>81155.692999999999</v>
          </cell>
          <cell r="P13">
            <v>85822.280000000013</v>
          </cell>
          <cell r="Q13">
            <v>84755.335000000006</v>
          </cell>
          <cell r="R13">
            <v>56269.604999999996</v>
          </cell>
          <cell r="S13">
            <v>95068.157000000007</v>
          </cell>
          <cell r="T13">
            <v>20124.896000000001</v>
          </cell>
          <cell r="U13">
            <v>21659.030999999999</v>
          </cell>
          <cell r="V13">
            <v>56565.417000000001</v>
          </cell>
          <cell r="W13">
            <v>27531.022000000001</v>
          </cell>
          <cell r="X13"/>
          <cell r="Y13"/>
          <cell r="Z13">
            <v>1456694.4600000002</v>
          </cell>
          <cell r="AA13">
            <v>0</v>
          </cell>
          <cell r="AB13">
            <v>2102.1109999999999</v>
          </cell>
          <cell r="AC13">
            <v>0</v>
          </cell>
          <cell r="AD13">
            <v>0</v>
          </cell>
          <cell r="AE13">
            <v>0</v>
          </cell>
          <cell r="AF13"/>
          <cell r="AG13"/>
          <cell r="AH13">
            <v>2102.1109999999999</v>
          </cell>
          <cell r="AI13">
            <v>1458796.5710000002</v>
          </cell>
          <cell r="AJ13">
            <v>23390.148000000001</v>
          </cell>
          <cell r="AK13">
            <v>0</v>
          </cell>
          <cell r="AL13">
            <v>0.9</v>
          </cell>
          <cell r="AM13"/>
          <cell r="AN13">
            <v>23391.047999999999</v>
          </cell>
          <cell r="AO13">
            <v>281947.90600000002</v>
          </cell>
          <cell r="AP13">
            <v>0</v>
          </cell>
          <cell r="AQ13"/>
          <cell r="AR13"/>
          <cell r="AS13">
            <v>281947.90600000002</v>
          </cell>
          <cell r="AT13">
            <v>0</v>
          </cell>
          <cell r="AU13">
            <v>0</v>
          </cell>
          <cell r="AV13">
            <v>161.97399999999999</v>
          </cell>
          <cell r="AW13">
            <v>0</v>
          </cell>
          <cell r="AX13">
            <v>8030</v>
          </cell>
          <cell r="AY13"/>
          <cell r="AZ13"/>
          <cell r="BA13">
            <v>8191.9740000000002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1610.817</v>
          </cell>
          <cell r="BG13">
            <v>0</v>
          </cell>
          <cell r="BH13"/>
          <cell r="BI13"/>
          <cell r="BJ13">
            <v>1610.817</v>
          </cell>
          <cell r="BK13"/>
          <cell r="BL13"/>
          <cell r="BM13"/>
          <cell r="BN13"/>
          <cell r="BO13"/>
        </row>
        <row r="14">
          <cell r="F14">
            <v>1497712.2370000002</v>
          </cell>
          <cell r="G14">
            <v>136239.58900000001</v>
          </cell>
          <cell r="H14">
            <v>126909.53799999999</v>
          </cell>
          <cell r="I14">
            <v>96249.138999999996</v>
          </cell>
          <cell r="J14">
            <v>59186.124999999993</v>
          </cell>
          <cell r="K14">
            <v>113766.883</v>
          </cell>
          <cell r="L14">
            <v>95104.503999999986</v>
          </cell>
          <cell r="M14">
            <v>69713.111000000004</v>
          </cell>
          <cell r="N14">
            <v>89778.796999999991</v>
          </cell>
          <cell r="O14">
            <v>69086.769</v>
          </cell>
          <cell r="P14">
            <v>75792.143000000011</v>
          </cell>
          <cell r="Q14">
            <v>69815.332000000009</v>
          </cell>
          <cell r="R14">
            <v>45505.885999999999</v>
          </cell>
          <cell r="S14">
            <v>79594.013000000006</v>
          </cell>
          <cell r="T14">
            <v>15698.484</v>
          </cell>
          <cell r="U14">
            <v>18779.213</v>
          </cell>
          <cell r="V14">
            <v>46772.604000000007</v>
          </cell>
          <cell r="W14">
            <v>23776.772000000001</v>
          </cell>
          <cell r="X14"/>
          <cell r="Y14"/>
          <cell r="Z14">
            <v>1231768.9020000002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1231768.9020000002</v>
          </cell>
          <cell r="AJ14">
            <v>20371.376</v>
          </cell>
          <cell r="AK14">
            <v>0</v>
          </cell>
          <cell r="AL14">
            <v>0</v>
          </cell>
          <cell r="AM14"/>
          <cell r="AN14">
            <v>20371.376</v>
          </cell>
          <cell r="AO14">
            <v>245571.959</v>
          </cell>
          <cell r="AP14">
            <v>0</v>
          </cell>
          <cell r="AQ14"/>
          <cell r="AR14"/>
          <cell r="AS14">
            <v>245571.959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276226.07899999997</v>
          </cell>
          <cell r="G15">
            <v>19061.361000000001</v>
          </cell>
          <cell r="H15">
            <v>30509.1</v>
          </cell>
          <cell r="I15">
            <v>21185.799000000003</v>
          </cell>
          <cell r="J15">
            <v>10106.773000000001</v>
          </cell>
          <cell r="K15">
            <v>21951.439999999995</v>
          </cell>
          <cell r="L15">
            <v>14105.501</v>
          </cell>
          <cell r="M15">
            <v>9418.030999999999</v>
          </cell>
          <cell r="N15">
            <v>14457.332999999999</v>
          </cell>
          <cell r="O15">
            <v>12068.924000000003</v>
          </cell>
          <cell r="P15">
            <v>10030.136999999999</v>
          </cell>
          <cell r="Q15">
            <v>14940.002999999999</v>
          </cell>
          <cell r="R15">
            <v>10763.718999999999</v>
          </cell>
          <cell r="S15">
            <v>15474.144</v>
          </cell>
          <cell r="T15">
            <v>4426.4120000000003</v>
          </cell>
          <cell r="U15">
            <v>2879.8180000000002</v>
          </cell>
          <cell r="V15">
            <v>9792.8129999999983</v>
          </cell>
          <cell r="W15">
            <v>3754.2499999999995</v>
          </cell>
          <cell r="X15"/>
          <cell r="Y15"/>
          <cell r="Z15">
            <v>224925.55799999999</v>
          </cell>
          <cell r="AA15">
            <v>0</v>
          </cell>
          <cell r="AB15">
            <v>2102.1109999999999</v>
          </cell>
          <cell r="AC15">
            <v>0</v>
          </cell>
          <cell r="AD15">
            <v>0</v>
          </cell>
          <cell r="AE15">
            <v>0</v>
          </cell>
          <cell r="AF15"/>
          <cell r="AG15"/>
          <cell r="AH15">
            <v>2102.1109999999999</v>
          </cell>
          <cell r="AI15">
            <v>227027.66899999999</v>
          </cell>
          <cell r="AJ15">
            <v>3018.7719999999999</v>
          </cell>
          <cell r="AK15">
            <v>0</v>
          </cell>
          <cell r="AL15">
            <v>0.9</v>
          </cell>
          <cell r="AM15"/>
          <cell r="AN15">
            <v>3019.672</v>
          </cell>
          <cell r="AO15">
            <v>36375.947</v>
          </cell>
          <cell r="AP15">
            <v>0</v>
          </cell>
          <cell r="AQ15"/>
          <cell r="AR15"/>
          <cell r="AS15">
            <v>36375.947</v>
          </cell>
          <cell r="AT15">
            <v>0</v>
          </cell>
          <cell r="AU15">
            <v>0</v>
          </cell>
          <cell r="AV15">
            <v>161.97399999999999</v>
          </cell>
          <cell r="AW15">
            <v>0</v>
          </cell>
          <cell r="AX15">
            <v>8030</v>
          </cell>
          <cell r="AY15"/>
          <cell r="AZ15"/>
          <cell r="BA15">
            <v>8191.9740000000002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1610.817</v>
          </cell>
          <cell r="BG15">
            <v>0</v>
          </cell>
          <cell r="BH15"/>
          <cell r="BI15"/>
          <cell r="BJ15">
            <v>1610.817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1000683.625259995</v>
          </cell>
          <cell r="G17">
            <v>62437.753360000148</v>
          </cell>
          <cell r="H17">
            <v>-52186.372809999797</v>
          </cell>
          <cell r="I17">
            <v>-60287.497780000238</v>
          </cell>
          <cell r="J17">
            <v>-53924.477159999951</v>
          </cell>
          <cell r="K17">
            <v>27462.295789999975</v>
          </cell>
          <cell r="L17">
            <v>-17221.628200000021</v>
          </cell>
          <cell r="M17">
            <v>-25174.77327000002</v>
          </cell>
          <cell r="N17">
            <v>51031.363380000126</v>
          </cell>
          <cell r="O17">
            <v>-30213.274749999895</v>
          </cell>
          <cell r="P17">
            <v>153282.59324999992</v>
          </cell>
          <cell r="Q17">
            <v>81202.398049999916</v>
          </cell>
          <cell r="R17">
            <v>-82374.992169999998</v>
          </cell>
          <cell r="S17">
            <v>32389.685950000188</v>
          </cell>
          <cell r="T17">
            <v>44117.977110000043</v>
          </cell>
          <cell r="U17">
            <v>44374.315530000036</v>
          </cell>
          <cell r="V17">
            <v>56647.699559999877</v>
          </cell>
          <cell r="W17">
            <v>4381.7908499999867</v>
          </cell>
          <cell r="X17"/>
          <cell r="Y17"/>
          <cell r="Z17">
            <v>235944.85669000004</v>
          </cell>
          <cell r="AA17">
            <v>49485.197999999997</v>
          </cell>
          <cell r="AB17">
            <v>-2102.1109999999999</v>
          </cell>
          <cell r="AC17">
            <v>9237.51</v>
          </cell>
          <cell r="AD17">
            <v>22208.897000000001</v>
          </cell>
          <cell r="AE17">
            <v>0</v>
          </cell>
          <cell r="AF17"/>
          <cell r="AG17"/>
          <cell r="AH17">
            <v>78829.493999999992</v>
          </cell>
          <cell r="AI17">
            <v>314774.35068999813</v>
          </cell>
          <cell r="AJ17">
            <v>11275.778310000009</v>
          </cell>
          <cell r="AK17">
            <v>-22310.535129999975</v>
          </cell>
          <cell r="AL17">
            <v>-300668.98961000005</v>
          </cell>
          <cell r="AM17"/>
          <cell r="AN17">
            <v>-311703.74642999988</v>
          </cell>
          <cell r="AO17">
            <v>-82314.148000000569</v>
          </cell>
          <cell r="AP17">
            <v>0</v>
          </cell>
          <cell r="AQ17"/>
          <cell r="AR17"/>
          <cell r="AS17">
            <v>-82314.148000000569</v>
          </cell>
          <cell r="AT17">
            <v>5123.973</v>
          </cell>
          <cell r="AU17">
            <v>3788.46</v>
          </cell>
          <cell r="AV17">
            <v>-161.97399999999999</v>
          </cell>
          <cell r="AW17">
            <v>69447.191000000006</v>
          </cell>
          <cell r="AX17">
            <v>-8030</v>
          </cell>
          <cell r="AY17"/>
          <cell r="AZ17"/>
          <cell r="BA17">
            <v>70167.650000000009</v>
          </cell>
          <cell r="BB17">
            <v>0</v>
          </cell>
          <cell r="BC17">
            <v>1702.4</v>
          </cell>
          <cell r="BD17">
            <v>1028985.1040000001</v>
          </cell>
          <cell r="BE17">
            <v>0</v>
          </cell>
          <cell r="BF17">
            <v>-1610.817</v>
          </cell>
          <cell r="BG17">
            <v>-19317.168000000001</v>
          </cell>
          <cell r="BH17"/>
          <cell r="BI17"/>
          <cell r="BJ17">
            <v>1009759.5190000001</v>
          </cell>
          <cell r="BK17"/>
          <cell r="BL17"/>
          <cell r="BM17"/>
          <cell r="BN17"/>
          <cell r="BO17"/>
        </row>
        <row r="18">
          <cell r="F18">
            <v>493162.83423000004</v>
          </cell>
          <cell r="G18">
            <v>29499.747359999998</v>
          </cell>
          <cell r="H18">
            <v>34542.128190000003</v>
          </cell>
          <cell r="I18">
            <v>16665.323210000002</v>
          </cell>
          <cell r="J18">
            <v>18427.636839999999</v>
          </cell>
          <cell r="K18">
            <v>91591.804790000009</v>
          </cell>
          <cell r="L18">
            <v>15351.001800000002</v>
          </cell>
          <cell r="M18">
            <v>16012.95673</v>
          </cell>
          <cell r="N18">
            <v>27480.933379999999</v>
          </cell>
          <cell r="O18">
            <v>10909.722249999999</v>
          </cell>
          <cell r="P18">
            <v>32200.253250000002</v>
          </cell>
          <cell r="Q18">
            <v>14008.814050000001</v>
          </cell>
          <cell r="R18">
            <v>12107.651830000001</v>
          </cell>
          <cell r="S18">
            <v>23771.454949999999</v>
          </cell>
          <cell r="T18">
            <v>5372.9391100000003</v>
          </cell>
          <cell r="U18">
            <v>10252.956529999999</v>
          </cell>
          <cell r="V18">
            <v>19995.17856</v>
          </cell>
          <cell r="W18">
            <v>10144.00585</v>
          </cell>
          <cell r="X18"/>
          <cell r="Y18"/>
          <cell r="Z18">
            <v>388334.50868000003</v>
          </cell>
          <cell r="AA18">
            <v>5305.808</v>
          </cell>
          <cell r="AB18">
            <v>353.66800000000001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5659.4759999999997</v>
          </cell>
          <cell r="AI18">
            <v>393993.98468000005</v>
          </cell>
          <cell r="AJ18">
            <v>32440.341300000004</v>
          </cell>
          <cell r="AK18">
            <v>11077.66886</v>
          </cell>
          <cell r="AL18">
            <v>55778.768389999997</v>
          </cell>
          <cell r="AM18"/>
          <cell r="AN18">
            <v>99296.778549999988</v>
          </cell>
          <cell r="AO18">
            <v>4319.4089999999997</v>
          </cell>
          <cell r="AP18">
            <v>855.83299999999997</v>
          </cell>
          <cell r="AQ18"/>
          <cell r="AR18"/>
          <cell r="AS18">
            <v>5175.2419999999993</v>
          </cell>
          <cell r="AT18">
            <v>1312.9010000000001</v>
          </cell>
          <cell r="AU18">
            <v>-4103.3419999999996</v>
          </cell>
          <cell r="AV18">
            <v>432.17</v>
          </cell>
          <cell r="AW18">
            <v>0</v>
          </cell>
          <cell r="AX18">
            <v>-14097.802</v>
          </cell>
          <cell r="AY18"/>
          <cell r="AZ18"/>
          <cell r="BA18">
            <v>-16456.073</v>
          </cell>
          <cell r="BB18">
            <v>0</v>
          </cell>
          <cell r="BC18">
            <v>5865.0420000000004</v>
          </cell>
          <cell r="BD18">
            <v>0</v>
          </cell>
          <cell r="BE18">
            <v>0</v>
          </cell>
          <cell r="BF18">
            <v>5287.86</v>
          </cell>
          <cell r="BG18">
            <v>0</v>
          </cell>
          <cell r="BH18"/>
          <cell r="BI18"/>
          <cell r="BJ18">
            <v>11152.902</v>
          </cell>
          <cell r="BK18"/>
          <cell r="BL18"/>
          <cell r="BM18"/>
          <cell r="BN18"/>
          <cell r="BO18"/>
        </row>
        <row r="19">
          <cell r="F19">
            <v>467281.61623000004</v>
          </cell>
          <cell r="G19">
            <v>27172.111359999999</v>
          </cell>
          <cell r="H19">
            <v>32226.585190000002</v>
          </cell>
          <cell r="I19">
            <v>15362.862210000001</v>
          </cell>
          <cell r="J19">
            <v>17235.645840000001</v>
          </cell>
          <cell r="K19">
            <v>89345.331790000011</v>
          </cell>
          <cell r="L19">
            <v>13786.595800000001</v>
          </cell>
          <cell r="M19">
            <v>14819.35173</v>
          </cell>
          <cell r="N19">
            <v>25917.627379999998</v>
          </cell>
          <cell r="O19">
            <v>9716.8162499999999</v>
          </cell>
          <cell r="P19">
            <v>30981.486250000002</v>
          </cell>
          <cell r="Q19">
            <v>12803.432050000001</v>
          </cell>
          <cell r="R19">
            <v>11005.499830000001</v>
          </cell>
          <cell r="S19">
            <v>22183.239949999999</v>
          </cell>
          <cell r="T19">
            <v>5002.5391100000006</v>
          </cell>
          <cell r="U19">
            <v>9810.0875299999989</v>
          </cell>
          <cell r="V19">
            <v>19152.026559999998</v>
          </cell>
          <cell r="W19">
            <v>9318.6318499999998</v>
          </cell>
          <cell r="X19"/>
          <cell r="Y19"/>
          <cell r="Z19">
            <v>365839.87068000005</v>
          </cell>
          <cell r="AA19">
            <v>5305.808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5305.808</v>
          </cell>
          <cell r="AI19">
            <v>371145.67868000007</v>
          </cell>
          <cell r="AJ19">
            <v>32069.941300000002</v>
          </cell>
          <cell r="AK19">
            <v>11077.66886</v>
          </cell>
          <cell r="AL19">
            <v>55778.768389999997</v>
          </cell>
          <cell r="AM19"/>
          <cell r="AN19">
            <v>98926.378549999994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1312.9010000000001</v>
          </cell>
          <cell r="AU19">
            <v>-4103.3419999999996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-2790.4409999999998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25881.217999999997</v>
          </cell>
          <cell r="G20">
            <v>2327.636</v>
          </cell>
          <cell r="H20">
            <v>2315.5430000000001</v>
          </cell>
          <cell r="I20">
            <v>1302.461</v>
          </cell>
          <cell r="J20">
            <v>1191.991</v>
          </cell>
          <cell r="K20">
            <v>2246.473</v>
          </cell>
          <cell r="L20">
            <v>1564.4059999999999</v>
          </cell>
          <cell r="M20">
            <v>1193.605</v>
          </cell>
          <cell r="N20">
            <v>1563.306</v>
          </cell>
          <cell r="O20">
            <v>1192.9059999999999</v>
          </cell>
          <cell r="P20">
            <v>1218.7670000000001</v>
          </cell>
          <cell r="Q20">
            <v>1205.3820000000001</v>
          </cell>
          <cell r="R20">
            <v>1102.152</v>
          </cell>
          <cell r="S20">
            <v>1588.2149999999999</v>
          </cell>
          <cell r="T20">
            <v>370.4</v>
          </cell>
          <cell r="U20">
            <v>442.86900000000003</v>
          </cell>
          <cell r="V20">
            <v>843.15200000000004</v>
          </cell>
          <cell r="W20">
            <v>825.37400000000002</v>
          </cell>
          <cell r="X20"/>
          <cell r="Y20"/>
          <cell r="Z20">
            <v>22494.637999999995</v>
          </cell>
          <cell r="AA20">
            <v>0</v>
          </cell>
          <cell r="AB20">
            <v>353.66800000000001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353.66800000000001</v>
          </cell>
          <cell r="AI20">
            <v>22848.305999999997</v>
          </cell>
          <cell r="AJ20">
            <v>370.4</v>
          </cell>
          <cell r="AK20">
            <v>0</v>
          </cell>
          <cell r="AL20">
            <v>0</v>
          </cell>
          <cell r="AM20"/>
          <cell r="AN20">
            <v>370.4</v>
          </cell>
          <cell r="AO20">
            <v>4319.4089999999997</v>
          </cell>
          <cell r="AP20">
            <v>855.83299999999997</v>
          </cell>
          <cell r="AQ20"/>
          <cell r="AR20"/>
          <cell r="AS20">
            <v>5175.2419999999993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-14097.802</v>
          </cell>
          <cell r="AY20"/>
          <cell r="AZ20"/>
          <cell r="BA20">
            <v>-13665.632</v>
          </cell>
          <cell r="BB20">
            <v>0</v>
          </cell>
          <cell r="BC20">
            <v>5865.0420000000004</v>
          </cell>
          <cell r="BD20">
            <v>0</v>
          </cell>
          <cell r="BE20">
            <v>0</v>
          </cell>
          <cell r="BF20">
            <v>5287.86</v>
          </cell>
          <cell r="BG20">
            <v>0</v>
          </cell>
          <cell r="BH20"/>
          <cell r="BI20"/>
          <cell r="BJ20">
            <v>11152.902</v>
          </cell>
          <cell r="BK20"/>
          <cell r="BL20"/>
          <cell r="BM20"/>
          <cell r="BN20"/>
          <cell r="BO20"/>
        </row>
        <row r="21">
          <cell r="F21">
            <v>507520.79102999496</v>
          </cell>
          <cell r="G21">
            <v>32938.006000000154</v>
          </cell>
          <cell r="H21">
            <v>-86728.5009999998</v>
          </cell>
          <cell r="I21">
            <v>-76952.82099000024</v>
          </cell>
          <cell r="J21">
            <v>-72352.113999999943</v>
          </cell>
          <cell r="K21">
            <v>-64129.509000000035</v>
          </cell>
          <cell r="L21">
            <v>-32572.630000000023</v>
          </cell>
          <cell r="M21">
            <v>-41187.730000000018</v>
          </cell>
          <cell r="N21">
            <v>23550.430000000128</v>
          </cell>
          <cell r="O21">
            <v>-41122.996999999894</v>
          </cell>
          <cell r="P21">
            <v>121082.33999999991</v>
          </cell>
          <cell r="Q21">
            <v>67193.583999999915</v>
          </cell>
          <cell r="R21">
            <v>-94482.644</v>
          </cell>
          <cell r="S21">
            <v>8618.2310000001889</v>
          </cell>
          <cell r="T21">
            <v>38745.038000000044</v>
          </cell>
          <cell r="U21">
            <v>34121.35900000004</v>
          </cell>
          <cell r="V21">
            <v>36652.520999999877</v>
          </cell>
          <cell r="W21">
            <v>-5762.2150000000129</v>
          </cell>
          <cell r="X21"/>
          <cell r="Y21"/>
          <cell r="Z21">
            <v>-152389.65198999998</v>
          </cell>
          <cell r="AA21">
            <v>44179.39</v>
          </cell>
          <cell r="AB21">
            <v>-2455.779</v>
          </cell>
          <cell r="AC21">
            <v>9237.51</v>
          </cell>
          <cell r="AD21">
            <v>22208.897000000001</v>
          </cell>
          <cell r="AE21">
            <v>0</v>
          </cell>
          <cell r="AF21"/>
          <cell r="AG21"/>
          <cell r="AH21">
            <v>73170.017999999996</v>
          </cell>
          <cell r="AI21">
            <v>-79219.633990001923</v>
          </cell>
          <cell r="AJ21">
            <v>-21164.562989999995</v>
          </cell>
          <cell r="AK21">
            <v>-33388.203989999973</v>
          </cell>
          <cell r="AL21">
            <v>-356447.75800000003</v>
          </cell>
          <cell r="AM21"/>
          <cell r="AN21">
            <v>-411000.52497999987</v>
          </cell>
          <cell r="AO21">
            <v>-86633.557000000568</v>
          </cell>
          <cell r="AP21">
            <v>-855.83299999999997</v>
          </cell>
          <cell r="AQ21"/>
          <cell r="AR21"/>
          <cell r="AS21">
            <v>-87489.390000000567</v>
          </cell>
          <cell r="AT21">
            <v>3811.0720000000001</v>
          </cell>
          <cell r="AU21">
            <v>7891.8019999999997</v>
          </cell>
          <cell r="AV21">
            <v>-594.14400000000001</v>
          </cell>
          <cell r="AW21">
            <v>69447.191000000006</v>
          </cell>
          <cell r="AX21">
            <v>6067.8019999999997</v>
          </cell>
          <cell r="AY21"/>
          <cell r="AZ21"/>
          <cell r="BA21">
            <v>86623.723000000013</v>
          </cell>
          <cell r="BB21">
            <v>0</v>
          </cell>
          <cell r="BC21">
            <v>-4162.6419999999998</v>
          </cell>
          <cell r="BD21">
            <v>1028985.1040000001</v>
          </cell>
          <cell r="BE21">
            <v>0</v>
          </cell>
          <cell r="BF21">
            <v>-6898.6769999999997</v>
          </cell>
          <cell r="BG21">
            <v>-19317.168000000001</v>
          </cell>
          <cell r="BH21"/>
          <cell r="BI21"/>
          <cell r="BJ21">
            <v>998606.61700000009</v>
          </cell>
          <cell r="BK21"/>
          <cell r="BL21"/>
          <cell r="BM21"/>
          <cell r="BN21"/>
          <cell r="BO21"/>
        </row>
        <row r="22">
          <cell r="F22">
            <v>3992632.7080000006</v>
          </cell>
          <cell r="G22">
            <v>426206.61471356952</v>
          </cell>
          <cell r="H22">
            <v>299566.43125901319</v>
          </cell>
          <cell r="I22">
            <v>252440.09303454089</v>
          </cell>
          <cell r="J22">
            <v>133140.66513694468</v>
          </cell>
          <cell r="K22">
            <v>227074.35488996137</v>
          </cell>
          <cell r="L22">
            <v>225044.93845110509</v>
          </cell>
          <cell r="M22">
            <v>134874.01520059039</v>
          </cell>
          <cell r="N22">
            <v>214187.2289197814</v>
          </cell>
          <cell r="O22">
            <v>126438.74004310812</v>
          </cell>
          <cell r="P22">
            <v>202358.50444979445</v>
          </cell>
          <cell r="Q22">
            <v>185135.13417685538</v>
          </cell>
          <cell r="R22">
            <v>73249.710407496634</v>
          </cell>
          <cell r="S22">
            <v>211817.79001829895</v>
          </cell>
          <cell r="T22">
            <v>67955.94519139381</v>
          </cell>
          <cell r="U22">
            <v>55297.573865169128</v>
          </cell>
          <cell r="V22">
            <v>113349.60893053123</v>
          </cell>
          <cell r="W22">
            <v>60721.98031184647</v>
          </cell>
          <cell r="X22"/>
          <cell r="Y22"/>
          <cell r="Z22">
            <v>3008859.3290000008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3008859.3290000008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983773.37899999996</v>
          </cell>
          <cell r="BF22">
            <v>0</v>
          </cell>
          <cell r="BG22">
            <v>0</v>
          </cell>
          <cell r="BH22"/>
          <cell r="BI22"/>
          <cell r="BJ22">
            <v>983773.37899999996</v>
          </cell>
          <cell r="BK22"/>
          <cell r="BL22"/>
          <cell r="BM22"/>
          <cell r="BN22"/>
          <cell r="BO22"/>
        </row>
        <row r="23">
          <cell r="F23">
            <v>364510.90400000004</v>
          </cell>
          <cell r="G23">
            <v>54261.631947238668</v>
          </cell>
          <cell r="H23">
            <v>38138.693477689056</v>
          </cell>
          <cell r="I23">
            <v>32138.899172582071</v>
          </cell>
          <cell r="J23">
            <v>16950.534129383683</v>
          </cell>
          <cell r="K23">
            <v>28675.357792399987</v>
          </cell>
          <cell r="L23">
            <v>28419.079435814179</v>
          </cell>
          <cell r="M23">
            <v>17032.133129470818</v>
          </cell>
          <cell r="N23">
            <v>27047.948355126817</v>
          </cell>
          <cell r="O23">
            <v>15966.911416805979</v>
          </cell>
          <cell r="P23">
            <v>25554.195762197673</v>
          </cell>
          <cell r="Q23">
            <v>23379.197598240113</v>
          </cell>
          <cell r="R23">
            <v>9250.1051258849566</v>
          </cell>
          <cell r="S23">
            <v>19842.969896950071</v>
          </cell>
          <cell r="T23">
            <v>6366.0742312301718</v>
          </cell>
          <cell r="U23">
            <v>5180.2452168258906</v>
          </cell>
          <cell r="V23">
            <v>10618.526789677517</v>
          </cell>
          <cell r="W23">
            <v>5688.400522482425</v>
          </cell>
          <cell r="X23"/>
          <cell r="Y23"/>
          <cell r="Z23">
            <v>364510.90400000004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364510.90400000004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948632.55800000043</v>
          </cell>
          <cell r="G24">
            <v>133431.40302582868</v>
          </cell>
          <cell r="H24">
            <v>93784.488185837588</v>
          </cell>
          <cell r="I24">
            <v>79030.767310372074</v>
          </cell>
          <cell r="J24">
            <v>41682.00383504972</v>
          </cell>
          <cell r="K24">
            <v>71173.581492497236</v>
          </cell>
          <cell r="L24">
            <v>70537.486604709731</v>
          </cell>
          <cell r="M24">
            <v>42274.552389464523</v>
          </cell>
          <cell r="N24">
            <v>67134.275024414732</v>
          </cell>
          <cell r="O24">
            <v>39630.622192575327</v>
          </cell>
          <cell r="P24">
            <v>63426.711105869697</v>
          </cell>
          <cell r="Q24">
            <v>58028.263763409908</v>
          </cell>
          <cell r="R24">
            <v>22959.194293499957</v>
          </cell>
          <cell r="S24">
            <v>68868.974663694346</v>
          </cell>
          <cell r="T24">
            <v>22094.727110641612</v>
          </cell>
          <cell r="U24">
            <v>17979.071602791726</v>
          </cell>
          <cell r="V24">
            <v>36853.709713910401</v>
          </cell>
          <cell r="W24">
            <v>19742.725685432892</v>
          </cell>
          <cell r="X24"/>
          <cell r="Y24"/>
          <cell r="Z24">
            <v>948632.55800000043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948632.55800000043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2679489.2460000003</v>
          </cell>
          <cell r="G25">
            <v>238513.57974050214</v>
          </cell>
          <cell r="H25">
            <v>167643.24959548656</v>
          </cell>
          <cell r="I25">
            <v>141270.42655158674</v>
          </cell>
          <cell r="J25">
            <v>74508.12717251126</v>
          </cell>
          <cell r="K25">
            <v>127225.41560506415</v>
          </cell>
          <cell r="L25">
            <v>126088.37241058117</v>
          </cell>
          <cell r="M25">
            <v>75567.329681655057</v>
          </cell>
          <cell r="N25">
            <v>120005.00554023984</v>
          </cell>
          <cell r="O25">
            <v>70841.206433726809</v>
          </cell>
          <cell r="P25">
            <v>113377.59758172708</v>
          </cell>
          <cell r="Q25">
            <v>103727.67281520537</v>
          </cell>
          <cell r="R25">
            <v>41040.410988111726</v>
          </cell>
          <cell r="S25">
            <v>123105.84545765453</v>
          </cell>
          <cell r="T25">
            <v>39495.143849522028</v>
          </cell>
          <cell r="U25">
            <v>32138.257045551512</v>
          </cell>
          <cell r="V25">
            <v>65877.372426943315</v>
          </cell>
          <cell r="W25">
            <v>35290.854103931153</v>
          </cell>
          <cell r="X25"/>
          <cell r="Y25"/>
          <cell r="Z25">
            <v>1695715.8670000006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1695715.8670000006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983773.37899999996</v>
          </cell>
          <cell r="BF25">
            <v>0</v>
          </cell>
          <cell r="BG25">
            <v>0</v>
          </cell>
          <cell r="BH25"/>
          <cell r="BI25"/>
          <cell r="BJ25">
            <v>983773.37899999996</v>
          </cell>
          <cell r="BK25"/>
          <cell r="BL25"/>
          <cell r="BM25"/>
          <cell r="BN25"/>
          <cell r="BO25"/>
        </row>
        <row r="26">
          <cell r="F26">
            <v>-3485111.9169700057</v>
          </cell>
          <cell r="G26">
            <v>-393268.60871356935</v>
          </cell>
          <cell r="H26">
            <v>-386294.932259013</v>
          </cell>
          <cell r="I26">
            <v>-329392.91402454115</v>
          </cell>
          <cell r="J26">
            <v>-205492.77913694462</v>
          </cell>
          <cell r="K26">
            <v>-291203.86388996139</v>
          </cell>
          <cell r="L26">
            <v>-257617.56845110512</v>
          </cell>
          <cell r="M26">
            <v>-176061.74520059041</v>
          </cell>
          <cell r="N26">
            <v>-190636.79891978126</v>
          </cell>
          <cell r="O26">
            <v>-167561.73704310801</v>
          </cell>
          <cell r="P26">
            <v>-81276.164449794538</v>
          </cell>
          <cell r="Q26">
            <v>-117941.55017685547</v>
          </cell>
          <cell r="R26">
            <v>-167732.35440749663</v>
          </cell>
          <cell r="S26">
            <v>-203199.55901829875</v>
          </cell>
          <cell r="T26">
            <v>-29210.907191393766</v>
          </cell>
          <cell r="U26">
            <v>-21176.214865169088</v>
          </cell>
          <cell r="V26">
            <v>-76697.087930531357</v>
          </cell>
          <cell r="W26">
            <v>-66484.195311846488</v>
          </cell>
          <cell r="X26"/>
          <cell r="Y26"/>
          <cell r="Z26">
            <v>-3161248.980990001</v>
          </cell>
          <cell r="AA26">
            <v>44179.39</v>
          </cell>
          <cell r="AB26">
            <v>-2455.779</v>
          </cell>
          <cell r="AC26">
            <v>9237.51</v>
          </cell>
          <cell r="AD26">
            <v>22208.897000000001</v>
          </cell>
          <cell r="AE26">
            <v>0</v>
          </cell>
          <cell r="AF26"/>
          <cell r="AG26"/>
          <cell r="AH26">
            <v>73170.017999999996</v>
          </cell>
          <cell r="AI26">
            <v>-3088078.9629900027</v>
          </cell>
          <cell r="AJ26">
            <v>-21164.562989999995</v>
          </cell>
          <cell r="AK26">
            <v>-33388.203989999973</v>
          </cell>
          <cell r="AL26">
            <v>-356447.75800000003</v>
          </cell>
          <cell r="AM26"/>
          <cell r="AN26">
            <v>-411000.52497999987</v>
          </cell>
          <cell r="AO26">
            <v>-86633.557000000568</v>
          </cell>
          <cell r="AP26">
            <v>-855.83299999999997</v>
          </cell>
          <cell r="AQ26"/>
          <cell r="AR26"/>
          <cell r="AS26">
            <v>-87489.390000000567</v>
          </cell>
          <cell r="AT26">
            <v>3811.0720000000001</v>
          </cell>
          <cell r="AU26">
            <v>7891.8019999999997</v>
          </cell>
          <cell r="AV26">
            <v>-594.14400000000001</v>
          </cell>
          <cell r="AW26">
            <v>69447.191000000006</v>
          </cell>
          <cell r="AX26">
            <v>6067.8019999999997</v>
          </cell>
          <cell r="AY26"/>
          <cell r="AZ26"/>
          <cell r="BA26">
            <v>86623.723000000013</v>
          </cell>
          <cell r="BB26">
            <v>0</v>
          </cell>
          <cell r="BC26">
            <v>-4162.6419999999998</v>
          </cell>
          <cell r="BD26">
            <v>1028985.1040000001</v>
          </cell>
          <cell r="BE26">
            <v>-983773.37899999996</v>
          </cell>
          <cell r="BF26">
            <v>-6898.6769999999997</v>
          </cell>
          <cell r="BG26">
            <v>-19317.168000000001</v>
          </cell>
          <cell r="BH26"/>
          <cell r="BI26"/>
          <cell r="BJ26">
            <v>14833.238000000129</v>
          </cell>
          <cell r="BK26"/>
          <cell r="BL26"/>
          <cell r="BM26"/>
          <cell r="BN26"/>
          <cell r="BO26"/>
        </row>
        <row r="27">
          <cell r="F27">
            <v>-3485111.9169700011</v>
          </cell>
          <cell r="G27">
            <v>-393268.60871356929</v>
          </cell>
          <cell r="H27">
            <v>-386294.932259013</v>
          </cell>
          <cell r="I27">
            <v>-329392.9140245411</v>
          </cell>
          <cell r="J27">
            <v>-205492.77913694465</v>
          </cell>
          <cell r="K27">
            <v>-291203.86388996139</v>
          </cell>
          <cell r="L27">
            <v>-257617.56845110509</v>
          </cell>
          <cell r="M27">
            <v>-176061.74520059043</v>
          </cell>
          <cell r="N27">
            <v>-190636.79891978129</v>
          </cell>
          <cell r="O27">
            <v>-167561.73704310801</v>
          </cell>
          <cell r="P27">
            <v>-81276.164449794524</v>
          </cell>
          <cell r="Q27">
            <v>-117941.55017685548</v>
          </cell>
          <cell r="R27">
            <v>-167732.35440749663</v>
          </cell>
          <cell r="S27">
            <v>-203199.55901829875</v>
          </cell>
          <cell r="T27">
            <v>-29210.907191393766</v>
          </cell>
          <cell r="U27">
            <v>-21176.214865169088</v>
          </cell>
          <cell r="V27">
            <v>-76697.087930531357</v>
          </cell>
          <cell r="W27">
            <v>-66484.195311846488</v>
          </cell>
          <cell r="X27"/>
          <cell r="Y27"/>
          <cell r="Z27">
            <v>-3161248.980990001</v>
          </cell>
          <cell r="AA27">
            <v>44179.39</v>
          </cell>
          <cell r="AB27">
            <v>-2455.779</v>
          </cell>
          <cell r="AC27">
            <v>9237.51</v>
          </cell>
          <cell r="AD27">
            <v>22208.897000000001</v>
          </cell>
          <cell r="AE27">
            <v>0</v>
          </cell>
          <cell r="AF27"/>
          <cell r="AG27"/>
          <cell r="AH27">
            <v>73170.017999999996</v>
          </cell>
          <cell r="AI27">
            <v>-3088078.9629900008</v>
          </cell>
          <cell r="AJ27">
            <v>-21164.562989999995</v>
          </cell>
          <cell r="AK27">
            <v>-33388.203989999973</v>
          </cell>
          <cell r="AL27">
            <v>-356447.75800000003</v>
          </cell>
          <cell r="AM27"/>
          <cell r="AN27">
            <v>-411000.52497999999</v>
          </cell>
          <cell r="AO27">
            <v>-86633.557000000554</v>
          </cell>
          <cell r="AP27">
            <v>-855.83299999999997</v>
          </cell>
          <cell r="AQ27"/>
          <cell r="AR27"/>
          <cell r="AS27">
            <v>-87489.390000000552</v>
          </cell>
          <cell r="AT27">
            <v>3811.0720000000001</v>
          </cell>
          <cell r="AU27">
            <v>7891.8019999999997</v>
          </cell>
          <cell r="AV27">
            <v>-594.14400000000001</v>
          </cell>
          <cell r="AW27">
            <v>69447.191000000006</v>
          </cell>
          <cell r="AX27">
            <v>6067.8019999999997</v>
          </cell>
          <cell r="AY27"/>
          <cell r="AZ27"/>
          <cell r="BA27">
            <v>86623.722999999998</v>
          </cell>
          <cell r="BB27">
            <v>0</v>
          </cell>
          <cell r="BC27">
            <v>-4162.6419999999998</v>
          </cell>
          <cell r="BD27">
            <v>1028985.1040000001</v>
          </cell>
          <cell r="BE27">
            <v>-983773.37899999996</v>
          </cell>
          <cell r="BF27">
            <v>-6898.6769999999997</v>
          </cell>
          <cell r="BG27">
            <v>-19317.168000000001</v>
          </cell>
          <cell r="BH27"/>
          <cell r="BI27"/>
          <cell r="BJ27">
            <v>14833.238000000103</v>
          </cell>
          <cell r="BK27"/>
          <cell r="BL27"/>
          <cell r="BM27"/>
          <cell r="BN27"/>
          <cell r="BO27"/>
        </row>
        <row r="28">
          <cell r="F28">
            <v>-4.6566128730773926E-9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2.5465851649641991E-11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41036</v>
          </cell>
          <cell r="H31">
            <v>27740</v>
          </cell>
          <cell r="I31">
            <v>23440</v>
          </cell>
          <cell r="J31">
            <v>12924</v>
          </cell>
          <cell r="K31">
            <v>20362</v>
          </cell>
          <cell r="L31">
            <v>21623</v>
          </cell>
          <cell r="M31">
            <v>12437</v>
          </cell>
          <cell r="N31">
            <v>19458</v>
          </cell>
          <cell r="O31">
            <v>12654</v>
          </cell>
          <cell r="P31">
            <v>19115</v>
          </cell>
          <cell r="Q31">
            <v>17634</v>
          </cell>
          <cell r="R31">
            <v>6727</v>
          </cell>
          <cell r="S31">
            <v>21023</v>
          </cell>
          <cell r="T31">
            <v>6189</v>
          </cell>
          <cell r="U31">
            <v>5055.5</v>
          </cell>
          <cell r="V31">
            <v>11590</v>
          </cell>
          <cell r="W31">
            <v>4902</v>
          </cell>
          <cell r="X31">
            <v>0</v>
          </cell>
          <cell r="Y31">
            <v>0</v>
          </cell>
          <cell r="Z31">
            <v>283909.5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283909.5</v>
          </cell>
          <cell r="AJ31">
            <v>24924</v>
          </cell>
          <cell r="AK31">
            <v>25332</v>
          </cell>
          <cell r="AL31">
            <v>19977</v>
          </cell>
          <cell r="AM31"/>
          <cell r="AN31">
            <v>70233</v>
          </cell>
          <cell r="AO31">
            <v>7811.91</v>
          </cell>
          <cell r="AP31">
            <v>0</v>
          </cell>
          <cell r="AQ31"/>
          <cell r="AR31"/>
          <cell r="AS31">
            <v>7811.91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39037471.892999992</v>
          </cell>
          <cell r="G32">
            <v>3916193.648</v>
          </cell>
          <cell r="H32">
            <v>2752562.0550000002</v>
          </cell>
          <cell r="I32">
            <v>2319542.341</v>
          </cell>
          <cell r="J32">
            <v>1223361.18</v>
          </cell>
          <cell r="K32">
            <v>2088934.9990000001</v>
          </cell>
          <cell r="L32">
            <v>2070265.7</v>
          </cell>
          <cell r="M32">
            <v>1240752.3999999999</v>
          </cell>
          <cell r="N32">
            <v>1970381.9</v>
          </cell>
          <cell r="O32">
            <v>1163153.406</v>
          </cell>
          <cell r="P32">
            <v>1861565.4</v>
          </cell>
          <cell r="Q32">
            <v>1703121.7</v>
          </cell>
          <cell r="R32">
            <v>673849.25</v>
          </cell>
          <cell r="S32">
            <v>2021295.1</v>
          </cell>
          <cell r="T32">
            <v>648477.255</v>
          </cell>
          <cell r="U32">
            <v>527683.32200000004</v>
          </cell>
          <cell r="V32">
            <v>1081651.3999999999</v>
          </cell>
          <cell r="W32">
            <v>579446.33100000001</v>
          </cell>
          <cell r="X32">
            <v>0</v>
          </cell>
          <cell r="Y32">
            <v>0</v>
          </cell>
          <cell r="Z32">
            <v>27842237.386999995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>
            <v>0</v>
          </cell>
          <cell r="AF32"/>
          <cell r="AG32"/>
          <cell r="AH32">
            <v>90840</v>
          </cell>
          <cell r="AI32">
            <v>27933077.386999995</v>
          </cell>
          <cell r="AJ32">
            <v>710713</v>
          </cell>
          <cell r="AK32">
            <v>323054</v>
          </cell>
          <cell r="AL32">
            <v>367506</v>
          </cell>
          <cell r="AM32"/>
          <cell r="AN32">
            <v>1401273</v>
          </cell>
          <cell r="AO32">
            <v>9622753.1649999991</v>
          </cell>
          <cell r="AP32">
            <v>0</v>
          </cell>
          <cell r="AQ32"/>
          <cell r="AR32"/>
          <cell r="AS32">
            <v>9622753.1649999991</v>
          </cell>
          <cell r="AT32">
            <v>5250</v>
          </cell>
          <cell r="AU32">
            <v>3968.75</v>
          </cell>
          <cell r="AV32">
            <v>0</v>
          </cell>
          <cell r="AW32">
            <v>69447.191000000006</v>
          </cell>
          <cell r="AX32">
            <v>0</v>
          </cell>
          <cell r="AY32"/>
          <cell r="AZ32"/>
          <cell r="BA32">
            <v>78665.941000000006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1702.4</v>
          </cell>
        </row>
        <row r="33">
          <cell r="F33">
            <v>36730131.56797</v>
          </cell>
          <cell r="G33">
            <v>3725627.0559999999</v>
          </cell>
          <cell r="H33">
            <v>2679556.375</v>
          </cell>
          <cell r="I33">
            <v>2277757.7629900002</v>
          </cell>
          <cell r="J33">
            <v>1225228.4049999998</v>
          </cell>
          <cell r="K33">
            <v>2015099.7120000001</v>
          </cell>
          <cell r="L33">
            <v>1992063.919</v>
          </cell>
          <cell r="M33">
            <v>1201615.3829999999</v>
          </cell>
          <cell r="N33">
            <v>1841032.0339999998</v>
          </cell>
          <cell r="O33">
            <v>1121927.8039999998</v>
          </cell>
          <cell r="P33">
            <v>1653442.013</v>
          </cell>
          <cell r="Q33">
            <v>1549967.399</v>
          </cell>
          <cell r="R33">
            <v>710960.13699999999</v>
          </cell>
          <cell r="S33">
            <v>1916020.497</v>
          </cell>
          <cell r="T33">
            <v>589236.92099999997</v>
          </cell>
          <cell r="U33">
            <v>471460.06300000002</v>
          </cell>
          <cell r="V33">
            <v>987590.31</v>
          </cell>
          <cell r="W33">
            <v>556852.15</v>
          </cell>
          <cell r="X33">
            <v>0</v>
          </cell>
          <cell r="Y33">
            <v>0</v>
          </cell>
          <cell r="Z33">
            <v>26515437.940989997</v>
          </cell>
          <cell r="AA33">
            <v>5820.61</v>
          </cell>
          <cell r="AB33">
            <v>0</v>
          </cell>
          <cell r="AC33">
            <v>3262.49</v>
          </cell>
          <cell r="AD33">
            <v>6131.1030000000001</v>
          </cell>
          <cell r="AE33">
            <v>0</v>
          </cell>
          <cell r="AF33"/>
          <cell r="AG33"/>
          <cell r="AH33">
            <v>15214.202999999998</v>
          </cell>
          <cell r="AI33">
            <v>26530652.143989999</v>
          </cell>
          <cell r="AJ33">
            <v>708117.01498999994</v>
          </cell>
          <cell r="AK33">
            <v>356442.20398999995</v>
          </cell>
          <cell r="AL33">
            <v>723952.85800000001</v>
          </cell>
          <cell r="AM33"/>
          <cell r="AN33">
            <v>1788512.0769799999</v>
          </cell>
          <cell r="AO33">
            <v>9423119.4069999997</v>
          </cell>
          <cell r="AP33">
            <v>0</v>
          </cell>
          <cell r="AQ33"/>
          <cell r="AR33"/>
          <cell r="AS33">
            <v>9423119.4069999997</v>
          </cell>
          <cell r="AT33">
            <v>1438.9280000000001</v>
          </cell>
          <cell r="AU33">
            <v>-3923.0519999999997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-2484.1239999999998</v>
          </cell>
          <cell r="BB33">
            <v>0</v>
          </cell>
          <cell r="BC33">
            <v>0</v>
          </cell>
          <cell r="BD33">
            <v>-1028985.1040000001</v>
          </cell>
          <cell r="BE33">
            <v>0</v>
          </cell>
          <cell r="BF33">
            <v>0</v>
          </cell>
          <cell r="BG33">
            <v>19317.168000000001</v>
          </cell>
          <cell r="BH33"/>
          <cell r="BI33"/>
          <cell r="BJ33">
            <v>-1009667.9360000001</v>
          </cell>
        </row>
        <row r="34">
          <cell r="F34">
            <v>2307340.3250299916</v>
          </cell>
          <cell r="G34">
            <v>190566.59200000018</v>
          </cell>
          <cell r="H34">
            <v>73005.680000000168</v>
          </cell>
          <cell r="I34">
            <v>41784.578009999823</v>
          </cell>
          <cell r="J34">
            <v>-1867.2249999998603</v>
          </cell>
          <cell r="K34">
            <v>73835.287000000011</v>
          </cell>
          <cell r="L34">
            <v>78201.780999999959</v>
          </cell>
          <cell r="M34">
            <v>39137.016999999993</v>
          </cell>
          <cell r="N34">
            <v>129349.86600000015</v>
          </cell>
          <cell r="O34">
            <v>41225.602000000188</v>
          </cell>
          <cell r="P34">
            <v>208123.38699999987</v>
          </cell>
          <cell r="Q34">
            <v>153154.30099999998</v>
          </cell>
          <cell r="R34">
            <v>-37110.886999999988</v>
          </cell>
          <cell r="S34">
            <v>105274.60300000012</v>
          </cell>
          <cell r="T34">
            <v>59240.334000000032</v>
          </cell>
          <cell r="U34">
            <v>56223.25900000002</v>
          </cell>
          <cell r="V34">
            <v>94061.089999999851</v>
          </cell>
          <cell r="W34">
            <v>22594.180999999982</v>
          </cell>
          <cell r="X34">
            <v>0</v>
          </cell>
          <cell r="Y34">
            <v>0</v>
          </cell>
          <cell r="Z34">
            <v>1326799.4460099973</v>
          </cell>
          <cell r="AA34">
            <v>44179.39</v>
          </cell>
          <cell r="AB34">
            <v>0</v>
          </cell>
          <cell r="AC34">
            <v>9237.51</v>
          </cell>
          <cell r="AD34">
            <v>22208.897000000001</v>
          </cell>
          <cell r="AE34">
            <v>0</v>
          </cell>
          <cell r="AF34"/>
          <cell r="AG34"/>
          <cell r="AH34">
            <v>75625.797000000006</v>
          </cell>
          <cell r="AI34">
            <v>1402425.2430099957</v>
          </cell>
          <cell r="AJ34">
            <v>2595.9850100000622</v>
          </cell>
          <cell r="AK34">
            <v>-33388.203989999951</v>
          </cell>
          <cell r="AL34">
            <v>-356446.85800000001</v>
          </cell>
          <cell r="AM34"/>
          <cell r="AN34">
            <v>-387239.0769799999</v>
          </cell>
          <cell r="AO34">
            <v>199633.75799999945</v>
          </cell>
          <cell r="AP34">
            <v>0</v>
          </cell>
          <cell r="AQ34"/>
          <cell r="AR34"/>
          <cell r="AS34">
            <v>199633.75799999945</v>
          </cell>
          <cell r="AT34">
            <v>3811.0720000000001</v>
          </cell>
          <cell r="AU34">
            <v>7891.8019999999997</v>
          </cell>
          <cell r="AV34">
            <v>0</v>
          </cell>
          <cell r="AW34">
            <v>69447.191000000006</v>
          </cell>
          <cell r="AX34">
            <v>0</v>
          </cell>
          <cell r="AY34"/>
          <cell r="AZ34"/>
          <cell r="BA34">
            <v>81150.065000000002</v>
          </cell>
          <cell r="BB34">
            <v>0</v>
          </cell>
          <cell r="BC34">
            <v>1702.4</v>
          </cell>
          <cell r="BD34">
            <v>1028985.1040000001</v>
          </cell>
          <cell r="BE34">
            <v>0</v>
          </cell>
          <cell r="BF34">
            <v>0</v>
          </cell>
          <cell r="BG34">
            <v>-19317.168000000001</v>
          </cell>
          <cell r="BH34"/>
          <cell r="BI34"/>
          <cell r="BJ34">
            <v>1011370.3360000001</v>
          </cell>
        </row>
        <row r="35">
          <cell r="F35">
            <v>5792452.2420000006</v>
          </cell>
          <cell r="G35">
            <v>583835.20071356965</v>
          </cell>
          <cell r="H35">
            <v>459300.61225901317</v>
          </cell>
          <cell r="I35">
            <v>371177.49203454086</v>
          </cell>
          <cell r="J35">
            <v>203625.55413694467</v>
          </cell>
          <cell r="K35">
            <v>365039.1508899614</v>
          </cell>
          <cell r="L35">
            <v>335819.34945110511</v>
          </cell>
          <cell r="M35">
            <v>215198.76220059043</v>
          </cell>
          <cell r="N35">
            <v>319986.66491978138</v>
          </cell>
          <cell r="O35">
            <v>208787.33904310811</v>
          </cell>
          <cell r="P35">
            <v>289399.55144979444</v>
          </cell>
          <cell r="Q35">
            <v>271095.85117685539</v>
          </cell>
          <cell r="R35">
            <v>130621.46740749663</v>
          </cell>
          <cell r="S35">
            <v>308474.16201829899</v>
          </cell>
          <cell r="T35">
            <v>88451.241191393812</v>
          </cell>
          <cell r="U35">
            <v>77399.47386516913</v>
          </cell>
          <cell r="V35">
            <v>170758.17793053124</v>
          </cell>
          <cell r="W35">
            <v>89078.37631184647</v>
          </cell>
          <cell r="X35">
            <v>0</v>
          </cell>
          <cell r="Y35">
            <v>0</v>
          </cell>
          <cell r="Z35">
            <v>4488048.4270000001</v>
          </cell>
          <cell r="AA35">
            <v>0</v>
          </cell>
          <cell r="AB35">
            <v>2455.779</v>
          </cell>
          <cell r="AC35">
            <v>0</v>
          </cell>
          <cell r="AD35">
            <v>0</v>
          </cell>
          <cell r="AE35">
            <v>0</v>
          </cell>
          <cell r="AF35"/>
          <cell r="AG35"/>
          <cell r="AH35">
            <v>2455.779</v>
          </cell>
          <cell r="AI35">
            <v>4490504.2060000002</v>
          </cell>
          <cell r="AJ35">
            <v>23760.548000000003</v>
          </cell>
          <cell r="AK35">
            <v>0</v>
          </cell>
          <cell r="AL35">
            <v>0.9</v>
          </cell>
          <cell r="AM35"/>
          <cell r="AN35">
            <v>23761.448000000004</v>
          </cell>
          <cell r="AO35">
            <v>286267.315</v>
          </cell>
          <cell r="AP35">
            <v>855.83299999999997</v>
          </cell>
          <cell r="AQ35"/>
          <cell r="AR35"/>
          <cell r="AS35">
            <v>287123.14799999999</v>
          </cell>
          <cell r="AT35">
            <v>0</v>
          </cell>
          <cell r="AU35">
            <v>0</v>
          </cell>
          <cell r="AV35">
            <v>594.14400000000001</v>
          </cell>
          <cell r="AW35">
            <v>0</v>
          </cell>
          <cell r="AX35">
            <v>-6067.8019999999997</v>
          </cell>
          <cell r="AY35"/>
          <cell r="AZ35"/>
          <cell r="BA35">
            <v>-5473.6579999999994</v>
          </cell>
          <cell r="BB35">
            <v>0</v>
          </cell>
          <cell r="BC35">
            <v>5865.0420000000004</v>
          </cell>
          <cell r="BD35">
            <v>0</v>
          </cell>
          <cell r="BE35">
            <v>983773.37899999996</v>
          </cell>
          <cell r="BF35">
            <v>6898.6769999999997</v>
          </cell>
          <cell r="BG35">
            <v>0</v>
          </cell>
          <cell r="BH35"/>
          <cell r="BI35"/>
          <cell r="BJ35">
            <v>996537.098</v>
          </cell>
        </row>
        <row r="36">
          <cell r="F36">
            <v>-3485111.916970009</v>
          </cell>
          <cell r="G36">
            <v>-393268.60871356947</v>
          </cell>
          <cell r="H36">
            <v>-386294.932259013</v>
          </cell>
          <cell r="I36">
            <v>-329392.91402454104</v>
          </cell>
          <cell r="J36">
            <v>-205492.77913694453</v>
          </cell>
          <cell r="K36">
            <v>-291203.86388996139</v>
          </cell>
          <cell r="L36">
            <v>-257617.56845110515</v>
          </cell>
          <cell r="M36">
            <v>-176061.74520059043</v>
          </cell>
          <cell r="N36">
            <v>-190636.79891978123</v>
          </cell>
          <cell r="O36">
            <v>-167561.73704310792</v>
          </cell>
          <cell r="P36">
            <v>-81276.164449794567</v>
          </cell>
          <cell r="Q36">
            <v>-117941.55017685541</v>
          </cell>
          <cell r="R36">
            <v>-167732.35440749663</v>
          </cell>
          <cell r="S36">
            <v>-203199.55901829887</v>
          </cell>
          <cell r="T36">
            <v>-29210.907191393781</v>
          </cell>
          <cell r="U36">
            <v>-21176.21486516911</v>
          </cell>
          <cell r="V36">
            <v>-76697.087930531387</v>
          </cell>
          <cell r="W36">
            <v>-66484.195311846488</v>
          </cell>
          <cell r="X36">
            <v>0</v>
          </cell>
          <cell r="Y36">
            <v>0</v>
          </cell>
          <cell r="Z36">
            <v>-3161248.9809900029</v>
          </cell>
          <cell r="AA36">
            <v>44179.39</v>
          </cell>
          <cell r="AB36">
            <v>-2455.779</v>
          </cell>
          <cell r="AC36">
            <v>9237.51</v>
          </cell>
          <cell r="AD36">
            <v>22208.897000000001</v>
          </cell>
          <cell r="AE36">
            <v>0</v>
          </cell>
          <cell r="AF36"/>
          <cell r="AG36"/>
          <cell r="AH36">
            <v>73170.018000000011</v>
          </cell>
          <cell r="AI36">
            <v>-3088078.9629900046</v>
          </cell>
          <cell r="AJ36">
            <v>-21164.56298999994</v>
          </cell>
          <cell r="AK36">
            <v>-33388.203989999951</v>
          </cell>
          <cell r="AL36">
            <v>-356447.75800000003</v>
          </cell>
          <cell r="AM36"/>
          <cell r="AN36">
            <v>-411000.52497999987</v>
          </cell>
          <cell r="AO36">
            <v>-86633.557000000554</v>
          </cell>
          <cell r="AP36">
            <v>-855.83299999999997</v>
          </cell>
          <cell r="AQ36"/>
          <cell r="AR36"/>
          <cell r="AS36">
            <v>-87489.390000000538</v>
          </cell>
          <cell r="AT36">
            <v>3811.0720000000001</v>
          </cell>
          <cell r="AU36">
            <v>7891.8019999999997</v>
          </cell>
          <cell r="AV36">
            <v>-594.14400000000001</v>
          </cell>
          <cell r="AW36">
            <v>69447.191000000006</v>
          </cell>
          <cell r="AX36">
            <v>6067.8019999999997</v>
          </cell>
          <cell r="AY36"/>
          <cell r="AZ36"/>
          <cell r="BA36">
            <v>86623.722999999998</v>
          </cell>
          <cell r="BB36">
            <v>0</v>
          </cell>
          <cell r="BC36">
            <v>-4162.6419999999998</v>
          </cell>
          <cell r="BD36">
            <v>1028985.1040000001</v>
          </cell>
          <cell r="BE36">
            <v>-983773.37899999996</v>
          </cell>
          <cell r="BF36">
            <v>-6898.6769999999997</v>
          </cell>
          <cell r="BG36">
            <v>-19317.168000000001</v>
          </cell>
          <cell r="BH36"/>
          <cell r="BI36"/>
          <cell r="BJ36">
            <v>14833.238000000129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-15442</v>
          </cell>
          <cell r="AK38">
            <v>-17492</v>
          </cell>
          <cell r="AL38">
            <v>-15401</v>
          </cell>
          <cell r="AM38"/>
          <cell r="AN38">
            <v>-48335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-974037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-441037</v>
          </cell>
          <cell r="AK39">
            <v>-243590</v>
          </cell>
          <cell r="AL39">
            <v>-289410</v>
          </cell>
          <cell r="AM39"/>
          <cell r="AN39">
            <v>-974037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-974037</v>
          </cell>
          <cell r="G40"/>
          <cell r="H40"/>
          <cell r="I40"/>
          <cell r="J40"/>
          <cell r="K40">
            <v>234689.27600000001</v>
          </cell>
          <cell r="L40">
            <v>30261.023000000001</v>
          </cell>
          <cell r="M40">
            <v>5402.0829999999996</v>
          </cell>
          <cell r="N40">
            <v>3268.76</v>
          </cell>
          <cell r="O40">
            <v>616.94500000000005</v>
          </cell>
          <cell r="P40">
            <v>2491.6970000000001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276729.78399999999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276729.78399999999</v>
          </cell>
          <cell r="AJ40">
            <v>-438371.37199999997</v>
          </cell>
          <cell r="AK40">
            <v>-254414.076</v>
          </cell>
          <cell r="AL40">
            <v>-557981.33600000001</v>
          </cell>
          <cell r="AM40"/>
          <cell r="AN40">
            <v>-1250766.784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-234689.27600000001</v>
          </cell>
          <cell r="L41">
            <v>-30261.023000000001</v>
          </cell>
          <cell r="M41">
            <v>-5402.0829999999996</v>
          </cell>
          <cell r="N41">
            <v>-3268.76</v>
          </cell>
          <cell r="O41">
            <v>-616.94500000000005</v>
          </cell>
          <cell r="P41">
            <v>-2491.6970000000001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-276729.78399999999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-276729.78399999999</v>
          </cell>
          <cell r="AJ41">
            <v>-2665.6280000000261</v>
          </cell>
          <cell r="AK41">
            <v>10824.076000000001</v>
          </cell>
          <cell r="AL41">
            <v>268571.33600000001</v>
          </cell>
          <cell r="AM41"/>
          <cell r="AN41">
            <v>276729.78399999999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-234689.27600000001</v>
          </cell>
          <cell r="L43">
            <v>-30261.023000000001</v>
          </cell>
          <cell r="M43">
            <v>-5402.0829999999996</v>
          </cell>
          <cell r="N43">
            <v>-3268.76</v>
          </cell>
          <cell r="O43">
            <v>-616.94500000000005</v>
          </cell>
          <cell r="P43">
            <v>-2491.6970000000001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-276729.78399999999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-276729.78399999999</v>
          </cell>
          <cell r="AJ43">
            <v>-2665.6280000000261</v>
          </cell>
          <cell r="AK43">
            <v>10824.076000000001</v>
          </cell>
          <cell r="AL43">
            <v>268571.33600000001</v>
          </cell>
          <cell r="AM43"/>
          <cell r="AN43">
            <v>276729.78399999999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41036</v>
          </cell>
          <cell r="H45">
            <v>27740</v>
          </cell>
          <cell r="I45">
            <v>23440</v>
          </cell>
          <cell r="J45">
            <v>12924</v>
          </cell>
          <cell r="K45">
            <v>20362</v>
          </cell>
          <cell r="L45">
            <v>21623</v>
          </cell>
          <cell r="M45">
            <v>12437</v>
          </cell>
          <cell r="N45">
            <v>19458</v>
          </cell>
          <cell r="O45">
            <v>12654</v>
          </cell>
          <cell r="P45">
            <v>19115</v>
          </cell>
          <cell r="Q45">
            <v>17634</v>
          </cell>
          <cell r="R45">
            <v>6727</v>
          </cell>
          <cell r="S45">
            <v>21023</v>
          </cell>
          <cell r="T45">
            <v>6189</v>
          </cell>
          <cell r="U45">
            <v>5055.5</v>
          </cell>
          <cell r="V45">
            <v>11590</v>
          </cell>
          <cell r="W45">
            <v>4902</v>
          </cell>
          <cell r="X45">
            <v>0</v>
          </cell>
          <cell r="Y45">
            <v>0</v>
          </cell>
          <cell r="Z45">
            <v>283909.5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283909.5</v>
          </cell>
          <cell r="AJ45">
            <v>9482</v>
          </cell>
          <cell r="AK45">
            <v>7840</v>
          </cell>
          <cell r="AL45">
            <v>4576</v>
          </cell>
          <cell r="AM45"/>
          <cell r="AN45">
            <v>21898</v>
          </cell>
          <cell r="AO45">
            <v>7811.91</v>
          </cell>
          <cell r="AP45">
            <v>0</v>
          </cell>
          <cell r="AQ45"/>
          <cell r="AR45"/>
          <cell r="AS45">
            <v>7811.91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38063434.892999992</v>
          </cell>
          <cell r="G46">
            <v>3916193.648</v>
          </cell>
          <cell r="H46">
            <v>2752562.0550000002</v>
          </cell>
          <cell r="I46">
            <v>2319542.341</v>
          </cell>
          <cell r="J46">
            <v>1223361.18</v>
          </cell>
          <cell r="K46">
            <v>2088934.9990000001</v>
          </cell>
          <cell r="L46">
            <v>2070265.7</v>
          </cell>
          <cell r="M46">
            <v>1240752.3999999999</v>
          </cell>
          <cell r="N46">
            <v>1970381.9</v>
          </cell>
          <cell r="O46">
            <v>1163153.406</v>
          </cell>
          <cell r="P46">
            <v>1861565.4</v>
          </cell>
          <cell r="Q46">
            <v>1703121.7</v>
          </cell>
          <cell r="R46">
            <v>673849.25</v>
          </cell>
          <cell r="S46">
            <v>2021295.1</v>
          </cell>
          <cell r="T46">
            <v>648477.255</v>
          </cell>
          <cell r="U46">
            <v>527683.32200000004</v>
          </cell>
          <cell r="V46">
            <v>1081651.3999999999</v>
          </cell>
          <cell r="W46">
            <v>579446.33100000001</v>
          </cell>
          <cell r="X46">
            <v>0</v>
          </cell>
          <cell r="Y46">
            <v>0</v>
          </cell>
          <cell r="Z46">
            <v>27842237.386999995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>
            <v>0</v>
          </cell>
          <cell r="AF46"/>
          <cell r="AG46"/>
          <cell r="AH46">
            <v>90840</v>
          </cell>
          <cell r="AI46">
            <v>27933077.386999995</v>
          </cell>
          <cell r="AJ46">
            <v>269676</v>
          </cell>
          <cell r="AK46">
            <v>79464</v>
          </cell>
          <cell r="AL46">
            <v>78096</v>
          </cell>
          <cell r="AM46"/>
          <cell r="AN46">
            <v>427236</v>
          </cell>
          <cell r="AO46">
            <v>9622753.1649999991</v>
          </cell>
          <cell r="AP46">
            <v>0</v>
          </cell>
          <cell r="AQ46"/>
          <cell r="AR46"/>
          <cell r="AS46">
            <v>9622753.1649999991</v>
          </cell>
          <cell r="AT46">
            <v>5250</v>
          </cell>
          <cell r="AU46">
            <v>3968.75</v>
          </cell>
          <cell r="AV46">
            <v>0</v>
          </cell>
          <cell r="AW46">
            <v>69447.191000000006</v>
          </cell>
          <cell r="AX46">
            <v>0</v>
          </cell>
          <cell r="AY46"/>
          <cell r="AZ46"/>
          <cell r="BA46">
            <v>78665.941000000006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1702.4</v>
          </cell>
        </row>
        <row r="47">
          <cell r="F47">
            <v>35756094.56797</v>
          </cell>
          <cell r="G47">
            <v>3725627.0559999999</v>
          </cell>
          <cell r="H47">
            <v>2679556.375</v>
          </cell>
          <cell r="I47">
            <v>2277757.7629900002</v>
          </cell>
          <cell r="J47">
            <v>1225228.4049999998</v>
          </cell>
          <cell r="K47">
            <v>2249788.9879999999</v>
          </cell>
          <cell r="L47">
            <v>2022324.942</v>
          </cell>
          <cell r="M47">
            <v>1207017.466</v>
          </cell>
          <cell r="N47">
            <v>1844300.7939999998</v>
          </cell>
          <cell r="O47">
            <v>1122544.7489999998</v>
          </cell>
          <cell r="P47">
            <v>1655933.71</v>
          </cell>
          <cell r="Q47">
            <v>1549967.399</v>
          </cell>
          <cell r="R47">
            <v>710960.13699999999</v>
          </cell>
          <cell r="S47">
            <v>1916020.497</v>
          </cell>
          <cell r="T47">
            <v>589236.92099999997</v>
          </cell>
          <cell r="U47">
            <v>471460.06300000002</v>
          </cell>
          <cell r="V47">
            <v>987590.31</v>
          </cell>
          <cell r="W47">
            <v>556852.15</v>
          </cell>
          <cell r="X47">
            <v>0</v>
          </cell>
          <cell r="Y47">
            <v>0</v>
          </cell>
          <cell r="Z47">
            <v>26792167.724989995</v>
          </cell>
          <cell r="AA47">
            <v>5820.61</v>
          </cell>
          <cell r="AB47">
            <v>0</v>
          </cell>
          <cell r="AC47">
            <v>3262.49</v>
          </cell>
          <cell r="AD47">
            <v>6131.1030000000001</v>
          </cell>
          <cell r="AE47">
            <v>0</v>
          </cell>
          <cell r="AF47"/>
          <cell r="AG47"/>
          <cell r="AH47">
            <v>15214.202999999998</v>
          </cell>
          <cell r="AI47">
            <v>26807381.927989997</v>
          </cell>
          <cell r="AJ47">
            <v>269745.64298999996</v>
          </cell>
          <cell r="AK47">
            <v>102028.12798999995</v>
          </cell>
          <cell r="AL47">
            <v>165971.522</v>
          </cell>
          <cell r="AM47"/>
          <cell r="AN47">
            <v>537745.29297999991</v>
          </cell>
          <cell r="AO47">
            <v>9423119.4069999997</v>
          </cell>
          <cell r="AP47">
            <v>0</v>
          </cell>
          <cell r="AQ47"/>
          <cell r="AR47"/>
          <cell r="AS47">
            <v>9423119.4069999997</v>
          </cell>
          <cell r="AT47">
            <v>1438.9280000000001</v>
          </cell>
          <cell r="AU47">
            <v>-3923.0519999999997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-2484.1239999999998</v>
          </cell>
          <cell r="BB47">
            <v>0</v>
          </cell>
          <cell r="BC47">
            <v>0</v>
          </cell>
          <cell r="BD47">
            <v>-1028985.1040000001</v>
          </cell>
          <cell r="BE47">
            <v>0</v>
          </cell>
          <cell r="BF47">
            <v>0</v>
          </cell>
          <cell r="BG47">
            <v>19317.168000000001</v>
          </cell>
          <cell r="BH47"/>
          <cell r="BI47"/>
          <cell r="BJ47">
            <v>-1009667.9360000001</v>
          </cell>
        </row>
        <row r="48">
          <cell r="F48">
            <v>2307340.3250299916</v>
          </cell>
          <cell r="G48">
            <v>190566.59200000018</v>
          </cell>
          <cell r="H48">
            <v>73005.680000000168</v>
          </cell>
          <cell r="I48">
            <v>41784.578009999823</v>
          </cell>
          <cell r="J48">
            <v>-1867.2249999998603</v>
          </cell>
          <cell r="K48">
            <v>-160853.98899999983</v>
          </cell>
          <cell r="L48">
            <v>47940.757999999914</v>
          </cell>
          <cell r="M48">
            <v>33734.933999999892</v>
          </cell>
          <cell r="N48">
            <v>126081.10600000015</v>
          </cell>
          <cell r="O48">
            <v>40608.657000000123</v>
          </cell>
          <cell r="P48">
            <v>205631.68999999994</v>
          </cell>
          <cell r="Q48">
            <v>153154.30099999998</v>
          </cell>
          <cell r="R48">
            <v>-37110.886999999988</v>
          </cell>
          <cell r="S48">
            <v>105274.60300000012</v>
          </cell>
          <cell r="T48">
            <v>59240.334000000032</v>
          </cell>
          <cell r="U48">
            <v>56223.25900000002</v>
          </cell>
          <cell r="V48">
            <v>94061.089999999851</v>
          </cell>
          <cell r="W48">
            <v>22594.180999999982</v>
          </cell>
          <cell r="X48">
            <v>0</v>
          </cell>
          <cell r="Y48">
            <v>0</v>
          </cell>
          <cell r="Z48">
            <v>1050069.6620099992</v>
          </cell>
          <cell r="AA48">
            <v>44179.39</v>
          </cell>
          <cell r="AB48">
            <v>0</v>
          </cell>
          <cell r="AC48">
            <v>9237.51</v>
          </cell>
          <cell r="AD48">
            <v>22208.897000000001</v>
          </cell>
          <cell r="AE48">
            <v>0</v>
          </cell>
          <cell r="AF48"/>
          <cell r="AG48"/>
          <cell r="AH48">
            <v>75625.797000000006</v>
          </cell>
          <cell r="AI48">
            <v>1125695.4590099975</v>
          </cell>
          <cell r="AJ48">
            <v>-69.642989999963902</v>
          </cell>
          <cell r="AK48">
            <v>-22564.12798999995</v>
          </cell>
          <cell r="AL48">
            <v>-87875.521999999997</v>
          </cell>
          <cell r="AM48"/>
          <cell r="AN48">
            <v>-110509.29297999991</v>
          </cell>
          <cell r="AO48">
            <v>199633.75799999945</v>
          </cell>
          <cell r="AP48">
            <v>0</v>
          </cell>
          <cell r="AQ48"/>
          <cell r="AR48"/>
          <cell r="AS48">
            <v>199633.75799999945</v>
          </cell>
          <cell r="AT48">
            <v>3811.0720000000001</v>
          </cell>
          <cell r="AU48">
            <v>7891.8019999999997</v>
          </cell>
          <cell r="AV48">
            <v>0</v>
          </cell>
          <cell r="AW48">
            <v>69447.191000000006</v>
          </cell>
          <cell r="AX48">
            <v>0</v>
          </cell>
          <cell r="AY48"/>
          <cell r="AZ48"/>
          <cell r="BA48">
            <v>81150.065000000002</v>
          </cell>
          <cell r="BB48">
            <v>0</v>
          </cell>
          <cell r="BC48">
            <v>1702.4</v>
          </cell>
          <cell r="BD48">
            <v>1028985.1040000001</v>
          </cell>
          <cell r="BE48">
            <v>0</v>
          </cell>
          <cell r="BF48">
            <v>0</v>
          </cell>
          <cell r="BG48">
            <v>-19317.168000000001</v>
          </cell>
          <cell r="BH48"/>
          <cell r="BI48"/>
          <cell r="BJ48">
            <v>1011370.3360000001</v>
          </cell>
        </row>
        <row r="49">
          <cell r="F49">
            <v>5792452.2420000006</v>
          </cell>
          <cell r="G49">
            <v>583835.20071356965</v>
          </cell>
          <cell r="H49">
            <v>459300.61225901317</v>
          </cell>
          <cell r="I49">
            <v>371177.49203454086</v>
          </cell>
          <cell r="J49">
            <v>203625.55413694467</v>
          </cell>
          <cell r="K49">
            <v>365039.1508899614</v>
          </cell>
          <cell r="L49">
            <v>335819.34945110511</v>
          </cell>
          <cell r="M49">
            <v>215198.76220059043</v>
          </cell>
          <cell r="N49">
            <v>319986.66491978138</v>
          </cell>
          <cell r="O49">
            <v>208787.33904310811</v>
          </cell>
          <cell r="P49">
            <v>289399.55144979444</v>
          </cell>
          <cell r="Q49">
            <v>271095.85117685539</v>
          </cell>
          <cell r="R49">
            <v>130621.46740749663</v>
          </cell>
          <cell r="S49">
            <v>308474.16201829899</v>
          </cell>
          <cell r="T49">
            <v>88451.241191393812</v>
          </cell>
          <cell r="U49">
            <v>77399.47386516913</v>
          </cell>
          <cell r="V49">
            <v>170758.17793053124</v>
          </cell>
          <cell r="W49">
            <v>89078.37631184647</v>
          </cell>
          <cell r="X49">
            <v>0</v>
          </cell>
          <cell r="Y49">
            <v>0</v>
          </cell>
          <cell r="Z49">
            <v>4488048.4270000001</v>
          </cell>
          <cell r="AA49">
            <v>0</v>
          </cell>
          <cell r="AB49">
            <v>2455.779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>
            <v>2455.779</v>
          </cell>
          <cell r="AI49">
            <v>4490504.2060000002</v>
          </cell>
          <cell r="AJ49">
            <v>23760.548000000003</v>
          </cell>
          <cell r="AK49">
            <v>0</v>
          </cell>
          <cell r="AL49">
            <v>0.9</v>
          </cell>
          <cell r="AM49"/>
          <cell r="AN49">
            <v>23761.448000000004</v>
          </cell>
          <cell r="AO49">
            <v>286267.315</v>
          </cell>
          <cell r="AP49">
            <v>855.83299999999997</v>
          </cell>
          <cell r="AQ49"/>
          <cell r="AR49"/>
          <cell r="AS49">
            <v>287123.14799999999</v>
          </cell>
          <cell r="AT49">
            <v>0</v>
          </cell>
          <cell r="AU49">
            <v>0</v>
          </cell>
          <cell r="AV49">
            <v>594.14400000000001</v>
          </cell>
          <cell r="AW49">
            <v>0</v>
          </cell>
          <cell r="AX49">
            <v>-6067.8019999999997</v>
          </cell>
          <cell r="AY49"/>
          <cell r="AZ49"/>
          <cell r="BA49">
            <v>-5473.6579999999994</v>
          </cell>
          <cell r="BB49">
            <v>0</v>
          </cell>
          <cell r="BC49">
            <v>5865.0420000000004</v>
          </cell>
          <cell r="BD49">
            <v>0</v>
          </cell>
          <cell r="BE49">
            <v>983773.37899999996</v>
          </cell>
          <cell r="BF49">
            <v>6898.6769999999997</v>
          </cell>
          <cell r="BG49">
            <v>0</v>
          </cell>
          <cell r="BH49"/>
          <cell r="BI49"/>
          <cell r="BJ49">
            <v>996537.098</v>
          </cell>
        </row>
        <row r="50">
          <cell r="F50">
            <v>-3485111.916970009</v>
          </cell>
          <cell r="G50">
            <v>-393268.60871356947</v>
          </cell>
          <cell r="H50">
            <v>-386294.932259013</v>
          </cell>
          <cell r="I50">
            <v>-329392.91402454104</v>
          </cell>
          <cell r="J50">
            <v>-205492.77913694453</v>
          </cell>
          <cell r="K50">
            <v>-525893.13988996122</v>
          </cell>
          <cell r="L50">
            <v>-287878.5914511052</v>
          </cell>
          <cell r="M50">
            <v>-181463.82820059053</v>
          </cell>
          <cell r="N50">
            <v>-193905.55891978124</v>
          </cell>
          <cell r="O50">
            <v>-168178.68204310798</v>
          </cell>
          <cell r="P50">
            <v>-83767.861449794495</v>
          </cell>
          <cell r="Q50">
            <v>-117941.55017685541</v>
          </cell>
          <cell r="R50">
            <v>-167732.35440749663</v>
          </cell>
          <cell r="S50">
            <v>-203199.55901829887</v>
          </cell>
          <cell r="T50">
            <v>-29210.907191393781</v>
          </cell>
          <cell r="U50">
            <v>-21176.21486516911</v>
          </cell>
          <cell r="V50">
            <v>-76697.087930531387</v>
          </cell>
          <cell r="W50">
            <v>-66484.195311846488</v>
          </cell>
          <cell r="X50">
            <v>0</v>
          </cell>
          <cell r="Y50">
            <v>0</v>
          </cell>
          <cell r="Z50">
            <v>-3437978.764990001</v>
          </cell>
          <cell r="AA50">
            <v>44179.39</v>
          </cell>
          <cell r="AB50">
            <v>-2455.779</v>
          </cell>
          <cell r="AC50">
            <v>9237.51</v>
          </cell>
          <cell r="AD50">
            <v>22208.897000000001</v>
          </cell>
          <cell r="AE50">
            <v>0</v>
          </cell>
          <cell r="AF50"/>
          <cell r="AG50"/>
          <cell r="AH50">
            <v>73170.018000000011</v>
          </cell>
          <cell r="AI50">
            <v>-3364808.7469900027</v>
          </cell>
          <cell r="AJ50">
            <v>-23830.190989999966</v>
          </cell>
          <cell r="AK50">
            <v>-22564.12798999995</v>
          </cell>
          <cell r="AL50">
            <v>-87876.421999999991</v>
          </cell>
          <cell r="AM50"/>
          <cell r="AN50">
            <v>-134270.74097999991</v>
          </cell>
          <cell r="AO50">
            <v>-86633.557000000554</v>
          </cell>
          <cell r="AP50">
            <v>-855.83299999999997</v>
          </cell>
          <cell r="AQ50"/>
          <cell r="AR50"/>
          <cell r="AS50">
            <v>-87489.390000000538</v>
          </cell>
          <cell r="AT50">
            <v>3811.0720000000001</v>
          </cell>
          <cell r="AU50">
            <v>7891.8019999999997</v>
          </cell>
          <cell r="AV50">
            <v>-594.14400000000001</v>
          </cell>
          <cell r="AW50">
            <v>69447.191000000006</v>
          </cell>
          <cell r="AX50">
            <v>6067.8019999999997</v>
          </cell>
          <cell r="AY50"/>
          <cell r="AZ50"/>
          <cell r="BA50">
            <v>86623.722999999998</v>
          </cell>
          <cell r="BB50">
            <v>0</v>
          </cell>
          <cell r="BC50">
            <v>-4162.6419999999998</v>
          </cell>
          <cell r="BD50">
            <v>1028985.1040000001</v>
          </cell>
          <cell r="BE50">
            <v>-983773.37899999996</v>
          </cell>
          <cell r="BF50">
            <v>-6898.6769999999997</v>
          </cell>
          <cell r="BG50">
            <v>-19317.168000000001</v>
          </cell>
          <cell r="BH50"/>
          <cell r="BI50"/>
          <cell r="BJ50">
            <v>14833.238000000129</v>
          </cell>
        </row>
        <row r="53">
          <cell r="J53"/>
        </row>
        <row r="54">
          <cell r="J54"/>
        </row>
      </sheetData>
      <sheetData sheetId="26">
        <row r="6">
          <cell r="F6" t="str">
            <v>합계</v>
          </cell>
        </row>
      </sheetData>
      <sheetData sheetId="27"/>
      <sheetData sheetId="28"/>
      <sheetData sheetId="29">
        <row r="39">
          <cell r="F39">
            <v>8813634.2919999994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사업장별(당월)_공장 송부용"/>
      <sheetName val="사업장별(누계)_공장 송부용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3192.5</v>
          </cell>
          <cell r="K7">
            <v>3105.9389999999994</v>
          </cell>
          <cell r="M7">
            <v>3559.7181800000003</v>
          </cell>
        </row>
        <row r="8">
          <cell r="J8">
            <v>81400</v>
          </cell>
          <cell r="K8">
            <v>97161.153999999995</v>
          </cell>
          <cell r="M8">
            <v>88735.037000000011</v>
          </cell>
        </row>
        <row r="9">
          <cell r="J9">
            <v>1105.0942096955121</v>
          </cell>
          <cell r="K9">
            <v>780.43100000000004</v>
          </cell>
          <cell r="M9">
            <v>777.86700000000008</v>
          </cell>
        </row>
        <row r="10">
          <cell r="J10">
            <v>325751.35061406577</v>
          </cell>
          <cell r="K10">
            <v>312392.52985799999</v>
          </cell>
          <cell r="M10">
            <v>343943.94308699999</v>
          </cell>
        </row>
        <row r="11">
          <cell r="J11">
            <v>99529.162105263167</v>
          </cell>
          <cell r="K11">
            <v>96553.945347000015</v>
          </cell>
          <cell r="M11">
            <v>108745.62416399999</v>
          </cell>
        </row>
        <row r="12">
          <cell r="J12">
            <v>20875.565826009639</v>
          </cell>
          <cell r="K12">
            <v>15789.629579999999</v>
          </cell>
          <cell r="M12">
            <v>14872.9534</v>
          </cell>
        </row>
        <row r="13">
          <cell r="J13">
            <v>1814.5825036666552</v>
          </cell>
          <cell r="K13">
            <v>1821.6955299999986</v>
          </cell>
          <cell r="M13">
            <v>2141.8556510000099</v>
          </cell>
        </row>
        <row r="15">
          <cell r="J15">
            <v>271161.94883466873</v>
          </cell>
          <cell r="K15">
            <v>272340.28749799001</v>
          </cell>
          <cell r="M15">
            <v>284970.03732400999</v>
          </cell>
        </row>
        <row r="16">
          <cell r="J16">
            <v>96983.428447242099</v>
          </cell>
          <cell r="K16">
            <v>94392.929130000004</v>
          </cell>
          <cell r="M16">
            <v>106558.76994899998</v>
          </cell>
        </row>
        <row r="17">
          <cell r="J17">
            <v>18486.773109789505</v>
          </cell>
          <cell r="K17">
            <v>15409.909845</v>
          </cell>
          <cell r="M17">
            <v>13679.935332969999</v>
          </cell>
        </row>
        <row r="18">
          <cell r="J18">
            <v>-669.93586700002288</v>
          </cell>
          <cell r="K18">
            <v>-538.61189900000841</v>
          </cell>
          <cell r="M18">
            <v>585.33794900001362</v>
          </cell>
        </row>
        <row r="25">
          <cell r="J25">
            <v>7259.9585720000005</v>
          </cell>
          <cell r="K25">
            <v>7583.1822270000011</v>
          </cell>
          <cell r="M25">
            <v>7430.6432280000008</v>
          </cell>
        </row>
        <row r="26">
          <cell r="J26">
            <v>1384.3432300000002</v>
          </cell>
          <cell r="K26">
            <v>1559.1558689999999</v>
          </cell>
          <cell r="M26">
            <v>1318.5738030000002</v>
          </cell>
        </row>
        <row r="27">
          <cell r="J27">
            <v>582.4759351111112</v>
          </cell>
          <cell r="K27">
            <v>673.82387386542416</v>
          </cell>
          <cell r="M27">
            <v>301.47849599999995</v>
          </cell>
        </row>
        <row r="28">
          <cell r="J28">
            <v>15718.62336300801</v>
          </cell>
          <cell r="K28">
            <v>16513.161972133385</v>
          </cell>
          <cell r="M28">
            <v>15518.458134999999</v>
          </cell>
        </row>
        <row r="38">
          <cell r="J38">
            <v>37063.045424185824</v>
          </cell>
          <cell r="K38">
            <v>18623.961799011198</v>
          </cell>
          <cell r="M38">
            <v>39341.142085020001</v>
          </cell>
        </row>
      </sheetData>
      <sheetData sheetId="2"/>
      <sheetData sheetId="3">
        <row r="7">
          <cell r="J7">
            <v>458</v>
          </cell>
          <cell r="K7">
            <v>412.23700000000008</v>
          </cell>
          <cell r="M7">
            <v>503.72900000000004</v>
          </cell>
          <cell r="O7">
            <v>45972.7042</v>
          </cell>
          <cell r="P7">
            <v>40826.389593</v>
          </cell>
          <cell r="R7">
            <v>46803.177634000007</v>
          </cell>
          <cell r="T7">
            <v>6381.7859817145145</v>
          </cell>
          <cell r="U7">
            <v>3797.4263499999988</v>
          </cell>
          <cell r="W7">
            <v>6517.3077219799998</v>
          </cell>
        </row>
        <row r="8">
          <cell r="J8">
            <v>344</v>
          </cell>
          <cell r="K8">
            <v>296.58199999999999</v>
          </cell>
          <cell r="M8">
            <v>410.20499999999998</v>
          </cell>
          <cell r="O8">
            <v>35293.239170569599</v>
          </cell>
          <cell r="P8">
            <v>29518.041177999999</v>
          </cell>
          <cell r="R8">
            <v>39438.591517000001</v>
          </cell>
          <cell r="T8">
            <v>4092.7150614654533</v>
          </cell>
          <cell r="U8">
            <v>1734.6983220099983</v>
          </cell>
          <cell r="W8">
            <v>4666.1956459999983</v>
          </cell>
        </row>
        <row r="9">
          <cell r="J9">
            <v>268</v>
          </cell>
          <cell r="K9">
            <v>266.04900000000004</v>
          </cell>
          <cell r="M9">
            <v>295.71100000000001</v>
          </cell>
          <cell r="O9">
            <v>26497.578758746196</v>
          </cell>
          <cell r="P9">
            <v>25690.116805999998</v>
          </cell>
          <cell r="R9">
            <v>27580.717404999992</v>
          </cell>
          <cell r="T9">
            <v>3547.5969083470764</v>
          </cell>
          <cell r="U9">
            <v>1773.5913729999995</v>
          </cell>
          <cell r="W9">
            <v>2875.4888300099983</v>
          </cell>
        </row>
        <row r="10">
          <cell r="J10">
            <v>171.5</v>
          </cell>
          <cell r="K10">
            <v>131.94549999999998</v>
          </cell>
          <cell r="M10">
            <v>179.75668000000002</v>
          </cell>
          <cell r="O10">
            <v>16432.831999999999</v>
          </cell>
          <cell r="P10">
            <v>12847.273596000001</v>
          </cell>
          <cell r="R10">
            <v>16306.353857</v>
          </cell>
          <cell r="T10">
            <v>2288.9326419830754</v>
          </cell>
          <cell r="U10">
            <v>1034.6775100000004</v>
          </cell>
          <cell r="W10">
            <v>2065.771968</v>
          </cell>
        </row>
        <row r="11">
          <cell r="J11">
            <v>226</v>
          </cell>
          <cell r="K11">
            <v>216.36250000000001</v>
          </cell>
          <cell r="M11">
            <v>256.92500000000001</v>
          </cell>
          <cell r="O11">
            <v>24317.606009749998</v>
          </cell>
          <cell r="P11">
            <v>23344.605807</v>
          </cell>
          <cell r="R11">
            <v>26544.928226</v>
          </cell>
          <cell r="T11">
            <v>3641.2870663869812</v>
          </cell>
          <cell r="U11">
            <v>2226.0845989999993</v>
          </cell>
          <cell r="W11">
            <v>4514.1624999999995</v>
          </cell>
        </row>
        <row r="12">
          <cell r="J12">
            <v>264</v>
          </cell>
          <cell r="K12">
            <v>227.10400000000001</v>
          </cell>
          <cell r="M12">
            <v>249.60199999999998</v>
          </cell>
          <cell r="O12">
            <v>27440.994279999999</v>
          </cell>
          <cell r="P12">
            <v>22714.892038000002</v>
          </cell>
          <cell r="R12">
            <v>24969.910802000002</v>
          </cell>
          <cell r="T12">
            <v>4783.49298783616</v>
          </cell>
          <cell r="U12">
            <v>2415.4798819999992</v>
          </cell>
          <cell r="W12">
            <v>4339.2144309999994</v>
          </cell>
        </row>
        <row r="13">
          <cell r="J13">
            <v>131</v>
          </cell>
          <cell r="K13">
            <v>146.56899999999999</v>
          </cell>
          <cell r="M13">
            <v>148.53700000000001</v>
          </cell>
          <cell r="O13">
            <v>13230.994599999998</v>
          </cell>
          <cell r="P13">
            <v>13958.763499999997</v>
          </cell>
          <cell r="R13">
            <v>14531.778387999999</v>
          </cell>
          <cell r="T13">
            <v>1627.5541934988273</v>
          </cell>
          <cell r="U13">
            <v>804.5199799999998</v>
          </cell>
          <cell r="W13">
            <v>1924.0345610000004</v>
          </cell>
        </row>
        <row r="14">
          <cell r="J14">
            <v>191</v>
          </cell>
          <cell r="K14">
            <v>215.2525</v>
          </cell>
          <cell r="M14">
            <v>211.50299999999999</v>
          </cell>
          <cell r="O14">
            <v>19864</v>
          </cell>
          <cell r="P14">
            <v>21744.947480999996</v>
          </cell>
          <cell r="R14">
            <v>21280.145619999999</v>
          </cell>
          <cell r="T14">
            <v>2729.7883879061083</v>
          </cell>
          <cell r="U14">
            <v>1884.1900509999994</v>
          </cell>
          <cell r="W14">
            <v>3307.6585150000001</v>
          </cell>
        </row>
        <row r="15">
          <cell r="J15">
            <v>118</v>
          </cell>
          <cell r="K15">
            <v>137.00900000000001</v>
          </cell>
          <cell r="M15">
            <v>149.99600000000004</v>
          </cell>
          <cell r="O15">
            <v>11419.254824</v>
          </cell>
          <cell r="P15">
            <v>12783.635018000001</v>
          </cell>
          <cell r="R15">
            <v>13997.476220999999</v>
          </cell>
          <cell r="T15">
            <v>1558.4726655217373</v>
          </cell>
          <cell r="U15">
            <v>1184.8659610000002</v>
          </cell>
          <cell r="W15">
            <v>2030.3429339999998</v>
          </cell>
        </row>
        <row r="16">
          <cell r="J16">
            <v>175</v>
          </cell>
          <cell r="K16">
            <v>184.04250000000002</v>
          </cell>
          <cell r="M16">
            <v>222.55</v>
          </cell>
          <cell r="O16">
            <v>17666.62</v>
          </cell>
          <cell r="P16">
            <v>18512.7048</v>
          </cell>
          <cell r="R16">
            <v>21277.454119999995</v>
          </cell>
          <cell r="T16">
            <v>2889.7070139307552</v>
          </cell>
          <cell r="U16">
            <v>2572.8556750000002</v>
          </cell>
          <cell r="W16">
            <v>4091.581596999999</v>
          </cell>
        </row>
        <row r="17">
          <cell r="J17">
            <v>174</v>
          </cell>
          <cell r="K17">
            <v>171.33199999999999</v>
          </cell>
          <cell r="M17">
            <v>215.96849999999998</v>
          </cell>
          <cell r="O17">
            <v>17012.620000000003</v>
          </cell>
          <cell r="P17">
            <v>17088.237752000001</v>
          </cell>
          <cell r="R17">
            <v>20108.986900000004</v>
          </cell>
          <cell r="T17">
            <v>2976.3666470227786</v>
          </cell>
          <cell r="U17">
            <v>2383.4607350000001</v>
          </cell>
          <cell r="W17">
            <v>3700.9790940000003</v>
          </cell>
        </row>
        <row r="18">
          <cell r="J18">
            <v>98</v>
          </cell>
          <cell r="K18">
            <v>121.762</v>
          </cell>
          <cell r="M18">
            <v>92.944000000000003</v>
          </cell>
          <cell r="O18">
            <v>9841.7697399999997</v>
          </cell>
          <cell r="P18">
            <v>12655.879342</v>
          </cell>
          <cell r="R18">
            <v>8850.4367499999989</v>
          </cell>
          <cell r="T18">
            <v>653.42140790829501</v>
          </cell>
          <cell r="U18">
            <v>1408.0475820000004</v>
          </cell>
          <cell r="W18">
            <v>544.17112600000007</v>
          </cell>
        </row>
        <row r="19">
          <cell r="J19">
            <v>253</v>
          </cell>
          <cell r="K19">
            <v>294.81249999999994</v>
          </cell>
          <cell r="M19">
            <v>284.70800000000003</v>
          </cell>
          <cell r="O19">
            <v>25553.023399999998</v>
          </cell>
          <cell r="P19">
            <v>29720.660144000001</v>
          </cell>
          <cell r="R19">
            <v>27249.357983000002</v>
          </cell>
          <cell r="T19">
            <v>3774.0316212089365</v>
          </cell>
          <cell r="U19">
            <v>4128.2181179999998</v>
          </cell>
          <cell r="W19">
            <v>4404.9380909999991</v>
          </cell>
        </row>
        <row r="20">
          <cell r="J20">
            <v>129</v>
          </cell>
          <cell r="K20">
            <v>94.268499999999975</v>
          </cell>
          <cell r="M20">
            <v>118.1935</v>
          </cell>
          <cell r="O20">
            <v>13222.102997000002</v>
          </cell>
          <cell r="P20">
            <v>9096.3853839999992</v>
          </cell>
          <cell r="R20">
            <v>11492.294706000001</v>
          </cell>
          <cell r="T20">
            <v>2139.6395018013645</v>
          </cell>
          <cell r="U20">
            <v>629.36367800000016</v>
          </cell>
          <cell r="W20">
            <v>1768.83851</v>
          </cell>
        </row>
        <row r="21">
          <cell r="J21">
            <v>73</v>
          </cell>
          <cell r="K21">
            <v>92.733499999999992</v>
          </cell>
          <cell r="M21">
            <v>89.475999999999999</v>
          </cell>
          <cell r="O21">
            <v>7957.0106339999984</v>
          </cell>
          <cell r="P21">
            <v>10452.617786000001</v>
          </cell>
          <cell r="R21">
            <v>8927.9291009999997</v>
          </cell>
          <cell r="T21">
            <v>1995.2448755329979</v>
          </cell>
          <cell r="U21">
            <v>2843.8161760000003</v>
          </cell>
          <cell r="W21">
            <v>2144.718132</v>
          </cell>
        </row>
        <row r="22">
          <cell r="J22">
            <v>56</v>
          </cell>
          <cell r="K22">
            <v>60.470999999999997</v>
          </cell>
          <cell r="M22">
            <v>52.846999999999994</v>
          </cell>
          <cell r="O22">
            <v>6042.4</v>
          </cell>
          <cell r="P22">
            <v>6790.7075670000004</v>
          </cell>
          <cell r="R22">
            <v>5378.2754459999996</v>
          </cell>
          <cell r="T22">
            <v>995.55279978027056</v>
          </cell>
          <cell r="U22">
            <v>1329.386659</v>
          </cell>
          <cell r="W22">
            <v>872.28081399999996</v>
          </cell>
        </row>
        <row r="23">
          <cell r="J23">
            <v>63</v>
          </cell>
          <cell r="K23">
            <v>37.406499999999994</v>
          </cell>
          <cell r="M23">
            <v>77.066499999999991</v>
          </cell>
          <cell r="O23">
            <v>7986.6000000000022</v>
          </cell>
          <cell r="P23">
            <v>4646.6720660000001</v>
          </cell>
          <cell r="R23">
            <v>9206.1284110000015</v>
          </cell>
          <cell r="T23">
            <v>1253.8534455517688</v>
          </cell>
          <cell r="U23">
            <v>318.37748199999993</v>
          </cell>
          <cell r="W23">
            <v>1775.578064</v>
          </cell>
        </row>
        <row r="28">
          <cell r="J28">
            <v>81400</v>
          </cell>
          <cell r="K28">
            <v>97161.153999999995</v>
          </cell>
          <cell r="M28">
            <v>88735.037000000011</v>
          </cell>
          <cell r="O28">
            <v>99529.162105263167</v>
          </cell>
          <cell r="P28">
            <v>96553.945347000015</v>
          </cell>
          <cell r="R28">
            <v>108745.62416399999</v>
          </cell>
          <cell r="T28">
            <v>1161.3904280210616</v>
          </cell>
          <cell r="U28">
            <v>601.8603480000022</v>
          </cell>
          <cell r="W28">
            <v>868.28041200000177</v>
          </cell>
        </row>
        <row r="29">
          <cell r="J29">
            <v>271.46771845098635</v>
          </cell>
          <cell r="K29">
            <v>215.31799999999998</v>
          </cell>
          <cell r="M29">
            <v>284.56599999999997</v>
          </cell>
          <cell r="O29">
            <v>7910.8417364710403</v>
          </cell>
          <cell r="P29">
            <v>6284.2150799999999</v>
          </cell>
          <cell r="R29">
            <v>8297.4593999999997</v>
          </cell>
          <cell r="T29">
            <v>441.55061699751224</v>
          </cell>
          <cell r="U29">
            <v>361.02867299004521</v>
          </cell>
          <cell r="W29">
            <v>371.01609402000003</v>
          </cell>
        </row>
        <row r="30">
          <cell r="J30">
            <v>375.55962021333335</v>
          </cell>
          <cell r="K30">
            <v>171.09200000000001</v>
          </cell>
          <cell r="M30">
            <v>373.21</v>
          </cell>
          <cell r="O30">
            <v>4711.318636533334</v>
          </cell>
          <cell r="P30">
            <v>2402.163</v>
          </cell>
          <cell r="R30">
            <v>4482.2480000000005</v>
          </cell>
          <cell r="T30">
            <v>951.57085917359018</v>
          </cell>
          <cell r="U30">
            <v>-126.93227920546936</v>
          </cell>
          <cell r="W30">
            <v>784.69465700000023</v>
          </cell>
        </row>
        <row r="31">
          <cell r="J31">
            <v>458.06687103119225</v>
          </cell>
          <cell r="K31">
            <v>394.02100000000002</v>
          </cell>
          <cell r="M31">
            <v>120.09100000000001</v>
          </cell>
          <cell r="O31">
            <v>8253.4054530052654</v>
          </cell>
          <cell r="P31">
            <v>7103.2515000000003</v>
          </cell>
          <cell r="R31">
            <v>2093.2460000000001</v>
          </cell>
          <cell r="T31">
            <v>413.19530493792047</v>
          </cell>
          <cell r="U31">
            <v>-528.20053265000001</v>
          </cell>
          <cell r="W31">
            <v>-264.17117998999998</v>
          </cell>
        </row>
        <row r="33">
          <cell r="O33">
            <v>999.24000000000024</v>
          </cell>
          <cell r="P33">
            <v>999.24000000000024</v>
          </cell>
          <cell r="R33">
            <v>930.49000000000024</v>
          </cell>
          <cell r="T33">
            <v>742.21489700000006</v>
          </cell>
          <cell r="U33">
            <v>695.34818299999995</v>
          </cell>
          <cell r="W33">
            <v>618.77444500000001</v>
          </cell>
        </row>
        <row r="34">
          <cell r="O34">
            <v>795.87250366666672</v>
          </cell>
          <cell r="P34">
            <v>803.15053</v>
          </cell>
          <cell r="R34">
            <v>1037.4613510000001</v>
          </cell>
          <cell r="T34">
            <v>720.80394366666656</v>
          </cell>
          <cell r="U34">
            <v>725.77006399999993</v>
          </cell>
          <cell r="W34">
            <v>700.42059600000005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-14971.778667118953</v>
          </cell>
          <cell r="U35">
            <v>-15353.848254133385</v>
          </cell>
          <cell r="W35">
            <v>-12929.508915999999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1329.7</v>
          </cell>
          <cell r="U36">
            <v>991.78823999999997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-573.85933299999999</v>
          </cell>
          <cell r="W37">
            <v>-1974.2219769999999</v>
          </cell>
        </row>
        <row r="38">
          <cell r="O38">
            <v>0</v>
          </cell>
          <cell r="P38">
            <v>0</v>
          </cell>
          <cell r="R38">
            <v>188.626</v>
          </cell>
          <cell r="T38">
            <v>-343.11671488905597</v>
          </cell>
          <cell r="U38">
            <v>-405.12093700000003</v>
          </cell>
          <cell r="W38">
            <v>-135.880349</v>
          </cell>
        </row>
        <row r="39">
          <cell r="O39">
            <v>19.47</v>
          </cell>
          <cell r="P39">
            <v>19.30500000000373</v>
          </cell>
          <cell r="R39">
            <v>-14.721699999988086</v>
          </cell>
          <cell r="T39">
            <v>-711.92845100000113</v>
          </cell>
          <cell r="U39">
            <v>-232.93250599998504</v>
          </cell>
          <cell r="W39">
            <v>-241.52423199999379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3192.5</v>
          </cell>
          <cell r="K46">
            <v>3105.9389999999994</v>
          </cell>
          <cell r="M46">
            <v>3559.7181800000003</v>
          </cell>
          <cell r="O46">
            <v>447970.66104900528</v>
          </cell>
          <cell r="P46">
            <v>426557.800315</v>
          </cell>
          <cell r="R46">
            <v>469704.37630200008</v>
          </cell>
          <cell r="T46">
            <v>37063.045424185824</v>
          </cell>
          <cell r="U46">
            <v>18623.961799011198</v>
          </cell>
          <cell r="W46">
            <v>39341.142085020001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0">
          <cell r="K10">
            <v>81400</v>
          </cell>
          <cell r="L10">
            <v>97161.153999999995</v>
          </cell>
          <cell r="N10">
            <v>88735.037000000011</v>
          </cell>
        </row>
        <row r="12">
          <cell r="K12">
            <v>79520000</v>
          </cell>
          <cell r="L12">
            <v>80707824.094000012</v>
          </cell>
          <cell r="N12">
            <v>90654450.658999994</v>
          </cell>
        </row>
        <row r="13">
          <cell r="K13">
            <v>20009162.105263166</v>
          </cell>
          <cell r="L13">
            <v>15846121.252999997</v>
          </cell>
          <cell r="N13">
            <v>18091173.504999999</v>
          </cell>
        </row>
        <row r="15">
          <cell r="K15">
            <v>77670185</v>
          </cell>
          <cell r="L15">
            <v>78958914.058000013</v>
          </cell>
          <cell r="N15">
            <v>88912905.798999995</v>
          </cell>
        </row>
        <row r="16">
          <cell r="K16">
            <v>19313243.4472421</v>
          </cell>
          <cell r="L16">
            <v>15434015.072000004</v>
          </cell>
          <cell r="N16">
            <v>17645864.149999999</v>
          </cell>
        </row>
        <row r="24">
          <cell r="K24">
            <v>915974.34999999986</v>
          </cell>
          <cell r="L24">
            <v>994228.78599999996</v>
          </cell>
          <cell r="N24">
            <v>899570.30300000007</v>
          </cell>
        </row>
        <row r="25">
          <cell r="K25">
            <v>468368.88</v>
          </cell>
          <cell r="L25">
            <v>564927.08299999998</v>
          </cell>
          <cell r="N25">
            <v>419003.5</v>
          </cell>
        </row>
        <row r="36">
          <cell r="K36">
            <v>1161390.4280210615</v>
          </cell>
          <cell r="L36">
            <v>601860.34800000209</v>
          </cell>
          <cell r="N36">
            <v>868280.41200000164</v>
          </cell>
        </row>
      </sheetData>
      <sheetData sheetId="11"/>
      <sheetData sheetId="12">
        <row r="8">
          <cell r="G8">
            <v>132598.86666666667</v>
          </cell>
          <cell r="H8">
            <v>98732</v>
          </cell>
          <cell r="J8">
            <v>16860.753546666667</v>
          </cell>
          <cell r="K8">
            <v>2096</v>
          </cell>
          <cell r="M8">
            <v>0</v>
          </cell>
          <cell r="N8">
            <v>0</v>
          </cell>
          <cell r="S8">
            <v>122547.09678376424</v>
          </cell>
          <cell r="T8">
            <v>131721</v>
          </cell>
          <cell r="V8">
            <v>110519.77424742805</v>
          </cell>
          <cell r="W8">
            <v>128787</v>
          </cell>
          <cell r="Y8">
            <v>0</v>
          </cell>
          <cell r="Z8">
            <v>0</v>
          </cell>
          <cell r="AE8">
            <v>177967.71845098637</v>
          </cell>
          <cell r="AF8">
            <v>133407</v>
          </cell>
        </row>
        <row r="10">
          <cell r="G10">
            <v>23100</v>
          </cell>
          <cell r="H10">
            <v>56456</v>
          </cell>
          <cell r="J10">
            <v>49000</v>
          </cell>
          <cell r="K10">
            <v>13808</v>
          </cell>
          <cell r="M10">
            <v>154000</v>
          </cell>
          <cell r="N10">
            <v>0</v>
          </cell>
          <cell r="S10">
            <v>61000</v>
          </cell>
          <cell r="T10">
            <v>60496</v>
          </cell>
          <cell r="V10">
            <v>164000</v>
          </cell>
          <cell r="W10">
            <v>71776</v>
          </cell>
          <cell r="Y10">
            <v>0</v>
          </cell>
          <cell r="Z10">
            <v>1241</v>
          </cell>
          <cell r="AE10">
            <v>93500</v>
          </cell>
          <cell r="AF10">
            <v>81911</v>
          </cell>
        </row>
        <row r="12">
          <cell r="P12">
            <v>375559.62021333334</v>
          </cell>
          <cell r="Q12">
            <v>171092</v>
          </cell>
          <cell r="S12">
            <v>183547.09678376425</v>
          </cell>
          <cell r="T12">
            <v>192217</v>
          </cell>
          <cell r="V12">
            <v>274519.77424742805</v>
          </cell>
          <cell r="W12">
            <v>200563</v>
          </cell>
          <cell r="Y12">
            <v>0</v>
          </cell>
          <cell r="Z12">
            <v>1241</v>
          </cell>
          <cell r="AE12">
            <v>271467.71845098637</v>
          </cell>
          <cell r="AF12">
            <v>215318</v>
          </cell>
          <cell r="AL12">
            <v>1105094.209695512</v>
          </cell>
          <cell r="AM12">
            <v>780431</v>
          </cell>
        </row>
        <row r="13">
          <cell r="G13">
            <v>2027323.8666666665</v>
          </cell>
          <cell r="H13">
            <v>1603364</v>
          </cell>
          <cell r="J13">
            <v>297344.7698666667</v>
          </cell>
          <cell r="K13">
            <v>19824</v>
          </cell>
          <cell r="M13">
            <v>0</v>
          </cell>
          <cell r="N13">
            <v>0</v>
          </cell>
          <cell r="S13">
            <v>1960753.5485402278</v>
          </cell>
          <cell r="T13">
            <v>2160533.5</v>
          </cell>
          <cell r="V13">
            <v>2444651.9044650388</v>
          </cell>
          <cell r="W13">
            <v>2801582.5</v>
          </cell>
          <cell r="Y13">
            <v>0</v>
          </cell>
          <cell r="Z13">
            <v>0</v>
          </cell>
          <cell r="AE13">
            <v>5168091.7364710402</v>
          </cell>
          <cell r="AF13">
            <v>3924626.08</v>
          </cell>
        </row>
        <row r="15">
          <cell r="G15">
            <v>265650</v>
          </cell>
          <cell r="H15">
            <v>661871</v>
          </cell>
          <cell r="J15">
            <v>735000</v>
          </cell>
          <cell r="K15">
            <v>117104</v>
          </cell>
          <cell r="M15">
            <v>1386000</v>
          </cell>
          <cell r="N15">
            <v>0</v>
          </cell>
          <cell r="S15">
            <v>732000</v>
          </cell>
          <cell r="T15">
            <v>786448</v>
          </cell>
          <cell r="V15">
            <v>3116000</v>
          </cell>
          <cell r="W15">
            <v>1320560</v>
          </cell>
          <cell r="Y15">
            <v>0</v>
          </cell>
          <cell r="Z15">
            <v>34127.5</v>
          </cell>
          <cell r="AE15">
            <v>2742750</v>
          </cell>
          <cell r="AF15">
            <v>2359589</v>
          </cell>
        </row>
        <row r="17">
          <cell r="AL17">
            <v>20875565.826009639</v>
          </cell>
          <cell r="AM17">
            <v>15789629.58</v>
          </cell>
        </row>
        <row r="18">
          <cell r="G18">
            <v>426435.09809786075</v>
          </cell>
          <cell r="H18">
            <v>152007.26137924445</v>
          </cell>
          <cell r="J18">
            <v>115291.06051581782</v>
          </cell>
          <cell r="K18">
            <v>8957.9034389485114</v>
          </cell>
          <cell r="M18">
            <v>0</v>
          </cell>
          <cell r="N18">
            <v>0</v>
          </cell>
          <cell r="S18">
            <v>-126650.41049359445</v>
          </cell>
          <cell r="T18">
            <v>-401488.47478327563</v>
          </cell>
          <cell r="V18">
            <v>549175.38657423295</v>
          </cell>
          <cell r="W18">
            <v>313378.73944119288</v>
          </cell>
          <cell r="Y18">
            <v>0</v>
          </cell>
          <cell r="Z18">
            <v>0</v>
          </cell>
          <cell r="AE18">
            <v>286120.53875848325</v>
          </cell>
          <cell r="AF18">
            <v>411903.13</v>
          </cell>
        </row>
        <row r="19">
          <cell r="G19">
            <v>14557.178570893779</v>
          </cell>
          <cell r="H19">
            <v>-325946.48209883244</v>
          </cell>
          <cell r="J19">
            <v>199598.87577440406</v>
          </cell>
          <cell r="K19">
            <v>38049.038075170065</v>
          </cell>
          <cell r="M19">
            <v>195688.64621461366</v>
          </cell>
          <cell r="N19">
            <v>0</v>
          </cell>
          <cell r="S19">
            <v>-308767.85447281535</v>
          </cell>
          <cell r="T19">
            <v>-365468.9447891161</v>
          </cell>
          <cell r="V19">
            <v>299438.18333009747</v>
          </cell>
          <cell r="W19">
            <v>-79435.228581367992</v>
          </cell>
          <cell r="Y19">
            <v>0</v>
          </cell>
          <cell r="Z19">
            <v>4813.3760625666546</v>
          </cell>
          <cell r="AE19">
            <v>155430.0782390291</v>
          </cell>
          <cell r="AF19">
            <v>-50874.457009954793</v>
          </cell>
        </row>
        <row r="20">
          <cell r="AL20">
            <v>1806316.7811090229</v>
          </cell>
          <cell r="AM20">
            <v>-294104.1388654242</v>
          </cell>
        </row>
        <row r="21">
          <cell r="G21">
            <v>0</v>
          </cell>
          <cell r="H21">
            <v>4208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S21">
            <v>122547.09678376424</v>
          </cell>
          <cell r="T21">
            <v>105433</v>
          </cell>
          <cell r="V21">
            <v>86194.048440976418</v>
          </cell>
          <cell r="W21">
            <v>76499</v>
          </cell>
          <cell r="Y21">
            <v>0</v>
          </cell>
          <cell r="Z21">
            <v>0</v>
          </cell>
          <cell r="AE21">
            <v>48679.508660776584</v>
          </cell>
          <cell r="AF21">
            <v>46863</v>
          </cell>
        </row>
        <row r="22">
          <cell r="G22">
            <v>116889.20000000001</v>
          </cell>
          <cell r="H22">
            <v>84316</v>
          </cell>
          <cell r="J22">
            <v>9225.2666666666664</v>
          </cell>
          <cell r="K22">
            <v>640</v>
          </cell>
          <cell r="M22">
            <v>0</v>
          </cell>
          <cell r="N22">
            <v>0</v>
          </cell>
          <cell r="S22">
            <v>0</v>
          </cell>
          <cell r="T22">
            <v>26288</v>
          </cell>
          <cell r="V22">
            <v>24325.725806451617</v>
          </cell>
          <cell r="W22">
            <v>46240</v>
          </cell>
          <cell r="Y22">
            <v>0</v>
          </cell>
          <cell r="Z22">
            <v>0</v>
          </cell>
          <cell r="AE22">
            <v>43117.146853146856</v>
          </cell>
          <cell r="AF22">
            <v>25904</v>
          </cell>
        </row>
        <row r="23">
          <cell r="G23">
            <v>9517.3333333333339</v>
          </cell>
          <cell r="H23">
            <v>6704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E23">
            <v>28566.433566433567</v>
          </cell>
          <cell r="AF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V24">
            <v>0</v>
          </cell>
          <cell r="W24">
            <v>5808</v>
          </cell>
          <cell r="Y24">
            <v>0</v>
          </cell>
          <cell r="Z24">
            <v>0</v>
          </cell>
          <cell r="AE24">
            <v>44237.202797202801</v>
          </cell>
          <cell r="AF24">
            <v>0</v>
          </cell>
        </row>
        <row r="25">
          <cell r="G25">
            <v>0</v>
          </cell>
          <cell r="H25">
            <v>0</v>
          </cell>
          <cell r="J25">
            <v>4053.8868799999991</v>
          </cell>
          <cell r="K25">
            <v>1216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240</v>
          </cell>
          <cell r="Y25">
            <v>0</v>
          </cell>
          <cell r="Z25">
            <v>0</v>
          </cell>
          <cell r="AE25">
            <v>13367.426573426574</v>
          </cell>
          <cell r="AF25">
            <v>21248</v>
          </cell>
        </row>
        <row r="26">
          <cell r="G26">
            <v>6192.3333333333339</v>
          </cell>
          <cell r="H26">
            <v>3504</v>
          </cell>
          <cell r="J26">
            <v>3581.6000000000004</v>
          </cell>
          <cell r="K26">
            <v>240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E26">
            <v>0</v>
          </cell>
          <cell r="AF26">
            <v>0</v>
          </cell>
        </row>
        <row r="35">
          <cell r="G35">
            <v>0</v>
          </cell>
          <cell r="H35">
            <v>52600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S35">
            <v>1960753.5485402278</v>
          </cell>
          <cell r="T35">
            <v>1845077.5</v>
          </cell>
          <cell r="V35">
            <v>1982463.114142458</v>
          </cell>
          <cell r="W35">
            <v>1797726.5</v>
          </cell>
          <cell r="AE35">
            <v>1521919.9812262843</v>
          </cell>
          <cell r="AF35">
            <v>1503626.4</v>
          </cell>
        </row>
        <row r="36">
          <cell r="G36">
            <v>1870227.2000000002</v>
          </cell>
          <cell r="H36">
            <v>1433372</v>
          </cell>
          <cell r="J36">
            <v>182812.46666666665</v>
          </cell>
          <cell r="K36">
            <v>6720</v>
          </cell>
          <cell r="M36">
            <v>0</v>
          </cell>
          <cell r="N36">
            <v>0</v>
          </cell>
          <cell r="S36">
            <v>0</v>
          </cell>
          <cell r="T36">
            <v>315456</v>
          </cell>
          <cell r="V36">
            <v>462188.79032258072</v>
          </cell>
          <cell r="W36">
            <v>892192</v>
          </cell>
          <cell r="AE36">
            <v>1207280.111888112</v>
          </cell>
          <cell r="AF36">
            <v>722823.34400000004</v>
          </cell>
        </row>
        <row r="37">
          <cell r="G37">
            <v>95173.333333333328</v>
          </cell>
          <cell r="H37">
            <v>77096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E37">
            <v>785576.92307692301</v>
          </cell>
          <cell r="AF37">
            <v>595863.93599999999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V38">
            <v>0</v>
          </cell>
          <cell r="W38">
            <v>107104</v>
          </cell>
          <cell r="AE38">
            <v>1273267.1328671328</v>
          </cell>
          <cell r="AF38">
            <v>1069984.3999999999</v>
          </cell>
        </row>
        <row r="39">
          <cell r="G39">
            <v>0</v>
          </cell>
          <cell r="H39">
            <v>0</v>
          </cell>
          <cell r="J39">
            <v>60808.303199999995</v>
          </cell>
          <cell r="K39">
            <v>10944</v>
          </cell>
          <cell r="M39">
            <v>0</v>
          </cell>
          <cell r="N39">
            <v>0</v>
          </cell>
          <cell r="S39">
            <v>0</v>
          </cell>
          <cell r="T39">
            <v>0</v>
          </cell>
          <cell r="V39">
            <v>0</v>
          </cell>
          <cell r="W39">
            <v>4560</v>
          </cell>
          <cell r="AE39">
            <v>380047.58741258748</v>
          </cell>
          <cell r="AF39">
            <v>32328</v>
          </cell>
        </row>
        <row r="40">
          <cell r="G40">
            <v>61923.333333333328</v>
          </cell>
          <cell r="H40">
            <v>40296</v>
          </cell>
          <cell r="J40">
            <v>53724</v>
          </cell>
          <cell r="K40">
            <v>2160</v>
          </cell>
          <cell r="M40">
            <v>0</v>
          </cell>
          <cell r="N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E40">
            <v>0</v>
          </cell>
          <cell r="AF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307500</v>
          </cell>
        </row>
        <row r="61">
          <cell r="T61">
            <v>103154.37597480913</v>
          </cell>
          <cell r="U61">
            <v>99802.989779255455</v>
          </cell>
        </row>
        <row r="85">
          <cell r="Q85">
            <v>103154.37597480913</v>
          </cell>
          <cell r="R85">
            <v>99802.989779255455</v>
          </cell>
        </row>
        <row r="89">
          <cell r="Q89">
            <v>78443.109871273904</v>
          </cell>
          <cell r="R89">
            <v>82213.021920394152</v>
          </cell>
        </row>
        <row r="90">
          <cell r="Q90">
            <v>24711.266103535221</v>
          </cell>
          <cell r="R90">
            <v>17589.967858861302</v>
          </cell>
        </row>
      </sheetData>
      <sheetData sheetId="1">
        <row r="5">
          <cell r="T5">
            <v>113500</v>
          </cell>
          <cell r="U5">
            <v>94753.5</v>
          </cell>
        </row>
        <row r="61">
          <cell r="T61">
            <v>102392.87023131106</v>
          </cell>
          <cell r="U61">
            <v>95753.182837259141</v>
          </cell>
        </row>
        <row r="85">
          <cell r="Q85">
            <v>102392.87023131106</v>
          </cell>
          <cell r="R85">
            <v>95753.182837259141</v>
          </cell>
        </row>
        <row r="89">
          <cell r="Q89">
            <v>79958.056096196276</v>
          </cell>
          <cell r="R89">
            <v>83930.890743174416</v>
          </cell>
        </row>
        <row r="90">
          <cell r="Q90">
            <v>22434.814135114779</v>
          </cell>
          <cell r="R90">
            <v>11822.292094084725</v>
          </cell>
        </row>
      </sheetData>
      <sheetData sheetId="2">
        <row r="5">
          <cell r="T5">
            <v>138000</v>
          </cell>
          <cell r="U5">
            <v>129272</v>
          </cell>
        </row>
        <row r="61">
          <cell r="T61">
            <v>102613.40255072464</v>
          </cell>
          <cell r="U61">
            <v>101138.01594527731</v>
          </cell>
        </row>
        <row r="85">
          <cell r="Q85">
            <v>102613.40255072464</v>
          </cell>
          <cell r="R85">
            <v>101138.01594527731</v>
          </cell>
        </row>
        <row r="89">
          <cell r="Q89">
            <v>77244.330003543233</v>
          </cell>
          <cell r="R89">
            <v>81325.206744175419</v>
          </cell>
        </row>
        <row r="90">
          <cell r="Q90">
            <v>25369.072547181408</v>
          </cell>
          <cell r="R90">
            <v>19812.809201101889</v>
          </cell>
        </row>
      </sheetData>
      <sheetData sheetId="3">
        <row r="5">
          <cell r="T5">
            <v>56000</v>
          </cell>
          <cell r="U5">
            <v>48263.5</v>
          </cell>
        </row>
        <row r="61">
          <cell r="T61">
            <v>106030.89801785714</v>
          </cell>
          <cell r="U61">
            <v>104182.09168419198</v>
          </cell>
        </row>
        <row r="85">
          <cell r="Q85">
            <v>106030.89801785714</v>
          </cell>
          <cell r="R85">
            <v>104182.09168419198</v>
          </cell>
        </row>
        <row r="89">
          <cell r="Q89">
            <v>78326.774607312109</v>
          </cell>
          <cell r="R89">
            <v>81258.436457526477</v>
          </cell>
        </row>
        <row r="90">
          <cell r="Q90">
            <v>27704.123410545028</v>
          </cell>
          <cell r="R90">
            <v>22923.655226665505</v>
          </cell>
        </row>
      </sheetData>
      <sheetData sheetId="4">
        <row r="2">
          <cell r="N2">
            <v>42000</v>
          </cell>
        </row>
        <row r="85">
          <cell r="Q85">
            <v>101843.21904761906</v>
          </cell>
          <cell r="R85">
            <v>96402.08079030861</v>
          </cell>
        </row>
        <row r="89">
          <cell r="Q89">
            <v>80543.283403670488</v>
          </cell>
          <cell r="R89">
            <v>82908.853609317346</v>
          </cell>
        </row>
      </sheetData>
      <sheetData sheetId="5">
        <row r="2">
          <cell r="N2">
            <v>36000</v>
          </cell>
        </row>
        <row r="85">
          <cell r="Q85">
            <v>106543.3563888889</v>
          </cell>
          <cell r="R85">
            <v>97799.696726170863</v>
          </cell>
        </row>
        <row r="89">
          <cell r="Q89">
            <v>82512.189627860687</v>
          </cell>
          <cell r="R89">
            <v>86503.734509778093</v>
          </cell>
        </row>
      </sheetData>
      <sheetData sheetId="6">
        <row r="2">
          <cell r="N2">
            <v>22000</v>
          </cell>
        </row>
        <row r="85">
          <cell r="Q85">
            <v>100564.60187517284</v>
          </cell>
          <cell r="R85">
            <v>92808.890388272106</v>
          </cell>
        </row>
        <row r="89">
          <cell r="Q89">
            <v>78672.483577712614</v>
          </cell>
          <cell r="R89">
            <v>85217.768692878613</v>
          </cell>
        </row>
      </sheetData>
      <sheetData sheetId="7">
        <row r="2">
          <cell r="N2">
            <v>13500</v>
          </cell>
        </row>
        <row r="85">
          <cell r="Q85">
            <v>96014.333333333343</v>
          </cell>
          <cell r="R85">
            <v>93010.902870831298</v>
          </cell>
        </row>
        <row r="89">
          <cell r="Q89">
            <v>73421.333233441241</v>
          </cell>
          <cell r="R89">
            <v>79168.533039153364</v>
          </cell>
        </row>
      </sheetData>
      <sheetData sheetId="8">
        <row r="2">
          <cell r="N2">
            <v>24000</v>
          </cell>
        </row>
        <row r="85">
          <cell r="Q85">
            <v>107600.42924999999</v>
          </cell>
          <cell r="R85">
            <v>114220.50867985465</v>
          </cell>
        </row>
        <row r="89">
          <cell r="Q89">
            <v>82245.67797442447</v>
          </cell>
          <cell r="R89">
            <v>90394.221158835397</v>
          </cell>
        </row>
      </sheetData>
      <sheetData sheetId="9">
        <row r="2">
          <cell r="N2">
            <v>26000</v>
          </cell>
        </row>
        <row r="85">
          <cell r="Q85">
            <v>104577.05846153846</v>
          </cell>
          <cell r="R85">
            <v>98127.560560103055</v>
          </cell>
        </row>
        <row r="89">
          <cell r="Q89">
            <v>77522.343666708141</v>
          </cell>
          <cell r="R89">
            <v>78950.520047080267</v>
          </cell>
        </row>
      </sheetData>
      <sheetData sheetId="10">
        <row r="2">
          <cell r="N2">
            <v>14000</v>
          </cell>
        </row>
        <row r="85">
          <cell r="Q85">
            <v>101000.40000000001</v>
          </cell>
          <cell r="R85">
            <v>94036.648949632989</v>
          </cell>
        </row>
        <row r="89">
          <cell r="Q89">
            <v>77306.918660291791</v>
          </cell>
          <cell r="R89">
            <v>80796.703534970045</v>
          </cell>
        </row>
      </sheetData>
      <sheetData sheetId="11">
        <row r="2">
          <cell r="N2">
            <v>19000</v>
          </cell>
        </row>
        <row r="85">
          <cell r="Q85">
            <v>104000</v>
          </cell>
          <cell r="R85">
            <v>103884.65553235907</v>
          </cell>
        </row>
        <row r="89">
          <cell r="Q89">
            <v>79201.726829621126</v>
          </cell>
          <cell r="R89">
            <v>86215.633729366935</v>
          </cell>
        </row>
      </sheetData>
      <sheetData sheetId="12">
        <row r="2">
          <cell r="N2">
            <v>12000</v>
          </cell>
        </row>
        <row r="85">
          <cell r="Q85">
            <v>97210.152500000026</v>
          </cell>
          <cell r="R85">
            <v>94184.214664831918</v>
          </cell>
        </row>
        <row r="89">
          <cell r="Q89">
            <v>72466.137420689207</v>
          </cell>
          <cell r="R89">
            <v>78064.418910949476</v>
          </cell>
        </row>
      </sheetData>
      <sheetData sheetId="13">
        <row r="2">
          <cell r="N2">
            <v>15000</v>
          </cell>
        </row>
        <row r="85">
          <cell r="Q85">
            <v>101557.2</v>
          </cell>
          <cell r="R85">
            <v>102461.27080795777</v>
          </cell>
        </row>
        <row r="89">
          <cell r="Q89">
            <v>72797.601499617391</v>
          </cell>
          <cell r="R89">
            <v>76573.527243199365</v>
          </cell>
        </row>
      </sheetData>
      <sheetData sheetId="14">
        <row r="2">
          <cell r="N2">
            <v>16000</v>
          </cell>
        </row>
        <row r="85">
          <cell r="Q85">
            <v>97760</v>
          </cell>
          <cell r="R85">
            <v>96305.899294419505</v>
          </cell>
        </row>
        <row r="89">
          <cell r="Q89">
            <v>72183.970373775432</v>
          </cell>
          <cell r="R89">
            <v>73764.09594825744</v>
          </cell>
        </row>
      </sheetData>
      <sheetData sheetId="15">
        <row r="2">
          <cell r="N2">
            <v>12000</v>
          </cell>
        </row>
        <row r="85">
          <cell r="Q85">
            <v>101265.85833333334</v>
          </cell>
          <cell r="R85">
            <v>102272.03437474903</v>
          </cell>
        </row>
        <row r="89">
          <cell r="Q89">
            <v>80550.788769878622</v>
          </cell>
          <cell r="R89">
            <v>84277.211324083735</v>
          </cell>
        </row>
      </sheetData>
      <sheetData sheetId="16">
        <row r="2">
          <cell r="N2">
            <v>27000</v>
          </cell>
        </row>
        <row r="85">
          <cell r="Q85">
            <v>101000</v>
          </cell>
          <cell r="R85">
            <v>101156.18080239311</v>
          </cell>
        </row>
        <row r="89">
          <cell r="Q89">
            <v>79449.485635149569</v>
          </cell>
          <cell r="R89">
            <v>85004.173787554129</v>
          </cell>
        </row>
      </sheetData>
      <sheetData sheetId="17">
        <row r="2">
          <cell r="N2">
            <v>4000</v>
          </cell>
        </row>
        <row r="85">
          <cell r="Q85">
            <v>107900</v>
          </cell>
          <cell r="R85">
            <v>114929.42643391521</v>
          </cell>
        </row>
        <row r="89">
          <cell r="Q89">
            <v>75861.900389866205</v>
          </cell>
          <cell r="R89">
            <v>76446.968079800514</v>
          </cell>
        </row>
      </sheetData>
      <sheetData sheetId="18">
        <row r="2">
          <cell r="N2">
            <v>7000</v>
          </cell>
        </row>
        <row r="85">
          <cell r="Q85">
            <v>108999.86128571429</v>
          </cell>
          <cell r="R85">
            <v>106518.1883024251</v>
          </cell>
        </row>
        <row r="89">
          <cell r="Q89">
            <v>70884.732734888428</v>
          </cell>
          <cell r="R89">
            <v>73466.499821683319</v>
          </cell>
        </row>
      </sheetData>
      <sheetData sheetId="19">
        <row r="2">
          <cell r="N2">
            <v>11000</v>
          </cell>
        </row>
        <row r="85">
          <cell r="Q85">
            <v>102530.11454545452</v>
          </cell>
          <cell r="R85">
            <v>97041.635483246166</v>
          </cell>
        </row>
        <row r="89">
          <cell r="Q89">
            <v>73002.693859136416</v>
          </cell>
          <cell r="R89">
            <v>74828.152624443159</v>
          </cell>
        </row>
      </sheetData>
      <sheetData sheetId="20">
        <row r="2">
          <cell r="N2">
            <v>7000</v>
          </cell>
        </row>
        <row r="85">
          <cell r="Q85">
            <v>126900</v>
          </cell>
          <cell r="R85">
            <v>119630.81020134229</v>
          </cell>
        </row>
        <row r="89">
          <cell r="Q89">
            <v>91213.271815179265</v>
          </cell>
          <cell r="R89">
            <v>89066.435062036966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98036.160975394087</v>
          </cell>
        </row>
        <row r="89">
          <cell r="Q89">
            <v>79164.481370373964</v>
          </cell>
        </row>
        <row r="90">
          <cell r="Q90">
            <v>18871.679605020123</v>
          </cell>
        </row>
      </sheetData>
      <sheetData sheetId="1">
        <row r="5">
          <cell r="T5">
            <v>105140</v>
          </cell>
        </row>
        <row r="85">
          <cell r="Q85">
            <v>97106.846945098514</v>
          </cell>
        </row>
        <row r="89">
          <cell r="Q89">
            <v>81709.416792918462</v>
          </cell>
        </row>
        <row r="90">
          <cell r="Q90">
            <v>15397.430152180052</v>
          </cell>
        </row>
      </sheetData>
      <sheetData sheetId="2">
        <row r="5">
          <cell r="T5">
            <v>130010</v>
          </cell>
        </row>
        <row r="85">
          <cell r="Q85">
            <v>98238.787439427731</v>
          </cell>
        </row>
        <row r="89">
          <cell r="Q89">
            <v>78500.132262356099</v>
          </cell>
        </row>
        <row r="90">
          <cell r="Q90">
            <v>19738.655177071632</v>
          </cell>
        </row>
      </sheetData>
      <sheetData sheetId="3">
        <row r="5">
          <cell r="T5">
            <v>48759.5</v>
          </cell>
        </row>
        <row r="85">
          <cell r="Q85">
            <v>99522.84945820838</v>
          </cell>
        </row>
        <row r="89">
          <cell r="Q89">
            <v>75388.641877278933</v>
          </cell>
        </row>
        <row r="90">
          <cell r="Q90">
            <v>24134.207580929447</v>
          </cell>
        </row>
      </sheetData>
      <sheetData sheetId="4">
        <row r="85">
          <cell r="Q85">
            <v>95433.123306365145</v>
          </cell>
        </row>
        <row r="89">
          <cell r="Q89">
            <v>80364.232269849002</v>
          </cell>
        </row>
      </sheetData>
      <sheetData sheetId="5">
        <row r="85">
          <cell r="Q85">
            <v>99227.182948810398</v>
          </cell>
        </row>
        <row r="89">
          <cell r="Q89">
            <v>82946.129532184816</v>
          </cell>
        </row>
      </sheetData>
      <sheetData sheetId="6">
        <row r="85">
          <cell r="Q85">
            <v>98896.410785877495</v>
          </cell>
        </row>
        <row r="89">
          <cell r="Q89">
            <v>84926.888218824039</v>
          </cell>
        </row>
      </sheetData>
      <sheetData sheetId="7">
        <row r="85">
          <cell r="Q85">
            <v>94658.091922005566</v>
          </cell>
        </row>
        <row r="89">
          <cell r="Q89">
            <v>77549.906095297018</v>
          </cell>
        </row>
      </sheetData>
      <sheetData sheetId="8">
        <row r="85">
          <cell r="Q85">
            <v>102589.87324427857</v>
          </cell>
        </row>
        <row r="89">
          <cell r="Q89">
            <v>84012.412238483448</v>
          </cell>
        </row>
      </sheetData>
      <sheetData sheetId="9">
        <row r="85">
          <cell r="Q85">
            <v>95743.684965083477</v>
          </cell>
        </row>
        <row r="89">
          <cell r="Q89">
            <v>80776.028303195664</v>
          </cell>
        </row>
      </sheetData>
      <sheetData sheetId="10">
        <row r="85">
          <cell r="Q85">
            <v>99762.997507437482</v>
          </cell>
        </row>
        <row r="89">
          <cell r="Q89">
            <v>81505.826324676367</v>
          </cell>
        </row>
      </sheetData>
      <sheetData sheetId="11">
        <row r="85">
          <cell r="Q85">
            <v>101263.3312776236</v>
          </cell>
        </row>
        <row r="89">
          <cell r="Q89">
            <v>81557.375878881183</v>
          </cell>
        </row>
      </sheetData>
      <sheetData sheetId="12">
        <row r="85">
          <cell r="Q85">
            <v>91919.820293978191</v>
          </cell>
        </row>
        <row r="89">
          <cell r="Q89">
            <v>73068.839260312947</v>
          </cell>
        </row>
      </sheetData>
      <sheetData sheetId="13">
        <row r="85">
          <cell r="Q85">
            <v>97387.67460109861</v>
          </cell>
        </row>
        <row r="89">
          <cell r="Q89">
            <v>72941.793356003138</v>
          </cell>
        </row>
      </sheetData>
      <sheetData sheetId="14">
        <row r="85">
          <cell r="Q85">
            <v>96581.70012475898</v>
          </cell>
        </row>
        <row r="89">
          <cell r="Q89">
            <v>72751.844107973229</v>
          </cell>
        </row>
      </sheetData>
      <sheetData sheetId="15">
        <row r="85">
          <cell r="Q85">
            <v>100170.84138546156</v>
          </cell>
        </row>
        <row r="89">
          <cell r="Q89">
            <v>81166.34145978892</v>
          </cell>
        </row>
      </sheetData>
      <sheetData sheetId="16">
        <row r="85">
          <cell r="Q85">
            <v>95785.01921860555</v>
          </cell>
        </row>
        <row r="89">
          <cell r="Q89">
            <v>77943.485529451806</v>
          </cell>
        </row>
      </sheetData>
      <sheetData sheetId="17">
        <row r="85">
          <cell r="Q85">
            <v>104784.90095685748</v>
          </cell>
        </row>
        <row r="89">
          <cell r="Q89">
            <v>75081.703206311897</v>
          </cell>
        </row>
      </sheetData>
      <sheetData sheetId="18">
        <row r="85">
          <cell r="Q85">
            <v>104623.27217062966</v>
          </cell>
        </row>
        <row r="89">
          <cell r="Q89">
            <v>69954.421879783651</v>
          </cell>
        </row>
      </sheetData>
      <sheetData sheetId="19">
        <row r="85">
          <cell r="Q85">
            <v>93361.374469191433</v>
          </cell>
        </row>
        <row r="89">
          <cell r="Q89">
            <v>68175.180864892973</v>
          </cell>
        </row>
      </sheetData>
      <sheetData sheetId="20">
        <row r="85">
          <cell r="Q85">
            <v>118206.10587515299</v>
          </cell>
        </row>
        <row r="89">
          <cell r="Q89">
            <v>87458.101387188915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건자재영업손익(2024)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>
        <row r="8">
          <cell r="G8">
            <v>6425.0929999999998</v>
          </cell>
        </row>
      </sheetData>
      <sheetData sheetId="2">
        <row r="8">
          <cell r="G8">
            <v>6645.402</v>
          </cell>
        </row>
      </sheetData>
      <sheetData sheetId="3">
        <row r="8">
          <cell r="G8">
            <v>8665.0679999999993</v>
          </cell>
        </row>
      </sheetData>
      <sheetData sheetId="4">
        <row r="8">
          <cell r="G8">
            <v>8574.9830000000002</v>
          </cell>
        </row>
      </sheetData>
      <sheetData sheetId="5">
        <row r="8">
          <cell r="G8">
            <v>9787.4410000000007</v>
          </cell>
        </row>
      </sheetData>
      <sheetData sheetId="6">
        <row r="8">
          <cell r="G8">
            <v>7982.0609999999997</v>
          </cell>
        </row>
      </sheetData>
      <sheetData sheetId="7">
        <row r="8">
          <cell r="G8">
            <v>12986.909999999998</v>
          </cell>
        </row>
      </sheetData>
      <sheetData sheetId="8">
        <row r="8">
          <cell r="G8">
            <v>9545.7580000000016</v>
          </cell>
        </row>
      </sheetData>
      <sheetData sheetId="9">
        <row r="8">
          <cell r="G8">
            <v>7354.6280000000006</v>
          </cell>
        </row>
      </sheetData>
      <sheetData sheetId="10">
        <row r="8">
          <cell r="G8">
            <v>8972.0079999999998</v>
          </cell>
        </row>
      </sheetData>
      <sheetData sheetId="11">
        <row r="8">
          <cell r="G8">
            <v>10221.802</v>
          </cell>
        </row>
      </sheetData>
      <sheetData sheetId="12">
        <row r="8">
          <cell r="G8">
            <v>8003.0569999999998</v>
          </cell>
        </row>
        <row r="9">
          <cell r="G9">
            <v>6020203.7470000004</v>
          </cell>
          <cell r="J9">
            <v>1425697.8589999992</v>
          </cell>
        </row>
        <row r="10">
          <cell r="F10">
            <v>977906.97674418602</v>
          </cell>
          <cell r="G10">
            <v>752238.01942182856</v>
          </cell>
        </row>
        <row r="11">
          <cell r="G11">
            <v>5934990.8200000003</v>
          </cell>
          <cell r="J11">
            <v>1375066.2340000002</v>
          </cell>
        </row>
        <row r="15">
          <cell r="F15">
            <v>2.330796670630202E-2</v>
          </cell>
          <cell r="G15">
            <v>1.4154492203434744E-2</v>
          </cell>
        </row>
        <row r="19">
          <cell r="M19">
            <v>149560.27900000001</v>
          </cell>
        </row>
        <row r="37">
          <cell r="M37">
            <v>81962.410000000018</v>
          </cell>
        </row>
        <row r="40">
          <cell r="M40">
            <v>5423.9359999999997</v>
          </cell>
        </row>
        <row r="41">
          <cell r="M41">
            <v>-101102.0730000008</v>
          </cell>
        </row>
      </sheetData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  <row r="10">
          <cell r="G10">
            <v>951341.4287927025</v>
          </cell>
        </row>
        <row r="15">
          <cell r="G15">
            <v>2.0212500327718673E-2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8133</v>
          </cell>
          <cell r="R47">
            <v>10744</v>
          </cell>
        </row>
        <row r="48">
          <cell r="Q48">
            <v>20399.457621864596</v>
          </cell>
          <cell r="R48">
            <v>12291</v>
          </cell>
        </row>
        <row r="53">
          <cell r="R53">
            <v>279293</v>
          </cell>
        </row>
        <row r="54">
          <cell r="R54">
            <v>359040</v>
          </cell>
        </row>
        <row r="64">
          <cell r="R64">
            <v>3875</v>
          </cell>
        </row>
        <row r="65">
          <cell r="R65">
            <v>2448</v>
          </cell>
        </row>
        <row r="66">
          <cell r="R66">
            <v>1920</v>
          </cell>
        </row>
        <row r="76">
          <cell r="R76">
            <v>127600</v>
          </cell>
        </row>
        <row r="77">
          <cell r="R77">
            <v>67320</v>
          </cell>
        </row>
        <row r="78">
          <cell r="R78">
            <v>52800</v>
          </cell>
        </row>
        <row r="79">
          <cell r="R79">
            <v>111320</v>
          </cell>
        </row>
        <row r="80">
          <cell r="R80">
            <v>0</v>
          </cell>
        </row>
        <row r="81">
          <cell r="I81">
            <v>-21304.281356637599</v>
          </cell>
        </row>
        <row r="82">
          <cell r="R82">
            <v>28468.382000000001</v>
          </cell>
        </row>
      </sheetData>
      <sheetData sheetId="1">
        <row r="59">
          <cell r="F59">
            <v>1000</v>
          </cell>
          <cell r="I59">
            <v>0</v>
          </cell>
          <cell r="N59">
            <v>31611</v>
          </cell>
          <cell r="O59">
            <v>1000</v>
          </cell>
        </row>
        <row r="60">
          <cell r="F60">
            <v>0</v>
          </cell>
          <cell r="I60">
            <v>0</v>
          </cell>
        </row>
        <row r="61">
          <cell r="F61">
            <v>0</v>
          </cell>
          <cell r="I61">
            <v>0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0</v>
          </cell>
          <cell r="I66">
            <v>0</v>
          </cell>
          <cell r="N66">
            <v>18828.763333333336</v>
          </cell>
          <cell r="O66">
            <v>0</v>
          </cell>
        </row>
        <row r="71">
          <cell r="F71">
            <v>11500</v>
          </cell>
          <cell r="I71">
            <v>0</v>
          </cell>
        </row>
        <row r="72">
          <cell r="F72">
            <v>0</v>
          </cell>
          <cell r="I72">
            <v>0</v>
          </cell>
        </row>
        <row r="86">
          <cell r="F86">
            <v>-151794.1449085169</v>
          </cell>
          <cell r="I86">
            <v>0</v>
          </cell>
        </row>
        <row r="87">
          <cell r="F87">
            <v>0</v>
          </cell>
          <cell r="I87">
            <v>0</v>
          </cell>
        </row>
      </sheetData>
      <sheetData sheetId="2">
        <row r="59">
          <cell r="F59">
            <v>1136</v>
          </cell>
          <cell r="I59">
            <v>8640</v>
          </cell>
          <cell r="L59">
            <v>0</v>
          </cell>
          <cell r="N59">
            <v>17406</v>
          </cell>
          <cell r="O59">
            <v>9776</v>
          </cell>
        </row>
        <row r="60">
          <cell r="F60">
            <v>8360</v>
          </cell>
          <cell r="I60">
            <v>5845</v>
          </cell>
          <cell r="L60">
            <v>0</v>
          </cell>
        </row>
        <row r="61">
          <cell r="F61">
            <v>5600</v>
          </cell>
          <cell r="I61">
            <v>5296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768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13960</v>
          </cell>
          <cell r="I66">
            <v>11909</v>
          </cell>
          <cell r="L66">
            <v>0</v>
          </cell>
          <cell r="N66">
            <v>24527.0060593015</v>
          </cell>
          <cell r="O66">
            <v>25869</v>
          </cell>
        </row>
        <row r="71">
          <cell r="F71">
            <v>14768</v>
          </cell>
          <cell r="I71">
            <v>155904</v>
          </cell>
          <cell r="L71">
            <v>0</v>
          </cell>
        </row>
        <row r="72">
          <cell r="F72">
            <v>213500</v>
          </cell>
          <cell r="I72">
            <v>246509.5</v>
          </cell>
          <cell r="L72">
            <v>0</v>
          </cell>
        </row>
        <row r="86">
          <cell r="F86">
            <v>-14767.634892249343</v>
          </cell>
          <cell r="I86">
            <v>-66352.722233800028</v>
          </cell>
          <cell r="L86">
            <v>0</v>
          </cell>
        </row>
        <row r="87">
          <cell r="F87">
            <v>-151311.34669280474</v>
          </cell>
          <cell r="I87">
            <v>-61672.105281145872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9482</v>
          </cell>
        </row>
        <row r="48">
          <cell r="R48">
            <v>15442</v>
          </cell>
        </row>
      </sheetData>
      <sheetData sheetId="1"/>
      <sheetData sheetId="2">
        <row r="59">
          <cell r="O59">
            <v>7840</v>
          </cell>
        </row>
        <row r="66">
          <cell r="O66">
            <v>17492</v>
          </cell>
        </row>
      </sheetData>
      <sheetData sheetId="3"/>
      <sheetData sheetId="4">
        <row r="59">
          <cell r="O59">
            <v>4576</v>
          </cell>
        </row>
        <row r="66">
          <cell r="O66">
            <v>15401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102134.6632075199</v>
          </cell>
          <cell r="R85">
            <v>100523.03337334946</v>
          </cell>
        </row>
        <row r="89">
          <cell r="Q89">
            <v>76806.568085127903</v>
          </cell>
          <cell r="R89">
            <v>79276.382673567117</v>
          </cell>
        </row>
      </sheetData>
      <sheetData sheetId="1">
        <row r="85">
          <cell r="Q85">
            <v>100234.64568307721</v>
          </cell>
          <cell r="R85">
            <v>98175.05222356382</v>
          </cell>
        </row>
        <row r="89">
          <cell r="Q89">
            <v>78291.649138796798</v>
          </cell>
          <cell r="R89">
            <v>81236.793882205311</v>
          </cell>
        </row>
      </sheetData>
      <sheetData sheetId="2">
        <row r="85">
          <cell r="Q85">
            <v>102280.2039641914</v>
          </cell>
          <cell r="R85">
            <v>100664.51082845427</v>
          </cell>
        </row>
        <row r="89">
          <cell r="Q89">
            <v>75594.468844274277</v>
          </cell>
          <cell r="R89">
            <v>78859.643032026695</v>
          </cell>
        </row>
      </sheetData>
      <sheetData sheetId="3">
        <row r="85">
          <cell r="Q85">
            <v>105871.21796825396</v>
          </cell>
          <cell r="R85">
            <v>104665.49395355821</v>
          </cell>
        </row>
        <row r="89">
          <cell r="Q89">
            <v>76527.275263178439</v>
          </cell>
          <cell r="R89">
            <v>76562.819182250692</v>
          </cell>
        </row>
      </sheetData>
      <sheetData sheetId="4">
        <row r="85">
          <cell r="Q85">
            <v>100500.23880000001</v>
          </cell>
          <cell r="R85">
            <v>98828.586406819421</v>
          </cell>
        </row>
        <row r="89">
          <cell r="Q89">
            <v>79231.06777875495</v>
          </cell>
          <cell r="R89">
            <v>81804.461806674546</v>
          </cell>
        </row>
      </sheetData>
      <sheetData sheetId="5">
        <row r="85">
          <cell r="Q85">
            <v>102970.52631728842</v>
          </cell>
          <cell r="R85">
            <v>99370.183978313027</v>
          </cell>
        </row>
        <row r="89">
          <cell r="Q89">
            <v>81332.758564608055</v>
          </cell>
          <cell r="R89">
            <v>83063.771691492002</v>
          </cell>
        </row>
      </sheetData>
      <sheetData sheetId="6">
        <row r="85">
          <cell r="Q85">
            <v>99000</v>
          </cell>
          <cell r="R85">
            <v>96350.004097686557</v>
          </cell>
        </row>
        <row r="89">
          <cell r="Q89">
            <v>76707.816090519089</v>
          </cell>
          <cell r="R89">
            <v>80693.654991312302</v>
          </cell>
        </row>
      </sheetData>
      <sheetData sheetId="7">
        <row r="85">
          <cell r="Q85">
            <v>95832.570270270269</v>
          </cell>
          <cell r="R85">
            <v>96982.545526337664</v>
          </cell>
        </row>
        <row r="89">
          <cell r="Q89">
            <v>71988.84201562489</v>
          </cell>
          <cell r="R89">
            <v>76390.145436038045</v>
          </cell>
        </row>
      </sheetData>
      <sheetData sheetId="8">
        <row r="85">
          <cell r="Q85">
            <v>107600.06524699999</v>
          </cell>
          <cell r="R85">
            <v>108365.05203004688</v>
          </cell>
        </row>
        <row r="89">
          <cell r="Q89">
            <v>78876.235770161788</v>
          </cell>
          <cell r="R89">
            <v>84633.087474035186</v>
          </cell>
        </row>
      </sheetData>
      <sheetData sheetId="9">
        <row r="85">
          <cell r="Q85">
            <v>103999.99241379309</v>
          </cell>
          <cell r="R85">
            <v>99839.194770440154</v>
          </cell>
        </row>
        <row r="89">
          <cell r="Q89">
            <v>76888.3055576568</v>
          </cell>
          <cell r="R89">
            <v>78610.501796370387</v>
          </cell>
        </row>
      </sheetData>
      <sheetData sheetId="10">
        <row r="85">
          <cell r="Q85">
            <v>101000.00137931034</v>
          </cell>
          <cell r="R85">
            <v>95215.142526545911</v>
          </cell>
        </row>
        <row r="89">
          <cell r="Q89">
            <v>76602.54118503799</v>
          </cell>
          <cell r="R89">
            <v>78787.119126304809</v>
          </cell>
        </row>
      </sheetData>
      <sheetData sheetId="11">
        <row r="85">
          <cell r="Q85">
            <v>104000</v>
          </cell>
          <cell r="R85">
            <v>101286.59650254018</v>
          </cell>
        </row>
        <row r="89">
          <cell r="Q89">
            <v>78413.857209370501</v>
          </cell>
          <cell r="R89">
            <v>82252.165580415909</v>
          </cell>
        </row>
      </sheetData>
      <sheetData sheetId="12">
        <row r="85">
          <cell r="Q85">
            <v>96813.666569230772</v>
          </cell>
          <cell r="R85">
            <v>93365.845362575827</v>
          </cell>
        </row>
        <row r="89">
          <cell r="Q89">
            <v>70691.221039947704</v>
          </cell>
          <cell r="R89">
            <v>73601.938359421707</v>
          </cell>
        </row>
      </sheetData>
      <sheetData sheetId="13">
        <row r="85">
          <cell r="Q85">
            <v>100999.88421052632</v>
          </cell>
          <cell r="R85">
            <v>100706.69747781471</v>
          </cell>
        </row>
        <row r="89">
          <cell r="Q89">
            <v>72392.835573616496</v>
          </cell>
          <cell r="R89">
            <v>75043.235931424846</v>
          </cell>
        </row>
      </sheetData>
      <sheetData sheetId="14">
        <row r="85">
          <cell r="Q85">
            <v>97772.526315789481</v>
          </cell>
          <cell r="R85">
            <v>99399.55123131971</v>
          </cell>
        </row>
        <row r="89">
          <cell r="Q89">
            <v>70028.042545395147</v>
          </cell>
          <cell r="R89">
            <v>74512.501912362743</v>
          </cell>
        </row>
      </sheetData>
      <sheetData sheetId="15">
        <row r="85">
          <cell r="Q85">
            <v>100517.81854545453</v>
          </cell>
          <cell r="R85">
            <v>103784.79314224406</v>
          </cell>
        </row>
        <row r="89">
          <cell r="Q89">
            <v>78953.169829189719</v>
          </cell>
          <cell r="R89">
            <v>80835.204382986311</v>
          </cell>
        </row>
      </sheetData>
      <sheetData sheetId="16">
        <row r="85">
          <cell r="Q85">
            <v>101000.08357142856</v>
          </cell>
          <cell r="R85">
            <v>100779.83968661874</v>
          </cell>
        </row>
        <row r="89">
          <cell r="Q89">
            <v>77025.018931005776</v>
          </cell>
          <cell r="R89">
            <v>77860.034638823228</v>
          </cell>
        </row>
      </sheetData>
      <sheetData sheetId="17">
        <row r="85">
          <cell r="Q85">
            <v>107900</v>
          </cell>
          <cell r="R85">
            <v>112465.39639709533</v>
          </cell>
        </row>
        <row r="89">
          <cell r="Q89">
            <v>73463.226192911694</v>
          </cell>
          <cell r="R89">
            <v>74063.850592725925</v>
          </cell>
        </row>
      </sheetData>
      <sheetData sheetId="18">
        <row r="85">
          <cell r="Q85">
            <v>109000.12078749998</v>
          </cell>
          <cell r="R85">
            <v>112375.8608909858</v>
          </cell>
        </row>
        <row r="89">
          <cell r="Q89">
            <v>69886.432838886351</v>
          </cell>
          <cell r="R89">
            <v>72449.183857095588</v>
          </cell>
        </row>
      </sheetData>
      <sheetData sheetId="19">
        <row r="85">
          <cell r="Q85">
            <v>102499.53040714285</v>
          </cell>
          <cell r="R85">
            <v>96550.172800765358</v>
          </cell>
        </row>
        <row r="89">
          <cell r="Q89">
            <v>73490.370391196571</v>
          </cell>
          <cell r="R89">
            <v>72741.123442386233</v>
          </cell>
        </row>
      </sheetData>
      <sheetData sheetId="20">
        <row r="85">
          <cell r="Q85">
            <v>126784.28571428571</v>
          </cell>
          <cell r="R85">
            <v>123624.44103828441</v>
          </cell>
        </row>
        <row r="89">
          <cell r="Q89">
            <v>90825.972309538061</v>
          </cell>
          <cell r="R89">
            <v>89420.48065664235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96729.941616065073</v>
          </cell>
        </row>
        <row r="89">
          <cell r="Q89">
            <v>73284.063579971</v>
          </cell>
        </row>
      </sheetData>
      <sheetData sheetId="1">
        <row r="85">
          <cell r="Q85">
            <v>93881.756022386675</v>
          </cell>
        </row>
        <row r="89">
          <cell r="Q89">
            <v>74767.643090711877</v>
          </cell>
        </row>
      </sheetData>
      <sheetData sheetId="2">
        <row r="85">
          <cell r="Q85">
            <v>97936.195945242594</v>
          </cell>
        </row>
        <row r="89">
          <cell r="Q89">
            <v>72543.876376942746</v>
          </cell>
        </row>
      </sheetData>
      <sheetData sheetId="3">
        <row r="85">
          <cell r="Q85">
            <v>100087.18395581827</v>
          </cell>
        </row>
        <row r="89">
          <cell r="Q89">
            <v>71825.070658085358</v>
          </cell>
        </row>
      </sheetData>
      <sheetData sheetId="4">
        <row r="85">
          <cell r="Q85">
            <v>93081.061297369655</v>
          </cell>
        </row>
        <row r="89">
          <cell r="Q89">
            <v>74052.677232174043</v>
          </cell>
        </row>
      </sheetData>
      <sheetData sheetId="5">
        <row r="85">
          <cell r="Q85">
            <v>96316.252665931766</v>
          </cell>
        </row>
        <row r="89">
          <cell r="Q89">
            <v>77106.068167433696</v>
          </cell>
        </row>
      </sheetData>
      <sheetData sheetId="6">
        <row r="85">
          <cell r="Q85">
            <v>93667.601849574829</v>
          </cell>
        </row>
        <row r="89">
          <cell r="Q89">
            <v>75977.9806059861</v>
          </cell>
        </row>
      </sheetData>
      <sheetData sheetId="7">
        <row r="85">
          <cell r="Q85">
            <v>90947.333812129102</v>
          </cell>
        </row>
        <row r="89">
          <cell r="Q89">
            <v>69501.601327135242</v>
          </cell>
        </row>
      </sheetData>
      <sheetData sheetId="8">
        <row r="85">
          <cell r="Q85">
            <v>103264.35507254215</v>
          </cell>
        </row>
        <row r="89">
          <cell r="Q89">
            <v>75618.33100556671</v>
          </cell>
        </row>
      </sheetData>
      <sheetData sheetId="9">
        <row r="85">
          <cell r="Q85">
            <v>99696.475258549166</v>
          </cell>
        </row>
        <row r="89">
          <cell r="Q89">
            <v>74152.249669130528</v>
          </cell>
        </row>
      </sheetData>
      <sheetData sheetId="10">
        <row r="85">
          <cell r="Q85">
            <v>97994.962624672582</v>
          </cell>
        </row>
        <row r="89">
          <cell r="Q89">
            <v>74987.777595958221</v>
          </cell>
        </row>
      </sheetData>
      <sheetData sheetId="11">
        <row r="85">
          <cell r="Q85">
            <v>100668.63028823047</v>
          </cell>
        </row>
        <row r="89">
          <cell r="Q89">
            <v>75650.672851287789</v>
          </cell>
        </row>
      </sheetData>
      <sheetData sheetId="12">
        <row r="85">
          <cell r="Q85">
            <v>93211.349672539436</v>
          </cell>
        </row>
        <row r="89">
          <cell r="Q89">
            <v>69411.931001408011</v>
          </cell>
        </row>
      </sheetData>
      <sheetData sheetId="13">
        <row r="85">
          <cell r="Q85">
            <v>95748.327312602138</v>
          </cell>
        </row>
        <row r="89">
          <cell r="Q89">
            <v>68422.8835492051</v>
          </cell>
        </row>
      </sheetData>
      <sheetData sheetId="14">
        <row r="85">
          <cell r="Q85">
            <v>93371.609767179689</v>
          </cell>
        </row>
        <row r="89">
          <cell r="Q89">
            <v>67700.232268268577</v>
          </cell>
        </row>
      </sheetData>
      <sheetData sheetId="15">
        <row r="85">
          <cell r="Q85">
            <v>95568.807739501688</v>
          </cell>
        </row>
        <row r="89">
          <cell r="Q89">
            <v>74821.787465056914</v>
          </cell>
        </row>
      </sheetData>
      <sheetData sheetId="16">
        <row r="85">
          <cell r="Q85">
            <v>95764.34707702171</v>
          </cell>
        </row>
        <row r="89">
          <cell r="Q89">
            <v>72036.357634614658</v>
          </cell>
        </row>
      </sheetData>
      <sheetData sheetId="17">
        <row r="85">
          <cell r="Q85">
            <v>102089.72823323256</v>
          </cell>
        </row>
        <row r="89">
          <cell r="Q89">
            <v>69160.181726045281</v>
          </cell>
        </row>
      </sheetData>
      <sheetData sheetId="18">
        <row r="85">
          <cell r="Q85">
            <v>99942.580052109566</v>
          </cell>
        </row>
        <row r="89">
          <cell r="Q89">
            <v>65770.95005063717</v>
          </cell>
        </row>
      </sheetData>
      <sheetData sheetId="19">
        <row r="85">
          <cell r="Q85">
            <v>96959.888976484988</v>
          </cell>
        </row>
        <row r="89">
          <cell r="Q89">
            <v>69016.785190305498</v>
          </cell>
        </row>
      </sheetData>
      <sheetData sheetId="20">
        <row r="85">
          <cell r="Q85">
            <v>119419.30063544944</v>
          </cell>
        </row>
        <row r="89">
          <cell r="Q89">
            <v>84321.96246070393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>
            <v>31332.580047010902</v>
          </cell>
          <cell r="X12">
            <v>31337.801151481126</v>
          </cell>
          <cell r="Y12">
            <v>31322.549166493853</v>
          </cell>
          <cell r="Z12">
            <v>31291.93841498005</v>
          </cell>
          <cell r="AA12">
            <v>31284.18313282196</v>
          </cell>
          <cell r="AB12">
            <v>31285.421715344921</v>
          </cell>
          <cell r="AC12">
            <v>31286.554992600311</v>
          </cell>
          <cell r="AD12">
            <v>31281.084055401941</v>
          </cell>
          <cell r="AE12">
            <v>31274.369263158198</v>
          </cell>
          <cell r="AF12">
            <v>31273.38827040957</v>
          </cell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>
            <v>2.5605563980984212E-2</v>
          </cell>
          <cell r="X13">
            <v>2.5612399319715148E-2</v>
          </cell>
          <cell r="Y13">
            <v>2.5607726242479818E-2</v>
          </cell>
          <cell r="Z13">
            <v>2.5591501411792537E-2</v>
          </cell>
          <cell r="AA13">
            <v>2.5583876472476397E-2</v>
          </cell>
          <cell r="AB13">
            <v>2.5580802299724821E-2</v>
          </cell>
          <cell r="AC13">
            <v>2.5582589948017792E-2</v>
          </cell>
          <cell r="AD13">
            <v>2.5581289341030881E-2</v>
          </cell>
          <cell r="AE13">
            <v>2.5577766397035278E-2</v>
          </cell>
          <cell r="AF13">
            <v>2.5579459274253372E-2</v>
          </cell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R23">
            <v>304775.57553683931</v>
          </cell>
          <cell r="S23">
            <v>1.4014710369451358E-2</v>
          </cell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  <row r="39">
          <cell r="R39">
            <v>17800</v>
          </cell>
        </row>
        <row r="40">
          <cell r="G40">
            <v>70540000</v>
          </cell>
          <cell r="H40">
            <v>17746960.000000007</v>
          </cell>
          <cell r="I40">
            <v>88286960</v>
          </cell>
          <cell r="R40">
            <v>17390000</v>
          </cell>
          <cell r="S40">
            <v>4356833.684210524</v>
          </cell>
          <cell r="T40">
            <v>21746833.684210524</v>
          </cell>
        </row>
        <row r="41">
          <cell r="G41">
            <v>0.79898549004292363</v>
          </cell>
          <cell r="H41">
            <v>0.20101450995707643</v>
          </cell>
          <cell r="R41">
            <v>976966.29213483143</v>
          </cell>
        </row>
        <row r="42">
          <cell r="R42">
            <v>0.79965664208974752</v>
          </cell>
          <cell r="S42">
            <v>0.20034335791025251</v>
          </cell>
        </row>
        <row r="43">
          <cell r="G43">
            <v>665131.35501777369</v>
          </cell>
          <cell r="H43">
            <v>167338.5249822262</v>
          </cell>
          <cell r="I43">
            <v>832469.87999999989</v>
          </cell>
          <cell r="Q43">
            <v>167008.94</v>
          </cell>
          <cell r="R43">
            <v>133549.80815936811</v>
          </cell>
          <cell r="S43">
            <v>33459.13184063189</v>
          </cell>
        </row>
        <row r="44">
          <cell r="G44">
            <v>343858.81807007489</v>
          </cell>
          <cell r="H44">
            <v>86510.471929924868</v>
          </cell>
          <cell r="I44">
            <v>430369.28999999975</v>
          </cell>
          <cell r="Q44">
            <v>84326.16</v>
          </cell>
          <cell r="R44">
            <v>67431.973945922786</v>
          </cell>
          <cell r="S44">
            <v>16894.186054077221</v>
          </cell>
        </row>
        <row r="49">
          <cell r="S49">
            <v>2.3266632548618219E-2</v>
          </cell>
        </row>
        <row r="50">
          <cell r="S50">
            <v>3.4780000000000526E-2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97212.562428041681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991542.96887460211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475846.3764868062</v>
          </cell>
          <cell r="Z24">
            <v>566549.92292613955</v>
          </cell>
          <cell r="AA24">
            <v>643882.69522466674</v>
          </cell>
          <cell r="AB24">
            <v>716819.2150620356</v>
          </cell>
          <cell r="AC24">
            <v>796675.42687692423</v>
          </cell>
          <cell r="AD24">
            <v>868097.21919451328</v>
          </cell>
          <cell r="AE24">
            <v>942550.16626368219</v>
          </cell>
          <cell r="AF24">
            <v>991542.96887460211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175129.01258724771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2069905.1053073548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802189.21739768051</v>
          </cell>
          <cell r="Z25">
            <v>963045.29178138077</v>
          </cell>
          <cell r="AA25">
            <v>1148716.0143134913</v>
          </cell>
          <cell r="AB25">
            <v>1322090.5179057599</v>
          </cell>
          <cell r="AC25">
            <v>1502901.9724256315</v>
          </cell>
          <cell r="AD25">
            <v>1689679.1476359246</v>
          </cell>
          <cell r="AE25">
            <v>1882652.6351739264</v>
          </cell>
          <cell r="AF25">
            <v>2069905.1053073548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272341.57501528936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3061448.0741819567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1278035.5938844867</v>
          </cell>
          <cell r="Z26">
            <v>1529595.2147075203</v>
          </cell>
          <cell r="AA26">
            <v>1792598.709538158</v>
          </cell>
          <cell r="AB26">
            <v>2038909.7329677953</v>
          </cell>
          <cell r="AC26">
            <v>2299577.3993025557</v>
          </cell>
          <cell r="AD26">
            <v>2557776.3668304379</v>
          </cell>
          <cell r="AE26">
            <v>2825202.8014376084</v>
          </cell>
          <cell r="AF26">
            <v>3061448.0741819572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243031.40607010422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2731840.7971461336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1204876.4552681088</v>
          </cell>
          <cell r="Z27">
            <v>1431635.3213664424</v>
          </cell>
          <cell r="AA27">
            <v>1663633.6382620239</v>
          </cell>
          <cell r="AB27">
            <v>1882443.1977741304</v>
          </cell>
          <cell r="AC27">
            <v>2122011.8332187962</v>
          </cell>
          <cell r="AD27">
            <v>2321992.8517080457</v>
          </cell>
          <cell r="AE27">
            <v>2530461.1035017185</v>
          </cell>
          <cell r="AF27">
            <v>2731840.7971461336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162038.03851877406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1863262.588305366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729353.15551056876</v>
          </cell>
          <cell r="Z28">
            <v>880595.06740079436</v>
          </cell>
          <cell r="AA28">
            <v>1047554.2038029813</v>
          </cell>
          <cell r="AB28">
            <v>1205439.3538957392</v>
          </cell>
          <cell r="AC28">
            <v>1361881.6004923156</v>
          </cell>
          <cell r="AD28">
            <v>1526010.0909786185</v>
          </cell>
          <cell r="AE28">
            <v>1697712.1322790191</v>
          </cell>
          <cell r="AF28">
            <v>1863262.588305366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405069.44458887831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4595103.3854514994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1934229.6107786775</v>
          </cell>
          <cell r="Z29">
            <v>2312230.3887672368</v>
          </cell>
          <cell r="AA29">
            <v>2711187.8420650051</v>
          </cell>
          <cell r="AB29">
            <v>3087882.5516698696</v>
          </cell>
          <cell r="AC29">
            <v>3483893.4337111115</v>
          </cell>
          <cell r="AD29">
            <v>3848002.9426866639</v>
          </cell>
          <cell r="AE29">
            <v>4228173.2357807374</v>
          </cell>
          <cell r="AF29">
            <v>4595103.3854514994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340243.96849814593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3723383.7660207367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1680722.831754915</v>
          </cell>
          <cell r="Z30">
            <v>1998185.2442925819</v>
          </cell>
          <cell r="AA30">
            <v>2307516.3334866907</v>
          </cell>
          <cell r="AB30">
            <v>2599262.4128361661</v>
          </cell>
          <cell r="AC30">
            <v>2918687.2600957202</v>
          </cell>
          <cell r="AD30">
            <v>3190090.070902559</v>
          </cell>
          <cell r="AE30">
            <v>3473011.2697654008</v>
          </cell>
          <cell r="AF30">
            <v>3723383.7660207357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337167.05110602174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3933167.6936127204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1531542.3729082493</v>
          </cell>
          <cell r="Z31">
            <v>1843640.3591821752</v>
          </cell>
          <cell r="AA31">
            <v>2196270.2181164725</v>
          </cell>
          <cell r="AB31">
            <v>2527529.8718014993</v>
          </cell>
          <cell r="AC31">
            <v>2864783.5729179471</v>
          </cell>
          <cell r="AD31">
            <v>3215689.2386145433</v>
          </cell>
          <cell r="AE31">
            <v>3580364.7674529455</v>
          </cell>
          <cell r="AF31">
            <v>3933167.6936127208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677411.01960416767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7656551.4596334565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3212265.204663164</v>
          </cell>
          <cell r="Z32">
            <v>3841825.6034747572</v>
          </cell>
          <cell r="AA32">
            <v>4503786.5516031627</v>
          </cell>
          <cell r="AB32">
            <v>5126792.2846376654</v>
          </cell>
          <cell r="AC32">
            <v>5783470.8330136668</v>
          </cell>
          <cell r="AD32">
            <v>6405779.3095171023</v>
          </cell>
          <cell r="AE32">
            <v>7053376.0372183463</v>
          </cell>
          <cell r="AF32">
            <v>7656551.4596334565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-25212.562428041681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-218670.96887460203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-115846.3764868062</v>
          </cell>
          <cell r="Z33">
            <v>-134549.92292613955</v>
          </cell>
          <cell r="AA33">
            <v>-151882.69522466674</v>
          </cell>
          <cell r="AB33">
            <v>-164819.2150620356</v>
          </cell>
          <cell r="AC33">
            <v>-184675.42687692423</v>
          </cell>
          <cell r="AD33">
            <v>-196097.21919451328</v>
          </cell>
          <cell r="AE33">
            <v>-210550.16626368219</v>
          </cell>
          <cell r="AF33">
            <v>-218670.96887460211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-2184.4384657643968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99134.356031763717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8377.884149286896</v>
          </cell>
          <cell r="Z34">
            <v>17770.75533645961</v>
          </cell>
          <cell r="AA34">
            <v>24174.587499341229</v>
          </cell>
          <cell r="AB34">
            <v>40964.905567171285</v>
          </cell>
          <cell r="AC34">
            <v>41290.472612012411</v>
          </cell>
          <cell r="AD34">
            <v>63723.589274269063</v>
          </cell>
          <cell r="AE34">
            <v>78100.913366301451</v>
          </cell>
          <cell r="AF34">
            <v>99134.3560317636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-27397.000893806078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-119536.61284283828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-107468.4923375193</v>
          </cell>
          <cell r="Z35">
            <v>-116779.16758967994</v>
          </cell>
          <cell r="AA35">
            <v>-127708.10772532551</v>
          </cell>
          <cell r="AB35">
            <v>-123854.30949486431</v>
          </cell>
          <cell r="AC35">
            <v>-143384.95426491182</v>
          </cell>
          <cell r="AD35">
            <v>-132373.62992024422</v>
          </cell>
          <cell r="AE35">
            <v>-132449.25289738073</v>
          </cell>
          <cell r="AF35">
            <v>-119536.61284283851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41968.593929895782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650159.20285386592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239123.54473189125</v>
          </cell>
          <cell r="Z36">
            <v>297364.67863355763</v>
          </cell>
          <cell r="AA36">
            <v>350366.36173797608</v>
          </cell>
          <cell r="AB36">
            <v>416556.80222586961</v>
          </cell>
          <cell r="AC36">
            <v>461988.16678120382</v>
          </cell>
          <cell r="AD36">
            <v>528007.14829195431</v>
          </cell>
          <cell r="AE36">
            <v>585538.89649828151</v>
          </cell>
          <cell r="AF36">
            <v>650159.20285386639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58495.399028467247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836608.61716552463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287534.44497804402</v>
          </cell>
          <cell r="Z37">
            <v>357185.11812768702</v>
          </cell>
          <cell r="AA37">
            <v>428907.99771805492</v>
          </cell>
          <cell r="AB37">
            <v>510360.95664374274</v>
          </cell>
          <cell r="AC37">
            <v>572220.79846996535</v>
          </cell>
          <cell r="AD37">
            <v>662897.57520004571</v>
          </cell>
          <cell r="AE37">
            <v>746939.77218601969</v>
          </cell>
          <cell r="AF37">
            <v>836608.61716552475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100463.99295836303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1486767.8200193907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526657.98970993527</v>
          </cell>
          <cell r="Z38">
            <v>654549.79676124465</v>
          </cell>
          <cell r="AA38">
            <v>779274.359456031</v>
          </cell>
          <cell r="AB38">
            <v>926917.75886961236</v>
          </cell>
          <cell r="AC38">
            <v>1034208.9652511692</v>
          </cell>
          <cell r="AD38">
            <v>1190904.723492</v>
          </cell>
          <cell r="AE38">
            <v>1332478.6686843012</v>
          </cell>
          <cell r="AF38">
            <v>1486767.8200193911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16756.0315018541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431488.2339792641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123277.16824508505</v>
          </cell>
          <cell r="Z39">
            <v>162814.75570741808</v>
          </cell>
          <cell r="AA39">
            <v>198483.66651330935</v>
          </cell>
          <cell r="AB39">
            <v>251737.58716383402</v>
          </cell>
          <cell r="AC39">
            <v>277312.73990427959</v>
          </cell>
          <cell r="AD39">
            <v>331909.92909744103</v>
          </cell>
          <cell r="AE39">
            <v>374988.73023459932</v>
          </cell>
          <cell r="AF39">
            <v>431488.23397926427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56310.96056270285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935742.97319728835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295912.32912733092</v>
          </cell>
          <cell r="Z40">
            <v>374955.87346414663</v>
          </cell>
          <cell r="AA40">
            <v>453082.58521739615</v>
          </cell>
          <cell r="AB40">
            <v>551325.86221091403</v>
          </cell>
          <cell r="AC40">
            <v>613511.27108197776</v>
          </cell>
          <cell r="AD40">
            <v>726621.16447431478</v>
          </cell>
          <cell r="AE40">
            <v>825040.68555232114</v>
          </cell>
          <cell r="AF40">
            <v>935742.97319728835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73066.992064556951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1367231.2071765524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419189.49737241596</v>
          </cell>
          <cell r="Z41">
            <v>537770.62917156471</v>
          </cell>
          <cell r="AA41">
            <v>651566.25173070549</v>
          </cell>
          <cell r="AB41">
            <v>803063.44937474804</v>
          </cell>
          <cell r="AC41">
            <v>890824.01098625734</v>
          </cell>
          <cell r="AD41">
            <v>1058531.0935717558</v>
          </cell>
          <cell r="AE41">
            <v>1200029.4157869206</v>
          </cell>
          <cell r="AF41">
            <v>1367231.2071765526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-34540.167662995351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-322180.04797789641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-157933.45450200993</v>
          </cell>
          <cell r="Z60">
            <v>-184828.59094636235</v>
          </cell>
          <cell r="AA60">
            <v>-208803.57246899666</v>
          </cell>
          <cell r="AB60">
            <v>-228396.41449695878</v>
          </cell>
          <cell r="AC60">
            <v>-255166.75114302529</v>
          </cell>
          <cell r="AD60">
            <v>-273113.9319004456</v>
          </cell>
          <cell r="AE60">
            <v>-294103.5794988441</v>
          </cell>
          <cell r="AF60">
            <v>-306842.55287841347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-19689.760795982533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-126698.56901877074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-62472.069864661855</v>
          </cell>
          <cell r="Z61">
            <v>-67606.381603566246</v>
          </cell>
          <cell r="AA61">
            <v>-77150.041677076413</v>
          </cell>
          <cell r="AB61">
            <v>-76182.202637825365</v>
          </cell>
          <cell r="AC61">
            <v>-91511.685326061532</v>
          </cell>
          <cell r="AD61">
            <v>-86143.298914790619</v>
          </cell>
          <cell r="AE61">
            <v>-88708.351824236132</v>
          </cell>
          <cell r="AF61">
            <v>-85325.744339508441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-54229.928458977884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-448878.61699666717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-220405.5243666718</v>
          </cell>
          <cell r="Z62">
            <v>-252434.97254992859</v>
          </cell>
          <cell r="AA62">
            <v>-285953.61414607306</v>
          </cell>
          <cell r="AB62">
            <v>-304578.61713478412</v>
          </cell>
          <cell r="AC62">
            <v>-346678.4364690868</v>
          </cell>
          <cell r="AD62">
            <v>-359257.23081523622</v>
          </cell>
          <cell r="AE62">
            <v>-382811.93132308021</v>
          </cell>
          <cell r="AF62">
            <v>-392168.29721792194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16945.763290794344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340694.59160094865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132544.67628171179</v>
          </cell>
          <cell r="Z63">
            <v>170306.83517083043</v>
          </cell>
          <cell r="AA63">
            <v>203381.89060292757</v>
          </cell>
          <cell r="AB63">
            <v>249603.36451904138</v>
          </cell>
          <cell r="AC63">
            <v>274292.35458084196</v>
          </cell>
          <cell r="AD63">
            <v>322040.24846006487</v>
          </cell>
          <cell r="AE63">
            <v>361269.23518454924</v>
          </cell>
          <cell r="AF63">
            <v>406907.04278467537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41316.615580749567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619035.25074888766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223114.26934626483</v>
          </cell>
          <cell r="Z64">
            <v>279106.03077288507</v>
          </cell>
          <cell r="AA64">
            <v>336488.57982940658</v>
          </cell>
          <cell r="AB64">
            <v>403532.64687937964</v>
          </cell>
          <cell r="AC64">
            <v>451847.37809672445</v>
          </cell>
          <cell r="AD64">
            <v>527528.7014824826</v>
          </cell>
          <cell r="AE64">
            <v>596496.07781434036</v>
          </cell>
          <cell r="AF64">
            <v>670559.76783202135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58262.378871543915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959729.84234983637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355658.94562797662</v>
          </cell>
          <cell r="Z65">
            <v>449412.8659437155</v>
          </cell>
          <cell r="AA65">
            <v>539870.47043233411</v>
          </cell>
          <cell r="AB65">
            <v>653136.01139842102</v>
          </cell>
          <cell r="AC65">
            <v>726139.73267756635</v>
          </cell>
          <cell r="AD65">
            <v>849568.94994254748</v>
          </cell>
          <cell r="AE65">
            <v>957765.3129988896</v>
          </cell>
          <cell r="AF65">
            <v>1077466.8106166967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-17594.404372201006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18514.543623052181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-25388.778220298147</v>
          </cell>
          <cell r="Z66">
            <v>-14521.755775531929</v>
          </cell>
          <cell r="AA66">
            <v>-5421.6818660690915</v>
          </cell>
          <cell r="AB66">
            <v>21206.950022082601</v>
          </cell>
          <cell r="AC66">
            <v>19125.603437816666</v>
          </cell>
          <cell r="AD66">
            <v>48926.31655961927</v>
          </cell>
          <cell r="AE66">
            <v>67165.655685705133</v>
          </cell>
          <cell r="AF66">
            <v>100064.48990626191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21626.854784767034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492336.68173011695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160642.19948160299</v>
          </cell>
          <cell r="Z67">
            <v>211499.64916931884</v>
          </cell>
          <cell r="AA67">
            <v>259338.53815233015</v>
          </cell>
          <cell r="AB67">
            <v>327350.44424155424</v>
          </cell>
          <cell r="AC67">
            <v>360335.69277066295</v>
          </cell>
          <cell r="AD67">
            <v>441385.40256769198</v>
          </cell>
          <cell r="AE67">
            <v>507787.72599010426</v>
          </cell>
          <cell r="AF67">
            <v>585234.02349251288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4032.4504125660278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510851.2253531692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135253.42126130484</v>
          </cell>
          <cell r="Z68">
            <v>196977.89339378692</v>
          </cell>
          <cell r="AA68">
            <v>253916.85628626106</v>
          </cell>
          <cell r="AB68">
            <v>348557.39426363684</v>
          </cell>
          <cell r="AC68">
            <v>379461.29620847962</v>
          </cell>
          <cell r="AD68">
            <v>490311.71912731125</v>
          </cell>
          <cell r="AE68">
            <v>574953.38167580939</v>
          </cell>
          <cell r="AF68">
            <v>685298.51339877478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326989.72966666671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3463663.3337777774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734267.67927083443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8338484.1534112347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16210.332397890161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685298.51339877397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97212.562428041681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991542.96887460211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475846.3764868062</v>
          </cell>
          <cell r="Z87">
            <v>566549.92292613955</v>
          </cell>
          <cell r="AA87">
            <v>643882.69522466674</v>
          </cell>
          <cell r="AB87">
            <v>716819.2150620356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175129.01258724771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2069905.1053073548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802189.21739768051</v>
          </cell>
          <cell r="Z88">
            <v>963045.29178138077</v>
          </cell>
          <cell r="AA88">
            <v>1148716.0143134913</v>
          </cell>
          <cell r="AB88">
            <v>1322090.5179057599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175129.01258724771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2069905.1053073548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802189.21739768051</v>
          </cell>
          <cell r="Z94">
            <v>963045.29178138077</v>
          </cell>
          <cell r="AA94">
            <v>1148716.0143134913</v>
          </cell>
          <cell r="AB94">
            <v>1322090.5179057599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272341.57501528936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3061448.0741819572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1278035.5938844867</v>
          </cell>
          <cell r="Z95">
            <v>1529595.2147075203</v>
          </cell>
          <cell r="AA95">
            <v>1792598.709538158</v>
          </cell>
          <cell r="AB95">
            <v>2038909.7329677953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16202.093738006948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15309.462820083929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79307.7294144677</v>
          </cell>
          <cell r="Z96">
            <v>94424.987154356597</v>
          </cell>
          <cell r="AA96">
            <v>109891.54161406204</v>
          </cell>
          <cell r="AB96">
            <v>124478.8455815358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243031.40607010422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2731840.7971461336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1204876.4552681088</v>
          </cell>
          <cell r="Z97">
            <v>1431635.3213664424</v>
          </cell>
          <cell r="AA97">
            <v>1663633.6382620239</v>
          </cell>
          <cell r="AB97">
            <v>1882443.1977741304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123595.17391214943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1455357.0810832381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559480.42866225145</v>
          </cell>
          <cell r="Z98">
            <v>675903.88240318454</v>
          </cell>
          <cell r="AA98">
            <v>805745.08421808016</v>
          </cell>
          <cell r="AB98">
            <v>928615.05809059087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38442.864606624629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407905.50722212734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169872.72684831737</v>
          </cell>
          <cell r="Z99">
            <v>204691.18499760987</v>
          </cell>
          <cell r="AA99">
            <v>241809.11958490114</v>
          </cell>
          <cell r="AB99">
            <v>276824.29580514814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162038.03851877406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1863262.5883053655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729353.15551056876</v>
          </cell>
          <cell r="Z104">
            <v>880595.06740079436</v>
          </cell>
          <cell r="AA104">
            <v>1047554.2038029813</v>
          </cell>
          <cell r="AB104">
            <v>1205439.3538957392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405069.44458887831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4595103.3854514994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1934229.6107786777</v>
          </cell>
          <cell r="Z105">
            <v>2312230.3887672368</v>
          </cell>
          <cell r="AA105">
            <v>2711187.8420650056</v>
          </cell>
          <cell r="AB105">
            <v>3087882.5516698696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16202.093738006948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15315.535339113552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79307.7294144677</v>
          </cell>
          <cell r="Z106">
            <v>94424.987154356597</v>
          </cell>
          <cell r="AA106">
            <v>109891.54161406204</v>
          </cell>
          <cell r="AB106">
            <v>124478.8455815358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340243.96849814593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3723383.7660207367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1680722.8317549152</v>
          </cell>
          <cell r="Z107">
            <v>1998185.2442925822</v>
          </cell>
          <cell r="AA107">
            <v>2307516.3334866911</v>
          </cell>
          <cell r="AB107">
            <v>2599262.4128361666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298724.18649939715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3525262.1863905932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1361669.6460599322</v>
          </cell>
          <cell r="Z108">
            <v>1638949.1741845654</v>
          </cell>
          <cell r="AA108">
            <v>1954461.0985315717</v>
          </cell>
          <cell r="AB108">
            <v>2250705.575996351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38442.864606624629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407905.50722212734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169872.72684831737</v>
          </cell>
          <cell r="Z109">
            <v>204691.18499760987</v>
          </cell>
          <cell r="AA109">
            <v>241809.11958490114</v>
          </cell>
          <cell r="AB109">
            <v>276824.29580514814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337167.0511060218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3933167.6936127204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1531542.3729082493</v>
          </cell>
          <cell r="Z114">
            <v>1843640.3591821752</v>
          </cell>
          <cell r="AA114">
            <v>2196270.2181164725</v>
          </cell>
          <cell r="AB114">
            <v>2527529.8718014988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677411.01960416767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7656551.4596334565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3212265.2046631649</v>
          </cell>
          <cell r="Z115">
            <v>3841825.6034747576</v>
          </cell>
          <cell r="AA115">
            <v>4503786.5516031636</v>
          </cell>
          <cell r="AB115">
            <v>5126792.2846376654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16202.093738006948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15313.106683519674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79307.7294144677</v>
          </cell>
          <cell r="Z116">
            <v>94424.987154356597</v>
          </cell>
          <cell r="AA116">
            <v>109891.54161406204</v>
          </cell>
          <cell r="AB116">
            <v>124478.8455815358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-25212.562428041681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-218670.96887460203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-115846.37648680618</v>
          </cell>
          <cell r="Z117">
            <v>-134549.92292613961</v>
          </cell>
          <cell r="AA117">
            <v>-151882.69522466679</v>
          </cell>
          <cell r="AB117">
            <v>-164819.2150620356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-2184.4384657643968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99134.356031763717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8377.8841492869542</v>
          </cell>
          <cell r="Z118">
            <v>17770.755336459697</v>
          </cell>
          <cell r="AA118">
            <v>24174.587499341462</v>
          </cell>
          <cell r="AB118">
            <v>40964.905567171489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-2184.4384657643968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99134.356031763717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8377.8841492869542</v>
          </cell>
          <cell r="Z124">
            <v>17770.755336459697</v>
          </cell>
          <cell r="AA124">
            <v>24174.587499341462</v>
          </cell>
          <cell r="AB124">
            <v>40964.905567171489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-27397.000893806078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-119536.61284283831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-107468.49233751923</v>
          </cell>
          <cell r="Z125">
            <v>-116779.1675896799</v>
          </cell>
          <cell r="AA125">
            <v>-127708.1077253253</v>
          </cell>
          <cell r="AB125">
            <v>-123854.30949486409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41968.593929895782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650159.20285386592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239123.54473189104</v>
          </cell>
          <cell r="Z126">
            <v>297364.67863355752</v>
          </cell>
          <cell r="AA126">
            <v>350366.36173797597</v>
          </cell>
          <cell r="AB126">
            <v>416556.8022258695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51856.77976412412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737243.85019410355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253314.01376184513</v>
          </cell>
          <cell r="Z127">
            <v>314021.85473819985</v>
          </cell>
          <cell r="AA127">
            <v>377264.87536747206</v>
          </cell>
          <cell r="AB127">
            <v>448125.65567469737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6638.6192643431204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99364.766971421079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34220.43121619882</v>
          </cell>
          <cell r="Z128">
            <v>43163.263389486965</v>
          </cell>
          <cell r="AA128">
            <v>51643.122350582787</v>
          </cell>
          <cell r="AB128">
            <v>62235.300969045449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58495.39902846724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836608.61716552463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287534.4449780439</v>
          </cell>
          <cell r="Z133">
            <v>357185.11812768679</v>
          </cell>
          <cell r="AA133">
            <v>428907.9977180548</v>
          </cell>
          <cell r="AB133">
            <v>510360.95664374274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100463.99295836303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1486767.8200193904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526657.98970993503</v>
          </cell>
          <cell r="Z134">
            <v>654549.79676124442</v>
          </cell>
          <cell r="AA134">
            <v>779274.35945603088</v>
          </cell>
          <cell r="AB134">
            <v>926917.75886961236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16756.0315018541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431488.2339792641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123277.16824508486</v>
          </cell>
          <cell r="Z135">
            <v>162814.75570741796</v>
          </cell>
          <cell r="AA135">
            <v>198483.66651330923</v>
          </cell>
          <cell r="AB135">
            <v>251737.58716383396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49672.341298359723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836378.20622586727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261691.89791113202</v>
          </cell>
          <cell r="Z136">
            <v>331792.61007465946</v>
          </cell>
          <cell r="AA136">
            <v>401439.46286681341</v>
          </cell>
          <cell r="AB136">
            <v>489090.56124186871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6638.6192643431204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99364.766971421079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34220.43121619882</v>
          </cell>
          <cell r="Z137">
            <v>43163.263389486965</v>
          </cell>
          <cell r="AA137">
            <v>51643.122350582787</v>
          </cell>
          <cell r="AB137">
            <v>62235.300969045449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56310.960562702843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935742.97319728835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295912.32912733086</v>
          </cell>
          <cell r="Z142">
            <v>374955.87346414645</v>
          </cell>
          <cell r="AA142">
            <v>453082.58521739626</v>
          </cell>
          <cell r="AB142">
            <v>551325.86221091426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73066.992064556951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1367231.2071765524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419189.49737241573</v>
          </cell>
          <cell r="Z143">
            <v>537770.62917156448</v>
          </cell>
          <cell r="AA143">
            <v>651566.25173070549</v>
          </cell>
          <cell r="AB143">
            <v>803063.44937474816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-25212.562428041681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-218670.96887460203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-115846.37648680618</v>
          </cell>
          <cell r="Z144">
            <v>-134549.92292613961</v>
          </cell>
          <cell r="AA144">
            <v>-151882.69522466679</v>
          </cell>
          <cell r="AB144">
            <v>-164819.2150620356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-2184.4384657643968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99134.356031763717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8377.8841492869542</v>
          </cell>
          <cell r="Z145">
            <v>17770.755336459697</v>
          </cell>
          <cell r="AA145">
            <v>24174.587499341462</v>
          </cell>
          <cell r="AB145">
            <v>40964.905567171489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-2184.4384657643968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99134.356031763717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8377.8841492869542</v>
          </cell>
          <cell r="Z151">
            <v>17770.755336459697</v>
          </cell>
          <cell r="AA151">
            <v>24174.587499341462</v>
          </cell>
          <cell r="AB151">
            <v>40964.905567171489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-27397.000893806078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-119536.61284283831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-107468.49233751923</v>
          </cell>
          <cell r="Z152">
            <v>-116779.1675896799</v>
          </cell>
          <cell r="AA152">
            <v>-127708.1077253253</v>
          </cell>
          <cell r="AB152">
            <v>-123854.30949486409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41968.593929895782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650159.20285386592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239123.54473189104</v>
          </cell>
          <cell r="Z153">
            <v>297364.67863355752</v>
          </cell>
          <cell r="AA153">
            <v>350366.36173797597</v>
          </cell>
          <cell r="AB153">
            <v>416556.8022258695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51856.77976412412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737243.85019410355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253314.01376184513</v>
          </cell>
          <cell r="Z154">
            <v>314021.85473819985</v>
          </cell>
          <cell r="AA154">
            <v>377264.87536747206</v>
          </cell>
          <cell r="AB154">
            <v>448125.65567469737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6638.6192643431204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99364.766971421079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34220.43121619882</v>
          </cell>
          <cell r="Z155">
            <v>43163.263389486965</v>
          </cell>
          <cell r="AA155">
            <v>51643.122350582787</v>
          </cell>
          <cell r="AB155">
            <v>62235.300969045449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58495.39902846724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836608.61716552463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287534.4449780439</v>
          </cell>
          <cell r="Z160">
            <v>357185.11812768679</v>
          </cell>
          <cell r="AA160">
            <v>428907.9977180548</v>
          </cell>
          <cell r="AB160">
            <v>510360.95664374274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100463.99295836303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1486767.8200193904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526657.98970993503</v>
          </cell>
          <cell r="Z161">
            <v>654549.79676124442</v>
          </cell>
          <cell r="AA161">
            <v>779274.35945603088</v>
          </cell>
          <cell r="AB161">
            <v>926917.75886961236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16756.0315018541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431488.2339792641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123277.16824508486</v>
          </cell>
          <cell r="Z162">
            <v>162814.75570741796</v>
          </cell>
          <cell r="AA162">
            <v>198483.66651330923</v>
          </cell>
          <cell r="AB162">
            <v>251737.58716383396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49672.341298359723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836378.20622586727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261691.89791113202</v>
          </cell>
          <cell r="Z163">
            <v>331792.61007465946</v>
          </cell>
          <cell r="AA163">
            <v>401439.46286681341</v>
          </cell>
          <cell r="AB163">
            <v>489090.56124186871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6638.6192643431204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99364.766971421079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34220.43121619882</v>
          </cell>
          <cell r="Z164">
            <v>43163.263389486965</v>
          </cell>
          <cell r="AA164">
            <v>51643.122350582787</v>
          </cell>
          <cell r="AB164">
            <v>62235.300969045449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56310.960562702843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935742.97319728835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295912.32912733086</v>
          </cell>
          <cell r="Z169">
            <v>374955.87346414645</v>
          </cell>
          <cell r="AA169">
            <v>453082.58521739626</v>
          </cell>
          <cell r="AB169">
            <v>551325.86221091426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73066.992064556951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1367231.2071765524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419189.49737241573</v>
          </cell>
          <cell r="Z170">
            <v>537770.62917156448</v>
          </cell>
          <cell r="AA170">
            <v>651566.25173070549</v>
          </cell>
          <cell r="AB170">
            <v>803063.44937474816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-33371.835627532084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-306842.55287841341</v>
          </cell>
          <cell r="T201">
            <v>-306842.55287841341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-157933.4545020099</v>
          </cell>
          <cell r="Z201">
            <v>-184828.59094636241</v>
          </cell>
          <cell r="AA201">
            <v>-208803.57246899669</v>
          </cell>
          <cell r="AB201">
            <v>-228396.41449695875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-16883.417930625856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-85325.744339508368</v>
          </cell>
          <cell r="T202">
            <v>-85325.744339508325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-62472.069864661797</v>
          </cell>
          <cell r="Z202">
            <v>-67606.381603566158</v>
          </cell>
          <cell r="AA202">
            <v>-77150.04167707618</v>
          </cell>
          <cell r="AB202">
            <v>-76182.202637825161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-16883.417930625856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-85325.744339508368</v>
          </cell>
          <cell r="T208">
            <v>-85325.744339508325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-62472.069864661797</v>
          </cell>
          <cell r="Z208">
            <v>-67606.381603566158</v>
          </cell>
          <cell r="AA208">
            <v>-77150.04167707618</v>
          </cell>
          <cell r="AB208">
            <v>-76182.202637825161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-50255.253558157943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-392168.29721792176</v>
          </cell>
          <cell r="T209">
            <v>-392168.2972179217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-220405.52436667169</v>
          </cell>
          <cell r="Z209">
            <v>-252434.97254992856</v>
          </cell>
          <cell r="AA209">
            <v>-285953.61414607288</v>
          </cell>
          <cell r="AB209">
            <v>-304578.61713478394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21570.410931169779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406907.04278467508</v>
          </cell>
          <cell r="T210">
            <v>406907.04278467491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132544.67628171158</v>
          </cell>
          <cell r="Z210">
            <v>170306.83517083037</v>
          </cell>
          <cell r="AA210">
            <v>203381.89060292748</v>
          </cell>
          <cell r="AB210">
            <v>249603.36451904132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41483.153507391871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607546.86508415162</v>
          </cell>
          <cell r="T211">
            <v>607546.86508415174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203901.66790555103</v>
          </cell>
          <cell r="Z211">
            <v>254095.11074145485</v>
          </cell>
          <cell r="AA211">
            <v>306185.90699378616</v>
          </cell>
          <cell r="AB211">
            <v>365833.34540495108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3412.0215174865766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63012.902747869579</v>
          </cell>
          <cell r="T212">
            <v>63012.90274786955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19212.601440713701</v>
          </cell>
          <cell r="Z212">
            <v>25010.920031430003</v>
          </cell>
          <cell r="AA212">
            <v>30302.672835620262</v>
          </cell>
          <cell r="AB212">
            <v>37699.301474428576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44895.175024878445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670559.76783202123</v>
          </cell>
          <cell r="T217">
            <v>670559.76783202123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223114.26934626471</v>
          </cell>
          <cell r="Z217">
            <v>279106.03077288484</v>
          </cell>
          <cell r="AA217">
            <v>336488.5798294064</v>
          </cell>
          <cell r="AB217">
            <v>403532.64687937964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66465.58595604822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1077466.8106166963</v>
          </cell>
          <cell r="T218">
            <v>1077466.810616696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355658.94562797633</v>
          </cell>
          <cell r="Z218">
            <v>449412.86594371521</v>
          </cell>
          <cell r="AA218">
            <v>539870.47043233388</v>
          </cell>
          <cell r="AB218">
            <v>653136.0113984209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-11801.424696362305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100064.48990626168</v>
          </cell>
          <cell r="T219">
            <v>100064.48990626168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-25388.778220298333</v>
          </cell>
          <cell r="Z219">
            <v>-14521.755775532063</v>
          </cell>
          <cell r="AA219">
            <v>-5421.6818660692188</v>
          </cell>
          <cell r="AB219">
            <v>21206.95002208255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24599.735576766016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522221.12074464327</v>
          </cell>
          <cell r="T220">
            <v>522221.12074464338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141429.59804088925</v>
          </cell>
          <cell r="Z220">
            <v>186488.7291378887</v>
          </cell>
          <cell r="AA220">
            <v>229035.86531670997</v>
          </cell>
          <cell r="AB220">
            <v>289651.14276712592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3412.0215174865766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63012.902747869579</v>
          </cell>
          <cell r="T221">
            <v>63012.90274786955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19212.601440713701</v>
          </cell>
          <cell r="Z221">
            <v>25010.920031430003</v>
          </cell>
          <cell r="AA221">
            <v>30302.672835620262</v>
          </cell>
          <cell r="AB221">
            <v>37699.301474428576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28011.757094252593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585234.02349251288</v>
          </cell>
          <cell r="T226">
            <v>585234.02349251299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160642.19948160296</v>
          </cell>
          <cell r="Z226">
            <v>211499.64916931873</v>
          </cell>
          <cell r="AA226">
            <v>259338.53815233026</v>
          </cell>
          <cell r="AB226">
            <v>327350.44424155448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16210.332397890288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685298.51339877455</v>
          </cell>
          <cell r="T227">
            <v>685298.51339877455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135253.42126130461</v>
          </cell>
          <cell r="Z227">
            <v>196977.89339378662</v>
          </cell>
          <cell r="AA227">
            <v>253916.856286261</v>
          </cell>
          <cell r="AB227">
            <v>348557.39426363702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0</v>
          </cell>
          <cell r="P16">
            <v>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0</v>
          </cell>
          <cell r="P17">
            <v>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0</v>
          </cell>
          <cell r="O22">
            <v>0</v>
          </cell>
          <cell r="P22">
            <v>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146300000</v>
          </cell>
          <cell r="O16">
            <v>137357500</v>
          </cell>
          <cell r="P16">
            <v>283657500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67200000</v>
          </cell>
          <cell r="O17">
            <v>95328000</v>
          </cell>
          <cell r="P17">
            <v>162528000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13824000</v>
          </cell>
          <cell r="P19">
            <v>13824000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213500000</v>
          </cell>
          <cell r="O22">
            <v>246509500</v>
          </cell>
          <cell r="P22">
            <v>460009500</v>
          </cell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M27"/>
        </row>
        <row r="28">
          <cell r="M28"/>
        </row>
        <row r="29">
          <cell r="M29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>
      <selection activeCell="M35" sqref="M35"/>
    </sheetView>
  </sheetViews>
  <sheetFormatPr defaultRowHeight="16.5" x14ac:dyDescent="0.3"/>
  <cols>
    <col min="13" max="13" width="15.75" customWidth="1"/>
  </cols>
  <sheetData>
    <row r="6" spans="1:13" x14ac:dyDescent="0.3">
      <c r="A6" s="675" t="s">
        <v>199</v>
      </c>
      <c r="B6" s="676"/>
      <c r="C6" s="676"/>
      <c r="D6" s="676"/>
      <c r="E6" s="676"/>
      <c r="F6" s="676"/>
      <c r="G6" s="676"/>
      <c r="H6" s="676"/>
      <c r="I6" s="676"/>
      <c r="J6" s="676"/>
      <c r="K6" s="676"/>
      <c r="L6" s="676"/>
      <c r="M6" s="676"/>
    </row>
    <row r="7" spans="1:13" x14ac:dyDescent="0.3">
      <c r="A7" s="676"/>
      <c r="B7" s="676"/>
      <c r="C7" s="676"/>
      <c r="D7" s="676"/>
      <c r="E7" s="676"/>
      <c r="F7" s="676"/>
      <c r="G7" s="676"/>
      <c r="H7" s="676"/>
      <c r="I7" s="676"/>
      <c r="J7" s="676"/>
      <c r="K7" s="676"/>
      <c r="L7" s="676"/>
      <c r="M7" s="676"/>
    </row>
    <row r="8" spans="1:13" x14ac:dyDescent="0.3">
      <c r="A8" s="676"/>
      <c r="B8" s="676"/>
      <c r="C8" s="676"/>
      <c r="D8" s="676"/>
      <c r="E8" s="676"/>
      <c r="F8" s="676"/>
      <c r="G8" s="676"/>
      <c r="H8" s="676"/>
      <c r="I8" s="676"/>
      <c r="J8" s="676"/>
      <c r="K8" s="676"/>
      <c r="L8" s="676"/>
      <c r="M8" s="676"/>
    </row>
    <row r="9" spans="1:13" x14ac:dyDescent="0.3">
      <c r="A9" s="676"/>
      <c r="B9" s="676"/>
      <c r="C9" s="676"/>
      <c r="D9" s="676"/>
      <c r="E9" s="676"/>
      <c r="F9" s="676"/>
      <c r="G9" s="676"/>
      <c r="H9" s="676"/>
      <c r="I9" s="676"/>
      <c r="J9" s="676"/>
      <c r="K9" s="676"/>
      <c r="L9" s="676"/>
      <c r="M9" s="676"/>
    </row>
    <row r="10" spans="1:13" x14ac:dyDescent="0.3">
      <c r="A10" s="676"/>
      <c r="B10" s="676"/>
      <c r="C10" s="676"/>
      <c r="D10" s="676"/>
      <c r="E10" s="676"/>
      <c r="F10" s="676"/>
      <c r="G10" s="676"/>
      <c r="H10" s="676"/>
      <c r="I10" s="676"/>
      <c r="J10" s="676"/>
      <c r="K10" s="676"/>
      <c r="L10" s="676"/>
      <c r="M10" s="676"/>
    </row>
    <row r="11" spans="1:13" x14ac:dyDescent="0.3">
      <c r="A11" s="676"/>
      <c r="B11" s="676"/>
      <c r="C11" s="676"/>
      <c r="D11" s="676"/>
      <c r="E11" s="676"/>
      <c r="F11" s="676"/>
      <c r="G11" s="676"/>
      <c r="H11" s="676"/>
      <c r="I11" s="676"/>
      <c r="J11" s="676"/>
      <c r="K11" s="676"/>
      <c r="L11" s="676"/>
      <c r="M11" s="676"/>
    </row>
    <row r="12" spans="1:13" x14ac:dyDescent="0.3">
      <c r="A12" s="676"/>
      <c r="B12" s="676"/>
      <c r="C12" s="676"/>
      <c r="D12" s="676"/>
      <c r="E12" s="676"/>
      <c r="F12" s="676"/>
      <c r="G12" s="676"/>
      <c r="H12" s="676"/>
      <c r="I12" s="676"/>
      <c r="J12" s="676"/>
      <c r="K12" s="676"/>
      <c r="L12" s="676"/>
      <c r="M12" s="676"/>
    </row>
    <row r="13" spans="1:13" x14ac:dyDescent="0.3">
      <c r="A13" s="676"/>
      <c r="B13" s="676"/>
      <c r="C13" s="676"/>
      <c r="D13" s="676"/>
      <c r="E13" s="676"/>
      <c r="F13" s="676"/>
      <c r="G13" s="676"/>
      <c r="H13" s="676"/>
      <c r="I13" s="676"/>
      <c r="J13" s="676"/>
      <c r="K13" s="676"/>
      <c r="L13" s="676"/>
      <c r="M13" s="676"/>
    </row>
    <row r="14" spans="1:13" x14ac:dyDescent="0.3">
      <c r="A14" s="676"/>
      <c r="B14" s="676"/>
      <c r="C14" s="676"/>
      <c r="D14" s="676"/>
      <c r="E14" s="676"/>
      <c r="F14" s="676"/>
      <c r="G14" s="676"/>
      <c r="H14" s="676"/>
      <c r="I14" s="676"/>
      <c r="J14" s="676"/>
      <c r="K14" s="676"/>
      <c r="L14" s="676"/>
      <c r="M14" s="676"/>
    </row>
    <row r="24" spans="1:13" x14ac:dyDescent="0.3">
      <c r="A24" s="677" t="s">
        <v>108</v>
      </c>
      <c r="B24" s="677"/>
      <c r="C24" s="677"/>
      <c r="D24" s="677"/>
      <c r="E24" s="677"/>
      <c r="F24" s="677"/>
      <c r="G24" s="677"/>
      <c r="H24" s="677"/>
      <c r="I24" s="677"/>
      <c r="J24" s="677"/>
      <c r="K24" s="677"/>
      <c r="L24" s="677"/>
      <c r="M24" s="677"/>
    </row>
    <row r="25" spans="1:13" x14ac:dyDescent="0.3">
      <c r="A25" s="677"/>
      <c r="B25" s="677"/>
      <c r="C25" s="677"/>
      <c r="D25" s="677"/>
      <c r="E25" s="677"/>
      <c r="F25" s="677"/>
      <c r="G25" s="677"/>
      <c r="H25" s="677"/>
      <c r="I25" s="677"/>
      <c r="J25" s="677"/>
      <c r="K25" s="677"/>
      <c r="L25" s="677"/>
      <c r="M25" s="677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L42"/>
  <sheetViews>
    <sheetView showGridLines="0" view="pageBreakPreview" topLeftCell="C10" zoomScale="70" zoomScaleNormal="70" zoomScaleSheetLayoutView="70" workbookViewId="0">
      <selection activeCell="L44" sqref="L44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 x14ac:dyDescent="0.3"/>
    <row r="2" spans="1:38" ht="20.100000000000001" customHeight="1" x14ac:dyDescent="0.3"/>
    <row r="3" spans="1:38" ht="20.100000000000001" customHeight="1" x14ac:dyDescent="0.3">
      <c r="C3" s="4" t="s">
        <v>209</v>
      </c>
      <c r="Z3" s="541" t="s">
        <v>217</v>
      </c>
    </row>
    <row r="4" spans="1:38" ht="20.100000000000001" customHeight="1" x14ac:dyDescent="0.3">
      <c r="H4" s="468"/>
      <c r="X4" s="5" t="s">
        <v>130</v>
      </c>
      <c r="AK4" s="5" t="s">
        <v>174</v>
      </c>
    </row>
    <row r="5" spans="1:38" ht="27" customHeight="1" thickBot="1" x14ac:dyDescent="0.35">
      <c r="C5" s="680" t="s">
        <v>70</v>
      </c>
      <c r="D5" s="681"/>
      <c r="E5" s="132" t="s">
        <v>200</v>
      </c>
      <c r="F5" s="133"/>
      <c r="G5" s="133"/>
      <c r="H5" s="133"/>
      <c r="I5" s="134"/>
      <c r="J5" s="133" t="s">
        <v>201</v>
      </c>
      <c r="K5" s="133"/>
      <c r="L5" s="133"/>
      <c r="M5" s="133"/>
      <c r="N5" s="134"/>
      <c r="O5" s="135"/>
      <c r="P5" s="680" t="s">
        <v>202</v>
      </c>
      <c r="Q5" s="681"/>
      <c r="R5" s="681"/>
      <c r="S5" s="681"/>
      <c r="T5" s="681"/>
      <c r="U5" s="681"/>
      <c r="V5" s="681"/>
      <c r="W5" s="681"/>
      <c r="X5" s="684"/>
      <c r="Z5" s="696" t="s">
        <v>169</v>
      </c>
      <c r="AA5" s="693"/>
      <c r="AB5" s="693" t="str">
        <f>+E5</f>
        <v>12월</v>
      </c>
      <c r="AC5" s="694"/>
      <c r="AD5" s="693"/>
      <c r="AE5" s="693"/>
      <c r="AF5" s="695"/>
      <c r="AG5" s="696" t="str">
        <f>+J5</f>
        <v>12월 누계</v>
      </c>
      <c r="AH5" s="694"/>
      <c r="AI5" s="693"/>
      <c r="AJ5" s="693"/>
      <c r="AK5" s="697"/>
    </row>
    <row r="6" spans="1:38" ht="27" customHeight="1" thickTop="1" thickBot="1" x14ac:dyDescent="0.35">
      <c r="A6" t="s">
        <v>195</v>
      </c>
      <c r="C6" s="682"/>
      <c r="D6" s="683"/>
      <c r="E6" s="208" t="s">
        <v>71</v>
      </c>
      <c r="F6" s="327" t="s">
        <v>72</v>
      </c>
      <c r="G6" s="324" t="s">
        <v>73</v>
      </c>
      <c r="H6" s="136" t="s">
        <v>74</v>
      </c>
      <c r="I6" s="137" t="s">
        <v>75</v>
      </c>
      <c r="J6" s="208" t="s">
        <v>71</v>
      </c>
      <c r="K6" s="327" t="s">
        <v>72</v>
      </c>
      <c r="L6" s="324" t="s">
        <v>73</v>
      </c>
      <c r="M6" s="136" t="s">
        <v>74</v>
      </c>
      <c r="N6" s="137" t="s">
        <v>75</v>
      </c>
      <c r="O6" s="135"/>
      <c r="P6" s="682"/>
      <c r="Q6" s="683"/>
      <c r="R6" s="683"/>
      <c r="S6" s="683"/>
      <c r="T6" s="683"/>
      <c r="U6" s="683"/>
      <c r="V6" s="683"/>
      <c r="W6" s="683"/>
      <c r="X6" s="685"/>
      <c r="Z6" s="699"/>
      <c r="AA6" s="700"/>
      <c r="AB6" s="557" t="str">
        <f>+E6</f>
        <v>계획</v>
      </c>
      <c r="AC6" s="558" t="str">
        <f>+F6</f>
        <v>실적</v>
      </c>
      <c r="AD6" s="559" t="str">
        <f>+G6</f>
        <v>계획대비</v>
      </c>
      <c r="AE6" s="560" t="str">
        <f t="shared" ref="AE6:AK7" si="0">+H6</f>
        <v>전년</v>
      </c>
      <c r="AF6" s="561" t="str">
        <f t="shared" si="0"/>
        <v>전년대비</v>
      </c>
      <c r="AG6" s="562" t="str">
        <f t="shared" si="0"/>
        <v>계획</v>
      </c>
      <c r="AH6" s="558" t="str">
        <f t="shared" si="0"/>
        <v>실적</v>
      </c>
      <c r="AI6" s="559" t="str">
        <f t="shared" si="0"/>
        <v>계획대비</v>
      </c>
      <c r="AJ6" s="560" t="str">
        <f t="shared" si="0"/>
        <v>전년</v>
      </c>
      <c r="AK6" s="557" t="str">
        <f t="shared" si="0"/>
        <v>전년대비</v>
      </c>
    </row>
    <row r="7" spans="1:38" ht="21.75" customHeight="1" x14ac:dyDescent="0.3">
      <c r="A7" s="468">
        <f>+F7/E7</f>
        <v>0.88549268292682926</v>
      </c>
      <c r="B7" s="468">
        <f>+K7/J7</f>
        <v>0.96520799999999973</v>
      </c>
      <c r="C7" s="100" t="s">
        <v>0</v>
      </c>
      <c r="D7" s="101" t="s">
        <v>46</v>
      </c>
      <c r="E7" s="638">
        <f>+'[1]12월'!$Z$7/1000</f>
        <v>307.5</v>
      </c>
      <c r="F7" s="639">
        <f>+'[2]12월'!$Z$7/1000</f>
        <v>272.28899999999999</v>
      </c>
      <c r="G7" s="614">
        <f>+F7-E7</f>
        <v>-35.211000000000013</v>
      </c>
      <c r="H7" s="615">
        <f>+'[3]12월'!$Z$7/1000</f>
        <v>283.90949999999998</v>
      </c>
      <c r="I7" s="616">
        <f>+F7-H7</f>
        <v>-11.620499999999993</v>
      </c>
      <c r="J7" s="638">
        <f>+[4]손익총괄!J7+E7</f>
        <v>3500</v>
      </c>
      <c r="K7" s="639">
        <f>+[4]손익총괄!K7+F7</f>
        <v>3378.2279999999992</v>
      </c>
      <c r="L7" s="614">
        <f t="shared" ref="L7:L36" si="1">+K7-J7</f>
        <v>-121.77200000000084</v>
      </c>
      <c r="M7" s="615">
        <f>+[4]손익총괄!M7+H7</f>
        <v>3843.6276800000005</v>
      </c>
      <c r="N7" s="616">
        <f t="shared" ref="N7:N36" si="2">+K7-M7</f>
        <v>-465.39968000000135</v>
      </c>
      <c r="O7" s="99"/>
      <c r="P7" s="102"/>
      <c r="Q7" s="103" t="s">
        <v>93</v>
      </c>
      <c r="R7" s="103"/>
      <c r="S7" s="99"/>
      <c r="T7" s="99"/>
      <c r="U7" s="99"/>
      <c r="V7" s="99"/>
      <c r="W7" s="99"/>
      <c r="X7" s="104"/>
      <c r="Y7" s="468"/>
      <c r="Z7" s="692" t="s">
        <v>170</v>
      </c>
      <c r="AA7" s="600" t="str">
        <f t="shared" ref="AA7:AA13" si="3">+D7</f>
        <v>레미콘</v>
      </c>
      <c r="AB7" s="601">
        <f>+E7</f>
        <v>307.5</v>
      </c>
      <c r="AC7" s="602">
        <f>+F7</f>
        <v>272.28899999999999</v>
      </c>
      <c r="AD7" s="603">
        <f>+AC7-AB7</f>
        <v>-35.211000000000013</v>
      </c>
      <c r="AE7" s="604">
        <f t="shared" si="0"/>
        <v>283.90949999999998</v>
      </c>
      <c r="AF7" s="605">
        <f>+AC7-AE7</f>
        <v>-11.620499999999993</v>
      </c>
      <c r="AG7" s="606">
        <f>+J7</f>
        <v>3500</v>
      </c>
      <c r="AH7" s="602">
        <f>+K7</f>
        <v>3378.2279999999992</v>
      </c>
      <c r="AI7" s="603">
        <f>+AH7-AG7</f>
        <v>-121.77200000000084</v>
      </c>
      <c r="AJ7" s="604">
        <f>+M7</f>
        <v>3843.6276800000005</v>
      </c>
      <c r="AK7" s="601">
        <f>+AH7-AJ7</f>
        <v>-465.39968000000135</v>
      </c>
    </row>
    <row r="8" spans="1:38" ht="21.75" customHeight="1" x14ac:dyDescent="0.3">
      <c r="B8" s="468"/>
      <c r="C8" s="100"/>
      <c r="D8" s="105" t="s">
        <v>78</v>
      </c>
      <c r="E8" s="640">
        <f>+'[1]12월'!$AA$7</f>
        <v>8600</v>
      </c>
      <c r="F8" s="641">
        <f>+'[2]12월'!$AO$7</f>
        <v>8003.0569999999998</v>
      </c>
      <c r="G8" s="617">
        <f>+F8-E8</f>
        <v>-596.94300000000021</v>
      </c>
      <c r="H8" s="618">
        <f>+'[3]12월'!$AO$7</f>
        <v>7811.91</v>
      </c>
      <c r="I8" s="619">
        <f>+F8-H8</f>
        <v>191.14699999999993</v>
      </c>
      <c r="J8" s="640">
        <f>+[4]손익총괄!J8+E8</f>
        <v>90000</v>
      </c>
      <c r="K8" s="641">
        <f>+[4]손익총괄!K8+F8</f>
        <v>105164.211</v>
      </c>
      <c r="L8" s="617">
        <f t="shared" si="1"/>
        <v>15164.210999999996</v>
      </c>
      <c r="M8" s="618">
        <f>+[4]손익총괄!M8+H8</f>
        <v>96546.947000000015</v>
      </c>
      <c r="N8" s="619">
        <f t="shared" si="2"/>
        <v>8617.263999999981</v>
      </c>
      <c r="O8" s="99"/>
      <c r="P8" s="102"/>
      <c r="Q8" s="338" t="s">
        <v>62</v>
      </c>
      <c r="R8" s="339"/>
      <c r="S8" s="340" t="s">
        <v>15</v>
      </c>
      <c r="T8" s="341" t="s">
        <v>76</v>
      </c>
      <c r="U8" s="342" t="s">
        <v>63</v>
      </c>
      <c r="V8" s="341" t="s">
        <v>45</v>
      </c>
      <c r="W8" s="343" t="s">
        <v>64</v>
      </c>
      <c r="X8" s="104"/>
      <c r="Y8" s="468"/>
      <c r="Z8" s="692"/>
      <c r="AA8" s="535" t="str">
        <f t="shared" si="3"/>
        <v>철강재</v>
      </c>
      <c r="AB8" s="594">
        <f>+E8/1000</f>
        <v>8.6</v>
      </c>
      <c r="AC8" s="595">
        <f>+F8/1000</f>
        <v>8.0030570000000001</v>
      </c>
      <c r="AD8" s="596">
        <f t="shared" ref="AD8:AD18" si="4">+AC8-AB8</f>
        <v>-0.59694299999999956</v>
      </c>
      <c r="AE8" s="597">
        <f>+H8/1000</f>
        <v>7.8119100000000001</v>
      </c>
      <c r="AF8" s="598">
        <f t="shared" ref="AF8:AF21" si="5">+AC8-AE8</f>
        <v>0.19114699999999996</v>
      </c>
      <c r="AG8" s="599">
        <f>+J8/1000</f>
        <v>90</v>
      </c>
      <c r="AH8" s="595">
        <f>+K8/1000</f>
        <v>105.16421099999999</v>
      </c>
      <c r="AI8" s="596">
        <f t="shared" ref="AI8:AI22" si="6">+AH8-AG8</f>
        <v>15.164210999999995</v>
      </c>
      <c r="AJ8" s="597">
        <f>+M8/1000</f>
        <v>96.546947000000017</v>
      </c>
      <c r="AK8" s="594">
        <f t="shared" ref="AK8:AK22" si="7">+AH8-AJ8</f>
        <v>8.6172639999999774</v>
      </c>
    </row>
    <row r="9" spans="1:38" ht="21.75" customHeight="1" x14ac:dyDescent="0.3">
      <c r="B9" s="468"/>
      <c r="C9" s="100"/>
      <c r="D9" s="105" t="s">
        <v>1</v>
      </c>
      <c r="E9" s="640">
        <f>+'[1]12월'!$AE$7/1000</f>
        <v>120.90522701449943</v>
      </c>
      <c r="F9" s="641">
        <f>+'[2]12월'!$AN$7/1000</f>
        <v>59.68</v>
      </c>
      <c r="G9" s="617">
        <f t="shared" ref="G9:G36" si="8">+F9-E9</f>
        <v>-61.225227014499431</v>
      </c>
      <c r="H9" s="618">
        <f>+'[3]12월'!$AN$7/1000</f>
        <v>70.233000000000004</v>
      </c>
      <c r="I9" s="619">
        <f t="shared" ref="I9:I36" si="9">+F9-H9</f>
        <v>-10.553000000000004</v>
      </c>
      <c r="J9" s="640">
        <f>+[4]손익총괄!J9+E9</f>
        <v>1225.9994367100114</v>
      </c>
      <c r="K9" s="641">
        <f>+[4]손익총괄!K9+F9</f>
        <v>840.11099999999999</v>
      </c>
      <c r="L9" s="617">
        <f t="shared" si="1"/>
        <v>-385.88843671001143</v>
      </c>
      <c r="M9" s="618">
        <f>+[4]손익총괄!M9+H9</f>
        <v>848.10000000000014</v>
      </c>
      <c r="N9" s="619">
        <f t="shared" si="2"/>
        <v>-7.9890000000001464</v>
      </c>
      <c r="O9" s="99"/>
      <c r="P9" s="102"/>
      <c r="Q9" s="106" t="s">
        <v>58</v>
      </c>
      <c r="R9" s="301" t="s">
        <v>19</v>
      </c>
      <c r="S9" s="314">
        <f>+[5]수도권!$T$5/1000</f>
        <v>113.5</v>
      </c>
      <c r="T9" s="107">
        <f>+[5]수도권!$U$5/1000</f>
        <v>94.753500000000003</v>
      </c>
      <c r="U9" s="614">
        <f>+T9-S9</f>
        <v>-18.746499999999997</v>
      </c>
      <c r="V9" s="615">
        <f>+[6]수도권!$T$5/1000</f>
        <v>105.14</v>
      </c>
      <c r="W9" s="616">
        <f>+T9-V9</f>
        <v>-10.386499999999998</v>
      </c>
      <c r="X9" s="104"/>
      <c r="Y9" s="468"/>
      <c r="Z9" s="698"/>
      <c r="AA9" s="537" t="str">
        <f t="shared" si="3"/>
        <v>골재</v>
      </c>
      <c r="AB9" s="543">
        <f>+E9</f>
        <v>120.90522701449943</v>
      </c>
      <c r="AC9" s="549">
        <f>+F9</f>
        <v>59.68</v>
      </c>
      <c r="AD9" s="546">
        <f t="shared" si="4"/>
        <v>-61.225227014499431</v>
      </c>
      <c r="AE9" s="539">
        <f>+H9</f>
        <v>70.233000000000004</v>
      </c>
      <c r="AF9" s="555">
        <f t="shared" si="5"/>
        <v>-10.553000000000004</v>
      </c>
      <c r="AG9" s="552">
        <f>+J9</f>
        <v>1225.9994367100114</v>
      </c>
      <c r="AH9" s="549">
        <f>+K9</f>
        <v>840.11099999999999</v>
      </c>
      <c r="AI9" s="546">
        <f t="shared" si="6"/>
        <v>-385.88843671001143</v>
      </c>
      <c r="AJ9" s="539">
        <f>+M9</f>
        <v>848.10000000000014</v>
      </c>
      <c r="AK9" s="543">
        <f t="shared" si="7"/>
        <v>-7.9890000000001464</v>
      </c>
    </row>
    <row r="10" spans="1:38" ht="21.75" customHeight="1" x14ac:dyDescent="0.3">
      <c r="B10" s="468"/>
      <c r="C10" s="108" t="s">
        <v>2</v>
      </c>
      <c r="D10" s="109" t="s">
        <v>46</v>
      </c>
      <c r="E10" s="642">
        <f>+'[1]12월'!$Z$8/1000</f>
        <v>31719.970612253808</v>
      </c>
      <c r="F10" s="643">
        <f>+'[2]12월'!$Z$8/1000</f>
        <v>27172.709015</v>
      </c>
      <c r="G10" s="644">
        <f t="shared" si="8"/>
        <v>-4547.2615972538078</v>
      </c>
      <c r="H10" s="645">
        <f>+'[3]12월'!$Z$8/1000</f>
        <v>27842.237386999994</v>
      </c>
      <c r="I10" s="646">
        <f t="shared" si="9"/>
        <v>-669.5283719999934</v>
      </c>
      <c r="J10" s="642">
        <f>+[4]손익총괄!J10+E10</f>
        <v>357471.32122631959</v>
      </c>
      <c r="K10" s="643">
        <f>+[4]손익총괄!K10+F10</f>
        <v>339565.23887300002</v>
      </c>
      <c r="L10" s="644">
        <f t="shared" si="1"/>
        <v>-17906.082353319565</v>
      </c>
      <c r="M10" s="645">
        <f>+[4]손익총괄!M10+H10</f>
        <v>371786.18047399999</v>
      </c>
      <c r="N10" s="646">
        <f t="shared" si="2"/>
        <v>-32220.94160099997</v>
      </c>
      <c r="O10" s="99"/>
      <c r="P10" s="102"/>
      <c r="Q10" s="110"/>
      <c r="R10" s="302" t="s">
        <v>20</v>
      </c>
      <c r="S10" s="315">
        <f>+[5]영남권!$T$5/1000</f>
        <v>138</v>
      </c>
      <c r="T10" s="111">
        <f>+[5]영남권!$U$5/1000</f>
        <v>129.27199999999999</v>
      </c>
      <c r="U10" s="617">
        <f t="shared" ref="U10:U20" si="10">+T10-S10</f>
        <v>-8.7280000000000086</v>
      </c>
      <c r="V10" s="618">
        <f>+[6]영남권!$T$5/1000</f>
        <v>130.01</v>
      </c>
      <c r="W10" s="619">
        <f t="shared" ref="W10:W20" si="11">+T10-V10</f>
        <v>-0.73799999999999955</v>
      </c>
      <c r="X10" s="104"/>
      <c r="Y10" s="468"/>
      <c r="Z10" s="692" t="s">
        <v>171</v>
      </c>
      <c r="AA10" s="600" t="str">
        <f t="shared" si="3"/>
        <v>레미콘</v>
      </c>
      <c r="AB10" s="601">
        <f t="shared" ref="AB10:AC13" si="12">+E10/100</f>
        <v>317.19970612253809</v>
      </c>
      <c r="AC10" s="602">
        <f t="shared" si="12"/>
        <v>271.72709014999998</v>
      </c>
      <c r="AD10" s="603">
        <f t="shared" si="4"/>
        <v>-45.472615972538108</v>
      </c>
      <c r="AE10" s="604">
        <f>+H10/100</f>
        <v>278.42237386999994</v>
      </c>
      <c r="AF10" s="605">
        <f t="shared" si="5"/>
        <v>-6.6952837199999635</v>
      </c>
      <c r="AG10" s="606">
        <f t="shared" ref="AG10:AH13" si="13">+J10/100</f>
        <v>3574.7132122631961</v>
      </c>
      <c r="AH10" s="602">
        <f t="shared" si="13"/>
        <v>3395.6523887300004</v>
      </c>
      <c r="AI10" s="603">
        <f t="shared" si="6"/>
        <v>-179.06082353319562</v>
      </c>
      <c r="AJ10" s="604">
        <f>+M10/100</f>
        <v>3717.86180474</v>
      </c>
      <c r="AK10" s="601">
        <f t="shared" si="7"/>
        <v>-322.20941600999959</v>
      </c>
    </row>
    <row r="11" spans="1:38" ht="21.75" customHeight="1" x14ac:dyDescent="0.3">
      <c r="B11" s="468"/>
      <c r="C11" s="100"/>
      <c r="D11" s="105" t="s">
        <v>3</v>
      </c>
      <c r="E11" s="640">
        <f>+'[1]12월'!$AA$8/1000</f>
        <v>10504.631578947367</v>
      </c>
      <c r="F11" s="641">
        <f>+'[2]12월'!$AO$8/1000</f>
        <v>7445.9016059999994</v>
      </c>
      <c r="G11" s="617">
        <f>+F11-E11</f>
        <v>-3058.7299729473671</v>
      </c>
      <c r="H11" s="618">
        <f>+'[3]12월'!$AO$8/1000</f>
        <v>9622.7531649999983</v>
      </c>
      <c r="I11" s="619">
        <f>+F11-H11</f>
        <v>-2176.8515589999988</v>
      </c>
      <c r="J11" s="640">
        <f>+[4]손익총괄!J11+E11</f>
        <v>110033.79368421054</v>
      </c>
      <c r="K11" s="641">
        <f>+[4]손익총괄!K11+F11</f>
        <v>103999.84695300001</v>
      </c>
      <c r="L11" s="617">
        <f t="shared" si="1"/>
        <v>-6033.9467312105262</v>
      </c>
      <c r="M11" s="618">
        <f>+[4]손익총괄!M11+H11</f>
        <v>118368.377329</v>
      </c>
      <c r="N11" s="619">
        <f t="shared" si="2"/>
        <v>-14368.530375999981</v>
      </c>
      <c r="O11" s="99"/>
      <c r="P11" s="102"/>
      <c r="Q11" s="110"/>
      <c r="R11" s="303" t="s">
        <v>137</v>
      </c>
      <c r="S11" s="316">
        <f>+[5]중부권!$T$5/1000</f>
        <v>56</v>
      </c>
      <c r="T11" s="112">
        <f>+[5]중부권!$U$5/1000</f>
        <v>48.263500000000001</v>
      </c>
      <c r="U11" s="620">
        <f t="shared" si="10"/>
        <v>-7.7364999999999995</v>
      </c>
      <c r="V11" s="621">
        <f>+[6]중부권!$T$5/1000</f>
        <v>48.759500000000003</v>
      </c>
      <c r="W11" s="622">
        <f t="shared" si="11"/>
        <v>-0.49600000000000222</v>
      </c>
      <c r="X11" s="104"/>
      <c r="Y11" s="468"/>
      <c r="Z11" s="692"/>
      <c r="AA11" s="535" t="str">
        <f t="shared" si="3"/>
        <v>건자재</v>
      </c>
      <c r="AB11" s="542">
        <f t="shared" si="12"/>
        <v>105.04631578947367</v>
      </c>
      <c r="AC11" s="548">
        <f t="shared" si="12"/>
        <v>74.459016059999996</v>
      </c>
      <c r="AD11" s="545">
        <f t="shared" si="4"/>
        <v>-30.587299729473671</v>
      </c>
      <c r="AE11" s="538">
        <f>+H11/100</f>
        <v>96.227531649999989</v>
      </c>
      <c r="AF11" s="554">
        <f t="shared" si="5"/>
        <v>-21.768515589999993</v>
      </c>
      <c r="AG11" s="551">
        <f t="shared" si="13"/>
        <v>1100.3379368421054</v>
      </c>
      <c r="AH11" s="548">
        <f t="shared" si="13"/>
        <v>1039.9984695300002</v>
      </c>
      <c r="AI11" s="545">
        <f t="shared" si="6"/>
        <v>-60.339467312105171</v>
      </c>
      <c r="AJ11" s="538">
        <f>+M11/100</f>
        <v>1183.6837732899999</v>
      </c>
      <c r="AK11" s="542">
        <f t="shared" si="7"/>
        <v>-143.68530375999967</v>
      </c>
    </row>
    <row r="12" spans="1:38" ht="21.75" customHeight="1" x14ac:dyDescent="0.3">
      <c r="B12" s="468"/>
      <c r="C12" s="100"/>
      <c r="D12" s="105" t="s">
        <v>1</v>
      </c>
      <c r="E12" s="640">
        <f>+'[1]12월'!$AE$8/1000</f>
        <v>2204.6876748846666</v>
      </c>
      <c r="F12" s="641">
        <f>+'[2]12월'!$AN$8/1000</f>
        <v>1280.5145</v>
      </c>
      <c r="G12" s="617">
        <f t="shared" si="8"/>
        <v>-924.17317488466665</v>
      </c>
      <c r="H12" s="618">
        <f>+'[3]12월'!$AN$8/1000</f>
        <v>1401.2729999999999</v>
      </c>
      <c r="I12" s="619">
        <f t="shared" si="9"/>
        <v>-120.75849999999991</v>
      </c>
      <c r="J12" s="640">
        <f>+[4]손익총괄!J12+E12</f>
        <v>23080.253500894305</v>
      </c>
      <c r="K12" s="641">
        <f>+[4]손익총괄!K12+F12</f>
        <v>17070.144079999998</v>
      </c>
      <c r="L12" s="617">
        <f t="shared" si="1"/>
        <v>-6010.1094208943068</v>
      </c>
      <c r="M12" s="618">
        <f>+[4]손익총괄!M12+H12</f>
        <v>16274.2264</v>
      </c>
      <c r="N12" s="619">
        <f t="shared" si="2"/>
        <v>795.91767999999865</v>
      </c>
      <c r="O12" s="99"/>
      <c r="P12" s="102"/>
      <c r="Q12" s="113" t="s">
        <v>65</v>
      </c>
      <c r="R12" s="304"/>
      <c r="S12" s="317">
        <f>SUM(S9:S11)</f>
        <v>307.5</v>
      </c>
      <c r="T12" s="114">
        <f>SUM(T9:T11)</f>
        <v>272.28899999999999</v>
      </c>
      <c r="U12" s="623">
        <f t="shared" si="10"/>
        <v>-35.211000000000013</v>
      </c>
      <c r="V12" s="624">
        <f>SUM(V9:V11)</f>
        <v>283.90949999999998</v>
      </c>
      <c r="W12" s="625">
        <f t="shared" si="11"/>
        <v>-11.620499999999993</v>
      </c>
      <c r="X12" s="104"/>
      <c r="Z12" s="692"/>
      <c r="AA12" s="535" t="str">
        <f t="shared" si="3"/>
        <v>골재</v>
      </c>
      <c r="AB12" s="542">
        <f t="shared" si="12"/>
        <v>22.046876748846667</v>
      </c>
      <c r="AC12" s="548">
        <f t="shared" si="12"/>
        <v>12.805145</v>
      </c>
      <c r="AD12" s="545">
        <f t="shared" si="4"/>
        <v>-9.2417317488466679</v>
      </c>
      <c r="AE12" s="538">
        <f>+H12/100</f>
        <v>14.012729999999999</v>
      </c>
      <c r="AF12" s="554">
        <f t="shared" si="5"/>
        <v>-1.2075849999999999</v>
      </c>
      <c r="AG12" s="551">
        <f t="shared" si="13"/>
        <v>230.80253500894304</v>
      </c>
      <c r="AH12" s="548">
        <f t="shared" si="13"/>
        <v>170.70144079999997</v>
      </c>
      <c r="AI12" s="545">
        <f t="shared" si="6"/>
        <v>-60.101094208943067</v>
      </c>
      <c r="AJ12" s="538">
        <f>+M12/100</f>
        <v>162.74226400000001</v>
      </c>
      <c r="AK12" s="542">
        <f t="shared" si="7"/>
        <v>7.9591767999999661</v>
      </c>
    </row>
    <row r="13" spans="1:38" ht="21.75" customHeight="1" x14ac:dyDescent="0.3">
      <c r="B13" s="468"/>
      <c r="C13" s="100"/>
      <c r="D13" s="115" t="s">
        <v>4</v>
      </c>
      <c r="E13" s="647">
        <f>+'[1]12월'!$E$8/1000-E10-E11-E12</f>
        <v>164.90750033333416</v>
      </c>
      <c r="F13" s="648">
        <f>+'[2]12월'!$F$8/1000-F10-F11-F12</f>
        <v>165.2117899999987</v>
      </c>
      <c r="G13" s="620">
        <f t="shared" si="8"/>
        <v>0.30428966666454471</v>
      </c>
      <c r="H13" s="621">
        <f>+'[3]12월'!$F$8/1000-H10-H11-H12</f>
        <v>171.20834100000252</v>
      </c>
      <c r="I13" s="622">
        <f t="shared" si="9"/>
        <v>-5.9965510000038194</v>
      </c>
      <c r="J13" s="647">
        <f>+[4]손익총괄!J13+E13</f>
        <v>1979.4900039999893</v>
      </c>
      <c r="K13" s="648">
        <f>+[4]손익총괄!K13+F13</f>
        <v>1986.9073199999973</v>
      </c>
      <c r="L13" s="620">
        <f t="shared" si="1"/>
        <v>7.4173160000079861</v>
      </c>
      <c r="M13" s="621">
        <f>+[4]손익총괄!M13+H13</f>
        <v>2313.0639920000121</v>
      </c>
      <c r="N13" s="622">
        <f t="shared" si="2"/>
        <v>-326.15667200001485</v>
      </c>
      <c r="O13" s="99"/>
      <c r="P13" s="102"/>
      <c r="Q13" s="106" t="s">
        <v>66</v>
      </c>
      <c r="R13" s="301" t="s">
        <v>19</v>
      </c>
      <c r="S13" s="314">
        <f>+[5]수도권!$T$61</f>
        <v>102392.87023131106</v>
      </c>
      <c r="T13" s="107">
        <f>+[5]수도권!$U$61</f>
        <v>95753.182837259141</v>
      </c>
      <c r="U13" s="614">
        <f t="shared" si="10"/>
        <v>-6639.6873940519145</v>
      </c>
      <c r="V13" s="615">
        <f>+[6]수도권!$Q$85</f>
        <v>97106.846945098514</v>
      </c>
      <c r="W13" s="616">
        <f t="shared" si="11"/>
        <v>-1353.6641078393732</v>
      </c>
      <c r="X13" s="104"/>
      <c r="Z13" s="692"/>
      <c r="AA13" s="535" t="str">
        <f t="shared" si="3"/>
        <v>기타</v>
      </c>
      <c r="AB13" s="542">
        <f t="shared" si="12"/>
        <v>1.6490750033333414</v>
      </c>
      <c r="AC13" s="548">
        <f t="shared" si="12"/>
        <v>1.652117899999987</v>
      </c>
      <c r="AD13" s="545">
        <f t="shared" si="4"/>
        <v>3.0428966666455892E-3</v>
      </c>
      <c r="AE13" s="538">
        <f>+H13/100</f>
        <v>1.7120834100000253</v>
      </c>
      <c r="AF13" s="554">
        <f t="shared" si="5"/>
        <v>-5.9965510000038247E-2</v>
      </c>
      <c r="AG13" s="551">
        <f t="shared" si="13"/>
        <v>19.794900039999892</v>
      </c>
      <c r="AH13" s="548">
        <f t="shared" si="13"/>
        <v>19.869073199999974</v>
      </c>
      <c r="AI13" s="545">
        <f t="shared" si="6"/>
        <v>7.4173160000082561E-2</v>
      </c>
      <c r="AJ13" s="538">
        <f>+M13/100</f>
        <v>23.130639920000121</v>
      </c>
      <c r="AK13" s="542">
        <f t="shared" si="7"/>
        <v>-3.2615667200001468</v>
      </c>
    </row>
    <row r="14" spans="1:38" ht="21.75" customHeight="1" x14ac:dyDescent="0.3">
      <c r="A14" s="468">
        <f>+F14/E14</f>
        <v>0.80872263749179096</v>
      </c>
      <c r="B14" s="468">
        <f>+K14/J14</f>
        <v>0.93921060206010276</v>
      </c>
      <c r="C14" s="116" t="s">
        <v>8</v>
      </c>
      <c r="D14" s="117"/>
      <c r="E14" s="647">
        <f>SUM(E10:E13)</f>
        <v>44594.197366419183</v>
      </c>
      <c r="F14" s="648">
        <f>SUM(F10:F13)</f>
        <v>36064.336910999999</v>
      </c>
      <c r="G14" s="620">
        <f t="shared" si="8"/>
        <v>-8529.8604554191843</v>
      </c>
      <c r="H14" s="621">
        <f>SUM(H10:H13)</f>
        <v>39037.471892999994</v>
      </c>
      <c r="I14" s="622">
        <f t="shared" si="9"/>
        <v>-2973.1349819999959</v>
      </c>
      <c r="J14" s="647">
        <f>SUM(J10:J13)</f>
        <v>492564.85841542442</v>
      </c>
      <c r="K14" s="648">
        <f>SUM(K10:K13)</f>
        <v>462622.13722600002</v>
      </c>
      <c r="L14" s="620">
        <f t="shared" si="1"/>
        <v>-29942.721189424396</v>
      </c>
      <c r="M14" s="621">
        <f>SUM(M10:M13)</f>
        <v>508741.84819499997</v>
      </c>
      <c r="N14" s="622">
        <f t="shared" si="2"/>
        <v>-46119.710968999949</v>
      </c>
      <c r="O14" s="99"/>
      <c r="P14" s="102"/>
      <c r="Q14" s="110"/>
      <c r="R14" s="302" t="s">
        <v>20</v>
      </c>
      <c r="S14" s="315">
        <f>+[5]영남권!$T$61</f>
        <v>102613.40255072464</v>
      </c>
      <c r="T14" s="111">
        <f>+[5]영남권!$U$61</f>
        <v>101138.01594527731</v>
      </c>
      <c r="U14" s="617">
        <f t="shared" si="10"/>
        <v>-1475.3866054473328</v>
      </c>
      <c r="V14" s="618">
        <f>+[6]영남권!$Q$85</f>
        <v>98238.787439427731</v>
      </c>
      <c r="W14" s="619">
        <f t="shared" si="11"/>
        <v>2899.2285058495763</v>
      </c>
      <c r="X14" s="104"/>
      <c r="Y14" s="468"/>
      <c r="Z14" s="563"/>
      <c r="AA14" s="573" t="s">
        <v>173</v>
      </c>
      <c r="AB14" s="574">
        <f>SUM(AB10:AB13)</f>
        <v>445.94197366419178</v>
      </c>
      <c r="AC14" s="591">
        <f t="shared" ref="AC14:AJ14" si="14">SUM(AC10:AC13)</f>
        <v>360.64336910999998</v>
      </c>
      <c r="AD14" s="575">
        <f t="shared" si="4"/>
        <v>-85.298604554191797</v>
      </c>
      <c r="AE14" s="576">
        <f t="shared" si="14"/>
        <v>390.37471892999997</v>
      </c>
      <c r="AF14" s="577">
        <f t="shared" si="5"/>
        <v>-29.731349819999991</v>
      </c>
      <c r="AG14" s="578">
        <f t="shared" si="14"/>
        <v>4925.6485841542435</v>
      </c>
      <c r="AH14" s="591">
        <f t="shared" si="14"/>
        <v>4626.22137226</v>
      </c>
      <c r="AI14" s="575">
        <f t="shared" si="6"/>
        <v>-299.42721189424356</v>
      </c>
      <c r="AJ14" s="576">
        <f t="shared" si="14"/>
        <v>5087.4184819500006</v>
      </c>
      <c r="AK14" s="574">
        <f t="shared" si="7"/>
        <v>-461.19710969000062</v>
      </c>
    </row>
    <row r="15" spans="1:38" ht="21.75" customHeight="1" x14ac:dyDescent="0.3">
      <c r="C15" s="100" t="s">
        <v>5</v>
      </c>
      <c r="D15" s="109" t="s">
        <v>46</v>
      </c>
      <c r="E15" s="642">
        <f>+('[1]12월'!$Z$10+'[1]12월'!$Z$19)/1000</f>
        <v>26400.912651085815</v>
      </c>
      <c r="F15" s="643">
        <f>+('[2]12월'!$Z$10+'[2]12월'!$Z$19)/1000</f>
        <v>25598.441484000003</v>
      </c>
      <c r="G15" s="644">
        <f t="shared" si="8"/>
        <v>-802.47116708581234</v>
      </c>
      <c r="H15" s="645">
        <f>+('[3]12월'!$Z$10+'[3]12월'!$Z$19)/1000</f>
        <v>26515.437940989996</v>
      </c>
      <c r="I15" s="646">
        <f t="shared" si="9"/>
        <v>-916.99645698999302</v>
      </c>
      <c r="J15" s="642">
        <f>+[4]손익총괄!J15+E15</f>
        <v>297562.86148575455</v>
      </c>
      <c r="K15" s="643">
        <f>+[4]손익총괄!K15+F15</f>
        <v>297938.72898199002</v>
      </c>
      <c r="L15" s="644">
        <f t="shared" si="1"/>
        <v>375.86749623547075</v>
      </c>
      <c r="M15" s="645">
        <f>+[4]손익총괄!M15+H15</f>
        <v>311485.47526499996</v>
      </c>
      <c r="N15" s="646">
        <f t="shared" si="2"/>
        <v>-13546.746283009939</v>
      </c>
      <c r="O15" s="99"/>
      <c r="P15" s="102"/>
      <c r="Q15" s="110"/>
      <c r="R15" s="303" t="s">
        <v>136</v>
      </c>
      <c r="S15" s="316">
        <f>+[5]중부권!$T$61</f>
        <v>106030.89801785714</v>
      </c>
      <c r="T15" s="112">
        <f>+[5]중부권!$U$61</f>
        <v>104182.09168419198</v>
      </c>
      <c r="U15" s="620">
        <f t="shared" si="10"/>
        <v>-1848.8063336651539</v>
      </c>
      <c r="V15" s="621">
        <f>+[6]중부권!$Q$85</f>
        <v>99522.84945820838</v>
      </c>
      <c r="W15" s="622">
        <f t="shared" si="11"/>
        <v>4659.2422259836021</v>
      </c>
      <c r="X15" s="104"/>
      <c r="Z15" s="658" t="s">
        <v>172</v>
      </c>
      <c r="AA15" s="607" t="str">
        <f>+D30</f>
        <v>레미콘</v>
      </c>
      <c r="AB15" s="608">
        <f>+E30/100</f>
        <v>46.480805871679934</v>
      </c>
      <c r="AC15" s="609">
        <f>+F30/100</f>
        <v>5.6822378599999777</v>
      </c>
      <c r="AD15" s="610">
        <f t="shared" si="4"/>
        <v>-40.798568011679954</v>
      </c>
      <c r="AE15" s="611">
        <f>+H30/100</f>
        <v>-1.5238965199000223</v>
      </c>
      <c r="AF15" s="612">
        <f t="shared" si="5"/>
        <v>7.2061343798999999</v>
      </c>
      <c r="AG15" s="613">
        <f>+J30/100</f>
        <v>519.77523794565047</v>
      </c>
      <c r="AH15" s="609">
        <f>+K30/100</f>
        <v>330.37283919010008</v>
      </c>
      <c r="AI15" s="610">
        <f t="shared" si="6"/>
        <v>-189.40239875555039</v>
      </c>
      <c r="AJ15" s="611">
        <f>+M30/100</f>
        <v>513.90872883000031</v>
      </c>
      <c r="AK15" s="608">
        <f t="shared" si="7"/>
        <v>-183.53588963990023</v>
      </c>
    </row>
    <row r="16" spans="1:38" ht="21.75" customHeight="1" x14ac:dyDescent="0.3">
      <c r="C16" s="100"/>
      <c r="D16" s="105" t="s">
        <v>3</v>
      </c>
      <c r="E16" s="640">
        <f>+('[1]12월'!$AA$10+'[1]12월'!$AA$19)/1000</f>
        <v>10235.760292631579</v>
      </c>
      <c r="F16" s="641">
        <f>+('[2]12월'!$AO$10+'[2]12월'!$AO$19)/1000</f>
        <v>7310.0570540000008</v>
      </c>
      <c r="G16" s="617">
        <f>+F16-E16</f>
        <v>-2925.7032386315786</v>
      </c>
      <c r="H16" s="618">
        <f>+('[3]12월'!$AO$10+'[3]12월'!$AO$19)/1000</f>
        <v>9423.1194070000001</v>
      </c>
      <c r="I16" s="619">
        <f>+F16-H16</f>
        <v>-2113.0623529999993</v>
      </c>
      <c r="J16" s="640">
        <f>+[4]손익총괄!J16+E16</f>
        <v>107219.18873987367</v>
      </c>
      <c r="K16" s="641">
        <f>+[4]손익총괄!K16+F16</f>
        <v>101702.98618400001</v>
      </c>
      <c r="L16" s="617">
        <f t="shared" si="1"/>
        <v>-5516.2025558736641</v>
      </c>
      <c r="M16" s="618">
        <f>+[4]손익총괄!M16+H16</f>
        <v>115981.88935599999</v>
      </c>
      <c r="N16" s="619">
        <f t="shared" si="2"/>
        <v>-14278.903171999977</v>
      </c>
      <c r="O16" s="99"/>
      <c r="P16" s="102"/>
      <c r="Q16" s="113" t="s">
        <v>65</v>
      </c>
      <c r="R16" s="304"/>
      <c r="S16" s="317">
        <f>+[5]합계!$T$61</f>
        <v>103154.37597480913</v>
      </c>
      <c r="T16" s="114">
        <f>+[5]합계!$U$61</f>
        <v>99802.989779255455</v>
      </c>
      <c r="U16" s="623">
        <f>+T16-S16</f>
        <v>-3351.3861955536704</v>
      </c>
      <c r="V16" s="624">
        <f>+[6]합계!$Q$85</f>
        <v>98036.160975394087</v>
      </c>
      <c r="W16" s="625">
        <f>+T16-V16</f>
        <v>1766.8288038613682</v>
      </c>
      <c r="X16" s="104"/>
      <c r="Z16" s="659"/>
      <c r="AA16" s="565" t="str">
        <f>+D31</f>
        <v>%</v>
      </c>
      <c r="AB16" s="566">
        <f>+E31</f>
        <v>0.14653483270795917</v>
      </c>
      <c r="AC16" s="567">
        <f>+F31</f>
        <v>2.0911561879469739E-2</v>
      </c>
      <c r="AD16" s="568">
        <f t="shared" si="4"/>
        <v>-0.12562327082848943</v>
      </c>
      <c r="AE16" s="569">
        <f>+H31</f>
        <v>-5.4733263664060094E-3</v>
      </c>
      <c r="AF16" s="570">
        <f t="shared" si="5"/>
        <v>2.6384888245875749E-2</v>
      </c>
      <c r="AG16" s="571">
        <f>+J31</f>
        <v>0.14540333925601104</v>
      </c>
      <c r="AH16" s="567">
        <f>+K31</f>
        <v>9.7292891429815051E-2</v>
      </c>
      <c r="AI16" s="568">
        <f t="shared" si="6"/>
        <v>-4.8110447826195987E-2</v>
      </c>
      <c r="AJ16" s="569">
        <f>+M31</f>
        <v>0.13822695834869508</v>
      </c>
      <c r="AK16" s="566">
        <f t="shared" si="7"/>
        <v>-4.0934066918880033E-2</v>
      </c>
      <c r="AL16" s="572"/>
    </row>
    <row r="17" spans="2:37" ht="21.75" customHeight="1" x14ac:dyDescent="0.3">
      <c r="C17" s="100"/>
      <c r="D17" s="105" t="s">
        <v>1</v>
      </c>
      <c r="E17" s="640">
        <f>+('[1]12월'!$AE$10+'[1]12월'!$AE$19)/1000</f>
        <v>1869.1605858798248</v>
      </c>
      <c r="F17" s="641">
        <f>+('[2]12월'!$AN$10+'[2]12월'!$AN$19)/1000</f>
        <v>1654.2000990000001</v>
      </c>
      <c r="G17" s="617">
        <f t="shared" si="8"/>
        <v>-214.96048687982466</v>
      </c>
      <c r="H17" s="618">
        <f>+('[3]12월'!$AN$10+'[3]12월'!$AN$19)/1000</f>
        <v>1788.5120769799998</v>
      </c>
      <c r="I17" s="619">
        <f t="shared" si="9"/>
        <v>-134.31197797999971</v>
      </c>
      <c r="J17" s="640">
        <f>+[4]손익총괄!J17+E17</f>
        <v>20355.93369566933</v>
      </c>
      <c r="K17" s="641">
        <f>+[4]손익총괄!K17+F17</f>
        <v>17064.109944</v>
      </c>
      <c r="L17" s="617">
        <f t="shared" si="1"/>
        <v>-3291.8237516693298</v>
      </c>
      <c r="M17" s="618">
        <f>+[4]손익총괄!M17+H17</f>
        <v>15468.447409949998</v>
      </c>
      <c r="N17" s="619">
        <f t="shared" si="2"/>
        <v>1595.6625340500013</v>
      </c>
      <c r="O17" s="99"/>
      <c r="P17" s="102"/>
      <c r="Q17" s="296" t="s">
        <v>67</v>
      </c>
      <c r="R17" s="305" t="s">
        <v>19</v>
      </c>
      <c r="S17" s="318">
        <f>+[5]수도권!$Q$90</f>
        <v>22434.814135114779</v>
      </c>
      <c r="T17" s="118">
        <f>+[5]수도권!$R$90</f>
        <v>11822.292094084725</v>
      </c>
      <c r="U17" s="626">
        <f t="shared" si="10"/>
        <v>-10612.522041030054</v>
      </c>
      <c r="V17" s="627">
        <f>+[6]수도권!$Q$90</f>
        <v>15397.430152180052</v>
      </c>
      <c r="W17" s="628">
        <f t="shared" si="11"/>
        <v>-3575.1380580953264</v>
      </c>
      <c r="X17" s="104"/>
      <c r="Z17" s="659"/>
      <c r="AA17" s="536" t="str">
        <f>+D32</f>
        <v>건자재</v>
      </c>
      <c r="AB17" s="544">
        <f>+E32/100</f>
        <v>1.3904024631578706</v>
      </c>
      <c r="AC17" s="550">
        <f>+F32/100</f>
        <v>-1.0110207300000136</v>
      </c>
      <c r="AD17" s="547">
        <f t="shared" si="4"/>
        <v>-2.4014231931578842</v>
      </c>
      <c r="AE17" s="540">
        <f>+H32/100</f>
        <v>-0.86633557000001871</v>
      </c>
      <c r="AF17" s="556">
        <f t="shared" si="5"/>
        <v>-0.14468515999999487</v>
      </c>
      <c r="AG17" s="553">
        <f>+J32/100</f>
        <v>13.004306743368682</v>
      </c>
      <c r="AH17" s="550">
        <f>+K32/100</f>
        <v>5.0075827500000631</v>
      </c>
      <c r="AI17" s="547">
        <f t="shared" si="6"/>
        <v>-7.9967239933686187</v>
      </c>
      <c r="AJ17" s="540">
        <f>+M32/100</f>
        <v>7.8164685500000992</v>
      </c>
      <c r="AK17" s="544">
        <f t="shared" si="7"/>
        <v>-2.8088858000000361</v>
      </c>
    </row>
    <row r="18" spans="2:37" ht="21.75" customHeight="1" x14ac:dyDescent="0.3">
      <c r="C18" s="100"/>
      <c r="D18" s="115" t="s">
        <v>4</v>
      </c>
      <c r="E18" s="647">
        <f>+('[1]12월'!$E$10+'[1]12월'!$E$19)/1000-E15-E16-E17</f>
        <v>49.561638000001039</v>
      </c>
      <c r="F18" s="648">
        <f>+('[2]12월'!$F$10+'[2]12월'!$F$19)/1000-F15-F16-F17</f>
        <v>-311.60497000000987</v>
      </c>
      <c r="G18" s="620">
        <f t="shared" si="8"/>
        <v>-361.16660800001091</v>
      </c>
      <c r="H18" s="621">
        <f>+('[3]12월'!$F$10+'[3]12월'!$F$19)/1000-H15-H16-H17</f>
        <v>-996.93785699999739</v>
      </c>
      <c r="I18" s="622">
        <f t="shared" si="9"/>
        <v>685.33288699998752</v>
      </c>
      <c r="J18" s="647">
        <f>+[4]손익총괄!J18+E18</f>
        <v>-620.37422900002184</v>
      </c>
      <c r="K18" s="648">
        <f>+[4]손익총괄!K18+F18</f>
        <v>-850.21686900001828</v>
      </c>
      <c r="L18" s="620">
        <f t="shared" si="1"/>
        <v>-229.84263999999644</v>
      </c>
      <c r="M18" s="621">
        <f>+[4]손익총괄!M18+H18</f>
        <v>-411.59990799998377</v>
      </c>
      <c r="N18" s="622">
        <f t="shared" si="2"/>
        <v>-438.61696100003451</v>
      </c>
      <c r="O18" s="99"/>
      <c r="P18" s="102"/>
      <c r="Q18" s="297"/>
      <c r="R18" s="306" t="s">
        <v>20</v>
      </c>
      <c r="S18" s="319">
        <f>+[5]영남권!$Q$90</f>
        <v>25369.072547181408</v>
      </c>
      <c r="T18" s="119">
        <f>+[5]영남권!$R$90</f>
        <v>19812.809201101889</v>
      </c>
      <c r="U18" s="629">
        <f t="shared" si="10"/>
        <v>-5556.2633460795187</v>
      </c>
      <c r="V18" s="630">
        <f>+[6]영남권!$Q$90</f>
        <v>19738.655177071632</v>
      </c>
      <c r="W18" s="631">
        <f t="shared" si="11"/>
        <v>74.154024030256551</v>
      </c>
      <c r="X18" s="104"/>
      <c r="Z18" s="659"/>
      <c r="AA18" s="536" t="str">
        <f>+D33</f>
        <v>골재</v>
      </c>
      <c r="AB18" s="544">
        <f>+E33/100</f>
        <v>2.9884233900484185</v>
      </c>
      <c r="AC18" s="550">
        <f>+F33/100</f>
        <v>-4.6720223536515455</v>
      </c>
      <c r="AD18" s="547">
        <f t="shared" si="4"/>
        <v>-7.660445743699964</v>
      </c>
      <c r="AE18" s="540">
        <f>+H33/100</f>
        <v>-4.1100052497999995</v>
      </c>
      <c r="AF18" s="556">
        <f t="shared" si="5"/>
        <v>-0.56201710385154602</v>
      </c>
      <c r="AG18" s="553">
        <f>+J33/100</f>
        <v>21.051591201138645</v>
      </c>
      <c r="AH18" s="550">
        <f>+K33/100</f>
        <v>-7.6130637423058021</v>
      </c>
      <c r="AI18" s="547">
        <f t="shared" si="6"/>
        <v>-28.664654943444447</v>
      </c>
      <c r="AJ18" s="540">
        <f>+M33/100</f>
        <v>4.8053904605000115</v>
      </c>
      <c r="AK18" s="544">
        <f t="shared" si="7"/>
        <v>-12.418454202805814</v>
      </c>
    </row>
    <row r="19" spans="2:37" ht="21.75" customHeight="1" x14ac:dyDescent="0.3">
      <c r="C19" s="100" t="s">
        <v>8</v>
      </c>
      <c r="D19" s="120"/>
      <c r="E19" s="640">
        <f>SUM(E15:E18)</f>
        <v>38555.39516759722</v>
      </c>
      <c r="F19" s="641">
        <f>SUM(F15:F18)</f>
        <v>34251.093666999994</v>
      </c>
      <c r="G19" s="617">
        <f t="shared" si="8"/>
        <v>-4304.3015005972265</v>
      </c>
      <c r="H19" s="618">
        <f>SUM(H15:H18)</f>
        <v>36730.131567969998</v>
      </c>
      <c r="I19" s="619">
        <f t="shared" si="9"/>
        <v>-2479.0379009700046</v>
      </c>
      <c r="J19" s="640">
        <f>SUM(J15:J18)</f>
        <v>424517.60969229753</v>
      </c>
      <c r="K19" s="641">
        <f>SUM(K15:K18)</f>
        <v>415855.60824099008</v>
      </c>
      <c r="L19" s="617">
        <f t="shared" si="1"/>
        <v>-8662.001451307442</v>
      </c>
      <c r="M19" s="618">
        <f>SUM(M15:M18)</f>
        <v>442524.21212295</v>
      </c>
      <c r="N19" s="619">
        <f t="shared" si="2"/>
        <v>-26668.60388195992</v>
      </c>
      <c r="O19" s="99"/>
      <c r="P19" s="102"/>
      <c r="Q19" s="297"/>
      <c r="R19" s="307" t="s">
        <v>136</v>
      </c>
      <c r="S19" s="320">
        <f>+[5]중부권!$Q$90</f>
        <v>27704.123410545028</v>
      </c>
      <c r="T19" s="121">
        <f>+[5]중부권!$R$90</f>
        <v>22923.655226665505</v>
      </c>
      <c r="U19" s="632">
        <f t="shared" si="10"/>
        <v>-4780.4681838795223</v>
      </c>
      <c r="V19" s="633">
        <f>+[6]중부권!$Q$90</f>
        <v>24134.207580929447</v>
      </c>
      <c r="W19" s="634">
        <f t="shared" si="11"/>
        <v>-1210.5523542639421</v>
      </c>
      <c r="X19" s="104"/>
      <c r="AA19" s="536" t="s">
        <v>191</v>
      </c>
      <c r="AB19" s="544">
        <f>+'사업장별(당월)'!T35/100</f>
        <v>-12.131220717773317</v>
      </c>
      <c r="AC19" s="550">
        <f>+'사업장별(당월)'!U35/100</f>
        <v>-20.896312006355132</v>
      </c>
      <c r="AD19" s="547">
        <f>+AC19-AB19</f>
        <v>-8.7650912885818144</v>
      </c>
      <c r="AE19" s="540">
        <f>+'사업장별(당월)'!W35/100</f>
        <v>-30.088593290000009</v>
      </c>
      <c r="AF19" s="556">
        <f t="shared" si="5"/>
        <v>9.1922812836448777</v>
      </c>
      <c r="AG19" s="553">
        <f>+'사업장별(누계)'!T35/100</f>
        <v>-161.84900738896286</v>
      </c>
      <c r="AH19" s="550">
        <f>+'사업장별(누계)'!U35/100</f>
        <v>-174.43479454768897</v>
      </c>
      <c r="AI19" s="547">
        <f t="shared" si="6"/>
        <v>-12.585787158726106</v>
      </c>
      <c r="AJ19" s="540">
        <f>+'사업장별(누계)'!W35/100</f>
        <v>-159.38368245000001</v>
      </c>
      <c r="AK19" s="544">
        <f t="shared" si="7"/>
        <v>-15.051112097688957</v>
      </c>
    </row>
    <row r="20" spans="2:37" ht="21.75" customHeight="1" x14ac:dyDescent="0.3">
      <c r="C20" s="108" t="s">
        <v>18</v>
      </c>
      <c r="D20" s="109" t="s">
        <v>46</v>
      </c>
      <c r="E20" s="642">
        <f t="shared" ref="E20:F23" si="15">+E10-E15</f>
        <v>5319.0579611679932</v>
      </c>
      <c r="F20" s="643">
        <f t="shared" si="15"/>
        <v>1574.2675309999977</v>
      </c>
      <c r="G20" s="644">
        <f t="shared" si="8"/>
        <v>-3744.7904301679955</v>
      </c>
      <c r="H20" s="645">
        <f>+H10-H15</f>
        <v>1326.7994460099981</v>
      </c>
      <c r="I20" s="646">
        <f t="shared" si="9"/>
        <v>247.46808498999962</v>
      </c>
      <c r="J20" s="642">
        <f t="shared" ref="J20:K23" si="16">+J10-J15</f>
        <v>59908.459740565042</v>
      </c>
      <c r="K20" s="643">
        <f t="shared" si="16"/>
        <v>41626.509891010006</v>
      </c>
      <c r="L20" s="644">
        <f t="shared" si="1"/>
        <v>-18281.949849555036</v>
      </c>
      <c r="M20" s="645">
        <f>+M10-M15</f>
        <v>60300.705209000036</v>
      </c>
      <c r="N20" s="646">
        <f t="shared" si="2"/>
        <v>-18674.19531799003</v>
      </c>
      <c r="O20" s="99"/>
      <c r="P20" s="102"/>
      <c r="Q20" s="298" t="s">
        <v>65</v>
      </c>
      <c r="R20" s="308"/>
      <c r="S20" s="321">
        <f>+[5]합계!$Q$90</f>
        <v>24711.266103535221</v>
      </c>
      <c r="T20" s="122">
        <f>+[5]합계!$R$90</f>
        <v>17589.967858861302</v>
      </c>
      <c r="U20" s="635">
        <f t="shared" si="10"/>
        <v>-7121.2982446739188</v>
      </c>
      <c r="V20" s="636">
        <f>+[6]합계!$Q$90</f>
        <v>18871.679605020123</v>
      </c>
      <c r="W20" s="637">
        <f t="shared" si="11"/>
        <v>-1281.7117461588205</v>
      </c>
      <c r="X20" s="104"/>
      <c r="AA20" s="536" t="str">
        <f>+'사업장별(누계)'!I34</f>
        <v>임대</v>
      </c>
      <c r="AB20" s="544">
        <f>+('사업장별(당월)'!T33+'사업장별(당월)'!T34)/100</f>
        <v>1.4998369233333333</v>
      </c>
      <c r="AC20" s="550">
        <f>+('사업장별(당월)'!U33+'사업장별(당월)'!U34)/100</f>
        <v>1.5122180000000003</v>
      </c>
      <c r="AD20" s="547">
        <f>+AC20-AB20</f>
        <v>1.238107666666699E-2</v>
      </c>
      <c r="AE20" s="540">
        <f>+('사업장별(당월)'!W33+'사업장별(당월)'!W34)/100</f>
        <v>1.5979374100000001</v>
      </c>
      <c r="AF20" s="556">
        <f t="shared" si="5"/>
        <v>-8.5719409999999829E-2</v>
      </c>
      <c r="AG20" s="553">
        <f>+('사업장별(누계)'!T33+'사업장별(누계)'!T34)/100</f>
        <v>16.130025329999999</v>
      </c>
      <c r="AH20" s="550">
        <f>+('사업장별(누계)'!U33+'사업장별(누계)'!U34)/100</f>
        <v>15.72340047</v>
      </c>
      <c r="AI20" s="547">
        <f t="shared" si="6"/>
        <v>-0.40662485999999909</v>
      </c>
      <c r="AJ20" s="540">
        <f>+('사업장별(누계)'!W33+'사업장별(누계)'!W34)/100</f>
        <v>14.789887820000001</v>
      </c>
      <c r="AK20" s="544">
        <f t="shared" si="7"/>
        <v>0.93351264999999906</v>
      </c>
    </row>
    <row r="21" spans="2:37" ht="21.75" customHeight="1" x14ac:dyDescent="0.3">
      <c r="C21" s="100"/>
      <c r="D21" s="105" t="s">
        <v>3</v>
      </c>
      <c r="E21" s="640">
        <f t="shared" si="15"/>
        <v>268.87128631578707</v>
      </c>
      <c r="F21" s="641">
        <f t="shared" si="15"/>
        <v>135.84455199999866</v>
      </c>
      <c r="G21" s="617">
        <f>+F21-E21</f>
        <v>-133.02673431578842</v>
      </c>
      <c r="H21" s="618">
        <f>+H11-H16</f>
        <v>199.63375799999812</v>
      </c>
      <c r="I21" s="619">
        <f>+F21-H21</f>
        <v>-63.789205999999467</v>
      </c>
      <c r="J21" s="640">
        <f t="shared" si="16"/>
        <v>2814.6049443368684</v>
      </c>
      <c r="K21" s="641">
        <f t="shared" si="16"/>
        <v>2296.8607690000063</v>
      </c>
      <c r="L21" s="617">
        <f t="shared" si="1"/>
        <v>-517.7441753368621</v>
      </c>
      <c r="M21" s="618">
        <f>+M11-M16</f>
        <v>2386.4879730000102</v>
      </c>
      <c r="N21" s="619">
        <f t="shared" si="2"/>
        <v>-89.627204000003985</v>
      </c>
      <c r="O21" s="99"/>
      <c r="P21" s="102"/>
      <c r="Q21" s="156" t="s">
        <v>94</v>
      </c>
      <c r="R21" s="157"/>
      <c r="S21" s="158"/>
      <c r="T21" s="164"/>
      <c r="U21" s="158"/>
      <c r="X21" s="104"/>
      <c r="AA21" s="536" t="str">
        <f>+'사업장별(누계)'!I37</f>
        <v>대손</v>
      </c>
      <c r="AB21" s="544">
        <f>+'사업장별(당월)'!T37/100</f>
        <v>0</v>
      </c>
      <c r="AC21" s="550">
        <f>+'사업장별(당월)'!U37/100</f>
        <v>3.1951270899999997</v>
      </c>
      <c r="AD21" s="547">
        <f>+AC21-AB21</f>
        <v>3.1951270899999997</v>
      </c>
      <c r="AE21" s="540">
        <f>+'사업장별(당월)'!W37/100</f>
        <v>-9.8377337899999997</v>
      </c>
      <c r="AF21" s="556">
        <f t="shared" si="5"/>
        <v>13.032860879999999</v>
      </c>
      <c r="AG21" s="553">
        <f>+'사업장별(누계)'!T37/100</f>
        <v>0</v>
      </c>
      <c r="AH21" s="550">
        <f>+'사업장별(누계)'!U37/100</f>
        <v>-2.5434662400000003</v>
      </c>
      <c r="AI21" s="547">
        <f t="shared" si="6"/>
        <v>-2.5434662400000003</v>
      </c>
      <c r="AJ21" s="540">
        <f>+'사업장별(누계)'!W37/100</f>
        <v>-29.57995356</v>
      </c>
      <c r="AK21" s="544">
        <f t="shared" si="7"/>
        <v>27.036487319999999</v>
      </c>
    </row>
    <row r="22" spans="2:37" ht="21.75" customHeight="1" x14ac:dyDescent="0.3">
      <c r="C22" s="100"/>
      <c r="D22" s="105" t="s">
        <v>1</v>
      </c>
      <c r="E22" s="640">
        <f t="shared" si="15"/>
        <v>335.52708900484186</v>
      </c>
      <c r="F22" s="641">
        <f t="shared" si="15"/>
        <v>-373.68559900000014</v>
      </c>
      <c r="G22" s="617">
        <f t="shared" si="8"/>
        <v>-709.21268800484199</v>
      </c>
      <c r="H22" s="618">
        <f>+H12-H17</f>
        <v>-387.23907697999994</v>
      </c>
      <c r="I22" s="619">
        <f t="shared" si="9"/>
        <v>13.553477979999798</v>
      </c>
      <c r="J22" s="640">
        <f t="shared" si="16"/>
        <v>2724.3198052249754</v>
      </c>
      <c r="K22" s="641">
        <f t="shared" si="16"/>
        <v>6.0341359999983979</v>
      </c>
      <c r="L22" s="617">
        <f t="shared" si="1"/>
        <v>-2718.285669224977</v>
      </c>
      <c r="M22" s="618">
        <f>+M12-M17</f>
        <v>805.77899005000108</v>
      </c>
      <c r="N22" s="619">
        <f t="shared" si="2"/>
        <v>-799.74485405000269</v>
      </c>
      <c r="O22" s="99"/>
      <c r="P22" s="102"/>
      <c r="Q22" s="344" t="s">
        <v>11</v>
      </c>
      <c r="R22" s="345"/>
      <c r="S22" s="346" t="s">
        <v>15</v>
      </c>
      <c r="T22" s="347" t="s">
        <v>16</v>
      </c>
      <c r="U22" s="348" t="s">
        <v>101</v>
      </c>
      <c r="V22" s="347" t="s">
        <v>17</v>
      </c>
      <c r="W22" s="349" t="s">
        <v>102</v>
      </c>
      <c r="X22" s="104"/>
      <c r="Z22" s="659"/>
      <c r="AA22" s="536" t="str">
        <f>+D34</f>
        <v>기타</v>
      </c>
      <c r="AB22" s="544">
        <f>+AB26-AB19-AB20-AB21</f>
        <v>-0.71500726444455842</v>
      </c>
      <c r="AC22" s="550">
        <f>+AC26-AC19-AC20-AC21</f>
        <v>3.12766878000002</v>
      </c>
      <c r="AD22" s="547">
        <f>+AC22-AB22</f>
        <v>3.8426760444445787</v>
      </c>
      <c r="AE22" s="540">
        <f>+AE26-AE19-AE20-AE21</f>
        <v>9.9775078399999462</v>
      </c>
      <c r="AF22" s="556">
        <f>+AC22-AE22</f>
        <v>-6.8498390599999261</v>
      </c>
      <c r="AG22" s="553">
        <f>+AG26-AG19-AG20-AG21</f>
        <v>2.0315410766648618</v>
      </c>
      <c r="AH22" s="550">
        <f>+AH26-AH19-AH20-AH21</f>
        <v>6.6650167500001647</v>
      </c>
      <c r="AI22" s="547">
        <f t="shared" si="6"/>
        <v>4.6334756733353029</v>
      </c>
      <c r="AJ22" s="540">
        <f>+AJ26-AJ19-AJ20-AJ21</f>
        <v>6.2034620300000078</v>
      </c>
      <c r="AK22" s="544">
        <f t="shared" si="7"/>
        <v>0.46155472000015685</v>
      </c>
    </row>
    <row r="23" spans="2:37" ht="21.75" customHeight="1" x14ac:dyDescent="0.3">
      <c r="C23" s="100"/>
      <c r="D23" s="115" t="s">
        <v>4</v>
      </c>
      <c r="E23" s="647">
        <f t="shared" si="15"/>
        <v>115.34586233333312</v>
      </c>
      <c r="F23" s="648">
        <f t="shared" si="15"/>
        <v>476.81676000000857</v>
      </c>
      <c r="G23" s="620">
        <f t="shared" si="8"/>
        <v>361.47089766667546</v>
      </c>
      <c r="H23" s="621">
        <f>+H13-H18</f>
        <v>1168.1461979999999</v>
      </c>
      <c r="I23" s="622">
        <f t="shared" si="9"/>
        <v>-691.32943799999134</v>
      </c>
      <c r="J23" s="647">
        <f t="shared" si="16"/>
        <v>2599.8642330000112</v>
      </c>
      <c r="K23" s="648">
        <f t="shared" si="16"/>
        <v>2837.1241890000156</v>
      </c>
      <c r="L23" s="620">
        <f t="shared" si="1"/>
        <v>237.25995600000442</v>
      </c>
      <c r="M23" s="621">
        <f>+M13-M18</f>
        <v>2724.6638999999959</v>
      </c>
      <c r="N23" s="622">
        <f t="shared" si="2"/>
        <v>112.46028900001966</v>
      </c>
      <c r="O23" s="99"/>
      <c r="P23" s="102"/>
      <c r="Q23" s="159" t="s">
        <v>95</v>
      </c>
      <c r="R23" s="160"/>
      <c r="S23" s="330">
        <f>+'[7]12월'!$F$10</f>
        <v>977906.97674418602</v>
      </c>
      <c r="T23" s="336">
        <f>+'[7]12월'!$G$10</f>
        <v>752238.01942182856</v>
      </c>
      <c r="U23" s="333">
        <f>+T23-S23</f>
        <v>-225668.95732235746</v>
      </c>
      <c r="V23" s="312">
        <f>+'[8]12월'!$G$10</f>
        <v>951341.4287927025</v>
      </c>
      <c r="W23" s="309">
        <f>+T23-V23</f>
        <v>-199103.40937087394</v>
      </c>
      <c r="X23" s="104"/>
      <c r="Z23" s="659"/>
      <c r="AA23" s="579" t="s">
        <v>173</v>
      </c>
      <c r="AB23" s="580">
        <f>SUM(AB15,AB17:AB22)</f>
        <v>39.513240666001678</v>
      </c>
      <c r="AC23" s="592">
        <f>SUM(AC15,AC17:AC22)</f>
        <v>-13.062103360006693</v>
      </c>
      <c r="AD23" s="581">
        <f>+AC23-AB23</f>
        <v>-52.575344026008374</v>
      </c>
      <c r="AE23" s="582">
        <f>SUM(AE15,AE17:AE22)</f>
        <v>-34.851119169700105</v>
      </c>
      <c r="AF23" s="583">
        <f>+AC23-AE23</f>
        <v>21.78901580969341</v>
      </c>
      <c r="AG23" s="584">
        <f>SUM(AG15,AG17:AG22)</f>
        <v>410.14369490785987</v>
      </c>
      <c r="AH23" s="592">
        <f>SUM(AH15,AH17:AH22)</f>
        <v>173.17751463010552</v>
      </c>
      <c r="AI23" s="581">
        <f>+AH23-AG23</f>
        <v>-236.96618027775435</v>
      </c>
      <c r="AJ23" s="582">
        <f>SUM(AJ15,AJ17:AJ22)</f>
        <v>358.5603016805004</v>
      </c>
      <c r="AK23" s="580">
        <f>+AH23-AJ23</f>
        <v>-185.38278705039488</v>
      </c>
    </row>
    <row r="24" spans="2:37" ht="21.75" customHeight="1" thickBot="1" x14ac:dyDescent="0.35">
      <c r="C24" s="116" t="s">
        <v>8</v>
      </c>
      <c r="D24" s="117"/>
      <c r="E24" s="647">
        <f>SUM(E20:E23)</f>
        <v>6038.8021988219552</v>
      </c>
      <c r="F24" s="648">
        <f>SUM(F20:F23)</f>
        <v>1813.2432440000048</v>
      </c>
      <c r="G24" s="620">
        <f t="shared" si="8"/>
        <v>-4225.5589548219505</v>
      </c>
      <c r="H24" s="621">
        <f>SUM(H20:H23)</f>
        <v>2307.3403250299962</v>
      </c>
      <c r="I24" s="622">
        <f t="shared" si="9"/>
        <v>-494.09708102999139</v>
      </c>
      <c r="J24" s="647">
        <f>SUM(J20:J23)</f>
        <v>68047.248723126904</v>
      </c>
      <c r="K24" s="648">
        <f>SUM(K20:K23)</f>
        <v>46766.528985010031</v>
      </c>
      <c r="L24" s="620">
        <f t="shared" si="1"/>
        <v>-21280.719738116873</v>
      </c>
      <c r="M24" s="621">
        <f>SUM(M20:M23)</f>
        <v>66217.636072050038</v>
      </c>
      <c r="N24" s="622">
        <f t="shared" si="2"/>
        <v>-19451.107087040007</v>
      </c>
      <c r="O24" s="99"/>
      <c r="P24" s="102"/>
      <c r="Q24" s="161" t="s">
        <v>96</v>
      </c>
      <c r="R24" s="162"/>
      <c r="S24" s="331">
        <f>+'[7]12월'!$F$15</f>
        <v>2.330796670630202E-2</v>
      </c>
      <c r="T24" s="337">
        <f>+'[7]12월'!$G$15</f>
        <v>1.4154492203434744E-2</v>
      </c>
      <c r="U24" s="334">
        <f>+T24-S24</f>
        <v>-9.1534745028672756E-3</v>
      </c>
      <c r="V24" s="313">
        <f>+'[8]12월'!$G$15</f>
        <v>2.0212500327718673E-2</v>
      </c>
      <c r="W24" s="310">
        <f>+T24-V24</f>
        <v>-6.0580081242839288E-3</v>
      </c>
      <c r="X24" s="104"/>
      <c r="Z24" s="564"/>
      <c r="AA24" s="585" t="str">
        <f t="shared" ref="AA24:AK24" si="17">+D36</f>
        <v>%</v>
      </c>
      <c r="AB24" s="586">
        <f t="shared" si="17"/>
        <v>8.8606238029875023E-2</v>
      </c>
      <c r="AC24" s="593">
        <f t="shared" si="17"/>
        <v>-3.6218892342985386E-2</v>
      </c>
      <c r="AD24" s="587">
        <f t="shared" si="17"/>
        <v>-0.12482513037286042</v>
      </c>
      <c r="AE24" s="588">
        <f t="shared" si="17"/>
        <v>-8.927606599429759E-2</v>
      </c>
      <c r="AF24" s="589">
        <f t="shared" si="17"/>
        <v>5.3057173651312205E-2</v>
      </c>
      <c r="AG24" s="590">
        <f t="shared" si="17"/>
        <v>8.3266941987556228E-2</v>
      </c>
      <c r="AH24" s="593">
        <f t="shared" si="17"/>
        <v>3.7433901384080301E-2</v>
      </c>
      <c r="AI24" s="587">
        <f t="shared" si="17"/>
        <v>-4.5833040603475927E-2</v>
      </c>
      <c r="AJ24" s="588">
        <f t="shared" si="17"/>
        <v>7.0479812689414292E-2</v>
      </c>
      <c r="AK24" s="586">
        <f t="shared" si="17"/>
        <v>-3.3045911305333991E-2</v>
      </c>
    </row>
    <row r="25" spans="2:37" ht="21.75" customHeight="1" x14ac:dyDescent="0.3">
      <c r="C25" s="108" t="s">
        <v>6</v>
      </c>
      <c r="D25" s="109" t="s">
        <v>46</v>
      </c>
      <c r="E25" s="642">
        <f>+('[1]12월'!$Z$13+'[1]12월'!$Z$20)/1000</f>
        <v>670.97737400000005</v>
      </c>
      <c r="F25" s="643">
        <f>+('[2]12월'!$Z$13+'[2]12월'!$Z$20)/1000</f>
        <v>1006.0437449999999</v>
      </c>
      <c r="G25" s="644">
        <f t="shared" si="8"/>
        <v>335.06637099999989</v>
      </c>
      <c r="H25" s="645">
        <f>+('[3]12월'!$Z$13+'[3]12월'!$Z$20)/1000</f>
        <v>1479.1890980000003</v>
      </c>
      <c r="I25" s="646">
        <f t="shared" si="9"/>
        <v>-473.14535300000034</v>
      </c>
      <c r="J25" s="642">
        <f>+[4]손익총괄!J25+E25</f>
        <v>7930.9359460000005</v>
      </c>
      <c r="K25" s="643">
        <f>+[4]손익총괄!K25+F25</f>
        <v>8589.2259720000002</v>
      </c>
      <c r="L25" s="644">
        <f t="shared" si="1"/>
        <v>658.29002599999967</v>
      </c>
      <c r="M25" s="645">
        <f>+[4]손익총괄!M25+H25</f>
        <v>8909.8323260000016</v>
      </c>
      <c r="N25" s="646">
        <f t="shared" si="2"/>
        <v>-320.60635400000137</v>
      </c>
      <c r="O25" s="99"/>
      <c r="P25" s="102"/>
      <c r="Q25" s="156" t="s">
        <v>97</v>
      </c>
      <c r="R25" s="163"/>
      <c r="S25" s="75"/>
      <c r="T25" s="164"/>
      <c r="U25" s="75"/>
      <c r="X25" s="104"/>
    </row>
    <row r="26" spans="2:37" ht="21.75" customHeight="1" x14ac:dyDescent="0.3">
      <c r="C26" s="100"/>
      <c r="D26" s="105" t="s">
        <v>77</v>
      </c>
      <c r="E26" s="640">
        <f>+('[1]12월'!$AA$13+'[1]12월'!$AA$20)/1000</f>
        <v>129.83104</v>
      </c>
      <c r="F26" s="641">
        <f>+('[2]12월'!$AO$13+'[2]12월'!$AO$20)/1000</f>
        <v>236.94662500000001</v>
      </c>
      <c r="G26" s="617">
        <f>+F26-E26</f>
        <v>107.11558500000001</v>
      </c>
      <c r="H26" s="618">
        <f>+('[3]12월'!$AO$13+'[3]12월'!$AO$20)/1000</f>
        <v>286.267315</v>
      </c>
      <c r="I26" s="619">
        <f>+F26-H26</f>
        <v>-49.320689999999985</v>
      </c>
      <c r="J26" s="640">
        <f>+[4]손익총괄!J26+E26</f>
        <v>1514.1742700000002</v>
      </c>
      <c r="K26" s="641">
        <f>+[4]손익총괄!K26+F26</f>
        <v>1796.102494</v>
      </c>
      <c r="L26" s="617">
        <f t="shared" si="1"/>
        <v>281.92822399999977</v>
      </c>
      <c r="M26" s="618">
        <f>+[4]손익총괄!M26+H26</f>
        <v>1604.8411180000003</v>
      </c>
      <c r="N26" s="619">
        <f t="shared" si="2"/>
        <v>191.2613759999997</v>
      </c>
      <c r="O26" s="99"/>
      <c r="P26" s="102"/>
      <c r="Q26" s="344" t="s">
        <v>11</v>
      </c>
      <c r="R26" s="345"/>
      <c r="S26" s="346" t="s">
        <v>15</v>
      </c>
      <c r="T26" s="347" t="s">
        <v>16</v>
      </c>
      <c r="U26" s="348" t="s">
        <v>101</v>
      </c>
      <c r="V26" s="347" t="s">
        <v>17</v>
      </c>
      <c r="W26" s="349" t="s">
        <v>102</v>
      </c>
      <c r="X26" s="104"/>
      <c r="AB26" s="528">
        <f>+'사업장별(당월)'!T41/100</f>
        <v>-11.346391058884542</v>
      </c>
      <c r="AC26" s="528">
        <f>+'사업장별(당월)'!U41/100</f>
        <v>-13.061298136355111</v>
      </c>
      <c r="AD26" s="528">
        <f>+AC26-AB26</f>
        <v>-1.7149070774705688</v>
      </c>
      <c r="AE26" s="528">
        <f>+'사업장별(당월)'!W41/100</f>
        <v>-28.350881830000063</v>
      </c>
      <c r="AF26" s="528">
        <f>+AE26-AD26</f>
        <v>-26.635974752529492</v>
      </c>
      <c r="AG26">
        <f>+'사업장별(누계)'!T41/100</f>
        <v>-143.687440982298</v>
      </c>
      <c r="AH26">
        <f>+'사업장별(누계)'!U41/100</f>
        <v>-154.5898435676888</v>
      </c>
      <c r="AJ26">
        <f>+'사업장별(누계)'!W41/100</f>
        <v>-167.97028616</v>
      </c>
    </row>
    <row r="27" spans="2:37" ht="21.75" customHeight="1" x14ac:dyDescent="0.3">
      <c r="C27" s="100"/>
      <c r="D27" s="105" t="s">
        <v>1</v>
      </c>
      <c r="E27" s="640">
        <f>+('[1]12월'!$AE$13+'[1]12월'!$AE$20+'[1]12월'!$AE$22)/1000</f>
        <v>36.684750000000008</v>
      </c>
      <c r="F27" s="641">
        <f>+('[2]12월'!$AN$13+'[2]12월'!$AN$20+'[2]12월'!$AN$22)/1000</f>
        <v>93.516636365154483</v>
      </c>
      <c r="G27" s="617">
        <f t="shared" si="8"/>
        <v>56.831886365154475</v>
      </c>
      <c r="H27" s="618">
        <f>+('[3]12월'!$AN$13+'[3]12월'!$AN$20+'[3]12월'!$AN$22)/1000</f>
        <v>23.761448000000001</v>
      </c>
      <c r="I27" s="619">
        <f t="shared" si="9"/>
        <v>69.755188365154481</v>
      </c>
      <c r="J27" s="640">
        <f>+[4]손익총괄!J27+E27</f>
        <v>619.16068511111121</v>
      </c>
      <c r="K27" s="641">
        <f>+[4]손익총괄!K27+F27</f>
        <v>767.34051023057862</v>
      </c>
      <c r="L27" s="617">
        <f t="shared" si="1"/>
        <v>148.17982511946741</v>
      </c>
      <c r="M27" s="618">
        <f>+[4]손익총괄!M27+H27</f>
        <v>325.23994399999992</v>
      </c>
      <c r="N27" s="619">
        <f t="shared" si="2"/>
        <v>442.10056623057869</v>
      </c>
      <c r="O27" s="99"/>
      <c r="P27" s="102"/>
      <c r="Q27" s="1" t="s">
        <v>98</v>
      </c>
      <c r="R27" s="299" t="s">
        <v>99</v>
      </c>
      <c r="S27" s="330">
        <f>(+'[9]서부산크라샤(당월)'!$N$66+'[9]부산모래장(당월)'!$Q$48+'[9]부산크라샤(당월)'!$N$66)/1000</f>
        <v>63.755227014499432</v>
      </c>
      <c r="T27" s="336">
        <f>(+'[9]서부산크라샤(당월)'!$O$66+'[9]부산모래장(당월)'!$R$48+'[9]부산크라샤(당월)'!$O$66)/1000</f>
        <v>38.159999999999997</v>
      </c>
      <c r="U27" s="333">
        <f>+T27-S27</f>
        <v>-25.595227014499436</v>
      </c>
      <c r="V27" s="312">
        <f>('[10]부산골재(당월)'!$R$48+'[10]서부산골재(당월)'!$O$66+'[10]부산크라샤(당월)'!$O$66)/1000</f>
        <v>48.335000000000001</v>
      </c>
      <c r="W27" s="309">
        <f>+T27-V27</f>
        <v>-10.175000000000004</v>
      </c>
      <c r="X27" s="104"/>
    </row>
    <row r="28" spans="2:37" ht="21.75" customHeight="1" x14ac:dyDescent="0.3">
      <c r="B28" s="97"/>
      <c r="C28" s="100"/>
      <c r="D28" s="115" t="s">
        <v>4</v>
      </c>
      <c r="E28" s="647">
        <f>+('[1]12월'!$E$13+'[1]12월'!$E$20)/1000-E25-E26-E27+('[1]12월'!$E$22/1000)</f>
        <v>1249.9849682217914</v>
      </c>
      <c r="F28" s="648">
        <f>+('[2]12월'!$F$13+'[2]12월'!$F$20)/1000-F25-F26-F27+'[2]12월'!$F$22/1000</f>
        <v>1782.9465736355135</v>
      </c>
      <c r="G28" s="620">
        <f t="shared" si="8"/>
        <v>532.96160541372205</v>
      </c>
      <c r="H28" s="621">
        <f>+('[3]12월'!$F$13+'[3]12월'!$F$20)/1000-H25-H26-H27+'[3]12월'!$F$22/1000</f>
        <v>4003.2343810000007</v>
      </c>
      <c r="I28" s="622">
        <f t="shared" si="9"/>
        <v>-2220.287807364487</v>
      </c>
      <c r="J28" s="647">
        <f>+[4]손익총괄!J28+E28</f>
        <v>16968.6083312298</v>
      </c>
      <c r="K28" s="648">
        <f>+[4]손익총괄!K28+F28</f>
        <v>18296.108545768897</v>
      </c>
      <c r="L28" s="620">
        <f t="shared" si="1"/>
        <v>1327.5002145390972</v>
      </c>
      <c r="M28" s="621">
        <f>+[4]손익총괄!M28+H28</f>
        <v>19521.692515999999</v>
      </c>
      <c r="N28" s="622">
        <f t="shared" si="2"/>
        <v>-1225.5839702311023</v>
      </c>
      <c r="O28" s="99"/>
      <c r="P28" s="102"/>
      <c r="Q28" s="2"/>
      <c r="R28" s="300" t="s">
        <v>100</v>
      </c>
      <c r="S28" s="332">
        <f>(+'[9]서부산크라샤(당월)'!$N$59+'[9]부산모래장(당월)'!$Q$47+'[9]부산크라샤(당월)'!$N$59)/1000</f>
        <v>57.15</v>
      </c>
      <c r="T28" s="153">
        <f>(+'[9]서부산크라샤(당월)'!$O$59+'[9]부산모래장(당월)'!$R$47+'[9]부산크라샤(당월)'!$O$59)/1000</f>
        <v>21.52</v>
      </c>
      <c r="U28" s="335">
        <f>+T28-S28</f>
        <v>-35.629999999999995</v>
      </c>
      <c r="V28" s="73">
        <f>+('[10]부산골재(당월)'!$R$47+'[10]서부산골재(당월)'!$O$59+'[10]부산크라샤(당월)'!$O$59)/1000</f>
        <v>21.898</v>
      </c>
      <c r="W28" s="311">
        <f>+T28-V28</f>
        <v>-0.37800000000000011</v>
      </c>
      <c r="X28" s="104"/>
      <c r="AA28" s="673">
        <f>365/2.3</f>
        <v>158.69565217391306</v>
      </c>
    </row>
    <row r="29" spans="2:37" ht="21.75" customHeight="1" x14ac:dyDescent="0.3">
      <c r="C29" s="116" t="s">
        <v>8</v>
      </c>
      <c r="D29" s="117"/>
      <c r="E29" s="647">
        <f>SUM(E25:E28)</f>
        <v>2087.4781322217914</v>
      </c>
      <c r="F29" s="648">
        <f>SUM(F25:F28)</f>
        <v>3119.4535800006679</v>
      </c>
      <c r="G29" s="620">
        <f t="shared" si="8"/>
        <v>1031.9754477788765</v>
      </c>
      <c r="H29" s="621">
        <f>SUM(H25:H28)</f>
        <v>5792.4522420000012</v>
      </c>
      <c r="I29" s="622">
        <f t="shared" si="9"/>
        <v>-2672.9986619993333</v>
      </c>
      <c r="J29" s="647">
        <f>SUM(J25:J28)</f>
        <v>27032.879232340914</v>
      </c>
      <c r="K29" s="648">
        <f>SUM(K25:K28)</f>
        <v>29448.777521999476</v>
      </c>
      <c r="L29" s="620">
        <f t="shared" si="1"/>
        <v>2415.8982896585621</v>
      </c>
      <c r="M29" s="621">
        <f>SUM(M25:M28)</f>
        <v>30361.605904</v>
      </c>
      <c r="N29" s="622">
        <f t="shared" si="2"/>
        <v>-912.82838200052356</v>
      </c>
      <c r="O29" s="99"/>
      <c r="P29" s="102"/>
      <c r="Q29" s="686" t="s">
        <v>129</v>
      </c>
      <c r="R29" s="687"/>
      <c r="S29" s="332">
        <f>SUM(S27:S28)</f>
        <v>120.90522701449943</v>
      </c>
      <c r="T29" s="153">
        <f>SUM(T27:T28)</f>
        <v>59.679999999999993</v>
      </c>
      <c r="U29" s="335">
        <f>+T29-S29</f>
        <v>-61.225227014499438</v>
      </c>
      <c r="V29" s="73">
        <f>SUM(V27:V28)</f>
        <v>70.233000000000004</v>
      </c>
      <c r="W29" s="311">
        <f>+T29-V29</f>
        <v>-10.553000000000011</v>
      </c>
      <c r="X29" s="104"/>
    </row>
    <row r="30" spans="2:37" ht="21.75" customHeight="1" x14ac:dyDescent="0.3">
      <c r="B30" s="468"/>
      <c r="C30" s="100" t="s">
        <v>7</v>
      </c>
      <c r="D30" s="109" t="s">
        <v>46</v>
      </c>
      <c r="E30" s="642">
        <f>+E20-E25</f>
        <v>4648.0805871679931</v>
      </c>
      <c r="F30" s="649">
        <f>+F20-F25</f>
        <v>568.22378599999774</v>
      </c>
      <c r="G30" s="644">
        <f t="shared" si="8"/>
        <v>-4079.8568011679954</v>
      </c>
      <c r="H30" s="645">
        <f>+H20-H25</f>
        <v>-152.38965199000222</v>
      </c>
      <c r="I30" s="646">
        <f t="shared" si="9"/>
        <v>720.61343798999997</v>
      </c>
      <c r="J30" s="642">
        <f>+J20-J25</f>
        <v>51977.523794565044</v>
      </c>
      <c r="K30" s="649">
        <f>+K20-K25</f>
        <v>33037.283919010006</v>
      </c>
      <c r="L30" s="644">
        <f t="shared" si="1"/>
        <v>-18940.239875555038</v>
      </c>
      <c r="M30" s="645">
        <f>+M20-M25</f>
        <v>51390.872883000033</v>
      </c>
      <c r="N30" s="646">
        <f t="shared" si="2"/>
        <v>-18353.588963990027</v>
      </c>
      <c r="O30" s="99"/>
      <c r="P30" s="102"/>
      <c r="Q30" s="156" t="s">
        <v>149</v>
      </c>
      <c r="X30" s="104"/>
      <c r="Z30" s="468"/>
      <c r="AA30" s="468"/>
    </row>
    <row r="31" spans="2:37" ht="21.75" customHeight="1" x14ac:dyDescent="0.3">
      <c r="B31" s="468"/>
      <c r="C31" s="100"/>
      <c r="D31" s="123" t="s">
        <v>10</v>
      </c>
      <c r="E31" s="322">
        <f>+E30/E10</f>
        <v>0.14653483270795917</v>
      </c>
      <c r="F31" s="328">
        <f>+F30/F10</f>
        <v>2.0911561879469739E-2</v>
      </c>
      <c r="G31" s="325">
        <f t="shared" si="8"/>
        <v>-0.12562327082848943</v>
      </c>
      <c r="H31" s="124">
        <f>+H30/H10</f>
        <v>-5.4733263664060094E-3</v>
      </c>
      <c r="I31" s="125">
        <f t="shared" si="9"/>
        <v>2.6384888245875749E-2</v>
      </c>
      <c r="J31" s="322">
        <f>+J30/J10</f>
        <v>0.14540333925601104</v>
      </c>
      <c r="K31" s="328">
        <f>+K30/K10</f>
        <v>9.7292891429815051E-2</v>
      </c>
      <c r="L31" s="325">
        <f t="shared" si="1"/>
        <v>-4.8110447826195987E-2</v>
      </c>
      <c r="M31" s="124">
        <f>+M30/M10</f>
        <v>0.13822695834869508</v>
      </c>
      <c r="N31" s="125">
        <f t="shared" si="2"/>
        <v>-4.0934066918880033E-2</v>
      </c>
      <c r="O31" s="99"/>
      <c r="P31" s="102"/>
      <c r="Q31" s="344" t="s">
        <v>11</v>
      </c>
      <c r="R31" s="345"/>
      <c r="S31" s="346" t="s">
        <v>15</v>
      </c>
      <c r="T31" s="347" t="s">
        <v>16</v>
      </c>
      <c r="U31" s="348" t="s">
        <v>101</v>
      </c>
      <c r="V31" s="347" t="s">
        <v>17</v>
      </c>
      <c r="W31" s="349" t="s">
        <v>102</v>
      </c>
      <c r="X31" s="104"/>
    </row>
    <row r="32" spans="2:37" ht="21.75" customHeight="1" x14ac:dyDescent="0.3">
      <c r="B32" s="468"/>
      <c r="C32" s="100"/>
      <c r="D32" s="105" t="s">
        <v>3</v>
      </c>
      <c r="E32" s="640">
        <f t="shared" ref="E32:F34" si="18">+E21-E26</f>
        <v>139.04024631578707</v>
      </c>
      <c r="F32" s="641">
        <f t="shared" si="18"/>
        <v>-101.10207300000135</v>
      </c>
      <c r="G32" s="617">
        <f>+F32-E32</f>
        <v>-240.14231931578843</v>
      </c>
      <c r="H32" s="618">
        <f>+H21-H26</f>
        <v>-86.633557000001872</v>
      </c>
      <c r="I32" s="619">
        <f>+F32-H32</f>
        <v>-14.468515999999482</v>
      </c>
      <c r="J32" s="640">
        <f t="shared" ref="J32:K34" si="19">+J21-J26</f>
        <v>1300.4306743368682</v>
      </c>
      <c r="K32" s="641">
        <f t="shared" si="19"/>
        <v>500.75827500000628</v>
      </c>
      <c r="L32" s="617">
        <f t="shared" si="1"/>
        <v>-799.67239933686187</v>
      </c>
      <c r="M32" s="618">
        <f>+M21-M26</f>
        <v>781.64685500000996</v>
      </c>
      <c r="N32" s="619">
        <f t="shared" si="2"/>
        <v>-280.88858000000369</v>
      </c>
      <c r="O32" s="99"/>
      <c r="P32" s="102"/>
      <c r="Q32" s="688" t="s">
        <v>135</v>
      </c>
      <c r="R32" s="689"/>
      <c r="S32" s="473">
        <f>+'사업장별(당월)'!T33</f>
        <v>75.360274999999987</v>
      </c>
      <c r="T32" s="474">
        <f>+'사업장별(당월)'!U33</f>
        <v>76.068674999999999</v>
      </c>
      <c r="U32" s="475">
        <f>+T32-S32</f>
        <v>0.70840000000001169</v>
      </c>
      <c r="V32" s="476">
        <f>+'사업장별(당월)'!W33</f>
        <v>73.170017999999999</v>
      </c>
      <c r="W32" s="477">
        <f>+T32-V32</f>
        <v>2.898657</v>
      </c>
      <c r="X32" s="104"/>
      <c r="Z32" s="468"/>
      <c r="AA32" s="468"/>
    </row>
    <row r="33" spans="2:31" ht="21.75" customHeight="1" x14ac:dyDescent="0.3">
      <c r="B33" s="468"/>
      <c r="C33" s="100"/>
      <c r="D33" s="105" t="s">
        <v>1</v>
      </c>
      <c r="E33" s="640">
        <f t="shared" si="18"/>
        <v>298.84233900484185</v>
      </c>
      <c r="F33" s="641">
        <f t="shared" si="18"/>
        <v>-467.20223536515459</v>
      </c>
      <c r="G33" s="617">
        <f t="shared" si="8"/>
        <v>-766.04457436999644</v>
      </c>
      <c r="H33" s="618">
        <f>+H22-H27</f>
        <v>-411.00052497999991</v>
      </c>
      <c r="I33" s="619">
        <f t="shared" si="9"/>
        <v>-56.201710385154684</v>
      </c>
      <c r="J33" s="640">
        <f t="shared" si="19"/>
        <v>2105.1591201138644</v>
      </c>
      <c r="K33" s="641">
        <f t="shared" si="19"/>
        <v>-761.30637423058022</v>
      </c>
      <c r="L33" s="617">
        <f t="shared" si="1"/>
        <v>-2866.4654943444448</v>
      </c>
      <c r="M33" s="618">
        <f>+M22-M27</f>
        <v>480.53904605000116</v>
      </c>
      <c r="N33" s="619">
        <f t="shared" si="2"/>
        <v>-1241.8454202805815</v>
      </c>
      <c r="O33" s="99"/>
      <c r="P33" s="102"/>
      <c r="Q33" s="690" t="s">
        <v>51</v>
      </c>
      <c r="R33" s="691"/>
      <c r="S33" s="191">
        <f>+'사업장별(당월)'!T34</f>
        <v>74.623417333333336</v>
      </c>
      <c r="T33" s="483">
        <f>+'사업장별(당월)'!U34</f>
        <v>75.153125000000017</v>
      </c>
      <c r="U33" s="204">
        <f>+T33-S33</f>
        <v>0.52970766666668112</v>
      </c>
      <c r="V33" s="484">
        <f>+'사업장별(당월)'!W34</f>
        <v>86.623723000000012</v>
      </c>
      <c r="W33" s="221">
        <f>+T33-V33</f>
        <v>-11.470597999999995</v>
      </c>
      <c r="X33" s="104"/>
      <c r="Z33" s="468"/>
      <c r="AA33" s="468"/>
    </row>
    <row r="34" spans="2:31" ht="21.75" customHeight="1" x14ac:dyDescent="0.3">
      <c r="B34" s="468"/>
      <c r="C34" s="100"/>
      <c r="D34" s="115" t="s">
        <v>4</v>
      </c>
      <c r="E34" s="647">
        <f t="shared" si="18"/>
        <v>-1134.6391058884583</v>
      </c>
      <c r="F34" s="648">
        <f t="shared" si="18"/>
        <v>-1306.1298136355049</v>
      </c>
      <c r="G34" s="620">
        <f t="shared" si="8"/>
        <v>-171.4907077470466</v>
      </c>
      <c r="H34" s="621">
        <f>+H23-H28</f>
        <v>-2835.0881830000008</v>
      </c>
      <c r="I34" s="622">
        <f t="shared" si="9"/>
        <v>1528.9583693644959</v>
      </c>
      <c r="J34" s="647">
        <f t="shared" si="19"/>
        <v>-14368.744098229789</v>
      </c>
      <c r="K34" s="648">
        <f t="shared" si="19"/>
        <v>-15458.98435676888</v>
      </c>
      <c r="L34" s="620">
        <f t="shared" si="1"/>
        <v>-1090.2402585390919</v>
      </c>
      <c r="M34" s="621">
        <f>+M23-M28</f>
        <v>-16797.028616000003</v>
      </c>
      <c r="N34" s="622">
        <f t="shared" si="2"/>
        <v>1338.0442592311229</v>
      </c>
      <c r="O34" s="99"/>
      <c r="P34" s="102"/>
      <c r="Q34" s="495" t="s">
        <v>34</v>
      </c>
      <c r="R34" s="496"/>
      <c r="S34" s="490">
        <f>+'사업장별(당월)'!T35</f>
        <v>-1213.1220717773317</v>
      </c>
      <c r="T34" s="491">
        <f>+'사업장별(당월)'!U35</f>
        <v>-2089.6312006355133</v>
      </c>
      <c r="U34" s="492">
        <f>+T34-S34</f>
        <v>-876.50912885818161</v>
      </c>
      <c r="V34" s="493">
        <f>+'사업장별(당월)'!W35</f>
        <v>-3008.8593290000008</v>
      </c>
      <c r="W34" s="494">
        <f>+T34-V34</f>
        <v>919.22812836448747</v>
      </c>
      <c r="X34" s="104"/>
      <c r="Z34" s="468"/>
      <c r="AA34" s="468"/>
    </row>
    <row r="35" spans="2:31" ht="21.75" customHeight="1" x14ac:dyDescent="0.3">
      <c r="B35" s="468"/>
      <c r="C35" s="100" t="s">
        <v>8</v>
      </c>
      <c r="D35" s="120"/>
      <c r="E35" s="640">
        <f>SUM(E30,E32:E34)</f>
        <v>3951.3240666001639</v>
      </c>
      <c r="F35" s="650">
        <f>SUM(F30,F32:F34)</f>
        <v>-1306.2103360006631</v>
      </c>
      <c r="G35" s="617">
        <f t="shared" si="8"/>
        <v>-5257.534402600827</v>
      </c>
      <c r="H35" s="618">
        <f>SUM(H30,H32:H34)</f>
        <v>-3485.111916970005</v>
      </c>
      <c r="I35" s="619">
        <f t="shared" si="9"/>
        <v>2178.9015809693419</v>
      </c>
      <c r="J35" s="640">
        <f>SUM(J30,J32:J34)</f>
        <v>41014.36949078599</v>
      </c>
      <c r="K35" s="650">
        <f>SUM(K30,K32:K34)</f>
        <v>17317.751463010551</v>
      </c>
      <c r="L35" s="617">
        <f t="shared" si="1"/>
        <v>-23696.618027775439</v>
      </c>
      <c r="M35" s="618">
        <f>SUM(M30,M32:M34)</f>
        <v>35856.030168050042</v>
      </c>
      <c r="N35" s="619">
        <f t="shared" si="2"/>
        <v>-18538.278705039491</v>
      </c>
      <c r="O35" s="99"/>
      <c r="P35" s="102"/>
      <c r="Q35" s="497" t="s">
        <v>133</v>
      </c>
      <c r="R35" s="498"/>
      <c r="S35" s="485">
        <f>+S36-S32-S33-S34</f>
        <v>-71.500726444455722</v>
      </c>
      <c r="T35" s="486">
        <f>+T36-T32-T33-T34</f>
        <v>632.27958700000227</v>
      </c>
      <c r="U35" s="487">
        <f>+T35-S35</f>
        <v>703.78031344445799</v>
      </c>
      <c r="V35" s="488">
        <f>+V36-V32-V33-V34</f>
        <v>13.977404999994633</v>
      </c>
      <c r="W35" s="489">
        <f>+T35-V35</f>
        <v>618.30218200000763</v>
      </c>
      <c r="X35" s="104"/>
      <c r="Z35" s="468"/>
      <c r="AA35" s="468"/>
      <c r="AD35" s="98"/>
      <c r="AE35" s="468"/>
    </row>
    <row r="36" spans="2:31" ht="21.75" customHeight="1" thickBot="1" x14ac:dyDescent="0.35">
      <c r="C36" s="126"/>
      <c r="D36" s="127" t="s">
        <v>9</v>
      </c>
      <c r="E36" s="323">
        <f>+E35/E14</f>
        <v>8.8606238029875023E-2</v>
      </c>
      <c r="F36" s="329">
        <f>+F35/F14</f>
        <v>-3.6218892342985386E-2</v>
      </c>
      <c r="G36" s="326">
        <f t="shared" si="8"/>
        <v>-0.12482513037286042</v>
      </c>
      <c r="H36" s="128">
        <f>+H35/H14</f>
        <v>-8.927606599429759E-2</v>
      </c>
      <c r="I36" s="129">
        <f t="shared" si="9"/>
        <v>5.3057173651312205E-2</v>
      </c>
      <c r="J36" s="323">
        <f>+J35/J14</f>
        <v>8.3266941987556228E-2</v>
      </c>
      <c r="K36" s="329">
        <f>+K35/K14</f>
        <v>3.7433901384080301E-2</v>
      </c>
      <c r="L36" s="326">
        <f t="shared" si="1"/>
        <v>-4.5833040603475927E-2</v>
      </c>
      <c r="M36" s="128">
        <f>+M35/M14</f>
        <v>7.0479812689414292E-2</v>
      </c>
      <c r="N36" s="129">
        <f t="shared" si="2"/>
        <v>-3.3045911305333991E-2</v>
      </c>
      <c r="O36" s="99"/>
      <c r="P36" s="130"/>
      <c r="Q36" s="678" t="s">
        <v>132</v>
      </c>
      <c r="R36" s="679"/>
      <c r="S36" s="478">
        <f>+'사업장별(당월)'!T41</f>
        <v>-1134.6391058884542</v>
      </c>
      <c r="T36" s="479">
        <f>+'사업장별(당월)'!U41</f>
        <v>-1306.129813635511</v>
      </c>
      <c r="U36" s="480">
        <f>+T36-S36</f>
        <v>-171.49070774705683</v>
      </c>
      <c r="V36" s="481">
        <f>+'사업장별(당월)'!W41</f>
        <v>-2835.0881830000062</v>
      </c>
      <c r="W36" s="482">
        <f>+T36-V36</f>
        <v>1528.9583693644952</v>
      </c>
      <c r="X36" s="131"/>
      <c r="AA36" s="468"/>
    </row>
    <row r="37" spans="2:31" ht="20.100000000000001" customHeight="1" thickTop="1" x14ac:dyDescent="0.3">
      <c r="F37" s="468"/>
    </row>
    <row r="38" spans="2:31" x14ac:dyDescent="0.3">
      <c r="E38" s="98">
        <f>+'[1]12월'!$E$26/1000</f>
        <v>3951.3240666001657</v>
      </c>
      <c r="F38" s="350">
        <f>+'[2]12월'!$F$26/1000</f>
        <v>-1306.2103360006658</v>
      </c>
      <c r="H38" s="350">
        <f>+'[3]12월'!$F$26/1000</f>
        <v>-3485.111916970006</v>
      </c>
      <c r="J38" s="470">
        <f>+[4]손익총괄!J38+E38</f>
        <v>41014.36949078599</v>
      </c>
      <c r="K38" s="470">
        <f>+[4]손익총괄!K38+F38</f>
        <v>17317.751463010532</v>
      </c>
      <c r="L38" s="471"/>
      <c r="M38" s="470">
        <f>+[4]손익총괄!M38+H38</f>
        <v>35856.030168049998</v>
      </c>
      <c r="N38" s="471"/>
      <c r="O38" s="471"/>
    </row>
    <row r="39" spans="2:31" x14ac:dyDescent="0.3">
      <c r="E39" t="b">
        <f>+E35=E38</f>
        <v>0</v>
      </c>
      <c r="F39" t="b">
        <f>+F35=F38</f>
        <v>0</v>
      </c>
      <c r="H39" t="b">
        <f>+H35=H38</f>
        <v>1</v>
      </c>
      <c r="J39" t="b">
        <f>+J35=J38</f>
        <v>1</v>
      </c>
      <c r="K39" t="b">
        <f>+K35=K38</f>
        <v>0</v>
      </c>
      <c r="M39" t="b">
        <f>+M35=M38</f>
        <v>1</v>
      </c>
    </row>
    <row r="40" spans="2:31" x14ac:dyDescent="0.3">
      <c r="E40" s="472">
        <f>+E35-E38</f>
        <v>0</v>
      </c>
      <c r="F40" s="472">
        <f>+F35-F38</f>
        <v>2.7284841053187847E-12</v>
      </c>
      <c r="G40" s="469"/>
      <c r="H40" s="472">
        <f>+H35-H38</f>
        <v>0</v>
      </c>
      <c r="I40" s="469"/>
      <c r="J40" s="472">
        <f>+J35-J38</f>
        <v>0</v>
      </c>
      <c r="K40" s="472">
        <f>+K35-K38</f>
        <v>0</v>
      </c>
      <c r="L40" s="469"/>
      <c r="M40" s="472">
        <f>+M35-M38</f>
        <v>0</v>
      </c>
      <c r="N40" s="469"/>
      <c r="O40" s="98"/>
      <c r="P40" s="98"/>
    </row>
    <row r="42" spans="2:31" x14ac:dyDescent="0.3">
      <c r="E42" s="97"/>
      <c r="F42" s="97"/>
      <c r="G42" s="97"/>
    </row>
  </sheetData>
  <mergeCells count="11">
    <mergeCell ref="Z10:Z13"/>
    <mergeCell ref="AB5:AF5"/>
    <mergeCell ref="AG5:AK5"/>
    <mergeCell ref="Z7:Z9"/>
    <mergeCell ref="Z5:AA6"/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L78"/>
  <sheetViews>
    <sheetView showGridLines="0" showZeros="0" view="pageBreakPreview" topLeftCell="E1" zoomScale="85" zoomScaleNormal="85" zoomScaleSheetLayoutView="85" workbookViewId="0">
      <selection activeCell="Y14" sqref="Y1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203</v>
      </c>
      <c r="AD3" s="5"/>
      <c r="AG3" s="5"/>
    </row>
    <row r="4" spans="1:36" ht="18" customHeight="1" x14ac:dyDescent="0.3">
      <c r="H4" s="7"/>
      <c r="AD4" s="5"/>
      <c r="AG4" s="5" t="s">
        <v>86</v>
      </c>
    </row>
    <row r="5" spans="1:36" s="8" customFormat="1" ht="19.5" customHeight="1" x14ac:dyDescent="0.3">
      <c r="G5" s="661"/>
      <c r="H5" s="701" t="s">
        <v>41</v>
      </c>
      <c r="I5" s="702"/>
      <c r="J5" s="172" t="s">
        <v>58</v>
      </c>
      <c r="K5" s="173"/>
      <c r="L5" s="173"/>
      <c r="M5" s="173"/>
      <c r="N5" s="174"/>
      <c r="O5" s="172" t="s">
        <v>59</v>
      </c>
      <c r="P5" s="173"/>
      <c r="Q5" s="173"/>
      <c r="R5" s="173"/>
      <c r="S5" s="174"/>
      <c r="T5" s="172" t="s">
        <v>107</v>
      </c>
      <c r="U5" s="173"/>
      <c r="V5" s="173"/>
      <c r="W5" s="173"/>
      <c r="X5" s="174"/>
      <c r="Y5" s="172" t="s">
        <v>60</v>
      </c>
      <c r="Z5" s="173"/>
      <c r="AA5" s="174"/>
      <c r="AB5" s="172" t="s">
        <v>40</v>
      </c>
      <c r="AC5" s="173"/>
      <c r="AD5" s="174"/>
      <c r="AE5" s="172" t="s">
        <v>61</v>
      </c>
      <c r="AF5" s="173"/>
      <c r="AG5" s="174"/>
    </row>
    <row r="6" spans="1:36" s="8" customFormat="1" ht="19.5" customHeight="1" x14ac:dyDescent="0.3">
      <c r="A6" s="8" t="s">
        <v>204</v>
      </c>
      <c r="G6" s="661"/>
      <c r="H6" s="703"/>
      <c r="I6" s="704"/>
      <c r="J6" s="175" t="s">
        <v>42</v>
      </c>
      <c r="K6" s="176" t="s">
        <v>43</v>
      </c>
      <c r="L6" s="177" t="s">
        <v>44</v>
      </c>
      <c r="M6" s="176" t="s">
        <v>45</v>
      </c>
      <c r="N6" s="178" t="s">
        <v>44</v>
      </c>
      <c r="O6" s="175" t="s">
        <v>15</v>
      </c>
      <c r="P6" s="176" t="s">
        <v>16</v>
      </c>
      <c r="Q6" s="177" t="s">
        <v>32</v>
      </c>
      <c r="R6" s="176" t="s">
        <v>17</v>
      </c>
      <c r="S6" s="178" t="s">
        <v>32</v>
      </c>
      <c r="T6" s="175" t="s">
        <v>15</v>
      </c>
      <c r="U6" s="176" t="s">
        <v>16</v>
      </c>
      <c r="V6" s="177" t="s">
        <v>32</v>
      </c>
      <c r="W6" s="176" t="s">
        <v>17</v>
      </c>
      <c r="X6" s="178" t="s">
        <v>32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6" s="8" customFormat="1" ht="19.5" customHeight="1" x14ac:dyDescent="0.3">
      <c r="B7" s="8" t="s">
        <v>22</v>
      </c>
      <c r="G7" s="662" t="str">
        <f>+I7</f>
        <v>안양</v>
      </c>
      <c r="H7" s="78" t="s">
        <v>46</v>
      </c>
      <c r="I7" s="79" t="s">
        <v>22</v>
      </c>
      <c r="J7" s="36">
        <f>+IFERROR(HLOOKUP($B7,'[1]12월'!$D$6:$BN$259,2,),)/1000</f>
        <v>42</v>
      </c>
      <c r="K7" s="37">
        <f>+IFERROR(HLOOKUP($B7,'[2]12월'!$F$6:$CP$99,2,),)/1000</f>
        <v>34.67</v>
      </c>
      <c r="L7" s="38">
        <f t="shared" ref="L7:L26" si="0">+K7-J7</f>
        <v>-7.3299999999999983</v>
      </c>
      <c r="M7" s="39">
        <f>+IFERROR(HLOOKUP($B7,'[3]12월'!$F$6:$CC$57,2,),)/1000</f>
        <v>41.036000000000001</v>
      </c>
      <c r="N7" s="40">
        <f>+K7-M7</f>
        <v>-6.3659999999999997</v>
      </c>
      <c r="O7" s="36">
        <f>+IFERROR(HLOOKUP($B7,'[1]12월'!$D$6:$BN$259,3,),)/1000</f>
        <v>4277.4152000000004</v>
      </c>
      <c r="P7" s="37">
        <f>+IFERROR(HLOOKUP($B7,'[2]12월'!$F$6:$CP$99,3,),)/1000</f>
        <v>3342.2601409999997</v>
      </c>
      <c r="Q7" s="38">
        <f>+P7-O7</f>
        <v>-935.15505900000062</v>
      </c>
      <c r="R7" s="39">
        <f>+IFERROR(HLOOKUP($B7,'[3]12월'!$F$6:$CC$57,3,),)/1000</f>
        <v>3916.1936479999999</v>
      </c>
      <c r="S7" s="40">
        <f>+P7-R7</f>
        <v>-573.93350700000019</v>
      </c>
      <c r="T7" s="36">
        <f>+IFERROR(HLOOKUP($B7,'[1]12월'!$D$6:$BN$259,16,),)/1000</f>
        <v>607.52946624018819</v>
      </c>
      <c r="U7" s="37">
        <f>+IFERROR(HLOOKUP($B7,'[2]12월'!$F$6:$CP$99,16,),)/1000</f>
        <v>51.528149000000077</v>
      </c>
      <c r="V7" s="41">
        <f>+U7-T7</f>
        <v>-556.00131724018809</v>
      </c>
      <c r="W7" s="42">
        <f>+IFERROR(HLOOKUP($B7,'[3]12월'!$F$6:$CC$57,16,),)/1000</f>
        <v>32.938006000000151</v>
      </c>
      <c r="X7" s="40">
        <f>+U7-W7</f>
        <v>18.590142999999927</v>
      </c>
      <c r="Y7" s="36">
        <f>+[5]안양!$Q$85</f>
        <v>101843.21904761906</v>
      </c>
      <c r="Z7" s="37">
        <f>+[5]안양!$R$85</f>
        <v>96402.08079030861</v>
      </c>
      <c r="AA7" s="43">
        <f>+[6]안양!$Q$85</f>
        <v>95433.123306365145</v>
      </c>
      <c r="AB7" s="44">
        <f>+[5]안양!$Q$89</f>
        <v>80543.283403670488</v>
      </c>
      <c r="AC7" s="37">
        <f>+[5]안양!$R$89</f>
        <v>82908.853609317346</v>
      </c>
      <c r="AD7" s="45">
        <f>+[6]안양!$Q$89</f>
        <v>80364.232269849002</v>
      </c>
      <c r="AE7" s="44">
        <f>+Y7-AB7</f>
        <v>21299.935643948571</v>
      </c>
      <c r="AF7" s="37">
        <f>+Z7-AC7</f>
        <v>13493.227180991264</v>
      </c>
      <c r="AG7" s="45">
        <f>+AA7-AD7</f>
        <v>15068.891036516143</v>
      </c>
      <c r="AH7" s="18"/>
      <c r="AI7" s="19"/>
    </row>
    <row r="8" spans="1:36" s="8" customFormat="1" ht="19.5" customHeight="1" x14ac:dyDescent="0.3">
      <c r="B8" s="8" t="s">
        <v>23</v>
      </c>
      <c r="G8" s="663" t="str">
        <f t="shared" ref="G8:G26" si="1">+I8</f>
        <v>인천</v>
      </c>
      <c r="H8" s="80" t="s">
        <v>47</v>
      </c>
      <c r="I8" s="81" t="s">
        <v>23</v>
      </c>
      <c r="J8" s="46">
        <f>+IFERROR(HLOOKUP($B8,'[1]12월'!$D$6:$BN$259,2,),)/1000</f>
        <v>36</v>
      </c>
      <c r="K8" s="47">
        <f>+IFERROR(HLOOKUP($B8,'[2]12월'!$F$6:$CP$99,2,),)/1000</f>
        <v>30.361999999999998</v>
      </c>
      <c r="L8" s="48">
        <f t="shared" si="0"/>
        <v>-5.6380000000000017</v>
      </c>
      <c r="M8" s="49">
        <f>+IFERROR(HLOOKUP($B8,'[3]12월'!$F$6:$CC$57,2,),)/1000</f>
        <v>27.74</v>
      </c>
      <c r="N8" s="50">
        <f t="shared" ref="N8:N26" si="2">+K8-M8</f>
        <v>2.6219999999999999</v>
      </c>
      <c r="O8" s="46">
        <f>+IFERROR(HLOOKUP($B8,'[1]12월'!$D$6:$BN$259,3,),)/1000</f>
        <v>3835.5608300000004</v>
      </c>
      <c r="P8" s="47">
        <f>+IFERROR(HLOOKUP($B8,'[2]12월'!$F$6:$CP$99,3,),)/1000</f>
        <v>2969.3943920000002</v>
      </c>
      <c r="Q8" s="48">
        <f t="shared" ref="Q8:Q26" si="3">+P8-O8</f>
        <v>-866.1664380000002</v>
      </c>
      <c r="R8" s="49">
        <f>+IFERROR(HLOOKUP($B8,'[3]12월'!$F$6:$CC$57,3,),)/1000</f>
        <v>2752.5620550000003</v>
      </c>
      <c r="S8" s="50">
        <f t="shared" ref="S8:S26" si="4">+P8-R8</f>
        <v>216.83233699999982</v>
      </c>
      <c r="T8" s="46">
        <f>+IFERROR(HLOOKUP($B8,'[1]12월'!$D$6:$BN$259,16,),)/1000</f>
        <v>577.0905224232323</v>
      </c>
      <c r="U8" s="47">
        <f>+IFERROR(HLOOKUP($B8,'[2]12월'!$F$6:$CP$99,16,),)/1000</f>
        <v>-49.541219999999576</v>
      </c>
      <c r="V8" s="48">
        <f t="shared" ref="V8:V26" si="5">+U8-T8</f>
        <v>-626.63174242323191</v>
      </c>
      <c r="W8" s="49">
        <f>+IFERROR(HLOOKUP($B8,'[3]12월'!$F$6:$CC$57,16,),)/1000</f>
        <v>-86.728500999999795</v>
      </c>
      <c r="X8" s="50">
        <f t="shared" ref="X8:X26" si="6">+U8-W8</f>
        <v>37.187281000000219</v>
      </c>
      <c r="Y8" s="46">
        <f>+[5]인천!$Q$85</f>
        <v>106543.3563888889</v>
      </c>
      <c r="Z8" s="47">
        <f>+[5]인천!$R$85</f>
        <v>97799.696726170863</v>
      </c>
      <c r="AA8" s="51">
        <f>+[6]인천!$Q$85</f>
        <v>99227.182948810398</v>
      </c>
      <c r="AB8" s="52">
        <f>+[5]인천!$Q$89</f>
        <v>82512.189627860687</v>
      </c>
      <c r="AC8" s="47">
        <f>+[5]인천!$R$89</f>
        <v>86503.734509778093</v>
      </c>
      <c r="AD8" s="53">
        <f>+[6]인천!$Q$89</f>
        <v>82946.129532184816</v>
      </c>
      <c r="AE8" s="52">
        <f t="shared" ref="AE8:AE27" si="7">+Y8-AB8</f>
        <v>24031.166761028217</v>
      </c>
      <c r="AF8" s="47">
        <f t="shared" ref="AF8:AF27" si="8">+Z8-AC8</f>
        <v>11295.962216392771</v>
      </c>
      <c r="AG8" s="53">
        <f t="shared" ref="AG8:AG27" si="9">+AA8-AD8</f>
        <v>16281.053416625582</v>
      </c>
      <c r="AH8" s="18"/>
      <c r="AI8" s="19"/>
      <c r="AJ8" s="96"/>
    </row>
    <row r="9" spans="1:36" s="8" customFormat="1" ht="19.5" customHeight="1" x14ac:dyDescent="0.3">
      <c r="B9" s="8" t="s">
        <v>24</v>
      </c>
      <c r="G9" s="663" t="str">
        <f t="shared" si="1"/>
        <v>파주</v>
      </c>
      <c r="H9" s="80"/>
      <c r="I9" s="81" t="s">
        <v>24</v>
      </c>
      <c r="J9" s="46">
        <f>+IFERROR(HLOOKUP($B9,'[1]12월'!$D$6:$BN$259,2,),)/1000</f>
        <v>22</v>
      </c>
      <c r="K9" s="47">
        <f>+IFERROR(HLOOKUP($B9,'[2]12월'!$F$6:$CP$99,2,),)/1000</f>
        <v>16.303000000000001</v>
      </c>
      <c r="L9" s="48">
        <f t="shared" si="0"/>
        <v>-5.6969999999999992</v>
      </c>
      <c r="M9" s="49">
        <f>+IFERROR(HLOOKUP($B9,'[3]12월'!$F$6:$CC$57,2,),)/1000</f>
        <v>23.44</v>
      </c>
      <c r="N9" s="50">
        <f t="shared" si="2"/>
        <v>-7.1370000000000005</v>
      </c>
      <c r="O9" s="46">
        <f>+IFERROR(HLOOKUP($B9,'[1]12월'!$D$6:$BN$259,3,),)/1000</f>
        <v>2212.4212412538027</v>
      </c>
      <c r="P9" s="47">
        <f>+IFERROR(HLOOKUP($B9,'[2]12월'!$F$6:$CP$99,3,),)/1000</f>
        <v>1513.0633400000002</v>
      </c>
      <c r="Q9" s="48">
        <f t="shared" si="3"/>
        <v>-699.35790125380254</v>
      </c>
      <c r="R9" s="49">
        <f>+IFERROR(HLOOKUP($B9,'[3]12월'!$F$6:$CC$57,3,),)/1000</f>
        <v>2319.5423409999999</v>
      </c>
      <c r="S9" s="50">
        <f t="shared" si="4"/>
        <v>-806.4790009999997</v>
      </c>
      <c r="T9" s="46">
        <f>+IFERROR(HLOOKUP($B9,'[1]12월'!$D$6:$BN$259,16,),)/1000</f>
        <v>273.09847145600065</v>
      </c>
      <c r="U9" s="47">
        <f>+IFERROR(HLOOKUP($B9,'[2]12월'!$F$6:$CP$99,16,),)/1000</f>
        <v>-160.22942599999993</v>
      </c>
      <c r="V9" s="48">
        <f t="shared" si="5"/>
        <v>-433.32789745600058</v>
      </c>
      <c r="W9" s="49">
        <f>+IFERROR(HLOOKUP($B9,'[3]12월'!$F$6:$CC$57,16,),)/1000</f>
        <v>-76.952820990000234</v>
      </c>
      <c r="X9" s="50">
        <f t="shared" si="6"/>
        <v>-83.276605009999699</v>
      </c>
      <c r="Y9" s="46">
        <f>+[5]파주!$Q$85</f>
        <v>100564.60187517284</v>
      </c>
      <c r="Z9" s="47">
        <f>+[5]파주!$R$85</f>
        <v>92808.890388272106</v>
      </c>
      <c r="AA9" s="51">
        <f>+[6]파주!$Q$85</f>
        <v>98896.410785877495</v>
      </c>
      <c r="AB9" s="52">
        <f>+[5]파주!$Q$89</f>
        <v>78672.483577712614</v>
      </c>
      <c r="AC9" s="47">
        <f>+[5]파주!$R$89</f>
        <v>85217.768692878613</v>
      </c>
      <c r="AD9" s="53">
        <f>+[6]파주!$Q$89</f>
        <v>84926.888218824039</v>
      </c>
      <c r="AE9" s="52">
        <f t="shared" si="7"/>
        <v>21892.118297460227</v>
      </c>
      <c r="AF9" s="47">
        <f t="shared" si="8"/>
        <v>7591.1216953934927</v>
      </c>
      <c r="AG9" s="53">
        <f t="shared" si="9"/>
        <v>13969.522567053456</v>
      </c>
      <c r="AH9" s="18"/>
      <c r="AI9" s="19"/>
      <c r="AJ9" s="96"/>
    </row>
    <row r="10" spans="1:36" s="8" customFormat="1" ht="19.5" customHeight="1" x14ac:dyDescent="0.3">
      <c r="B10" s="8" t="s">
        <v>142</v>
      </c>
      <c r="G10" s="663" t="str">
        <f t="shared" si="1"/>
        <v>김포</v>
      </c>
      <c r="H10" s="80"/>
      <c r="I10" s="81" t="s">
        <v>139</v>
      </c>
      <c r="J10" s="46">
        <f>+IFERROR(HLOOKUP($B10,'[1]12월'!$D$6:$BN$259,2,),)/1000</f>
        <v>13.5</v>
      </c>
      <c r="K10" s="47">
        <f>+IFERROR(HLOOKUP($B10,'[2]12월'!$F$6:$CP$99,2,),)/1000</f>
        <v>13.4185</v>
      </c>
      <c r="L10" s="48">
        <f t="shared" si="0"/>
        <v>-8.1500000000000128E-2</v>
      </c>
      <c r="M10" s="49">
        <f>+IFERROR(HLOOKUP($B10,'[3]12월'!$F$6:$CC$57,2,),)/1000</f>
        <v>12.923999999999999</v>
      </c>
      <c r="N10" s="50">
        <f t="shared" si="2"/>
        <v>0.49450000000000038</v>
      </c>
      <c r="O10" s="46">
        <f>+IFERROR(HLOOKUP($B10,'[1]12월'!$D$6:$BN$259,3,),)/1000</f>
        <v>1296.1935000000001</v>
      </c>
      <c r="P10" s="47">
        <f>+IFERROR(HLOOKUP($B10,'[2]12월'!$F$6:$CP$99,3,),)/1000</f>
        <v>1247.6161459999998</v>
      </c>
      <c r="Q10" s="48">
        <f t="shared" si="3"/>
        <v>-48.577354000000241</v>
      </c>
      <c r="R10" s="49">
        <f>+IFERROR(HLOOKUP($B10,'[3]12월'!$F$6:$CC$57,3,),)/1000</f>
        <v>1223.3611799999999</v>
      </c>
      <c r="S10" s="50">
        <f t="shared" si="4"/>
        <v>24.254965999999968</v>
      </c>
      <c r="T10" s="46">
        <f>+IFERROR(HLOOKUP($B10,'[1]12월'!$D$6:$BN$259,16,),)/1000</f>
        <v>147.2032031263212</v>
      </c>
      <c r="U10" s="47">
        <f>+IFERROR(HLOOKUP($B10,'[2]12월'!$F$6:$CP$99,16,),)/1000</f>
        <v>-46.293550000000153</v>
      </c>
      <c r="V10" s="48">
        <f t="shared" si="5"/>
        <v>-193.49675312632135</v>
      </c>
      <c r="W10" s="49">
        <f>+IFERROR(HLOOKUP($B10,'[3]12월'!$F$6:$CC$57,16,),)/1000</f>
        <v>-72.352113999999943</v>
      </c>
      <c r="X10" s="50">
        <f t="shared" si="6"/>
        <v>26.058563999999791</v>
      </c>
      <c r="Y10" s="46">
        <f>+[5]김포!$Q$85</f>
        <v>96014.333333333343</v>
      </c>
      <c r="Z10" s="47">
        <f>+[5]김포!$R$85</f>
        <v>93010.902870831298</v>
      </c>
      <c r="AA10" s="51">
        <f>+[6]김포!$Q$85</f>
        <v>94658.091922005566</v>
      </c>
      <c r="AB10" s="52">
        <f>+[5]김포!$Q$89</f>
        <v>73421.333233441241</v>
      </c>
      <c r="AC10" s="47">
        <f>+[5]김포!$R$89</f>
        <v>79168.533039153364</v>
      </c>
      <c r="AD10" s="53">
        <f>+[6]김포!$Q$89</f>
        <v>77549.906095297018</v>
      </c>
      <c r="AE10" s="52">
        <f t="shared" si="7"/>
        <v>22593.000099892102</v>
      </c>
      <c r="AF10" s="47">
        <f t="shared" si="8"/>
        <v>13842.369831677934</v>
      </c>
      <c r="AG10" s="53">
        <f t="shared" si="9"/>
        <v>17108.185826708548</v>
      </c>
      <c r="AH10" s="18"/>
      <c r="AI10" s="19"/>
      <c r="AJ10" s="96"/>
    </row>
    <row r="11" spans="1:36" s="8" customFormat="1" ht="19.5" customHeight="1" x14ac:dyDescent="0.3">
      <c r="B11" s="8" t="s">
        <v>25</v>
      </c>
      <c r="G11" s="661" t="str">
        <f t="shared" si="1"/>
        <v>부산</v>
      </c>
      <c r="H11" s="80"/>
      <c r="I11" s="82" t="s">
        <v>25</v>
      </c>
      <c r="J11" s="63">
        <f>+IFERROR(HLOOKUP($B11,'[1]12월'!$D$6:$BN$259,2,),)/1000</f>
        <v>24</v>
      </c>
      <c r="K11" s="64">
        <f>+IFERROR(HLOOKUP($B11,'[2]12월'!$F$6:$CP$99,2,),)/1000</f>
        <v>17.338999999999999</v>
      </c>
      <c r="L11" s="65">
        <f t="shared" si="0"/>
        <v>-6.6610000000000014</v>
      </c>
      <c r="M11" s="66">
        <f>+IFERROR(HLOOKUP($B11,'[3]12월'!$F$6:$CC$57,2,),)/1000</f>
        <v>20.361999999999998</v>
      </c>
      <c r="N11" s="67">
        <f t="shared" si="2"/>
        <v>-3.0229999999999997</v>
      </c>
      <c r="O11" s="63">
        <f>+IFERROR(HLOOKUP($B11,'[1]12월'!$D$6:$BN$259,3,),)/1000</f>
        <v>2582.4103019999998</v>
      </c>
      <c r="P11" s="64">
        <f>+IFERROR(HLOOKUP($B11,'[2]12월'!$F$6:$CP$99,3,),)/1000</f>
        <v>1980.4694</v>
      </c>
      <c r="Q11" s="65">
        <f t="shared" si="3"/>
        <v>-601.94090199999982</v>
      </c>
      <c r="R11" s="66">
        <f>+IFERROR(HLOOKUP($B11,'[3]12월'!$F$6:$CC$57,3,),)/1000</f>
        <v>2088.9349990000001</v>
      </c>
      <c r="S11" s="67">
        <f t="shared" si="4"/>
        <v>-108.46559900000011</v>
      </c>
      <c r="T11" s="63">
        <f>+IFERROR(HLOOKUP($B11,'[1]12월'!$D$6:$BN$259,16,),)/1000</f>
        <v>351.02034776655154</v>
      </c>
      <c r="U11" s="64">
        <f>+IFERROR(HLOOKUP($B11,'[2]12월'!$F$6:$CP$99,16,),)/1000</f>
        <v>92.183808999999954</v>
      </c>
      <c r="V11" s="65">
        <f t="shared" si="5"/>
        <v>-258.8365387665516</v>
      </c>
      <c r="W11" s="66">
        <f>+IFERROR(HLOOKUP($B11,'[3]12월'!$F$6:$CC$57,16,),)/1000</f>
        <v>-64.129509000000041</v>
      </c>
      <c r="X11" s="67">
        <f t="shared" si="6"/>
        <v>156.31331799999998</v>
      </c>
      <c r="Y11" s="63">
        <f>+[5]부산!$Q$85</f>
        <v>107600.42924999999</v>
      </c>
      <c r="Z11" s="64">
        <f>+[5]부산!$R$85</f>
        <v>114220.50867985465</v>
      </c>
      <c r="AA11" s="68">
        <f>+[6]부산!$Q$85</f>
        <v>102589.87324427857</v>
      </c>
      <c r="AB11" s="69">
        <f>+[5]부산!$Q$89</f>
        <v>82245.67797442447</v>
      </c>
      <c r="AC11" s="64">
        <f>+[5]부산!$R$89</f>
        <v>90394.221158835397</v>
      </c>
      <c r="AD11" s="70">
        <f>+[6]부산!$Q$89</f>
        <v>84012.412238483448</v>
      </c>
      <c r="AE11" s="69">
        <f t="shared" si="7"/>
        <v>25354.751275575516</v>
      </c>
      <c r="AF11" s="64">
        <f t="shared" si="8"/>
        <v>23826.287521019258</v>
      </c>
      <c r="AG11" s="70">
        <f t="shared" si="9"/>
        <v>18577.461005795121</v>
      </c>
      <c r="AH11" s="18"/>
      <c r="AI11" s="19"/>
      <c r="AJ11" s="96"/>
    </row>
    <row r="12" spans="1:36" s="8" customFormat="1" ht="19.5" customHeight="1" x14ac:dyDescent="0.3">
      <c r="B12" s="8" t="s">
        <v>26</v>
      </c>
      <c r="G12" s="661" t="str">
        <f t="shared" si="1"/>
        <v>서부산</v>
      </c>
      <c r="H12" s="80"/>
      <c r="I12" s="81" t="s">
        <v>26</v>
      </c>
      <c r="J12" s="46">
        <f>+IFERROR(HLOOKUP($B12,'[1]12월'!$D$6:$BN$259,2,),)/1000</f>
        <v>26</v>
      </c>
      <c r="K12" s="47">
        <f>+IFERROR(HLOOKUP($B12,'[2]12월'!$F$6:$CP$99,2,),)/1000</f>
        <v>24.067</v>
      </c>
      <c r="L12" s="48">
        <f t="shared" si="0"/>
        <v>-1.9329999999999998</v>
      </c>
      <c r="M12" s="49">
        <f>+IFERROR(HLOOKUP($B12,'[3]12월'!$F$6:$CC$57,2,),)/1000</f>
        <v>21.623000000000001</v>
      </c>
      <c r="N12" s="50">
        <f t="shared" si="2"/>
        <v>2.4439999999999991</v>
      </c>
      <c r="O12" s="46">
        <f>+IFERROR(HLOOKUP($B12,'[1]12월'!$D$6:$BN$259,3,),)/1000</f>
        <v>2719.0035200000002</v>
      </c>
      <c r="P12" s="47">
        <f>+IFERROR(HLOOKUP($B12,'[2]12월'!$F$6:$CP$99,3,),)/1000</f>
        <v>2361.636</v>
      </c>
      <c r="Q12" s="48">
        <f t="shared" si="3"/>
        <v>-357.36752000000024</v>
      </c>
      <c r="R12" s="49">
        <f>+IFERROR(HLOOKUP($B12,'[3]12월'!$F$6:$CC$57,3,),)/1000</f>
        <v>2070.2656999999999</v>
      </c>
      <c r="S12" s="50">
        <f t="shared" si="4"/>
        <v>291.37030000000004</v>
      </c>
      <c r="T12" s="46">
        <f>+IFERROR(HLOOKUP($B12,'[1]12월'!$D$6:$BN$259,16,),)/1000</f>
        <v>500.34998288781071</v>
      </c>
      <c r="U12" s="47">
        <f>+IFERROR(HLOOKUP($B12,'[2]12월'!$F$6:$CP$99,16,),)/1000</f>
        <v>163.09231399999985</v>
      </c>
      <c r="V12" s="48">
        <f t="shared" si="5"/>
        <v>-337.25766888781084</v>
      </c>
      <c r="W12" s="49">
        <f>+IFERROR(HLOOKUP($B12,'[3]12월'!$F$6:$CC$57,16,),)/1000</f>
        <v>-32.572630000000025</v>
      </c>
      <c r="X12" s="50">
        <f t="shared" si="6"/>
        <v>195.66494399999988</v>
      </c>
      <c r="Y12" s="46">
        <f>+[5]서부산!$Q$85</f>
        <v>104577.05846153846</v>
      </c>
      <c r="Z12" s="47">
        <f>+[5]서부산!$R$85</f>
        <v>98127.560560103055</v>
      </c>
      <c r="AA12" s="51">
        <f>+[6]서부산!$Q$85</f>
        <v>95743.684965083477</v>
      </c>
      <c r="AB12" s="52">
        <f>+[5]서부산!$Q$89</f>
        <v>77522.343666708141</v>
      </c>
      <c r="AC12" s="47">
        <f>+[5]서부산!$R$89</f>
        <v>78950.520047080267</v>
      </c>
      <c r="AD12" s="53">
        <f>+[6]서부산!$Q$89</f>
        <v>80776.028303195664</v>
      </c>
      <c r="AE12" s="52">
        <f t="shared" si="7"/>
        <v>27054.714794830317</v>
      </c>
      <c r="AF12" s="47">
        <f t="shared" si="8"/>
        <v>19177.040513022788</v>
      </c>
      <c r="AG12" s="53">
        <f t="shared" si="9"/>
        <v>14967.656661887813</v>
      </c>
      <c r="AH12" s="18"/>
      <c r="AI12" s="19"/>
      <c r="AJ12" s="96"/>
    </row>
    <row r="13" spans="1:36" s="8" customFormat="1" ht="19.5" customHeight="1" x14ac:dyDescent="0.3">
      <c r="B13" s="8" t="s">
        <v>27</v>
      </c>
      <c r="G13" s="661" t="str">
        <f t="shared" si="1"/>
        <v>김해</v>
      </c>
      <c r="H13" s="80"/>
      <c r="I13" s="81" t="s">
        <v>27</v>
      </c>
      <c r="J13" s="46">
        <f>+IFERROR(HLOOKUP($B13,'[1]12월'!$D$6:$BN$259,2,),)/1000</f>
        <v>14</v>
      </c>
      <c r="K13" s="47">
        <f>+IFERROR(HLOOKUP($B13,'[2]12월'!$F$6:$CP$99,2,),)/1000</f>
        <v>12.183999999999999</v>
      </c>
      <c r="L13" s="48">
        <f t="shared" si="0"/>
        <v>-1.8160000000000007</v>
      </c>
      <c r="M13" s="49">
        <f>+IFERROR(HLOOKUP($B13,'[3]12월'!$F$6:$CC$57,2,),)/1000</f>
        <v>12.436999999999999</v>
      </c>
      <c r="N13" s="50">
        <f t="shared" si="2"/>
        <v>-0.25300000000000011</v>
      </c>
      <c r="O13" s="46">
        <f>+IFERROR(HLOOKUP($B13,'[1]12월'!$D$6:$BN$259,3,),)/1000</f>
        <v>1414.0056000000002</v>
      </c>
      <c r="P13" s="47">
        <f>+IFERROR(HLOOKUP($B13,'[2]12월'!$F$6:$CP$99,3,),)/1000</f>
        <v>1145.9621</v>
      </c>
      <c r="Q13" s="48">
        <f t="shared" si="3"/>
        <v>-268.04350000000022</v>
      </c>
      <c r="R13" s="49">
        <f>+IFERROR(HLOOKUP($B13,'[3]12월'!$F$6:$CC$57,3,),)/1000</f>
        <v>1240.7523999999999</v>
      </c>
      <c r="S13" s="50">
        <f t="shared" si="4"/>
        <v>-94.790299999999888</v>
      </c>
      <c r="T13" s="46">
        <f>+IFERROR(HLOOKUP($B13,'[1]12월'!$D$6:$BN$259,16,),)/1000</f>
        <v>187.05963161214964</v>
      </c>
      <c r="U13" s="47">
        <f>+IFERROR(HLOOKUP($B13,'[2]12월'!$F$6:$CP$99,16,),)/1000</f>
        <v>-58.22594600000005</v>
      </c>
      <c r="V13" s="48">
        <f t="shared" si="5"/>
        <v>-245.28557761214969</v>
      </c>
      <c r="W13" s="49">
        <f>+IFERROR(HLOOKUP($B13,'[3]12월'!$F$6:$CC$57,16,),)/1000</f>
        <v>-41.187730000000016</v>
      </c>
      <c r="X13" s="50">
        <f t="shared" si="6"/>
        <v>-17.038216000000034</v>
      </c>
      <c r="Y13" s="46">
        <f>+[5]김해!$Q$85</f>
        <v>101000.40000000001</v>
      </c>
      <c r="Z13" s="47">
        <f>+[5]김해!$R$85</f>
        <v>94036.648949632989</v>
      </c>
      <c r="AA13" s="51">
        <f>+[6]김해!$Q$85</f>
        <v>99762.997507437482</v>
      </c>
      <c r="AB13" s="52">
        <f>+[5]김해!$Q$89</f>
        <v>77306.918660291791</v>
      </c>
      <c r="AC13" s="47">
        <f>+[5]김해!$R$89</f>
        <v>80796.703534970045</v>
      </c>
      <c r="AD13" s="53">
        <f>+[6]김해!$Q$89</f>
        <v>81505.826324676367</v>
      </c>
      <c r="AE13" s="52">
        <f t="shared" si="7"/>
        <v>23693.481339708218</v>
      </c>
      <c r="AF13" s="47">
        <f t="shared" si="8"/>
        <v>13239.945414662943</v>
      </c>
      <c r="AG13" s="53">
        <f t="shared" si="9"/>
        <v>18257.171182761114</v>
      </c>
      <c r="AH13" s="18"/>
      <c r="AI13" s="19"/>
      <c r="AJ13" s="96"/>
    </row>
    <row r="14" spans="1:36" s="8" customFormat="1" ht="19.5" customHeight="1" x14ac:dyDescent="0.3">
      <c r="B14" s="8" t="s">
        <v>28</v>
      </c>
      <c r="G14" s="661" t="str">
        <f t="shared" si="1"/>
        <v>정관</v>
      </c>
      <c r="H14" s="80"/>
      <c r="I14" s="81" t="s">
        <v>28</v>
      </c>
      <c r="J14" s="46">
        <f>+IFERROR(HLOOKUP($B14,'[1]12월'!$D$6:$BN$259,2,),)/1000</f>
        <v>19</v>
      </c>
      <c r="K14" s="47">
        <f>+IFERROR(HLOOKUP($B14,'[2]12월'!$F$6:$CP$99,2,),)/1000</f>
        <v>22.033999999999999</v>
      </c>
      <c r="L14" s="48">
        <f t="shared" si="0"/>
        <v>3.0339999999999989</v>
      </c>
      <c r="M14" s="49">
        <f>+IFERROR(HLOOKUP($B14,'[3]12월'!$F$6:$CC$57,2,),)/1000</f>
        <v>19.457999999999998</v>
      </c>
      <c r="N14" s="50">
        <f t="shared" si="2"/>
        <v>2.5760000000000005</v>
      </c>
      <c r="O14" s="46">
        <f>+IFERROR(HLOOKUP($B14,'[1]12월'!$D$6:$BN$259,3,),)/1000</f>
        <v>1976</v>
      </c>
      <c r="P14" s="47">
        <f>+IFERROR(HLOOKUP($B14,'[2]12월'!$F$6:$CP$99,3,),)/1000</f>
        <v>2288.9944999999998</v>
      </c>
      <c r="Q14" s="48">
        <f t="shared" si="3"/>
        <v>312.99449999999979</v>
      </c>
      <c r="R14" s="49">
        <f>+IFERROR(HLOOKUP($B14,'[3]12월'!$F$6:$CC$57,3,),)/1000</f>
        <v>1970.3818999999999</v>
      </c>
      <c r="S14" s="50">
        <f t="shared" si="4"/>
        <v>318.61259999999993</v>
      </c>
      <c r="T14" s="46">
        <f>+IFERROR(HLOOKUP($B14,'[1]12월'!$D$6:$BN$259,16,),)/1000</f>
        <v>274.98355245942122</v>
      </c>
      <c r="U14" s="47">
        <f>+IFERROR(HLOOKUP($B14,'[2]12월'!$F$6:$CP$99,16,),)/1000</f>
        <v>101.28181700000007</v>
      </c>
      <c r="V14" s="48">
        <f t="shared" si="5"/>
        <v>-173.70173545942114</v>
      </c>
      <c r="W14" s="49">
        <f>+IFERROR(HLOOKUP($B14,'[3]12월'!$F$6:$CC$57,16,),)/1000</f>
        <v>23.550430000000127</v>
      </c>
      <c r="X14" s="50">
        <f t="shared" si="6"/>
        <v>77.731386999999955</v>
      </c>
      <c r="Y14" s="46">
        <f>+[5]정관!$Q$85</f>
        <v>104000</v>
      </c>
      <c r="Z14" s="47">
        <f>+[5]정관!$R$85</f>
        <v>103884.65553235907</v>
      </c>
      <c r="AA14" s="51">
        <f>+[6]정관!$Q$85</f>
        <v>101263.3312776236</v>
      </c>
      <c r="AB14" s="52">
        <f>+[5]정관!$Q$89</f>
        <v>79201.726829621126</v>
      </c>
      <c r="AC14" s="47">
        <f>+[5]정관!$R$89</f>
        <v>86215.633729366935</v>
      </c>
      <c r="AD14" s="53">
        <f>+[6]정관!$Q$89</f>
        <v>81557.375878881183</v>
      </c>
      <c r="AE14" s="52">
        <f t="shared" si="7"/>
        <v>24798.273170378874</v>
      </c>
      <c r="AF14" s="47">
        <f t="shared" si="8"/>
        <v>17669.021802992138</v>
      </c>
      <c r="AG14" s="53">
        <f t="shared" si="9"/>
        <v>19705.955398742415</v>
      </c>
      <c r="AH14" s="18"/>
      <c r="AI14" s="19"/>
      <c r="AJ14" s="96"/>
    </row>
    <row r="15" spans="1:36" s="8" customFormat="1" ht="19.5" customHeight="1" x14ac:dyDescent="0.3">
      <c r="B15" s="8" t="s">
        <v>29</v>
      </c>
      <c r="G15" s="661" t="str">
        <f t="shared" si="1"/>
        <v>양산</v>
      </c>
      <c r="H15" s="80"/>
      <c r="I15" s="81" t="s">
        <v>29</v>
      </c>
      <c r="J15" s="46">
        <f>+IFERROR(HLOOKUP($B15,'[1]12월'!$D$6:$BN$259,2,),)/1000</f>
        <v>12</v>
      </c>
      <c r="K15" s="47">
        <f>+IFERROR(HLOOKUP($B15,'[2]12월'!$F$6:$CP$99,2,),)/1000</f>
        <v>10.173999999999999</v>
      </c>
      <c r="L15" s="48">
        <f t="shared" si="0"/>
        <v>-1.8260000000000005</v>
      </c>
      <c r="M15" s="49">
        <f>+IFERROR(HLOOKUP($B15,'[3]12월'!$F$6:$CC$57,2,),)/1000</f>
        <v>12.654</v>
      </c>
      <c r="N15" s="50">
        <f t="shared" si="2"/>
        <v>-2.4800000000000004</v>
      </c>
      <c r="O15" s="46">
        <f>+IFERROR(HLOOKUP($B15,'[1]12월'!$D$6:$BN$259,3,),)/1000</f>
        <v>1166.5218300000004</v>
      </c>
      <c r="P15" s="47">
        <f>+IFERROR(HLOOKUP($B15,'[2]12월'!$F$6:$CP$99,3,),)/1000</f>
        <v>958.23019999999997</v>
      </c>
      <c r="Q15" s="48">
        <f t="shared" si="3"/>
        <v>-208.2916300000004</v>
      </c>
      <c r="R15" s="49">
        <f>+IFERROR(HLOOKUP($B15,'[3]12월'!$F$6:$CC$57,3,),)/1000</f>
        <v>1163.1534059999999</v>
      </c>
      <c r="S15" s="50">
        <f t="shared" si="4"/>
        <v>-204.92320599999994</v>
      </c>
      <c r="T15" s="46">
        <f>+IFERROR(HLOOKUP($B15,'[1]12월'!$D$6:$BN$259,16,),)/1000</f>
        <v>159.93476984061894</v>
      </c>
      <c r="U15" s="47">
        <f>+IFERROR(HLOOKUP($B15,'[2]12월'!$F$6:$CP$99,16,),)/1000</f>
        <v>-28.828367000000028</v>
      </c>
      <c r="V15" s="48">
        <f t="shared" si="5"/>
        <v>-188.76313684061898</v>
      </c>
      <c r="W15" s="49">
        <f>+IFERROR(HLOOKUP($B15,'[3]12월'!$F$6:$CC$57,16,),)/1000</f>
        <v>-41.122996999999891</v>
      </c>
      <c r="X15" s="50">
        <f t="shared" si="6"/>
        <v>12.294629999999863</v>
      </c>
      <c r="Y15" s="46">
        <f>+[5]양산!$Q$85</f>
        <v>97210.152500000026</v>
      </c>
      <c r="Z15" s="47">
        <f>+[5]양산!$R$85</f>
        <v>94184.214664831918</v>
      </c>
      <c r="AA15" s="51">
        <f>+[6]양산!$Q$85</f>
        <v>91919.820293978191</v>
      </c>
      <c r="AB15" s="52">
        <f>+[5]양산!$Q$89</f>
        <v>72466.137420689207</v>
      </c>
      <c r="AC15" s="47">
        <f>+[5]양산!$R$89</f>
        <v>78064.418910949476</v>
      </c>
      <c r="AD15" s="53">
        <f>+[6]양산!$Q$89</f>
        <v>73068.839260312947</v>
      </c>
      <c r="AE15" s="52">
        <f t="shared" si="7"/>
        <v>24744.015079310819</v>
      </c>
      <c r="AF15" s="47">
        <f t="shared" si="8"/>
        <v>16119.795753882441</v>
      </c>
      <c r="AG15" s="53">
        <f t="shared" si="9"/>
        <v>18850.981033665244</v>
      </c>
      <c r="AH15" s="18"/>
      <c r="AI15" s="19"/>
      <c r="AJ15" s="96"/>
    </row>
    <row r="16" spans="1:36" s="8" customFormat="1" ht="19.5" customHeight="1" x14ac:dyDescent="0.3">
      <c r="B16" s="8" t="s">
        <v>30</v>
      </c>
      <c r="G16" s="661" t="str">
        <f t="shared" si="1"/>
        <v>창원</v>
      </c>
      <c r="H16" s="80"/>
      <c r="I16" s="81" t="s">
        <v>30</v>
      </c>
      <c r="J16" s="46">
        <f>+IFERROR(HLOOKUP($B16,'[1]12월'!$D$6:$BN$259,2,),)/1000</f>
        <v>15</v>
      </c>
      <c r="K16" s="47">
        <f>+IFERROR(HLOOKUP($B16,'[2]12월'!$F$6:$CP$99,2,),)/1000</f>
        <v>12.315</v>
      </c>
      <c r="L16" s="48">
        <f t="shared" si="0"/>
        <v>-2.6850000000000005</v>
      </c>
      <c r="M16" s="49">
        <f>+IFERROR(HLOOKUP($B16,'[3]12월'!$F$6:$CC$57,2,),)/1000</f>
        <v>19.114999999999998</v>
      </c>
      <c r="N16" s="50">
        <f t="shared" si="2"/>
        <v>-6.7999999999999989</v>
      </c>
      <c r="O16" s="46">
        <f>+IFERROR(HLOOKUP($B16,'[1]12월'!$D$6:$BN$259,3,),)/1000</f>
        <v>1523.3579999999999</v>
      </c>
      <c r="P16" s="47">
        <f>+IFERROR(HLOOKUP($B16,'[2]12월'!$F$6:$CP$99,3,),)/1000</f>
        <v>1261.8105500000001</v>
      </c>
      <c r="Q16" s="48">
        <f t="shared" si="3"/>
        <v>-261.5474499999998</v>
      </c>
      <c r="R16" s="49">
        <f>+IFERROR(HLOOKUP($B16,'[3]12월'!$F$6:$CC$57,3,),)/1000</f>
        <v>1861.5654</v>
      </c>
      <c r="S16" s="50">
        <f t="shared" si="4"/>
        <v>-599.75484999999981</v>
      </c>
      <c r="T16" s="46">
        <f>+IFERROR(HLOOKUP($B16,'[1]12월'!$D$6:$BN$259,16,),)/1000</f>
        <v>245.30850644324084</v>
      </c>
      <c r="U16" s="47">
        <f>+IFERROR(HLOOKUP($B16,'[2]12월'!$F$6:$CP$99,16,),)/1000</f>
        <v>72.758356999999975</v>
      </c>
      <c r="V16" s="48">
        <f t="shared" si="5"/>
        <v>-172.55014944324085</v>
      </c>
      <c r="W16" s="49">
        <f>+IFERROR(HLOOKUP($B16,'[3]12월'!$F$6:$CC$57,16,),)/1000</f>
        <v>121.0823399999999</v>
      </c>
      <c r="X16" s="50">
        <f t="shared" si="6"/>
        <v>-48.323982999999927</v>
      </c>
      <c r="Y16" s="46">
        <f>+[5]창원!$Q$85</f>
        <v>101557.2</v>
      </c>
      <c r="Z16" s="47">
        <f>+[5]창원!$R$85</f>
        <v>102461.27080795777</v>
      </c>
      <c r="AA16" s="51">
        <f>+[6]창원!$Q$85</f>
        <v>97387.67460109861</v>
      </c>
      <c r="AB16" s="52">
        <f>+[5]창원!$Q$89</f>
        <v>72797.601499617391</v>
      </c>
      <c r="AC16" s="47">
        <f>+[5]창원!$R$89</f>
        <v>76573.527243199365</v>
      </c>
      <c r="AD16" s="53">
        <f>+[6]창원!$Q$89</f>
        <v>72941.793356003138</v>
      </c>
      <c r="AE16" s="52">
        <f t="shared" si="7"/>
        <v>28759.598500382606</v>
      </c>
      <c r="AF16" s="47">
        <f t="shared" si="8"/>
        <v>25887.743564758406</v>
      </c>
      <c r="AG16" s="53">
        <f t="shared" si="9"/>
        <v>24445.881245095472</v>
      </c>
      <c r="AH16" s="18"/>
      <c r="AI16" s="19"/>
      <c r="AJ16" s="96"/>
    </row>
    <row r="17" spans="2:38" s="8" customFormat="1" ht="19.5" customHeight="1" x14ac:dyDescent="0.3">
      <c r="B17" s="8" t="s">
        <v>87</v>
      </c>
      <c r="G17" s="661" t="str">
        <f t="shared" si="1"/>
        <v>대구</v>
      </c>
      <c r="H17" s="80"/>
      <c r="I17" s="81" t="s">
        <v>79</v>
      </c>
      <c r="J17" s="46">
        <f>+IFERROR(HLOOKUP($B17,'[1]12월'!$D$6:$BN$259,2,),)/1000</f>
        <v>16</v>
      </c>
      <c r="K17" s="47">
        <f>+IFERROR(HLOOKUP($B17,'[2]12월'!$F$6:$CP$99,2,),)/1000</f>
        <v>18.707999999999998</v>
      </c>
      <c r="L17" s="48">
        <f t="shared" si="0"/>
        <v>2.7079999999999984</v>
      </c>
      <c r="M17" s="49">
        <f>+IFERROR(HLOOKUP($B17,'[3]12월'!$F$6:$CC$57,2,),)/1000</f>
        <v>17.634</v>
      </c>
      <c r="N17" s="50">
        <f t="shared" si="2"/>
        <v>1.0739999999999981</v>
      </c>
      <c r="O17" s="46">
        <f>+IFERROR(HLOOKUP($B17,'[1]12월'!$D$6:$BN$259,3,),)/1000</f>
        <v>1564.16</v>
      </c>
      <c r="P17" s="47">
        <f>+IFERROR(HLOOKUP($B17,'[2]12월'!$F$6:$CP$99,3,),)/1000</f>
        <v>1801.6907639999999</v>
      </c>
      <c r="Q17" s="48">
        <f t="shared" si="3"/>
        <v>237.53076399999986</v>
      </c>
      <c r="R17" s="49">
        <f>+IFERROR(HLOOKUP($B17,'[3]12월'!$F$6:$CC$57,3,),)/1000</f>
        <v>1703.1216999999999</v>
      </c>
      <c r="S17" s="50">
        <f t="shared" si="4"/>
        <v>98.569064000000026</v>
      </c>
      <c r="T17" s="46">
        <f>+IFERROR(HLOOKUP($B17,'[1]12월'!$D$6:$BN$259,16,),)/1000</f>
        <v>246.00735954491685</v>
      </c>
      <c r="U17" s="47">
        <f>+IFERROR(HLOOKUP($B17,'[2]12월'!$F$6:$CP$99,16,),)/1000</f>
        <v>168.03998099999998</v>
      </c>
      <c r="V17" s="48">
        <f t="shared" si="5"/>
        <v>-77.967378544916869</v>
      </c>
      <c r="W17" s="49">
        <f>+IFERROR(HLOOKUP($B17,'[3]12월'!$F$6:$CC$57,16,),)/1000</f>
        <v>67.193583999999916</v>
      </c>
      <c r="X17" s="50">
        <f t="shared" si="6"/>
        <v>100.84639700000007</v>
      </c>
      <c r="Y17" s="46">
        <f>+[5]대구!$Q$85</f>
        <v>97760</v>
      </c>
      <c r="Z17" s="47">
        <f>+[5]대구!$R$85</f>
        <v>96305.899294419505</v>
      </c>
      <c r="AA17" s="51">
        <f>+[6]대구!$Q$85</f>
        <v>96581.70012475898</v>
      </c>
      <c r="AB17" s="52">
        <f>+[5]대구!$Q$89</f>
        <v>72183.970373775432</v>
      </c>
      <c r="AC17" s="47">
        <f>+[5]대구!$R$89</f>
        <v>73764.09594825744</v>
      </c>
      <c r="AD17" s="53">
        <f>+[6]대구!$Q$89</f>
        <v>72751.844107973229</v>
      </c>
      <c r="AE17" s="52">
        <f t="shared" si="7"/>
        <v>25576.029626224568</v>
      </c>
      <c r="AF17" s="47">
        <f t="shared" si="8"/>
        <v>22541.803346162065</v>
      </c>
      <c r="AG17" s="53">
        <f t="shared" si="9"/>
        <v>23829.85601678575</v>
      </c>
      <c r="AH17" s="18"/>
      <c r="AI17" s="19"/>
      <c r="AJ17" s="96"/>
    </row>
    <row r="18" spans="2:38" s="8" customFormat="1" ht="19.5" customHeight="1" x14ac:dyDescent="0.3">
      <c r="B18" s="8" t="s">
        <v>88</v>
      </c>
      <c r="G18" s="663" t="str">
        <f t="shared" si="1"/>
        <v>울산</v>
      </c>
      <c r="H18" s="80"/>
      <c r="I18" s="83" t="s">
        <v>80</v>
      </c>
      <c r="J18" s="10">
        <f>+IFERROR(HLOOKUP($B18,'[1]12월'!$D$6:$BN$259,2,),)/1000</f>
        <v>12</v>
      </c>
      <c r="K18" s="11">
        <f>+IFERROR(HLOOKUP($B18,'[2]12월'!$F$6:$CP$99,2,),)/1000</f>
        <v>12.451000000000001</v>
      </c>
      <c r="L18" s="12">
        <f t="shared" si="0"/>
        <v>0.45100000000000051</v>
      </c>
      <c r="M18" s="13">
        <f>+IFERROR(HLOOKUP($B18,'[3]12월'!$F$6:$CC$57,2,),)/1000</f>
        <v>6.7270000000000003</v>
      </c>
      <c r="N18" s="14">
        <f t="shared" si="2"/>
        <v>5.7240000000000002</v>
      </c>
      <c r="O18" s="10">
        <f>+IFERROR(HLOOKUP($B18,'[1]12월'!$D$6:$BN$259,3,),)/1000</f>
        <v>1215.1903</v>
      </c>
      <c r="P18" s="11">
        <f>+IFERROR(HLOOKUP($B18,'[2]12월'!$F$6:$CP$99,3,),)/1000</f>
        <v>1273.3891000000001</v>
      </c>
      <c r="Q18" s="12">
        <f t="shared" si="3"/>
        <v>58.198800000000119</v>
      </c>
      <c r="R18" s="13">
        <f>+IFERROR(HLOOKUP($B18,'[3]12월'!$F$6:$CC$57,3,),)/1000</f>
        <v>673.84924999999998</v>
      </c>
      <c r="S18" s="14">
        <f t="shared" si="4"/>
        <v>599.53985000000011</v>
      </c>
      <c r="T18" s="10">
        <f>+IFERROR(HLOOKUP($B18,'[1]12월'!$D$6:$BN$259,16,),)/1000</f>
        <v>108.93391372030091</v>
      </c>
      <c r="U18" s="11">
        <f>+IFERROR(HLOOKUP($B18,'[2]12월'!$F$6:$CP$99,16,),)/1000</f>
        <v>24.366226000000118</v>
      </c>
      <c r="V18" s="12">
        <f t="shared" si="5"/>
        <v>-84.567687720300796</v>
      </c>
      <c r="W18" s="13">
        <f>+IFERROR(HLOOKUP($B18,'[3]12월'!$F$6:$CC$57,16,),)/1000</f>
        <v>-94.482643999999993</v>
      </c>
      <c r="X18" s="14">
        <f t="shared" si="6"/>
        <v>118.84887000000012</v>
      </c>
      <c r="Y18" s="10">
        <f>+[5]울산!$Q$85</f>
        <v>101265.85833333334</v>
      </c>
      <c r="Z18" s="11">
        <f>+[5]울산!$R$85</f>
        <v>102272.03437474903</v>
      </c>
      <c r="AA18" s="15">
        <f>+[6]울산!$Q$85</f>
        <v>100170.84138546156</v>
      </c>
      <c r="AB18" s="16">
        <f>+[5]울산!$Q$89</f>
        <v>80550.788769878622</v>
      </c>
      <c r="AC18" s="11">
        <f>+[5]울산!$R$89</f>
        <v>84277.211324083735</v>
      </c>
      <c r="AD18" s="17">
        <f>+[6]울산!$Q$89</f>
        <v>81166.34145978892</v>
      </c>
      <c r="AE18" s="16">
        <f t="shared" si="7"/>
        <v>20715.069563454716</v>
      </c>
      <c r="AF18" s="11">
        <f t="shared" si="8"/>
        <v>17994.823050665291</v>
      </c>
      <c r="AG18" s="17">
        <f t="shared" si="9"/>
        <v>19004.499925672644</v>
      </c>
      <c r="AH18" s="18"/>
      <c r="AI18" s="19"/>
      <c r="AJ18" s="96"/>
    </row>
    <row r="19" spans="2:38" s="8" customFormat="1" ht="19.5" customHeight="1" x14ac:dyDescent="0.3">
      <c r="B19" s="8" t="s">
        <v>85</v>
      </c>
      <c r="G19" s="663" t="str">
        <f t="shared" si="1"/>
        <v>아산</v>
      </c>
      <c r="H19" s="80"/>
      <c r="I19" s="81" t="s">
        <v>31</v>
      </c>
      <c r="J19" s="46">
        <f>+IFERROR(HLOOKUP($B19,'[1]12월'!$D$6:$BN$259,2,),)/1000</f>
        <v>27</v>
      </c>
      <c r="K19" s="47">
        <f>+IFERROR(HLOOKUP($B19,'[2]12월'!$F$6:$CP$99,2,),)/1000</f>
        <v>22.731999999999999</v>
      </c>
      <c r="L19" s="48">
        <f t="shared" si="0"/>
        <v>-4.2680000000000007</v>
      </c>
      <c r="M19" s="49">
        <f>+IFERROR(HLOOKUP($B19,'[3]12월'!$F$6:$CC$57,2,),)/1000</f>
        <v>21.023</v>
      </c>
      <c r="N19" s="50">
        <f t="shared" si="2"/>
        <v>1.7089999999999996</v>
      </c>
      <c r="O19" s="46">
        <f>+IFERROR(HLOOKUP($B19,'[1]12월'!$D$6:$BN$259,3,),)/1000</f>
        <v>2727</v>
      </c>
      <c r="P19" s="47">
        <f>+IFERROR(HLOOKUP($B19,'[2]12월'!$F$6:$CP$99,3,),)/1000</f>
        <v>2299.4823020000003</v>
      </c>
      <c r="Q19" s="48">
        <f t="shared" si="3"/>
        <v>-427.51769799999965</v>
      </c>
      <c r="R19" s="49">
        <f>+IFERROR(HLOOKUP($B19,'[3]12월'!$F$6:$CC$57,3,),)/1000</f>
        <v>2021.2951</v>
      </c>
      <c r="S19" s="50">
        <f t="shared" si="4"/>
        <v>278.1872020000003</v>
      </c>
      <c r="T19" s="46">
        <f>+IFERROR(HLOOKUP($B19,'[1]12월'!$D$6:$BN$259,16,),)/1000</f>
        <v>380.38224727190726</v>
      </c>
      <c r="U19" s="47">
        <f>+IFERROR(HLOOKUP($B19,'[2]12월'!$F$6:$CP$99,16,),)/1000</f>
        <v>58.469241000000345</v>
      </c>
      <c r="V19" s="48">
        <f t="shared" si="5"/>
        <v>-321.91300627190691</v>
      </c>
      <c r="W19" s="49">
        <f>+IFERROR(HLOOKUP($B19,'[3]12월'!$F$6:$CC$57,16,),)/1000</f>
        <v>8.6182310000001898</v>
      </c>
      <c r="X19" s="50">
        <f t="shared" si="6"/>
        <v>49.851010000000159</v>
      </c>
      <c r="Y19" s="46">
        <f>+[5]아산!$Q$85</f>
        <v>101000</v>
      </c>
      <c r="Z19" s="47">
        <f>+[5]아산!$R$85</f>
        <v>101156.18080239311</v>
      </c>
      <c r="AA19" s="51">
        <f>+[6]아산!$Q$85</f>
        <v>95785.01921860555</v>
      </c>
      <c r="AB19" s="52">
        <f>+[5]아산!$Q$89</f>
        <v>79449.485635149569</v>
      </c>
      <c r="AC19" s="47">
        <f>+[5]아산!$R$89</f>
        <v>85004.173787554129</v>
      </c>
      <c r="AD19" s="53">
        <f>+[6]아산!$Q$89</f>
        <v>77943.485529451806</v>
      </c>
      <c r="AE19" s="52">
        <f t="shared" si="7"/>
        <v>21550.514364850431</v>
      </c>
      <c r="AF19" s="47">
        <f t="shared" si="8"/>
        <v>16152.007014838979</v>
      </c>
      <c r="AG19" s="53">
        <f t="shared" si="9"/>
        <v>17841.533689153744</v>
      </c>
      <c r="AH19" s="18"/>
      <c r="AI19" s="19"/>
      <c r="AJ19" s="96"/>
    </row>
    <row r="20" spans="2:38" s="8" customFormat="1" ht="19.5" customHeight="1" x14ac:dyDescent="0.3">
      <c r="B20" s="8" t="s">
        <v>81</v>
      </c>
      <c r="G20" s="663" t="str">
        <f t="shared" si="1"/>
        <v>전주</v>
      </c>
      <c r="H20" s="80"/>
      <c r="I20" s="81" t="s">
        <v>81</v>
      </c>
      <c r="J20" s="46">
        <f>+IFERROR(HLOOKUP($B20,'[1]12월'!$D$6:$BN$259,2,),)/1000</f>
        <v>11</v>
      </c>
      <c r="K20" s="47">
        <f>+IFERROR(HLOOKUP($B20,'[2]12월'!$F$6:$CP$99,2,),)/1000</f>
        <v>10.326000000000001</v>
      </c>
      <c r="L20" s="48">
        <f t="shared" si="0"/>
        <v>-0.67399999999999949</v>
      </c>
      <c r="M20" s="49">
        <f>+IFERROR(HLOOKUP($B20,'[3]12월'!$F$6:$CC$57,2,),)/1000</f>
        <v>11.59</v>
      </c>
      <c r="N20" s="50">
        <f t="shared" si="2"/>
        <v>-1.2639999999999993</v>
      </c>
      <c r="O20" s="46">
        <f>+IFERROR(HLOOKUP($B20,'[1]12월'!$D$6:$BN$259,3,),)/1000</f>
        <v>1127.8312599999997</v>
      </c>
      <c r="P20" s="47">
        <f>+IFERROR(HLOOKUP($B20,'[2]12월'!$F$6:$CP$99,3,),)/1000</f>
        <v>1002.051928</v>
      </c>
      <c r="Q20" s="48">
        <f t="shared" si="3"/>
        <v>-125.77933199999973</v>
      </c>
      <c r="R20" s="49">
        <f>+IFERROR(HLOOKUP($B20,'[3]12월'!$F$6:$CC$57,3,),)/1000</f>
        <v>1081.6514</v>
      </c>
      <c r="S20" s="50">
        <f t="shared" si="4"/>
        <v>-79.599471999999992</v>
      </c>
      <c r="T20" s="46">
        <f>+IFERROR(HLOOKUP($B20,'[1]12월'!$D$6:$BN$259,16,),)/1000</f>
        <v>185.50495106531176</v>
      </c>
      <c r="U20" s="47">
        <f>+IFERROR(HLOOKUP($B20,'[2]12월'!$F$6:$CP$99,16,),)/1000</f>
        <v>10.653326999999878</v>
      </c>
      <c r="V20" s="48">
        <f t="shared" si="5"/>
        <v>-174.85162406531188</v>
      </c>
      <c r="W20" s="49">
        <f>+IFERROR(HLOOKUP($B20,'[3]12월'!$F$6:$CC$57,16,),)/1000</f>
        <v>36.652520999999879</v>
      </c>
      <c r="X20" s="50">
        <f t="shared" si="6"/>
        <v>-25.999194000000003</v>
      </c>
      <c r="Y20" s="46">
        <f>+[5]전주!$Q$85</f>
        <v>102530.11454545452</v>
      </c>
      <c r="Z20" s="47">
        <f>+[5]전주!$R$85</f>
        <v>97041.635483246166</v>
      </c>
      <c r="AA20" s="51">
        <f>+[6]전주!$Q$85</f>
        <v>93361.374469191433</v>
      </c>
      <c r="AB20" s="52">
        <f>+[5]전주!$Q$89</f>
        <v>73002.693859136416</v>
      </c>
      <c r="AC20" s="47">
        <f>+[5]전주!$R$89</f>
        <v>74828.152624443159</v>
      </c>
      <c r="AD20" s="53">
        <f>+[6]전주!$Q$89</f>
        <v>68175.180864892973</v>
      </c>
      <c r="AE20" s="52">
        <f t="shared" si="7"/>
        <v>29527.420686318103</v>
      </c>
      <c r="AF20" s="47">
        <f t="shared" si="8"/>
        <v>22213.482858803007</v>
      </c>
      <c r="AG20" s="53">
        <f t="shared" si="9"/>
        <v>25186.19360429846</v>
      </c>
      <c r="AH20" s="18"/>
      <c r="AI20" s="19"/>
      <c r="AJ20" s="96"/>
    </row>
    <row r="21" spans="2:38" s="8" customFormat="1" ht="19.5" customHeight="1" x14ac:dyDescent="0.3">
      <c r="B21" s="8" t="s">
        <v>82</v>
      </c>
      <c r="G21" s="663" t="str">
        <f t="shared" si="1"/>
        <v>군산</v>
      </c>
      <c r="H21" s="80"/>
      <c r="I21" s="81" t="s">
        <v>82</v>
      </c>
      <c r="J21" s="46">
        <f>+IFERROR(HLOOKUP($B21,'[1]12월'!$D$6:$BN$259,2,),)/1000</f>
        <v>7</v>
      </c>
      <c r="K21" s="47">
        <f>+IFERROR(HLOOKUP($B21,'[2]12월'!$F$6:$CP$99,2,),)/1000</f>
        <v>5.6079999999999997</v>
      </c>
      <c r="L21" s="48">
        <f t="shared" si="0"/>
        <v>-1.3920000000000003</v>
      </c>
      <c r="M21" s="49">
        <f>+IFERROR(HLOOKUP($B21,'[3]12월'!$F$6:$CC$57,2,),)/1000</f>
        <v>5.0555000000000003</v>
      </c>
      <c r="N21" s="50">
        <f t="shared" si="2"/>
        <v>0.55249999999999932</v>
      </c>
      <c r="O21" s="46">
        <f>+IFERROR(HLOOKUP($B21,'[1]12월'!$D$6:$BN$259,3,),)/1000</f>
        <v>762.99902899999995</v>
      </c>
      <c r="P21" s="47">
        <f>+IFERROR(HLOOKUP($B21,'[2]12월'!$F$6:$CP$99,3,),)/1000</f>
        <v>597.35400000000004</v>
      </c>
      <c r="Q21" s="48">
        <f t="shared" si="3"/>
        <v>-165.64502899999991</v>
      </c>
      <c r="R21" s="49">
        <f>+IFERROR(HLOOKUP($B21,'[3]12월'!$F$6:$CC$57,3,),)/1000</f>
        <v>527.68332200000009</v>
      </c>
      <c r="S21" s="50">
        <f t="shared" si="4"/>
        <v>69.670677999999953</v>
      </c>
      <c r="T21" s="46">
        <f>+IFERROR(HLOOKUP($B21,'[1]12월'!$D$6:$BN$259,16,),)/1000</f>
        <v>192.641601840601</v>
      </c>
      <c r="U21" s="47">
        <f>+IFERROR(HLOOKUP($B21,'[2]12월'!$F$6:$CP$99,16,),)/1000</f>
        <v>80.152253999999999</v>
      </c>
      <c r="V21" s="48">
        <f t="shared" si="5"/>
        <v>-112.489347840601</v>
      </c>
      <c r="W21" s="49">
        <f>+IFERROR(HLOOKUP($B21,'[3]12월'!$F$6:$CC$57,16,),)/1000</f>
        <v>34.121359000000041</v>
      </c>
      <c r="X21" s="50">
        <f t="shared" si="6"/>
        <v>46.030894999999958</v>
      </c>
      <c r="Y21" s="46">
        <f>+[5]군산!$Q$85</f>
        <v>108999.86128571429</v>
      </c>
      <c r="Z21" s="47">
        <f>+[5]군산!$R$85</f>
        <v>106518.1883024251</v>
      </c>
      <c r="AA21" s="51">
        <f>+[6]군산!$Q$85</f>
        <v>104623.27217062966</v>
      </c>
      <c r="AB21" s="52">
        <f>+[5]군산!$Q$89</f>
        <v>70884.732734888428</v>
      </c>
      <c r="AC21" s="47">
        <f>+[5]군산!$R$89</f>
        <v>73466.499821683319</v>
      </c>
      <c r="AD21" s="53">
        <f>+[6]군산!$Q$89</f>
        <v>69954.421879783651</v>
      </c>
      <c r="AE21" s="52">
        <f t="shared" si="7"/>
        <v>38115.128550825859</v>
      </c>
      <c r="AF21" s="47">
        <f t="shared" si="8"/>
        <v>33051.688480741781</v>
      </c>
      <c r="AG21" s="53">
        <f t="shared" si="9"/>
        <v>34668.850290846007</v>
      </c>
      <c r="AH21" s="18"/>
      <c r="AI21" s="19"/>
      <c r="AJ21" s="96"/>
    </row>
    <row r="22" spans="2:38" s="8" customFormat="1" ht="19.5" customHeight="1" x14ac:dyDescent="0.3">
      <c r="B22" s="8" t="s">
        <v>83</v>
      </c>
      <c r="G22" s="663" t="str">
        <f t="shared" si="1"/>
        <v>원주</v>
      </c>
      <c r="H22" s="80"/>
      <c r="I22" s="81" t="s">
        <v>83</v>
      </c>
      <c r="J22" s="46">
        <f>+IFERROR(HLOOKUP($B22,'[1]12월'!$D$6:$BN$259,2,),)/1000</f>
        <v>4</v>
      </c>
      <c r="K22" s="47">
        <f>+IFERROR(HLOOKUP($B22,'[2]12월'!$F$6:$CP$99,2,),)/1000</f>
        <v>4.01</v>
      </c>
      <c r="L22" s="48">
        <f t="shared" si="0"/>
        <v>9.9999999999997868E-3</v>
      </c>
      <c r="M22" s="49">
        <f>+IFERROR(HLOOKUP($B22,'[3]12월'!$F$6:$CC$57,2,),)/1000</f>
        <v>6.1890000000000001</v>
      </c>
      <c r="N22" s="50">
        <f t="shared" si="2"/>
        <v>-2.1790000000000003</v>
      </c>
      <c r="O22" s="46">
        <f>+IFERROR(HLOOKUP($B22,'[1]12월'!$D$6:$BN$259,3,),)/1000</f>
        <v>431.6</v>
      </c>
      <c r="P22" s="47">
        <f>+IFERROR(HLOOKUP($B22,'[2]12월'!$F$6:$CP$99,3,),)/1000</f>
        <v>460.86700000000002</v>
      </c>
      <c r="Q22" s="48">
        <f t="shared" si="3"/>
        <v>29.266999999999996</v>
      </c>
      <c r="R22" s="49">
        <f>+IFERROR(HLOOKUP($B22,'[3]12월'!$F$6:$CC$57,3,),)/1000</f>
        <v>648.47725500000001</v>
      </c>
      <c r="S22" s="50">
        <f t="shared" si="4"/>
        <v>-187.610255</v>
      </c>
      <c r="T22" s="46">
        <f>+IFERROR(HLOOKUP($B22,'[1]12월'!$D$6:$BN$259,16,),)/1000</f>
        <v>49.390684017904626</v>
      </c>
      <c r="U22" s="47">
        <f>+IFERROR(HLOOKUP($B22,'[2]12월'!$F$6:$CP$99,16,),)/1000</f>
        <v>39.135276999999988</v>
      </c>
      <c r="V22" s="48">
        <f t="shared" si="5"/>
        <v>-10.255407017904638</v>
      </c>
      <c r="W22" s="49">
        <f>+IFERROR(HLOOKUP($B22,'[3]12월'!$F$6:$CC$57,16,),)/1000</f>
        <v>38.745038000000044</v>
      </c>
      <c r="X22" s="50">
        <f t="shared" si="6"/>
        <v>0.39023899999994427</v>
      </c>
      <c r="Y22" s="46">
        <f>+[5]원주!$Q$85</f>
        <v>107900</v>
      </c>
      <c r="Z22" s="47">
        <f>+[5]원주!$R$85</f>
        <v>114929.42643391521</v>
      </c>
      <c r="AA22" s="51">
        <f>+[6]원주!$Q$85</f>
        <v>104784.90095685748</v>
      </c>
      <c r="AB22" s="52">
        <f>+[5]원주!$Q$89</f>
        <v>75861.900389866205</v>
      </c>
      <c r="AC22" s="47">
        <f>+[5]원주!$R$89</f>
        <v>76446.968079800514</v>
      </c>
      <c r="AD22" s="53">
        <f>+[6]원주!$Q$89</f>
        <v>75081.703206311897</v>
      </c>
      <c r="AE22" s="52">
        <f t="shared" si="7"/>
        <v>32038.099610133795</v>
      </c>
      <c r="AF22" s="47">
        <f t="shared" si="8"/>
        <v>38482.4583541147</v>
      </c>
      <c r="AG22" s="53">
        <f t="shared" si="9"/>
        <v>29703.197750545587</v>
      </c>
      <c r="AH22" s="18"/>
      <c r="AI22" s="19"/>
      <c r="AJ22" s="96"/>
    </row>
    <row r="23" spans="2:38" s="8" customFormat="1" ht="19.5" customHeight="1" x14ac:dyDescent="0.3">
      <c r="B23" s="8" t="s">
        <v>84</v>
      </c>
      <c r="G23" s="661" t="str">
        <f t="shared" si="1"/>
        <v>제주</v>
      </c>
      <c r="H23" s="80"/>
      <c r="I23" s="81" t="s">
        <v>84</v>
      </c>
      <c r="J23" s="46">
        <f>+IFERROR(HLOOKUP($B23,'[1]12월'!$D$6:$BN$259,2,),)/1000</f>
        <v>7</v>
      </c>
      <c r="K23" s="47">
        <f>+IFERROR(HLOOKUP($B23,'[2]12월'!$F$6:$CP$99,2,),)/1000</f>
        <v>5.5875000000000004</v>
      </c>
      <c r="L23" s="48">
        <f t="shared" si="0"/>
        <v>-1.4124999999999996</v>
      </c>
      <c r="M23" s="49">
        <f>+IFERROR(HLOOKUP($B23,'[3]12월'!$F$6:$CC$57,2,),)/1000</f>
        <v>4.9020000000000001</v>
      </c>
      <c r="N23" s="50">
        <f t="shared" si="2"/>
        <v>0.68550000000000022</v>
      </c>
      <c r="O23" s="46">
        <f>+IFERROR(HLOOKUP($B23,'[1]12월'!$D$6:$BN$259,3,),)/1000</f>
        <v>888.3</v>
      </c>
      <c r="P23" s="47">
        <f>+IFERROR(HLOOKUP($B23,'[2]12월'!$F$6:$CP$99,3,),)/1000</f>
        <v>668.43715199999997</v>
      </c>
      <c r="Q23" s="48">
        <f t="shared" si="3"/>
        <v>-219.86284799999999</v>
      </c>
      <c r="R23" s="49">
        <f>+IFERROR(HLOOKUP($B23,'[3]12월'!$F$6:$CC$57,3,),)/1000</f>
        <v>579.44633099999999</v>
      </c>
      <c r="S23" s="50">
        <f t="shared" si="4"/>
        <v>88.990820999999983</v>
      </c>
      <c r="T23" s="46">
        <f>+IFERROR(HLOOKUP($B23,'[1]12월'!$D$6:$BN$259,16,),)/1000</f>
        <v>161.64137545150891</v>
      </c>
      <c r="U23" s="47">
        <f>+IFERROR(HLOOKUP($B23,'[2]12월'!$F$6:$CP$99,16,),)/1000</f>
        <v>49.681542999999991</v>
      </c>
      <c r="V23" s="48">
        <f t="shared" si="5"/>
        <v>-111.95983245150892</v>
      </c>
      <c r="W23" s="49">
        <f>+IFERROR(HLOOKUP($B23,'[3]12월'!$F$6:$CC$57,16,),)/1000</f>
        <v>-5.7622150000000127</v>
      </c>
      <c r="X23" s="50">
        <f t="shared" si="6"/>
        <v>55.443758000000003</v>
      </c>
      <c r="Y23" s="46">
        <f>+[5]제주!$Q$85</f>
        <v>126900</v>
      </c>
      <c r="Z23" s="47">
        <f>+[5]제주!$R$85</f>
        <v>119630.81020134229</v>
      </c>
      <c r="AA23" s="51">
        <f>+[6]제주!$Q$85</f>
        <v>118206.10587515299</v>
      </c>
      <c r="AB23" s="52">
        <f>+[5]제주!$Q$89</f>
        <v>91213.271815179265</v>
      </c>
      <c r="AC23" s="47">
        <f>+[5]제주!$R$89</f>
        <v>89066.435062036966</v>
      </c>
      <c r="AD23" s="53">
        <f>+[6]제주!$Q$89</f>
        <v>87458.101387188915</v>
      </c>
      <c r="AE23" s="52">
        <f t="shared" si="7"/>
        <v>35686.728184820735</v>
      </c>
      <c r="AF23" s="47">
        <f t="shared" si="8"/>
        <v>30564.375139305324</v>
      </c>
      <c r="AG23" s="53">
        <f t="shared" si="9"/>
        <v>30748.004487964077</v>
      </c>
      <c r="AH23" s="18"/>
      <c r="AI23" s="19"/>
      <c r="AJ23" s="96"/>
    </row>
    <row r="24" spans="2:38" s="8" customFormat="1" ht="19.5" customHeight="1" x14ac:dyDescent="0.3">
      <c r="G24" s="664" t="str">
        <f t="shared" si="1"/>
        <v>수도권</v>
      </c>
      <c r="H24" s="80"/>
      <c r="I24" s="84" t="s">
        <v>48</v>
      </c>
      <c r="J24" s="23">
        <f>SUM(J7:J10)</f>
        <v>113.5</v>
      </c>
      <c r="K24" s="20">
        <f>SUM(K7:K10)</f>
        <v>94.753499999999988</v>
      </c>
      <c r="L24" s="21">
        <f t="shared" si="0"/>
        <v>-18.746500000000012</v>
      </c>
      <c r="M24" s="25">
        <f>SUM(M7:M10)</f>
        <v>105.13999999999999</v>
      </c>
      <c r="N24" s="22">
        <f t="shared" si="2"/>
        <v>-10.386499999999998</v>
      </c>
      <c r="O24" s="23">
        <f>SUM(O7:O10)</f>
        <v>11621.590771253803</v>
      </c>
      <c r="P24" s="20">
        <f>SUM(P7:P10)</f>
        <v>9072.3340189999999</v>
      </c>
      <c r="Q24" s="21">
        <f t="shared" si="3"/>
        <v>-2549.2567522538029</v>
      </c>
      <c r="R24" s="25">
        <f>SUM(R7:R10)</f>
        <v>10211.659224000001</v>
      </c>
      <c r="S24" s="22">
        <f t="shared" si="4"/>
        <v>-1139.325205000001</v>
      </c>
      <c r="T24" s="23">
        <f>SUM(T7:T10)</f>
        <v>1604.9216632457421</v>
      </c>
      <c r="U24" s="20">
        <f>SUM(U7:U10)</f>
        <v>-204.5360469999996</v>
      </c>
      <c r="V24" s="21">
        <f t="shared" si="5"/>
        <v>-1809.4577102457417</v>
      </c>
      <c r="W24" s="25">
        <f>SUM(W7:W10)</f>
        <v>-203.09542998999981</v>
      </c>
      <c r="X24" s="22">
        <f t="shared" si="6"/>
        <v>-1.4406170099997837</v>
      </c>
      <c r="Y24" s="23">
        <f>+[5]수도권!$Q$85</f>
        <v>102392.87023131106</v>
      </c>
      <c r="Z24" s="20">
        <f>+[5]수도권!$R$85</f>
        <v>95753.182837259141</v>
      </c>
      <c r="AA24" s="24">
        <f>+[6]수도권!$Q$85</f>
        <v>97106.846945098514</v>
      </c>
      <c r="AB24" s="29">
        <f>+[5]수도권!$Q$89</f>
        <v>79958.056096196276</v>
      </c>
      <c r="AC24" s="20">
        <f>+[5]수도권!$R$89</f>
        <v>83930.890743174416</v>
      </c>
      <c r="AD24" s="30">
        <f>+[6]수도권!$Q$89</f>
        <v>81709.416792918462</v>
      </c>
      <c r="AE24" s="29">
        <f t="shared" si="7"/>
        <v>22434.814135114779</v>
      </c>
      <c r="AF24" s="20">
        <f t="shared" si="8"/>
        <v>11822.292094084725</v>
      </c>
      <c r="AG24" s="30">
        <f t="shared" si="9"/>
        <v>15397.430152180052</v>
      </c>
      <c r="AH24" s="18"/>
      <c r="AI24" s="19"/>
      <c r="AJ24" s="96"/>
    </row>
    <row r="25" spans="2:38" s="8" customFormat="1" ht="19.5" customHeight="1" x14ac:dyDescent="0.3">
      <c r="G25" s="661" t="str">
        <f t="shared" si="1"/>
        <v>영남권</v>
      </c>
      <c r="H25" s="80"/>
      <c r="I25" s="84" t="s">
        <v>49</v>
      </c>
      <c r="J25" s="23">
        <f>SUM(J11:J18)</f>
        <v>138</v>
      </c>
      <c r="K25" s="20">
        <f>SUM(K11:K18)</f>
        <v>129.27199999999999</v>
      </c>
      <c r="L25" s="21">
        <f t="shared" si="0"/>
        <v>-8.7280000000000086</v>
      </c>
      <c r="M25" s="25">
        <f>SUM(M11:M18)</f>
        <v>130.01</v>
      </c>
      <c r="N25" s="22">
        <f t="shared" si="2"/>
        <v>-0.73799999999999955</v>
      </c>
      <c r="O25" s="23">
        <f>SUM(O11:O18)</f>
        <v>14160.649552000001</v>
      </c>
      <c r="P25" s="20">
        <f>SUM(P11:P18)</f>
        <v>13072.182614000001</v>
      </c>
      <c r="Q25" s="21">
        <f t="shared" si="3"/>
        <v>-1088.4669379999996</v>
      </c>
      <c r="R25" s="25">
        <f>SUM(R11:R18)</f>
        <v>12772.024754999999</v>
      </c>
      <c r="S25" s="22">
        <f t="shared" si="4"/>
        <v>300.15785900000265</v>
      </c>
      <c r="T25" s="23">
        <f>SUM(T11:T18)</f>
        <v>2073.5980642750105</v>
      </c>
      <c r="U25" s="20">
        <f>SUM(U11:U18)</f>
        <v>534.66819099999987</v>
      </c>
      <c r="V25" s="21">
        <f t="shared" si="5"/>
        <v>-1538.9298732750108</v>
      </c>
      <c r="W25" s="25">
        <f>SUM(W11:W18)</f>
        <v>-61.669156000000029</v>
      </c>
      <c r="X25" s="22">
        <f t="shared" si="6"/>
        <v>596.33734699999991</v>
      </c>
      <c r="Y25" s="23">
        <f>+[5]영남권!$Q$85</f>
        <v>102613.40255072464</v>
      </c>
      <c r="Z25" s="20">
        <f>+[5]영남권!$R$85</f>
        <v>101138.01594527731</v>
      </c>
      <c r="AA25" s="24">
        <f>+[6]영남권!$Q$85</f>
        <v>98238.787439427731</v>
      </c>
      <c r="AB25" s="29">
        <f>+[5]영남권!$Q$89</f>
        <v>77244.330003543233</v>
      </c>
      <c r="AC25" s="20">
        <f>+[5]영남권!$R$89</f>
        <v>81325.206744175419</v>
      </c>
      <c r="AD25" s="30">
        <f>+[6]영남권!$Q$89</f>
        <v>78500.132262356099</v>
      </c>
      <c r="AE25" s="29">
        <f t="shared" si="7"/>
        <v>25369.072547181408</v>
      </c>
      <c r="AF25" s="20">
        <f t="shared" si="8"/>
        <v>19812.809201101889</v>
      </c>
      <c r="AG25" s="30">
        <f t="shared" si="9"/>
        <v>19738.655177071632</v>
      </c>
      <c r="AH25" s="18"/>
      <c r="AI25" s="19"/>
      <c r="AJ25" s="96"/>
    </row>
    <row r="26" spans="2:38" s="8" customFormat="1" ht="19.5" customHeight="1" x14ac:dyDescent="0.3">
      <c r="G26" s="661" t="str">
        <f t="shared" si="1"/>
        <v>중부권</v>
      </c>
      <c r="H26" s="80"/>
      <c r="I26" s="84" t="s">
        <v>138</v>
      </c>
      <c r="J26" s="23">
        <f>SUM(J19:J23)</f>
        <v>56</v>
      </c>
      <c r="K26" s="20">
        <f>SUM(K19:K23)</f>
        <v>48.263499999999993</v>
      </c>
      <c r="L26" s="21">
        <f t="shared" si="0"/>
        <v>-7.7365000000000066</v>
      </c>
      <c r="M26" s="25">
        <f>SUM(M19:M23)</f>
        <v>48.759500000000003</v>
      </c>
      <c r="N26" s="22">
        <f t="shared" si="2"/>
        <v>-0.49600000000000932</v>
      </c>
      <c r="O26" s="23">
        <f>SUM(O19:O23)</f>
        <v>5937.7302890000001</v>
      </c>
      <c r="P26" s="20">
        <f>SUM(P19:P23)</f>
        <v>5028.1923820000011</v>
      </c>
      <c r="Q26" s="21">
        <f t="shared" si="3"/>
        <v>-909.537906999999</v>
      </c>
      <c r="R26" s="25">
        <f>SUM(R19:R23)</f>
        <v>4858.5534079999998</v>
      </c>
      <c r="S26" s="22">
        <f t="shared" si="4"/>
        <v>169.63897400000133</v>
      </c>
      <c r="T26" s="23">
        <f>SUM(T19:T23)</f>
        <v>969.56085964723354</v>
      </c>
      <c r="U26" s="20">
        <f>SUM(U19:U23)</f>
        <v>238.09164200000021</v>
      </c>
      <c r="V26" s="21">
        <f t="shared" si="5"/>
        <v>-731.46921764723334</v>
      </c>
      <c r="W26" s="25">
        <f>SUM(W19:W23)</f>
        <v>112.37493400000015</v>
      </c>
      <c r="X26" s="22">
        <f t="shared" si="6"/>
        <v>125.71670800000005</v>
      </c>
      <c r="Y26" s="23">
        <f>+[5]중부권!$Q$85</f>
        <v>106030.89801785714</v>
      </c>
      <c r="Z26" s="20">
        <f>+[5]중부권!$R$85</f>
        <v>104182.09168419198</v>
      </c>
      <c r="AA26" s="24">
        <f>+[6]중부권!$Q$85</f>
        <v>99522.84945820838</v>
      </c>
      <c r="AB26" s="29">
        <f>+[5]중부권!$Q$89</f>
        <v>78326.774607312109</v>
      </c>
      <c r="AC26" s="20">
        <f>+[5]중부권!$R$89</f>
        <v>81258.436457526477</v>
      </c>
      <c r="AD26" s="30">
        <f>+[6]중부권!$Q$89</f>
        <v>75388.641877278933</v>
      </c>
      <c r="AE26" s="29">
        <f t="shared" si="7"/>
        <v>27704.123410545028</v>
      </c>
      <c r="AF26" s="20">
        <f t="shared" si="8"/>
        <v>22923.655226665505</v>
      </c>
      <c r="AG26" s="30">
        <f t="shared" si="9"/>
        <v>24134.207580929447</v>
      </c>
      <c r="AH26" s="18"/>
      <c r="AI26" s="19"/>
      <c r="AJ26" s="96"/>
    </row>
    <row r="27" spans="2:38" s="3" customFormat="1" ht="19.5" customHeight="1" x14ac:dyDescent="0.3">
      <c r="B27" s="26"/>
      <c r="G27" s="663">
        <f>+K27/J27</f>
        <v>0.88549268292682926</v>
      </c>
      <c r="H27" s="500" t="s">
        <v>103</v>
      </c>
      <c r="I27" s="501"/>
      <c r="J27" s="502">
        <f>SUM(J24:J26)</f>
        <v>307.5</v>
      </c>
      <c r="K27" s="503">
        <f>SUM(K24:K26)</f>
        <v>272.28899999999999</v>
      </c>
      <c r="L27" s="504">
        <f t="shared" ref="L27:L32" si="10">+K27-J27</f>
        <v>-35.211000000000013</v>
      </c>
      <c r="M27" s="505">
        <f>SUM(M24:M26)</f>
        <v>283.90949999999998</v>
      </c>
      <c r="N27" s="506">
        <f t="shared" ref="N27:N32" si="11">+K27-M27</f>
        <v>-11.620499999999993</v>
      </c>
      <c r="O27" s="502">
        <f>SUM(O24:O26)</f>
        <v>31719.970612253805</v>
      </c>
      <c r="P27" s="503">
        <f>SUM(P24:P26)</f>
        <v>27172.709015</v>
      </c>
      <c r="Q27" s="504">
        <f t="shared" ref="Q27:Q43" si="12">+P27-O27</f>
        <v>-4547.2615972538042</v>
      </c>
      <c r="R27" s="505">
        <f>SUM(R24:R26)</f>
        <v>27842.237387000001</v>
      </c>
      <c r="S27" s="506">
        <f t="shared" ref="S27:S34" si="13">+P27-R27</f>
        <v>-669.52837200000067</v>
      </c>
      <c r="T27" s="502">
        <f>SUM(T24:T26)</f>
        <v>4648.0805871679868</v>
      </c>
      <c r="U27" s="503">
        <f>SUM(U24:U26)</f>
        <v>568.22378600000047</v>
      </c>
      <c r="V27" s="504">
        <f t="shared" ref="V27:V32" si="14">+U27-T27</f>
        <v>-4079.8568011679863</v>
      </c>
      <c r="W27" s="505">
        <f>SUM(W24:W26)</f>
        <v>-152.38965198999966</v>
      </c>
      <c r="X27" s="506">
        <f t="shared" ref="X27:X32" si="15">+U27-W27</f>
        <v>720.61343799000019</v>
      </c>
      <c r="Y27" s="502">
        <f>+[5]합계!$Q$85</f>
        <v>103154.37597480913</v>
      </c>
      <c r="Z27" s="503">
        <f>+[5]합계!$R$85</f>
        <v>99802.989779255455</v>
      </c>
      <c r="AA27" s="507">
        <f>+[6]합계!$Q$85</f>
        <v>98036.160975394087</v>
      </c>
      <c r="AB27" s="508">
        <f>+[5]합계!$Q$89</f>
        <v>78443.109871273904</v>
      </c>
      <c r="AC27" s="503">
        <f>+[5]합계!$R$89</f>
        <v>82213.021920394152</v>
      </c>
      <c r="AD27" s="509">
        <f>+[6]합계!$Q$89</f>
        <v>79164.481370373964</v>
      </c>
      <c r="AE27" s="508">
        <f t="shared" si="7"/>
        <v>24711.266103535221</v>
      </c>
      <c r="AF27" s="503">
        <f t="shared" si="8"/>
        <v>17589.967858861302</v>
      </c>
      <c r="AG27" s="509">
        <f t="shared" si="9"/>
        <v>18871.679605020123</v>
      </c>
      <c r="AH27" s="27"/>
      <c r="AI27" s="28"/>
      <c r="AJ27" s="96"/>
      <c r="AL27" s="26"/>
    </row>
    <row r="28" spans="2:38" s="8" customFormat="1" ht="19.5" customHeight="1" x14ac:dyDescent="0.3">
      <c r="B28" s="8" t="s">
        <v>158</v>
      </c>
      <c r="E28" s="8" t="s">
        <v>167</v>
      </c>
      <c r="G28" s="661" t="s">
        <v>3</v>
      </c>
      <c r="H28" s="706" t="s">
        <v>55</v>
      </c>
      <c r="I28" s="707"/>
      <c r="J28" s="167">
        <f>+IFERROR(HLOOKUP($B28,'[1]12월'!$D$6:$BN$259,2,),)</f>
        <v>8600</v>
      </c>
      <c r="K28" s="168">
        <f>+IFERROR(HLOOKUP($E28,'[2]12월'!$F$6:$CP$99,2,),)</f>
        <v>8003.0569999999998</v>
      </c>
      <c r="L28" s="169">
        <f>+K28-J28</f>
        <v>-596.94300000000021</v>
      </c>
      <c r="M28" s="170">
        <f>+IFERROR(HLOOKUP($E28,'[3]12월'!$F$6:$CC$57,2,),)</f>
        <v>7811.91</v>
      </c>
      <c r="N28" s="171">
        <f>+K28-M28</f>
        <v>191.14699999999993</v>
      </c>
      <c r="O28" s="167">
        <f>+IFERROR(HLOOKUP($B28,'[1]12월'!$D$6:$BN$259,3,),)/1000</f>
        <v>10504.631578947367</v>
      </c>
      <c r="P28" s="168">
        <f>+IFERROR(HLOOKUP($E28,'[2]12월'!$F$6:$CP$99,3,),)/1000</f>
        <v>7445.9016059999994</v>
      </c>
      <c r="Q28" s="169">
        <f>+P28-O28</f>
        <v>-3058.7299729473671</v>
      </c>
      <c r="R28" s="170">
        <f>+IFERROR(HLOOKUP($E28,'[3]12월'!$F$6:$CC$57,3,),)/1000</f>
        <v>9622.7531649999983</v>
      </c>
      <c r="S28" s="171">
        <f t="shared" si="13"/>
        <v>-2176.8515589999988</v>
      </c>
      <c r="T28" s="167">
        <f>+IFERROR(HLOOKUP($B28,'[1]12월'!$D$6:$BN$259,16,),)/1000</f>
        <v>139.04024631578758</v>
      </c>
      <c r="U28" s="168">
        <f>+IFERROR(HLOOKUP($E28,'[2]12월'!$F$6:$CP$99,16,),)/1000</f>
        <v>-101.1020730000008</v>
      </c>
      <c r="V28" s="169">
        <f t="shared" si="14"/>
        <v>-240.14231931578837</v>
      </c>
      <c r="W28" s="170">
        <f>+IFERROR(HLOOKUP($E28,'[3]12월'!$F$6:$CC$57,16,),)/1000</f>
        <v>-86.633557000000565</v>
      </c>
      <c r="X28" s="171">
        <f t="shared" si="15"/>
        <v>-14.468516000000236</v>
      </c>
      <c r="Y28" s="520" t="s">
        <v>141</v>
      </c>
      <c r="Z28" s="521"/>
      <c r="AA28" s="521"/>
      <c r="AB28" s="521"/>
      <c r="AC28" s="521"/>
      <c r="AD28" s="521"/>
      <c r="AE28" s="521"/>
      <c r="AF28" s="521"/>
      <c r="AG28" s="522"/>
      <c r="AH28" s="18"/>
      <c r="AI28" s="19"/>
    </row>
    <row r="29" spans="2:38" s="8" customFormat="1" ht="19.5" customHeight="1" x14ac:dyDescent="0.3">
      <c r="B29" s="8" t="s">
        <v>159</v>
      </c>
      <c r="C29" s="79" t="s">
        <v>53</v>
      </c>
      <c r="G29" s="662" t="str">
        <f>+I29</f>
        <v>부산모래장</v>
      </c>
      <c r="H29" s="86" t="s">
        <v>52</v>
      </c>
      <c r="I29" s="81" t="s">
        <v>159</v>
      </c>
      <c r="J29" s="56">
        <f>+IFERROR(HLOOKUP($B29,'[1]12월'!$D$6:$BN$259,2,),)/1000</f>
        <v>28.532457621864594</v>
      </c>
      <c r="K29" s="57">
        <f>+IFERROR(HLOOKUP($C29,'[2]12월'!$F$6:$CP$99,2,),)/1000</f>
        <v>23.035</v>
      </c>
      <c r="L29" s="38">
        <f t="shared" si="10"/>
        <v>-5.4974576218645943</v>
      </c>
      <c r="M29" s="38">
        <f>+IFERROR(HLOOKUP($C29,'[3]12월'!$F$6:$CC$57,2,),)/1000</f>
        <v>24.923999999999999</v>
      </c>
      <c r="N29" s="58">
        <f t="shared" si="11"/>
        <v>-1.8889999999999993</v>
      </c>
      <c r="O29" s="56">
        <f>+IFERROR(HLOOKUP($B29,'[1]12월'!$D$6:$BN$259,3,),)/1000</f>
        <v>811.06467774659041</v>
      </c>
      <c r="P29" s="57">
        <f>+IFERROR(HLOOKUP($C29,'[2]12월'!$F$6:$CP$99,3,),)/1000</f>
        <v>638.33299999999997</v>
      </c>
      <c r="Q29" s="38">
        <f t="shared" si="12"/>
        <v>-172.73167774659044</v>
      </c>
      <c r="R29" s="38">
        <f>+IFERROR(HLOOKUP($C29,'[3]12월'!$F$6:$CC$57,3,),)/1000</f>
        <v>710.71299999999997</v>
      </c>
      <c r="S29" s="58">
        <f t="shared" si="13"/>
        <v>-72.38</v>
      </c>
      <c r="T29" s="56">
        <f>+IFERROR(HLOOKUP($B29,'[1]12월'!$D$6:$BN$259,21,),)/1000</f>
        <v>62.971537976238515</v>
      </c>
      <c r="U29" s="57">
        <f>+IFERROR(HLOOKUP($C29,'[2]12월'!$F$6:$CP$99,21,),)/1000</f>
        <v>-21.304281356637599</v>
      </c>
      <c r="V29" s="38">
        <f t="shared" si="14"/>
        <v>-84.275819332876111</v>
      </c>
      <c r="W29" s="38">
        <f>+IFERROR(HLOOKUP($C29,'[3]12월'!$F$6:$CC$57,16,),)/1000</f>
        <v>-21.164562989999993</v>
      </c>
      <c r="X29" s="58">
        <f t="shared" si="15"/>
        <v>-0.13971836663760584</v>
      </c>
      <c r="Y29" s="499" t="s">
        <v>211</v>
      </c>
      <c r="Z29" s="459"/>
      <c r="AA29" s="459"/>
      <c r="AB29" s="459"/>
      <c r="AC29" s="459"/>
      <c r="AD29" s="459"/>
      <c r="AE29" s="459"/>
      <c r="AF29" s="459"/>
      <c r="AG29" s="51"/>
      <c r="AH29" s="18"/>
      <c r="AI29" s="19"/>
    </row>
    <row r="30" spans="2:38" s="8" customFormat="1" ht="19.5" customHeight="1" x14ac:dyDescent="0.3">
      <c r="B30" s="8" t="s">
        <v>160</v>
      </c>
      <c r="C30" s="81" t="s">
        <v>54</v>
      </c>
      <c r="G30" s="662" t="str">
        <f>+I30</f>
        <v>서부산CR</v>
      </c>
      <c r="H30" s="85"/>
      <c r="I30" s="81" t="s">
        <v>185</v>
      </c>
      <c r="J30" s="54">
        <f>+IFERROR(HLOOKUP($B30,'[1]12월'!$D$6:$BN$259,2,),)/1000</f>
        <v>50.439763333333339</v>
      </c>
      <c r="K30" s="59">
        <f>+IFERROR(HLOOKUP($C30,'[2]12월'!$F$6:$CP$99,2,),)/1000</f>
        <v>1</v>
      </c>
      <c r="L30" s="48">
        <f t="shared" si="10"/>
        <v>-49.439763333333339</v>
      </c>
      <c r="M30" s="48">
        <f>+IFERROR(HLOOKUP($C30,'[3]12월'!$F$6:$CC$57,2,),)/1000</f>
        <v>25.332000000000001</v>
      </c>
      <c r="N30" s="60">
        <f t="shared" si="11"/>
        <v>-24.332000000000001</v>
      </c>
      <c r="O30" s="54">
        <f>+IFERROR(HLOOKUP($B30,'[1]12월'!$D$6:$BN$259,3,),)/1000</f>
        <v>623.24578333333329</v>
      </c>
      <c r="P30" s="59">
        <f>+IFERROR(HLOOKUP($C30,'[2]12월'!$F$6:$CP$99,3,),)/1000</f>
        <v>11.5</v>
      </c>
      <c r="Q30" s="48">
        <f t="shared" si="12"/>
        <v>-611.74578333333329</v>
      </c>
      <c r="R30" s="48">
        <f>+IFERROR(HLOOKUP($C30,'[3]12월'!$F$6:$CC$57,3,),)/1000</f>
        <v>323.05399999999997</v>
      </c>
      <c r="S30" s="60">
        <f t="shared" si="13"/>
        <v>-311.55399999999997</v>
      </c>
      <c r="T30" s="54">
        <f>+IFERROR(HLOOKUP($B30,'[1]12월'!$D$6:$BN$259,21,),)/1000</f>
        <v>138.21488061335421</v>
      </c>
      <c r="U30" s="59">
        <f>+IFERROR(HLOOKUP($C30,'[2]12월'!$F$6:$CP$99,21,),)/1000</f>
        <v>-151.79414490851693</v>
      </c>
      <c r="V30" s="48">
        <f t="shared" si="14"/>
        <v>-290.00902552187114</v>
      </c>
      <c r="W30" s="48">
        <f>+IFERROR(HLOOKUP($C30,'[3]12월'!$F$6:$CC$57,16,),)/1000</f>
        <v>-33.388203989999973</v>
      </c>
      <c r="X30" s="60">
        <f t="shared" si="15"/>
        <v>-118.40594091851696</v>
      </c>
      <c r="Y30" s="499" t="s">
        <v>212</v>
      </c>
      <c r="Z30" s="459"/>
      <c r="AA30" s="459"/>
      <c r="AB30" s="459"/>
      <c r="AC30" s="459"/>
      <c r="AD30" s="459"/>
      <c r="AE30" s="459"/>
      <c r="AF30" s="459"/>
      <c r="AG30" s="51"/>
      <c r="AH30" s="18"/>
      <c r="AI30" s="19"/>
      <c r="AJ30" s="653"/>
      <c r="AK30" s="98"/>
      <c r="AL30" s="98"/>
    </row>
    <row r="31" spans="2:38" s="8" customFormat="1" ht="19.5" customHeight="1" x14ac:dyDescent="0.3">
      <c r="B31" s="8" t="s">
        <v>143</v>
      </c>
      <c r="C31" s="83" t="s">
        <v>143</v>
      </c>
      <c r="G31" s="662" t="str">
        <f>+I31</f>
        <v>부산CR</v>
      </c>
      <c r="H31" s="85"/>
      <c r="I31" s="83" t="s">
        <v>187</v>
      </c>
      <c r="J31" s="54">
        <f>+IFERROR(HLOOKUP($B31,'[1]12월'!$D$6:$BN$259,2,),)/1000</f>
        <v>41.933006059301498</v>
      </c>
      <c r="K31" s="59">
        <f>+IFERROR(HLOOKUP($C31,'[2]12월'!$F$6:$CP$99,2,),)/1000</f>
        <v>35.645000000000003</v>
      </c>
      <c r="L31" s="48">
        <f t="shared" si="10"/>
        <v>-6.2880060593014946</v>
      </c>
      <c r="M31" s="48">
        <f>+IFERROR(HLOOKUP($C31,'[3]12월'!$F$6:$CC$57,2,),)/1000</f>
        <v>19.977</v>
      </c>
      <c r="N31" s="60">
        <f t="shared" si="11"/>
        <v>15.668000000000003</v>
      </c>
      <c r="O31" s="54">
        <f>+IFERROR(HLOOKUP($B31,'[1]12월'!$D$6:$BN$259,3,),)/1000</f>
        <v>770.37721380474261</v>
      </c>
      <c r="P31" s="59">
        <f>+IFERROR(HLOOKUP($C31,'[2]12월'!$F$6:$CP$99,3,),)/1000</f>
        <v>630.68150000000003</v>
      </c>
      <c r="Q31" s="48">
        <f t="shared" si="12"/>
        <v>-139.69571380474258</v>
      </c>
      <c r="R31" s="48">
        <f>+IFERROR(HLOOKUP($C31,'[3]12월'!$F$6:$CC$57,3,),)/1000</f>
        <v>367.50599999999997</v>
      </c>
      <c r="S31" s="60">
        <f t="shared" si="13"/>
        <v>263.17550000000006</v>
      </c>
      <c r="T31" s="54">
        <f>+IFERROR(HLOOKUP($B31,'[1]12월'!$D$6:$BN$259,21,),)/1000</f>
        <v>97.655920415248602</v>
      </c>
      <c r="U31" s="59">
        <f>+IFERROR(HLOOKUP($C31,'[2]12월'!$F$6:$CP$99,21,),)/1000</f>
        <v>-294.10380909999998</v>
      </c>
      <c r="V31" s="48">
        <f t="shared" si="14"/>
        <v>-391.75972951524858</v>
      </c>
      <c r="W31" s="48">
        <f>+IFERROR(HLOOKUP($C31,'[3]12월'!$F$6:$CC$57,16,),)/1000</f>
        <v>-356.44775800000002</v>
      </c>
      <c r="X31" s="60">
        <f t="shared" si="15"/>
        <v>62.343948900000044</v>
      </c>
      <c r="Y31" s="499"/>
      <c r="Z31" s="459"/>
      <c r="AA31" s="459"/>
      <c r="AB31" s="459"/>
      <c r="AC31" s="459"/>
      <c r="AD31" s="459"/>
      <c r="AE31" s="459"/>
      <c r="AF31" s="459"/>
      <c r="AG31" s="51"/>
      <c r="AH31" s="18"/>
      <c r="AI31" s="19"/>
      <c r="AJ31" s="653"/>
      <c r="AK31" s="98"/>
      <c r="AL31" s="98"/>
    </row>
    <row r="32" spans="2:38" s="3" customFormat="1" ht="19.5" customHeight="1" x14ac:dyDescent="0.3">
      <c r="G32" s="665"/>
      <c r="H32" s="146" t="s">
        <v>38</v>
      </c>
      <c r="I32" s="147"/>
      <c r="J32" s="148">
        <f>SUM(J29:J31)</f>
        <v>120.90522701449945</v>
      </c>
      <c r="K32" s="152">
        <f>SUM(K29:K31)</f>
        <v>59.680000000000007</v>
      </c>
      <c r="L32" s="150">
        <f t="shared" si="10"/>
        <v>-61.225227014499438</v>
      </c>
      <c r="M32" s="150">
        <f>SUM(M29:M31)</f>
        <v>70.233000000000004</v>
      </c>
      <c r="N32" s="151">
        <f t="shared" si="11"/>
        <v>-10.552999999999997</v>
      </c>
      <c r="O32" s="148">
        <f>SUM(O29:O31)</f>
        <v>2204.6876748846662</v>
      </c>
      <c r="P32" s="152">
        <f>SUM(P29:P31)</f>
        <v>1280.5145</v>
      </c>
      <c r="Q32" s="150">
        <f t="shared" si="12"/>
        <v>-924.1731748846662</v>
      </c>
      <c r="R32" s="150">
        <f>SUM(R29:R31)</f>
        <v>1401.2729999999997</v>
      </c>
      <c r="S32" s="151">
        <f t="shared" si="13"/>
        <v>-120.75849999999969</v>
      </c>
      <c r="T32" s="148">
        <f>SUM(T29:T31)</f>
        <v>298.84233900484134</v>
      </c>
      <c r="U32" s="152">
        <f>SUM(U29:U31)</f>
        <v>-467.20223536515448</v>
      </c>
      <c r="V32" s="150">
        <f t="shared" si="14"/>
        <v>-766.04457436999587</v>
      </c>
      <c r="W32" s="150">
        <f>SUM(W29:W31)</f>
        <v>-411.00052497999997</v>
      </c>
      <c r="X32" s="151">
        <f t="shared" si="15"/>
        <v>-56.201710385154513</v>
      </c>
      <c r="Y32" s="499" t="s">
        <v>198</v>
      </c>
      <c r="Z32" s="459"/>
      <c r="AA32" s="459"/>
      <c r="AB32" s="459"/>
      <c r="AC32" s="459"/>
      <c r="AD32" s="459"/>
      <c r="AE32" s="459"/>
      <c r="AF32" s="459"/>
      <c r="AG32" s="51"/>
      <c r="AH32" s="27"/>
      <c r="AI32" s="28"/>
    </row>
    <row r="33" spans="2:38" s="8" customFormat="1" ht="19.5" customHeight="1" x14ac:dyDescent="0.3">
      <c r="B33" s="8" t="s">
        <v>163</v>
      </c>
      <c r="C33" s="8" t="s">
        <v>162</v>
      </c>
      <c r="D33" t="s">
        <v>161</v>
      </c>
      <c r="E33" t="s">
        <v>90</v>
      </c>
      <c r="F33"/>
      <c r="G33" s="661" t="str">
        <f>+I33</f>
        <v>레미콘임대</v>
      </c>
      <c r="H33" s="89" t="s">
        <v>56</v>
      </c>
      <c r="I33" s="88" t="s">
        <v>89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(IFERROR(HLOOKUP($B33,'[1]12월'!$D$6:$BN$259,3,),)++IFERROR(HLOOKUP($C33,'[1]12월'!$D$6:$BN$259,3,),)+IFERROR(HLOOKUP($D33,'[1]12월'!$D$6:$BN$259,3,),))/1000</f>
        <v>90.84</v>
      </c>
      <c r="P33" s="47">
        <f>+IFERROR(HLOOKUP($E33,'[2]12월'!$F$6:$CP$99,3,),)/1000</f>
        <v>90.84</v>
      </c>
      <c r="Q33" s="49">
        <f t="shared" si="12"/>
        <v>0</v>
      </c>
      <c r="R33" s="48">
        <f>+IFERROR(HLOOKUP($E33,'[3]12월'!$F$6:$CC$57,3,),)/1000</f>
        <v>90.84</v>
      </c>
      <c r="S33" s="60">
        <f t="shared" si="13"/>
        <v>0</v>
      </c>
      <c r="T33" s="46">
        <f>(IFERROR(HLOOKUP($B33,'[1]12월'!$D$6:$BN$259,21,),)++IFERROR(HLOOKUP($C33,'[1]12월'!$D$6:$BN$259,21,),)+IFERROR(HLOOKUP($D33,'[1]12월'!$D$6:$BN$259,21,),))/1000</f>
        <v>75.360274999999987</v>
      </c>
      <c r="U33" s="47">
        <f>+IFERROR(HLOOKUP($E33,'[2]12월'!$F$6:$CP$99,16,),)/1000</f>
        <v>76.068674999999999</v>
      </c>
      <c r="V33" s="49">
        <f t="shared" ref="V33:V40" si="16">+U33-T33</f>
        <v>0.70840000000001169</v>
      </c>
      <c r="W33" s="48">
        <f>+IFERROR(HLOOKUP($E33,'[3]12월'!$F$6:$CC$57,16,),)/1000</f>
        <v>73.170017999999999</v>
      </c>
      <c r="X33" s="60">
        <f t="shared" ref="X33:X39" si="17">+U33-W33</f>
        <v>2.898657</v>
      </c>
      <c r="Y33" s="499" t="s">
        <v>210</v>
      </c>
      <c r="Z33" s="459"/>
      <c r="AA33" s="459"/>
      <c r="AB33" s="459"/>
      <c r="AC33" s="459"/>
      <c r="AD33" s="459"/>
      <c r="AE33" s="459"/>
      <c r="AF33" s="459"/>
      <c r="AG33" s="51"/>
      <c r="AH33" s="18"/>
      <c r="AI33" s="19"/>
    </row>
    <row r="34" spans="2:38" s="8" customFormat="1" ht="19.5" customHeight="1" x14ac:dyDescent="0.3">
      <c r="B34" s="8" t="s">
        <v>164</v>
      </c>
      <c r="C34" s="8" t="s">
        <v>165</v>
      </c>
      <c r="D34"/>
      <c r="E34" t="s">
        <v>36</v>
      </c>
      <c r="F34"/>
      <c r="G34" s="661" t="str">
        <f t="shared" ref="G34:G39" si="18">+I34</f>
        <v>임대</v>
      </c>
      <c r="H34" s="89"/>
      <c r="I34" s="88" t="s">
        <v>51</v>
      </c>
      <c r="J34" s="46"/>
      <c r="K34" s="47"/>
      <c r="L34" s="49">
        <f>+K34-J34</f>
        <v>0</v>
      </c>
      <c r="M34" s="48">
        <v>0</v>
      </c>
      <c r="N34" s="60">
        <f t="shared" ref="N34:N41" si="19">+K34-M34</f>
        <v>0</v>
      </c>
      <c r="O34" s="46">
        <f>(+IFERROR(HLOOKUP($B34,'[1]12월'!$D$6:$BN$259,3,),)+IFERROR(HLOOKUP($C34,'[1]12월'!$D$6:$BN$259,3,),))/1000</f>
        <v>72.297500333333332</v>
      </c>
      <c r="P34" s="47">
        <f>+IFERROR(HLOOKUP($E34,'[2]12월'!$F$6:$CP$99,3,),)/1000</f>
        <v>72.691940000000002</v>
      </c>
      <c r="Q34" s="49">
        <f>+P34-O34</f>
        <v>0.39443966666667052</v>
      </c>
      <c r="R34" s="48">
        <f>+IFERROR(HLOOKUP($E34,'[3]12월'!$F$6:$CC$57,3,),)/1000</f>
        <v>78.665941000000004</v>
      </c>
      <c r="S34" s="60">
        <f t="shared" si="13"/>
        <v>-5.9740010000000012</v>
      </c>
      <c r="T34" s="46">
        <f>(+IFERROR(HLOOKUP($B34,'[1]12월'!$D$6:$BN$259,21,),)+IFERROR(HLOOKUP($C34,'[1]12월'!$D$6:$BN$259,21,),))/1000</f>
        <v>74.623417333333336</v>
      </c>
      <c r="U34" s="47">
        <f>+IFERROR(HLOOKUP($E34,'[2]12월'!$F$6:$CP$99,16,),)/1000</f>
        <v>75.153125000000017</v>
      </c>
      <c r="V34" s="49">
        <f t="shared" si="16"/>
        <v>0.52970766666668112</v>
      </c>
      <c r="W34" s="48">
        <f>+IFERROR(HLOOKUP($E34,'[3]12월'!$F$6:$CC$57,16,),)/1000</f>
        <v>86.623723000000012</v>
      </c>
      <c r="X34" s="60">
        <f t="shared" si="17"/>
        <v>-11.470597999999995</v>
      </c>
      <c r="Y34" s="499"/>
      <c r="Z34" s="459"/>
      <c r="AA34" s="459"/>
      <c r="AB34" s="459"/>
      <c r="AC34" s="459"/>
      <c r="AD34" s="459"/>
      <c r="AE34" s="459"/>
      <c r="AF34" s="459"/>
      <c r="AG34" s="51"/>
      <c r="AH34" s="18"/>
      <c r="AI34" s="19"/>
    </row>
    <row r="35" spans="2:38" s="8" customFormat="1" ht="19.5" customHeight="1" x14ac:dyDescent="0.3">
      <c r="B35" s="8" t="s">
        <v>166</v>
      </c>
      <c r="D35"/>
      <c r="E35"/>
      <c r="F35"/>
      <c r="G35" s="661" t="str">
        <f t="shared" si="18"/>
        <v>공통비</v>
      </c>
      <c r="H35" s="87"/>
      <c r="I35" s="88" t="s">
        <v>57</v>
      </c>
      <c r="J35" s="46"/>
      <c r="K35" s="47"/>
      <c r="L35" s="49">
        <f>+K35-J35</f>
        <v>0</v>
      </c>
      <c r="M35" s="48"/>
      <c r="N35" s="60">
        <f t="shared" si="19"/>
        <v>0</v>
      </c>
      <c r="O35" s="46"/>
      <c r="P35" s="47"/>
      <c r="Q35" s="49">
        <f t="shared" ref="Q35:Q40" si="20">+P35-O35</f>
        <v>0</v>
      </c>
      <c r="R35" s="48"/>
      <c r="S35" s="60">
        <f t="shared" ref="S35:S40" si="21">+P35-R35</f>
        <v>0</v>
      </c>
      <c r="T35" s="46">
        <f>-'[1]12월'!$Z$22/1000</f>
        <v>-1213.1220717773317</v>
      </c>
      <c r="U35" s="47">
        <f>+-'[2]12월'!$Z$22/1000</f>
        <v>-2089.6312006355133</v>
      </c>
      <c r="V35" s="49">
        <f t="shared" si="16"/>
        <v>-876.50912885818161</v>
      </c>
      <c r="W35" s="48">
        <f>+-'[3]12월'!$Z$22/1000</f>
        <v>-3008.8593290000008</v>
      </c>
      <c r="X35" s="60">
        <f t="shared" si="17"/>
        <v>919.22812836448747</v>
      </c>
      <c r="Y35" s="499"/>
      <c r="Z35" s="459"/>
      <c r="AA35" s="459"/>
      <c r="AB35" s="459"/>
      <c r="AC35" s="459"/>
      <c r="AD35" s="459"/>
      <c r="AE35" s="459"/>
      <c r="AF35" s="459"/>
      <c r="AG35" s="51"/>
      <c r="AH35" s="18"/>
      <c r="AI35" s="19"/>
      <c r="AK35" s="467"/>
      <c r="AL35" s="98"/>
    </row>
    <row r="36" spans="2:38" s="8" customFormat="1" ht="19.5" customHeight="1" x14ac:dyDescent="0.3">
      <c r="D36"/>
      <c r="E36"/>
      <c r="F36"/>
      <c r="G36" s="661" t="str">
        <f t="shared" si="18"/>
        <v>OPC 소급분</v>
      </c>
      <c r="H36" s="87"/>
      <c r="I36" s="88" t="s">
        <v>104</v>
      </c>
      <c r="J36" s="46"/>
      <c r="K36" s="47"/>
      <c r="L36" s="49"/>
      <c r="M36" s="48"/>
      <c r="N36" s="60">
        <f t="shared" si="19"/>
        <v>0</v>
      </c>
      <c r="O36" s="46"/>
      <c r="P36" s="47"/>
      <c r="Q36" s="49">
        <f t="shared" si="20"/>
        <v>0</v>
      </c>
      <c r="R36" s="48"/>
      <c r="S36" s="60">
        <f t="shared" si="21"/>
        <v>0</v>
      </c>
      <c r="T36" s="46">
        <f>+'[1]12월'!$AS$26/1000</f>
        <v>0</v>
      </c>
      <c r="U36" s="47">
        <f>'[2]12월'!$BD$26/1000</f>
        <v>300</v>
      </c>
      <c r="V36" s="49">
        <f t="shared" si="16"/>
        <v>300</v>
      </c>
      <c r="W36" s="48">
        <f>'[3]12월'!$BD$26/1000</f>
        <v>1028.9851040000001</v>
      </c>
      <c r="X36" s="60">
        <f t="shared" si="17"/>
        <v>-728.98510400000009</v>
      </c>
      <c r="Y36" s="499"/>
      <c r="Z36" s="459"/>
      <c r="AA36" s="459"/>
      <c r="AB36" s="459"/>
      <c r="AC36" s="459"/>
      <c r="AD36" s="459"/>
      <c r="AE36" s="459"/>
      <c r="AF36" s="459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661" t="str">
        <f t="shared" si="18"/>
        <v>대손</v>
      </c>
      <c r="H37" s="87"/>
      <c r="I37" s="88" t="s">
        <v>105</v>
      </c>
      <c r="J37" s="46"/>
      <c r="K37" s="47"/>
      <c r="L37" s="49"/>
      <c r="M37" s="48"/>
      <c r="N37" s="60">
        <f t="shared" si="19"/>
        <v>0</v>
      </c>
      <c r="O37" s="46"/>
      <c r="P37" s="47"/>
      <c r="Q37" s="49">
        <f t="shared" si="20"/>
        <v>0</v>
      </c>
      <c r="R37" s="48"/>
      <c r="S37" s="60">
        <f t="shared" si="21"/>
        <v>0</v>
      </c>
      <c r="T37" s="46"/>
      <c r="U37" s="47">
        <f>'[2]12월'!$BE$26/1000</f>
        <v>319.51270899999997</v>
      </c>
      <c r="V37" s="49">
        <f t="shared" si="16"/>
        <v>319.51270899999997</v>
      </c>
      <c r="W37" s="48">
        <f>'[3]12월'!$BE$26/1000</f>
        <v>-983.77337899999998</v>
      </c>
      <c r="X37" s="60">
        <f t="shared" si="17"/>
        <v>1303.2860879999998</v>
      </c>
      <c r="Y37" s="458"/>
      <c r="Z37" s="459"/>
      <c r="AA37" s="459"/>
      <c r="AB37" s="459"/>
      <c r="AC37" s="459"/>
      <c r="AD37" s="459"/>
      <c r="AE37" s="459"/>
      <c r="AF37" s="459"/>
      <c r="AG37" s="51"/>
      <c r="AH37" s="18"/>
      <c r="AI37" s="19"/>
      <c r="AJ37" s="96"/>
      <c r="AK37" s="98"/>
      <c r="AL37" s="98"/>
    </row>
    <row r="38" spans="2:38" s="8" customFormat="1" ht="19.5" customHeight="1" x14ac:dyDescent="0.3">
      <c r="D38"/>
      <c r="E38"/>
      <c r="F38"/>
      <c r="G38" s="661" t="str">
        <f t="shared" si="18"/>
        <v>미운영 공장</v>
      </c>
      <c r="H38" s="87"/>
      <c r="I38" s="88" t="s">
        <v>144</v>
      </c>
      <c r="J38" s="46"/>
      <c r="K38" s="47"/>
      <c r="L38" s="49"/>
      <c r="M38" s="48">
        <f>SUM(M54:M59)</f>
        <v>0</v>
      </c>
      <c r="N38" s="60">
        <f t="shared" si="19"/>
        <v>0</v>
      </c>
      <c r="O38" s="46"/>
      <c r="P38" s="47"/>
      <c r="Q38" s="49">
        <f t="shared" si="20"/>
        <v>0</v>
      </c>
      <c r="R38" s="48">
        <f>+IFERROR(HLOOKUP($I$38,'[3]12월'!$F$6:$BJ$50,3,),)/1000</f>
        <v>0</v>
      </c>
      <c r="S38" s="60">
        <f t="shared" si="21"/>
        <v>0</v>
      </c>
      <c r="T38" s="46">
        <f>SUM('[1]12월'!$AM$26:$AQ$26)/1000</f>
        <v>-3.4117974444596393</v>
      </c>
      <c r="U38" s="47">
        <f>+'[2]12월'!$BF$26/1000</f>
        <v>-3.6895869999999995</v>
      </c>
      <c r="V38" s="49">
        <f t="shared" si="16"/>
        <v>-0.27778955554036022</v>
      </c>
      <c r="W38" s="48">
        <f>+'[3]12월'!$BF$26/1000</f>
        <v>-6.8986769999999993</v>
      </c>
      <c r="X38" s="60">
        <f>+U38-W38</f>
        <v>3.2090899999999998</v>
      </c>
      <c r="Y38" s="458"/>
      <c r="Z38" s="459"/>
      <c r="AA38" s="459"/>
      <c r="AB38" s="459"/>
      <c r="AC38" s="459"/>
      <c r="AD38" s="459"/>
      <c r="AE38" s="459"/>
      <c r="AF38" s="459"/>
      <c r="AG38" s="51"/>
      <c r="AH38" s="18"/>
      <c r="AI38" s="19"/>
      <c r="AK38" s="98"/>
      <c r="AL38" s="98"/>
    </row>
    <row r="39" spans="2:38" s="8" customFormat="1" ht="19.5" customHeight="1" x14ac:dyDescent="0.3">
      <c r="B39" t="s">
        <v>35</v>
      </c>
      <c r="D39"/>
      <c r="G39" s="661" t="str">
        <f t="shared" si="18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9"/>
        <v>0</v>
      </c>
      <c r="O39" s="46">
        <f>IFERROR(HLOOKUP($B39,'[1]12월'!$D$6:$BN$259,3,),)/1000</f>
        <v>1.77</v>
      </c>
      <c r="P39" s="47">
        <f>+('[2]12월'!$F$8-SUM('[2]12월'!$Z$8,'[2]12월'!$AH$8,'[2]12월'!$AN$8,'[2]12월'!$AO$8,'[2]12월'!$BA$8,'[2]12월'!$BD$8,'[2]12월'!$BE$8,'[2]12월'!$BF$8))/1000</f>
        <v>1.6798500000014902</v>
      </c>
      <c r="Q39" s="55">
        <f t="shared" si="20"/>
        <v>-9.0149999998509811E-2</v>
      </c>
      <c r="R39" s="61">
        <f>+('[3]12월'!$F$8-SUM('[3]12월'!$Z$8,'[3]12월'!$AH$8,'[3]12월'!$AN$8,'[3]12월'!$AO$8,'[3]12월'!$BA$8,'[3]12월'!$BD$8,'[3]12월'!$BE$8,'[3]12월'!$BF$8))/1000</f>
        <v>1.70239999999851</v>
      </c>
      <c r="S39" s="62">
        <f t="shared" si="21"/>
        <v>-2.2549999997019787E-2</v>
      </c>
      <c r="T39" s="46">
        <f>+('[1]12월'!$E$26-'[1]12월'!$Z$26-'[1]12월'!$AA$26-'[1]12월'!$AE$26-'[1]12월'!$AL$26-'[1]12월'!$AM$26-'[1]12월'!$AN$26-'[1]12월'!$AO$26-'[1]12월'!$AP$26-'[1]12월'!$AQ$26-'[1]12월'!$AS$26)/1000</f>
        <v>-68.088928999996071</v>
      </c>
      <c r="U39" s="47">
        <f>+('[2]12월'!$F$26-SUM('[2]12월'!$Z$26,'[2]12월'!$AH$26,'[2]12월'!$AN$26,'[2]12월'!$AO$26,'[2]12월'!$BA$26,'[2]12월'!$BD$26,'[2]12월'!$BE$26,'[2]12월'!$BF$26))/1000</f>
        <v>16.456465000002414</v>
      </c>
      <c r="V39" s="49">
        <f t="shared" si="16"/>
        <v>84.545393999998481</v>
      </c>
      <c r="W39" s="61">
        <f>+('[3]12월'!$F$26-SUM('[3]12월'!$Z$26,'[3]12월'!$AH$26,'[3]12월'!$AN$26,'[3]12월'!$AO$26,'[3]12월'!$BA$26,'[3]12월'!$BD$26,'[3]12월'!$BE$26,'[3]12월'!$BF$26))/1000</f>
        <v>-24.33564300000528</v>
      </c>
      <c r="X39" s="60">
        <f t="shared" si="17"/>
        <v>40.792108000007694</v>
      </c>
      <c r="Y39" s="466"/>
      <c r="Z39" s="459"/>
      <c r="AA39" s="459"/>
      <c r="AB39" s="459"/>
      <c r="AC39" s="459"/>
      <c r="AD39" s="459"/>
      <c r="AE39" s="459"/>
      <c r="AF39" s="459"/>
      <c r="AG39" s="51"/>
      <c r="AH39" s="18"/>
      <c r="AI39" s="19"/>
    </row>
    <row r="40" spans="2:38" s="8" customFormat="1" ht="19.5" customHeight="1" x14ac:dyDescent="0.3">
      <c r="G40" s="661"/>
      <c r="H40" s="87"/>
      <c r="I40" s="88"/>
      <c r="J40" s="46"/>
      <c r="K40" s="47"/>
      <c r="L40" s="55"/>
      <c r="M40" s="61"/>
      <c r="N40" s="62">
        <f t="shared" si="19"/>
        <v>0</v>
      </c>
      <c r="O40" s="46"/>
      <c r="P40" s="47"/>
      <c r="Q40" s="55">
        <f t="shared" si="20"/>
        <v>0</v>
      </c>
      <c r="R40" s="61"/>
      <c r="S40" s="62">
        <f t="shared" si="21"/>
        <v>0</v>
      </c>
      <c r="T40" s="46"/>
      <c r="U40" s="47"/>
      <c r="V40" s="49">
        <f t="shared" si="16"/>
        <v>0</v>
      </c>
      <c r="W40" s="61"/>
      <c r="X40" s="60"/>
      <c r="Y40" s="458"/>
      <c r="Z40" s="459"/>
      <c r="AA40" s="459"/>
      <c r="AB40" s="459"/>
      <c r="AC40" s="459"/>
      <c r="AD40" s="459"/>
      <c r="AE40" s="459"/>
      <c r="AF40" s="459"/>
      <c r="AG40" s="51"/>
      <c r="AH40" s="31"/>
    </row>
    <row r="41" spans="2:38" s="3" customFormat="1" ht="19.5" customHeight="1" x14ac:dyDescent="0.3">
      <c r="D41" s="526"/>
      <c r="G41" s="665"/>
      <c r="H41" s="146" t="s">
        <v>106</v>
      </c>
      <c r="I41" s="147"/>
      <c r="J41" s="517">
        <f>SUM(J33:J40)</f>
        <v>0</v>
      </c>
      <c r="K41" s="518">
        <f>SUM(K33:K40)</f>
        <v>0</v>
      </c>
      <c r="L41" s="518">
        <f>+K41-J41</f>
        <v>0</v>
      </c>
      <c r="M41" s="518">
        <f>SUM(M33:M40)</f>
        <v>0</v>
      </c>
      <c r="N41" s="519">
        <f t="shared" si="19"/>
        <v>0</v>
      </c>
      <c r="O41" s="148">
        <f>SUM(O33:O40)</f>
        <v>164.90750033333333</v>
      </c>
      <c r="P41" s="149">
        <f>SUM(P33:P40)</f>
        <v>165.21179000000151</v>
      </c>
      <c r="Q41" s="153">
        <f t="shared" si="12"/>
        <v>0.30428966666818269</v>
      </c>
      <c r="R41" s="154">
        <f>SUM(R33:R40)</f>
        <v>171.20834099999851</v>
      </c>
      <c r="S41" s="155">
        <f>+P41-R41</f>
        <v>-5.9965509999969981</v>
      </c>
      <c r="T41" s="148">
        <f>SUM(T33:T40)</f>
        <v>-1134.6391058884542</v>
      </c>
      <c r="U41" s="149">
        <f>SUM(U33:U40)</f>
        <v>-1306.129813635511</v>
      </c>
      <c r="V41" s="153">
        <f>+U41-T41</f>
        <v>-171.49070774705683</v>
      </c>
      <c r="W41" s="154">
        <f>SUM(W33:W40)</f>
        <v>-2835.0881830000062</v>
      </c>
      <c r="X41" s="155">
        <f>+U41-W41</f>
        <v>1528.9583693644952</v>
      </c>
      <c r="Y41" s="460"/>
      <c r="Z41" s="461"/>
      <c r="AA41" s="461"/>
      <c r="AB41" s="461"/>
      <c r="AC41" s="461"/>
      <c r="AD41" s="461"/>
      <c r="AE41" s="461"/>
      <c r="AF41" s="461"/>
      <c r="AG41" s="462"/>
      <c r="AH41" s="26"/>
    </row>
    <row r="42" spans="2:38" s="8" customFormat="1" ht="19.5" customHeight="1" x14ac:dyDescent="0.3">
      <c r="G42" s="661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666">
        <f>+P43/O43</f>
        <v>0.80872263749179119</v>
      </c>
      <c r="H43" s="510" t="s">
        <v>37</v>
      </c>
      <c r="I43" s="511"/>
      <c r="J43" s="523"/>
      <c r="K43" s="524"/>
      <c r="L43" s="524"/>
      <c r="M43" s="524"/>
      <c r="N43" s="525"/>
      <c r="O43" s="512">
        <f>+O27+O32+O28+O41</f>
        <v>44594.197366419176</v>
      </c>
      <c r="P43" s="513">
        <f>+P27+P32+P28+P41</f>
        <v>36064.336911000006</v>
      </c>
      <c r="Q43" s="514">
        <f t="shared" si="12"/>
        <v>-8529.8604554191697</v>
      </c>
      <c r="R43" s="515">
        <f>+R27+R32+R28+R41</f>
        <v>39037.471893000002</v>
      </c>
      <c r="S43" s="516">
        <f>+P43-R43</f>
        <v>-2973.1349819999959</v>
      </c>
      <c r="T43" s="512">
        <f>+T27+T32+T28+T41</f>
        <v>3951.3240666001616</v>
      </c>
      <c r="U43" s="513">
        <f>+U27+U32+U28+U41</f>
        <v>-1306.2103360006658</v>
      </c>
      <c r="V43" s="514">
        <f>+U43-T43</f>
        <v>-5257.5344026008279</v>
      </c>
      <c r="W43" s="515">
        <f>+W27+W32+W28+W41</f>
        <v>-3485.1119169700064</v>
      </c>
      <c r="X43" s="516">
        <f>+U43-W43</f>
        <v>2178.9015809693406</v>
      </c>
      <c r="Y43" s="708"/>
      <c r="Z43" s="709"/>
      <c r="AA43" s="709"/>
      <c r="AB43" s="709"/>
      <c r="AC43" s="709"/>
      <c r="AD43" s="709"/>
      <c r="AE43" s="709"/>
      <c r="AF43" s="709"/>
      <c r="AG43" s="710"/>
      <c r="AH43" s="26"/>
    </row>
    <row r="44" spans="2:38" s="34" customFormat="1" x14ac:dyDescent="0.3">
      <c r="G44" s="663">
        <f>+U43/T43</f>
        <v>-0.33057534992936394</v>
      </c>
      <c r="P44" s="530">
        <f>+P43/O43</f>
        <v>0.80872263749179119</v>
      </c>
      <c r="T44" s="530">
        <f>+T43/O43</f>
        <v>8.8606238029874981E-2</v>
      </c>
      <c r="U44" s="530">
        <f>+U43/P43</f>
        <v>-3.6218892342985455E-2</v>
      </c>
      <c r="AC44" s="35"/>
      <c r="AF44" s="35"/>
    </row>
    <row r="45" spans="2:38" s="34" customFormat="1" ht="17.25" thickBot="1" x14ac:dyDescent="0.35">
      <c r="G45" s="667"/>
      <c r="AC45" s="35"/>
      <c r="AF45" s="35"/>
    </row>
    <row r="46" spans="2:38" s="34" customFormat="1" x14ac:dyDescent="0.3">
      <c r="G46" s="667"/>
      <c r="I46" s="705" t="s">
        <v>91</v>
      </c>
      <c r="J46" s="138">
        <f>+'[1]12월'!$Z$7/1000</f>
        <v>307.5</v>
      </c>
      <c r="K46" s="139">
        <f>+'[2]12월'!$AI$7/1000</f>
        <v>272.28899999999999</v>
      </c>
      <c r="L46" s="139"/>
      <c r="M46" s="139">
        <f>+'[3]12월'!$Z$7/1000</f>
        <v>283.90949999999998</v>
      </c>
      <c r="N46" s="139"/>
      <c r="O46" s="139">
        <f>+'[1]12월'!$E$8/1000</f>
        <v>44594.197366419176</v>
      </c>
      <c r="P46" s="139">
        <f>+'[2]12월'!$F$8/1000</f>
        <v>36064.336910999999</v>
      </c>
      <c r="Q46" s="139"/>
      <c r="R46" s="139">
        <f>+'[3]12월'!$F$8/1000</f>
        <v>39037.471892999994</v>
      </c>
      <c r="S46" s="139"/>
      <c r="T46" s="144">
        <f>+'[1]12월'!$E$26/1000</f>
        <v>3951.3240666001657</v>
      </c>
      <c r="U46" s="139">
        <f>+'[2]12월'!$F$26/1000</f>
        <v>-1306.2103360006658</v>
      </c>
      <c r="V46" s="139"/>
      <c r="W46" s="139">
        <f>+'[3]12월'!$F$26/1000</f>
        <v>-3485.111916970006</v>
      </c>
      <c r="X46" s="140"/>
      <c r="AC46" s="35"/>
      <c r="AF46" s="35"/>
    </row>
    <row r="47" spans="2:38" s="34" customFormat="1" ht="17.25" thickBot="1" x14ac:dyDescent="0.35">
      <c r="G47" s="667"/>
      <c r="I47" s="705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4.0927261579781771E-12</v>
      </c>
      <c r="U47" s="145">
        <f>+U46-U43</f>
        <v>0</v>
      </c>
      <c r="V47" s="141"/>
      <c r="W47" s="141">
        <f>+W46-W43</f>
        <v>0</v>
      </c>
      <c r="X47" s="142"/>
      <c r="AC47" s="35"/>
      <c r="AF47" s="35"/>
      <c r="AG47" s="34" t="s">
        <v>92</v>
      </c>
    </row>
    <row r="48" spans="2:38" x14ac:dyDescent="0.3">
      <c r="T48" s="527"/>
      <c r="U48" s="527"/>
      <c r="V48" s="527"/>
    </row>
    <row r="49" spans="10:33" x14ac:dyDescent="0.3">
      <c r="T49" s="527"/>
      <c r="U49" s="527"/>
      <c r="V49" s="527"/>
      <c r="AC49" s="35"/>
      <c r="AD49" s="34"/>
      <c r="AE49" s="34"/>
      <c r="AF49" s="35"/>
    </row>
    <row r="50" spans="10:33" x14ac:dyDescent="0.3">
      <c r="S50" t="s">
        <v>46</v>
      </c>
      <c r="T50" s="469">
        <f>(+T27+T35)/100</f>
        <v>34.349585153906553</v>
      </c>
      <c r="U50" s="469">
        <f>(+U27+U35)/100</f>
        <v>-15.214074146355129</v>
      </c>
      <c r="V50" s="469">
        <f>+U50-T50</f>
        <v>-49.563659300261683</v>
      </c>
      <c r="W50" s="468">
        <f>+U50/T50-1</f>
        <v>-1.4429187158501926</v>
      </c>
      <c r="AC50" s="35"/>
      <c r="AD50" s="34"/>
      <c r="AE50" s="34"/>
      <c r="AF50" s="35"/>
    </row>
    <row r="51" spans="10:33" x14ac:dyDescent="0.3">
      <c r="S51" t="s">
        <v>3</v>
      </c>
      <c r="T51" s="6">
        <f>+T28/100</f>
        <v>1.3904024631578757</v>
      </c>
      <c r="U51" s="6">
        <f>+U28/100</f>
        <v>-1.011020730000008</v>
      </c>
      <c r="V51" s="469">
        <f t="shared" ref="V51:V56" si="22">+U51-T51</f>
        <v>-2.4014231931578838</v>
      </c>
      <c r="Y51" s="458" t="s">
        <v>205</v>
      </c>
      <c r="AC51" s="35"/>
      <c r="AD51" s="34"/>
      <c r="AE51" s="34"/>
      <c r="AF51" s="35"/>
    </row>
    <row r="52" spans="10:33" x14ac:dyDescent="0.3">
      <c r="S52" t="s">
        <v>1</v>
      </c>
      <c r="T52" s="6">
        <f>+T32/100</f>
        <v>2.9884233900484132</v>
      </c>
      <c r="U52" s="6">
        <f>+U32/100</f>
        <v>-4.6720223536515446</v>
      </c>
      <c r="V52" s="469">
        <f t="shared" si="22"/>
        <v>-7.6604457436999578</v>
      </c>
      <c r="AC52" s="35"/>
      <c r="AD52" s="34"/>
      <c r="AE52" s="34"/>
      <c r="AF52" s="35"/>
    </row>
    <row r="53" spans="10:33" x14ac:dyDescent="0.3">
      <c r="S53" t="s">
        <v>51</v>
      </c>
      <c r="T53" s="6">
        <f>(T33+T34)/100</f>
        <v>1.4998369233333333</v>
      </c>
      <c r="U53" s="6">
        <f>(U33+U34)/100</f>
        <v>1.5122180000000003</v>
      </c>
      <c r="V53" s="469">
        <f t="shared" si="22"/>
        <v>1.238107666666699E-2</v>
      </c>
      <c r="AC53" s="35"/>
      <c r="AD53" s="34"/>
      <c r="AE53" s="34"/>
      <c r="AF53" s="35"/>
    </row>
    <row r="54" spans="10:33" x14ac:dyDescent="0.3">
      <c r="J54" s="469"/>
      <c r="K54" s="469"/>
      <c r="L54" s="469"/>
      <c r="M54" s="469"/>
      <c r="N54" s="469"/>
      <c r="O54" s="469"/>
      <c r="P54" s="469"/>
      <c r="Q54" s="469"/>
      <c r="R54" s="469"/>
      <c r="S54" s="469" t="s">
        <v>4</v>
      </c>
      <c r="T54" s="469">
        <f>(T46/100)-T50-T51-T52-T53</f>
        <v>-0.71500726444451757</v>
      </c>
      <c r="U54" s="469">
        <f>(U46/100)-U50-U51-U52-U53</f>
        <v>6.3227958700000233</v>
      </c>
      <c r="V54" s="469">
        <f t="shared" si="22"/>
        <v>7.0378031344445411</v>
      </c>
      <c r="W54" s="469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</row>
    <row r="55" spans="10:33" x14ac:dyDescent="0.3"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>
        <f>SUM(T53:T54)</f>
        <v>0.78482965888881573</v>
      </c>
      <c r="U55" s="469">
        <f>SUM(U53:U54)</f>
        <v>7.835013870000024</v>
      </c>
      <c r="V55" s="469">
        <f>SUM(V53:V54)</f>
        <v>7.0501842111112083</v>
      </c>
      <c r="W55" s="469"/>
      <c r="X55" s="469"/>
      <c r="Y55" s="469"/>
      <c r="Z55" s="469"/>
      <c r="AA55" s="469"/>
      <c r="AB55" s="469"/>
      <c r="AC55" s="469"/>
      <c r="AD55" s="469"/>
      <c r="AE55" s="469"/>
      <c r="AF55" s="469"/>
      <c r="AG55" s="469"/>
    </row>
    <row r="56" spans="10:33" x14ac:dyDescent="0.3"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>
        <f>SUM(T50:T54)</f>
        <v>39.513240666001657</v>
      </c>
      <c r="U56" s="469">
        <f>SUM(U50:U54)</f>
        <v>-13.062103360006658</v>
      </c>
      <c r="V56" s="469">
        <f t="shared" si="22"/>
        <v>-52.575344026008317</v>
      </c>
      <c r="W56" s="469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</row>
    <row r="57" spans="10:33" x14ac:dyDescent="0.3"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</row>
    <row r="58" spans="10:33" x14ac:dyDescent="0.3">
      <c r="J58" s="469"/>
      <c r="K58" s="469"/>
      <c r="L58" s="469"/>
      <c r="M58" s="469"/>
      <c r="N58" s="469"/>
      <c r="O58" s="469"/>
      <c r="P58" s="469"/>
      <c r="Q58" s="469"/>
      <c r="R58" s="469"/>
      <c r="S58" s="469" t="s">
        <v>51</v>
      </c>
      <c r="T58" s="527">
        <f>+(T33+T34)/100</f>
        <v>1.4998369233333333</v>
      </c>
      <c r="U58" s="527">
        <f>+(U33+U34)/100</f>
        <v>1.5122180000000003</v>
      </c>
      <c r="V58" s="469">
        <f>+U58-T58</f>
        <v>1.238107666666699E-2</v>
      </c>
      <c r="W58" s="469"/>
      <c r="X58" s="469"/>
      <c r="Y58" s="469"/>
      <c r="Z58" s="469"/>
      <c r="AA58" s="469"/>
      <c r="AB58" s="469"/>
      <c r="AC58" s="469"/>
      <c r="AD58" s="469"/>
      <c r="AE58" s="469"/>
      <c r="AF58" s="469"/>
      <c r="AG58" s="469"/>
    </row>
    <row r="59" spans="10:33" x14ac:dyDescent="0.3">
      <c r="J59" s="469"/>
      <c r="K59" s="469"/>
      <c r="L59" s="469"/>
      <c r="M59" s="469"/>
      <c r="N59" s="469"/>
      <c r="O59" s="469"/>
      <c r="P59" s="469"/>
      <c r="Q59" s="469"/>
      <c r="R59" s="469"/>
      <c r="S59" s="469" t="str">
        <f>+I36</f>
        <v>OPC 소급분</v>
      </c>
      <c r="T59" s="469">
        <f t="shared" ref="T59:U62" si="23">+T36/100</f>
        <v>0</v>
      </c>
      <c r="U59" s="469">
        <f t="shared" si="23"/>
        <v>3</v>
      </c>
      <c r="V59" s="469">
        <f>+U59-T59</f>
        <v>3</v>
      </c>
      <c r="W59" s="469"/>
      <c r="X59" s="469"/>
      <c r="Y59" s="469"/>
      <c r="Z59" s="469"/>
      <c r="AA59" s="469"/>
      <c r="AB59" s="469"/>
      <c r="AC59" s="469"/>
      <c r="AD59" s="469"/>
      <c r="AE59" s="469"/>
      <c r="AF59" s="469"/>
      <c r="AG59" s="469"/>
    </row>
    <row r="60" spans="10:33" x14ac:dyDescent="0.3">
      <c r="S60" s="469" t="str">
        <f>+I37</f>
        <v>대손</v>
      </c>
      <c r="T60" s="469">
        <f t="shared" si="23"/>
        <v>0</v>
      </c>
      <c r="U60" s="469">
        <f t="shared" si="23"/>
        <v>3.1951270899999997</v>
      </c>
      <c r="V60" s="469">
        <f>+U60-T60</f>
        <v>3.1951270899999997</v>
      </c>
      <c r="AC60" s="469"/>
      <c r="AD60" s="469"/>
      <c r="AE60" s="469"/>
      <c r="AF60" s="469"/>
    </row>
    <row r="61" spans="10:33" x14ac:dyDescent="0.3">
      <c r="S61" s="469" t="str">
        <f>+I38</f>
        <v>미운영 공장</v>
      </c>
      <c r="T61" s="469">
        <f t="shared" si="23"/>
        <v>-3.411797444459639E-2</v>
      </c>
      <c r="U61" s="469">
        <f t="shared" si="23"/>
        <v>-3.6895869999999997E-2</v>
      </c>
      <c r="V61" s="469">
        <f>+U61-T61</f>
        <v>-2.7778955554036075E-3</v>
      </c>
      <c r="AC61" s="469"/>
      <c r="AD61" s="469"/>
      <c r="AE61" s="469"/>
    </row>
    <row r="62" spans="10:33" x14ac:dyDescent="0.3">
      <c r="S62" s="469" t="str">
        <f>+I39</f>
        <v>기타</v>
      </c>
      <c r="T62" s="469">
        <f t="shared" si="23"/>
        <v>-0.68088928999996068</v>
      </c>
      <c r="U62" s="469">
        <f t="shared" si="23"/>
        <v>0.16456465000002413</v>
      </c>
      <c r="V62" s="469">
        <f>+U62-T62</f>
        <v>0.84545393999998475</v>
      </c>
      <c r="AC62" s="469"/>
      <c r="AD62" s="469"/>
      <c r="AE62" s="469"/>
    </row>
    <row r="63" spans="10:33" x14ac:dyDescent="0.3">
      <c r="T63" s="6">
        <f>SUM(T58:T62)</f>
        <v>0.78482965888877632</v>
      </c>
      <c r="U63" s="6">
        <f>SUM(U58:U62)</f>
        <v>7.835013870000024</v>
      </c>
      <c r="V63" s="6">
        <f>SUM(V58:V62)</f>
        <v>7.0501842111112483</v>
      </c>
      <c r="AC63" s="469"/>
      <c r="AE63" s="469"/>
    </row>
    <row r="64" spans="10:33" x14ac:dyDescent="0.3">
      <c r="AC64" s="469"/>
      <c r="AE64" s="469"/>
    </row>
    <row r="65" spans="29:31" x14ac:dyDescent="0.3">
      <c r="AC65" s="469"/>
      <c r="AE65" s="469"/>
    </row>
    <row r="66" spans="29:31" x14ac:dyDescent="0.3">
      <c r="AC66" s="469"/>
      <c r="AE66" s="469"/>
    </row>
    <row r="67" spans="29:31" x14ac:dyDescent="0.3">
      <c r="AC67" s="469"/>
      <c r="AE67" s="469"/>
    </row>
    <row r="68" spans="29:31" x14ac:dyDescent="0.3">
      <c r="AC68" s="469"/>
      <c r="AE68" s="469"/>
    </row>
    <row r="69" spans="29:31" x14ac:dyDescent="0.3">
      <c r="AC69" s="469"/>
      <c r="AE69" s="469"/>
    </row>
    <row r="70" spans="29:31" x14ac:dyDescent="0.3">
      <c r="AC70" s="469"/>
      <c r="AE70" s="469"/>
    </row>
    <row r="71" spans="29:31" x14ac:dyDescent="0.3">
      <c r="AC71" s="469"/>
      <c r="AE71" s="469"/>
    </row>
    <row r="72" spans="29:31" x14ac:dyDescent="0.3">
      <c r="AC72" s="469"/>
      <c r="AE72" s="469"/>
    </row>
    <row r="73" spans="29:31" x14ac:dyDescent="0.3">
      <c r="AC73" s="469"/>
      <c r="AE73" s="469"/>
    </row>
    <row r="74" spans="29:31" x14ac:dyDescent="0.3">
      <c r="AC74" s="469"/>
      <c r="AE74" s="469"/>
    </row>
    <row r="75" spans="29:31" x14ac:dyDescent="0.3">
      <c r="AC75" s="469"/>
      <c r="AE75" s="469"/>
    </row>
    <row r="76" spans="29:31" x14ac:dyDescent="0.3">
      <c r="AC76" s="469"/>
      <c r="AE76" s="469"/>
    </row>
    <row r="77" spans="29:31" x14ac:dyDescent="0.3">
      <c r="AC77" s="469"/>
      <c r="AE77" s="469"/>
    </row>
    <row r="78" spans="29:31" x14ac:dyDescent="0.3">
      <c r="AC78" s="469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 codeName="Sheet4">
    <tabColor theme="1" tint="0.249977111117893"/>
    <pageSetUpPr fitToPage="1"/>
  </sheetPr>
  <dimension ref="A1:AM63"/>
  <sheetViews>
    <sheetView showGridLines="0" showZeros="0" view="pageBreakPreview" topLeftCell="F26" zoomScale="85" zoomScaleNormal="85" zoomScaleSheetLayoutView="85" workbookViewId="0">
      <selection activeCell="U7" sqref="U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216</v>
      </c>
      <c r="AD3" s="5"/>
      <c r="AG3" s="5"/>
    </row>
    <row r="4" spans="1:39" ht="18" customHeight="1" x14ac:dyDescent="0.3">
      <c r="H4" s="7"/>
      <c r="AD4" s="5"/>
      <c r="AG4" s="5" t="s">
        <v>86</v>
      </c>
    </row>
    <row r="5" spans="1:39" s="8" customFormat="1" ht="19.5" customHeight="1" x14ac:dyDescent="0.3">
      <c r="G5" s="661"/>
      <c r="H5" s="701" t="s">
        <v>11</v>
      </c>
      <c r="I5" s="702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107</v>
      </c>
      <c r="U5" s="173"/>
      <c r="V5" s="173"/>
      <c r="W5" s="173"/>
      <c r="X5" s="174"/>
      <c r="Y5" s="172" t="s">
        <v>21</v>
      </c>
      <c r="Z5" s="173"/>
      <c r="AA5" s="174"/>
      <c r="AB5" s="172" t="s">
        <v>40</v>
      </c>
      <c r="AC5" s="173"/>
      <c r="AD5" s="174"/>
      <c r="AE5" s="172" t="s">
        <v>61</v>
      </c>
      <c r="AF5" s="173"/>
      <c r="AG5" s="174"/>
    </row>
    <row r="6" spans="1:39" s="8" customFormat="1" ht="19.5" customHeight="1" x14ac:dyDescent="0.3">
      <c r="A6" s="8" t="s">
        <v>204</v>
      </c>
      <c r="G6" s="661"/>
      <c r="H6" s="703"/>
      <c r="I6" s="704"/>
      <c r="J6" s="175" t="s">
        <v>12</v>
      </c>
      <c r="K6" s="176" t="s">
        <v>13</v>
      </c>
      <c r="L6" s="177" t="s">
        <v>33</v>
      </c>
      <c r="M6" s="176" t="s">
        <v>14</v>
      </c>
      <c r="N6" s="178" t="s">
        <v>33</v>
      </c>
      <c r="O6" s="175" t="s">
        <v>15</v>
      </c>
      <c r="P6" s="176" t="s">
        <v>16</v>
      </c>
      <c r="Q6" s="177" t="s">
        <v>32</v>
      </c>
      <c r="R6" s="176" t="s">
        <v>17</v>
      </c>
      <c r="S6" s="178" t="s">
        <v>32</v>
      </c>
      <c r="T6" s="175" t="s">
        <v>15</v>
      </c>
      <c r="U6" s="176" t="s">
        <v>16</v>
      </c>
      <c r="V6" s="177" t="s">
        <v>32</v>
      </c>
      <c r="W6" s="176" t="s">
        <v>17</v>
      </c>
      <c r="X6" s="178" t="s">
        <v>32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9" s="8" customFormat="1" ht="19.5" customHeight="1" x14ac:dyDescent="0.3">
      <c r="B7" s="8" t="s">
        <v>22</v>
      </c>
      <c r="F7" s="9">
        <f>+U7/T7</f>
        <v>0.55069119825265955</v>
      </c>
      <c r="G7" s="663">
        <f t="shared" ref="G7:G22" si="0">+K7/J7</f>
        <v>0.89381400000000022</v>
      </c>
      <c r="H7" s="78" t="s">
        <v>46</v>
      </c>
      <c r="I7" s="79" t="s">
        <v>22</v>
      </c>
      <c r="J7" s="36">
        <f>+'사업장별(당월)'!J7+'[4]사업장별(누계)'!J7</f>
        <v>500</v>
      </c>
      <c r="K7" s="37">
        <f>+'사업장별(당월)'!K7+'[4]사업장별(누계)'!K7</f>
        <v>446.9070000000001</v>
      </c>
      <c r="L7" s="38">
        <f t="shared" ref="L7:L32" si="1">+K7-J7</f>
        <v>-53.092999999999904</v>
      </c>
      <c r="M7" s="39">
        <f>+'사업장별(당월)'!M7+'[4]사업장별(누계)'!M7</f>
        <v>544.7650000000001</v>
      </c>
      <c r="N7" s="40">
        <f>+K7-M7</f>
        <v>-97.858000000000004</v>
      </c>
      <c r="O7" s="36">
        <f>+'사업장별(당월)'!O7+'[4]사업장별(누계)'!O7</f>
        <v>50250.119400000003</v>
      </c>
      <c r="P7" s="37">
        <f>+'사업장별(당월)'!P7+'[4]사업장별(누계)'!P7</f>
        <v>44168.649733999999</v>
      </c>
      <c r="Q7" s="38">
        <f>+P7-O7</f>
        <v>-6081.4696660000045</v>
      </c>
      <c r="R7" s="39">
        <f>+'사업장별(당월)'!R7+'[4]사업장별(누계)'!R7</f>
        <v>50719.371282000007</v>
      </c>
      <c r="S7" s="40">
        <f>+P7-R7</f>
        <v>-6550.7215480000086</v>
      </c>
      <c r="T7" s="36">
        <f>+'사업장별(당월)'!T7+'[4]사업장별(누계)'!T7</f>
        <v>6989.3154479547029</v>
      </c>
      <c r="U7" s="37">
        <f>+'사업장별(당월)'!U7+'[4]사업장별(누계)'!U7</f>
        <v>3848.954498999999</v>
      </c>
      <c r="V7" s="41">
        <f>+U7-T7</f>
        <v>-3140.3609489547039</v>
      </c>
      <c r="W7" s="42">
        <f>+'사업장별(당월)'!W7+'[4]사업장별(누계)'!W7</f>
        <v>6550.2457279800001</v>
      </c>
      <c r="X7" s="40">
        <f>+U7-W7</f>
        <v>-2701.2912289800011</v>
      </c>
      <c r="Y7" s="36">
        <f>+[11]안양!$Q$85</f>
        <v>100500.23880000001</v>
      </c>
      <c r="Z7" s="37">
        <f>+[11]안양!$R$85</f>
        <v>98828.586406819421</v>
      </c>
      <c r="AA7" s="43">
        <f>+[12]안양!$Q$85</f>
        <v>93081.061297369655</v>
      </c>
      <c r="AB7" s="44">
        <f>+[11]안양!$Q$89</f>
        <v>79231.06777875495</v>
      </c>
      <c r="AC7" s="37">
        <f>+[11]안양!$R$89</f>
        <v>81804.461806674546</v>
      </c>
      <c r="AD7" s="45">
        <f>+[12]안양!$Q$89</f>
        <v>74052.677232174043</v>
      </c>
      <c r="AE7" s="44">
        <f>+Y7-AB7</f>
        <v>21269.171021245056</v>
      </c>
      <c r="AF7" s="37">
        <f>+Z7-AC7</f>
        <v>17024.124600144874</v>
      </c>
      <c r="AG7" s="45">
        <f>+AA7-AD7</f>
        <v>19028.384065195612</v>
      </c>
      <c r="AH7" s="18"/>
      <c r="AI7" s="660">
        <f>+U7/T7-1</f>
        <v>-0.44930880174734045</v>
      </c>
      <c r="AJ7" s="9">
        <f>+U7/T7</f>
        <v>0.55069119825265955</v>
      </c>
      <c r="AK7" s="670">
        <f>+Z7-Y7</f>
        <v>-1671.6523931805859</v>
      </c>
      <c r="AL7" s="670">
        <f>+AC7-AB7</f>
        <v>2573.3940279195958</v>
      </c>
      <c r="AM7" s="670">
        <f>+AF7-AE7</f>
        <v>-4245.0464211001818</v>
      </c>
    </row>
    <row r="8" spans="1:39" s="8" customFormat="1" ht="19.5" customHeight="1" x14ac:dyDescent="0.3">
      <c r="B8" s="8" t="s">
        <v>23</v>
      </c>
      <c r="F8" s="9">
        <f t="shared" ref="F8:F27" si="2">+U8/T8</f>
        <v>0.3608623681945059</v>
      </c>
      <c r="G8" s="663">
        <f t="shared" si="0"/>
        <v>0.86037894736842113</v>
      </c>
      <c r="H8" s="80" t="s">
        <v>47</v>
      </c>
      <c r="I8" s="81" t="s">
        <v>23</v>
      </c>
      <c r="J8" s="46">
        <f>+'사업장별(당월)'!J8+'[4]사업장별(누계)'!J8</f>
        <v>380</v>
      </c>
      <c r="K8" s="47">
        <f>+'사업장별(당월)'!K8+'[4]사업장별(누계)'!K8</f>
        <v>326.94400000000002</v>
      </c>
      <c r="L8" s="48">
        <f t="shared" si="1"/>
        <v>-53.055999999999983</v>
      </c>
      <c r="M8" s="49">
        <f>+'사업장별(당월)'!M8+'[4]사업장별(누계)'!M8</f>
        <v>437.94499999999999</v>
      </c>
      <c r="N8" s="50">
        <f t="shared" ref="N8:N32" si="3">+K8-M8</f>
        <v>-111.00099999999998</v>
      </c>
      <c r="O8" s="46">
        <f>+'사업장별(당월)'!O8+'[4]사업장별(누계)'!O8</f>
        <v>39128.800000569601</v>
      </c>
      <c r="P8" s="47">
        <f>+'사업장별(당월)'!P8+'[4]사업장별(누계)'!P8</f>
        <v>32487.435570000001</v>
      </c>
      <c r="Q8" s="48">
        <f t="shared" ref="Q8:Q43" si="4">+P8-O8</f>
        <v>-6641.3644305695998</v>
      </c>
      <c r="R8" s="49">
        <f>+'사업장별(당월)'!R8+'[4]사업장별(누계)'!R8</f>
        <v>42191.153572000003</v>
      </c>
      <c r="S8" s="50">
        <f t="shared" ref="S8:S40" si="5">+P8-R8</f>
        <v>-9703.7180020000014</v>
      </c>
      <c r="T8" s="46">
        <f>+'사업장별(당월)'!T8+'[4]사업장별(누계)'!T8</f>
        <v>4669.8055838886858</v>
      </c>
      <c r="U8" s="47">
        <f>+'사업장별(당월)'!U8+'[4]사업장별(누계)'!U8</f>
        <v>1685.1571020099987</v>
      </c>
      <c r="V8" s="48">
        <f t="shared" ref="V8:V40" si="6">+U8-T8</f>
        <v>-2984.6484818786871</v>
      </c>
      <c r="W8" s="49">
        <f>+'사업장별(당월)'!W8+'[4]사업장별(누계)'!W8</f>
        <v>4579.4671449999987</v>
      </c>
      <c r="X8" s="50">
        <f t="shared" ref="X8:X39" si="7">+U8-W8</f>
        <v>-2894.3100429900001</v>
      </c>
      <c r="Y8" s="46">
        <f>+[11]인천!$Q$85</f>
        <v>102970.52631728842</v>
      </c>
      <c r="Z8" s="47">
        <f>+[11]인천!$R$85</f>
        <v>99370.183978313027</v>
      </c>
      <c r="AA8" s="51">
        <f>+[12]인천!$Q$85</f>
        <v>96316.252665931766</v>
      </c>
      <c r="AB8" s="52">
        <f>+[11]인천!$Q$89</f>
        <v>81332.758564608055</v>
      </c>
      <c r="AC8" s="47">
        <f>+[11]인천!$R$89</f>
        <v>83063.771691492002</v>
      </c>
      <c r="AD8" s="53">
        <f>+[12]인천!$Q$89</f>
        <v>77106.068167433696</v>
      </c>
      <c r="AE8" s="52">
        <f t="shared" ref="AE8:AG27" si="8">+Y8-AB8</f>
        <v>21637.76775268036</v>
      </c>
      <c r="AF8" s="47">
        <f t="shared" si="8"/>
        <v>16306.412286821025</v>
      </c>
      <c r="AG8" s="53">
        <f t="shared" si="8"/>
        <v>19210.184498498071</v>
      </c>
      <c r="AH8" s="18"/>
      <c r="AI8" s="660">
        <f t="shared" ref="AI8:AI27" si="9">+U8/T8-1</f>
        <v>-0.6391376318054941</v>
      </c>
      <c r="AJ8" s="96"/>
      <c r="AK8" s="670">
        <f t="shared" ref="AK8:AK18" si="10">+Z8-Y8</f>
        <v>-3600.342338975388</v>
      </c>
      <c r="AL8" s="670">
        <f t="shared" ref="AL8:AL18" si="11">+AC8-AB8</f>
        <v>1731.0131268839468</v>
      </c>
      <c r="AM8" s="670">
        <f t="shared" ref="AM8:AM18" si="12">+AF8-AE8</f>
        <v>-5331.3554658593348</v>
      </c>
    </row>
    <row r="9" spans="1:39" s="8" customFormat="1" ht="19.5" customHeight="1" x14ac:dyDescent="0.3">
      <c r="B9" s="8" t="s">
        <v>24</v>
      </c>
      <c r="F9" s="9">
        <f t="shared" si="2"/>
        <v>0.42226919097725979</v>
      </c>
      <c r="G9" s="663">
        <f t="shared" si="0"/>
        <v>0.97362758620689671</v>
      </c>
      <c r="H9" s="80"/>
      <c r="I9" s="81" t="s">
        <v>24</v>
      </c>
      <c r="J9" s="46">
        <f>+'사업장별(당월)'!J9+'[4]사업장별(누계)'!J9</f>
        <v>290</v>
      </c>
      <c r="K9" s="47">
        <f>+'사업장별(당월)'!K9+'[4]사업장별(누계)'!K9</f>
        <v>282.35200000000003</v>
      </c>
      <c r="L9" s="48">
        <f t="shared" si="1"/>
        <v>-7.6479999999999677</v>
      </c>
      <c r="M9" s="49">
        <f>+'사업장별(당월)'!M9+'[4]사업장별(누계)'!M9</f>
        <v>319.15100000000001</v>
      </c>
      <c r="N9" s="50">
        <f t="shared" si="3"/>
        <v>-36.798999999999978</v>
      </c>
      <c r="O9" s="46">
        <f>+'사업장별(당월)'!O9+'[4]사업장별(누계)'!O9</f>
        <v>28710</v>
      </c>
      <c r="P9" s="47">
        <f>+'사업장별(당월)'!P9+'[4]사업장별(누계)'!P9</f>
        <v>27203.180145999999</v>
      </c>
      <c r="Q9" s="48">
        <f t="shared" si="4"/>
        <v>-1506.8198540000012</v>
      </c>
      <c r="R9" s="49">
        <f>+'사업장별(당월)'!R9+'[4]사업장별(누계)'!R9</f>
        <v>29900.259745999992</v>
      </c>
      <c r="S9" s="50">
        <f t="shared" si="5"/>
        <v>-2697.0795999999937</v>
      </c>
      <c r="T9" s="46">
        <f>+'사업장별(당월)'!T9+'[4]사업장별(누계)'!T9</f>
        <v>3820.6953798030772</v>
      </c>
      <c r="U9" s="47">
        <f>+'사업장별(당월)'!U9+'[4]사업장별(누계)'!U9</f>
        <v>1613.3619469999996</v>
      </c>
      <c r="V9" s="48">
        <f t="shared" si="6"/>
        <v>-2207.3334328030778</v>
      </c>
      <c r="W9" s="49">
        <f>+'사업장별(당월)'!W9+'[4]사업장별(누계)'!W9</f>
        <v>2798.5360090199979</v>
      </c>
      <c r="X9" s="50">
        <f t="shared" si="7"/>
        <v>-1185.1740620199982</v>
      </c>
      <c r="Y9" s="46">
        <f>+[11]파주!$Q$85</f>
        <v>99000</v>
      </c>
      <c r="Z9" s="47">
        <f>+[11]파주!$R$85</f>
        <v>96350.004097686557</v>
      </c>
      <c r="AA9" s="51">
        <f>+[12]파주!$Q$85</f>
        <v>93667.601849574829</v>
      </c>
      <c r="AB9" s="52">
        <f>+[11]파주!$Q$89</f>
        <v>76707.816090519089</v>
      </c>
      <c r="AC9" s="47">
        <f>+[11]파주!$R$89</f>
        <v>80693.654991312302</v>
      </c>
      <c r="AD9" s="53">
        <f>+[12]파주!$Q$89</f>
        <v>75977.9806059861</v>
      </c>
      <c r="AE9" s="52">
        <f t="shared" si="8"/>
        <v>22292.183909480911</v>
      </c>
      <c r="AF9" s="47">
        <f t="shared" si="8"/>
        <v>15656.349106374255</v>
      </c>
      <c r="AG9" s="53">
        <f t="shared" si="8"/>
        <v>17689.621243588728</v>
      </c>
      <c r="AH9" s="18"/>
      <c r="AI9" s="660">
        <f t="shared" si="9"/>
        <v>-0.57773080902274021</v>
      </c>
      <c r="AJ9" s="96"/>
      <c r="AK9" s="670">
        <f t="shared" si="10"/>
        <v>-2649.9959023134434</v>
      </c>
      <c r="AL9" s="670">
        <f t="shared" si="11"/>
        <v>3985.8389007932128</v>
      </c>
      <c r="AM9" s="670">
        <f t="shared" si="12"/>
        <v>-6635.8348031066562</v>
      </c>
    </row>
    <row r="10" spans="1:39" s="8" customFormat="1" ht="19.5" customHeight="1" x14ac:dyDescent="0.3">
      <c r="B10" s="8" t="s">
        <v>142</v>
      </c>
      <c r="F10" s="9">
        <f t="shared" si="2"/>
        <v>0.40571791675090935</v>
      </c>
      <c r="G10" s="663">
        <f t="shared" si="0"/>
        <v>0.78575135135135121</v>
      </c>
      <c r="H10" s="80"/>
      <c r="I10" s="81" t="s">
        <v>139</v>
      </c>
      <c r="J10" s="46">
        <f>+'사업장별(당월)'!J10+'[4]사업장별(누계)'!J10</f>
        <v>185</v>
      </c>
      <c r="K10" s="47">
        <f>+'사업장별(당월)'!K10+'[4]사업장별(누계)'!K10</f>
        <v>145.36399999999998</v>
      </c>
      <c r="L10" s="48">
        <f t="shared" si="1"/>
        <v>-39.636000000000024</v>
      </c>
      <c r="M10" s="49">
        <f>+'사업장별(당월)'!M10+'[4]사업장별(누계)'!M10</f>
        <v>192.68068000000002</v>
      </c>
      <c r="N10" s="50">
        <f t="shared" si="3"/>
        <v>-47.316680000000048</v>
      </c>
      <c r="O10" s="46">
        <f>+'사업장별(당월)'!O10+'[4]사업장별(누계)'!O10</f>
        <v>17729.0255</v>
      </c>
      <c r="P10" s="47">
        <f>+'사업장별(당월)'!P10+'[4]사업장별(누계)'!P10</f>
        <v>14094.889742000001</v>
      </c>
      <c r="Q10" s="48">
        <f t="shared" si="4"/>
        <v>-3634.1357579999985</v>
      </c>
      <c r="R10" s="49">
        <f>+'사업장별(당월)'!R10+'[4]사업장별(누계)'!R10</f>
        <v>17529.715037000002</v>
      </c>
      <c r="S10" s="50">
        <f t="shared" si="5"/>
        <v>-3434.8252950000006</v>
      </c>
      <c r="T10" s="46">
        <f>+'사업장별(당월)'!T10+'[4]사업장별(누계)'!T10</f>
        <v>2436.1358451093965</v>
      </c>
      <c r="U10" s="47">
        <f>+'사업장별(당월)'!U10+'[4]사업장별(누계)'!U10</f>
        <v>988.38396000000034</v>
      </c>
      <c r="V10" s="48">
        <f t="shared" si="6"/>
        <v>-1447.7518851093962</v>
      </c>
      <c r="W10" s="49">
        <f>+'사업장별(당월)'!W10+'[4]사업장별(누계)'!W10</f>
        <v>1993.419854</v>
      </c>
      <c r="X10" s="50">
        <f t="shared" si="7"/>
        <v>-1005.0358939999996</v>
      </c>
      <c r="Y10" s="46">
        <f>+[11]김포!$Q$85</f>
        <v>95832.570270270269</v>
      </c>
      <c r="Z10" s="47">
        <f>+[11]김포!$R$85</f>
        <v>96982.545526337664</v>
      </c>
      <c r="AA10" s="51">
        <f>+[12]김포!$Q$85</f>
        <v>90947.333812129102</v>
      </c>
      <c r="AB10" s="52">
        <f>+[11]김포!$Q$89</f>
        <v>71988.84201562489</v>
      </c>
      <c r="AC10" s="47">
        <f>+[11]김포!$R$89</f>
        <v>76390.145436038045</v>
      </c>
      <c r="AD10" s="53">
        <f>+[12]김포!$Q$89</f>
        <v>69501.601327135242</v>
      </c>
      <c r="AE10" s="52">
        <f t="shared" si="8"/>
        <v>23843.728254645379</v>
      </c>
      <c r="AF10" s="47">
        <f t="shared" si="8"/>
        <v>20592.400090299619</v>
      </c>
      <c r="AG10" s="53">
        <f t="shared" si="8"/>
        <v>21445.73248499386</v>
      </c>
      <c r="AH10" s="18"/>
      <c r="AI10" s="660">
        <f t="shared" si="9"/>
        <v>-0.59428208324909071</v>
      </c>
      <c r="AJ10" s="96"/>
      <c r="AK10" s="670">
        <f t="shared" si="10"/>
        <v>1149.9752560673951</v>
      </c>
      <c r="AL10" s="670">
        <f t="shared" si="11"/>
        <v>4401.3034204131545</v>
      </c>
      <c r="AM10" s="670">
        <f t="shared" si="12"/>
        <v>-3251.3281643457594</v>
      </c>
    </row>
    <row r="11" spans="1:39" s="8" customFormat="1" ht="19.5" customHeight="1" x14ac:dyDescent="0.3">
      <c r="B11" s="8" t="s">
        <v>25</v>
      </c>
      <c r="F11" s="9">
        <f t="shared" si="2"/>
        <v>0.58068384207620682</v>
      </c>
      <c r="G11" s="663">
        <f t="shared" si="0"/>
        <v>0.93480600000000003</v>
      </c>
      <c r="H11" s="80"/>
      <c r="I11" s="82" t="s">
        <v>25</v>
      </c>
      <c r="J11" s="63">
        <f>+'사업장별(당월)'!J11+'[4]사업장별(누계)'!J11</f>
        <v>250</v>
      </c>
      <c r="K11" s="64">
        <f>+'사업장별(당월)'!K11+'[4]사업장별(누계)'!K11</f>
        <v>233.70150000000001</v>
      </c>
      <c r="L11" s="65">
        <f t="shared" si="1"/>
        <v>-16.29849999999999</v>
      </c>
      <c r="M11" s="66">
        <f>+'사업장별(당월)'!M11+'[4]사업장별(누계)'!M11</f>
        <v>277.28700000000003</v>
      </c>
      <c r="N11" s="67">
        <f t="shared" si="3"/>
        <v>-43.585500000000025</v>
      </c>
      <c r="O11" s="63">
        <f>+'사업장별(당월)'!O11+'[4]사업장별(누계)'!O11</f>
        <v>26900.016311749998</v>
      </c>
      <c r="P11" s="64">
        <f>+'사업장별(당월)'!P11+'[4]사업장별(누계)'!P11</f>
        <v>25325.075207000002</v>
      </c>
      <c r="Q11" s="65">
        <f t="shared" si="4"/>
        <v>-1574.9411047499962</v>
      </c>
      <c r="R11" s="66">
        <f>+'사업장별(당월)'!R11+'[4]사업장별(누계)'!R11</f>
        <v>28633.863225000001</v>
      </c>
      <c r="S11" s="67">
        <f t="shared" si="5"/>
        <v>-3308.7880179999993</v>
      </c>
      <c r="T11" s="63">
        <f>+'사업장별(당월)'!T11+'[4]사업장별(누계)'!T11</f>
        <v>3992.3074141535326</v>
      </c>
      <c r="U11" s="64">
        <f>+'사업장별(당월)'!U11+'[4]사업장별(누계)'!U11</f>
        <v>2318.2684079999995</v>
      </c>
      <c r="V11" s="65">
        <f t="shared" si="6"/>
        <v>-1674.0390061535331</v>
      </c>
      <c r="W11" s="66">
        <f>+'사업장별(당월)'!W11+'[4]사업장별(누계)'!W11</f>
        <v>4450.0329909999991</v>
      </c>
      <c r="X11" s="67">
        <f t="shared" si="7"/>
        <v>-2131.7645829999997</v>
      </c>
      <c r="Y11" s="63">
        <f>+[11]부산!$Q$85</f>
        <v>107600.06524699999</v>
      </c>
      <c r="Z11" s="64">
        <f>+[11]부산!$R$85</f>
        <v>108365.05203004688</v>
      </c>
      <c r="AA11" s="68">
        <f>+[12]부산!$Q$85</f>
        <v>103264.35507254215</v>
      </c>
      <c r="AB11" s="69">
        <f>+[11]부산!$Q$89</f>
        <v>78876.235770161788</v>
      </c>
      <c r="AC11" s="64">
        <f>+[11]부산!$R$89</f>
        <v>84633.087474035186</v>
      </c>
      <c r="AD11" s="70">
        <f>+[12]부산!$Q$89</f>
        <v>75618.33100556671</v>
      </c>
      <c r="AE11" s="69">
        <f t="shared" si="8"/>
        <v>28723.829476838204</v>
      </c>
      <c r="AF11" s="64">
        <f t="shared" si="8"/>
        <v>23731.964556011691</v>
      </c>
      <c r="AG11" s="70">
        <f t="shared" si="8"/>
        <v>27646.024066975442</v>
      </c>
      <c r="AH11" s="18"/>
      <c r="AI11" s="660">
        <f t="shared" si="9"/>
        <v>-0.41931615792379318</v>
      </c>
      <c r="AJ11" s="96"/>
      <c r="AK11" s="96">
        <f t="shared" si="10"/>
        <v>764.98678304688656</v>
      </c>
      <c r="AL11" s="96">
        <f t="shared" si="11"/>
        <v>5756.8517038733989</v>
      </c>
      <c r="AM11" s="96">
        <f t="shared" si="12"/>
        <v>-4991.8649208265124</v>
      </c>
    </row>
    <row r="12" spans="1:39" s="8" customFormat="1" ht="19.5" customHeight="1" x14ac:dyDescent="0.3">
      <c r="B12" s="8" t="s">
        <v>26</v>
      </c>
      <c r="F12" s="9">
        <f t="shared" si="2"/>
        <v>0.48801075472662919</v>
      </c>
      <c r="G12" s="663">
        <f t="shared" si="0"/>
        <v>0.86610689655172424</v>
      </c>
      <c r="H12" s="80"/>
      <c r="I12" s="81" t="s">
        <v>26</v>
      </c>
      <c r="J12" s="46">
        <f>+'사업장별(당월)'!J12+'[4]사업장별(누계)'!J12</f>
        <v>290</v>
      </c>
      <c r="K12" s="47">
        <f>+'사업장별(당월)'!K12+'[4]사업장별(누계)'!K12</f>
        <v>251.17100000000002</v>
      </c>
      <c r="L12" s="48">
        <f t="shared" si="1"/>
        <v>-38.828999999999979</v>
      </c>
      <c r="M12" s="49">
        <f>+'사업장별(당월)'!M12+'[4]사업장별(누계)'!M12</f>
        <v>271.22499999999997</v>
      </c>
      <c r="N12" s="50">
        <f t="shared" si="3"/>
        <v>-20.053999999999945</v>
      </c>
      <c r="O12" s="46">
        <f>+'사업장별(당월)'!O12+'[4]사업장별(누계)'!O12</f>
        <v>30159.997799999997</v>
      </c>
      <c r="P12" s="47">
        <f>+'사업장별(당월)'!P12+'[4]사업장별(누계)'!P12</f>
        <v>25076.528038</v>
      </c>
      <c r="Q12" s="48">
        <f t="shared" si="4"/>
        <v>-5083.469761999997</v>
      </c>
      <c r="R12" s="49">
        <f>+'사업장별(당월)'!R12+'[4]사업장별(누계)'!R12</f>
        <v>27040.176502000002</v>
      </c>
      <c r="S12" s="50">
        <f t="shared" si="5"/>
        <v>-1963.6484640000017</v>
      </c>
      <c r="T12" s="46">
        <f>+'사업장별(당월)'!T12+'[4]사업장별(누계)'!T12</f>
        <v>5283.8429707239702</v>
      </c>
      <c r="U12" s="47">
        <f>+'사업장별(당월)'!U12+'[4]사업장별(누계)'!U12</f>
        <v>2578.5721959999992</v>
      </c>
      <c r="V12" s="48">
        <f t="shared" si="6"/>
        <v>-2705.270774723971</v>
      </c>
      <c r="W12" s="49">
        <f>+'사업장별(당월)'!W12+'[4]사업장별(누계)'!W12</f>
        <v>4306.6418009999998</v>
      </c>
      <c r="X12" s="50">
        <f t="shared" si="7"/>
        <v>-1728.0696050000006</v>
      </c>
      <c r="Y12" s="46">
        <f>+[11]서부산!$Q$85</f>
        <v>103999.99241379309</v>
      </c>
      <c r="Z12" s="47">
        <f>+[11]서부산!$R$85</f>
        <v>99839.194770440154</v>
      </c>
      <c r="AA12" s="51">
        <f>+[12]서부산!$Q$85</f>
        <v>99696.475258549166</v>
      </c>
      <c r="AB12" s="52">
        <f>+[11]서부산!$Q$89</f>
        <v>76888.3055576568</v>
      </c>
      <c r="AC12" s="47">
        <f>+[11]서부산!$R$89</f>
        <v>78610.501796370387</v>
      </c>
      <c r="AD12" s="53">
        <f>+[12]서부산!$Q$89</f>
        <v>74152.249669130528</v>
      </c>
      <c r="AE12" s="52">
        <f t="shared" si="8"/>
        <v>27111.686856136293</v>
      </c>
      <c r="AF12" s="47">
        <f t="shared" si="8"/>
        <v>21228.692974069767</v>
      </c>
      <c r="AG12" s="53">
        <f t="shared" si="8"/>
        <v>25544.225589418638</v>
      </c>
      <c r="AH12" s="18"/>
      <c r="AI12" s="660">
        <f t="shared" si="9"/>
        <v>-0.51198924527337075</v>
      </c>
      <c r="AJ12" s="96"/>
      <c r="AK12" s="96">
        <f t="shared" si="10"/>
        <v>-4160.7976433529402</v>
      </c>
      <c r="AL12" s="96">
        <f t="shared" si="11"/>
        <v>1722.1962387135864</v>
      </c>
      <c r="AM12" s="96">
        <f t="shared" si="12"/>
        <v>-5882.9938820665266</v>
      </c>
    </row>
    <row r="13" spans="1:39" s="8" customFormat="1" ht="19.5" customHeight="1" x14ac:dyDescent="0.3">
      <c r="B13" s="8" t="s">
        <v>27</v>
      </c>
      <c r="F13" s="9">
        <f t="shared" si="2"/>
        <v>0.41126879100811348</v>
      </c>
      <c r="G13" s="663">
        <f t="shared" si="0"/>
        <v>1.0948482758620688</v>
      </c>
      <c r="H13" s="80"/>
      <c r="I13" s="81" t="s">
        <v>27</v>
      </c>
      <c r="J13" s="46">
        <f>+'사업장별(당월)'!J13+'[4]사업장별(누계)'!J13</f>
        <v>145</v>
      </c>
      <c r="K13" s="47">
        <f>+'사업장별(당월)'!K13+'[4]사업장별(누계)'!K13</f>
        <v>158.75299999999999</v>
      </c>
      <c r="L13" s="48">
        <f t="shared" si="1"/>
        <v>13.752999999999986</v>
      </c>
      <c r="M13" s="49">
        <f>+'사업장별(당월)'!M13+'[4]사업장별(누계)'!M13</f>
        <v>160.97400000000002</v>
      </c>
      <c r="N13" s="50">
        <f t="shared" si="3"/>
        <v>-2.2210000000000321</v>
      </c>
      <c r="O13" s="46">
        <f>+'사업장별(당월)'!O13+'[4]사업장별(누계)'!O13</f>
        <v>14645.000199999999</v>
      </c>
      <c r="P13" s="47">
        <f>+'사업장별(당월)'!P13+'[4]사업장별(누계)'!P13</f>
        <v>15104.725599999998</v>
      </c>
      <c r="Q13" s="48">
        <f t="shared" si="4"/>
        <v>459.72539999999935</v>
      </c>
      <c r="R13" s="49">
        <f>+'사업장별(당월)'!R13+'[4]사업장별(누계)'!R13</f>
        <v>15772.530787999998</v>
      </c>
      <c r="S13" s="50">
        <f t="shared" si="5"/>
        <v>-667.80518800000027</v>
      </c>
      <c r="T13" s="46">
        <f>+'사업장별(당월)'!T13+'[4]사업장별(누계)'!T13</f>
        <v>1814.6138251109769</v>
      </c>
      <c r="U13" s="47">
        <f>+'사업장별(당월)'!U13+'[4]사업장별(누계)'!U13</f>
        <v>746.29403399999978</v>
      </c>
      <c r="V13" s="48">
        <f t="shared" si="6"/>
        <v>-1068.3197911109771</v>
      </c>
      <c r="W13" s="49">
        <f>+'사업장별(당월)'!W13+'[4]사업장별(누계)'!W13</f>
        <v>1882.8468310000003</v>
      </c>
      <c r="X13" s="50">
        <f t="shared" si="7"/>
        <v>-1136.5527970000005</v>
      </c>
      <c r="Y13" s="46">
        <f>+[11]김해!$Q$85</f>
        <v>101000.00137931034</v>
      </c>
      <c r="Z13" s="47">
        <f>+[11]김해!$R$85</f>
        <v>95215.142526545911</v>
      </c>
      <c r="AA13" s="51">
        <f>+[12]김해!$Q$85</f>
        <v>97994.962624672582</v>
      </c>
      <c r="AB13" s="52">
        <f>+[11]김해!$Q$89</f>
        <v>76602.54118503799</v>
      </c>
      <c r="AC13" s="47">
        <f>+[11]김해!$R$89</f>
        <v>78787.119126304809</v>
      </c>
      <c r="AD13" s="53">
        <f>+[12]김해!$Q$89</f>
        <v>74987.777595958221</v>
      </c>
      <c r="AE13" s="52">
        <f t="shared" si="8"/>
        <v>24397.460194272353</v>
      </c>
      <c r="AF13" s="47">
        <f t="shared" si="8"/>
        <v>16428.023400241102</v>
      </c>
      <c r="AG13" s="53">
        <f t="shared" si="8"/>
        <v>23007.185028714361</v>
      </c>
      <c r="AH13" s="18"/>
      <c r="AI13" s="660">
        <f t="shared" si="9"/>
        <v>-0.58873120899188658</v>
      </c>
      <c r="AJ13" s="96"/>
      <c r="AK13" s="96">
        <f t="shared" si="10"/>
        <v>-5784.8588527644315</v>
      </c>
      <c r="AL13" s="96">
        <f t="shared" si="11"/>
        <v>2184.5779412668198</v>
      </c>
      <c r="AM13" s="96">
        <f t="shared" si="12"/>
        <v>-7969.4367940312513</v>
      </c>
    </row>
    <row r="14" spans="1:39" s="8" customFormat="1" ht="19.5" customHeight="1" x14ac:dyDescent="0.3">
      <c r="B14" s="8" t="s">
        <v>28</v>
      </c>
      <c r="F14" s="9">
        <f t="shared" si="2"/>
        <v>0.6607728997091431</v>
      </c>
      <c r="G14" s="663">
        <f t="shared" si="0"/>
        <v>1.1299357142857143</v>
      </c>
      <c r="H14" s="80"/>
      <c r="I14" s="81" t="s">
        <v>28</v>
      </c>
      <c r="J14" s="46">
        <f>+'사업장별(당월)'!J14+'[4]사업장별(누계)'!J14</f>
        <v>210</v>
      </c>
      <c r="K14" s="47">
        <f>+'사업장별(당월)'!K14+'[4]사업장별(누계)'!K14</f>
        <v>237.28649999999999</v>
      </c>
      <c r="L14" s="48">
        <f t="shared" si="1"/>
        <v>27.28649999999999</v>
      </c>
      <c r="M14" s="49">
        <f>+'사업장별(당월)'!M14+'[4]사업장별(누계)'!M14</f>
        <v>230.96099999999998</v>
      </c>
      <c r="N14" s="50">
        <f t="shared" si="3"/>
        <v>6.3255000000000052</v>
      </c>
      <c r="O14" s="46">
        <f>+'사업장별(당월)'!O14+'[4]사업장별(누계)'!O14</f>
        <v>21840</v>
      </c>
      <c r="P14" s="47">
        <f>+'사업장별(당월)'!P14+'[4]사업장별(누계)'!P14</f>
        <v>24033.941980999996</v>
      </c>
      <c r="Q14" s="48">
        <f t="shared" si="4"/>
        <v>2193.9419809999963</v>
      </c>
      <c r="R14" s="49">
        <f>+'사업장별(당월)'!R14+'[4]사업장별(누계)'!R14</f>
        <v>23250.52752</v>
      </c>
      <c r="S14" s="50">
        <f t="shared" si="5"/>
        <v>783.41446099999666</v>
      </c>
      <c r="T14" s="46">
        <f>+'사업장별(당월)'!T14+'[4]사업장별(누계)'!T14</f>
        <v>3004.7719403655296</v>
      </c>
      <c r="U14" s="47">
        <f>+'사업장별(당월)'!U14+'[4]사업장별(누계)'!U14</f>
        <v>1985.4718679999994</v>
      </c>
      <c r="V14" s="48">
        <f t="shared" si="6"/>
        <v>-1019.3000723655302</v>
      </c>
      <c r="W14" s="49">
        <f>+'사업장별(당월)'!W14+'[4]사업장별(누계)'!W14</f>
        <v>3331.2089450000003</v>
      </c>
      <c r="X14" s="50">
        <f t="shared" si="7"/>
        <v>-1345.7370770000009</v>
      </c>
      <c r="Y14" s="46">
        <f>+[11]정관!$Q$85</f>
        <v>104000</v>
      </c>
      <c r="Z14" s="47">
        <f>+[11]정관!$R$85</f>
        <v>101286.59650254018</v>
      </c>
      <c r="AA14" s="51">
        <f>+[12]정관!$Q$85</f>
        <v>100668.63028823047</v>
      </c>
      <c r="AB14" s="52">
        <f>+[11]정관!$Q$89</f>
        <v>78413.857209370501</v>
      </c>
      <c r="AC14" s="47">
        <f>+[11]정관!$R$89</f>
        <v>82252.165580415909</v>
      </c>
      <c r="AD14" s="53">
        <f>+[12]정관!$Q$89</f>
        <v>75650.672851287789</v>
      </c>
      <c r="AE14" s="52">
        <f t="shared" si="8"/>
        <v>25586.142790629499</v>
      </c>
      <c r="AF14" s="47">
        <f t="shared" si="8"/>
        <v>19034.430922124273</v>
      </c>
      <c r="AG14" s="53">
        <f t="shared" si="8"/>
        <v>25017.957436942685</v>
      </c>
      <c r="AH14" s="18"/>
      <c r="AI14" s="660">
        <f t="shared" si="9"/>
        <v>-0.3392271002908569</v>
      </c>
      <c r="AJ14" s="96"/>
      <c r="AK14" s="96">
        <f t="shared" si="10"/>
        <v>-2713.403497459818</v>
      </c>
      <c r="AL14" s="96">
        <f t="shared" si="11"/>
        <v>3838.3083710454084</v>
      </c>
      <c r="AM14" s="96">
        <f t="shared" si="12"/>
        <v>-6551.7118685052264</v>
      </c>
    </row>
    <row r="15" spans="1:39" s="8" customFormat="1" ht="19.5" customHeight="1" x14ac:dyDescent="0.3">
      <c r="B15" s="8" t="s">
        <v>29</v>
      </c>
      <c r="F15" s="9">
        <f t="shared" si="2"/>
        <v>0.67273777464552775</v>
      </c>
      <c r="G15" s="663">
        <f t="shared" si="0"/>
        <v>1.1321769230769232</v>
      </c>
      <c r="H15" s="80"/>
      <c r="I15" s="81" t="s">
        <v>180</v>
      </c>
      <c r="J15" s="46">
        <f>+'사업장별(당월)'!J15+'[4]사업장별(누계)'!J15</f>
        <v>130</v>
      </c>
      <c r="K15" s="47">
        <f>+'사업장별(당월)'!K15+'[4]사업장별(누계)'!K15</f>
        <v>147.18300000000002</v>
      </c>
      <c r="L15" s="48">
        <f t="shared" si="1"/>
        <v>17.183000000000021</v>
      </c>
      <c r="M15" s="49">
        <f>+'사업장별(당월)'!M15+'[4]사업장별(누계)'!M15</f>
        <v>162.65000000000003</v>
      </c>
      <c r="N15" s="50">
        <f t="shared" si="3"/>
        <v>-15.467000000000013</v>
      </c>
      <c r="O15" s="46">
        <f>+'사업장별(당월)'!O15+'[4]사업장별(누계)'!O15</f>
        <v>12585.776653999999</v>
      </c>
      <c r="P15" s="47">
        <f>+'사업장별(당월)'!P15+'[4]사업장별(누계)'!P15</f>
        <v>13741.865218000001</v>
      </c>
      <c r="Q15" s="48">
        <f t="shared" si="4"/>
        <v>1156.0885640000015</v>
      </c>
      <c r="R15" s="49">
        <f>+'사업장별(당월)'!R15+'[4]사업장별(누계)'!R15</f>
        <v>15160.629626999998</v>
      </c>
      <c r="S15" s="50">
        <f t="shared" si="5"/>
        <v>-1418.7644089999976</v>
      </c>
      <c r="T15" s="46">
        <f>+'사업장별(당월)'!T15+'[4]사업장별(누계)'!T15</f>
        <v>1718.4074353623562</v>
      </c>
      <c r="U15" s="47">
        <f>+'사업장별(당월)'!U15+'[4]사업장별(누계)'!U15</f>
        <v>1156.0375940000001</v>
      </c>
      <c r="V15" s="48">
        <f t="shared" si="6"/>
        <v>-562.36984136235606</v>
      </c>
      <c r="W15" s="49">
        <f>+'사업장별(당월)'!W15+'[4]사업장별(누계)'!W15</f>
        <v>1989.2199369999998</v>
      </c>
      <c r="X15" s="50">
        <f t="shared" si="7"/>
        <v>-833.18234299999972</v>
      </c>
      <c r="Y15" s="46">
        <f>+[11]양산!$Q$85</f>
        <v>96813.666569230772</v>
      </c>
      <c r="Z15" s="47">
        <f>+[11]양산!$R$85</f>
        <v>93365.845362575827</v>
      </c>
      <c r="AA15" s="51">
        <f>+[12]양산!$Q$85</f>
        <v>93211.349672539436</v>
      </c>
      <c r="AB15" s="52">
        <f>+[11]양산!$Q$89</f>
        <v>70691.221039947704</v>
      </c>
      <c r="AC15" s="47">
        <f>+[11]양산!$R$89</f>
        <v>73601.938359421707</v>
      </c>
      <c r="AD15" s="53">
        <f>+[12]양산!$Q$89</f>
        <v>69411.931001408011</v>
      </c>
      <c r="AE15" s="52">
        <f t="shared" si="8"/>
        <v>26122.445529283068</v>
      </c>
      <c r="AF15" s="47">
        <f t="shared" si="8"/>
        <v>19763.90700315412</v>
      </c>
      <c r="AG15" s="53">
        <f t="shared" si="8"/>
        <v>23799.418671131425</v>
      </c>
      <c r="AH15" s="18"/>
      <c r="AI15" s="660">
        <f t="shared" si="9"/>
        <v>-0.32726222535447225</v>
      </c>
      <c r="AJ15" s="96"/>
      <c r="AK15" s="96">
        <f t="shared" si="10"/>
        <v>-3447.8212066549459</v>
      </c>
      <c r="AL15" s="96">
        <f t="shared" si="11"/>
        <v>2910.7173194740026</v>
      </c>
      <c r="AM15" s="96">
        <f t="shared" si="12"/>
        <v>-6358.5385261289484</v>
      </c>
    </row>
    <row r="16" spans="1:39" s="8" customFormat="1" ht="19.5" customHeight="1" x14ac:dyDescent="0.3">
      <c r="B16" s="8" t="s">
        <v>30</v>
      </c>
      <c r="F16" s="9">
        <f t="shared" si="2"/>
        <v>0.84389184513012816</v>
      </c>
      <c r="G16" s="663">
        <f t="shared" si="0"/>
        <v>1.0334605263157897</v>
      </c>
      <c r="H16" s="80"/>
      <c r="I16" s="81" t="s">
        <v>30</v>
      </c>
      <c r="J16" s="46">
        <f>+'사업장별(당월)'!J16+'[4]사업장별(누계)'!J16</f>
        <v>190</v>
      </c>
      <c r="K16" s="47">
        <f>+'사업장별(당월)'!K16+'[4]사업장별(누계)'!K16</f>
        <v>196.35750000000002</v>
      </c>
      <c r="L16" s="48">
        <f t="shared" si="1"/>
        <v>6.3575000000000159</v>
      </c>
      <c r="M16" s="49">
        <f>+'사업장별(당월)'!M16+'[4]사업장별(누계)'!M16</f>
        <v>241.66500000000002</v>
      </c>
      <c r="N16" s="50">
        <f t="shared" si="3"/>
        <v>-45.307500000000005</v>
      </c>
      <c r="O16" s="46">
        <f>+'사업장별(당월)'!O16+'[4]사업장별(누계)'!O16</f>
        <v>19189.977999999999</v>
      </c>
      <c r="P16" s="47">
        <f>+'사업장별(당월)'!P16+'[4]사업장별(누계)'!P16</f>
        <v>19774.515350000001</v>
      </c>
      <c r="Q16" s="48">
        <f t="shared" si="4"/>
        <v>584.53735000000233</v>
      </c>
      <c r="R16" s="49">
        <f>+'사업장별(당월)'!R16+'[4]사업장별(누계)'!R16</f>
        <v>23139.019519999994</v>
      </c>
      <c r="S16" s="50">
        <f t="shared" si="5"/>
        <v>-3364.5041699999929</v>
      </c>
      <c r="T16" s="46">
        <f>+'사업장별(당월)'!T16+'[4]사업장별(누계)'!T16</f>
        <v>3135.015520373996</v>
      </c>
      <c r="U16" s="47">
        <f>+'사업장별(당월)'!U16+'[4]사업장별(누계)'!U16</f>
        <v>2645.6140320000004</v>
      </c>
      <c r="V16" s="48">
        <f t="shared" si="6"/>
        <v>-489.40148837399556</v>
      </c>
      <c r="W16" s="49">
        <f>+'사업장별(당월)'!W16+'[4]사업장별(누계)'!W16</f>
        <v>4212.6639369999984</v>
      </c>
      <c r="X16" s="50">
        <f t="shared" si="7"/>
        <v>-1567.049904999998</v>
      </c>
      <c r="Y16" s="46">
        <f>+[11]창원!$Q$85</f>
        <v>100999.88421052632</v>
      </c>
      <c r="Z16" s="47">
        <f>+[11]창원!$R$85</f>
        <v>100706.69747781471</v>
      </c>
      <c r="AA16" s="51">
        <f>+[12]창원!$Q$85</f>
        <v>95748.327312602138</v>
      </c>
      <c r="AB16" s="52">
        <f>+[11]창원!$Q$89</f>
        <v>72392.835573616496</v>
      </c>
      <c r="AC16" s="47">
        <f>+[11]창원!$R$89</f>
        <v>75043.235931424846</v>
      </c>
      <c r="AD16" s="53">
        <f>+[12]창원!$Q$89</f>
        <v>68422.8835492051</v>
      </c>
      <c r="AE16" s="52">
        <f t="shared" si="8"/>
        <v>28607.048636909822</v>
      </c>
      <c r="AF16" s="47">
        <f t="shared" si="8"/>
        <v>25663.461546389866</v>
      </c>
      <c r="AG16" s="53">
        <f t="shared" si="8"/>
        <v>27325.443763397037</v>
      </c>
      <c r="AH16" s="18"/>
      <c r="AI16" s="660">
        <f t="shared" si="9"/>
        <v>-0.15610815486987184</v>
      </c>
      <c r="AJ16" s="96"/>
      <c r="AK16" s="96">
        <f t="shared" si="10"/>
        <v>-293.18673271160515</v>
      </c>
      <c r="AL16" s="96">
        <f t="shared" si="11"/>
        <v>2650.4003578083502</v>
      </c>
      <c r="AM16" s="96">
        <f t="shared" si="12"/>
        <v>-2943.5870905199554</v>
      </c>
    </row>
    <row r="17" spans="2:39" s="8" customFormat="1" ht="19.5" customHeight="1" x14ac:dyDescent="0.3">
      <c r="B17" s="8" t="s">
        <v>79</v>
      </c>
      <c r="F17" s="9">
        <f t="shared" si="2"/>
        <v>0.79180775130374315</v>
      </c>
      <c r="G17" s="663">
        <f t="shared" si="0"/>
        <v>1.0002105263157894</v>
      </c>
      <c r="H17" s="80"/>
      <c r="I17" s="81" t="s">
        <v>79</v>
      </c>
      <c r="J17" s="46">
        <f>+'사업장별(당월)'!J17+'[4]사업장별(누계)'!J17</f>
        <v>190</v>
      </c>
      <c r="K17" s="47">
        <f>+'사업장별(당월)'!K17+'[4]사업장별(누계)'!K17</f>
        <v>190.04</v>
      </c>
      <c r="L17" s="48">
        <f t="shared" si="1"/>
        <v>3.9999999999992042E-2</v>
      </c>
      <c r="M17" s="49">
        <f>+'사업장별(당월)'!M17+'[4]사업장별(누계)'!M17</f>
        <v>233.60249999999996</v>
      </c>
      <c r="N17" s="50">
        <f t="shared" si="3"/>
        <v>-43.562499999999972</v>
      </c>
      <c r="O17" s="46">
        <f>+'사업장별(당월)'!O17+'[4]사업장별(누계)'!O17</f>
        <v>18576.780000000002</v>
      </c>
      <c r="P17" s="47">
        <f>+'사업장별(당월)'!P17+'[4]사업장별(누계)'!P17</f>
        <v>18889.928516</v>
      </c>
      <c r="Q17" s="48">
        <f t="shared" si="4"/>
        <v>313.14851599999747</v>
      </c>
      <c r="R17" s="49">
        <f>+'사업장별(당월)'!R17+'[4]사업장별(누계)'!R17</f>
        <v>21812.108600000003</v>
      </c>
      <c r="S17" s="50">
        <f t="shared" si="5"/>
        <v>-2922.1800840000033</v>
      </c>
      <c r="T17" s="46">
        <f>+'사업장별(당월)'!T17+'[4]사업장별(누계)'!T17</f>
        <v>3222.3740065676952</v>
      </c>
      <c r="U17" s="47">
        <f>+'사업장별(당월)'!U17+'[4]사업장별(누계)'!U17</f>
        <v>2551.500716</v>
      </c>
      <c r="V17" s="48">
        <f t="shared" si="6"/>
        <v>-670.87329056769522</v>
      </c>
      <c r="W17" s="49">
        <f>+'사업장별(당월)'!W17+'[4]사업장별(누계)'!W17</f>
        <v>3768.1726780000004</v>
      </c>
      <c r="X17" s="50">
        <f t="shared" si="7"/>
        <v>-1216.6719620000003</v>
      </c>
      <c r="Y17" s="46">
        <f>+[11]대구!$Q$85</f>
        <v>97772.526315789481</v>
      </c>
      <c r="Z17" s="47">
        <f>+[11]대구!$R$85</f>
        <v>99399.55123131971</v>
      </c>
      <c r="AA17" s="51">
        <f>+[12]대구!$Q$85</f>
        <v>93371.609767179689</v>
      </c>
      <c r="AB17" s="52">
        <f>+[11]대구!$Q$89</f>
        <v>70028.042545395147</v>
      </c>
      <c r="AC17" s="47">
        <f>+[11]대구!$R$89</f>
        <v>74512.501912362743</v>
      </c>
      <c r="AD17" s="53">
        <f>+[12]대구!$Q$89</f>
        <v>67700.232268268577</v>
      </c>
      <c r="AE17" s="52">
        <f t="shared" si="8"/>
        <v>27744.483770394334</v>
      </c>
      <c r="AF17" s="47">
        <f t="shared" si="8"/>
        <v>24887.049318956968</v>
      </c>
      <c r="AG17" s="53">
        <f t="shared" si="8"/>
        <v>25671.377498911112</v>
      </c>
      <c r="AH17" s="18"/>
      <c r="AI17" s="660">
        <f t="shared" si="9"/>
        <v>-0.20819224869625685</v>
      </c>
      <c r="AJ17" s="96"/>
      <c r="AK17" s="96">
        <f t="shared" si="10"/>
        <v>1627.0249155302299</v>
      </c>
      <c r="AL17" s="96">
        <f t="shared" si="11"/>
        <v>4484.459366967596</v>
      </c>
      <c r="AM17" s="96">
        <f t="shared" si="12"/>
        <v>-2857.4344514373661</v>
      </c>
    </row>
    <row r="18" spans="2:39" s="8" customFormat="1" ht="19.5" customHeight="1" x14ac:dyDescent="0.3">
      <c r="B18" s="8" t="s">
        <v>80</v>
      </c>
      <c r="F18" s="9">
        <f t="shared" si="2"/>
        <v>1.878931998454447</v>
      </c>
      <c r="G18" s="663">
        <f t="shared" si="0"/>
        <v>1.2201181818181817</v>
      </c>
      <c r="H18" s="80"/>
      <c r="I18" s="83" t="s">
        <v>80</v>
      </c>
      <c r="J18" s="10">
        <f>+'사업장별(당월)'!J18+'[4]사업장별(누계)'!J18</f>
        <v>110</v>
      </c>
      <c r="K18" s="11">
        <f>+'사업장별(당월)'!K18+'[4]사업장별(누계)'!K18</f>
        <v>134.21299999999999</v>
      </c>
      <c r="L18" s="12">
        <f t="shared" si="1"/>
        <v>24.212999999999994</v>
      </c>
      <c r="M18" s="13">
        <f>+'사업장별(당월)'!M18+'[4]사업장별(누계)'!M18</f>
        <v>99.671000000000006</v>
      </c>
      <c r="N18" s="14">
        <f t="shared" si="3"/>
        <v>34.541999999999987</v>
      </c>
      <c r="O18" s="10">
        <f>+'사업장별(당월)'!O18+'[4]사업장별(누계)'!O18</f>
        <v>11056.96004</v>
      </c>
      <c r="P18" s="11">
        <f>+'사업장별(당월)'!P18+'[4]사업장별(누계)'!P18</f>
        <v>13929.268442000001</v>
      </c>
      <c r="Q18" s="12">
        <f t="shared" si="4"/>
        <v>2872.3084020000006</v>
      </c>
      <c r="R18" s="13">
        <f>+'사업장별(당월)'!R18+'[4]사업장별(누계)'!R18</f>
        <v>9524.2859999999982</v>
      </c>
      <c r="S18" s="14">
        <f t="shared" si="5"/>
        <v>4404.9824420000023</v>
      </c>
      <c r="T18" s="10">
        <f>+'사업장별(당월)'!T18+'[4]사업장별(누계)'!T18</f>
        <v>762.3553216285959</v>
      </c>
      <c r="U18" s="11">
        <f>+'사업장별(당월)'!U18+'[4]사업장별(누계)'!U18</f>
        <v>1432.4138080000005</v>
      </c>
      <c r="V18" s="12">
        <f t="shared" si="6"/>
        <v>670.05848637140457</v>
      </c>
      <c r="W18" s="13">
        <f>+'사업장별(당월)'!W18+'[4]사업장별(누계)'!W18</f>
        <v>449.68848200000008</v>
      </c>
      <c r="X18" s="14">
        <f t="shared" si="7"/>
        <v>982.72532600000045</v>
      </c>
      <c r="Y18" s="10">
        <f>+[11]울산!$Q$85</f>
        <v>100517.81854545453</v>
      </c>
      <c r="Z18" s="11">
        <f>+[11]울산!$R$85</f>
        <v>103784.79314224406</v>
      </c>
      <c r="AA18" s="15">
        <f>+[12]울산!$Q$85</f>
        <v>95568.807739501688</v>
      </c>
      <c r="AB18" s="16">
        <f>+[11]울산!$Q$89</f>
        <v>78953.169829189719</v>
      </c>
      <c r="AC18" s="11">
        <f>+[11]울산!$R$89</f>
        <v>80835.204382986311</v>
      </c>
      <c r="AD18" s="17">
        <f>+[12]울산!$Q$89</f>
        <v>74821.787465056914</v>
      </c>
      <c r="AE18" s="16">
        <f t="shared" si="8"/>
        <v>21564.648716264812</v>
      </c>
      <c r="AF18" s="11">
        <f t="shared" si="8"/>
        <v>22949.588759257749</v>
      </c>
      <c r="AG18" s="17">
        <f t="shared" si="8"/>
        <v>20747.020274444774</v>
      </c>
      <c r="AH18" s="18"/>
      <c r="AI18" s="660">
        <f t="shared" si="9"/>
        <v>0.87893199845444703</v>
      </c>
      <c r="AJ18" s="9">
        <f>+U18/T18</f>
        <v>1.878931998454447</v>
      </c>
      <c r="AK18" s="96">
        <f t="shared" si="10"/>
        <v>3266.9745967895287</v>
      </c>
      <c r="AL18" s="96">
        <f t="shared" si="11"/>
        <v>1882.0345537965914</v>
      </c>
      <c r="AM18" s="96">
        <f t="shared" si="12"/>
        <v>1384.9400429929374</v>
      </c>
    </row>
    <row r="19" spans="2:39" s="8" customFormat="1" ht="19.5" customHeight="1" x14ac:dyDescent="0.3">
      <c r="B19" s="8" t="s">
        <v>85</v>
      </c>
      <c r="F19" s="9">
        <f t="shared" si="2"/>
        <v>1.007768482279537</v>
      </c>
      <c r="G19" s="663">
        <f t="shared" si="0"/>
        <v>1.1340874999999999</v>
      </c>
      <c r="H19" s="80"/>
      <c r="I19" s="81" t="s">
        <v>31</v>
      </c>
      <c r="J19" s="46">
        <f>+'사업장별(당월)'!J19+'[4]사업장별(누계)'!J19</f>
        <v>280</v>
      </c>
      <c r="K19" s="47">
        <f>+'사업장별(당월)'!K19+'[4]사업장별(누계)'!K19</f>
        <v>317.54449999999997</v>
      </c>
      <c r="L19" s="48">
        <f t="shared" si="1"/>
        <v>37.544499999999971</v>
      </c>
      <c r="M19" s="49">
        <f>+'사업장별(당월)'!M19+'[4]사업장별(누계)'!M19</f>
        <v>305.73100000000005</v>
      </c>
      <c r="N19" s="50">
        <f t="shared" si="3"/>
        <v>11.81349999999992</v>
      </c>
      <c r="O19" s="46">
        <f>+'사업장별(당월)'!O19+'[4]사업장별(누계)'!O19</f>
        <v>28280.023399999998</v>
      </c>
      <c r="P19" s="47">
        <f>+'사업장별(당월)'!P19+'[4]사업장별(누계)'!P19</f>
        <v>32020.142446000002</v>
      </c>
      <c r="Q19" s="48">
        <f t="shared" si="4"/>
        <v>3740.1190460000034</v>
      </c>
      <c r="R19" s="49">
        <f>+'사업장별(당월)'!R19+'[4]사업장별(누계)'!R19</f>
        <v>29270.653083000001</v>
      </c>
      <c r="S19" s="50">
        <f t="shared" si="5"/>
        <v>2749.4893630000006</v>
      </c>
      <c r="T19" s="46">
        <f>+'사업장별(당월)'!T19+'[4]사업장별(누계)'!T19</f>
        <v>4154.413868480844</v>
      </c>
      <c r="U19" s="47">
        <f>+'사업장별(당월)'!U19+'[4]사업장별(누계)'!U19</f>
        <v>4186.6873590000005</v>
      </c>
      <c r="V19" s="48">
        <f t="shared" si="6"/>
        <v>32.273490519156439</v>
      </c>
      <c r="W19" s="49">
        <f>+'사업장별(당월)'!W19+'[4]사업장별(누계)'!W19</f>
        <v>4413.5563219999995</v>
      </c>
      <c r="X19" s="50">
        <f t="shared" si="7"/>
        <v>-226.86896299999898</v>
      </c>
      <c r="Y19" s="46">
        <f>+[11]아산!$Q$85</f>
        <v>101000.08357142856</v>
      </c>
      <c r="Z19" s="47">
        <f>+[11]아산!$R$85</f>
        <v>100779.83968661874</v>
      </c>
      <c r="AA19" s="51">
        <f>+[12]아산!$Q$85</f>
        <v>95764.34707702171</v>
      </c>
      <c r="AB19" s="52">
        <f>+[11]아산!$Q$89</f>
        <v>77025.018931005776</v>
      </c>
      <c r="AC19" s="47">
        <f>+[11]아산!$R$89</f>
        <v>77860.034638823228</v>
      </c>
      <c r="AD19" s="53">
        <f>+[12]아산!$Q$89</f>
        <v>72036.357634614658</v>
      </c>
      <c r="AE19" s="52">
        <f t="shared" si="8"/>
        <v>23975.064640422788</v>
      </c>
      <c r="AF19" s="47">
        <f t="shared" si="8"/>
        <v>22919.805047795511</v>
      </c>
      <c r="AG19" s="53">
        <f t="shared" si="8"/>
        <v>23727.989442407052</v>
      </c>
      <c r="AH19" s="18"/>
      <c r="AI19" s="660">
        <f t="shared" si="9"/>
        <v>7.7684822795369701E-3</v>
      </c>
      <c r="AJ19" s="9">
        <f>+U19/T19</f>
        <v>1.007768482279537</v>
      </c>
    </row>
    <row r="20" spans="2:39" s="8" customFormat="1" ht="19.5" customHeight="1" x14ac:dyDescent="0.3">
      <c r="B20" s="8" t="s">
        <v>81</v>
      </c>
      <c r="F20" s="9">
        <f t="shared" si="2"/>
        <v>0.27525902926629853</v>
      </c>
      <c r="G20" s="663">
        <f t="shared" si="0"/>
        <v>0.74710357142857131</v>
      </c>
      <c r="H20" s="80"/>
      <c r="I20" s="81" t="s">
        <v>81</v>
      </c>
      <c r="J20" s="46">
        <f>+'사업장별(당월)'!J20+'[4]사업장별(누계)'!J20</f>
        <v>140</v>
      </c>
      <c r="K20" s="47">
        <f>+'사업장별(당월)'!K20+'[4]사업장별(누계)'!K20</f>
        <v>104.59449999999998</v>
      </c>
      <c r="L20" s="48">
        <f t="shared" si="1"/>
        <v>-35.405500000000018</v>
      </c>
      <c r="M20" s="49">
        <f>+'사업장별(당월)'!M20+'[4]사업장별(누계)'!M20</f>
        <v>129.7835</v>
      </c>
      <c r="N20" s="50">
        <f t="shared" si="3"/>
        <v>-25.189000000000021</v>
      </c>
      <c r="O20" s="46">
        <f>+'사업장별(당월)'!O20+'[4]사업장별(누계)'!O20</f>
        <v>14349.934257000001</v>
      </c>
      <c r="P20" s="47">
        <f>+'사업장별(당월)'!P20+'[4]사업장별(누계)'!P20</f>
        <v>10098.437312</v>
      </c>
      <c r="Q20" s="48">
        <f t="shared" si="4"/>
        <v>-4251.4969450000008</v>
      </c>
      <c r="R20" s="49">
        <f>+'사업장별(당월)'!R20+'[4]사업장별(누계)'!R20</f>
        <v>12573.946106000001</v>
      </c>
      <c r="S20" s="50">
        <f t="shared" si="5"/>
        <v>-2475.5087940000012</v>
      </c>
      <c r="T20" s="46">
        <f>+'사업장별(당월)'!T20+'[4]사업장별(누계)'!T20</f>
        <v>2325.1444528666761</v>
      </c>
      <c r="U20" s="47">
        <f>+'사업장별(당월)'!U20+'[4]사업장별(누계)'!U20</f>
        <v>640.01700500000004</v>
      </c>
      <c r="V20" s="48">
        <f t="shared" si="6"/>
        <v>-1685.127447866676</v>
      </c>
      <c r="W20" s="49">
        <f>+'사업장별(당월)'!W20+'[4]사업장별(누계)'!W20</f>
        <v>1805.491031</v>
      </c>
      <c r="X20" s="50">
        <f t="shared" si="7"/>
        <v>-1165.4740259999999</v>
      </c>
      <c r="Y20" s="46">
        <f>+[11]전주!$Q$85</f>
        <v>102499.53040714285</v>
      </c>
      <c r="Z20" s="47">
        <f>+[11]전주!$R$85</f>
        <v>96550.172800765358</v>
      </c>
      <c r="AA20" s="51">
        <f>+[12]전주!$Q$85</f>
        <v>96959.888976484988</v>
      </c>
      <c r="AB20" s="52">
        <f>+[11]전주!$Q$89</f>
        <v>73490.370391196571</v>
      </c>
      <c r="AC20" s="47">
        <f>+[11]전주!$R$89</f>
        <v>72741.123442386233</v>
      </c>
      <c r="AD20" s="53">
        <f>+[12]전주!$Q$89</f>
        <v>69016.785190305498</v>
      </c>
      <c r="AE20" s="52">
        <f t="shared" si="8"/>
        <v>29009.160015946283</v>
      </c>
      <c r="AF20" s="47">
        <f t="shared" si="8"/>
        <v>23809.049358379125</v>
      </c>
      <c r="AG20" s="53">
        <f t="shared" si="8"/>
        <v>27943.10378617949</v>
      </c>
      <c r="AH20" s="18"/>
      <c r="AI20" s="660">
        <f t="shared" si="9"/>
        <v>-0.72474097073370147</v>
      </c>
      <c r="AJ20" s="9"/>
    </row>
    <row r="21" spans="2:39" s="8" customFormat="1" ht="19.5" customHeight="1" x14ac:dyDescent="0.3">
      <c r="B21" s="8" t="s">
        <v>82</v>
      </c>
      <c r="F21" s="9">
        <f t="shared" si="2"/>
        <v>1.3364351671070316</v>
      </c>
      <c r="G21" s="663">
        <f t="shared" si="0"/>
        <v>1.2292687499999999</v>
      </c>
      <c r="H21" s="80"/>
      <c r="I21" s="81" t="s">
        <v>82</v>
      </c>
      <c r="J21" s="46">
        <f>+'사업장별(당월)'!J21+'[4]사업장별(누계)'!J21</f>
        <v>80</v>
      </c>
      <c r="K21" s="47">
        <f>+'사업장별(당월)'!K21+'[4]사업장별(누계)'!K21</f>
        <v>98.341499999999996</v>
      </c>
      <c r="L21" s="48">
        <f t="shared" si="1"/>
        <v>18.341499999999996</v>
      </c>
      <c r="M21" s="49">
        <f>+'사업장별(당월)'!M21+'[4]사업장별(누계)'!M21</f>
        <v>94.531499999999994</v>
      </c>
      <c r="N21" s="50">
        <f t="shared" si="3"/>
        <v>3.8100000000000023</v>
      </c>
      <c r="O21" s="46">
        <f>+'사업장별(당월)'!O21+'[4]사업장별(누계)'!O21</f>
        <v>8720.0096629999989</v>
      </c>
      <c r="P21" s="47">
        <f>+'사업장별(당월)'!P21+'[4]사업장별(누계)'!P21</f>
        <v>11049.971786</v>
      </c>
      <c r="Q21" s="48">
        <f t="shared" si="4"/>
        <v>2329.9621230000012</v>
      </c>
      <c r="R21" s="49">
        <f>+'사업장별(당월)'!R21+'[4]사업장별(누계)'!R21</f>
        <v>9455.6124230000005</v>
      </c>
      <c r="S21" s="50">
        <f t="shared" si="5"/>
        <v>1594.3593629999996</v>
      </c>
      <c r="T21" s="46">
        <f>+'사업장별(당월)'!T21+'[4]사업장별(누계)'!T21</f>
        <v>2187.8864773735991</v>
      </c>
      <c r="U21" s="47">
        <f>+'사업장별(당월)'!U21+'[4]사업장별(누계)'!U21</f>
        <v>2923.9684300000004</v>
      </c>
      <c r="V21" s="48">
        <f t="shared" si="6"/>
        <v>736.08195262640129</v>
      </c>
      <c r="W21" s="49">
        <f>+'사업장별(당월)'!W21+'[4]사업장별(누계)'!W21</f>
        <v>2178.8394910000002</v>
      </c>
      <c r="X21" s="50">
        <f t="shared" si="7"/>
        <v>745.12893900000017</v>
      </c>
      <c r="Y21" s="46">
        <f>+[11]군산!$Q$85</f>
        <v>109000.12078749998</v>
      </c>
      <c r="Z21" s="47">
        <f>+[11]군산!$R$85</f>
        <v>112375.8608909858</v>
      </c>
      <c r="AA21" s="51">
        <f>+[12]군산!$Q$85</f>
        <v>99942.580052109566</v>
      </c>
      <c r="AB21" s="52">
        <f>+[11]군산!$Q$89</f>
        <v>69886.432838886351</v>
      </c>
      <c r="AC21" s="47">
        <f>+[11]군산!$R$89</f>
        <v>72449.183857095588</v>
      </c>
      <c r="AD21" s="53">
        <f>+[12]군산!$Q$89</f>
        <v>65770.95005063717</v>
      </c>
      <c r="AE21" s="52">
        <f t="shared" si="8"/>
        <v>39113.687948613631</v>
      </c>
      <c r="AF21" s="47">
        <f t="shared" si="8"/>
        <v>39926.677033890213</v>
      </c>
      <c r="AG21" s="53">
        <f t="shared" si="8"/>
        <v>34171.630001472397</v>
      </c>
      <c r="AH21" s="18"/>
      <c r="AI21" s="660">
        <f t="shared" si="9"/>
        <v>0.33643516710703159</v>
      </c>
      <c r="AJ21" s="9">
        <f>+U21/T21</f>
        <v>1.3364351671070316</v>
      </c>
    </row>
    <row r="22" spans="2:39" s="8" customFormat="1" ht="19.5" customHeight="1" x14ac:dyDescent="0.3">
      <c r="B22" s="8" t="s">
        <v>83</v>
      </c>
      <c r="F22" s="9">
        <f t="shared" si="2"/>
        <v>1.3096611991164129</v>
      </c>
      <c r="G22" s="663">
        <f t="shared" si="0"/>
        <v>1.0746833333333332</v>
      </c>
      <c r="H22" s="80"/>
      <c r="I22" s="81" t="s">
        <v>83</v>
      </c>
      <c r="J22" s="46">
        <f>+'사업장별(당월)'!J22+'[4]사업장별(누계)'!J22</f>
        <v>60</v>
      </c>
      <c r="K22" s="47">
        <f>+'사업장별(당월)'!K22+'[4]사업장별(누계)'!K22</f>
        <v>64.480999999999995</v>
      </c>
      <c r="L22" s="48">
        <f t="shared" si="1"/>
        <v>4.4809999999999945</v>
      </c>
      <c r="M22" s="49">
        <f>+'사업장별(당월)'!M22+'[4]사업장별(누계)'!M22</f>
        <v>59.035999999999994</v>
      </c>
      <c r="N22" s="50">
        <f t="shared" si="3"/>
        <v>5.4450000000000003</v>
      </c>
      <c r="O22" s="46">
        <f>+'사업장별(당월)'!O22+'[4]사업장별(누계)'!O22</f>
        <v>6474</v>
      </c>
      <c r="P22" s="47">
        <f>+'사업장별(당월)'!P22+'[4]사업장별(누계)'!P22</f>
        <v>7251.5745670000006</v>
      </c>
      <c r="Q22" s="48">
        <f t="shared" si="4"/>
        <v>777.57456700000057</v>
      </c>
      <c r="R22" s="49">
        <f>+'사업장별(당월)'!R22+'[4]사업장별(누계)'!R22</f>
        <v>6026.7527009999994</v>
      </c>
      <c r="S22" s="50">
        <f t="shared" si="5"/>
        <v>1224.8218660000011</v>
      </c>
      <c r="T22" s="46">
        <f>+'사업장별(당월)'!T22+'[4]사업장별(누계)'!T22</f>
        <v>1044.9434837981753</v>
      </c>
      <c r="U22" s="47">
        <f>+'사업장별(당월)'!U22+'[4]사업장별(누계)'!U22</f>
        <v>1368.5219360000001</v>
      </c>
      <c r="V22" s="48">
        <f t="shared" si="6"/>
        <v>323.5784522018248</v>
      </c>
      <c r="W22" s="49">
        <f>+'사업장별(당월)'!W22+'[4]사업장별(누계)'!W22</f>
        <v>911.02585199999999</v>
      </c>
      <c r="X22" s="50">
        <f t="shared" si="7"/>
        <v>457.49608400000011</v>
      </c>
      <c r="Y22" s="46">
        <f>+[11]원주!$Q$85</f>
        <v>107900</v>
      </c>
      <c r="Z22" s="47">
        <f>+[11]원주!$R$85</f>
        <v>112465.39639709533</v>
      </c>
      <c r="AA22" s="51">
        <f>+[12]원주!$Q$85</f>
        <v>102089.72823323256</v>
      </c>
      <c r="AB22" s="52">
        <f>+[11]원주!$Q$89</f>
        <v>73463.226192911694</v>
      </c>
      <c r="AC22" s="47">
        <f>+[11]원주!$R$89</f>
        <v>74063.850592725925</v>
      </c>
      <c r="AD22" s="53">
        <f>+[12]원주!$Q$89</f>
        <v>69160.181726045281</v>
      </c>
      <c r="AE22" s="52">
        <f t="shared" si="8"/>
        <v>34436.773807088306</v>
      </c>
      <c r="AF22" s="47">
        <f t="shared" si="8"/>
        <v>38401.545804369409</v>
      </c>
      <c r="AG22" s="53">
        <f t="shared" si="8"/>
        <v>32929.546507187275</v>
      </c>
      <c r="AH22" s="18"/>
      <c r="AI22" s="660">
        <f t="shared" si="9"/>
        <v>0.30966119911641288</v>
      </c>
      <c r="AJ22" s="9">
        <f>+U22/T22</f>
        <v>1.3096611991164129</v>
      </c>
    </row>
    <row r="23" spans="2:39" s="8" customFormat="1" ht="19.5" customHeight="1" x14ac:dyDescent="0.3">
      <c r="B23" s="8" t="s">
        <v>84</v>
      </c>
      <c r="F23" s="9">
        <f t="shared" si="2"/>
        <v>0.26002145648199987</v>
      </c>
      <c r="G23" s="663">
        <f t="shared" ref="G23:G28" si="13">+K23/J23</f>
        <v>0.61419999999999986</v>
      </c>
      <c r="H23" s="80"/>
      <c r="I23" s="81" t="s">
        <v>84</v>
      </c>
      <c r="J23" s="46">
        <f>+'사업장별(당월)'!J23+'[4]사업장별(누계)'!J23</f>
        <v>70</v>
      </c>
      <c r="K23" s="47">
        <f>+'사업장별(당월)'!K23+'[4]사업장별(누계)'!K23</f>
        <v>42.993999999999993</v>
      </c>
      <c r="L23" s="48">
        <f t="shared" si="1"/>
        <v>-27.006000000000007</v>
      </c>
      <c r="M23" s="49">
        <f>+'사업장별(당월)'!M23+'[4]사업장별(누계)'!M23</f>
        <v>81.968499999999992</v>
      </c>
      <c r="N23" s="50">
        <f t="shared" si="3"/>
        <v>-38.974499999999999</v>
      </c>
      <c r="O23" s="46">
        <f>+'사업장별(당월)'!O23+'[4]사업장별(누계)'!O23</f>
        <v>8874.9000000000015</v>
      </c>
      <c r="P23" s="47">
        <f>+'사업장별(당월)'!P23+'[4]사업장별(누계)'!P23</f>
        <v>5315.1092179999996</v>
      </c>
      <c r="Q23" s="48">
        <f t="shared" si="4"/>
        <v>-3559.7907820000019</v>
      </c>
      <c r="R23" s="49">
        <f>+'사업장별(당월)'!R23+'[4]사업장별(누계)'!R23</f>
        <v>9785.5747420000007</v>
      </c>
      <c r="S23" s="50">
        <f t="shared" si="5"/>
        <v>-4470.4655240000011</v>
      </c>
      <c r="T23" s="46">
        <f>+'사업장별(당월)'!T23+'[4]사업장별(누계)'!T23</f>
        <v>1415.4948210032776</v>
      </c>
      <c r="U23" s="47">
        <f>+'사업장별(당월)'!U23+'[4]사업장별(누계)'!U23</f>
        <v>368.05902499999991</v>
      </c>
      <c r="V23" s="48">
        <f t="shared" si="6"/>
        <v>-1047.4357960032776</v>
      </c>
      <c r="W23" s="49">
        <f>+'사업장별(당월)'!W23+'[4]사업장별(누계)'!W23</f>
        <v>1769.8158490000001</v>
      </c>
      <c r="X23" s="50">
        <f t="shared" si="7"/>
        <v>-1401.7568240000001</v>
      </c>
      <c r="Y23" s="46">
        <f>+[11]제주!$Q$85</f>
        <v>126784.28571428571</v>
      </c>
      <c r="Z23" s="47">
        <f>+[11]제주!$R$85</f>
        <v>123624.44103828441</v>
      </c>
      <c r="AA23" s="51">
        <f>+[12]제주!$Q$85</f>
        <v>119419.30063544944</v>
      </c>
      <c r="AB23" s="52">
        <f>+[11]제주!$Q$89</f>
        <v>90825.972309538061</v>
      </c>
      <c r="AC23" s="47">
        <f>+[11]제주!$R$89</f>
        <v>89420.48065664235</v>
      </c>
      <c r="AD23" s="53">
        <f>+[12]제주!$Q$89</f>
        <v>84321.96246070393</v>
      </c>
      <c r="AE23" s="52">
        <f t="shared" si="8"/>
        <v>35958.313404747649</v>
      </c>
      <c r="AF23" s="47">
        <f t="shared" si="8"/>
        <v>34203.960381642057</v>
      </c>
      <c r="AG23" s="53">
        <f t="shared" si="8"/>
        <v>35097.338174745513</v>
      </c>
      <c r="AH23" s="18"/>
      <c r="AI23" s="660">
        <f t="shared" si="9"/>
        <v>-0.73997854351800019</v>
      </c>
      <c r="AJ23" s="9">
        <f>+U23/T23</f>
        <v>0.26002145648199987</v>
      </c>
    </row>
    <row r="24" spans="2:39" s="8" customFormat="1" ht="19.5" customHeight="1" x14ac:dyDescent="0.3">
      <c r="F24" s="9">
        <f t="shared" si="2"/>
        <v>0.45411247983997483</v>
      </c>
      <c r="G24" s="663">
        <f t="shared" si="13"/>
        <v>0.88676531365313671</v>
      </c>
      <c r="H24" s="80"/>
      <c r="I24" s="84" t="s">
        <v>48</v>
      </c>
      <c r="J24" s="23">
        <f>SUM(J7:J10)</f>
        <v>1355</v>
      </c>
      <c r="K24" s="20">
        <f>SUM(K7:K10)</f>
        <v>1201.5670000000002</v>
      </c>
      <c r="L24" s="21">
        <f t="shared" si="1"/>
        <v>-153.43299999999977</v>
      </c>
      <c r="M24" s="25">
        <f>SUM(M7:M10)</f>
        <v>1494.54168</v>
      </c>
      <c r="N24" s="22">
        <f t="shared" si="3"/>
        <v>-292.97467999999981</v>
      </c>
      <c r="O24" s="23">
        <f>SUM(O7:O10)</f>
        <v>135817.94490056959</v>
      </c>
      <c r="P24" s="20">
        <f>SUM(P7:P10)</f>
        <v>117954.15519200001</v>
      </c>
      <c r="Q24" s="21">
        <f t="shared" si="4"/>
        <v>-17863.789708569588</v>
      </c>
      <c r="R24" s="25">
        <f>SUM(R7:R10)</f>
        <v>140340.49963700003</v>
      </c>
      <c r="S24" s="22">
        <f t="shared" si="5"/>
        <v>-22386.344445000024</v>
      </c>
      <c r="T24" s="23">
        <f>SUM(T7:T10)</f>
        <v>17915.95225675586</v>
      </c>
      <c r="U24" s="20">
        <f>SUM(U7:U10)</f>
        <v>8135.8575080099972</v>
      </c>
      <c r="V24" s="21">
        <f t="shared" si="6"/>
        <v>-9780.0947487458616</v>
      </c>
      <c r="W24" s="25">
        <f>SUM(W7:W10)</f>
        <v>15921.668735999996</v>
      </c>
      <c r="X24" s="22">
        <f t="shared" si="7"/>
        <v>-7785.8112279899988</v>
      </c>
      <c r="Y24" s="23">
        <f>+[11]수도권!$Q$85</f>
        <v>100234.64568307721</v>
      </c>
      <c r="Z24" s="20">
        <f>+[11]수도권!$R$85</f>
        <v>98175.05222356382</v>
      </c>
      <c r="AA24" s="24">
        <f>+[12]수도권!$Q$85</f>
        <v>93881.756022386675</v>
      </c>
      <c r="AB24" s="29">
        <f>+[11]수도권!$Q$89</f>
        <v>78291.649138796798</v>
      </c>
      <c r="AC24" s="20">
        <f>+[11]수도권!$R$89</f>
        <v>81236.793882205311</v>
      </c>
      <c r="AD24" s="30">
        <f>+[12]수도권!$Q$89</f>
        <v>74767.643090711877</v>
      </c>
      <c r="AE24" s="29">
        <f t="shared" si="8"/>
        <v>21942.99654428041</v>
      </c>
      <c r="AF24" s="20">
        <f t="shared" si="8"/>
        <v>16938.258341358509</v>
      </c>
      <c r="AG24" s="30">
        <f t="shared" si="8"/>
        <v>19114.112931674797</v>
      </c>
      <c r="AH24" s="18"/>
      <c r="AI24" s="660">
        <f t="shared" si="9"/>
        <v>-0.54588752016002517</v>
      </c>
      <c r="AJ24" s="96"/>
      <c r="AK24" s="96">
        <f>+Z24-Y24</f>
        <v>-2059.5934595133876</v>
      </c>
      <c r="AL24" s="96">
        <f>+AC24-AB24</f>
        <v>2945.144743408513</v>
      </c>
      <c r="AM24" s="96">
        <f>+AF24-AE24</f>
        <v>-5004.7382029219007</v>
      </c>
    </row>
    <row r="25" spans="2:39" s="8" customFormat="1" ht="19.5" customHeight="1" x14ac:dyDescent="0.3">
      <c r="F25" s="9">
        <f t="shared" si="2"/>
        <v>0.67211921449823497</v>
      </c>
      <c r="G25" s="663">
        <f t="shared" si="13"/>
        <v>1.0222478547854785</v>
      </c>
      <c r="H25" s="80"/>
      <c r="I25" s="84" t="s">
        <v>49</v>
      </c>
      <c r="J25" s="23">
        <f>SUM(J11:J18)</f>
        <v>1515</v>
      </c>
      <c r="K25" s="20">
        <f>SUM(K11:K18)</f>
        <v>1548.7055</v>
      </c>
      <c r="L25" s="21">
        <f t="shared" si="1"/>
        <v>33.705500000000029</v>
      </c>
      <c r="M25" s="25">
        <f>SUM(M11:M18)</f>
        <v>1678.0355</v>
      </c>
      <c r="N25" s="22">
        <f t="shared" si="3"/>
        <v>-129.32999999999993</v>
      </c>
      <c r="O25" s="23">
        <f>SUM(O11:O18)</f>
        <v>154954.50900575001</v>
      </c>
      <c r="P25" s="20">
        <f>SUM(P11:P18)</f>
        <v>155875.848352</v>
      </c>
      <c r="Q25" s="21">
        <f t="shared" si="4"/>
        <v>921.33934624999529</v>
      </c>
      <c r="R25" s="25">
        <f>SUM(R11:R18)</f>
        <v>164333.14178199999</v>
      </c>
      <c r="S25" s="22">
        <f t="shared" si="5"/>
        <v>-8457.2934299999906</v>
      </c>
      <c r="T25" s="23">
        <f>SUM(T11:T18)</f>
        <v>22933.688434286651</v>
      </c>
      <c r="U25" s="20">
        <f>SUM(U11:U18)</f>
        <v>15414.172656000001</v>
      </c>
      <c r="V25" s="21">
        <f t="shared" si="6"/>
        <v>-7519.5157782866499</v>
      </c>
      <c r="W25" s="25">
        <f>SUM(W11:W18)</f>
        <v>24390.475601999999</v>
      </c>
      <c r="X25" s="22">
        <f t="shared" si="7"/>
        <v>-8976.302945999998</v>
      </c>
      <c r="Y25" s="23">
        <f>+[11]영남권!$Q$85</f>
        <v>102280.2039641914</v>
      </c>
      <c r="Z25" s="20">
        <f>+[11]영남권!$R$85</f>
        <v>100664.51082845427</v>
      </c>
      <c r="AA25" s="24">
        <f>+[12]영남권!$Q$85</f>
        <v>97936.195945242594</v>
      </c>
      <c r="AB25" s="29">
        <f>+[11]영남권!$Q$89</f>
        <v>75594.468844274277</v>
      </c>
      <c r="AC25" s="20">
        <f>+[11]영남권!$R$89</f>
        <v>78859.643032026695</v>
      </c>
      <c r="AD25" s="30">
        <f>+[12]영남권!$Q$89</f>
        <v>72543.876376942746</v>
      </c>
      <c r="AE25" s="29">
        <f t="shared" si="8"/>
        <v>26685.735119917124</v>
      </c>
      <c r="AF25" s="20">
        <f t="shared" si="8"/>
        <v>21804.86779642757</v>
      </c>
      <c r="AG25" s="30">
        <f t="shared" si="8"/>
        <v>25392.319568299848</v>
      </c>
      <c r="AH25" s="18"/>
      <c r="AI25" s="660">
        <f t="shared" si="9"/>
        <v>-0.32788078550176503</v>
      </c>
      <c r="AJ25" s="96"/>
      <c r="AK25" s="96">
        <f>+Z25-Y25</f>
        <v>-1615.6931357371359</v>
      </c>
      <c r="AL25" s="96">
        <f>+AC25-AB25</f>
        <v>3265.1741877524182</v>
      </c>
      <c r="AM25" s="96">
        <f>+AF25-AE25</f>
        <v>-4880.8673234895541</v>
      </c>
    </row>
    <row r="26" spans="2:39" s="8" customFormat="1" ht="19.5" customHeight="1" x14ac:dyDescent="0.3">
      <c r="F26" s="9">
        <f t="shared" si="2"/>
        <v>0.85256590734645432</v>
      </c>
      <c r="G26" s="663">
        <f t="shared" si="13"/>
        <v>0.99675476190476175</v>
      </c>
      <c r="H26" s="80"/>
      <c r="I26" s="84" t="s">
        <v>137</v>
      </c>
      <c r="J26" s="23">
        <f>SUM(J19:J23)</f>
        <v>630</v>
      </c>
      <c r="K26" s="20">
        <f>SUM(K19:K23)</f>
        <v>627.95549999999992</v>
      </c>
      <c r="L26" s="21">
        <f t="shared" si="1"/>
        <v>-2.0445000000000846</v>
      </c>
      <c r="M26" s="25">
        <f>SUM(M19:M23)</f>
        <v>671.05049999999994</v>
      </c>
      <c r="N26" s="22">
        <f t="shared" si="3"/>
        <v>-43.095000000000027</v>
      </c>
      <c r="O26" s="23">
        <f>SUM(O19:O23)</f>
        <v>66698.86731999999</v>
      </c>
      <c r="P26" s="20">
        <f>SUM(P19:P23)</f>
        <v>65735.235329000003</v>
      </c>
      <c r="Q26" s="21">
        <f t="shared" si="4"/>
        <v>-963.63199099998747</v>
      </c>
      <c r="R26" s="25">
        <f>SUM(R19:R23)</f>
        <v>67112.539055000001</v>
      </c>
      <c r="S26" s="22">
        <f t="shared" si="5"/>
        <v>-1377.3037259999983</v>
      </c>
      <c r="T26" s="23">
        <f>SUM(T19:T23)</f>
        <v>11127.883103522572</v>
      </c>
      <c r="U26" s="20">
        <f>SUM(U19:U23)</f>
        <v>9487.2537549999997</v>
      </c>
      <c r="V26" s="21">
        <f t="shared" si="6"/>
        <v>-1640.6293485225724</v>
      </c>
      <c r="W26" s="25">
        <f>SUM(W19:W23)</f>
        <v>11078.728545000002</v>
      </c>
      <c r="X26" s="22">
        <f t="shared" si="7"/>
        <v>-1591.474790000002</v>
      </c>
      <c r="Y26" s="23">
        <f>+[11]중부권!$Q$85</f>
        <v>105871.21796825396</v>
      </c>
      <c r="Z26" s="20">
        <f>+[11]중부권!$R$85</f>
        <v>104665.49395355821</v>
      </c>
      <c r="AA26" s="24">
        <f>+[12]중부권!$Q$85</f>
        <v>100087.18395581827</v>
      </c>
      <c r="AB26" s="29">
        <f>+[11]중부권!$Q$89</f>
        <v>76527.275263178439</v>
      </c>
      <c r="AC26" s="20">
        <f>+[11]중부권!$R$89</f>
        <v>76562.819182250692</v>
      </c>
      <c r="AD26" s="30">
        <f>+[12]중부권!$Q$89</f>
        <v>71825.070658085358</v>
      </c>
      <c r="AE26" s="29">
        <f t="shared" si="8"/>
        <v>29343.942705075518</v>
      </c>
      <c r="AF26" s="20">
        <f t="shared" si="8"/>
        <v>28102.674771307516</v>
      </c>
      <c r="AG26" s="30">
        <f t="shared" si="8"/>
        <v>28262.113297732911</v>
      </c>
      <c r="AH26" s="18"/>
      <c r="AI26" s="660">
        <f t="shared" si="9"/>
        <v>-0.14743409265354568</v>
      </c>
      <c r="AJ26" s="96"/>
      <c r="AK26" s="96">
        <f>+Z26-Y26</f>
        <v>-1205.7240146957483</v>
      </c>
      <c r="AL26" s="96">
        <f>+AC26-AB26</f>
        <v>35.54391907225363</v>
      </c>
      <c r="AM26" s="96">
        <f>+AF26-AE26</f>
        <v>-1241.267933768002</v>
      </c>
    </row>
    <row r="27" spans="2:39" s="3" customFormat="1" ht="19.5" customHeight="1" x14ac:dyDescent="0.3">
      <c r="B27" s="26"/>
      <c r="F27" s="9">
        <f t="shared" si="2"/>
        <v>0.63560711452099738</v>
      </c>
      <c r="G27" s="663">
        <f t="shared" si="13"/>
        <v>0.96520800000000007</v>
      </c>
      <c r="H27" s="500" t="s">
        <v>103</v>
      </c>
      <c r="I27" s="501"/>
      <c r="J27" s="502">
        <f>SUM(J24:J26)</f>
        <v>3500</v>
      </c>
      <c r="K27" s="503">
        <f>SUM(K24:K26)</f>
        <v>3378.2280000000001</v>
      </c>
      <c r="L27" s="504">
        <f t="shared" si="1"/>
        <v>-121.77199999999993</v>
      </c>
      <c r="M27" s="505">
        <f>SUM(M24:M26)</f>
        <v>3843.6276800000001</v>
      </c>
      <c r="N27" s="506">
        <f t="shared" si="3"/>
        <v>-465.39967999999999</v>
      </c>
      <c r="O27" s="502">
        <f>SUM(O24:O26)</f>
        <v>357471.32122631953</v>
      </c>
      <c r="P27" s="503">
        <f>SUM(P24:P26)</f>
        <v>339565.23887299997</v>
      </c>
      <c r="Q27" s="504">
        <f t="shared" si="4"/>
        <v>-17906.082353319565</v>
      </c>
      <c r="R27" s="505">
        <f>SUM(R24:R26)</f>
        <v>371786.18047399999</v>
      </c>
      <c r="S27" s="506">
        <f t="shared" si="5"/>
        <v>-32220.941601000028</v>
      </c>
      <c r="T27" s="502">
        <f>SUM(T24:T26)</f>
        <v>51977.523794565088</v>
      </c>
      <c r="U27" s="503">
        <f>SUM(U24:U26)</f>
        <v>33037.283919009998</v>
      </c>
      <c r="V27" s="504">
        <f t="shared" si="6"/>
        <v>-18940.239875555089</v>
      </c>
      <c r="W27" s="505">
        <f>SUM(W24:W26)</f>
        <v>51390.872883000004</v>
      </c>
      <c r="X27" s="506">
        <f t="shared" si="7"/>
        <v>-18353.588963990005</v>
      </c>
      <c r="Y27" s="502">
        <f>+[11]합계!$Q$85</f>
        <v>102134.6632075199</v>
      </c>
      <c r="Z27" s="503">
        <f>+[11]합계!$R$85</f>
        <v>100523.03337334946</v>
      </c>
      <c r="AA27" s="507">
        <f>+[12]합계!$Q$85</f>
        <v>96729.941616065073</v>
      </c>
      <c r="AB27" s="508">
        <f>+[11]합계!$Q$89</f>
        <v>76806.568085127903</v>
      </c>
      <c r="AC27" s="503">
        <f>+[11]합계!$R$89</f>
        <v>79276.382673567117</v>
      </c>
      <c r="AD27" s="509">
        <f>+[12]합계!$Q$89</f>
        <v>73284.063579971</v>
      </c>
      <c r="AE27" s="508">
        <f t="shared" si="8"/>
        <v>25328.095122391998</v>
      </c>
      <c r="AF27" s="503">
        <f t="shared" si="8"/>
        <v>21246.650699782345</v>
      </c>
      <c r="AG27" s="509">
        <f t="shared" si="8"/>
        <v>23445.878036094073</v>
      </c>
      <c r="AH27" s="27"/>
      <c r="AI27" s="660">
        <f t="shared" si="9"/>
        <v>-0.36439288547900262</v>
      </c>
      <c r="AJ27" s="96"/>
      <c r="AK27" s="96">
        <f>+Z27-Y27</f>
        <v>-1611.6298341704387</v>
      </c>
      <c r="AL27" s="96">
        <f>+AC27-AB27</f>
        <v>2469.8145884392143</v>
      </c>
      <c r="AM27" s="96">
        <f>+AF27-AE27</f>
        <v>-4081.444422609653</v>
      </c>
    </row>
    <row r="28" spans="2:39" s="8" customFormat="1" ht="19.5" customHeight="1" x14ac:dyDescent="0.3">
      <c r="B28" s="8" t="s">
        <v>3</v>
      </c>
      <c r="E28" s="8" t="s">
        <v>167</v>
      </c>
      <c r="G28" s="663">
        <f t="shared" si="13"/>
        <v>1.1684912333333333</v>
      </c>
      <c r="H28" s="706" t="s">
        <v>3</v>
      </c>
      <c r="I28" s="707"/>
      <c r="J28" s="167">
        <f>+'사업장별(당월)'!J28+'[4]사업장별(누계)'!J28</f>
        <v>90000</v>
      </c>
      <c r="K28" s="168">
        <f>+'사업장별(당월)'!K28+'[4]사업장별(누계)'!K28</f>
        <v>105164.211</v>
      </c>
      <c r="L28" s="169">
        <f>+K28-J28</f>
        <v>15164.210999999996</v>
      </c>
      <c r="M28" s="170">
        <f>+'사업장별(당월)'!M28+'[4]사업장별(누계)'!M28</f>
        <v>96546.947000000015</v>
      </c>
      <c r="N28" s="171">
        <f>+K28-M28</f>
        <v>8617.263999999981</v>
      </c>
      <c r="O28" s="167">
        <f>+'사업장별(당월)'!O28+'[4]사업장별(누계)'!O28</f>
        <v>110033.79368421054</v>
      </c>
      <c r="P28" s="168">
        <f>+'사업장별(당월)'!P28+'[4]사업장별(누계)'!P28</f>
        <v>103999.84695300001</v>
      </c>
      <c r="Q28" s="169">
        <f>+P28-O28</f>
        <v>-6033.9467312105262</v>
      </c>
      <c r="R28" s="170">
        <f>+'사업장별(당월)'!R28+'[4]사업장별(누계)'!R28</f>
        <v>118368.377329</v>
      </c>
      <c r="S28" s="171">
        <f t="shared" si="5"/>
        <v>-14368.530375999981</v>
      </c>
      <c r="T28" s="167">
        <f>+'사업장별(당월)'!T28+'[4]사업장별(누계)'!T28</f>
        <v>1300.4306743368491</v>
      </c>
      <c r="U28" s="168">
        <f>+'사업장별(당월)'!U28+'[4]사업장별(누계)'!U28</f>
        <v>500.75827500000139</v>
      </c>
      <c r="V28" s="169">
        <f t="shared" si="6"/>
        <v>-799.67239933684766</v>
      </c>
      <c r="W28" s="170">
        <f>+'사업장별(당월)'!W28+'[4]사업장별(누계)'!W28</f>
        <v>781.64685500000121</v>
      </c>
      <c r="X28" s="171">
        <f t="shared" si="7"/>
        <v>-280.88857999999982</v>
      </c>
      <c r="Y28" s="520" t="s">
        <v>141</v>
      </c>
      <c r="Z28" s="521"/>
      <c r="AA28" s="521"/>
      <c r="AB28" s="521"/>
      <c r="AC28" s="521"/>
      <c r="AD28" s="521"/>
      <c r="AE28" s="521"/>
      <c r="AF28" s="521"/>
      <c r="AG28" s="522"/>
      <c r="AH28" s="18"/>
      <c r="AI28" s="19"/>
    </row>
    <row r="29" spans="2:39" s="8" customFormat="1" ht="19.5" customHeight="1" x14ac:dyDescent="0.3">
      <c r="B29" s="8" t="s">
        <v>159</v>
      </c>
      <c r="C29" s="79" t="s">
        <v>53</v>
      </c>
      <c r="G29" s="663">
        <f>+P28/O28</f>
        <v>0.94516278563904155</v>
      </c>
      <c r="H29" s="86" t="s">
        <v>1</v>
      </c>
      <c r="I29" s="79" t="s">
        <v>188</v>
      </c>
      <c r="J29" s="56">
        <f>+'사업장별(당월)'!J29+'[4]사업장별(누계)'!J29</f>
        <v>300.00017607285093</v>
      </c>
      <c r="K29" s="57">
        <f>+'사업장별(당월)'!K29+'[4]사업장별(누계)'!K29</f>
        <v>238.35299999999998</v>
      </c>
      <c r="L29" s="38">
        <f t="shared" si="1"/>
        <v>-61.647176072850954</v>
      </c>
      <c r="M29" s="38">
        <f>+'사업장별(당월)'!M29+'[4]사업장별(누계)'!M29</f>
        <v>309.48999999999995</v>
      </c>
      <c r="N29" s="58">
        <f t="shared" si="3"/>
        <v>-71.136999999999972</v>
      </c>
      <c r="O29" s="56">
        <f>+'사업장별(당월)'!O29+'[4]사업장별(누계)'!O29</f>
        <v>8721.9064142176303</v>
      </c>
      <c r="P29" s="57">
        <f>+'사업장별(당월)'!P29+'[4]사업장별(누계)'!P29</f>
        <v>6922.5480799999996</v>
      </c>
      <c r="Q29" s="38">
        <f t="shared" si="4"/>
        <v>-1799.3583342176307</v>
      </c>
      <c r="R29" s="38">
        <f>+'사업장별(당월)'!R29+'[4]사업장별(누계)'!R29</f>
        <v>9008.1723999999995</v>
      </c>
      <c r="S29" s="58">
        <f t="shared" si="5"/>
        <v>-2085.6243199999999</v>
      </c>
      <c r="T29" s="56">
        <f>+'사업장별(당월)'!T29+'[4]사업장별(누계)'!T29</f>
        <v>504.52215497375073</v>
      </c>
      <c r="U29" s="57">
        <f>+'사업장별(당월)'!U29+'[4]사업장별(누계)'!U29</f>
        <v>339.72439163340761</v>
      </c>
      <c r="V29" s="38">
        <f t="shared" si="6"/>
        <v>-164.79776334034312</v>
      </c>
      <c r="W29" s="38">
        <f>+'사업장별(당월)'!W29+'[4]사업장별(누계)'!W29</f>
        <v>349.85153103000005</v>
      </c>
      <c r="X29" s="58">
        <f t="shared" si="7"/>
        <v>-10.12713939659244</v>
      </c>
      <c r="Y29" s="669" t="s">
        <v>214</v>
      </c>
      <c r="Z29" s="459"/>
      <c r="AA29" s="459"/>
      <c r="AB29" s="459"/>
      <c r="AC29" s="668"/>
      <c r="AD29" s="459"/>
      <c r="AE29" s="459"/>
      <c r="AF29" s="459"/>
      <c r="AG29" s="51"/>
      <c r="AH29" s="18"/>
      <c r="AI29" s="651">
        <f t="shared" ref="AI29:AK31" si="14">+T29/100</f>
        <v>5.0452215497375077</v>
      </c>
      <c r="AJ29" s="651">
        <f t="shared" si="14"/>
        <v>3.3972439163340762</v>
      </c>
      <c r="AK29" s="651">
        <f t="shared" si="14"/>
        <v>-1.6479776334034313</v>
      </c>
    </row>
    <row r="30" spans="2:39" s="8" customFormat="1" ht="19.5" customHeight="1" x14ac:dyDescent="0.3">
      <c r="B30" s="8" t="s">
        <v>160</v>
      </c>
      <c r="C30" s="81" t="s">
        <v>54</v>
      </c>
      <c r="G30" s="661"/>
      <c r="H30" s="85"/>
      <c r="I30" s="81" t="s">
        <v>184</v>
      </c>
      <c r="J30" s="54">
        <f>+'사업장별(당월)'!J30+'[4]사업장별(누계)'!J30</f>
        <v>425.99938354666671</v>
      </c>
      <c r="K30" s="59">
        <f>+'사업장별(당월)'!K30+'[4]사업장별(누계)'!K30</f>
        <v>172.09200000000001</v>
      </c>
      <c r="L30" s="48">
        <f t="shared" si="1"/>
        <v>-253.90738354666669</v>
      </c>
      <c r="M30" s="48">
        <f>+'사업장별(당월)'!M30+'[4]사업장별(누계)'!M30</f>
        <v>398.54199999999997</v>
      </c>
      <c r="N30" s="60">
        <f t="shared" si="3"/>
        <v>-226.44999999999996</v>
      </c>
      <c r="O30" s="54">
        <f>+'사업장별(당월)'!O30+'[4]사업장별(누계)'!O30</f>
        <v>5334.5644198666669</v>
      </c>
      <c r="P30" s="59">
        <f>+'사업장별(당월)'!P30+'[4]사업장별(누계)'!P30</f>
        <v>2413.663</v>
      </c>
      <c r="Q30" s="48">
        <f t="shared" si="4"/>
        <v>-2920.9014198666669</v>
      </c>
      <c r="R30" s="48">
        <f>+'사업장별(당월)'!R30+'[4]사업장별(누계)'!R30</f>
        <v>4805.3020000000006</v>
      </c>
      <c r="S30" s="60">
        <f t="shared" si="5"/>
        <v>-2391.6390000000006</v>
      </c>
      <c r="T30" s="54">
        <f>+'사업장별(당월)'!T30+'[4]사업장별(누계)'!T30</f>
        <v>1089.7857397869443</v>
      </c>
      <c r="U30" s="59">
        <f>+'사업장별(당월)'!U30+'[4]사업장별(누계)'!U30</f>
        <v>-278.7264241139863</v>
      </c>
      <c r="V30" s="48">
        <f t="shared" si="6"/>
        <v>-1368.5121639009305</v>
      </c>
      <c r="W30" s="48">
        <f>+'사업장별(당월)'!W30+'[4]사업장별(누계)'!W30</f>
        <v>751.30645301000027</v>
      </c>
      <c r="X30" s="60">
        <f t="shared" si="7"/>
        <v>-1030.0328771239865</v>
      </c>
      <c r="Y30" s="499" t="s">
        <v>213</v>
      </c>
      <c r="Z30" s="459"/>
      <c r="AA30" s="459"/>
      <c r="AB30" s="668"/>
      <c r="AC30" s="459"/>
      <c r="AD30" s="668"/>
      <c r="AE30" s="459"/>
      <c r="AF30" s="459"/>
      <c r="AG30" s="51"/>
      <c r="AH30" s="18"/>
      <c r="AI30" s="651">
        <f t="shared" si="14"/>
        <v>10.897857397869442</v>
      </c>
      <c r="AJ30" s="651">
        <f t="shared" si="14"/>
        <v>-2.7872642411398632</v>
      </c>
      <c r="AK30" s="651">
        <f t="shared" si="14"/>
        <v>-13.685121639009305</v>
      </c>
      <c r="AL30" s="98"/>
    </row>
    <row r="31" spans="2:39" s="8" customFormat="1" ht="19.5" customHeight="1" x14ac:dyDescent="0.3">
      <c r="B31" s="8" t="s">
        <v>143</v>
      </c>
      <c r="C31" s="83" t="s">
        <v>143</v>
      </c>
      <c r="G31" s="661"/>
      <c r="H31" s="85"/>
      <c r="I31" s="83" t="s">
        <v>186</v>
      </c>
      <c r="J31" s="54">
        <f>+'사업장별(당월)'!J31+'[4]사업장별(누계)'!J31</f>
        <v>499.99987709049373</v>
      </c>
      <c r="K31" s="59">
        <f>+'사업장별(당월)'!K31+'[4]사업장별(누계)'!K31</f>
        <v>429.666</v>
      </c>
      <c r="L31" s="48">
        <f t="shared" si="1"/>
        <v>-70.333877090493729</v>
      </c>
      <c r="M31" s="48">
        <f>+'사업장별(당월)'!M31+'[4]사업장별(누계)'!M31</f>
        <v>140.06800000000001</v>
      </c>
      <c r="N31" s="60">
        <f t="shared" si="3"/>
        <v>289.59799999999996</v>
      </c>
      <c r="O31" s="54">
        <f>+'사업장별(당월)'!O31+'[4]사업장별(누계)'!O31</f>
        <v>9023.7826668100079</v>
      </c>
      <c r="P31" s="59">
        <f>+'사업장별(당월)'!P31+'[4]사업장별(누계)'!P31</f>
        <v>7733.933</v>
      </c>
      <c r="Q31" s="48">
        <f t="shared" si="4"/>
        <v>-1289.8496668100079</v>
      </c>
      <c r="R31" s="48">
        <f>+'사업장별(당월)'!R31+'[4]사업장별(누계)'!R31</f>
        <v>2460.752</v>
      </c>
      <c r="S31" s="60">
        <f t="shared" si="5"/>
        <v>5273.1810000000005</v>
      </c>
      <c r="T31" s="54">
        <f>+'사업장별(당월)'!T31+'[4]사업장별(누계)'!T31</f>
        <v>510.85122535316907</v>
      </c>
      <c r="U31" s="59">
        <f>+'사업장별(당월)'!U31+'[4]사업장별(누계)'!U31</f>
        <v>-822.30434175000005</v>
      </c>
      <c r="V31" s="48">
        <f t="shared" si="6"/>
        <v>-1333.1555671031692</v>
      </c>
      <c r="W31" s="48">
        <f>+'사업장별(당월)'!W31+'[4]사업장별(누계)'!W31</f>
        <v>-620.61893798999995</v>
      </c>
      <c r="X31" s="60">
        <f t="shared" si="7"/>
        <v>-201.6854037600001</v>
      </c>
      <c r="Y31" s="458" t="s">
        <v>215</v>
      </c>
      <c r="Z31" s="459"/>
      <c r="AA31" s="459"/>
      <c r="AB31" s="459"/>
      <c r="AC31" s="459"/>
      <c r="AD31" s="459"/>
      <c r="AE31" s="459"/>
      <c r="AF31" s="459"/>
      <c r="AG31" s="51"/>
      <c r="AH31" s="18"/>
      <c r="AI31" s="651">
        <f t="shared" si="14"/>
        <v>5.1085122535316909</v>
      </c>
      <c r="AJ31" s="651">
        <f t="shared" si="14"/>
        <v>-8.2230434175000013</v>
      </c>
      <c r="AK31" s="651">
        <f t="shared" si="14"/>
        <v>-13.331555671031692</v>
      </c>
      <c r="AL31" s="98"/>
    </row>
    <row r="32" spans="2:39" s="3" customFormat="1" ht="19.5" customHeight="1" x14ac:dyDescent="0.3">
      <c r="G32" s="663">
        <f>+K32/J32</f>
        <v>0.68524582870482464</v>
      </c>
      <c r="H32" s="146" t="s">
        <v>38</v>
      </c>
      <c r="I32" s="147"/>
      <c r="J32" s="148">
        <f>SUM(J29:J31)</f>
        <v>1225.9994367100114</v>
      </c>
      <c r="K32" s="152">
        <f>SUM(K29:K31)</f>
        <v>840.11099999999999</v>
      </c>
      <c r="L32" s="150">
        <f t="shared" si="1"/>
        <v>-385.88843671001143</v>
      </c>
      <c r="M32" s="150">
        <f>SUM(M29:M31)</f>
        <v>848.09999999999991</v>
      </c>
      <c r="N32" s="151">
        <f t="shared" si="3"/>
        <v>-7.9889999999999191</v>
      </c>
      <c r="O32" s="148">
        <f>SUM(O29:O31)</f>
        <v>23080.253500894305</v>
      </c>
      <c r="P32" s="152">
        <f>SUM(P29:P31)</f>
        <v>17070.144079999998</v>
      </c>
      <c r="Q32" s="150">
        <f t="shared" si="4"/>
        <v>-6010.1094208943068</v>
      </c>
      <c r="R32" s="150">
        <f>SUM(R29:R31)</f>
        <v>16274.2264</v>
      </c>
      <c r="S32" s="151">
        <f t="shared" si="5"/>
        <v>795.91767999999865</v>
      </c>
      <c r="T32" s="148">
        <f>SUM(T29:T31)</f>
        <v>2105.159120113864</v>
      </c>
      <c r="U32" s="152">
        <f>SUM(U29:U31)</f>
        <v>-761.30637423057874</v>
      </c>
      <c r="V32" s="150">
        <f t="shared" si="6"/>
        <v>-2866.465494344443</v>
      </c>
      <c r="W32" s="150">
        <f>SUM(W29:W31)</f>
        <v>480.53904605000048</v>
      </c>
      <c r="X32" s="151">
        <f t="shared" si="7"/>
        <v>-1241.8454202805792</v>
      </c>
      <c r="Y32" s="458"/>
      <c r="Z32" s="459"/>
      <c r="AA32" s="459"/>
      <c r="AB32" s="459"/>
      <c r="AC32" s="459"/>
      <c r="AD32" s="459"/>
      <c r="AE32" s="459"/>
      <c r="AF32" s="459"/>
      <c r="AG32" s="51"/>
      <c r="AH32" s="27"/>
      <c r="AI32" s="652">
        <f>SUM(AI29:AI31)</f>
        <v>21.051591201138642</v>
      </c>
      <c r="AJ32" s="652">
        <f>SUM(AJ29:AJ31)</f>
        <v>-7.6130637423057888</v>
      </c>
      <c r="AK32" s="652">
        <f>SUM(AK29:AK31)</f>
        <v>-28.664654943444429</v>
      </c>
    </row>
    <row r="33" spans="2:39" s="8" customFormat="1" ht="19.5" customHeight="1" x14ac:dyDescent="0.3">
      <c r="B33" s="8" t="s">
        <v>163</v>
      </c>
      <c r="C33" s="8" t="s">
        <v>162</v>
      </c>
      <c r="D33" t="s">
        <v>161</v>
      </c>
      <c r="E33" t="s">
        <v>90</v>
      </c>
      <c r="F33"/>
      <c r="G33" s="661"/>
      <c r="H33" s="89" t="s">
        <v>4</v>
      </c>
      <c r="I33" s="88" t="s">
        <v>89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1090.0800000000002</v>
      </c>
      <c r="P33" s="47">
        <f>+'사업장별(당월)'!P33+'[4]사업장별(누계)'!P33</f>
        <v>1090.0800000000002</v>
      </c>
      <c r="Q33" s="49">
        <f t="shared" si="4"/>
        <v>0</v>
      </c>
      <c r="R33" s="48">
        <f>+'사업장별(당월)'!R33+'[4]사업장별(누계)'!R33</f>
        <v>1021.3300000000003</v>
      </c>
      <c r="S33" s="60">
        <f t="shared" si="5"/>
        <v>68.749999999999886</v>
      </c>
      <c r="T33" s="46">
        <f>+'사업장별(당월)'!T33+'[4]사업장별(누계)'!T33</f>
        <v>817.57517200000007</v>
      </c>
      <c r="U33" s="47">
        <f>+'사업장별(당월)'!U33+'[4]사업장별(누계)'!U33</f>
        <v>771.41685799999993</v>
      </c>
      <c r="V33" s="49">
        <f t="shared" si="6"/>
        <v>-46.158314000000132</v>
      </c>
      <c r="W33" s="48">
        <f>+'사업장별(당월)'!W33+'[4]사업장별(누계)'!W33</f>
        <v>691.94446300000004</v>
      </c>
      <c r="X33" s="60">
        <f t="shared" si="7"/>
        <v>79.472394999999892</v>
      </c>
      <c r="Y33" s="499"/>
      <c r="Z33" s="668"/>
      <c r="AA33" s="459"/>
      <c r="AB33" s="459"/>
      <c r="AC33" s="459"/>
      <c r="AD33" s="459"/>
      <c r="AE33" s="459"/>
      <c r="AF33" s="459"/>
      <c r="AG33" s="51"/>
      <c r="AH33" s="18"/>
      <c r="AI33" s="19"/>
    </row>
    <row r="34" spans="2:39" s="8" customFormat="1" ht="19.5" customHeight="1" x14ac:dyDescent="0.3">
      <c r="B34" s="8" t="s">
        <v>164</v>
      </c>
      <c r="C34" s="8" t="s">
        <v>165</v>
      </c>
      <c r="D34"/>
      <c r="E34" t="s">
        <v>36</v>
      </c>
      <c r="F34"/>
      <c r="G34" s="661"/>
      <c r="H34" s="89"/>
      <c r="I34" s="88" t="s">
        <v>51</v>
      </c>
      <c r="J34" s="46"/>
      <c r="K34" s="47"/>
      <c r="L34" s="49">
        <f>+K34-J34</f>
        <v>0</v>
      </c>
      <c r="M34" s="48">
        <v>0</v>
      </c>
      <c r="N34" s="60">
        <f t="shared" ref="N34:N41" si="15">+K34-M34</f>
        <v>0</v>
      </c>
      <c r="O34" s="46">
        <f>+'사업장별(당월)'!O34+'[4]사업장별(누계)'!O34</f>
        <v>868.17000400000006</v>
      </c>
      <c r="P34" s="47">
        <f>+'사업장별(당월)'!P34+'[4]사업장별(누계)'!P34</f>
        <v>875.84247000000005</v>
      </c>
      <c r="Q34" s="49">
        <f>+P34-O34</f>
        <v>7.6724659999999858</v>
      </c>
      <c r="R34" s="48">
        <f>+'사업장별(당월)'!R34+'[4]사업장별(누계)'!R34</f>
        <v>1116.1272920000001</v>
      </c>
      <c r="S34" s="60">
        <f t="shared" si="5"/>
        <v>-240.28482200000008</v>
      </c>
      <c r="T34" s="46">
        <f>+'사업장별(당월)'!T34+'[4]사업장별(누계)'!T34</f>
        <v>795.42736099999991</v>
      </c>
      <c r="U34" s="47">
        <f>+'사업장별(당월)'!U34+'[4]사업장별(누계)'!U34</f>
        <v>800.92318899999998</v>
      </c>
      <c r="V34" s="49">
        <f t="shared" si="6"/>
        <v>5.4958280000000741</v>
      </c>
      <c r="W34" s="48">
        <f>+'사업장별(당월)'!W34+'[4]사업장별(누계)'!W34</f>
        <v>787.04431900000009</v>
      </c>
      <c r="X34" s="60">
        <f t="shared" si="7"/>
        <v>13.878869999999893</v>
      </c>
      <c r="Y34" s="499"/>
      <c r="Z34" s="668"/>
      <c r="AA34" s="459"/>
      <c r="AB34" s="668"/>
      <c r="AC34" s="668"/>
      <c r="AD34" s="668"/>
      <c r="AE34" s="459"/>
      <c r="AF34" s="459"/>
      <c r="AG34" s="51"/>
      <c r="AH34" s="18"/>
      <c r="AI34" s="19"/>
      <c r="AM34" s="8">
        <v>16</v>
      </c>
    </row>
    <row r="35" spans="2:39" s="8" customFormat="1" ht="19.5" customHeight="1" x14ac:dyDescent="0.3">
      <c r="B35" s="8" t="s">
        <v>166</v>
      </c>
      <c r="D35"/>
      <c r="E35"/>
      <c r="F35"/>
      <c r="G35" s="5" t="s">
        <v>189</v>
      </c>
      <c r="H35" s="87"/>
      <c r="I35" s="88" t="s">
        <v>34</v>
      </c>
      <c r="J35" s="46"/>
      <c r="K35" s="47"/>
      <c r="L35" s="49">
        <f>+K35-J35</f>
        <v>0</v>
      </c>
      <c r="M35" s="48"/>
      <c r="N35" s="60">
        <f t="shared" si="15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16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-16184.900738896285</v>
      </c>
      <c r="U35" s="47">
        <f>+'사업장별(당월)'!U35+'[4]사업장별(누계)'!U35</f>
        <v>-17443.479454768898</v>
      </c>
      <c r="V35" s="49">
        <f t="shared" si="6"/>
        <v>-1258.5787158726125</v>
      </c>
      <c r="W35" s="48">
        <f>+'사업장별(당월)'!W35+'[4]사업장별(누계)'!W35</f>
        <v>-15938.368245</v>
      </c>
      <c r="X35" s="60">
        <f t="shared" si="7"/>
        <v>-1505.1112097688983</v>
      </c>
      <c r="Y35" s="499"/>
      <c r="Z35" s="671"/>
      <c r="AA35" s="459"/>
      <c r="AB35" s="459"/>
      <c r="AC35" s="459"/>
      <c r="AD35" s="668"/>
      <c r="AE35" s="459"/>
      <c r="AF35" s="459"/>
      <c r="AG35" s="51"/>
      <c r="AH35" s="18"/>
      <c r="AK35" s="467"/>
      <c r="AL35" s="98"/>
      <c r="AM35" s="8">
        <v>1</v>
      </c>
    </row>
    <row r="36" spans="2:39" s="8" customFormat="1" ht="19.5" customHeight="1" x14ac:dyDescent="0.3">
      <c r="D36"/>
      <c r="E36"/>
      <c r="F36"/>
      <c r="G36" s="5"/>
      <c r="H36" s="87"/>
      <c r="I36" s="88" t="s">
        <v>104</v>
      </c>
      <c r="J36" s="46"/>
      <c r="K36" s="47"/>
      <c r="L36" s="49"/>
      <c r="M36" s="48"/>
      <c r="N36" s="60">
        <f t="shared" si="15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16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1329.7</v>
      </c>
      <c r="U36" s="47">
        <f>+'사업장별(당월)'!U36+'[4]사업장별(누계)'!U36</f>
        <v>1291.7882399999999</v>
      </c>
      <c r="V36" s="49">
        <f t="shared" si="6"/>
        <v>-37.911760000000186</v>
      </c>
      <c r="W36" s="48">
        <f>+'사업장별(당월)'!W36+'[4]사업장별(누계)'!W36</f>
        <v>1028.9851040000001</v>
      </c>
      <c r="X36" s="60">
        <f t="shared" si="7"/>
        <v>262.80313599999977</v>
      </c>
      <c r="Y36" s="499"/>
      <c r="Z36" s="459"/>
      <c r="AA36" s="459"/>
      <c r="AB36" s="459"/>
      <c r="AC36" s="459"/>
      <c r="AD36" s="459"/>
      <c r="AE36" s="459"/>
      <c r="AF36" s="459"/>
      <c r="AG36" s="51"/>
      <c r="AH36" s="18"/>
      <c r="AI36" s="19"/>
      <c r="AK36" s="98"/>
      <c r="AL36" s="98"/>
      <c r="AM36" s="8">
        <f>SUM(AM34:AM35)</f>
        <v>17</v>
      </c>
    </row>
    <row r="37" spans="2:39" s="8" customFormat="1" ht="19.5" customHeight="1" x14ac:dyDescent="0.3">
      <c r="D37"/>
      <c r="E37"/>
      <c r="F37"/>
      <c r="G37" s="5"/>
      <c r="H37" s="87"/>
      <c r="I37" s="88" t="s">
        <v>105</v>
      </c>
      <c r="J37" s="46"/>
      <c r="K37" s="47"/>
      <c r="L37" s="49"/>
      <c r="M37" s="48"/>
      <c r="N37" s="60">
        <f t="shared" si="15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16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-254.34662400000002</v>
      </c>
      <c r="V37" s="49">
        <f t="shared" si="6"/>
        <v>-254.34662400000002</v>
      </c>
      <c r="W37" s="48">
        <f>+'사업장별(당월)'!W37+'[4]사업장별(누계)'!W37</f>
        <v>-2957.9953559999999</v>
      </c>
      <c r="X37" s="60">
        <f t="shared" si="7"/>
        <v>2703.6487319999997</v>
      </c>
      <c r="Y37" s="458"/>
      <c r="Z37" s="668"/>
      <c r="AA37" s="459"/>
      <c r="AB37" s="668"/>
      <c r="AC37" s="674"/>
      <c r="AD37" s="459"/>
      <c r="AE37" s="459"/>
      <c r="AF37" s="459"/>
      <c r="AG37" s="51"/>
      <c r="AH37" s="18"/>
      <c r="AI37" s="19"/>
      <c r="AK37" s="98"/>
      <c r="AL37" s="98"/>
    </row>
    <row r="38" spans="2:39" s="8" customFormat="1" ht="19.5" customHeight="1" x14ac:dyDescent="0.3">
      <c r="D38"/>
      <c r="E38"/>
      <c r="F38"/>
      <c r="G38" s="5"/>
      <c r="H38" s="87"/>
      <c r="I38" s="88" t="s">
        <v>144</v>
      </c>
      <c r="J38" s="46"/>
      <c r="K38" s="47"/>
      <c r="L38" s="49"/>
      <c r="M38" s="48">
        <f>SUM(M54:M57)</f>
        <v>0</v>
      </c>
      <c r="N38" s="60">
        <f t="shared" si="15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16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-346.52851233351561</v>
      </c>
      <c r="U38" s="47">
        <f>+'사업장별(당월)'!U38+'[4]사업장별(누계)'!U38</f>
        <v>-408.81052400000004</v>
      </c>
      <c r="V38" s="49">
        <f t="shared" si="6"/>
        <v>-62.282011666484436</v>
      </c>
      <c r="W38" s="48">
        <f>+'사업장별(당월)'!W38+'[4]사업장별(누계)'!W38</f>
        <v>-142.77902599999999</v>
      </c>
      <c r="X38" s="60">
        <f>+U38-W38</f>
        <v>-266.03149800000006</v>
      </c>
      <c r="Y38" s="458"/>
      <c r="Z38" s="459"/>
      <c r="AA38" s="459"/>
      <c r="AB38" s="459"/>
      <c r="AC38" s="674"/>
      <c r="AD38" s="459"/>
      <c r="AE38" s="459"/>
      <c r="AF38" s="459"/>
      <c r="AG38" s="51"/>
      <c r="AH38" s="18"/>
      <c r="AI38" s="19"/>
      <c r="AK38" s="98"/>
      <c r="AL38" s="98"/>
    </row>
    <row r="39" spans="2:39" s="8" customFormat="1" ht="19.5" customHeight="1" x14ac:dyDescent="0.3">
      <c r="B39" t="s">
        <v>35</v>
      </c>
      <c r="D39"/>
      <c r="G39" s="661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5"/>
        <v>0</v>
      </c>
      <c r="O39" s="46">
        <f>+'사업장별(당월)'!O39+'[4]사업장별(누계)'!O39</f>
        <v>21.24</v>
      </c>
      <c r="P39" s="47">
        <f>+'사업장별(당월)'!P39+'[4]사업장별(누계)'!P39</f>
        <v>20.98485000000522</v>
      </c>
      <c r="Q39" s="55">
        <f t="shared" si="16"/>
        <v>-0.25514999999477794</v>
      </c>
      <c r="R39" s="61">
        <f>+'사업장별(당월)'!R39+'[4]사업장별(누계)'!R39</f>
        <v>-13.019299999989576</v>
      </c>
      <c r="S39" s="62">
        <f t="shared" si="5"/>
        <v>34.004149999994794</v>
      </c>
      <c r="T39" s="46">
        <f>+'사업장별(당월)'!T39+'[4]사업장별(누계)'!T39</f>
        <v>-780.01737999999716</v>
      </c>
      <c r="U39" s="47">
        <f>+'사업장별(당월)'!U39+'[4]사업장별(누계)'!U39</f>
        <v>-216.47604099998262</v>
      </c>
      <c r="V39" s="49">
        <f t="shared" si="6"/>
        <v>563.54133900001455</v>
      </c>
      <c r="W39" s="61">
        <f>+'사업장별(당월)'!W39+'[4]사업장별(누계)'!W39</f>
        <v>-265.85987499999908</v>
      </c>
      <c r="X39" s="60">
        <f t="shared" si="7"/>
        <v>49.383834000016464</v>
      </c>
      <c r="Y39" s="466"/>
      <c r="Z39" s="668"/>
      <c r="AA39" s="459"/>
      <c r="AB39" s="459"/>
      <c r="AC39" s="674"/>
      <c r="AD39" s="459"/>
      <c r="AE39" s="459"/>
      <c r="AF39" s="459"/>
      <c r="AG39" s="51"/>
      <c r="AH39" s="18"/>
      <c r="AI39" s="19">
        <v>118774940</v>
      </c>
      <c r="AJ39" s="8">
        <v>-63907430</v>
      </c>
    </row>
    <row r="40" spans="2:39" s="8" customFormat="1" ht="19.5" customHeight="1" x14ac:dyDescent="0.3">
      <c r="G40" s="661"/>
      <c r="H40" s="87"/>
      <c r="I40" s="88"/>
      <c r="J40" s="46"/>
      <c r="K40" s="47"/>
      <c r="L40" s="55"/>
      <c r="M40" s="61"/>
      <c r="N40" s="62">
        <f t="shared" si="15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16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655"/>
      <c r="Z40" s="459"/>
      <c r="AA40" s="459"/>
      <c r="AB40" s="459"/>
      <c r="AC40" s="674"/>
      <c r="AD40" s="459"/>
      <c r="AE40" s="459"/>
      <c r="AF40" s="459"/>
      <c r="AG40" s="51"/>
      <c r="AH40" s="31"/>
      <c r="AI40" s="8">
        <v>173503008</v>
      </c>
      <c r="AJ40" s="8">
        <v>-310726527</v>
      </c>
    </row>
    <row r="41" spans="2:39" s="3" customFormat="1" ht="19.5" customHeight="1" x14ac:dyDescent="0.3">
      <c r="D41" s="526"/>
      <c r="G41" s="665"/>
      <c r="H41" s="146" t="s">
        <v>106</v>
      </c>
      <c r="I41" s="147"/>
      <c r="J41" s="517">
        <f>SUM(J33:J40)</f>
        <v>0</v>
      </c>
      <c r="K41" s="518">
        <f>SUM(K33:K40)</f>
        <v>0</v>
      </c>
      <c r="L41" s="518">
        <f>+K41-J41</f>
        <v>0</v>
      </c>
      <c r="M41" s="518">
        <f>SUM(M33:M40)</f>
        <v>0</v>
      </c>
      <c r="N41" s="519">
        <f t="shared" si="15"/>
        <v>0</v>
      </c>
      <c r="O41" s="148">
        <f>SUM(O33:O40)</f>
        <v>1979.4900040000002</v>
      </c>
      <c r="P41" s="149">
        <f>SUM(P33:P40)</f>
        <v>1986.9073200000055</v>
      </c>
      <c r="Q41" s="153">
        <f t="shared" si="4"/>
        <v>7.4173160000052576</v>
      </c>
      <c r="R41" s="154">
        <f>SUM(R33:R40)</f>
        <v>2313.0639920000112</v>
      </c>
      <c r="S41" s="155">
        <f>+P41-R41</f>
        <v>-326.15667200000576</v>
      </c>
      <c r="T41" s="148">
        <f>SUM(T33:T40)</f>
        <v>-14368.744098229799</v>
      </c>
      <c r="U41" s="149">
        <f>SUM(U33:U40)</f>
        <v>-15458.98435676888</v>
      </c>
      <c r="V41" s="153">
        <f>+U41-T41</f>
        <v>-1090.240258539081</v>
      </c>
      <c r="W41" s="154">
        <f>SUM(W33:W40)</f>
        <v>-16797.028616</v>
      </c>
      <c r="X41" s="155">
        <f>+U41-W41</f>
        <v>1338.0442592311192</v>
      </c>
      <c r="Y41" s="656"/>
      <c r="Z41" s="461"/>
      <c r="AA41" s="461"/>
      <c r="AB41" s="461"/>
      <c r="AC41" s="461"/>
      <c r="AD41" s="461"/>
      <c r="AE41" s="461"/>
      <c r="AF41" s="461"/>
      <c r="AG41" s="462"/>
      <c r="AH41" s="26"/>
      <c r="AI41" s="3">
        <v>786272300</v>
      </c>
    </row>
    <row r="42" spans="2:39" s="8" customFormat="1" ht="19.5" customHeight="1" x14ac:dyDescent="0.3">
      <c r="G42" s="661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  <c r="AI42" s="19">
        <v>95057490</v>
      </c>
    </row>
    <row r="43" spans="2:39" s="3" customFormat="1" ht="19.5" customHeight="1" x14ac:dyDescent="0.3">
      <c r="G43" s="666">
        <f>+P43/O43</f>
        <v>0.93921060206010276</v>
      </c>
      <c r="H43" s="510" t="s">
        <v>37</v>
      </c>
      <c r="I43" s="511"/>
      <c r="J43" s="523"/>
      <c r="K43" s="524"/>
      <c r="L43" s="524"/>
      <c r="M43" s="524"/>
      <c r="N43" s="525"/>
      <c r="O43" s="512">
        <f>+O27+O32+O28+O41</f>
        <v>492564.85841542436</v>
      </c>
      <c r="P43" s="513">
        <f>+P27+P32+P28+P41</f>
        <v>462622.13722599996</v>
      </c>
      <c r="Q43" s="514">
        <f t="shared" si="4"/>
        <v>-29942.721189424396</v>
      </c>
      <c r="R43" s="515">
        <f>+R27+R32+R28+R41</f>
        <v>508741.84819499997</v>
      </c>
      <c r="S43" s="516">
        <f>+P43-R43</f>
        <v>-46119.710969000007</v>
      </c>
      <c r="T43" s="512">
        <f>+T27+T32+T28+T41</f>
        <v>41014.369490786004</v>
      </c>
      <c r="U43" s="513">
        <f>+U27+U32+U28+U41</f>
        <v>17317.751463010543</v>
      </c>
      <c r="V43" s="514">
        <f>+U43-T43</f>
        <v>-23696.618027775461</v>
      </c>
      <c r="W43" s="515">
        <f>+W27+W32+W28+W41</f>
        <v>35856.030168049998</v>
      </c>
      <c r="X43" s="516">
        <f>+U43-W43</f>
        <v>-18538.278705039455</v>
      </c>
      <c r="Y43" s="708"/>
      <c r="Z43" s="709"/>
      <c r="AA43" s="709"/>
      <c r="AB43" s="709"/>
      <c r="AC43" s="709"/>
      <c r="AD43" s="709"/>
      <c r="AE43" s="709"/>
      <c r="AF43" s="709"/>
      <c r="AG43" s="710"/>
      <c r="AH43" s="26"/>
      <c r="AI43" s="654">
        <f>SUM(AI39:AI42)</f>
        <v>1173607738</v>
      </c>
      <c r="AJ43" s="3">
        <f>SUM(AJ39:AJ42)</f>
        <v>-374633957</v>
      </c>
      <c r="AK43" s="654">
        <f>SUM(AI43:AJ43)</f>
        <v>798973781</v>
      </c>
    </row>
    <row r="44" spans="2:39" s="34" customFormat="1" x14ac:dyDescent="0.3">
      <c r="G44" s="663">
        <f>+U43/T43</f>
        <v>0.42223619863036116</v>
      </c>
      <c r="P44" s="530">
        <f>+P43/O43</f>
        <v>0.93921060206010276</v>
      </c>
      <c r="T44" s="657">
        <f>+T43/O43</f>
        <v>8.326694198755627E-2</v>
      </c>
      <c r="U44" s="657">
        <f>+U43/P43</f>
        <v>3.7433901384080294E-2</v>
      </c>
      <c r="AC44" s="35"/>
      <c r="AF44" s="35"/>
    </row>
    <row r="45" spans="2:39" s="34" customFormat="1" ht="17.25" thickBot="1" x14ac:dyDescent="0.35">
      <c r="G45" s="667"/>
      <c r="AC45" s="35"/>
      <c r="AF45" s="35"/>
    </row>
    <row r="46" spans="2:39" s="34" customFormat="1" x14ac:dyDescent="0.3">
      <c r="G46" s="667"/>
      <c r="I46" s="705" t="s">
        <v>91</v>
      </c>
      <c r="J46" s="138">
        <f>+'사업장별(당월)'!J46+'[4]사업장별(누계)'!J46</f>
        <v>3500</v>
      </c>
      <c r="K46" s="139">
        <f>+'사업장별(당월)'!K46+'[4]사업장별(누계)'!K46</f>
        <v>3378.2279999999992</v>
      </c>
      <c r="L46" s="139"/>
      <c r="M46" s="139">
        <f>+'사업장별(당월)'!M46+'[4]사업장별(누계)'!M46</f>
        <v>3843.6276800000005</v>
      </c>
      <c r="N46" s="139"/>
      <c r="O46" s="139">
        <f>+'사업장별(당월)'!O46+'[4]사업장별(누계)'!O46</f>
        <v>492564.85841542447</v>
      </c>
      <c r="P46" s="139">
        <f>+'사업장별(당월)'!P46+'[4]사업장별(누계)'!P46</f>
        <v>462622.13722600002</v>
      </c>
      <c r="Q46" s="139"/>
      <c r="R46" s="139">
        <f>+'사업장별(당월)'!R46+'[4]사업장별(누계)'!R46</f>
        <v>508741.84819500009</v>
      </c>
      <c r="S46" s="139"/>
      <c r="T46" s="144">
        <f>+'사업장별(당월)'!T46+'[4]사업장별(누계)'!T46</f>
        <v>41014.36949078599</v>
      </c>
      <c r="U46" s="139">
        <f>+'사업장별(당월)'!U46+'[4]사업장별(누계)'!U46</f>
        <v>17317.751463010532</v>
      </c>
      <c r="V46" s="139"/>
      <c r="W46" s="139">
        <f>+'사업장별(당월)'!W46+'[4]사업장별(누계)'!W46</f>
        <v>35856.030168049998</v>
      </c>
      <c r="X46" s="140"/>
      <c r="AC46" s="35"/>
      <c r="AF46" s="35"/>
    </row>
    <row r="47" spans="2:39" s="34" customFormat="1" ht="17.25" thickBot="1" x14ac:dyDescent="0.35">
      <c r="G47" s="667"/>
      <c r="I47" s="705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Z47" s="34" t="s">
        <v>181</v>
      </c>
      <c r="AC47" s="35"/>
      <c r="AF47" s="35"/>
      <c r="AG47" s="34" t="s">
        <v>92</v>
      </c>
    </row>
    <row r="48" spans="2:39" x14ac:dyDescent="0.3">
      <c r="T48" s="527"/>
      <c r="U48" s="527"/>
      <c r="V48" s="527"/>
      <c r="Z48" t="s">
        <v>182</v>
      </c>
    </row>
    <row r="49" spans="10:33" x14ac:dyDescent="0.3">
      <c r="P49" s="672"/>
      <c r="T49" s="527"/>
      <c r="U49" s="527"/>
      <c r="V49" s="527"/>
      <c r="Z49" t="s">
        <v>183</v>
      </c>
    </row>
    <row r="50" spans="10:33" x14ac:dyDescent="0.3">
      <c r="S50" t="s">
        <v>46</v>
      </c>
      <c r="T50" s="469">
        <f>(+T27+T35)/100</f>
        <v>357.92623055668804</v>
      </c>
      <c r="U50" s="469">
        <f>(+U27+U35)/100</f>
        <v>155.938044642411</v>
      </c>
      <c r="V50" s="469">
        <f>+U50-T50</f>
        <v>-201.98818591427704</v>
      </c>
      <c r="W50" s="468">
        <f>+U50/T50-1</f>
        <v>-0.56432909541198417</v>
      </c>
    </row>
    <row r="51" spans="10:33" x14ac:dyDescent="0.3">
      <c r="S51" t="s">
        <v>3</v>
      </c>
      <c r="T51" s="6">
        <f>+T28/100</f>
        <v>13.00430674336849</v>
      </c>
      <c r="U51" s="6">
        <f>+U28/100</f>
        <v>5.0075827500000143</v>
      </c>
      <c r="V51" s="469">
        <f t="shared" ref="V51:V56" si="17">+U51-T51</f>
        <v>-7.9967239933684757</v>
      </c>
    </row>
    <row r="52" spans="10:33" x14ac:dyDescent="0.3">
      <c r="S52" t="s">
        <v>1</v>
      </c>
      <c r="T52" s="6">
        <f>+T32/100</f>
        <v>21.051591201138638</v>
      </c>
      <c r="U52" s="6">
        <f>+U32/100</f>
        <v>-7.613063742305787</v>
      </c>
      <c r="V52" s="469">
        <f t="shared" si="17"/>
        <v>-28.664654943444425</v>
      </c>
    </row>
    <row r="53" spans="10:33" x14ac:dyDescent="0.3">
      <c r="S53" t="s">
        <v>51</v>
      </c>
      <c r="T53" s="6">
        <f>(T33+T34)/100</f>
        <v>16.130025329999999</v>
      </c>
      <c r="U53" s="6">
        <f>(U33+U34)/100</f>
        <v>15.72340047</v>
      </c>
      <c r="V53" s="469">
        <f t="shared" si="17"/>
        <v>-0.40662485999999909</v>
      </c>
    </row>
    <row r="54" spans="10:33" x14ac:dyDescent="0.3">
      <c r="J54" s="469"/>
      <c r="K54" s="469"/>
      <c r="L54" s="469"/>
      <c r="M54" s="469"/>
      <c r="N54" s="469"/>
      <c r="O54" s="469"/>
      <c r="P54" s="469"/>
      <c r="Q54" s="469"/>
      <c r="R54" s="469"/>
      <c r="S54" s="469" t="s">
        <v>4</v>
      </c>
      <c r="T54" s="469">
        <f>(T46/100)-T50-T51-T52-T53</f>
        <v>2.0315410766647588</v>
      </c>
      <c r="U54" s="469">
        <f>(U46/100)-U50-U51-U52-U53</f>
        <v>4.1215505100000929</v>
      </c>
      <c r="V54" s="469">
        <f t="shared" si="17"/>
        <v>2.0900094333353341</v>
      </c>
      <c r="W54" s="469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</row>
    <row r="55" spans="10:33" x14ac:dyDescent="0.3"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>
        <f>SUM(T53:T54)</f>
        <v>18.161566406664758</v>
      </c>
      <c r="U55" s="469">
        <f>SUM(U53:U54)</f>
        <v>19.844950980000092</v>
      </c>
      <c r="V55" s="469">
        <f>SUM(V53:V54)</f>
        <v>1.683384573335335</v>
      </c>
      <c r="W55" s="469"/>
      <c r="X55" s="469"/>
      <c r="Y55" s="469"/>
      <c r="Z55" s="469"/>
      <c r="AA55" s="469"/>
      <c r="AB55" s="469"/>
      <c r="AC55" s="469"/>
      <c r="AD55" s="469"/>
      <c r="AE55" s="469"/>
      <c r="AF55" s="469"/>
      <c r="AG55" s="469"/>
    </row>
    <row r="56" spans="10:33" x14ac:dyDescent="0.3"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>
        <f>SUM(T50:T54)</f>
        <v>410.14369490785998</v>
      </c>
      <c r="U56" s="469">
        <f>SUM(U50:U54)</f>
        <v>173.17751463010532</v>
      </c>
      <c r="V56" s="469">
        <f t="shared" si="17"/>
        <v>-236.96618027775466</v>
      </c>
      <c r="W56" s="469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</row>
    <row r="57" spans="10:33" x14ac:dyDescent="0.3"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</row>
    <row r="58" spans="10:33" x14ac:dyDescent="0.3">
      <c r="S58" s="469" t="s">
        <v>51</v>
      </c>
      <c r="T58" s="527">
        <f>+(T33+T34)/100</f>
        <v>16.130025329999999</v>
      </c>
      <c r="U58" s="527">
        <f>+(U33+U34)/100</f>
        <v>15.72340047</v>
      </c>
      <c r="V58" s="469">
        <f>+U58-T58</f>
        <v>-0.40662485999999909</v>
      </c>
      <c r="W58" s="469"/>
    </row>
    <row r="59" spans="10:33" x14ac:dyDescent="0.3">
      <c r="S59" s="469" t="str">
        <f>+I36</f>
        <v>OPC 소급분</v>
      </c>
      <c r="T59" s="469">
        <f t="shared" ref="T59:U62" si="18">+T36/100</f>
        <v>13.297000000000001</v>
      </c>
      <c r="U59" s="469">
        <f t="shared" si="18"/>
        <v>12.917882399999998</v>
      </c>
      <c r="V59" s="469">
        <f>+U59-T59</f>
        <v>-0.3791176000000025</v>
      </c>
      <c r="W59" s="469"/>
    </row>
    <row r="60" spans="10:33" x14ac:dyDescent="0.3">
      <c r="S60" s="469" t="str">
        <f>+I37</f>
        <v>대손</v>
      </c>
      <c r="T60" s="469">
        <f t="shared" si="18"/>
        <v>0</v>
      </c>
      <c r="U60" s="469">
        <f t="shared" si="18"/>
        <v>-2.5434662400000003</v>
      </c>
      <c r="V60" s="469">
        <f>+U60-T60</f>
        <v>-2.5434662400000003</v>
      </c>
    </row>
    <row r="61" spans="10:33" x14ac:dyDescent="0.3">
      <c r="S61" s="469" t="str">
        <f>+I38</f>
        <v>미운영 공장</v>
      </c>
      <c r="T61" s="469">
        <f t="shared" si="18"/>
        <v>-3.465285123335156</v>
      </c>
      <c r="U61" s="469">
        <f t="shared" si="18"/>
        <v>-4.0881052400000009</v>
      </c>
      <c r="V61" s="469">
        <f>+U61-T61</f>
        <v>-0.62282011666484483</v>
      </c>
    </row>
    <row r="62" spans="10:33" x14ac:dyDescent="0.3">
      <c r="S62" s="469" t="str">
        <f>+I39</f>
        <v>기타</v>
      </c>
      <c r="T62" s="469">
        <f t="shared" si="18"/>
        <v>-7.8001737999999712</v>
      </c>
      <c r="U62" s="469">
        <f t="shared" si="18"/>
        <v>-2.1647604099998263</v>
      </c>
      <c r="V62" s="469">
        <f>+U62-T62</f>
        <v>5.6354133900001449</v>
      </c>
    </row>
    <row r="63" spans="10:33" x14ac:dyDescent="0.3">
      <c r="T63" s="6">
        <f>SUM(T58:T62)</f>
        <v>18.161566406664871</v>
      </c>
      <c r="U63" s="6">
        <f>SUM(U58:U62)</f>
        <v>19.844950980000171</v>
      </c>
      <c r="V63" s="6">
        <f>SUM(V58:V62)</f>
        <v>1.6833845733352981</v>
      </c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10AB-6E4F-4ABC-909D-7025C62FF76C}">
  <sheetPr>
    <tabColor rgb="FF008000"/>
    <pageSetUpPr fitToPage="1"/>
  </sheetPr>
  <dimension ref="A1:AL75"/>
  <sheetViews>
    <sheetView showGridLines="0" showZeros="0" view="pageBreakPreview" topLeftCell="E4" zoomScale="85" zoomScaleNormal="85" zoomScaleSheetLayoutView="85" workbookViewId="0">
      <selection activeCell="M35" sqref="M35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216</v>
      </c>
      <c r="AD3" s="5"/>
      <c r="AG3" s="5"/>
    </row>
    <row r="4" spans="1:36" ht="18" customHeight="1" x14ac:dyDescent="0.3">
      <c r="H4" s="7"/>
      <c r="AD4" s="5"/>
      <c r="AG4" s="5" t="s">
        <v>86</v>
      </c>
    </row>
    <row r="5" spans="1:36" s="8" customFormat="1" ht="19.5" customHeight="1" x14ac:dyDescent="0.3">
      <c r="G5" s="661"/>
      <c r="H5" s="701" t="s">
        <v>11</v>
      </c>
      <c r="I5" s="702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107</v>
      </c>
      <c r="U5" s="173"/>
      <c r="V5" s="173"/>
      <c r="W5" s="173"/>
      <c r="X5" s="174"/>
      <c r="Y5" s="172" t="s">
        <v>21</v>
      </c>
      <c r="Z5" s="173"/>
      <c r="AA5" s="174"/>
      <c r="AB5" s="172" t="s">
        <v>40</v>
      </c>
      <c r="AC5" s="173"/>
      <c r="AD5" s="174"/>
      <c r="AE5" s="172" t="s">
        <v>61</v>
      </c>
      <c r="AF5" s="173"/>
      <c r="AG5" s="174"/>
    </row>
    <row r="6" spans="1:36" s="8" customFormat="1" ht="19.5" customHeight="1" x14ac:dyDescent="0.3">
      <c r="A6" s="8" t="s">
        <v>204</v>
      </c>
      <c r="G6" s="661"/>
      <c r="H6" s="703"/>
      <c r="I6" s="704"/>
      <c r="J6" s="175" t="s">
        <v>12</v>
      </c>
      <c r="K6" s="176" t="s">
        <v>13</v>
      </c>
      <c r="L6" s="177" t="s">
        <v>33</v>
      </c>
      <c r="M6" s="176" t="s">
        <v>14</v>
      </c>
      <c r="N6" s="178" t="s">
        <v>33</v>
      </c>
      <c r="O6" s="175" t="s">
        <v>15</v>
      </c>
      <c r="P6" s="176" t="s">
        <v>16</v>
      </c>
      <c r="Q6" s="177" t="s">
        <v>32</v>
      </c>
      <c r="R6" s="176" t="s">
        <v>17</v>
      </c>
      <c r="S6" s="178" t="s">
        <v>32</v>
      </c>
      <c r="T6" s="175" t="s">
        <v>15</v>
      </c>
      <c r="U6" s="176" t="s">
        <v>16</v>
      </c>
      <c r="V6" s="177" t="s">
        <v>32</v>
      </c>
      <c r="W6" s="176" t="s">
        <v>17</v>
      </c>
      <c r="X6" s="178" t="s">
        <v>32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6" s="8" customFormat="1" ht="19.5" customHeight="1" x14ac:dyDescent="0.3">
      <c r="B7" s="8" t="s">
        <v>22</v>
      </c>
      <c r="G7" s="662" t="str">
        <f>+I7</f>
        <v>안양</v>
      </c>
      <c r="H7" s="78" t="s">
        <v>46</v>
      </c>
      <c r="I7" s="79" t="s">
        <v>22</v>
      </c>
      <c r="J7" s="36">
        <f>+IFERROR(HLOOKUP($B7,'[1]12월'!$D$6:$BN$259,2,),)/1000</f>
        <v>42</v>
      </c>
      <c r="K7" s="37">
        <f>+IFERROR(HLOOKUP($B7,'[2]12월'!$F$6:$CP$99,2,),)/1000</f>
        <v>34.67</v>
      </c>
      <c r="L7" s="38">
        <f t="shared" ref="L7:L32" si="0">+K7-J7</f>
        <v>-7.3299999999999983</v>
      </c>
      <c r="M7" s="39">
        <f>+IFERROR(HLOOKUP($B7,'[3]12월'!$F$6:$CC$57,2,),)/1000</f>
        <v>41.036000000000001</v>
      </c>
      <c r="N7" s="40">
        <f>+K7-M7</f>
        <v>-6.3659999999999997</v>
      </c>
      <c r="O7" s="36">
        <f>+IFERROR(HLOOKUP($B7,'[1]12월'!$D$6:$BN$259,3,),)/1000</f>
        <v>4277.4152000000004</v>
      </c>
      <c r="P7" s="37">
        <f>+IFERROR(HLOOKUP($B7,'[2]12월'!$F$6:$CP$99,3,),)/1000</f>
        <v>3342.2601409999997</v>
      </c>
      <c r="Q7" s="38">
        <f>+P7-O7</f>
        <v>-935.15505900000062</v>
      </c>
      <c r="R7" s="39">
        <f>+IFERROR(HLOOKUP($B7,'[3]12월'!$F$6:$CC$57,3,),)/1000</f>
        <v>3916.1936479999999</v>
      </c>
      <c r="S7" s="40">
        <f>+P7-R7</f>
        <v>-573.93350700000019</v>
      </c>
      <c r="T7" s="36">
        <f>+IFERROR(HLOOKUP($B7,'[1]12월'!$D$6:$BN$259,16,),)/1000</f>
        <v>607.52946624018819</v>
      </c>
      <c r="U7" s="37">
        <f>+IFERROR(HLOOKUP($B7,'[2]12월'!$F$6:$CP$99,16,),)/1000</f>
        <v>51.528149000000077</v>
      </c>
      <c r="V7" s="41">
        <f>+U7-T7</f>
        <v>-556.00131724018809</v>
      </c>
      <c r="W7" s="42">
        <f>+IFERROR(HLOOKUP($B7,'[3]12월'!$F$6:$CC$57,16,),)/1000</f>
        <v>32.938006000000151</v>
      </c>
      <c r="X7" s="40">
        <f>+U7-W7</f>
        <v>18.590142999999927</v>
      </c>
      <c r="Y7" s="36">
        <f>+[5]안양!$Q$85</f>
        <v>101843.21904761906</v>
      </c>
      <c r="Z7" s="37">
        <f>+[5]안양!$R$85</f>
        <v>96402.08079030861</v>
      </c>
      <c r="AA7" s="43">
        <f>+[6]안양!$Q$85</f>
        <v>95433.123306365145</v>
      </c>
      <c r="AB7" s="44">
        <f>+[5]안양!$Q$89</f>
        <v>80543.283403670488</v>
      </c>
      <c r="AC7" s="37">
        <f>+[5]안양!$R$89</f>
        <v>82908.853609317346</v>
      </c>
      <c r="AD7" s="45">
        <f>+[6]안양!$Q$89</f>
        <v>80364.232269849002</v>
      </c>
      <c r="AE7" s="44">
        <f>+Y7-AB7</f>
        <v>21299.935643948571</v>
      </c>
      <c r="AF7" s="37">
        <f>+Z7-AC7</f>
        <v>13493.227180991264</v>
      </c>
      <c r="AG7" s="45">
        <f>+AA7-AD7</f>
        <v>15068.891036516143</v>
      </c>
      <c r="AH7" s="18"/>
      <c r="AI7" s="19"/>
    </row>
    <row r="8" spans="1:36" s="8" customFormat="1" ht="19.5" customHeight="1" x14ac:dyDescent="0.3">
      <c r="B8" s="8" t="s">
        <v>23</v>
      </c>
      <c r="G8" s="663" t="str">
        <f t="shared" ref="G8:G26" si="1">+I8</f>
        <v>인천</v>
      </c>
      <c r="H8" s="80" t="s">
        <v>47</v>
      </c>
      <c r="I8" s="81" t="s">
        <v>23</v>
      </c>
      <c r="J8" s="46">
        <f>+IFERROR(HLOOKUP($B8,'[1]12월'!$D$6:$BN$259,2,),)/1000</f>
        <v>36</v>
      </c>
      <c r="K8" s="47">
        <f>+IFERROR(HLOOKUP($B8,'[2]12월'!$F$6:$CP$99,2,),)/1000</f>
        <v>30.361999999999998</v>
      </c>
      <c r="L8" s="48">
        <f t="shared" si="0"/>
        <v>-5.6380000000000017</v>
      </c>
      <c r="M8" s="49">
        <f>+IFERROR(HLOOKUP($B8,'[3]12월'!$F$6:$CC$57,2,),)/1000</f>
        <v>27.74</v>
      </c>
      <c r="N8" s="50">
        <f t="shared" ref="N8:N32" si="2">+K8-M8</f>
        <v>2.6219999999999999</v>
      </c>
      <c r="O8" s="46">
        <f>+IFERROR(HLOOKUP($B8,'[1]12월'!$D$6:$BN$259,3,),)/1000</f>
        <v>3835.5608300000004</v>
      </c>
      <c r="P8" s="47">
        <f>+IFERROR(HLOOKUP($B8,'[2]12월'!$F$6:$CP$99,3,),)/1000</f>
        <v>2969.3943920000002</v>
      </c>
      <c r="Q8" s="48">
        <f t="shared" ref="Q8:Q42" si="3">+P8-O8</f>
        <v>-866.1664380000002</v>
      </c>
      <c r="R8" s="49">
        <f>+IFERROR(HLOOKUP($B8,'[3]12월'!$F$6:$CC$57,3,),)/1000</f>
        <v>2752.5620550000003</v>
      </c>
      <c r="S8" s="50">
        <f t="shared" ref="S8:S39" si="4">+P8-R8</f>
        <v>216.83233699999982</v>
      </c>
      <c r="T8" s="46">
        <f>+IFERROR(HLOOKUP($B8,'[1]12월'!$D$6:$BN$259,16,),)/1000</f>
        <v>577.0905224232323</v>
      </c>
      <c r="U8" s="47">
        <f>+IFERROR(HLOOKUP($B8,'[2]12월'!$F$6:$CP$99,16,),)/1000</f>
        <v>-49.541219999999576</v>
      </c>
      <c r="V8" s="48">
        <f t="shared" ref="V8:V39" si="5">+U8-T8</f>
        <v>-626.63174242323191</v>
      </c>
      <c r="W8" s="49">
        <f>+IFERROR(HLOOKUP($B8,'[3]12월'!$F$6:$CC$57,16,),)/1000</f>
        <v>-86.728500999999795</v>
      </c>
      <c r="X8" s="50">
        <f t="shared" ref="X8:X38" si="6">+U8-W8</f>
        <v>37.187281000000219</v>
      </c>
      <c r="Y8" s="46">
        <f>+[5]인천!$Q$85</f>
        <v>106543.3563888889</v>
      </c>
      <c r="Z8" s="47">
        <f>+[5]인천!$R$85</f>
        <v>97799.696726170863</v>
      </c>
      <c r="AA8" s="51">
        <f>+[6]인천!$Q$85</f>
        <v>99227.182948810398</v>
      </c>
      <c r="AB8" s="52">
        <f>+[5]인천!$Q$89</f>
        <v>82512.189627860687</v>
      </c>
      <c r="AC8" s="47">
        <f>+[5]인천!$R$89</f>
        <v>86503.734509778093</v>
      </c>
      <c r="AD8" s="53">
        <f>+[6]인천!$Q$89</f>
        <v>82946.129532184816</v>
      </c>
      <c r="AE8" s="52">
        <f t="shared" ref="AE8:AG27" si="7">+Y8-AB8</f>
        <v>24031.166761028217</v>
      </c>
      <c r="AF8" s="47">
        <f t="shared" si="7"/>
        <v>11295.962216392771</v>
      </c>
      <c r="AG8" s="53">
        <f t="shared" si="7"/>
        <v>16281.053416625582</v>
      </c>
      <c r="AH8" s="18"/>
      <c r="AI8" s="19"/>
      <c r="AJ8" s="96"/>
    </row>
    <row r="9" spans="1:36" s="8" customFormat="1" ht="19.5" customHeight="1" x14ac:dyDescent="0.3">
      <c r="B9" s="8" t="s">
        <v>24</v>
      </c>
      <c r="G9" s="663" t="str">
        <f t="shared" si="1"/>
        <v>파주</v>
      </c>
      <c r="H9" s="80"/>
      <c r="I9" s="81" t="s">
        <v>24</v>
      </c>
      <c r="J9" s="46">
        <f>+IFERROR(HLOOKUP($B9,'[1]12월'!$D$6:$BN$259,2,),)/1000</f>
        <v>22</v>
      </c>
      <c r="K9" s="47">
        <f>+IFERROR(HLOOKUP($B9,'[2]12월'!$F$6:$CP$99,2,),)/1000</f>
        <v>16.303000000000001</v>
      </c>
      <c r="L9" s="48">
        <f t="shared" si="0"/>
        <v>-5.6969999999999992</v>
      </c>
      <c r="M9" s="49">
        <f>+IFERROR(HLOOKUP($B9,'[3]12월'!$F$6:$CC$57,2,),)/1000</f>
        <v>23.44</v>
      </c>
      <c r="N9" s="50">
        <f t="shared" si="2"/>
        <v>-7.1370000000000005</v>
      </c>
      <c r="O9" s="46">
        <f>+IFERROR(HLOOKUP($B9,'[1]12월'!$D$6:$BN$259,3,),)/1000</f>
        <v>2212.4212412538027</v>
      </c>
      <c r="P9" s="47">
        <f>+IFERROR(HLOOKUP($B9,'[2]12월'!$F$6:$CP$99,3,),)/1000</f>
        <v>1513.0633400000002</v>
      </c>
      <c r="Q9" s="48">
        <f t="shared" si="3"/>
        <v>-699.35790125380254</v>
      </c>
      <c r="R9" s="49">
        <f>+IFERROR(HLOOKUP($B9,'[3]12월'!$F$6:$CC$57,3,),)/1000</f>
        <v>2319.5423409999999</v>
      </c>
      <c r="S9" s="50">
        <f t="shared" si="4"/>
        <v>-806.4790009999997</v>
      </c>
      <c r="T9" s="46">
        <f>+IFERROR(HLOOKUP($B9,'[1]12월'!$D$6:$BN$259,16,),)/1000</f>
        <v>273.09847145600065</v>
      </c>
      <c r="U9" s="47">
        <f>+IFERROR(HLOOKUP($B9,'[2]12월'!$F$6:$CP$99,16,),)/1000</f>
        <v>-160.22942599999993</v>
      </c>
      <c r="V9" s="48">
        <f t="shared" si="5"/>
        <v>-433.32789745600058</v>
      </c>
      <c r="W9" s="49">
        <f>+IFERROR(HLOOKUP($B9,'[3]12월'!$F$6:$CC$57,16,),)/1000</f>
        <v>-76.952820990000234</v>
      </c>
      <c r="X9" s="50">
        <f t="shared" si="6"/>
        <v>-83.276605009999699</v>
      </c>
      <c r="Y9" s="46">
        <f>+[5]파주!$Q$85</f>
        <v>100564.60187517284</v>
      </c>
      <c r="Z9" s="47">
        <f>+[5]파주!$R$85</f>
        <v>92808.890388272106</v>
      </c>
      <c r="AA9" s="51">
        <f>+[6]파주!$Q$85</f>
        <v>98896.410785877495</v>
      </c>
      <c r="AB9" s="52">
        <f>+[5]파주!$Q$89</f>
        <v>78672.483577712614</v>
      </c>
      <c r="AC9" s="47">
        <f>+[5]파주!$R$89</f>
        <v>85217.768692878613</v>
      </c>
      <c r="AD9" s="53">
        <f>+[6]파주!$Q$89</f>
        <v>84926.888218824039</v>
      </c>
      <c r="AE9" s="52">
        <f t="shared" si="7"/>
        <v>21892.118297460227</v>
      </c>
      <c r="AF9" s="47">
        <f t="shared" si="7"/>
        <v>7591.1216953934927</v>
      </c>
      <c r="AG9" s="53">
        <f t="shared" si="7"/>
        <v>13969.522567053456</v>
      </c>
      <c r="AH9" s="18"/>
      <c r="AI9" s="19"/>
      <c r="AJ9" s="96"/>
    </row>
    <row r="10" spans="1:36" s="8" customFormat="1" ht="19.5" customHeight="1" x14ac:dyDescent="0.3">
      <c r="B10" s="8" t="s">
        <v>142</v>
      </c>
      <c r="G10" s="663" t="str">
        <f t="shared" si="1"/>
        <v>김포</v>
      </c>
      <c r="H10" s="80"/>
      <c r="I10" s="81" t="s">
        <v>139</v>
      </c>
      <c r="J10" s="46">
        <f>+IFERROR(HLOOKUP($B10,'[1]12월'!$D$6:$BN$259,2,),)/1000</f>
        <v>13.5</v>
      </c>
      <c r="K10" s="47">
        <f>+IFERROR(HLOOKUP($B10,'[2]12월'!$F$6:$CP$99,2,),)/1000</f>
        <v>13.4185</v>
      </c>
      <c r="L10" s="48">
        <f t="shared" si="0"/>
        <v>-8.1500000000000128E-2</v>
      </c>
      <c r="M10" s="49">
        <f>+IFERROR(HLOOKUP($B10,'[3]12월'!$F$6:$CC$57,2,),)/1000</f>
        <v>12.923999999999999</v>
      </c>
      <c r="N10" s="50">
        <f t="shared" si="2"/>
        <v>0.49450000000000038</v>
      </c>
      <c r="O10" s="46">
        <f>+IFERROR(HLOOKUP($B10,'[1]12월'!$D$6:$BN$259,3,),)/1000</f>
        <v>1296.1935000000001</v>
      </c>
      <c r="P10" s="47">
        <f>+IFERROR(HLOOKUP($B10,'[2]12월'!$F$6:$CP$99,3,),)/1000</f>
        <v>1247.6161459999998</v>
      </c>
      <c r="Q10" s="48">
        <f t="shared" si="3"/>
        <v>-48.577354000000241</v>
      </c>
      <c r="R10" s="49">
        <f>+IFERROR(HLOOKUP($B10,'[3]12월'!$F$6:$CC$57,3,),)/1000</f>
        <v>1223.3611799999999</v>
      </c>
      <c r="S10" s="50">
        <f t="shared" si="4"/>
        <v>24.254965999999968</v>
      </c>
      <c r="T10" s="46">
        <f>+IFERROR(HLOOKUP($B10,'[1]12월'!$D$6:$BN$259,16,),)/1000</f>
        <v>147.2032031263212</v>
      </c>
      <c r="U10" s="47">
        <f>+IFERROR(HLOOKUP($B10,'[2]12월'!$F$6:$CP$99,16,),)/1000</f>
        <v>-46.293550000000153</v>
      </c>
      <c r="V10" s="48">
        <f t="shared" si="5"/>
        <v>-193.49675312632135</v>
      </c>
      <c r="W10" s="49">
        <f>+IFERROR(HLOOKUP($B10,'[3]12월'!$F$6:$CC$57,16,),)/1000</f>
        <v>-72.352113999999943</v>
      </c>
      <c r="X10" s="50">
        <f t="shared" si="6"/>
        <v>26.058563999999791</v>
      </c>
      <c r="Y10" s="46">
        <f>+[5]김포!$Q$85</f>
        <v>96014.333333333343</v>
      </c>
      <c r="Z10" s="47">
        <f>+[5]김포!$R$85</f>
        <v>93010.902870831298</v>
      </c>
      <c r="AA10" s="51">
        <f>+[6]김포!$Q$85</f>
        <v>94658.091922005566</v>
      </c>
      <c r="AB10" s="52">
        <f>+[5]김포!$Q$89</f>
        <v>73421.333233441241</v>
      </c>
      <c r="AC10" s="47">
        <f>+[5]김포!$R$89</f>
        <v>79168.533039153364</v>
      </c>
      <c r="AD10" s="53">
        <f>+[6]김포!$Q$89</f>
        <v>77549.906095297018</v>
      </c>
      <c r="AE10" s="52">
        <f t="shared" si="7"/>
        <v>22593.000099892102</v>
      </c>
      <c r="AF10" s="47">
        <f t="shared" si="7"/>
        <v>13842.369831677934</v>
      </c>
      <c r="AG10" s="53">
        <f t="shared" si="7"/>
        <v>17108.185826708548</v>
      </c>
      <c r="AH10" s="18"/>
      <c r="AI10" s="19"/>
      <c r="AJ10" s="96"/>
    </row>
    <row r="11" spans="1:36" s="8" customFormat="1" ht="19.5" customHeight="1" x14ac:dyDescent="0.3">
      <c r="B11" s="8" t="s">
        <v>25</v>
      </c>
      <c r="G11" s="661" t="str">
        <f t="shared" si="1"/>
        <v>부산</v>
      </c>
      <c r="H11" s="80"/>
      <c r="I11" s="82" t="s">
        <v>25</v>
      </c>
      <c r="J11" s="63">
        <f>+IFERROR(HLOOKUP($B11,'[1]12월'!$D$6:$BN$259,2,),)/1000</f>
        <v>24</v>
      </c>
      <c r="K11" s="64">
        <f>+IFERROR(HLOOKUP($B11,'[2]12월'!$F$6:$CP$99,2,),)/1000</f>
        <v>17.338999999999999</v>
      </c>
      <c r="L11" s="65">
        <f t="shared" si="0"/>
        <v>-6.6610000000000014</v>
      </c>
      <c r="M11" s="66">
        <f>+IFERROR(HLOOKUP($B11,'[3]12월'!$F$6:$CC$57,2,),)/1000</f>
        <v>20.361999999999998</v>
      </c>
      <c r="N11" s="67">
        <f t="shared" si="2"/>
        <v>-3.0229999999999997</v>
      </c>
      <c r="O11" s="63">
        <f>+IFERROR(HLOOKUP($B11,'[1]12월'!$D$6:$BN$259,3,),)/1000</f>
        <v>2582.4103019999998</v>
      </c>
      <c r="P11" s="64">
        <f>+IFERROR(HLOOKUP($B11,'[2]12월'!$F$6:$CP$99,3,),)/1000</f>
        <v>1980.4694</v>
      </c>
      <c r="Q11" s="65">
        <f t="shared" si="3"/>
        <v>-601.94090199999982</v>
      </c>
      <c r="R11" s="66">
        <f>+IFERROR(HLOOKUP($B11,'[3]12월'!$F$6:$CC$57,3,),)/1000</f>
        <v>2088.9349990000001</v>
      </c>
      <c r="S11" s="67">
        <f t="shared" si="4"/>
        <v>-108.46559900000011</v>
      </c>
      <c r="T11" s="63">
        <f>+IFERROR(HLOOKUP($B11,'[1]12월'!$D$6:$BN$259,16,),)/1000</f>
        <v>351.02034776655154</v>
      </c>
      <c r="U11" s="64">
        <f>+IFERROR(HLOOKUP($B11,'[2]12월'!$F$6:$CP$99,16,),)/1000</f>
        <v>92.183808999999954</v>
      </c>
      <c r="V11" s="65">
        <f t="shared" si="5"/>
        <v>-258.8365387665516</v>
      </c>
      <c r="W11" s="66">
        <f>+IFERROR(HLOOKUP($B11,'[3]12월'!$F$6:$CC$57,16,),)/1000</f>
        <v>-64.129509000000041</v>
      </c>
      <c r="X11" s="67">
        <f t="shared" si="6"/>
        <v>156.31331799999998</v>
      </c>
      <c r="Y11" s="63">
        <f>+[5]부산!$Q$85</f>
        <v>107600.42924999999</v>
      </c>
      <c r="Z11" s="64">
        <f>+[5]부산!$R$85</f>
        <v>114220.50867985465</v>
      </c>
      <c r="AA11" s="68">
        <f>+[6]부산!$Q$85</f>
        <v>102589.87324427857</v>
      </c>
      <c r="AB11" s="69">
        <f>+[5]부산!$Q$89</f>
        <v>82245.67797442447</v>
      </c>
      <c r="AC11" s="64">
        <f>+[5]부산!$R$89</f>
        <v>90394.221158835397</v>
      </c>
      <c r="AD11" s="70">
        <f>+[6]부산!$Q$89</f>
        <v>84012.412238483448</v>
      </c>
      <c r="AE11" s="69">
        <f t="shared" si="7"/>
        <v>25354.751275575516</v>
      </c>
      <c r="AF11" s="64">
        <f t="shared" si="7"/>
        <v>23826.287521019258</v>
      </c>
      <c r="AG11" s="70">
        <f t="shared" si="7"/>
        <v>18577.461005795121</v>
      </c>
      <c r="AH11" s="18"/>
      <c r="AI11" s="19"/>
      <c r="AJ11" s="96"/>
    </row>
    <row r="12" spans="1:36" s="8" customFormat="1" ht="19.5" customHeight="1" x14ac:dyDescent="0.3">
      <c r="B12" s="8" t="s">
        <v>26</v>
      </c>
      <c r="G12" s="661" t="str">
        <f t="shared" si="1"/>
        <v>서부산</v>
      </c>
      <c r="H12" s="80"/>
      <c r="I12" s="81" t="s">
        <v>26</v>
      </c>
      <c r="J12" s="46">
        <f>+IFERROR(HLOOKUP($B12,'[1]12월'!$D$6:$BN$259,2,),)/1000</f>
        <v>26</v>
      </c>
      <c r="K12" s="47">
        <f>+IFERROR(HLOOKUP($B12,'[2]12월'!$F$6:$CP$99,2,),)/1000</f>
        <v>24.067</v>
      </c>
      <c r="L12" s="48">
        <f t="shared" si="0"/>
        <v>-1.9329999999999998</v>
      </c>
      <c r="M12" s="49">
        <f>+IFERROR(HLOOKUP($B12,'[3]12월'!$F$6:$CC$57,2,),)/1000</f>
        <v>21.623000000000001</v>
      </c>
      <c r="N12" s="50">
        <f t="shared" si="2"/>
        <v>2.4439999999999991</v>
      </c>
      <c r="O12" s="46">
        <f>+IFERROR(HLOOKUP($B12,'[1]12월'!$D$6:$BN$259,3,),)/1000</f>
        <v>2719.0035200000002</v>
      </c>
      <c r="P12" s="47">
        <f>+IFERROR(HLOOKUP($B12,'[2]12월'!$F$6:$CP$99,3,),)/1000</f>
        <v>2361.636</v>
      </c>
      <c r="Q12" s="48">
        <f t="shared" si="3"/>
        <v>-357.36752000000024</v>
      </c>
      <c r="R12" s="49">
        <f>+IFERROR(HLOOKUP($B12,'[3]12월'!$F$6:$CC$57,3,),)/1000</f>
        <v>2070.2656999999999</v>
      </c>
      <c r="S12" s="50">
        <f t="shared" si="4"/>
        <v>291.37030000000004</v>
      </c>
      <c r="T12" s="46">
        <f>+IFERROR(HLOOKUP($B12,'[1]12월'!$D$6:$BN$259,16,),)/1000</f>
        <v>500.34998288781071</v>
      </c>
      <c r="U12" s="47">
        <f>+IFERROR(HLOOKUP($B12,'[2]12월'!$F$6:$CP$99,16,),)/1000</f>
        <v>163.09231399999985</v>
      </c>
      <c r="V12" s="48">
        <f t="shared" si="5"/>
        <v>-337.25766888781084</v>
      </c>
      <c r="W12" s="49">
        <f>+IFERROR(HLOOKUP($B12,'[3]12월'!$F$6:$CC$57,16,),)/1000</f>
        <v>-32.572630000000025</v>
      </c>
      <c r="X12" s="50">
        <f t="shared" si="6"/>
        <v>195.66494399999988</v>
      </c>
      <c r="Y12" s="46">
        <f>+[5]서부산!$Q$85</f>
        <v>104577.05846153846</v>
      </c>
      <c r="Z12" s="47">
        <f>+[5]서부산!$R$85</f>
        <v>98127.560560103055</v>
      </c>
      <c r="AA12" s="51">
        <f>+[6]서부산!$Q$85</f>
        <v>95743.684965083477</v>
      </c>
      <c r="AB12" s="52">
        <f>+[5]서부산!$Q$89</f>
        <v>77522.343666708141</v>
      </c>
      <c r="AC12" s="47">
        <f>+[5]서부산!$R$89</f>
        <v>78950.520047080267</v>
      </c>
      <c r="AD12" s="53">
        <f>+[6]서부산!$Q$89</f>
        <v>80776.028303195664</v>
      </c>
      <c r="AE12" s="52">
        <f t="shared" si="7"/>
        <v>27054.714794830317</v>
      </c>
      <c r="AF12" s="47">
        <f t="shared" si="7"/>
        <v>19177.040513022788</v>
      </c>
      <c r="AG12" s="53">
        <f t="shared" si="7"/>
        <v>14967.656661887813</v>
      </c>
      <c r="AH12" s="18"/>
      <c r="AI12" s="19"/>
      <c r="AJ12" s="96"/>
    </row>
    <row r="13" spans="1:36" s="8" customFormat="1" ht="19.5" customHeight="1" x14ac:dyDescent="0.3">
      <c r="B13" s="8" t="s">
        <v>27</v>
      </c>
      <c r="G13" s="661" t="str">
        <f t="shared" si="1"/>
        <v>김해</v>
      </c>
      <c r="H13" s="80"/>
      <c r="I13" s="81" t="s">
        <v>27</v>
      </c>
      <c r="J13" s="46">
        <f>+IFERROR(HLOOKUP($B13,'[1]12월'!$D$6:$BN$259,2,),)/1000</f>
        <v>14</v>
      </c>
      <c r="K13" s="47">
        <f>+IFERROR(HLOOKUP($B13,'[2]12월'!$F$6:$CP$99,2,),)/1000</f>
        <v>12.183999999999999</v>
      </c>
      <c r="L13" s="48">
        <f t="shared" si="0"/>
        <v>-1.8160000000000007</v>
      </c>
      <c r="M13" s="49">
        <f>+IFERROR(HLOOKUP($B13,'[3]12월'!$F$6:$CC$57,2,),)/1000</f>
        <v>12.436999999999999</v>
      </c>
      <c r="N13" s="50">
        <f t="shared" si="2"/>
        <v>-0.25300000000000011</v>
      </c>
      <c r="O13" s="46">
        <f>+IFERROR(HLOOKUP($B13,'[1]12월'!$D$6:$BN$259,3,),)/1000</f>
        <v>1414.0056000000002</v>
      </c>
      <c r="P13" s="47">
        <f>+IFERROR(HLOOKUP($B13,'[2]12월'!$F$6:$CP$99,3,),)/1000</f>
        <v>1145.9621</v>
      </c>
      <c r="Q13" s="48">
        <f t="shared" si="3"/>
        <v>-268.04350000000022</v>
      </c>
      <c r="R13" s="49">
        <f>+IFERROR(HLOOKUP($B13,'[3]12월'!$F$6:$CC$57,3,),)/1000</f>
        <v>1240.7523999999999</v>
      </c>
      <c r="S13" s="50">
        <f t="shared" si="4"/>
        <v>-94.790299999999888</v>
      </c>
      <c r="T13" s="46">
        <f>+IFERROR(HLOOKUP($B13,'[1]12월'!$D$6:$BN$259,16,),)/1000</f>
        <v>187.05963161214964</v>
      </c>
      <c r="U13" s="47">
        <f>+IFERROR(HLOOKUP($B13,'[2]12월'!$F$6:$CP$99,16,),)/1000</f>
        <v>-58.22594600000005</v>
      </c>
      <c r="V13" s="48">
        <f t="shared" si="5"/>
        <v>-245.28557761214969</v>
      </c>
      <c r="W13" s="49">
        <f>+IFERROR(HLOOKUP($B13,'[3]12월'!$F$6:$CC$57,16,),)/1000</f>
        <v>-41.187730000000016</v>
      </c>
      <c r="X13" s="50">
        <f t="shared" si="6"/>
        <v>-17.038216000000034</v>
      </c>
      <c r="Y13" s="46">
        <f>+[5]김해!$Q$85</f>
        <v>101000.40000000001</v>
      </c>
      <c r="Z13" s="47">
        <f>+[5]김해!$R$85</f>
        <v>94036.648949632989</v>
      </c>
      <c r="AA13" s="51">
        <f>+[6]김해!$Q$85</f>
        <v>99762.997507437482</v>
      </c>
      <c r="AB13" s="52">
        <f>+[5]김해!$Q$89</f>
        <v>77306.918660291791</v>
      </c>
      <c r="AC13" s="47">
        <f>+[5]김해!$R$89</f>
        <v>80796.703534970045</v>
      </c>
      <c r="AD13" s="53">
        <f>+[6]김해!$Q$89</f>
        <v>81505.826324676367</v>
      </c>
      <c r="AE13" s="52">
        <f t="shared" si="7"/>
        <v>23693.481339708218</v>
      </c>
      <c r="AF13" s="47">
        <f t="shared" si="7"/>
        <v>13239.945414662943</v>
      </c>
      <c r="AG13" s="53">
        <f t="shared" si="7"/>
        <v>18257.171182761114</v>
      </c>
      <c r="AH13" s="18"/>
      <c r="AI13" s="19"/>
      <c r="AJ13" s="96"/>
    </row>
    <row r="14" spans="1:36" s="8" customFormat="1" ht="19.5" customHeight="1" x14ac:dyDescent="0.3">
      <c r="B14" s="8" t="s">
        <v>28</v>
      </c>
      <c r="G14" s="661" t="str">
        <f t="shared" si="1"/>
        <v>정관</v>
      </c>
      <c r="H14" s="80"/>
      <c r="I14" s="81" t="s">
        <v>28</v>
      </c>
      <c r="J14" s="46">
        <f>+IFERROR(HLOOKUP($B14,'[1]12월'!$D$6:$BN$259,2,),)/1000</f>
        <v>19</v>
      </c>
      <c r="K14" s="47">
        <f>+IFERROR(HLOOKUP($B14,'[2]12월'!$F$6:$CP$99,2,),)/1000</f>
        <v>22.033999999999999</v>
      </c>
      <c r="L14" s="48">
        <f t="shared" si="0"/>
        <v>3.0339999999999989</v>
      </c>
      <c r="M14" s="49">
        <f>+IFERROR(HLOOKUP($B14,'[3]12월'!$F$6:$CC$57,2,),)/1000</f>
        <v>19.457999999999998</v>
      </c>
      <c r="N14" s="50">
        <f t="shared" si="2"/>
        <v>2.5760000000000005</v>
      </c>
      <c r="O14" s="46">
        <f>+IFERROR(HLOOKUP($B14,'[1]12월'!$D$6:$BN$259,3,),)/1000</f>
        <v>1976</v>
      </c>
      <c r="P14" s="47">
        <f>+IFERROR(HLOOKUP($B14,'[2]12월'!$F$6:$CP$99,3,),)/1000</f>
        <v>2288.9944999999998</v>
      </c>
      <c r="Q14" s="48">
        <f t="shared" si="3"/>
        <v>312.99449999999979</v>
      </c>
      <c r="R14" s="49">
        <f>+IFERROR(HLOOKUP($B14,'[3]12월'!$F$6:$CC$57,3,),)/1000</f>
        <v>1970.3818999999999</v>
      </c>
      <c r="S14" s="50">
        <f t="shared" si="4"/>
        <v>318.61259999999993</v>
      </c>
      <c r="T14" s="46">
        <f>+IFERROR(HLOOKUP($B14,'[1]12월'!$D$6:$BN$259,16,),)/1000</f>
        <v>274.98355245942122</v>
      </c>
      <c r="U14" s="47">
        <f>+IFERROR(HLOOKUP($B14,'[2]12월'!$F$6:$CP$99,16,),)/1000</f>
        <v>101.28181700000007</v>
      </c>
      <c r="V14" s="48">
        <f t="shared" si="5"/>
        <v>-173.70173545942114</v>
      </c>
      <c r="W14" s="49">
        <f>+IFERROR(HLOOKUP($B14,'[3]12월'!$F$6:$CC$57,16,),)/1000</f>
        <v>23.550430000000127</v>
      </c>
      <c r="X14" s="50">
        <f t="shared" si="6"/>
        <v>77.731386999999955</v>
      </c>
      <c r="Y14" s="46">
        <f>+[5]정관!$Q$85</f>
        <v>104000</v>
      </c>
      <c r="Z14" s="47">
        <f>+[5]정관!$R$85</f>
        <v>103884.65553235907</v>
      </c>
      <c r="AA14" s="51">
        <f>+[6]정관!$Q$85</f>
        <v>101263.3312776236</v>
      </c>
      <c r="AB14" s="52">
        <f>+[5]정관!$Q$89</f>
        <v>79201.726829621126</v>
      </c>
      <c r="AC14" s="47">
        <f>+[5]정관!$R$89</f>
        <v>86215.633729366935</v>
      </c>
      <c r="AD14" s="53">
        <f>+[6]정관!$Q$89</f>
        <v>81557.375878881183</v>
      </c>
      <c r="AE14" s="52">
        <f t="shared" si="7"/>
        <v>24798.273170378874</v>
      </c>
      <c r="AF14" s="47">
        <f t="shared" si="7"/>
        <v>17669.021802992138</v>
      </c>
      <c r="AG14" s="53">
        <f t="shared" si="7"/>
        <v>19705.955398742415</v>
      </c>
      <c r="AH14" s="18"/>
      <c r="AI14" s="19"/>
      <c r="AJ14" s="96"/>
    </row>
    <row r="15" spans="1:36" s="8" customFormat="1" ht="19.5" customHeight="1" x14ac:dyDescent="0.3">
      <c r="B15" s="8" t="s">
        <v>29</v>
      </c>
      <c r="G15" s="661" t="str">
        <f t="shared" si="1"/>
        <v>양산</v>
      </c>
      <c r="H15" s="80"/>
      <c r="I15" s="81" t="s">
        <v>29</v>
      </c>
      <c r="J15" s="46">
        <f>+IFERROR(HLOOKUP($B15,'[1]12월'!$D$6:$BN$259,2,),)/1000</f>
        <v>12</v>
      </c>
      <c r="K15" s="47">
        <f>+IFERROR(HLOOKUP($B15,'[2]12월'!$F$6:$CP$99,2,),)/1000</f>
        <v>10.173999999999999</v>
      </c>
      <c r="L15" s="48">
        <f t="shared" si="0"/>
        <v>-1.8260000000000005</v>
      </c>
      <c r="M15" s="49">
        <f>+IFERROR(HLOOKUP($B15,'[3]12월'!$F$6:$CC$57,2,),)/1000</f>
        <v>12.654</v>
      </c>
      <c r="N15" s="50">
        <f t="shared" si="2"/>
        <v>-2.4800000000000004</v>
      </c>
      <c r="O15" s="46">
        <f>+IFERROR(HLOOKUP($B15,'[1]12월'!$D$6:$BN$259,3,),)/1000</f>
        <v>1166.5218300000004</v>
      </c>
      <c r="P15" s="47">
        <f>+IFERROR(HLOOKUP($B15,'[2]12월'!$F$6:$CP$99,3,),)/1000</f>
        <v>958.23019999999997</v>
      </c>
      <c r="Q15" s="48">
        <f t="shared" si="3"/>
        <v>-208.2916300000004</v>
      </c>
      <c r="R15" s="49">
        <f>+IFERROR(HLOOKUP($B15,'[3]12월'!$F$6:$CC$57,3,),)/1000</f>
        <v>1163.1534059999999</v>
      </c>
      <c r="S15" s="50">
        <f t="shared" si="4"/>
        <v>-204.92320599999994</v>
      </c>
      <c r="T15" s="46">
        <f>+IFERROR(HLOOKUP($B15,'[1]12월'!$D$6:$BN$259,16,),)/1000</f>
        <v>159.93476984061894</v>
      </c>
      <c r="U15" s="47">
        <f>+IFERROR(HLOOKUP($B15,'[2]12월'!$F$6:$CP$99,16,),)/1000</f>
        <v>-28.828367000000028</v>
      </c>
      <c r="V15" s="48">
        <f t="shared" si="5"/>
        <v>-188.76313684061898</v>
      </c>
      <c r="W15" s="49">
        <f>+IFERROR(HLOOKUP($B15,'[3]12월'!$F$6:$CC$57,16,),)/1000</f>
        <v>-41.122996999999891</v>
      </c>
      <c r="X15" s="50">
        <f t="shared" si="6"/>
        <v>12.294629999999863</v>
      </c>
      <c r="Y15" s="46">
        <f>+[5]양산!$Q$85</f>
        <v>97210.152500000026</v>
      </c>
      <c r="Z15" s="47">
        <f>+[5]양산!$R$85</f>
        <v>94184.214664831918</v>
      </c>
      <c r="AA15" s="51">
        <f>+[6]양산!$Q$85</f>
        <v>91919.820293978191</v>
      </c>
      <c r="AB15" s="52">
        <f>+[5]양산!$Q$89</f>
        <v>72466.137420689207</v>
      </c>
      <c r="AC15" s="47">
        <f>+[5]양산!$R$89</f>
        <v>78064.418910949476</v>
      </c>
      <c r="AD15" s="53">
        <f>+[6]양산!$Q$89</f>
        <v>73068.839260312947</v>
      </c>
      <c r="AE15" s="52">
        <f t="shared" si="7"/>
        <v>24744.015079310819</v>
      </c>
      <c r="AF15" s="47">
        <f t="shared" si="7"/>
        <v>16119.795753882441</v>
      </c>
      <c r="AG15" s="53">
        <f t="shared" si="7"/>
        <v>18850.981033665244</v>
      </c>
      <c r="AH15" s="18"/>
      <c r="AI15" s="19"/>
      <c r="AJ15" s="96"/>
    </row>
    <row r="16" spans="1:36" s="8" customFormat="1" ht="19.5" customHeight="1" x14ac:dyDescent="0.3">
      <c r="B16" s="8" t="s">
        <v>30</v>
      </c>
      <c r="G16" s="661" t="str">
        <f t="shared" si="1"/>
        <v>창원</v>
      </c>
      <c r="H16" s="80"/>
      <c r="I16" s="81" t="s">
        <v>30</v>
      </c>
      <c r="J16" s="46">
        <f>+IFERROR(HLOOKUP($B16,'[1]12월'!$D$6:$BN$259,2,),)/1000</f>
        <v>15</v>
      </c>
      <c r="K16" s="47">
        <f>+IFERROR(HLOOKUP($B16,'[2]12월'!$F$6:$CP$99,2,),)/1000</f>
        <v>12.315</v>
      </c>
      <c r="L16" s="48">
        <f t="shared" si="0"/>
        <v>-2.6850000000000005</v>
      </c>
      <c r="M16" s="49">
        <f>+IFERROR(HLOOKUP($B16,'[3]12월'!$F$6:$CC$57,2,),)/1000</f>
        <v>19.114999999999998</v>
      </c>
      <c r="N16" s="50">
        <f t="shared" si="2"/>
        <v>-6.7999999999999989</v>
      </c>
      <c r="O16" s="46">
        <f>+IFERROR(HLOOKUP($B16,'[1]12월'!$D$6:$BN$259,3,),)/1000</f>
        <v>1523.3579999999999</v>
      </c>
      <c r="P16" s="47">
        <f>+IFERROR(HLOOKUP($B16,'[2]12월'!$F$6:$CP$99,3,),)/1000</f>
        <v>1261.8105500000001</v>
      </c>
      <c r="Q16" s="48">
        <f t="shared" si="3"/>
        <v>-261.5474499999998</v>
      </c>
      <c r="R16" s="49">
        <f>+IFERROR(HLOOKUP($B16,'[3]12월'!$F$6:$CC$57,3,),)/1000</f>
        <v>1861.5654</v>
      </c>
      <c r="S16" s="50">
        <f t="shared" si="4"/>
        <v>-599.75484999999981</v>
      </c>
      <c r="T16" s="46">
        <f>+IFERROR(HLOOKUP($B16,'[1]12월'!$D$6:$BN$259,16,),)/1000</f>
        <v>245.30850644324084</v>
      </c>
      <c r="U16" s="47">
        <f>+IFERROR(HLOOKUP($B16,'[2]12월'!$F$6:$CP$99,16,),)/1000</f>
        <v>72.758356999999975</v>
      </c>
      <c r="V16" s="48">
        <f t="shared" si="5"/>
        <v>-172.55014944324085</v>
      </c>
      <c r="W16" s="49">
        <f>+IFERROR(HLOOKUP($B16,'[3]12월'!$F$6:$CC$57,16,),)/1000</f>
        <v>121.0823399999999</v>
      </c>
      <c r="X16" s="50">
        <f t="shared" si="6"/>
        <v>-48.323982999999927</v>
      </c>
      <c r="Y16" s="46">
        <f>+[5]창원!$Q$85</f>
        <v>101557.2</v>
      </c>
      <c r="Z16" s="47">
        <f>+[5]창원!$R$85</f>
        <v>102461.27080795777</v>
      </c>
      <c r="AA16" s="51">
        <f>+[6]창원!$Q$85</f>
        <v>97387.67460109861</v>
      </c>
      <c r="AB16" s="52">
        <f>+[5]창원!$Q$89</f>
        <v>72797.601499617391</v>
      </c>
      <c r="AC16" s="47">
        <f>+[5]창원!$R$89</f>
        <v>76573.527243199365</v>
      </c>
      <c r="AD16" s="53">
        <f>+[6]창원!$Q$89</f>
        <v>72941.793356003138</v>
      </c>
      <c r="AE16" s="52">
        <f t="shared" si="7"/>
        <v>28759.598500382606</v>
      </c>
      <c r="AF16" s="47">
        <f t="shared" si="7"/>
        <v>25887.743564758406</v>
      </c>
      <c r="AG16" s="53">
        <f t="shared" si="7"/>
        <v>24445.881245095472</v>
      </c>
      <c r="AH16" s="18"/>
      <c r="AI16" s="19"/>
      <c r="AJ16" s="96"/>
    </row>
    <row r="17" spans="2:38" s="8" customFormat="1" ht="19.5" customHeight="1" x14ac:dyDescent="0.3">
      <c r="B17" s="8" t="s">
        <v>79</v>
      </c>
      <c r="G17" s="661" t="str">
        <f t="shared" si="1"/>
        <v>대구</v>
      </c>
      <c r="H17" s="80"/>
      <c r="I17" s="81" t="s">
        <v>79</v>
      </c>
      <c r="J17" s="46">
        <f>+IFERROR(HLOOKUP($B17,'[1]12월'!$D$6:$BN$259,2,),)/1000</f>
        <v>16</v>
      </c>
      <c r="K17" s="47">
        <f>+IFERROR(HLOOKUP($B17,'[2]12월'!$F$6:$CP$99,2,),)/1000</f>
        <v>18.707999999999998</v>
      </c>
      <c r="L17" s="48">
        <f t="shared" si="0"/>
        <v>2.7079999999999984</v>
      </c>
      <c r="M17" s="49">
        <f>+IFERROR(HLOOKUP($B17,'[3]12월'!$F$6:$CC$57,2,),)/1000</f>
        <v>17.634</v>
      </c>
      <c r="N17" s="50">
        <f t="shared" si="2"/>
        <v>1.0739999999999981</v>
      </c>
      <c r="O17" s="46">
        <f>+IFERROR(HLOOKUP($B17,'[1]12월'!$D$6:$BN$259,3,),)/1000</f>
        <v>1564.16</v>
      </c>
      <c r="P17" s="47">
        <f>+IFERROR(HLOOKUP($B17,'[2]12월'!$F$6:$CP$99,3,),)/1000</f>
        <v>1801.6907639999999</v>
      </c>
      <c r="Q17" s="48">
        <f t="shared" si="3"/>
        <v>237.53076399999986</v>
      </c>
      <c r="R17" s="49">
        <f>+IFERROR(HLOOKUP($B17,'[3]12월'!$F$6:$CC$57,3,),)/1000</f>
        <v>1703.1216999999999</v>
      </c>
      <c r="S17" s="50">
        <f t="shared" si="4"/>
        <v>98.569064000000026</v>
      </c>
      <c r="T17" s="46">
        <f>+IFERROR(HLOOKUP($B17,'[1]12월'!$D$6:$BN$259,16,),)/1000</f>
        <v>246.00735954491685</v>
      </c>
      <c r="U17" s="47">
        <f>+IFERROR(HLOOKUP($B17,'[2]12월'!$F$6:$CP$99,16,),)/1000</f>
        <v>168.03998099999998</v>
      </c>
      <c r="V17" s="48">
        <f t="shared" si="5"/>
        <v>-77.967378544916869</v>
      </c>
      <c r="W17" s="49">
        <f>+IFERROR(HLOOKUP($B17,'[3]12월'!$F$6:$CC$57,16,),)/1000</f>
        <v>67.193583999999916</v>
      </c>
      <c r="X17" s="50">
        <f t="shared" si="6"/>
        <v>100.84639700000007</v>
      </c>
      <c r="Y17" s="46">
        <f>+[5]대구!$Q$85</f>
        <v>97760</v>
      </c>
      <c r="Z17" s="47">
        <f>+[5]대구!$R$85</f>
        <v>96305.899294419505</v>
      </c>
      <c r="AA17" s="51">
        <f>+[6]대구!$Q$85</f>
        <v>96581.70012475898</v>
      </c>
      <c r="AB17" s="52">
        <f>+[5]대구!$Q$89</f>
        <v>72183.970373775432</v>
      </c>
      <c r="AC17" s="47">
        <f>+[5]대구!$R$89</f>
        <v>73764.09594825744</v>
      </c>
      <c r="AD17" s="53">
        <f>+[6]대구!$Q$89</f>
        <v>72751.844107973229</v>
      </c>
      <c r="AE17" s="52">
        <f t="shared" si="7"/>
        <v>25576.029626224568</v>
      </c>
      <c r="AF17" s="47">
        <f t="shared" si="7"/>
        <v>22541.803346162065</v>
      </c>
      <c r="AG17" s="53">
        <f t="shared" si="7"/>
        <v>23829.85601678575</v>
      </c>
      <c r="AH17" s="18"/>
      <c r="AI17" s="19"/>
      <c r="AJ17" s="96"/>
    </row>
    <row r="18" spans="2:38" s="8" customFormat="1" ht="19.5" customHeight="1" x14ac:dyDescent="0.3">
      <c r="B18" s="8" t="s">
        <v>80</v>
      </c>
      <c r="G18" s="663" t="str">
        <f t="shared" si="1"/>
        <v>울산</v>
      </c>
      <c r="H18" s="80"/>
      <c r="I18" s="83" t="s">
        <v>80</v>
      </c>
      <c r="J18" s="10">
        <f>+IFERROR(HLOOKUP($B18,'[1]12월'!$D$6:$BN$259,2,),)/1000</f>
        <v>12</v>
      </c>
      <c r="K18" s="11">
        <f>+IFERROR(HLOOKUP($B18,'[2]12월'!$F$6:$CP$99,2,),)/1000</f>
        <v>12.451000000000001</v>
      </c>
      <c r="L18" s="12">
        <f t="shared" si="0"/>
        <v>0.45100000000000051</v>
      </c>
      <c r="M18" s="13">
        <f>+IFERROR(HLOOKUP($B18,'[3]12월'!$F$6:$CC$57,2,),)/1000</f>
        <v>6.7270000000000003</v>
      </c>
      <c r="N18" s="14">
        <f t="shared" si="2"/>
        <v>5.7240000000000002</v>
      </c>
      <c r="O18" s="10">
        <f>+IFERROR(HLOOKUP($B18,'[1]12월'!$D$6:$BN$259,3,),)/1000</f>
        <v>1215.1903</v>
      </c>
      <c r="P18" s="11">
        <f>+IFERROR(HLOOKUP($B18,'[2]12월'!$F$6:$CP$99,3,),)/1000</f>
        <v>1273.3891000000001</v>
      </c>
      <c r="Q18" s="12">
        <f t="shared" si="3"/>
        <v>58.198800000000119</v>
      </c>
      <c r="R18" s="13">
        <f>+IFERROR(HLOOKUP($B18,'[3]12월'!$F$6:$CC$57,3,),)/1000</f>
        <v>673.84924999999998</v>
      </c>
      <c r="S18" s="14">
        <f t="shared" si="4"/>
        <v>599.53985000000011</v>
      </c>
      <c r="T18" s="10">
        <f>+IFERROR(HLOOKUP($B18,'[1]12월'!$D$6:$BN$259,16,),)/1000</f>
        <v>108.93391372030091</v>
      </c>
      <c r="U18" s="11">
        <f>+IFERROR(HLOOKUP($B18,'[2]12월'!$F$6:$CP$99,16,),)/1000</f>
        <v>24.366226000000118</v>
      </c>
      <c r="V18" s="12">
        <f t="shared" si="5"/>
        <v>-84.567687720300796</v>
      </c>
      <c r="W18" s="13">
        <f>+IFERROR(HLOOKUP($B18,'[3]12월'!$F$6:$CC$57,16,),)/1000</f>
        <v>-94.482643999999993</v>
      </c>
      <c r="X18" s="14">
        <f t="shared" si="6"/>
        <v>118.84887000000012</v>
      </c>
      <c r="Y18" s="10">
        <f>+[5]울산!$Q$85</f>
        <v>101265.85833333334</v>
      </c>
      <c r="Z18" s="11">
        <f>+[5]울산!$R$85</f>
        <v>102272.03437474903</v>
      </c>
      <c r="AA18" s="15">
        <f>+[6]울산!$Q$85</f>
        <v>100170.84138546156</v>
      </c>
      <c r="AB18" s="16">
        <f>+[5]울산!$Q$89</f>
        <v>80550.788769878622</v>
      </c>
      <c r="AC18" s="11">
        <f>+[5]울산!$R$89</f>
        <v>84277.211324083735</v>
      </c>
      <c r="AD18" s="17">
        <f>+[6]울산!$Q$89</f>
        <v>81166.34145978892</v>
      </c>
      <c r="AE18" s="16">
        <f t="shared" si="7"/>
        <v>20715.069563454716</v>
      </c>
      <c r="AF18" s="11">
        <f t="shared" si="7"/>
        <v>17994.823050665291</v>
      </c>
      <c r="AG18" s="17">
        <f t="shared" si="7"/>
        <v>19004.499925672644</v>
      </c>
      <c r="AH18" s="18"/>
      <c r="AI18" s="19"/>
      <c r="AJ18" s="96"/>
    </row>
    <row r="19" spans="2:38" s="8" customFormat="1" ht="19.5" customHeight="1" x14ac:dyDescent="0.3">
      <c r="B19" s="8" t="s">
        <v>85</v>
      </c>
      <c r="G19" s="663" t="str">
        <f t="shared" si="1"/>
        <v>아산</v>
      </c>
      <c r="H19" s="80"/>
      <c r="I19" s="81" t="s">
        <v>31</v>
      </c>
      <c r="J19" s="46">
        <f>+IFERROR(HLOOKUP($B19,'[1]12월'!$D$6:$BN$259,2,),)/1000</f>
        <v>27</v>
      </c>
      <c r="K19" s="47">
        <f>+IFERROR(HLOOKUP($B19,'[2]12월'!$F$6:$CP$99,2,),)/1000</f>
        <v>22.731999999999999</v>
      </c>
      <c r="L19" s="48">
        <f t="shared" si="0"/>
        <v>-4.2680000000000007</v>
      </c>
      <c r="M19" s="49">
        <f>+IFERROR(HLOOKUP($B19,'[3]12월'!$F$6:$CC$57,2,),)/1000</f>
        <v>21.023</v>
      </c>
      <c r="N19" s="50">
        <f t="shared" si="2"/>
        <v>1.7089999999999996</v>
      </c>
      <c r="O19" s="46">
        <f>+IFERROR(HLOOKUP($B19,'[1]12월'!$D$6:$BN$259,3,),)/1000</f>
        <v>2727</v>
      </c>
      <c r="P19" s="47">
        <f>+IFERROR(HLOOKUP($B19,'[2]12월'!$F$6:$CP$99,3,),)/1000</f>
        <v>2299.4823020000003</v>
      </c>
      <c r="Q19" s="48">
        <f t="shared" si="3"/>
        <v>-427.51769799999965</v>
      </c>
      <c r="R19" s="49">
        <f>+IFERROR(HLOOKUP($B19,'[3]12월'!$F$6:$CC$57,3,),)/1000</f>
        <v>2021.2951</v>
      </c>
      <c r="S19" s="50">
        <f t="shared" si="4"/>
        <v>278.1872020000003</v>
      </c>
      <c r="T19" s="46">
        <f>+IFERROR(HLOOKUP($B19,'[1]12월'!$D$6:$BN$259,16,),)/1000</f>
        <v>380.38224727190726</v>
      </c>
      <c r="U19" s="47">
        <f>+IFERROR(HLOOKUP($B19,'[2]12월'!$F$6:$CP$99,16,),)/1000</f>
        <v>58.469241000000345</v>
      </c>
      <c r="V19" s="48">
        <f t="shared" si="5"/>
        <v>-321.91300627190691</v>
      </c>
      <c r="W19" s="49">
        <f>+IFERROR(HLOOKUP($B19,'[3]12월'!$F$6:$CC$57,16,),)/1000</f>
        <v>8.6182310000001898</v>
      </c>
      <c r="X19" s="50">
        <f t="shared" si="6"/>
        <v>49.851010000000159</v>
      </c>
      <c r="Y19" s="46">
        <f>+[5]아산!$Q$85</f>
        <v>101000</v>
      </c>
      <c r="Z19" s="47">
        <f>+[5]아산!$R$85</f>
        <v>101156.18080239311</v>
      </c>
      <c r="AA19" s="51">
        <f>+[6]아산!$Q$85</f>
        <v>95785.01921860555</v>
      </c>
      <c r="AB19" s="52">
        <f>+[5]아산!$Q$89</f>
        <v>79449.485635149569</v>
      </c>
      <c r="AC19" s="47">
        <f>+[5]아산!$R$89</f>
        <v>85004.173787554129</v>
      </c>
      <c r="AD19" s="53">
        <f>+[6]아산!$Q$89</f>
        <v>77943.485529451806</v>
      </c>
      <c r="AE19" s="52">
        <f t="shared" si="7"/>
        <v>21550.514364850431</v>
      </c>
      <c r="AF19" s="47">
        <f t="shared" si="7"/>
        <v>16152.007014838979</v>
      </c>
      <c r="AG19" s="53">
        <f t="shared" si="7"/>
        <v>17841.533689153744</v>
      </c>
      <c r="AH19" s="18"/>
      <c r="AI19" s="19"/>
      <c r="AJ19" s="96"/>
    </row>
    <row r="20" spans="2:38" s="8" customFormat="1" ht="19.5" customHeight="1" x14ac:dyDescent="0.3">
      <c r="B20" s="8" t="s">
        <v>81</v>
      </c>
      <c r="G20" s="663" t="str">
        <f t="shared" si="1"/>
        <v>전주</v>
      </c>
      <c r="H20" s="80"/>
      <c r="I20" s="81" t="s">
        <v>81</v>
      </c>
      <c r="J20" s="46">
        <f>+IFERROR(HLOOKUP($B20,'[1]12월'!$D$6:$BN$259,2,),)/1000</f>
        <v>11</v>
      </c>
      <c r="K20" s="47">
        <f>+IFERROR(HLOOKUP($B20,'[2]12월'!$F$6:$CP$99,2,),)/1000</f>
        <v>10.326000000000001</v>
      </c>
      <c r="L20" s="48">
        <f t="shared" si="0"/>
        <v>-0.67399999999999949</v>
      </c>
      <c r="M20" s="49">
        <f>+IFERROR(HLOOKUP($B20,'[3]12월'!$F$6:$CC$57,2,),)/1000</f>
        <v>11.59</v>
      </c>
      <c r="N20" s="50">
        <f t="shared" si="2"/>
        <v>-1.2639999999999993</v>
      </c>
      <c r="O20" s="46">
        <f>+IFERROR(HLOOKUP($B20,'[1]12월'!$D$6:$BN$259,3,),)/1000</f>
        <v>1127.8312599999997</v>
      </c>
      <c r="P20" s="47">
        <f>+IFERROR(HLOOKUP($B20,'[2]12월'!$F$6:$CP$99,3,),)/1000</f>
        <v>1002.051928</v>
      </c>
      <c r="Q20" s="48">
        <f t="shared" si="3"/>
        <v>-125.77933199999973</v>
      </c>
      <c r="R20" s="49">
        <f>+IFERROR(HLOOKUP($B20,'[3]12월'!$F$6:$CC$57,3,),)/1000</f>
        <v>1081.6514</v>
      </c>
      <c r="S20" s="50">
        <f t="shared" si="4"/>
        <v>-79.599471999999992</v>
      </c>
      <c r="T20" s="46">
        <f>+IFERROR(HLOOKUP($B20,'[1]12월'!$D$6:$BN$259,16,),)/1000</f>
        <v>185.50495106531176</v>
      </c>
      <c r="U20" s="47">
        <f>+IFERROR(HLOOKUP($B20,'[2]12월'!$F$6:$CP$99,16,),)/1000</f>
        <v>10.653326999999878</v>
      </c>
      <c r="V20" s="48">
        <f t="shared" si="5"/>
        <v>-174.85162406531188</v>
      </c>
      <c r="W20" s="49">
        <f>+IFERROR(HLOOKUP($B20,'[3]12월'!$F$6:$CC$57,16,),)/1000</f>
        <v>36.652520999999879</v>
      </c>
      <c r="X20" s="50">
        <f t="shared" si="6"/>
        <v>-25.999194000000003</v>
      </c>
      <c r="Y20" s="46">
        <f>+[5]전주!$Q$85</f>
        <v>102530.11454545452</v>
      </c>
      <c r="Z20" s="47">
        <f>+[5]전주!$R$85</f>
        <v>97041.635483246166</v>
      </c>
      <c r="AA20" s="51">
        <f>+[6]전주!$Q$85</f>
        <v>93361.374469191433</v>
      </c>
      <c r="AB20" s="52">
        <f>+[5]전주!$Q$89</f>
        <v>73002.693859136416</v>
      </c>
      <c r="AC20" s="47">
        <f>+[5]전주!$R$89</f>
        <v>74828.152624443159</v>
      </c>
      <c r="AD20" s="53">
        <f>+[6]전주!$Q$89</f>
        <v>68175.180864892973</v>
      </c>
      <c r="AE20" s="52">
        <f t="shared" si="7"/>
        <v>29527.420686318103</v>
      </c>
      <c r="AF20" s="47">
        <f t="shared" si="7"/>
        <v>22213.482858803007</v>
      </c>
      <c r="AG20" s="53">
        <f t="shared" si="7"/>
        <v>25186.19360429846</v>
      </c>
      <c r="AH20" s="18"/>
      <c r="AI20" s="19"/>
      <c r="AJ20" s="96"/>
    </row>
    <row r="21" spans="2:38" s="8" customFormat="1" ht="19.5" customHeight="1" x14ac:dyDescent="0.3">
      <c r="B21" s="8" t="s">
        <v>82</v>
      </c>
      <c r="G21" s="663" t="str">
        <f t="shared" si="1"/>
        <v>군산</v>
      </c>
      <c r="H21" s="80"/>
      <c r="I21" s="81" t="s">
        <v>82</v>
      </c>
      <c r="J21" s="46">
        <f>+IFERROR(HLOOKUP($B21,'[1]12월'!$D$6:$BN$259,2,),)/1000</f>
        <v>7</v>
      </c>
      <c r="K21" s="47">
        <f>+IFERROR(HLOOKUP($B21,'[2]12월'!$F$6:$CP$99,2,),)/1000</f>
        <v>5.6079999999999997</v>
      </c>
      <c r="L21" s="48">
        <f t="shared" si="0"/>
        <v>-1.3920000000000003</v>
      </c>
      <c r="M21" s="49">
        <f>+IFERROR(HLOOKUP($B21,'[3]12월'!$F$6:$CC$57,2,),)/1000</f>
        <v>5.0555000000000003</v>
      </c>
      <c r="N21" s="50">
        <f t="shared" si="2"/>
        <v>0.55249999999999932</v>
      </c>
      <c r="O21" s="46">
        <f>+IFERROR(HLOOKUP($B21,'[1]12월'!$D$6:$BN$259,3,),)/1000</f>
        <v>762.99902899999995</v>
      </c>
      <c r="P21" s="47">
        <f>+IFERROR(HLOOKUP($B21,'[2]12월'!$F$6:$CP$99,3,),)/1000</f>
        <v>597.35400000000004</v>
      </c>
      <c r="Q21" s="48">
        <f t="shared" si="3"/>
        <v>-165.64502899999991</v>
      </c>
      <c r="R21" s="49">
        <f>+IFERROR(HLOOKUP($B21,'[3]12월'!$F$6:$CC$57,3,),)/1000</f>
        <v>527.68332200000009</v>
      </c>
      <c r="S21" s="50">
        <f t="shared" si="4"/>
        <v>69.670677999999953</v>
      </c>
      <c r="T21" s="46">
        <f>+IFERROR(HLOOKUP($B21,'[1]12월'!$D$6:$BN$259,16,),)/1000</f>
        <v>192.641601840601</v>
      </c>
      <c r="U21" s="47">
        <f>+IFERROR(HLOOKUP($B21,'[2]12월'!$F$6:$CP$99,16,),)/1000</f>
        <v>80.152253999999999</v>
      </c>
      <c r="V21" s="48">
        <f t="shared" si="5"/>
        <v>-112.489347840601</v>
      </c>
      <c r="W21" s="49">
        <f>+IFERROR(HLOOKUP($B21,'[3]12월'!$F$6:$CC$57,16,),)/1000</f>
        <v>34.121359000000041</v>
      </c>
      <c r="X21" s="50">
        <f t="shared" si="6"/>
        <v>46.030894999999958</v>
      </c>
      <c r="Y21" s="46">
        <f>+[5]군산!$Q$85</f>
        <v>108999.86128571429</v>
      </c>
      <c r="Z21" s="47">
        <f>+[5]군산!$R$85</f>
        <v>106518.1883024251</v>
      </c>
      <c r="AA21" s="51">
        <f>+[6]군산!$Q$85</f>
        <v>104623.27217062966</v>
      </c>
      <c r="AB21" s="52">
        <f>+[5]군산!$Q$89</f>
        <v>70884.732734888428</v>
      </c>
      <c r="AC21" s="47">
        <f>+[5]군산!$R$89</f>
        <v>73466.499821683319</v>
      </c>
      <c r="AD21" s="53">
        <f>+[6]군산!$Q$89</f>
        <v>69954.421879783651</v>
      </c>
      <c r="AE21" s="52">
        <f t="shared" si="7"/>
        <v>38115.128550825859</v>
      </c>
      <c r="AF21" s="47">
        <f t="shared" si="7"/>
        <v>33051.688480741781</v>
      </c>
      <c r="AG21" s="53">
        <f t="shared" si="7"/>
        <v>34668.850290846007</v>
      </c>
      <c r="AH21" s="18"/>
      <c r="AI21" s="19"/>
      <c r="AJ21" s="96"/>
    </row>
    <row r="22" spans="2:38" s="8" customFormat="1" ht="19.5" customHeight="1" x14ac:dyDescent="0.3">
      <c r="B22" s="8" t="s">
        <v>83</v>
      </c>
      <c r="G22" s="663" t="str">
        <f t="shared" si="1"/>
        <v>원주</v>
      </c>
      <c r="H22" s="80"/>
      <c r="I22" s="81" t="s">
        <v>83</v>
      </c>
      <c r="J22" s="46">
        <f>+IFERROR(HLOOKUP($B22,'[1]12월'!$D$6:$BN$259,2,),)/1000</f>
        <v>4</v>
      </c>
      <c r="K22" s="47">
        <f>+IFERROR(HLOOKUP($B22,'[2]12월'!$F$6:$CP$99,2,),)/1000</f>
        <v>4.01</v>
      </c>
      <c r="L22" s="48">
        <f t="shared" si="0"/>
        <v>9.9999999999997868E-3</v>
      </c>
      <c r="M22" s="49">
        <f>+IFERROR(HLOOKUP($B22,'[3]12월'!$F$6:$CC$57,2,),)/1000</f>
        <v>6.1890000000000001</v>
      </c>
      <c r="N22" s="50">
        <f t="shared" si="2"/>
        <v>-2.1790000000000003</v>
      </c>
      <c r="O22" s="46">
        <f>+IFERROR(HLOOKUP($B22,'[1]12월'!$D$6:$BN$259,3,),)/1000</f>
        <v>431.6</v>
      </c>
      <c r="P22" s="47">
        <f>+IFERROR(HLOOKUP($B22,'[2]12월'!$F$6:$CP$99,3,),)/1000</f>
        <v>460.86700000000002</v>
      </c>
      <c r="Q22" s="48">
        <f t="shared" si="3"/>
        <v>29.266999999999996</v>
      </c>
      <c r="R22" s="49">
        <f>+IFERROR(HLOOKUP($B22,'[3]12월'!$F$6:$CC$57,3,),)/1000</f>
        <v>648.47725500000001</v>
      </c>
      <c r="S22" s="50">
        <f t="shared" si="4"/>
        <v>-187.610255</v>
      </c>
      <c r="T22" s="46">
        <f>+IFERROR(HLOOKUP($B22,'[1]12월'!$D$6:$BN$259,16,),)/1000</f>
        <v>49.390684017904626</v>
      </c>
      <c r="U22" s="47">
        <f>+IFERROR(HLOOKUP($B22,'[2]12월'!$F$6:$CP$99,16,),)/1000</f>
        <v>39.135276999999988</v>
      </c>
      <c r="V22" s="48">
        <f t="shared" si="5"/>
        <v>-10.255407017904638</v>
      </c>
      <c r="W22" s="49">
        <f>+IFERROR(HLOOKUP($B22,'[3]12월'!$F$6:$CC$57,16,),)/1000</f>
        <v>38.745038000000044</v>
      </c>
      <c r="X22" s="50">
        <f t="shared" si="6"/>
        <v>0.39023899999994427</v>
      </c>
      <c r="Y22" s="46">
        <f>+[5]원주!$Q$85</f>
        <v>107900</v>
      </c>
      <c r="Z22" s="47">
        <f>+[5]원주!$R$85</f>
        <v>114929.42643391521</v>
      </c>
      <c r="AA22" s="51">
        <f>+[6]원주!$Q$85</f>
        <v>104784.90095685748</v>
      </c>
      <c r="AB22" s="52">
        <f>+[5]원주!$Q$89</f>
        <v>75861.900389866205</v>
      </c>
      <c r="AC22" s="47">
        <f>+[5]원주!$R$89</f>
        <v>76446.968079800514</v>
      </c>
      <c r="AD22" s="53">
        <f>+[6]원주!$Q$89</f>
        <v>75081.703206311897</v>
      </c>
      <c r="AE22" s="52">
        <f t="shared" si="7"/>
        <v>32038.099610133795</v>
      </c>
      <c r="AF22" s="47">
        <f t="shared" si="7"/>
        <v>38482.4583541147</v>
      </c>
      <c r="AG22" s="53">
        <f t="shared" si="7"/>
        <v>29703.197750545587</v>
      </c>
      <c r="AH22" s="18"/>
      <c r="AI22" s="19"/>
      <c r="AJ22" s="96"/>
    </row>
    <row r="23" spans="2:38" s="8" customFormat="1" ht="19.5" customHeight="1" x14ac:dyDescent="0.3">
      <c r="B23" s="8" t="s">
        <v>84</v>
      </c>
      <c r="G23" s="661" t="str">
        <f t="shared" si="1"/>
        <v>제주</v>
      </c>
      <c r="H23" s="80"/>
      <c r="I23" s="81" t="s">
        <v>84</v>
      </c>
      <c r="J23" s="46">
        <f>+IFERROR(HLOOKUP($B23,'[1]12월'!$D$6:$BN$259,2,),)/1000</f>
        <v>7</v>
      </c>
      <c r="K23" s="47">
        <f>+IFERROR(HLOOKUP($B23,'[2]12월'!$F$6:$CP$99,2,),)/1000</f>
        <v>5.5875000000000004</v>
      </c>
      <c r="L23" s="48">
        <f t="shared" si="0"/>
        <v>-1.4124999999999996</v>
      </c>
      <c r="M23" s="49">
        <f>+IFERROR(HLOOKUP($B23,'[3]12월'!$F$6:$CC$57,2,),)/1000</f>
        <v>4.9020000000000001</v>
      </c>
      <c r="N23" s="50">
        <f t="shared" si="2"/>
        <v>0.68550000000000022</v>
      </c>
      <c r="O23" s="46">
        <f>+IFERROR(HLOOKUP($B23,'[1]12월'!$D$6:$BN$259,3,),)/1000</f>
        <v>888.3</v>
      </c>
      <c r="P23" s="47">
        <f>+IFERROR(HLOOKUP($B23,'[2]12월'!$F$6:$CP$99,3,),)/1000</f>
        <v>668.43715199999997</v>
      </c>
      <c r="Q23" s="48">
        <f t="shared" si="3"/>
        <v>-219.86284799999999</v>
      </c>
      <c r="R23" s="49">
        <f>+IFERROR(HLOOKUP($B23,'[3]12월'!$F$6:$CC$57,3,),)/1000</f>
        <v>579.44633099999999</v>
      </c>
      <c r="S23" s="50">
        <f t="shared" si="4"/>
        <v>88.990820999999983</v>
      </c>
      <c r="T23" s="46">
        <f>+IFERROR(HLOOKUP($B23,'[1]12월'!$D$6:$BN$259,16,),)/1000</f>
        <v>161.64137545150891</v>
      </c>
      <c r="U23" s="47">
        <f>+IFERROR(HLOOKUP($B23,'[2]12월'!$F$6:$CP$99,16,),)/1000</f>
        <v>49.681542999999991</v>
      </c>
      <c r="V23" s="48">
        <f t="shared" si="5"/>
        <v>-111.95983245150892</v>
      </c>
      <c r="W23" s="49">
        <f>+IFERROR(HLOOKUP($B23,'[3]12월'!$F$6:$CC$57,16,),)/1000</f>
        <v>-5.7622150000000127</v>
      </c>
      <c r="X23" s="50">
        <f t="shared" si="6"/>
        <v>55.443758000000003</v>
      </c>
      <c r="Y23" s="46">
        <f>+[5]제주!$Q$85</f>
        <v>126900</v>
      </c>
      <c r="Z23" s="47">
        <f>+[5]제주!$R$85</f>
        <v>119630.81020134229</v>
      </c>
      <c r="AA23" s="51">
        <f>+[6]제주!$Q$85</f>
        <v>118206.10587515299</v>
      </c>
      <c r="AB23" s="52">
        <f>+[5]제주!$Q$89</f>
        <v>91213.271815179265</v>
      </c>
      <c r="AC23" s="47">
        <f>+[5]제주!$R$89</f>
        <v>89066.435062036966</v>
      </c>
      <c r="AD23" s="53">
        <f>+[6]제주!$Q$89</f>
        <v>87458.101387188915</v>
      </c>
      <c r="AE23" s="52">
        <f t="shared" si="7"/>
        <v>35686.728184820735</v>
      </c>
      <c r="AF23" s="47">
        <f t="shared" si="7"/>
        <v>30564.375139305324</v>
      </c>
      <c r="AG23" s="53">
        <f t="shared" si="7"/>
        <v>30748.004487964077</v>
      </c>
      <c r="AH23" s="18"/>
      <c r="AI23" s="19"/>
      <c r="AJ23" s="96"/>
    </row>
    <row r="24" spans="2:38" s="8" customFormat="1" ht="19.5" customHeight="1" x14ac:dyDescent="0.3">
      <c r="G24" s="664" t="str">
        <f t="shared" si="1"/>
        <v>수도권</v>
      </c>
      <c r="H24" s="80"/>
      <c r="I24" s="84" t="s">
        <v>48</v>
      </c>
      <c r="J24" s="23">
        <f>SUM(J7:J10)</f>
        <v>113.5</v>
      </c>
      <c r="K24" s="20">
        <f>SUM(K7:K10)</f>
        <v>94.753499999999988</v>
      </c>
      <c r="L24" s="21">
        <f t="shared" si="0"/>
        <v>-18.746500000000012</v>
      </c>
      <c r="M24" s="25">
        <f>SUM(M7:M10)</f>
        <v>105.13999999999999</v>
      </c>
      <c r="N24" s="22">
        <f t="shared" si="2"/>
        <v>-10.386499999999998</v>
      </c>
      <c r="O24" s="23">
        <f>SUM(O7:O10)</f>
        <v>11621.590771253803</v>
      </c>
      <c r="P24" s="20">
        <f>SUM(P7:P10)</f>
        <v>9072.3340189999999</v>
      </c>
      <c r="Q24" s="21">
        <f t="shared" si="3"/>
        <v>-2549.2567522538029</v>
      </c>
      <c r="R24" s="25">
        <f>SUM(R7:R10)</f>
        <v>10211.659224000001</v>
      </c>
      <c r="S24" s="22">
        <f t="shared" si="4"/>
        <v>-1139.325205000001</v>
      </c>
      <c r="T24" s="23">
        <f>SUM(T7:T10)</f>
        <v>1604.9216632457421</v>
      </c>
      <c r="U24" s="20">
        <f>SUM(U7:U10)</f>
        <v>-204.5360469999996</v>
      </c>
      <c r="V24" s="21">
        <f t="shared" si="5"/>
        <v>-1809.4577102457417</v>
      </c>
      <c r="W24" s="25">
        <f>SUM(W7:W10)</f>
        <v>-203.09542998999981</v>
      </c>
      <c r="X24" s="22">
        <f t="shared" si="6"/>
        <v>-1.4406170099997837</v>
      </c>
      <c r="Y24" s="23">
        <f>+[5]수도권!$Q$85</f>
        <v>102392.87023131106</v>
      </c>
      <c r="Z24" s="20">
        <f>+[5]수도권!$R$85</f>
        <v>95753.182837259141</v>
      </c>
      <c r="AA24" s="24">
        <f>+[6]수도권!$Q$85</f>
        <v>97106.846945098514</v>
      </c>
      <c r="AB24" s="29">
        <f>+[5]수도권!$Q$89</f>
        <v>79958.056096196276</v>
      </c>
      <c r="AC24" s="20">
        <f>+[5]수도권!$R$89</f>
        <v>83930.890743174416</v>
      </c>
      <c r="AD24" s="30">
        <f>+[6]수도권!$Q$89</f>
        <v>81709.416792918462</v>
      </c>
      <c r="AE24" s="29">
        <f t="shared" si="7"/>
        <v>22434.814135114779</v>
      </c>
      <c r="AF24" s="20">
        <f t="shared" si="7"/>
        <v>11822.292094084725</v>
      </c>
      <c r="AG24" s="30">
        <f t="shared" si="7"/>
        <v>15397.430152180052</v>
      </c>
      <c r="AH24" s="18"/>
      <c r="AI24" s="19"/>
      <c r="AJ24" s="96"/>
    </row>
    <row r="25" spans="2:38" s="8" customFormat="1" ht="19.5" customHeight="1" x14ac:dyDescent="0.3">
      <c r="G25" s="661" t="str">
        <f t="shared" si="1"/>
        <v>영남권</v>
      </c>
      <c r="H25" s="80"/>
      <c r="I25" s="84" t="s">
        <v>49</v>
      </c>
      <c r="J25" s="23">
        <f>SUM(J11:J18)</f>
        <v>138</v>
      </c>
      <c r="K25" s="20">
        <f>SUM(K11:K18)</f>
        <v>129.27199999999999</v>
      </c>
      <c r="L25" s="21">
        <f t="shared" si="0"/>
        <v>-8.7280000000000086</v>
      </c>
      <c r="M25" s="25">
        <f>SUM(M11:M18)</f>
        <v>130.01</v>
      </c>
      <c r="N25" s="22">
        <f t="shared" si="2"/>
        <v>-0.73799999999999955</v>
      </c>
      <c r="O25" s="23">
        <f>SUM(O11:O18)</f>
        <v>14160.649552000001</v>
      </c>
      <c r="P25" s="20">
        <f>SUM(P11:P18)</f>
        <v>13072.182614000001</v>
      </c>
      <c r="Q25" s="21">
        <f t="shared" si="3"/>
        <v>-1088.4669379999996</v>
      </c>
      <c r="R25" s="25">
        <f>SUM(R11:R18)</f>
        <v>12772.024754999999</v>
      </c>
      <c r="S25" s="22">
        <f t="shared" si="4"/>
        <v>300.15785900000265</v>
      </c>
      <c r="T25" s="23">
        <f>SUM(T11:T18)</f>
        <v>2073.5980642750105</v>
      </c>
      <c r="U25" s="20">
        <f>SUM(U11:U18)</f>
        <v>534.66819099999987</v>
      </c>
      <c r="V25" s="21">
        <f t="shared" si="5"/>
        <v>-1538.9298732750108</v>
      </c>
      <c r="W25" s="25">
        <f>SUM(W11:W18)</f>
        <v>-61.669156000000029</v>
      </c>
      <c r="X25" s="22">
        <f t="shared" si="6"/>
        <v>596.33734699999991</v>
      </c>
      <c r="Y25" s="23">
        <f>+[5]영남권!$Q$85</f>
        <v>102613.40255072464</v>
      </c>
      <c r="Z25" s="20">
        <f>+[5]영남권!$R$85</f>
        <v>101138.01594527731</v>
      </c>
      <c r="AA25" s="24">
        <f>+[6]영남권!$Q$85</f>
        <v>98238.787439427731</v>
      </c>
      <c r="AB25" s="29">
        <f>+[5]영남권!$Q$89</f>
        <v>77244.330003543233</v>
      </c>
      <c r="AC25" s="20">
        <f>+[5]영남권!$R$89</f>
        <v>81325.206744175419</v>
      </c>
      <c r="AD25" s="30">
        <f>+[6]영남권!$Q$89</f>
        <v>78500.132262356099</v>
      </c>
      <c r="AE25" s="29">
        <f t="shared" si="7"/>
        <v>25369.072547181408</v>
      </c>
      <c r="AF25" s="20">
        <f t="shared" si="7"/>
        <v>19812.809201101889</v>
      </c>
      <c r="AG25" s="30">
        <f t="shared" si="7"/>
        <v>19738.655177071632</v>
      </c>
      <c r="AH25" s="18"/>
      <c r="AI25" s="19"/>
      <c r="AJ25" s="96"/>
    </row>
    <row r="26" spans="2:38" s="8" customFormat="1" ht="19.5" customHeight="1" x14ac:dyDescent="0.3">
      <c r="G26" s="661" t="str">
        <f t="shared" si="1"/>
        <v>중부권</v>
      </c>
      <c r="H26" s="80"/>
      <c r="I26" s="84" t="s">
        <v>137</v>
      </c>
      <c r="J26" s="23">
        <f>SUM(J19:J23)</f>
        <v>56</v>
      </c>
      <c r="K26" s="20">
        <f>SUM(K19:K23)</f>
        <v>48.263499999999993</v>
      </c>
      <c r="L26" s="21">
        <f t="shared" si="0"/>
        <v>-7.7365000000000066</v>
      </c>
      <c r="M26" s="25">
        <f>SUM(M19:M23)</f>
        <v>48.759500000000003</v>
      </c>
      <c r="N26" s="22">
        <f t="shared" si="2"/>
        <v>-0.49600000000000932</v>
      </c>
      <c r="O26" s="23">
        <f>SUM(O19:O23)</f>
        <v>5937.7302890000001</v>
      </c>
      <c r="P26" s="20">
        <f>SUM(P19:P23)</f>
        <v>5028.1923820000011</v>
      </c>
      <c r="Q26" s="21">
        <f t="shared" si="3"/>
        <v>-909.537906999999</v>
      </c>
      <c r="R26" s="25">
        <f>SUM(R19:R23)</f>
        <v>4858.5534079999998</v>
      </c>
      <c r="S26" s="22">
        <f t="shared" si="4"/>
        <v>169.63897400000133</v>
      </c>
      <c r="T26" s="23">
        <f>SUM(T19:T23)</f>
        <v>969.56085964723354</v>
      </c>
      <c r="U26" s="20">
        <f>SUM(U19:U23)</f>
        <v>238.09164200000021</v>
      </c>
      <c r="V26" s="21">
        <f t="shared" si="5"/>
        <v>-731.46921764723334</v>
      </c>
      <c r="W26" s="25">
        <f>SUM(W19:W23)</f>
        <v>112.37493400000015</v>
      </c>
      <c r="X26" s="22">
        <f t="shared" si="6"/>
        <v>125.71670800000005</v>
      </c>
      <c r="Y26" s="23">
        <f>+[5]중부권!$Q$85</f>
        <v>106030.89801785714</v>
      </c>
      <c r="Z26" s="20">
        <f>+[5]중부권!$R$85</f>
        <v>104182.09168419198</v>
      </c>
      <c r="AA26" s="24">
        <f>+[6]중부권!$Q$85</f>
        <v>99522.84945820838</v>
      </c>
      <c r="AB26" s="29">
        <f>+[5]중부권!$Q$89</f>
        <v>78326.774607312109</v>
      </c>
      <c r="AC26" s="20">
        <f>+[5]중부권!$R$89</f>
        <v>81258.436457526477</v>
      </c>
      <c r="AD26" s="30">
        <f>+[6]중부권!$Q$89</f>
        <v>75388.641877278933</v>
      </c>
      <c r="AE26" s="29">
        <f t="shared" si="7"/>
        <v>27704.123410545028</v>
      </c>
      <c r="AF26" s="20">
        <f t="shared" si="7"/>
        <v>22923.655226665505</v>
      </c>
      <c r="AG26" s="30">
        <f t="shared" si="7"/>
        <v>24134.207580929447</v>
      </c>
      <c r="AH26" s="18"/>
      <c r="AI26" s="19"/>
      <c r="AJ26" s="96"/>
    </row>
    <row r="27" spans="2:38" s="3" customFormat="1" ht="19.5" customHeight="1" x14ac:dyDescent="0.3">
      <c r="B27" s="26"/>
      <c r="G27" s="663">
        <f>+K27/J27</f>
        <v>0.88549268292682926</v>
      </c>
      <c r="H27" s="500" t="s">
        <v>103</v>
      </c>
      <c r="I27" s="501"/>
      <c r="J27" s="502">
        <f>SUM(J24:J26)</f>
        <v>307.5</v>
      </c>
      <c r="K27" s="503">
        <f>SUM(K24:K26)</f>
        <v>272.28899999999999</v>
      </c>
      <c r="L27" s="504">
        <f t="shared" si="0"/>
        <v>-35.211000000000013</v>
      </c>
      <c r="M27" s="505">
        <f>SUM(M24:M26)</f>
        <v>283.90949999999998</v>
      </c>
      <c r="N27" s="506">
        <f t="shared" si="2"/>
        <v>-11.620499999999993</v>
      </c>
      <c r="O27" s="502">
        <f>SUM(O24:O26)</f>
        <v>31719.970612253805</v>
      </c>
      <c r="P27" s="503">
        <f>SUM(P24:P26)</f>
        <v>27172.709015</v>
      </c>
      <c r="Q27" s="504">
        <f t="shared" si="3"/>
        <v>-4547.2615972538042</v>
      </c>
      <c r="R27" s="505">
        <f>SUM(R24:R26)</f>
        <v>27842.237387000001</v>
      </c>
      <c r="S27" s="506">
        <f t="shared" si="4"/>
        <v>-669.52837200000067</v>
      </c>
      <c r="T27" s="502">
        <f>SUM(T24:T26)</f>
        <v>4648.0805871679868</v>
      </c>
      <c r="U27" s="503">
        <f>SUM(U24:U26)</f>
        <v>568.22378600000047</v>
      </c>
      <c r="V27" s="504">
        <f t="shared" si="5"/>
        <v>-4079.8568011679863</v>
      </c>
      <c r="W27" s="505">
        <f>SUM(W24:W26)</f>
        <v>-152.38965198999966</v>
      </c>
      <c r="X27" s="506">
        <f t="shared" si="6"/>
        <v>720.61343799000019</v>
      </c>
      <c r="Y27" s="502">
        <f>+[5]합계!$Q$85</f>
        <v>103154.37597480913</v>
      </c>
      <c r="Z27" s="503">
        <f>+[5]합계!$R$85</f>
        <v>99802.989779255455</v>
      </c>
      <c r="AA27" s="507">
        <f>+[6]합계!$Q$85</f>
        <v>98036.160975394087</v>
      </c>
      <c r="AB27" s="508">
        <f>+[5]합계!$Q$89</f>
        <v>78443.109871273904</v>
      </c>
      <c r="AC27" s="503">
        <f>+[5]합계!$R$89</f>
        <v>82213.021920394152</v>
      </c>
      <c r="AD27" s="509">
        <f>+[6]합계!$Q$89</f>
        <v>79164.481370373964</v>
      </c>
      <c r="AE27" s="508">
        <f t="shared" si="7"/>
        <v>24711.266103535221</v>
      </c>
      <c r="AF27" s="503">
        <f t="shared" si="7"/>
        <v>17589.967858861302</v>
      </c>
      <c r="AG27" s="509">
        <f t="shared" si="7"/>
        <v>18871.679605020123</v>
      </c>
      <c r="AH27" s="27"/>
      <c r="AI27" s="28"/>
      <c r="AJ27" s="96"/>
      <c r="AL27" s="26"/>
    </row>
    <row r="28" spans="2:38" s="8" customFormat="1" ht="19.5" customHeight="1" x14ac:dyDescent="0.3">
      <c r="B28" s="8" t="s">
        <v>3</v>
      </c>
      <c r="E28" s="8" t="s">
        <v>167</v>
      </c>
      <c r="G28" s="661" t="s">
        <v>3</v>
      </c>
      <c r="H28" s="706" t="s">
        <v>3</v>
      </c>
      <c r="I28" s="707"/>
      <c r="J28" s="167">
        <f>+IFERROR(HLOOKUP($B28,'[1]12월'!$D$6:$BN$259,2,),)</f>
        <v>8600</v>
      </c>
      <c r="K28" s="168">
        <f>+IFERROR(HLOOKUP($E28,'[2]12월'!$F$6:$CP$99,2,),)</f>
        <v>8003.0569999999998</v>
      </c>
      <c r="L28" s="169">
        <f>+K28-J28</f>
        <v>-596.94300000000021</v>
      </c>
      <c r="M28" s="170">
        <f>+IFERROR(HLOOKUP($E28,'[3]12월'!$F$6:$CC$57,2,),)</f>
        <v>7811.91</v>
      </c>
      <c r="N28" s="171">
        <f>+K28-M28</f>
        <v>191.14699999999993</v>
      </c>
      <c r="O28" s="167">
        <f>+IFERROR(HLOOKUP($B28,'[1]12월'!$D$6:$BN$259,3,),)/1000</f>
        <v>10504.631578947367</v>
      </c>
      <c r="P28" s="168">
        <f>+IFERROR(HLOOKUP($E28,'[2]12월'!$F$6:$CP$99,3,),)/1000</f>
        <v>7445.9016059999994</v>
      </c>
      <c r="Q28" s="169">
        <f>+P28-O28</f>
        <v>-3058.7299729473671</v>
      </c>
      <c r="R28" s="170">
        <f>+IFERROR(HLOOKUP($E28,'[3]12월'!$F$6:$CC$57,3,),)/1000</f>
        <v>9622.7531649999983</v>
      </c>
      <c r="S28" s="171">
        <f t="shared" si="4"/>
        <v>-2176.8515589999988</v>
      </c>
      <c r="T28" s="167">
        <f>+IFERROR(HLOOKUP($B28,'[1]12월'!$D$6:$BN$259,16,),)/1000</f>
        <v>139.04024631578758</v>
      </c>
      <c r="U28" s="168">
        <f>+IFERROR(HLOOKUP($E28,'[2]12월'!$F$6:$CP$99,16,),)/1000</f>
        <v>-101.1020730000008</v>
      </c>
      <c r="V28" s="169">
        <f t="shared" si="5"/>
        <v>-240.14231931578837</v>
      </c>
      <c r="W28" s="170">
        <f>+IFERROR(HLOOKUP($E28,'[3]12월'!$F$6:$CC$57,16,),)/1000</f>
        <v>-86.633557000000565</v>
      </c>
      <c r="X28" s="171">
        <f t="shared" si="6"/>
        <v>-14.468516000000236</v>
      </c>
      <c r="Y28" s="520" t="s">
        <v>141</v>
      </c>
      <c r="Z28" s="521"/>
      <c r="AA28" s="521"/>
      <c r="AB28" s="521"/>
      <c r="AC28" s="521"/>
      <c r="AD28" s="521"/>
      <c r="AE28" s="521"/>
      <c r="AF28" s="521"/>
      <c r="AG28" s="522"/>
      <c r="AH28" s="18"/>
      <c r="AI28" s="19"/>
    </row>
    <row r="29" spans="2:38" s="8" customFormat="1" ht="19.5" customHeight="1" x14ac:dyDescent="0.3">
      <c r="B29" s="8" t="s">
        <v>159</v>
      </c>
      <c r="C29" s="79" t="s">
        <v>53</v>
      </c>
      <c r="G29" s="662" t="str">
        <f>+I29</f>
        <v>부산모래장</v>
      </c>
      <c r="H29" s="86" t="s">
        <v>1</v>
      </c>
      <c r="I29" s="81" t="s">
        <v>159</v>
      </c>
      <c r="J29" s="56">
        <f>+IFERROR(HLOOKUP($B29,'[1]12월'!$D$6:$BN$259,2,),)/1000</f>
        <v>28.532457621864594</v>
      </c>
      <c r="K29" s="57">
        <f>+IFERROR(HLOOKUP($C29,'[2]12월'!$F$6:$CP$99,2,),)/1000</f>
        <v>23.035</v>
      </c>
      <c r="L29" s="38">
        <f t="shared" si="0"/>
        <v>-5.4974576218645943</v>
      </c>
      <c r="M29" s="38">
        <f>+IFERROR(HLOOKUP($C29,'[3]12월'!$F$6:$CC$57,2,),)/1000</f>
        <v>24.923999999999999</v>
      </c>
      <c r="N29" s="58">
        <f t="shared" si="2"/>
        <v>-1.8889999999999993</v>
      </c>
      <c r="O29" s="56">
        <f>+IFERROR(HLOOKUP($B29,'[1]12월'!$D$6:$BN$259,3,),)/1000</f>
        <v>811.06467774659041</v>
      </c>
      <c r="P29" s="57">
        <f>+IFERROR(HLOOKUP($C29,'[2]12월'!$F$6:$CP$99,3,),)/1000</f>
        <v>638.33299999999997</v>
      </c>
      <c r="Q29" s="38">
        <f t="shared" si="3"/>
        <v>-172.73167774659044</v>
      </c>
      <c r="R29" s="38">
        <f>+IFERROR(HLOOKUP($C29,'[3]12월'!$F$6:$CC$57,3,),)/1000</f>
        <v>710.71299999999997</v>
      </c>
      <c r="S29" s="58">
        <f t="shared" si="4"/>
        <v>-72.38</v>
      </c>
      <c r="T29" s="56">
        <f>+IFERROR(HLOOKUP($B29,'[1]12월'!$D$6:$BN$259,21,),)/1000</f>
        <v>62.971537976238515</v>
      </c>
      <c r="U29" s="57">
        <f>+IFERROR(HLOOKUP($C29,'[2]12월'!$F$6:$CP$99,21,),)/1000</f>
        <v>-21.304281356637599</v>
      </c>
      <c r="V29" s="38">
        <f t="shared" si="5"/>
        <v>-84.275819332876111</v>
      </c>
      <c r="W29" s="38">
        <f>+IFERROR(HLOOKUP($C29,'[3]12월'!$F$6:$CC$57,16,),)/1000</f>
        <v>-21.164562989999993</v>
      </c>
      <c r="X29" s="58">
        <f t="shared" si="6"/>
        <v>-0.13971836663760584</v>
      </c>
      <c r="Y29" s="499"/>
      <c r="Z29" s="459"/>
      <c r="AA29" s="459"/>
      <c r="AB29" s="459"/>
      <c r="AC29" s="459"/>
      <c r="AD29" s="459"/>
      <c r="AE29" s="459"/>
      <c r="AF29" s="459"/>
      <c r="AG29" s="51"/>
      <c r="AH29" s="18"/>
      <c r="AI29" s="19"/>
    </row>
    <row r="30" spans="2:38" s="8" customFormat="1" ht="19.5" customHeight="1" x14ac:dyDescent="0.3">
      <c r="B30" s="8" t="s">
        <v>160</v>
      </c>
      <c r="C30" s="81" t="s">
        <v>54</v>
      </c>
      <c r="G30" s="662" t="str">
        <f>+I30</f>
        <v>서부산CR</v>
      </c>
      <c r="H30" s="85"/>
      <c r="I30" s="81" t="s">
        <v>185</v>
      </c>
      <c r="J30" s="54">
        <f>+IFERROR(HLOOKUP($B30,'[1]12월'!$D$6:$BN$259,2,),)/1000</f>
        <v>50.439763333333339</v>
      </c>
      <c r="K30" s="59">
        <f>+IFERROR(HLOOKUP($C30,'[2]12월'!$F$6:$CP$99,2,),)/1000</f>
        <v>1</v>
      </c>
      <c r="L30" s="48">
        <f t="shared" si="0"/>
        <v>-49.439763333333339</v>
      </c>
      <c r="M30" s="48">
        <f>+IFERROR(HLOOKUP($C30,'[3]12월'!$F$6:$CC$57,2,),)/1000</f>
        <v>25.332000000000001</v>
      </c>
      <c r="N30" s="60">
        <f t="shared" si="2"/>
        <v>-24.332000000000001</v>
      </c>
      <c r="O30" s="54">
        <f>+IFERROR(HLOOKUP($B30,'[1]12월'!$D$6:$BN$259,3,),)/1000</f>
        <v>623.24578333333329</v>
      </c>
      <c r="P30" s="59">
        <f>+IFERROR(HLOOKUP($C30,'[2]12월'!$F$6:$CP$99,3,),)/1000</f>
        <v>11.5</v>
      </c>
      <c r="Q30" s="48">
        <f t="shared" si="3"/>
        <v>-611.74578333333329</v>
      </c>
      <c r="R30" s="48">
        <f>+IFERROR(HLOOKUP($C30,'[3]12월'!$F$6:$CC$57,3,),)/1000</f>
        <v>323.05399999999997</v>
      </c>
      <c r="S30" s="60">
        <f t="shared" si="4"/>
        <v>-311.55399999999997</v>
      </c>
      <c r="T30" s="54">
        <f>+IFERROR(HLOOKUP($B30,'[1]12월'!$D$6:$BN$259,21,),)/1000</f>
        <v>138.21488061335421</v>
      </c>
      <c r="U30" s="59">
        <f>+IFERROR(HLOOKUP($C30,'[2]12월'!$F$6:$CP$99,21,),)/1000</f>
        <v>-151.79414490851693</v>
      </c>
      <c r="V30" s="48">
        <f t="shared" si="5"/>
        <v>-290.00902552187114</v>
      </c>
      <c r="W30" s="48">
        <f>+IFERROR(HLOOKUP($C30,'[3]12월'!$F$6:$CC$57,16,),)/1000</f>
        <v>-33.388203989999973</v>
      </c>
      <c r="X30" s="60">
        <f t="shared" si="6"/>
        <v>-118.40594091851696</v>
      </c>
      <c r="Y30" s="499"/>
      <c r="Z30" s="459"/>
      <c r="AA30" s="459"/>
      <c r="AB30" s="459"/>
      <c r="AC30" s="459"/>
      <c r="AD30" s="459"/>
      <c r="AE30" s="459"/>
      <c r="AF30" s="459"/>
      <c r="AG30" s="51"/>
      <c r="AH30" s="18"/>
      <c r="AI30" s="19"/>
      <c r="AJ30" s="653"/>
      <c r="AK30" s="98"/>
      <c r="AL30" s="98"/>
    </row>
    <row r="31" spans="2:38" s="8" customFormat="1" ht="19.5" customHeight="1" x14ac:dyDescent="0.3">
      <c r="B31" s="8" t="s">
        <v>143</v>
      </c>
      <c r="C31" s="83" t="s">
        <v>143</v>
      </c>
      <c r="G31" s="662" t="str">
        <f>+I31</f>
        <v>부산CR</v>
      </c>
      <c r="H31" s="85"/>
      <c r="I31" s="83" t="s">
        <v>187</v>
      </c>
      <c r="J31" s="54">
        <f>+IFERROR(HLOOKUP($B31,'[1]12월'!$D$6:$BN$259,2,),)/1000</f>
        <v>41.933006059301498</v>
      </c>
      <c r="K31" s="59">
        <f>+IFERROR(HLOOKUP($C31,'[2]12월'!$F$6:$CP$99,2,),)/1000</f>
        <v>35.645000000000003</v>
      </c>
      <c r="L31" s="48">
        <f t="shared" si="0"/>
        <v>-6.2880060593014946</v>
      </c>
      <c r="M31" s="48">
        <f>+IFERROR(HLOOKUP($C31,'[3]12월'!$F$6:$CC$57,2,),)/1000</f>
        <v>19.977</v>
      </c>
      <c r="N31" s="60">
        <f t="shared" si="2"/>
        <v>15.668000000000003</v>
      </c>
      <c r="O31" s="54">
        <f>+IFERROR(HLOOKUP($B31,'[1]12월'!$D$6:$BN$259,3,),)/1000</f>
        <v>770.37721380474261</v>
      </c>
      <c r="P31" s="59">
        <f>+IFERROR(HLOOKUP($C31,'[2]12월'!$F$6:$CP$99,3,),)/1000</f>
        <v>630.68150000000003</v>
      </c>
      <c r="Q31" s="48">
        <f t="shared" si="3"/>
        <v>-139.69571380474258</v>
      </c>
      <c r="R31" s="48">
        <f>+IFERROR(HLOOKUP($C31,'[3]12월'!$F$6:$CC$57,3,),)/1000</f>
        <v>367.50599999999997</v>
      </c>
      <c r="S31" s="60">
        <f t="shared" si="4"/>
        <v>263.17550000000006</v>
      </c>
      <c r="T31" s="54">
        <f>+IFERROR(HLOOKUP($B31,'[1]12월'!$D$6:$BN$259,21,),)/1000</f>
        <v>97.655920415248602</v>
      </c>
      <c r="U31" s="59">
        <f>+IFERROR(HLOOKUP($C31,'[2]12월'!$F$6:$CP$99,21,),)/1000</f>
        <v>-294.10380909999998</v>
      </c>
      <c r="V31" s="48">
        <f t="shared" si="5"/>
        <v>-391.75972951524858</v>
      </c>
      <c r="W31" s="48">
        <f>+IFERROR(HLOOKUP($C31,'[3]12월'!$F$6:$CC$57,16,),)/1000</f>
        <v>-356.44775800000002</v>
      </c>
      <c r="X31" s="60">
        <f t="shared" si="6"/>
        <v>62.343948900000044</v>
      </c>
      <c r="Y31" s="458"/>
      <c r="Z31" s="459"/>
      <c r="AA31" s="459"/>
      <c r="AB31" s="459"/>
      <c r="AC31" s="459"/>
      <c r="AD31" s="459"/>
      <c r="AE31" s="459"/>
      <c r="AF31" s="459"/>
      <c r="AG31" s="51"/>
      <c r="AH31" s="18"/>
      <c r="AI31" s="19"/>
      <c r="AJ31" s="653"/>
      <c r="AK31" s="98"/>
      <c r="AL31" s="98"/>
    </row>
    <row r="32" spans="2:38" s="3" customFormat="1" ht="19.5" customHeight="1" x14ac:dyDescent="0.3">
      <c r="G32" s="665"/>
      <c r="H32" s="146" t="s">
        <v>38</v>
      </c>
      <c r="I32" s="147"/>
      <c r="J32" s="148">
        <f>SUM(J29:J31)</f>
        <v>120.90522701449945</v>
      </c>
      <c r="K32" s="152">
        <f>SUM(K29:K31)</f>
        <v>59.680000000000007</v>
      </c>
      <c r="L32" s="150">
        <f t="shared" si="0"/>
        <v>-61.225227014499438</v>
      </c>
      <c r="M32" s="150">
        <f>SUM(M29:M31)</f>
        <v>70.233000000000004</v>
      </c>
      <c r="N32" s="151">
        <f t="shared" si="2"/>
        <v>-10.552999999999997</v>
      </c>
      <c r="O32" s="148">
        <f>SUM(O29:O31)</f>
        <v>2204.6876748846662</v>
      </c>
      <c r="P32" s="152">
        <f>SUM(P29:P31)</f>
        <v>1280.5145</v>
      </c>
      <c r="Q32" s="150">
        <f t="shared" si="3"/>
        <v>-924.1731748846662</v>
      </c>
      <c r="R32" s="150">
        <f>SUM(R29:R31)</f>
        <v>1401.2729999999997</v>
      </c>
      <c r="S32" s="151">
        <f t="shared" si="4"/>
        <v>-120.75849999999969</v>
      </c>
      <c r="T32" s="148">
        <f>SUM(T29:T31)</f>
        <v>298.84233900484134</v>
      </c>
      <c r="U32" s="152">
        <f>SUM(U29:U31)</f>
        <v>-467.20223536515448</v>
      </c>
      <c r="V32" s="150">
        <f t="shared" si="5"/>
        <v>-766.04457436999587</v>
      </c>
      <c r="W32" s="150">
        <f>SUM(W29:W31)</f>
        <v>-411.00052497999997</v>
      </c>
      <c r="X32" s="151">
        <f t="shared" si="6"/>
        <v>-56.201710385154513</v>
      </c>
      <c r="Y32" s="458"/>
      <c r="Z32" s="459"/>
      <c r="AA32" s="459"/>
      <c r="AB32" s="459"/>
      <c r="AC32" s="459"/>
      <c r="AD32" s="459"/>
      <c r="AE32" s="459"/>
      <c r="AF32" s="459"/>
      <c r="AG32" s="51"/>
      <c r="AH32" s="27"/>
      <c r="AI32" s="28"/>
    </row>
    <row r="33" spans="2:38" s="8" customFormat="1" ht="19.5" customHeight="1" x14ac:dyDescent="0.3">
      <c r="B33" s="8" t="s">
        <v>163</v>
      </c>
      <c r="C33" s="8" t="s">
        <v>162</v>
      </c>
      <c r="D33" t="s">
        <v>161</v>
      </c>
      <c r="E33" t="s">
        <v>90</v>
      </c>
      <c r="F33"/>
      <c r="G33" s="661" t="str">
        <f t="shared" ref="G33:G38" si="8">+I33</f>
        <v>레미콘임대</v>
      </c>
      <c r="H33" s="89" t="s">
        <v>4</v>
      </c>
      <c r="I33" s="88" t="s">
        <v>89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(IFERROR(HLOOKUP($B33,'[1]12월'!$D$6:$BN$259,3,),)++IFERROR(HLOOKUP($C33,'[1]12월'!$D$6:$BN$259,3,),)+IFERROR(HLOOKUP($D33,'[1]12월'!$D$6:$BN$259,3,),))/1000</f>
        <v>90.84</v>
      </c>
      <c r="P33" s="47">
        <f>+IFERROR(HLOOKUP($E33,'[2]12월'!$F$6:$CP$99,3,),)/1000</f>
        <v>90.84</v>
      </c>
      <c r="Q33" s="49">
        <f t="shared" si="3"/>
        <v>0</v>
      </c>
      <c r="R33" s="48">
        <f>+IFERROR(HLOOKUP($E33,'[3]12월'!$F$6:$CC$57,3,),)/1000</f>
        <v>90.84</v>
      </c>
      <c r="S33" s="60">
        <f t="shared" si="4"/>
        <v>0</v>
      </c>
      <c r="T33" s="46">
        <f>(IFERROR(HLOOKUP($B33,'[1]12월'!$D$6:$BN$259,21,),)++IFERROR(HLOOKUP($C33,'[1]12월'!$D$6:$BN$259,21,),)+IFERROR(HLOOKUP($D33,'[1]12월'!$D$6:$BN$259,21,),))/1000</f>
        <v>75.360274999999987</v>
      </c>
      <c r="U33" s="47">
        <f>+IFERROR(HLOOKUP($E33,'[2]12월'!$F$6:$CP$99,16,),)/1000</f>
        <v>76.068674999999999</v>
      </c>
      <c r="V33" s="49">
        <f t="shared" si="5"/>
        <v>0.70840000000001169</v>
      </c>
      <c r="W33" s="48">
        <f>+IFERROR(HLOOKUP($E33,'[3]12월'!$F$6:$CC$57,16,),)/1000</f>
        <v>73.170017999999999</v>
      </c>
      <c r="X33" s="60">
        <f t="shared" si="6"/>
        <v>2.898657</v>
      </c>
      <c r="Y33" s="499"/>
      <c r="Z33" s="459"/>
      <c r="AA33" s="459"/>
      <c r="AB33" s="459"/>
      <c r="AC33" s="459"/>
      <c r="AD33" s="459"/>
      <c r="AE33" s="459"/>
      <c r="AF33" s="459"/>
      <c r="AG33" s="51"/>
      <c r="AH33" s="18"/>
      <c r="AI33" s="19"/>
    </row>
    <row r="34" spans="2:38" s="8" customFormat="1" ht="19.5" customHeight="1" x14ac:dyDescent="0.3">
      <c r="B34" s="8" t="s">
        <v>164</v>
      </c>
      <c r="C34" s="8" t="s">
        <v>165</v>
      </c>
      <c r="D34"/>
      <c r="E34" t="s">
        <v>36</v>
      </c>
      <c r="F34"/>
      <c r="G34" s="661" t="str">
        <f t="shared" si="8"/>
        <v>임대</v>
      </c>
      <c r="H34" s="89"/>
      <c r="I34" s="88" t="s">
        <v>51</v>
      </c>
      <c r="J34" s="46"/>
      <c r="K34" s="47"/>
      <c r="L34" s="49">
        <f>+K34-J34</f>
        <v>0</v>
      </c>
      <c r="M34" s="48">
        <v>0</v>
      </c>
      <c r="N34" s="60">
        <f t="shared" ref="N34:N40" si="9">+K34-M34</f>
        <v>0</v>
      </c>
      <c r="O34" s="46">
        <f>(+IFERROR(HLOOKUP($B34,'[1]12월'!$D$6:$BN$259,3,),)+IFERROR(HLOOKUP($C34,'[1]12월'!$D$6:$BN$259,3,),))/1000</f>
        <v>72.297500333333332</v>
      </c>
      <c r="P34" s="47">
        <f>+IFERROR(HLOOKUP($E34,'[2]12월'!$F$6:$CP$99,3,),)/1000</f>
        <v>72.691940000000002</v>
      </c>
      <c r="Q34" s="49">
        <f t="shared" ref="Q34:Q39" si="10">+P34-O34</f>
        <v>0.39443966666667052</v>
      </c>
      <c r="R34" s="48">
        <f>+IFERROR(HLOOKUP($E34,'[3]12월'!$F$6:$CC$57,3,),)/1000</f>
        <v>78.665941000000004</v>
      </c>
      <c r="S34" s="60">
        <f t="shared" si="4"/>
        <v>-5.9740010000000012</v>
      </c>
      <c r="T34" s="46">
        <f>(+IFERROR(HLOOKUP($B34,'[1]12월'!$D$6:$BN$259,21,),)+IFERROR(HLOOKUP($C34,'[1]12월'!$D$6:$BN$259,21,),))/1000</f>
        <v>74.623417333333336</v>
      </c>
      <c r="U34" s="47">
        <f>+IFERROR(HLOOKUP($E34,'[2]12월'!$F$6:$CP$99,16,),)/1000</f>
        <v>75.153125000000017</v>
      </c>
      <c r="V34" s="49">
        <f t="shared" si="5"/>
        <v>0.52970766666668112</v>
      </c>
      <c r="W34" s="48">
        <f>+IFERROR(HLOOKUP($E34,'[3]12월'!$F$6:$CC$57,16,),)/1000</f>
        <v>86.623723000000012</v>
      </c>
      <c r="X34" s="60">
        <f t="shared" si="6"/>
        <v>-11.470597999999995</v>
      </c>
      <c r="Y34" s="499"/>
      <c r="Z34" s="459"/>
      <c r="AA34" s="459"/>
      <c r="AB34" s="459"/>
      <c r="AC34" s="459"/>
      <c r="AD34" s="459"/>
      <c r="AE34" s="459"/>
      <c r="AF34" s="459"/>
      <c r="AG34" s="51"/>
      <c r="AH34" s="18"/>
      <c r="AI34" s="19"/>
    </row>
    <row r="35" spans="2:38" s="8" customFormat="1" ht="19.5" customHeight="1" x14ac:dyDescent="0.3">
      <c r="B35" s="8" t="s">
        <v>166</v>
      </c>
      <c r="D35"/>
      <c r="E35"/>
      <c r="F35"/>
      <c r="G35" s="661" t="str">
        <f t="shared" si="8"/>
        <v>공통비</v>
      </c>
      <c r="H35" s="87"/>
      <c r="I35" s="88" t="s">
        <v>34</v>
      </c>
      <c r="J35" s="46"/>
      <c r="K35" s="47"/>
      <c r="L35" s="49">
        <f>+K35-J35</f>
        <v>0</v>
      </c>
      <c r="M35" s="48"/>
      <c r="N35" s="60">
        <f t="shared" si="9"/>
        <v>0</v>
      </c>
      <c r="O35" s="46"/>
      <c r="P35" s="47"/>
      <c r="Q35" s="49">
        <f t="shared" si="10"/>
        <v>0</v>
      </c>
      <c r="R35" s="48"/>
      <c r="S35" s="60">
        <f t="shared" si="4"/>
        <v>0</v>
      </c>
      <c r="T35" s="46">
        <f>-'[1]12월'!$Z$22/1000</f>
        <v>-1213.1220717773317</v>
      </c>
      <c r="U35" s="47">
        <f>+-'[2]12월'!$Z$22/1000</f>
        <v>-2089.6312006355133</v>
      </c>
      <c r="V35" s="49">
        <f t="shared" si="5"/>
        <v>-876.50912885818161</v>
      </c>
      <c r="W35" s="48">
        <f>+-'[3]12월'!$Z$22/1000</f>
        <v>-3008.8593290000008</v>
      </c>
      <c r="X35" s="60">
        <f t="shared" si="6"/>
        <v>919.22812836448747</v>
      </c>
      <c r="Y35" s="499"/>
      <c r="Z35" s="459"/>
      <c r="AA35" s="459"/>
      <c r="AB35" s="459"/>
      <c r="AC35" s="459"/>
      <c r="AD35" s="459"/>
      <c r="AE35" s="459"/>
      <c r="AF35" s="459"/>
      <c r="AG35" s="51"/>
      <c r="AH35" s="18"/>
      <c r="AI35" s="19"/>
      <c r="AK35" s="467"/>
      <c r="AL35" s="98"/>
    </row>
    <row r="36" spans="2:38" s="8" customFormat="1" ht="19.5" customHeight="1" x14ac:dyDescent="0.3">
      <c r="D36"/>
      <c r="E36"/>
      <c r="F36"/>
      <c r="G36" s="661" t="str">
        <f t="shared" si="8"/>
        <v>대손</v>
      </c>
      <c r="H36" s="87"/>
      <c r="I36" s="88" t="s">
        <v>105</v>
      </c>
      <c r="J36" s="46"/>
      <c r="K36" s="47"/>
      <c r="L36" s="49"/>
      <c r="M36" s="48"/>
      <c r="N36" s="60">
        <f t="shared" si="9"/>
        <v>0</v>
      </c>
      <c r="O36" s="46"/>
      <c r="P36" s="47"/>
      <c r="Q36" s="49">
        <f t="shared" si="10"/>
        <v>0</v>
      </c>
      <c r="R36" s="48"/>
      <c r="S36" s="60">
        <f t="shared" si="4"/>
        <v>0</v>
      </c>
      <c r="T36" s="46"/>
      <c r="U36" s="47">
        <f>'[2]12월'!$BE$26/1000</f>
        <v>319.51270899999997</v>
      </c>
      <c r="V36" s="49">
        <f t="shared" si="5"/>
        <v>319.51270899999997</v>
      </c>
      <c r="W36" s="48"/>
      <c r="X36" s="60">
        <f t="shared" si="6"/>
        <v>319.51270899999997</v>
      </c>
      <c r="Y36" s="458"/>
      <c r="Z36" s="459"/>
      <c r="AA36" s="459"/>
      <c r="AB36" s="459"/>
      <c r="AC36" s="459"/>
      <c r="AD36" s="459"/>
      <c r="AE36" s="459"/>
      <c r="AF36" s="459"/>
      <c r="AG36" s="51"/>
      <c r="AH36" s="18"/>
      <c r="AI36" s="19"/>
      <c r="AJ36" s="96"/>
      <c r="AK36" s="98"/>
      <c r="AL36" s="98"/>
    </row>
    <row r="37" spans="2:38" s="8" customFormat="1" ht="19.5" customHeight="1" x14ac:dyDescent="0.3">
      <c r="D37"/>
      <c r="E37"/>
      <c r="F37"/>
      <c r="G37" s="661" t="str">
        <f t="shared" si="8"/>
        <v>미운영 공장</v>
      </c>
      <c r="H37" s="87"/>
      <c r="I37" s="88" t="s">
        <v>144</v>
      </c>
      <c r="J37" s="46"/>
      <c r="K37" s="47"/>
      <c r="L37" s="49"/>
      <c r="M37" s="48">
        <f>SUM(M53:M56)</f>
        <v>0</v>
      </c>
      <c r="N37" s="60">
        <f t="shared" si="9"/>
        <v>0</v>
      </c>
      <c r="O37" s="46"/>
      <c r="P37" s="47"/>
      <c r="Q37" s="49">
        <f t="shared" si="10"/>
        <v>0</v>
      </c>
      <c r="R37" s="48">
        <f>+IFERROR(HLOOKUP($I$37,'[3]12월'!$F$6:$BJ$50,3,),)/1000</f>
        <v>0</v>
      </c>
      <c r="S37" s="60">
        <f t="shared" si="4"/>
        <v>0</v>
      </c>
      <c r="T37" s="46">
        <f>SUM('[1]12월'!$AM$26:$AQ$26)/1000</f>
        <v>-3.4117974444596393</v>
      </c>
      <c r="U37" s="47">
        <f>+'[2]12월'!$BF$26/1000</f>
        <v>-3.6895869999999995</v>
      </c>
      <c r="V37" s="49">
        <f t="shared" si="5"/>
        <v>-0.27778955554036022</v>
      </c>
      <c r="W37" s="48">
        <f>+'[3]12월'!$BF$26/1000</f>
        <v>-6.8986769999999993</v>
      </c>
      <c r="X37" s="60">
        <f>+U37-W37</f>
        <v>3.2090899999999998</v>
      </c>
      <c r="Y37" s="458"/>
      <c r="Z37" s="459"/>
      <c r="AA37" s="459"/>
      <c r="AB37" s="459"/>
      <c r="AC37" s="459"/>
      <c r="AD37" s="459"/>
      <c r="AE37" s="459"/>
      <c r="AF37" s="459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35</v>
      </c>
      <c r="D38"/>
      <c r="G38" s="661" t="str">
        <f t="shared" si="8"/>
        <v>기타</v>
      </c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9"/>
        <v>0</v>
      </c>
      <c r="O38" s="46">
        <f>IFERROR(HLOOKUP($B38,'[1]12월'!$D$6:$BN$259,3,),)/1000</f>
        <v>1.77</v>
      </c>
      <c r="P38" s="47">
        <f>+('[2]12월'!$F$8-SUM('[2]12월'!$Z$8,'[2]12월'!$AH$8,'[2]12월'!$AN$8,'[2]12월'!$AO$8,'[2]12월'!$BA$8,'[2]12월'!$BD$8,'[2]12월'!$BE$8,'[2]12월'!$BF$8))/1000</f>
        <v>1.6798500000014902</v>
      </c>
      <c r="Q38" s="55">
        <f t="shared" si="10"/>
        <v>-9.0149999998509811E-2</v>
      </c>
      <c r="R38" s="61">
        <f>+('[3]12월'!$F$8-SUM('[3]12월'!$Z$8,'[3]12월'!$AH$8,'[3]12월'!$AN$8,'[3]12월'!$AO$8,'[3]12월'!$BA$8,'[3]12월'!$BD$8,'[3]12월'!$BE$8,'[3]12월'!$BF$8))/1000</f>
        <v>1.70239999999851</v>
      </c>
      <c r="S38" s="62">
        <f t="shared" si="4"/>
        <v>-2.2549999997019787E-2</v>
      </c>
      <c r="T38" s="46">
        <f>+('[1]12월'!$E$26-'[1]12월'!$Z$26-'[1]12월'!$AA$26-'[1]12월'!$AE$26-'[1]12월'!$AL$26-'[1]12월'!$AM$26-'[1]12월'!$AN$26-'[1]12월'!$AO$26-'[1]12월'!$AP$26-'[1]12월'!$AQ$26-'[1]12월'!$AS$26)/1000</f>
        <v>-68.088928999996071</v>
      </c>
      <c r="U38" s="47">
        <f>+('[2]12월'!$F$26-SUM('[2]12월'!$Z$26,'[2]12월'!$AH$26,'[2]12월'!$AN$26,'[2]12월'!$AO$26,'[2]12월'!$BA$26,'[2]12월'!$BD$26,'[2]12월'!$BE$26,'[2]12월'!$BF$26))/1000+'[2]12월'!$BD$26/1000</f>
        <v>316.45646500000242</v>
      </c>
      <c r="V38" s="49">
        <f t="shared" si="5"/>
        <v>384.54539399999851</v>
      </c>
      <c r="W38" s="61">
        <f>+('[3]12월'!$F$26-SUM('[3]12월'!$Z$26,'[3]12월'!$AH$26,'[3]12월'!$AN$26,'[3]12월'!$AO$26,'[3]12월'!$BA$26,'[3]12월'!$BD$26,'[3]12월'!$BE$26,'[3]12월'!$BF$26))/1000+'[3]12월'!$BE$26/1000</f>
        <v>-1008.1090220000052</v>
      </c>
      <c r="X38" s="60">
        <f t="shared" si="6"/>
        <v>1324.5654870000076</v>
      </c>
      <c r="Y38" s="466"/>
      <c r="Z38" s="459"/>
      <c r="AA38" s="459"/>
      <c r="AB38" s="459"/>
      <c r="AC38" s="459"/>
      <c r="AD38" s="459"/>
      <c r="AE38" s="459"/>
      <c r="AF38" s="459"/>
      <c r="AG38" s="51"/>
      <c r="AH38" s="18"/>
      <c r="AI38" s="19"/>
    </row>
    <row r="39" spans="2:38" s="8" customFormat="1" ht="19.5" customHeight="1" x14ac:dyDescent="0.3">
      <c r="G39" s="661"/>
      <c r="H39" s="87"/>
      <c r="I39" s="88"/>
      <c r="J39" s="46"/>
      <c r="K39" s="47"/>
      <c r="L39" s="55"/>
      <c r="M39" s="61"/>
      <c r="N39" s="62">
        <f t="shared" si="9"/>
        <v>0</v>
      </c>
      <c r="O39" s="46"/>
      <c r="P39" s="47"/>
      <c r="Q39" s="55">
        <f t="shared" si="10"/>
        <v>0</v>
      </c>
      <c r="R39" s="61"/>
      <c r="S39" s="62">
        <f t="shared" si="4"/>
        <v>0</v>
      </c>
      <c r="T39" s="46"/>
      <c r="U39" s="47"/>
      <c r="V39" s="49">
        <f t="shared" si="5"/>
        <v>0</v>
      </c>
      <c r="W39" s="61"/>
      <c r="X39" s="60"/>
      <c r="Y39" s="458"/>
      <c r="Z39" s="459"/>
      <c r="AA39" s="459"/>
      <c r="AB39" s="459"/>
      <c r="AC39" s="459"/>
      <c r="AD39" s="459"/>
      <c r="AE39" s="459"/>
      <c r="AF39" s="459"/>
      <c r="AG39" s="51"/>
      <c r="AH39" s="31"/>
    </row>
    <row r="40" spans="2:38" s="3" customFormat="1" ht="19.5" customHeight="1" x14ac:dyDescent="0.3">
      <c r="D40" s="526"/>
      <c r="G40" s="665"/>
      <c r="H40" s="146" t="s">
        <v>106</v>
      </c>
      <c r="I40" s="147"/>
      <c r="J40" s="517">
        <f>SUM(J33:J39)</f>
        <v>0</v>
      </c>
      <c r="K40" s="518">
        <f>SUM(K33:K39)</f>
        <v>0</v>
      </c>
      <c r="L40" s="518">
        <f>+K40-J40</f>
        <v>0</v>
      </c>
      <c r="M40" s="518">
        <f>SUM(M33:M39)</f>
        <v>0</v>
      </c>
      <c r="N40" s="519">
        <f t="shared" si="9"/>
        <v>0</v>
      </c>
      <c r="O40" s="148">
        <f>SUM(O33:O39)</f>
        <v>164.90750033333333</v>
      </c>
      <c r="P40" s="149">
        <f>SUM(P33:P39)</f>
        <v>165.21179000000151</v>
      </c>
      <c r="Q40" s="153">
        <f t="shared" si="3"/>
        <v>0.30428966666818269</v>
      </c>
      <c r="R40" s="154">
        <f>SUM(R33:R39)</f>
        <v>171.20834099999851</v>
      </c>
      <c r="S40" s="155">
        <f>+P40-R40</f>
        <v>-5.9965509999969981</v>
      </c>
      <c r="T40" s="148">
        <f>SUM(T33:T39)</f>
        <v>-1134.6391058884542</v>
      </c>
      <c r="U40" s="149">
        <f>SUM(U33:U39)</f>
        <v>-1306.129813635511</v>
      </c>
      <c r="V40" s="153">
        <f>+U40-T40</f>
        <v>-171.49070774705683</v>
      </c>
      <c r="W40" s="154">
        <f>SUM(W33:W39)</f>
        <v>-3864.0732870000061</v>
      </c>
      <c r="X40" s="155">
        <f>+U40-W40</f>
        <v>2557.9434733644948</v>
      </c>
      <c r="Y40" s="460"/>
      <c r="Z40" s="461"/>
      <c r="AA40" s="461"/>
      <c r="AB40" s="461"/>
      <c r="AC40" s="461"/>
      <c r="AD40" s="461"/>
      <c r="AE40" s="461"/>
      <c r="AF40" s="461"/>
      <c r="AG40" s="462"/>
      <c r="AH40" s="26"/>
    </row>
    <row r="41" spans="2:38" s="8" customFormat="1" ht="19.5" customHeight="1" x14ac:dyDescent="0.3">
      <c r="G41" s="661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>
        <v>19</v>
      </c>
      <c r="V41" s="32">
        <v>12.4</v>
      </c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</row>
    <row r="42" spans="2:38" s="3" customFormat="1" ht="19.5" customHeight="1" x14ac:dyDescent="0.3">
      <c r="G42" s="666">
        <f>+P42/O42</f>
        <v>0.80872263749179119</v>
      </c>
      <c r="H42" s="510" t="s">
        <v>37</v>
      </c>
      <c r="I42" s="511"/>
      <c r="J42" s="523"/>
      <c r="K42" s="524"/>
      <c r="L42" s="524"/>
      <c r="M42" s="524"/>
      <c r="N42" s="525"/>
      <c r="O42" s="512">
        <f>+O27+O32+O28+O40</f>
        <v>44594.197366419176</v>
      </c>
      <c r="P42" s="513">
        <f>+P27+P32+P28+P40</f>
        <v>36064.336911000006</v>
      </c>
      <c r="Q42" s="514">
        <f t="shared" si="3"/>
        <v>-8529.8604554191697</v>
      </c>
      <c r="R42" s="515">
        <f>+R27+R32+R28+R40</f>
        <v>39037.471893000002</v>
      </c>
      <c r="S42" s="516">
        <f>+P42-R42</f>
        <v>-2973.1349819999959</v>
      </c>
      <c r="T42" s="512">
        <f>+T27+T32+T28+T40</f>
        <v>3951.3240666001616</v>
      </c>
      <c r="U42" s="513">
        <f>+U27+U32+U28+U40</f>
        <v>-1306.2103360006658</v>
      </c>
      <c r="V42" s="514">
        <f>+U42-T42</f>
        <v>-5257.5344026008279</v>
      </c>
      <c r="W42" s="515">
        <f>+W27+W32+W28+W40</f>
        <v>-4514.0970209700063</v>
      </c>
      <c r="X42" s="516">
        <f>+U42-W42</f>
        <v>3207.8866849693404</v>
      </c>
      <c r="Y42" s="708"/>
      <c r="Z42" s="709"/>
      <c r="AA42" s="709"/>
      <c r="AB42" s="709"/>
      <c r="AC42" s="709"/>
      <c r="AD42" s="709"/>
      <c r="AE42" s="709"/>
      <c r="AF42" s="709"/>
      <c r="AG42" s="710"/>
      <c r="AH42" s="26"/>
    </row>
    <row r="43" spans="2:38" s="34" customFormat="1" x14ac:dyDescent="0.3">
      <c r="G43" s="663">
        <f>+U42/T42</f>
        <v>-0.33057534992936394</v>
      </c>
      <c r="P43" s="530">
        <f>+P42/O42</f>
        <v>0.80872263749179119</v>
      </c>
      <c r="T43" s="530">
        <f>+T42/O42</f>
        <v>8.8606238029874981E-2</v>
      </c>
      <c r="U43" s="530">
        <f>+U42/P42</f>
        <v>-3.6218892342985455E-2</v>
      </c>
      <c r="AC43" s="35"/>
      <c r="AF43" s="35"/>
    </row>
    <row r="44" spans="2:38" s="34" customFormat="1" ht="17.25" thickBot="1" x14ac:dyDescent="0.35">
      <c r="G44" s="667"/>
      <c r="AC44" s="35"/>
      <c r="AF44" s="35"/>
    </row>
    <row r="45" spans="2:38" s="34" customFormat="1" x14ac:dyDescent="0.3">
      <c r="G45" s="667"/>
      <c r="I45" s="705" t="s">
        <v>91</v>
      </c>
      <c r="J45" s="138">
        <f>+'[1]12월'!$Z$7/1000</f>
        <v>307.5</v>
      </c>
      <c r="K45" s="139">
        <f>+'[2]12월'!$AI$7/1000</f>
        <v>272.28899999999999</v>
      </c>
      <c r="L45" s="139"/>
      <c r="M45" s="139">
        <f>+'[3]12월'!$Z$7/1000</f>
        <v>283.90949999999998</v>
      </c>
      <c r="N45" s="139"/>
      <c r="O45" s="139">
        <f>+'[1]12월'!$E$8/1000</f>
        <v>44594.197366419176</v>
      </c>
      <c r="P45" s="139">
        <f>+'[2]12월'!$F$8/1000</f>
        <v>36064.336910999999</v>
      </c>
      <c r="Q45" s="139"/>
      <c r="R45" s="139">
        <f>+'[3]12월'!$F$8/1000</f>
        <v>39037.471892999994</v>
      </c>
      <c r="S45" s="139"/>
      <c r="T45" s="144">
        <f>+'[1]12월'!$E$26/1000</f>
        <v>3951.3240666001657</v>
      </c>
      <c r="U45" s="139">
        <f>+'[2]12월'!$F$26/1000</f>
        <v>-1306.2103360006658</v>
      </c>
      <c r="V45" s="139"/>
      <c r="W45" s="139">
        <f>+'[3]12월'!$F$26/1000</f>
        <v>-3485.111916970006</v>
      </c>
      <c r="X45" s="140"/>
      <c r="AC45" s="35"/>
      <c r="AF45" s="35"/>
    </row>
    <row r="46" spans="2:38" s="34" customFormat="1" ht="17.25" thickBot="1" x14ac:dyDescent="0.35">
      <c r="G46" s="667"/>
      <c r="I46" s="705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4.0927261579781771E-12</v>
      </c>
      <c r="U46" s="145">
        <f>+U45-U42</f>
        <v>0</v>
      </c>
      <c r="V46" s="141"/>
      <c r="W46" s="141">
        <f>+W45-W42</f>
        <v>1028.9851040000003</v>
      </c>
      <c r="X46" s="142"/>
      <c r="AC46" s="35"/>
      <c r="AF46" s="35"/>
      <c r="AG46" s="34" t="s">
        <v>92</v>
      </c>
    </row>
    <row r="47" spans="2:38" x14ac:dyDescent="0.3">
      <c r="T47" s="527"/>
      <c r="U47" s="527"/>
      <c r="V47" s="527"/>
    </row>
    <row r="48" spans="2:38" x14ac:dyDescent="0.3">
      <c r="T48" s="527"/>
      <c r="U48" s="527"/>
      <c r="V48" s="527"/>
      <c r="AC48" s="35"/>
      <c r="AD48" s="34"/>
      <c r="AE48" s="34"/>
      <c r="AF48" s="35"/>
    </row>
    <row r="49" spans="10:33" x14ac:dyDescent="0.3">
      <c r="T49" s="527"/>
      <c r="U49" s="527"/>
      <c r="V49" s="527"/>
      <c r="AC49" s="35"/>
      <c r="AD49" s="34"/>
      <c r="AE49" s="34"/>
      <c r="AF49" s="35"/>
    </row>
    <row r="50" spans="10:33" x14ac:dyDescent="0.3">
      <c r="T50" s="528"/>
      <c r="U50" s="528"/>
      <c r="V50" s="527"/>
      <c r="Y50" s="458" t="s">
        <v>205</v>
      </c>
      <c r="AC50" s="35"/>
      <c r="AD50" s="34"/>
      <c r="AE50" s="34"/>
      <c r="AF50" s="35"/>
    </row>
    <row r="51" spans="10:33" x14ac:dyDescent="0.3">
      <c r="T51" s="528"/>
      <c r="U51" s="528"/>
      <c r="V51" s="527"/>
      <c r="AC51" s="35"/>
      <c r="AD51" s="34"/>
      <c r="AE51" s="34"/>
      <c r="AF51" s="35"/>
    </row>
    <row r="52" spans="10:33" x14ac:dyDescent="0.3">
      <c r="AC52" s="35"/>
      <c r="AD52" s="34"/>
      <c r="AE52" s="34"/>
      <c r="AF52" s="35"/>
    </row>
    <row r="53" spans="10:33" x14ac:dyDescent="0.3">
      <c r="J53" s="469"/>
      <c r="K53" s="469"/>
      <c r="L53" s="469"/>
      <c r="M53" s="469"/>
      <c r="N53" s="469"/>
      <c r="O53" s="469"/>
      <c r="P53" s="469"/>
      <c r="Q53" s="469"/>
      <c r="R53" s="469"/>
      <c r="S53" s="469"/>
      <c r="T53" s="469"/>
      <c r="U53" s="469"/>
      <c r="V53" s="469"/>
      <c r="W53" s="469"/>
      <c r="X53" s="469"/>
      <c r="Y53" s="469"/>
      <c r="Z53" s="469"/>
      <c r="AA53" s="469"/>
      <c r="AB53" s="469"/>
      <c r="AC53" s="469"/>
      <c r="AD53" s="469"/>
      <c r="AE53" s="469"/>
      <c r="AF53" s="469"/>
      <c r="AG53" s="469"/>
    </row>
    <row r="54" spans="10:33" x14ac:dyDescent="0.3"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</row>
    <row r="55" spans="10:33" x14ac:dyDescent="0.3"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/>
      <c r="U55" s="469"/>
      <c r="V55" s="469"/>
      <c r="W55" s="469"/>
      <c r="X55" s="469"/>
      <c r="Y55" s="469"/>
      <c r="Z55" s="469"/>
      <c r="AA55" s="469"/>
      <c r="AB55" s="469"/>
      <c r="AC55" s="469"/>
      <c r="AD55" s="469"/>
      <c r="AE55" s="469"/>
      <c r="AF55" s="469"/>
      <c r="AG55" s="469"/>
    </row>
    <row r="56" spans="10:33" x14ac:dyDescent="0.3"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</row>
    <row r="57" spans="10:33" x14ac:dyDescent="0.3">
      <c r="AC57" s="469"/>
      <c r="AD57" s="469"/>
      <c r="AE57" s="469"/>
      <c r="AF57" s="469"/>
    </row>
    <row r="58" spans="10:33" x14ac:dyDescent="0.3">
      <c r="AC58" s="469"/>
      <c r="AD58" s="469"/>
      <c r="AE58" s="469"/>
    </row>
    <row r="59" spans="10:33" x14ac:dyDescent="0.3">
      <c r="AC59" s="469"/>
      <c r="AD59" s="469"/>
      <c r="AE59" s="469"/>
    </row>
    <row r="60" spans="10:33" x14ac:dyDescent="0.3">
      <c r="AC60" s="469"/>
      <c r="AE60" s="469"/>
    </row>
    <row r="61" spans="10:33" x14ac:dyDescent="0.3">
      <c r="AC61" s="469"/>
      <c r="AE61" s="469"/>
    </row>
    <row r="62" spans="10:33" x14ac:dyDescent="0.3">
      <c r="AC62" s="469"/>
      <c r="AE62" s="469"/>
    </row>
    <row r="63" spans="10:33" x14ac:dyDescent="0.3">
      <c r="AC63" s="469"/>
      <c r="AE63" s="469"/>
    </row>
    <row r="64" spans="10:33" x14ac:dyDescent="0.3">
      <c r="AC64" s="469"/>
      <c r="AE64" s="469"/>
    </row>
    <row r="65" spans="29:31" x14ac:dyDescent="0.3">
      <c r="AC65" s="469"/>
      <c r="AE65" s="469"/>
    </row>
    <row r="66" spans="29:31" x14ac:dyDescent="0.3">
      <c r="AC66" s="469"/>
      <c r="AE66" s="469"/>
    </row>
    <row r="67" spans="29:31" x14ac:dyDescent="0.3">
      <c r="AC67" s="469"/>
      <c r="AE67" s="469"/>
    </row>
    <row r="68" spans="29:31" x14ac:dyDescent="0.3">
      <c r="AC68" s="469"/>
      <c r="AE68" s="469"/>
    </row>
    <row r="69" spans="29:31" x14ac:dyDescent="0.3">
      <c r="AC69" s="469"/>
      <c r="AE69" s="469"/>
    </row>
    <row r="70" spans="29:31" x14ac:dyDescent="0.3">
      <c r="AC70" s="469"/>
      <c r="AE70" s="469"/>
    </row>
    <row r="71" spans="29:31" x14ac:dyDescent="0.3">
      <c r="AC71" s="469"/>
      <c r="AE71" s="469"/>
    </row>
    <row r="72" spans="29:31" x14ac:dyDescent="0.3">
      <c r="AC72" s="469"/>
      <c r="AE72" s="469"/>
    </row>
    <row r="73" spans="29:31" x14ac:dyDescent="0.3">
      <c r="AC73" s="469"/>
      <c r="AE73" s="469"/>
    </row>
    <row r="74" spans="29:31" x14ac:dyDescent="0.3">
      <c r="AC74" s="469"/>
      <c r="AE74" s="469"/>
    </row>
    <row r="75" spans="29:31" x14ac:dyDescent="0.3">
      <c r="AC75" s="469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39B-D92B-4405-9B00-FD6FD6AA4685}">
  <sheetPr>
    <tabColor rgb="FF008000"/>
    <pageSetUpPr fitToPage="1"/>
  </sheetPr>
  <dimension ref="A1:AL60"/>
  <sheetViews>
    <sheetView showGridLines="0" showZeros="0" tabSelected="1" view="pageBreakPreview" topLeftCell="G19" zoomScale="85" zoomScaleNormal="85" zoomScaleSheetLayoutView="85" workbookViewId="0">
      <selection activeCell="U47" sqref="U4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216</v>
      </c>
      <c r="AD3" s="5"/>
      <c r="AG3" s="5"/>
    </row>
    <row r="4" spans="1:36" ht="18" customHeight="1" x14ac:dyDescent="0.3">
      <c r="H4" s="7"/>
      <c r="AD4" s="5"/>
      <c r="AG4" s="5" t="s">
        <v>86</v>
      </c>
    </row>
    <row r="5" spans="1:36" s="8" customFormat="1" ht="19.5" customHeight="1" x14ac:dyDescent="0.3">
      <c r="G5" s="661"/>
      <c r="H5" s="701" t="s">
        <v>11</v>
      </c>
      <c r="I5" s="702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107</v>
      </c>
      <c r="U5" s="173"/>
      <c r="V5" s="173"/>
      <c r="W5" s="173"/>
      <c r="X5" s="174"/>
      <c r="Y5" s="172" t="s">
        <v>21</v>
      </c>
      <c r="Z5" s="173"/>
      <c r="AA5" s="174"/>
      <c r="AB5" s="172" t="s">
        <v>40</v>
      </c>
      <c r="AC5" s="173"/>
      <c r="AD5" s="174"/>
      <c r="AE5" s="172" t="s">
        <v>61</v>
      </c>
      <c r="AF5" s="173"/>
      <c r="AG5" s="174"/>
    </row>
    <row r="6" spans="1:36" s="8" customFormat="1" ht="19.5" customHeight="1" x14ac:dyDescent="0.3">
      <c r="A6" s="8" t="s">
        <v>204</v>
      </c>
      <c r="G6" s="661"/>
      <c r="H6" s="703"/>
      <c r="I6" s="704"/>
      <c r="J6" s="175" t="s">
        <v>12</v>
      </c>
      <c r="K6" s="176" t="s">
        <v>13</v>
      </c>
      <c r="L6" s="177" t="s">
        <v>33</v>
      </c>
      <c r="M6" s="176" t="s">
        <v>14</v>
      </c>
      <c r="N6" s="178" t="s">
        <v>33</v>
      </c>
      <c r="O6" s="175" t="s">
        <v>15</v>
      </c>
      <c r="P6" s="176" t="s">
        <v>16</v>
      </c>
      <c r="Q6" s="177" t="s">
        <v>32</v>
      </c>
      <c r="R6" s="176" t="s">
        <v>17</v>
      </c>
      <c r="S6" s="178" t="s">
        <v>32</v>
      </c>
      <c r="T6" s="175" t="s">
        <v>15</v>
      </c>
      <c r="U6" s="176" t="s">
        <v>16</v>
      </c>
      <c r="V6" s="177" t="s">
        <v>32</v>
      </c>
      <c r="W6" s="176" t="s">
        <v>17</v>
      </c>
      <c r="X6" s="178" t="s">
        <v>32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6" s="8" customFormat="1" ht="19.5" customHeight="1" x14ac:dyDescent="0.3">
      <c r="B7" s="8" t="s">
        <v>22</v>
      </c>
      <c r="F7" s="9">
        <f>+U7/T7</f>
        <v>0.55069119825265955</v>
      </c>
      <c r="G7" s="663">
        <f t="shared" ref="G7:G22" si="0">+K7/J7</f>
        <v>0.89381400000000022</v>
      </c>
      <c r="H7" s="78" t="s">
        <v>46</v>
      </c>
      <c r="I7" s="79" t="s">
        <v>22</v>
      </c>
      <c r="J7" s="36">
        <f>+'사업장별(당월)'!J7+'[4]사업장별(누계)'!J7</f>
        <v>500</v>
      </c>
      <c r="K7" s="37">
        <f>+'사업장별(당월)'!K7+'[4]사업장별(누계)'!K7</f>
        <v>446.9070000000001</v>
      </c>
      <c r="L7" s="38">
        <f t="shared" ref="L7:L32" si="1">+K7-J7</f>
        <v>-53.092999999999904</v>
      </c>
      <c r="M7" s="39">
        <f>+'사업장별(당월)'!M7+'[4]사업장별(누계)'!M7</f>
        <v>544.7650000000001</v>
      </c>
      <c r="N7" s="40">
        <f>+K7-M7</f>
        <v>-97.858000000000004</v>
      </c>
      <c r="O7" s="36">
        <f>+'사업장별(당월)'!O7+'[4]사업장별(누계)'!O7</f>
        <v>50250.119400000003</v>
      </c>
      <c r="P7" s="37">
        <f>+'사업장별(당월)'!P7+'[4]사업장별(누계)'!P7</f>
        <v>44168.649733999999</v>
      </c>
      <c r="Q7" s="38">
        <f>+P7-O7</f>
        <v>-6081.4696660000045</v>
      </c>
      <c r="R7" s="39">
        <f>+'사업장별(당월)'!R7+'[4]사업장별(누계)'!R7</f>
        <v>50719.371282000007</v>
      </c>
      <c r="S7" s="40">
        <f>+P7-R7</f>
        <v>-6550.7215480000086</v>
      </c>
      <c r="T7" s="36">
        <f>+'사업장별(당월)'!T7+'[4]사업장별(누계)'!T7</f>
        <v>6989.3154479547029</v>
      </c>
      <c r="U7" s="37">
        <f>+'사업장별(당월)'!U7+'[4]사업장별(누계)'!U7</f>
        <v>3848.954498999999</v>
      </c>
      <c r="V7" s="41">
        <f>+U7-T7</f>
        <v>-3140.3609489547039</v>
      </c>
      <c r="W7" s="42">
        <f>+'사업장별(당월)'!W7+'[4]사업장별(누계)'!W7</f>
        <v>6550.2457279800001</v>
      </c>
      <c r="X7" s="40">
        <f>+U7-W7</f>
        <v>-2701.2912289800011</v>
      </c>
      <c r="Y7" s="36">
        <f>+[11]안양!$Q$85</f>
        <v>100500.23880000001</v>
      </c>
      <c r="Z7" s="37">
        <f>+[11]안양!$R$85</f>
        <v>98828.586406819421</v>
      </c>
      <c r="AA7" s="43">
        <f>+[12]안양!$Q$85</f>
        <v>93081.061297369655</v>
      </c>
      <c r="AB7" s="44">
        <f>+[11]안양!$Q$89</f>
        <v>79231.06777875495</v>
      </c>
      <c r="AC7" s="37">
        <f>+[11]안양!$R$89</f>
        <v>81804.461806674546</v>
      </c>
      <c r="AD7" s="45">
        <f>+[12]안양!$Q$89</f>
        <v>74052.677232174043</v>
      </c>
      <c r="AE7" s="44">
        <f>+Y7-AB7</f>
        <v>21269.171021245056</v>
      </c>
      <c r="AF7" s="37">
        <f>+Z7-AC7</f>
        <v>17024.124600144874</v>
      </c>
      <c r="AG7" s="45">
        <f>+AA7-AD7</f>
        <v>19028.384065195612</v>
      </c>
      <c r="AH7" s="18"/>
      <c r="AI7" s="660"/>
      <c r="AJ7" s="9"/>
    </row>
    <row r="8" spans="1:36" s="8" customFormat="1" ht="19.5" customHeight="1" x14ac:dyDescent="0.3">
      <c r="B8" s="8" t="s">
        <v>23</v>
      </c>
      <c r="F8" s="9">
        <f t="shared" ref="F8:F27" si="2">+U8/T8</f>
        <v>0.3608623681945059</v>
      </c>
      <c r="G8" s="663">
        <f t="shared" si="0"/>
        <v>0.86037894736842113</v>
      </c>
      <c r="H8" s="80" t="s">
        <v>47</v>
      </c>
      <c r="I8" s="81" t="s">
        <v>23</v>
      </c>
      <c r="J8" s="46">
        <f>+'사업장별(당월)'!J8+'[4]사업장별(누계)'!J8</f>
        <v>380</v>
      </c>
      <c r="K8" s="47">
        <f>+'사업장별(당월)'!K8+'[4]사업장별(누계)'!K8</f>
        <v>326.94400000000002</v>
      </c>
      <c r="L8" s="48">
        <f t="shared" si="1"/>
        <v>-53.055999999999983</v>
      </c>
      <c r="M8" s="49">
        <f>+'사업장별(당월)'!M8+'[4]사업장별(누계)'!M8</f>
        <v>437.94499999999999</v>
      </c>
      <c r="N8" s="50">
        <f t="shared" ref="N8:N32" si="3">+K8-M8</f>
        <v>-111.00099999999998</v>
      </c>
      <c r="O8" s="46">
        <f>+'사업장별(당월)'!O8+'[4]사업장별(누계)'!O8</f>
        <v>39128.800000569601</v>
      </c>
      <c r="P8" s="47">
        <f>+'사업장별(당월)'!P8+'[4]사업장별(누계)'!P8</f>
        <v>32487.435570000001</v>
      </c>
      <c r="Q8" s="48">
        <f t="shared" ref="Q8:Q42" si="4">+P8-O8</f>
        <v>-6641.3644305695998</v>
      </c>
      <c r="R8" s="49">
        <f>+'사업장별(당월)'!R8+'[4]사업장별(누계)'!R8</f>
        <v>42191.153572000003</v>
      </c>
      <c r="S8" s="50">
        <f t="shared" ref="S8:S39" si="5">+P8-R8</f>
        <v>-9703.7180020000014</v>
      </c>
      <c r="T8" s="46">
        <f>+'사업장별(당월)'!T8+'[4]사업장별(누계)'!T8</f>
        <v>4669.8055838886858</v>
      </c>
      <c r="U8" s="47">
        <f>+'사업장별(당월)'!U8+'[4]사업장별(누계)'!U8</f>
        <v>1685.1571020099987</v>
      </c>
      <c r="V8" s="48">
        <f t="shared" ref="V8:V39" si="6">+U8-T8</f>
        <v>-2984.6484818786871</v>
      </c>
      <c r="W8" s="49">
        <f>+'사업장별(당월)'!W8+'[4]사업장별(누계)'!W8</f>
        <v>4579.4671449999987</v>
      </c>
      <c r="X8" s="50">
        <f t="shared" ref="X8:X38" si="7">+U8-W8</f>
        <v>-2894.3100429900001</v>
      </c>
      <c r="Y8" s="46">
        <f>+[11]인천!$Q$85</f>
        <v>102970.52631728842</v>
      </c>
      <c r="Z8" s="47">
        <f>+[11]인천!$R$85</f>
        <v>99370.183978313027</v>
      </c>
      <c r="AA8" s="51">
        <f>+[12]인천!$Q$85</f>
        <v>96316.252665931766</v>
      </c>
      <c r="AB8" s="52">
        <f>+[11]인천!$Q$89</f>
        <v>81332.758564608055</v>
      </c>
      <c r="AC8" s="47">
        <f>+[11]인천!$R$89</f>
        <v>83063.771691492002</v>
      </c>
      <c r="AD8" s="53">
        <f>+[12]인천!$Q$89</f>
        <v>77106.068167433696</v>
      </c>
      <c r="AE8" s="52">
        <f t="shared" ref="AE8:AG27" si="8">+Y8-AB8</f>
        <v>21637.76775268036</v>
      </c>
      <c r="AF8" s="47">
        <f t="shared" si="8"/>
        <v>16306.412286821025</v>
      </c>
      <c r="AG8" s="53">
        <f t="shared" si="8"/>
        <v>19210.184498498071</v>
      </c>
      <c r="AH8" s="18"/>
      <c r="AI8" s="660"/>
      <c r="AJ8" s="96"/>
    </row>
    <row r="9" spans="1:36" s="8" customFormat="1" ht="19.5" customHeight="1" x14ac:dyDescent="0.3">
      <c r="B9" s="8" t="s">
        <v>24</v>
      </c>
      <c r="F9" s="9">
        <f t="shared" si="2"/>
        <v>0.42226919097725979</v>
      </c>
      <c r="G9" s="663">
        <f t="shared" si="0"/>
        <v>0.97362758620689671</v>
      </c>
      <c r="H9" s="80"/>
      <c r="I9" s="81" t="s">
        <v>24</v>
      </c>
      <c r="J9" s="46">
        <f>+'사업장별(당월)'!J9+'[4]사업장별(누계)'!J9</f>
        <v>290</v>
      </c>
      <c r="K9" s="47">
        <f>+'사업장별(당월)'!K9+'[4]사업장별(누계)'!K9</f>
        <v>282.35200000000003</v>
      </c>
      <c r="L9" s="48">
        <f t="shared" si="1"/>
        <v>-7.6479999999999677</v>
      </c>
      <c r="M9" s="49">
        <f>+'사업장별(당월)'!M9+'[4]사업장별(누계)'!M9</f>
        <v>319.15100000000001</v>
      </c>
      <c r="N9" s="50">
        <f t="shared" si="3"/>
        <v>-36.798999999999978</v>
      </c>
      <c r="O9" s="46">
        <f>+'사업장별(당월)'!O9+'[4]사업장별(누계)'!O9</f>
        <v>28710</v>
      </c>
      <c r="P9" s="47">
        <f>+'사업장별(당월)'!P9+'[4]사업장별(누계)'!P9</f>
        <v>27203.180145999999</v>
      </c>
      <c r="Q9" s="48">
        <f t="shared" si="4"/>
        <v>-1506.8198540000012</v>
      </c>
      <c r="R9" s="49">
        <f>+'사업장별(당월)'!R9+'[4]사업장별(누계)'!R9</f>
        <v>29900.259745999992</v>
      </c>
      <c r="S9" s="50">
        <f t="shared" si="5"/>
        <v>-2697.0795999999937</v>
      </c>
      <c r="T9" s="46">
        <f>+'사업장별(당월)'!T9+'[4]사업장별(누계)'!T9</f>
        <v>3820.6953798030772</v>
      </c>
      <c r="U9" s="47">
        <f>+'사업장별(당월)'!U9+'[4]사업장별(누계)'!U9</f>
        <v>1613.3619469999996</v>
      </c>
      <c r="V9" s="48">
        <f t="shared" si="6"/>
        <v>-2207.3334328030778</v>
      </c>
      <c r="W9" s="49">
        <f>+'사업장별(당월)'!W9+'[4]사업장별(누계)'!W9</f>
        <v>2798.5360090199979</v>
      </c>
      <c r="X9" s="50">
        <f t="shared" si="7"/>
        <v>-1185.1740620199982</v>
      </c>
      <c r="Y9" s="46">
        <f>+[11]파주!$Q$85</f>
        <v>99000</v>
      </c>
      <c r="Z9" s="47">
        <f>+[11]파주!$R$85</f>
        <v>96350.004097686557</v>
      </c>
      <c r="AA9" s="51">
        <f>+[12]파주!$Q$85</f>
        <v>93667.601849574829</v>
      </c>
      <c r="AB9" s="52">
        <f>+[11]파주!$Q$89</f>
        <v>76707.816090519089</v>
      </c>
      <c r="AC9" s="47">
        <f>+[11]파주!$R$89</f>
        <v>80693.654991312302</v>
      </c>
      <c r="AD9" s="53">
        <f>+[12]파주!$Q$89</f>
        <v>75977.9806059861</v>
      </c>
      <c r="AE9" s="52">
        <f t="shared" si="8"/>
        <v>22292.183909480911</v>
      </c>
      <c r="AF9" s="47">
        <f t="shared" si="8"/>
        <v>15656.349106374255</v>
      </c>
      <c r="AG9" s="53">
        <f t="shared" si="8"/>
        <v>17689.621243588728</v>
      </c>
      <c r="AH9" s="18"/>
      <c r="AI9" s="660"/>
      <c r="AJ9" s="96"/>
    </row>
    <row r="10" spans="1:36" s="8" customFormat="1" ht="19.5" customHeight="1" x14ac:dyDescent="0.3">
      <c r="B10" s="8" t="s">
        <v>142</v>
      </c>
      <c r="F10" s="9">
        <f t="shared" si="2"/>
        <v>0.40571791675090935</v>
      </c>
      <c r="G10" s="663">
        <f t="shared" si="0"/>
        <v>0.78575135135135121</v>
      </c>
      <c r="H10" s="80"/>
      <c r="I10" s="81" t="s">
        <v>139</v>
      </c>
      <c r="J10" s="46">
        <f>+'사업장별(당월)'!J10+'[4]사업장별(누계)'!J10</f>
        <v>185</v>
      </c>
      <c r="K10" s="47">
        <f>+'사업장별(당월)'!K10+'[4]사업장별(누계)'!K10</f>
        <v>145.36399999999998</v>
      </c>
      <c r="L10" s="48">
        <f t="shared" si="1"/>
        <v>-39.636000000000024</v>
      </c>
      <c r="M10" s="49">
        <f>+'사업장별(당월)'!M10+'[4]사업장별(누계)'!M10</f>
        <v>192.68068000000002</v>
      </c>
      <c r="N10" s="50">
        <f t="shared" si="3"/>
        <v>-47.316680000000048</v>
      </c>
      <c r="O10" s="46">
        <f>+'사업장별(당월)'!O10+'[4]사업장별(누계)'!O10</f>
        <v>17729.0255</v>
      </c>
      <c r="P10" s="47">
        <f>+'사업장별(당월)'!P10+'[4]사업장별(누계)'!P10</f>
        <v>14094.889742000001</v>
      </c>
      <c r="Q10" s="48">
        <f t="shared" si="4"/>
        <v>-3634.1357579999985</v>
      </c>
      <c r="R10" s="49">
        <f>+'사업장별(당월)'!R10+'[4]사업장별(누계)'!R10</f>
        <v>17529.715037000002</v>
      </c>
      <c r="S10" s="50">
        <f t="shared" si="5"/>
        <v>-3434.8252950000006</v>
      </c>
      <c r="T10" s="46">
        <f>+'사업장별(당월)'!T10+'[4]사업장별(누계)'!T10</f>
        <v>2436.1358451093965</v>
      </c>
      <c r="U10" s="47">
        <f>+'사업장별(당월)'!U10+'[4]사업장별(누계)'!U10</f>
        <v>988.38396000000034</v>
      </c>
      <c r="V10" s="48">
        <f t="shared" si="6"/>
        <v>-1447.7518851093962</v>
      </c>
      <c r="W10" s="49">
        <f>+'사업장별(당월)'!W10+'[4]사업장별(누계)'!W10</f>
        <v>1993.419854</v>
      </c>
      <c r="X10" s="50">
        <f t="shared" si="7"/>
        <v>-1005.0358939999996</v>
      </c>
      <c r="Y10" s="46">
        <f>+[11]김포!$Q$85</f>
        <v>95832.570270270269</v>
      </c>
      <c r="Z10" s="47">
        <f>+[11]김포!$R$85</f>
        <v>96982.545526337664</v>
      </c>
      <c r="AA10" s="51">
        <f>+[12]김포!$Q$85</f>
        <v>90947.333812129102</v>
      </c>
      <c r="AB10" s="52">
        <f>+[11]김포!$Q$89</f>
        <v>71988.84201562489</v>
      </c>
      <c r="AC10" s="47">
        <f>+[11]김포!$R$89</f>
        <v>76390.145436038045</v>
      </c>
      <c r="AD10" s="53">
        <f>+[12]김포!$Q$89</f>
        <v>69501.601327135242</v>
      </c>
      <c r="AE10" s="52">
        <f t="shared" si="8"/>
        <v>23843.728254645379</v>
      </c>
      <c r="AF10" s="47">
        <f t="shared" si="8"/>
        <v>20592.400090299619</v>
      </c>
      <c r="AG10" s="53">
        <f t="shared" si="8"/>
        <v>21445.73248499386</v>
      </c>
      <c r="AH10" s="18"/>
      <c r="AI10" s="660"/>
      <c r="AJ10" s="96"/>
    </row>
    <row r="11" spans="1:36" s="8" customFormat="1" ht="19.5" customHeight="1" x14ac:dyDescent="0.3">
      <c r="B11" s="8" t="s">
        <v>25</v>
      </c>
      <c r="F11" s="9">
        <f t="shared" si="2"/>
        <v>0.58068384207620682</v>
      </c>
      <c r="G11" s="663">
        <f t="shared" si="0"/>
        <v>0.93480600000000003</v>
      </c>
      <c r="H11" s="80"/>
      <c r="I11" s="82" t="s">
        <v>25</v>
      </c>
      <c r="J11" s="63">
        <f>+'사업장별(당월)'!J11+'[4]사업장별(누계)'!J11</f>
        <v>250</v>
      </c>
      <c r="K11" s="64">
        <f>+'사업장별(당월)'!K11+'[4]사업장별(누계)'!K11</f>
        <v>233.70150000000001</v>
      </c>
      <c r="L11" s="65">
        <f t="shared" si="1"/>
        <v>-16.29849999999999</v>
      </c>
      <c r="M11" s="66">
        <f>+'사업장별(당월)'!M11+'[4]사업장별(누계)'!M11</f>
        <v>277.28700000000003</v>
      </c>
      <c r="N11" s="67">
        <f t="shared" si="3"/>
        <v>-43.585500000000025</v>
      </c>
      <c r="O11" s="63">
        <f>+'사업장별(당월)'!O11+'[4]사업장별(누계)'!O11</f>
        <v>26900.016311749998</v>
      </c>
      <c r="P11" s="64">
        <f>+'사업장별(당월)'!P11+'[4]사업장별(누계)'!P11</f>
        <v>25325.075207000002</v>
      </c>
      <c r="Q11" s="65">
        <f t="shared" si="4"/>
        <v>-1574.9411047499962</v>
      </c>
      <c r="R11" s="66">
        <f>+'사업장별(당월)'!R11+'[4]사업장별(누계)'!R11</f>
        <v>28633.863225000001</v>
      </c>
      <c r="S11" s="67">
        <f t="shared" si="5"/>
        <v>-3308.7880179999993</v>
      </c>
      <c r="T11" s="63">
        <f>+'사업장별(당월)'!T11+'[4]사업장별(누계)'!T11</f>
        <v>3992.3074141535326</v>
      </c>
      <c r="U11" s="64">
        <f>+'사업장별(당월)'!U11+'[4]사업장별(누계)'!U11</f>
        <v>2318.2684079999995</v>
      </c>
      <c r="V11" s="65">
        <f t="shared" si="6"/>
        <v>-1674.0390061535331</v>
      </c>
      <c r="W11" s="66">
        <f>+'사업장별(당월)'!W11+'[4]사업장별(누계)'!W11</f>
        <v>4450.0329909999991</v>
      </c>
      <c r="X11" s="67">
        <f t="shared" si="7"/>
        <v>-2131.7645829999997</v>
      </c>
      <c r="Y11" s="63">
        <f>+[11]부산!$Q$85</f>
        <v>107600.06524699999</v>
      </c>
      <c r="Z11" s="64">
        <f>+[11]부산!$R$85</f>
        <v>108365.05203004688</v>
      </c>
      <c r="AA11" s="68">
        <f>+[12]부산!$Q$85</f>
        <v>103264.35507254215</v>
      </c>
      <c r="AB11" s="69">
        <f>+[11]부산!$Q$89</f>
        <v>78876.235770161788</v>
      </c>
      <c r="AC11" s="64">
        <f>+[11]부산!$R$89</f>
        <v>84633.087474035186</v>
      </c>
      <c r="AD11" s="70">
        <f>+[12]부산!$Q$89</f>
        <v>75618.33100556671</v>
      </c>
      <c r="AE11" s="69">
        <f t="shared" si="8"/>
        <v>28723.829476838204</v>
      </c>
      <c r="AF11" s="64">
        <f t="shared" si="8"/>
        <v>23731.964556011691</v>
      </c>
      <c r="AG11" s="70">
        <f t="shared" si="8"/>
        <v>27646.024066975442</v>
      </c>
      <c r="AH11" s="18"/>
      <c r="AI11" s="660"/>
      <c r="AJ11" s="96"/>
    </row>
    <row r="12" spans="1:36" s="8" customFormat="1" ht="19.5" customHeight="1" x14ac:dyDescent="0.3">
      <c r="B12" s="8" t="s">
        <v>26</v>
      </c>
      <c r="F12" s="9">
        <f t="shared" si="2"/>
        <v>0.48801075472662919</v>
      </c>
      <c r="G12" s="663">
        <f t="shared" si="0"/>
        <v>0.86610689655172424</v>
      </c>
      <c r="H12" s="80"/>
      <c r="I12" s="81" t="s">
        <v>26</v>
      </c>
      <c r="J12" s="46">
        <f>+'사업장별(당월)'!J12+'[4]사업장별(누계)'!J12</f>
        <v>290</v>
      </c>
      <c r="K12" s="47">
        <f>+'사업장별(당월)'!K12+'[4]사업장별(누계)'!K12</f>
        <v>251.17100000000002</v>
      </c>
      <c r="L12" s="48">
        <f t="shared" si="1"/>
        <v>-38.828999999999979</v>
      </c>
      <c r="M12" s="49">
        <f>+'사업장별(당월)'!M12+'[4]사업장별(누계)'!M12</f>
        <v>271.22499999999997</v>
      </c>
      <c r="N12" s="50">
        <f t="shared" si="3"/>
        <v>-20.053999999999945</v>
      </c>
      <c r="O12" s="46">
        <f>+'사업장별(당월)'!O12+'[4]사업장별(누계)'!O12</f>
        <v>30159.997799999997</v>
      </c>
      <c r="P12" s="47">
        <f>+'사업장별(당월)'!P12+'[4]사업장별(누계)'!P12</f>
        <v>25076.528038</v>
      </c>
      <c r="Q12" s="48">
        <f t="shared" si="4"/>
        <v>-5083.469761999997</v>
      </c>
      <c r="R12" s="49">
        <f>+'사업장별(당월)'!R12+'[4]사업장별(누계)'!R12</f>
        <v>27040.176502000002</v>
      </c>
      <c r="S12" s="50">
        <f t="shared" si="5"/>
        <v>-1963.6484640000017</v>
      </c>
      <c r="T12" s="46">
        <f>+'사업장별(당월)'!T12+'[4]사업장별(누계)'!T12</f>
        <v>5283.8429707239702</v>
      </c>
      <c r="U12" s="47">
        <f>+'사업장별(당월)'!U12+'[4]사업장별(누계)'!U12</f>
        <v>2578.5721959999992</v>
      </c>
      <c r="V12" s="48">
        <f t="shared" si="6"/>
        <v>-2705.270774723971</v>
      </c>
      <c r="W12" s="49">
        <f>+'사업장별(당월)'!W12+'[4]사업장별(누계)'!W12</f>
        <v>4306.6418009999998</v>
      </c>
      <c r="X12" s="50">
        <f t="shared" si="7"/>
        <v>-1728.0696050000006</v>
      </c>
      <c r="Y12" s="46">
        <f>+[11]서부산!$Q$85</f>
        <v>103999.99241379309</v>
      </c>
      <c r="Z12" s="47">
        <f>+[11]서부산!$R$85</f>
        <v>99839.194770440154</v>
      </c>
      <c r="AA12" s="51">
        <f>+[12]서부산!$Q$85</f>
        <v>99696.475258549166</v>
      </c>
      <c r="AB12" s="52">
        <f>+[11]서부산!$Q$89</f>
        <v>76888.3055576568</v>
      </c>
      <c r="AC12" s="47">
        <f>+[11]서부산!$R$89</f>
        <v>78610.501796370387</v>
      </c>
      <c r="AD12" s="53">
        <f>+[12]서부산!$Q$89</f>
        <v>74152.249669130528</v>
      </c>
      <c r="AE12" s="52">
        <f t="shared" si="8"/>
        <v>27111.686856136293</v>
      </c>
      <c r="AF12" s="47">
        <f t="shared" si="8"/>
        <v>21228.692974069767</v>
      </c>
      <c r="AG12" s="53">
        <f t="shared" si="8"/>
        <v>25544.225589418638</v>
      </c>
      <c r="AH12" s="18"/>
      <c r="AI12" s="660"/>
      <c r="AJ12" s="96"/>
    </row>
    <row r="13" spans="1:36" s="8" customFormat="1" ht="19.5" customHeight="1" x14ac:dyDescent="0.3">
      <c r="B13" s="8" t="s">
        <v>27</v>
      </c>
      <c r="F13" s="9">
        <f t="shared" si="2"/>
        <v>0.41126879100811348</v>
      </c>
      <c r="G13" s="663">
        <f t="shared" si="0"/>
        <v>1.0948482758620688</v>
      </c>
      <c r="H13" s="80"/>
      <c r="I13" s="81" t="s">
        <v>27</v>
      </c>
      <c r="J13" s="46">
        <f>+'사업장별(당월)'!J13+'[4]사업장별(누계)'!J13</f>
        <v>145</v>
      </c>
      <c r="K13" s="47">
        <f>+'사업장별(당월)'!K13+'[4]사업장별(누계)'!K13</f>
        <v>158.75299999999999</v>
      </c>
      <c r="L13" s="48">
        <f t="shared" si="1"/>
        <v>13.752999999999986</v>
      </c>
      <c r="M13" s="49">
        <f>+'사업장별(당월)'!M13+'[4]사업장별(누계)'!M13</f>
        <v>160.97400000000002</v>
      </c>
      <c r="N13" s="50">
        <f t="shared" si="3"/>
        <v>-2.2210000000000321</v>
      </c>
      <c r="O13" s="46">
        <f>+'사업장별(당월)'!O13+'[4]사업장별(누계)'!O13</f>
        <v>14645.000199999999</v>
      </c>
      <c r="P13" s="47">
        <f>+'사업장별(당월)'!P13+'[4]사업장별(누계)'!P13</f>
        <v>15104.725599999998</v>
      </c>
      <c r="Q13" s="48">
        <f t="shared" si="4"/>
        <v>459.72539999999935</v>
      </c>
      <c r="R13" s="49">
        <f>+'사업장별(당월)'!R13+'[4]사업장별(누계)'!R13</f>
        <v>15772.530787999998</v>
      </c>
      <c r="S13" s="50">
        <f t="shared" si="5"/>
        <v>-667.80518800000027</v>
      </c>
      <c r="T13" s="46">
        <f>+'사업장별(당월)'!T13+'[4]사업장별(누계)'!T13</f>
        <v>1814.6138251109769</v>
      </c>
      <c r="U13" s="47">
        <f>+'사업장별(당월)'!U13+'[4]사업장별(누계)'!U13</f>
        <v>746.29403399999978</v>
      </c>
      <c r="V13" s="48">
        <f t="shared" si="6"/>
        <v>-1068.3197911109771</v>
      </c>
      <c r="W13" s="49">
        <f>+'사업장별(당월)'!W13+'[4]사업장별(누계)'!W13</f>
        <v>1882.8468310000003</v>
      </c>
      <c r="X13" s="50">
        <f t="shared" si="7"/>
        <v>-1136.5527970000005</v>
      </c>
      <c r="Y13" s="46">
        <f>+[11]김해!$Q$85</f>
        <v>101000.00137931034</v>
      </c>
      <c r="Z13" s="47">
        <f>+[11]김해!$R$85</f>
        <v>95215.142526545911</v>
      </c>
      <c r="AA13" s="51">
        <f>+[12]김해!$Q$85</f>
        <v>97994.962624672582</v>
      </c>
      <c r="AB13" s="52">
        <f>+[11]김해!$Q$89</f>
        <v>76602.54118503799</v>
      </c>
      <c r="AC13" s="47">
        <f>+[11]김해!$R$89</f>
        <v>78787.119126304809</v>
      </c>
      <c r="AD13" s="53">
        <f>+[12]김해!$Q$89</f>
        <v>74987.777595958221</v>
      </c>
      <c r="AE13" s="52">
        <f t="shared" si="8"/>
        <v>24397.460194272353</v>
      </c>
      <c r="AF13" s="47">
        <f t="shared" si="8"/>
        <v>16428.023400241102</v>
      </c>
      <c r="AG13" s="53">
        <f t="shared" si="8"/>
        <v>23007.185028714361</v>
      </c>
      <c r="AH13" s="18"/>
      <c r="AI13" s="660"/>
      <c r="AJ13" s="96"/>
    </row>
    <row r="14" spans="1:36" s="8" customFormat="1" ht="19.5" customHeight="1" x14ac:dyDescent="0.3">
      <c r="B14" s="8" t="s">
        <v>28</v>
      </c>
      <c r="F14" s="9">
        <f t="shared" si="2"/>
        <v>0.6607728997091431</v>
      </c>
      <c r="G14" s="663">
        <f t="shared" si="0"/>
        <v>1.1299357142857143</v>
      </c>
      <c r="H14" s="80"/>
      <c r="I14" s="81" t="s">
        <v>28</v>
      </c>
      <c r="J14" s="46">
        <f>+'사업장별(당월)'!J14+'[4]사업장별(누계)'!J14</f>
        <v>210</v>
      </c>
      <c r="K14" s="47">
        <f>+'사업장별(당월)'!K14+'[4]사업장별(누계)'!K14</f>
        <v>237.28649999999999</v>
      </c>
      <c r="L14" s="48">
        <f t="shared" si="1"/>
        <v>27.28649999999999</v>
      </c>
      <c r="M14" s="49">
        <f>+'사업장별(당월)'!M14+'[4]사업장별(누계)'!M14</f>
        <v>230.96099999999998</v>
      </c>
      <c r="N14" s="50">
        <f t="shared" si="3"/>
        <v>6.3255000000000052</v>
      </c>
      <c r="O14" s="46">
        <f>+'사업장별(당월)'!O14+'[4]사업장별(누계)'!O14</f>
        <v>21840</v>
      </c>
      <c r="P14" s="47">
        <f>+'사업장별(당월)'!P14+'[4]사업장별(누계)'!P14</f>
        <v>24033.941980999996</v>
      </c>
      <c r="Q14" s="48">
        <f t="shared" si="4"/>
        <v>2193.9419809999963</v>
      </c>
      <c r="R14" s="49">
        <f>+'사업장별(당월)'!R14+'[4]사업장별(누계)'!R14</f>
        <v>23250.52752</v>
      </c>
      <c r="S14" s="50">
        <f t="shared" si="5"/>
        <v>783.41446099999666</v>
      </c>
      <c r="T14" s="46">
        <f>+'사업장별(당월)'!T14+'[4]사업장별(누계)'!T14</f>
        <v>3004.7719403655296</v>
      </c>
      <c r="U14" s="47">
        <f>+'사업장별(당월)'!U14+'[4]사업장별(누계)'!U14</f>
        <v>1985.4718679999994</v>
      </c>
      <c r="V14" s="48">
        <f t="shared" si="6"/>
        <v>-1019.3000723655302</v>
      </c>
      <c r="W14" s="49">
        <f>+'사업장별(당월)'!W14+'[4]사업장별(누계)'!W14</f>
        <v>3331.2089450000003</v>
      </c>
      <c r="X14" s="50">
        <f t="shared" si="7"/>
        <v>-1345.7370770000009</v>
      </c>
      <c r="Y14" s="46">
        <f>+[11]정관!$Q$85</f>
        <v>104000</v>
      </c>
      <c r="Z14" s="47">
        <f>+[11]정관!$R$85</f>
        <v>101286.59650254018</v>
      </c>
      <c r="AA14" s="51">
        <f>+[12]정관!$Q$85</f>
        <v>100668.63028823047</v>
      </c>
      <c r="AB14" s="52">
        <f>+[11]정관!$Q$89</f>
        <v>78413.857209370501</v>
      </c>
      <c r="AC14" s="47">
        <f>+[11]정관!$R$89</f>
        <v>82252.165580415909</v>
      </c>
      <c r="AD14" s="53">
        <f>+[12]정관!$Q$89</f>
        <v>75650.672851287789</v>
      </c>
      <c r="AE14" s="52">
        <f t="shared" si="8"/>
        <v>25586.142790629499</v>
      </c>
      <c r="AF14" s="47">
        <f t="shared" si="8"/>
        <v>19034.430922124273</v>
      </c>
      <c r="AG14" s="53">
        <f t="shared" si="8"/>
        <v>25017.957436942685</v>
      </c>
      <c r="AH14" s="18"/>
      <c r="AI14" s="660"/>
      <c r="AJ14" s="96"/>
    </row>
    <row r="15" spans="1:36" s="8" customFormat="1" ht="19.5" customHeight="1" x14ac:dyDescent="0.3">
      <c r="B15" s="8" t="s">
        <v>29</v>
      </c>
      <c r="F15" s="9">
        <f t="shared" si="2"/>
        <v>0.67273777464552775</v>
      </c>
      <c r="G15" s="663">
        <f t="shared" si="0"/>
        <v>1.1321769230769232</v>
      </c>
      <c r="H15" s="80"/>
      <c r="I15" s="81" t="s">
        <v>180</v>
      </c>
      <c r="J15" s="46">
        <f>+'사업장별(당월)'!J15+'[4]사업장별(누계)'!J15</f>
        <v>130</v>
      </c>
      <c r="K15" s="47">
        <f>+'사업장별(당월)'!K15+'[4]사업장별(누계)'!K15</f>
        <v>147.18300000000002</v>
      </c>
      <c r="L15" s="48">
        <f t="shared" si="1"/>
        <v>17.183000000000021</v>
      </c>
      <c r="M15" s="49">
        <f>+'사업장별(당월)'!M15+'[4]사업장별(누계)'!M15</f>
        <v>162.65000000000003</v>
      </c>
      <c r="N15" s="50">
        <f t="shared" si="3"/>
        <v>-15.467000000000013</v>
      </c>
      <c r="O15" s="46">
        <f>+'사업장별(당월)'!O15+'[4]사업장별(누계)'!O15</f>
        <v>12585.776653999999</v>
      </c>
      <c r="P15" s="47">
        <f>+'사업장별(당월)'!P15+'[4]사업장별(누계)'!P15</f>
        <v>13741.865218000001</v>
      </c>
      <c r="Q15" s="48">
        <f t="shared" si="4"/>
        <v>1156.0885640000015</v>
      </c>
      <c r="R15" s="49">
        <f>+'사업장별(당월)'!R15+'[4]사업장별(누계)'!R15</f>
        <v>15160.629626999998</v>
      </c>
      <c r="S15" s="50">
        <f t="shared" si="5"/>
        <v>-1418.7644089999976</v>
      </c>
      <c r="T15" s="46">
        <f>+'사업장별(당월)'!T15+'[4]사업장별(누계)'!T15</f>
        <v>1718.4074353623562</v>
      </c>
      <c r="U15" s="47">
        <f>+'사업장별(당월)'!U15+'[4]사업장별(누계)'!U15</f>
        <v>1156.0375940000001</v>
      </c>
      <c r="V15" s="48">
        <f t="shared" si="6"/>
        <v>-562.36984136235606</v>
      </c>
      <c r="W15" s="49">
        <f>+'사업장별(당월)'!W15+'[4]사업장별(누계)'!W15</f>
        <v>1989.2199369999998</v>
      </c>
      <c r="X15" s="50">
        <f t="shared" si="7"/>
        <v>-833.18234299999972</v>
      </c>
      <c r="Y15" s="46">
        <f>+[11]양산!$Q$85</f>
        <v>96813.666569230772</v>
      </c>
      <c r="Z15" s="47">
        <f>+[11]양산!$R$85</f>
        <v>93365.845362575827</v>
      </c>
      <c r="AA15" s="51">
        <f>+[12]양산!$Q$85</f>
        <v>93211.349672539436</v>
      </c>
      <c r="AB15" s="52">
        <f>+[11]양산!$Q$89</f>
        <v>70691.221039947704</v>
      </c>
      <c r="AC15" s="47">
        <f>+[11]양산!$R$89</f>
        <v>73601.938359421707</v>
      </c>
      <c r="AD15" s="53">
        <f>+[12]양산!$Q$89</f>
        <v>69411.931001408011</v>
      </c>
      <c r="AE15" s="52">
        <f t="shared" si="8"/>
        <v>26122.445529283068</v>
      </c>
      <c r="AF15" s="47">
        <f t="shared" si="8"/>
        <v>19763.90700315412</v>
      </c>
      <c r="AG15" s="53">
        <f t="shared" si="8"/>
        <v>23799.418671131425</v>
      </c>
      <c r="AH15" s="18"/>
      <c r="AI15" s="660"/>
      <c r="AJ15" s="96"/>
    </row>
    <row r="16" spans="1:36" s="8" customFormat="1" ht="19.5" customHeight="1" x14ac:dyDescent="0.3">
      <c r="B16" s="8" t="s">
        <v>30</v>
      </c>
      <c r="F16" s="9">
        <f t="shared" si="2"/>
        <v>0.84389184513012816</v>
      </c>
      <c r="G16" s="663">
        <f t="shared" si="0"/>
        <v>1.0334605263157897</v>
      </c>
      <c r="H16" s="80"/>
      <c r="I16" s="81" t="s">
        <v>30</v>
      </c>
      <c r="J16" s="46">
        <f>+'사업장별(당월)'!J16+'[4]사업장별(누계)'!J16</f>
        <v>190</v>
      </c>
      <c r="K16" s="47">
        <f>+'사업장별(당월)'!K16+'[4]사업장별(누계)'!K16</f>
        <v>196.35750000000002</v>
      </c>
      <c r="L16" s="48">
        <f t="shared" si="1"/>
        <v>6.3575000000000159</v>
      </c>
      <c r="M16" s="49">
        <f>+'사업장별(당월)'!M16+'[4]사업장별(누계)'!M16</f>
        <v>241.66500000000002</v>
      </c>
      <c r="N16" s="50">
        <f t="shared" si="3"/>
        <v>-45.307500000000005</v>
      </c>
      <c r="O16" s="46">
        <f>+'사업장별(당월)'!O16+'[4]사업장별(누계)'!O16</f>
        <v>19189.977999999999</v>
      </c>
      <c r="P16" s="47">
        <f>+'사업장별(당월)'!P16+'[4]사업장별(누계)'!P16</f>
        <v>19774.515350000001</v>
      </c>
      <c r="Q16" s="48">
        <f t="shared" si="4"/>
        <v>584.53735000000233</v>
      </c>
      <c r="R16" s="49">
        <f>+'사업장별(당월)'!R16+'[4]사업장별(누계)'!R16</f>
        <v>23139.019519999994</v>
      </c>
      <c r="S16" s="50">
        <f t="shared" si="5"/>
        <v>-3364.5041699999929</v>
      </c>
      <c r="T16" s="46">
        <f>+'사업장별(당월)'!T16+'[4]사업장별(누계)'!T16</f>
        <v>3135.015520373996</v>
      </c>
      <c r="U16" s="47">
        <f>+'사업장별(당월)'!U16+'[4]사업장별(누계)'!U16</f>
        <v>2645.6140320000004</v>
      </c>
      <c r="V16" s="48">
        <f t="shared" si="6"/>
        <v>-489.40148837399556</v>
      </c>
      <c r="W16" s="49">
        <f>+'사업장별(당월)'!W16+'[4]사업장별(누계)'!W16</f>
        <v>4212.6639369999984</v>
      </c>
      <c r="X16" s="50">
        <f t="shared" si="7"/>
        <v>-1567.049904999998</v>
      </c>
      <c r="Y16" s="46">
        <f>+[11]창원!$Q$85</f>
        <v>100999.88421052632</v>
      </c>
      <c r="Z16" s="47">
        <f>+[11]창원!$R$85</f>
        <v>100706.69747781471</v>
      </c>
      <c r="AA16" s="51">
        <f>+[12]창원!$Q$85</f>
        <v>95748.327312602138</v>
      </c>
      <c r="AB16" s="52">
        <f>+[11]창원!$Q$89</f>
        <v>72392.835573616496</v>
      </c>
      <c r="AC16" s="47">
        <f>+[11]창원!$R$89</f>
        <v>75043.235931424846</v>
      </c>
      <c r="AD16" s="53">
        <f>+[12]창원!$Q$89</f>
        <v>68422.8835492051</v>
      </c>
      <c r="AE16" s="52">
        <f t="shared" si="8"/>
        <v>28607.048636909822</v>
      </c>
      <c r="AF16" s="47">
        <f t="shared" si="8"/>
        <v>25663.461546389866</v>
      </c>
      <c r="AG16" s="53">
        <f t="shared" si="8"/>
        <v>27325.443763397037</v>
      </c>
      <c r="AH16" s="18"/>
      <c r="AI16" s="660"/>
      <c r="AJ16" s="96"/>
    </row>
    <row r="17" spans="2:38" s="8" customFormat="1" ht="19.5" customHeight="1" x14ac:dyDescent="0.3">
      <c r="B17" s="8" t="s">
        <v>79</v>
      </c>
      <c r="F17" s="9">
        <f t="shared" si="2"/>
        <v>0.79180775130374315</v>
      </c>
      <c r="G17" s="663">
        <f t="shared" si="0"/>
        <v>1.0002105263157894</v>
      </c>
      <c r="H17" s="80"/>
      <c r="I17" s="81" t="s">
        <v>79</v>
      </c>
      <c r="J17" s="46">
        <f>+'사업장별(당월)'!J17+'[4]사업장별(누계)'!J17</f>
        <v>190</v>
      </c>
      <c r="K17" s="47">
        <f>+'사업장별(당월)'!K17+'[4]사업장별(누계)'!K17</f>
        <v>190.04</v>
      </c>
      <c r="L17" s="48">
        <f t="shared" si="1"/>
        <v>3.9999999999992042E-2</v>
      </c>
      <c r="M17" s="49">
        <f>+'사업장별(당월)'!M17+'[4]사업장별(누계)'!M17</f>
        <v>233.60249999999996</v>
      </c>
      <c r="N17" s="50">
        <f t="shared" si="3"/>
        <v>-43.562499999999972</v>
      </c>
      <c r="O17" s="46">
        <f>+'사업장별(당월)'!O17+'[4]사업장별(누계)'!O17</f>
        <v>18576.780000000002</v>
      </c>
      <c r="P17" s="47">
        <f>+'사업장별(당월)'!P17+'[4]사업장별(누계)'!P17</f>
        <v>18889.928516</v>
      </c>
      <c r="Q17" s="48">
        <f t="shared" si="4"/>
        <v>313.14851599999747</v>
      </c>
      <c r="R17" s="49">
        <f>+'사업장별(당월)'!R17+'[4]사업장별(누계)'!R17</f>
        <v>21812.108600000003</v>
      </c>
      <c r="S17" s="50">
        <f t="shared" si="5"/>
        <v>-2922.1800840000033</v>
      </c>
      <c r="T17" s="46">
        <f>+'사업장별(당월)'!T17+'[4]사업장별(누계)'!T17</f>
        <v>3222.3740065676952</v>
      </c>
      <c r="U17" s="47">
        <f>+'사업장별(당월)'!U17+'[4]사업장별(누계)'!U17</f>
        <v>2551.500716</v>
      </c>
      <c r="V17" s="48">
        <f t="shared" si="6"/>
        <v>-670.87329056769522</v>
      </c>
      <c r="W17" s="49">
        <f>+'사업장별(당월)'!W17+'[4]사업장별(누계)'!W17</f>
        <v>3768.1726780000004</v>
      </c>
      <c r="X17" s="50">
        <f t="shared" si="7"/>
        <v>-1216.6719620000003</v>
      </c>
      <c r="Y17" s="46">
        <f>+[11]대구!$Q$85</f>
        <v>97772.526315789481</v>
      </c>
      <c r="Z17" s="47">
        <f>+[11]대구!$R$85</f>
        <v>99399.55123131971</v>
      </c>
      <c r="AA17" s="51">
        <f>+[12]대구!$Q$85</f>
        <v>93371.609767179689</v>
      </c>
      <c r="AB17" s="52">
        <f>+[11]대구!$Q$89</f>
        <v>70028.042545395147</v>
      </c>
      <c r="AC17" s="47">
        <f>+[11]대구!$R$89</f>
        <v>74512.501912362743</v>
      </c>
      <c r="AD17" s="53">
        <f>+[12]대구!$Q$89</f>
        <v>67700.232268268577</v>
      </c>
      <c r="AE17" s="52">
        <f t="shared" si="8"/>
        <v>27744.483770394334</v>
      </c>
      <c r="AF17" s="47">
        <f t="shared" si="8"/>
        <v>24887.049318956968</v>
      </c>
      <c r="AG17" s="53">
        <f t="shared" si="8"/>
        <v>25671.377498911112</v>
      </c>
      <c r="AH17" s="18"/>
      <c r="AI17" s="660"/>
      <c r="AJ17" s="96"/>
    </row>
    <row r="18" spans="2:38" s="8" customFormat="1" ht="19.5" customHeight="1" x14ac:dyDescent="0.3">
      <c r="B18" s="8" t="s">
        <v>80</v>
      </c>
      <c r="F18" s="9">
        <f t="shared" si="2"/>
        <v>1.878931998454447</v>
      </c>
      <c r="G18" s="663">
        <f t="shared" si="0"/>
        <v>1.2201181818181817</v>
      </c>
      <c r="H18" s="80"/>
      <c r="I18" s="83" t="s">
        <v>80</v>
      </c>
      <c r="J18" s="10">
        <f>+'사업장별(당월)'!J18+'[4]사업장별(누계)'!J18</f>
        <v>110</v>
      </c>
      <c r="K18" s="11">
        <f>+'사업장별(당월)'!K18+'[4]사업장별(누계)'!K18</f>
        <v>134.21299999999999</v>
      </c>
      <c r="L18" s="12">
        <f t="shared" si="1"/>
        <v>24.212999999999994</v>
      </c>
      <c r="M18" s="13">
        <f>+'사업장별(당월)'!M18+'[4]사업장별(누계)'!M18</f>
        <v>99.671000000000006</v>
      </c>
      <c r="N18" s="14">
        <f t="shared" si="3"/>
        <v>34.541999999999987</v>
      </c>
      <c r="O18" s="10">
        <f>+'사업장별(당월)'!O18+'[4]사업장별(누계)'!O18</f>
        <v>11056.96004</v>
      </c>
      <c r="P18" s="11">
        <f>+'사업장별(당월)'!P18+'[4]사업장별(누계)'!P18</f>
        <v>13929.268442000001</v>
      </c>
      <c r="Q18" s="12">
        <f t="shared" si="4"/>
        <v>2872.3084020000006</v>
      </c>
      <c r="R18" s="13">
        <f>+'사업장별(당월)'!R18+'[4]사업장별(누계)'!R18</f>
        <v>9524.2859999999982</v>
      </c>
      <c r="S18" s="14">
        <f t="shared" si="5"/>
        <v>4404.9824420000023</v>
      </c>
      <c r="T18" s="10">
        <f>+'사업장별(당월)'!T18+'[4]사업장별(누계)'!T18</f>
        <v>762.3553216285959</v>
      </c>
      <c r="U18" s="11">
        <f>+'사업장별(당월)'!U18+'[4]사업장별(누계)'!U18</f>
        <v>1432.4138080000005</v>
      </c>
      <c r="V18" s="12">
        <f t="shared" si="6"/>
        <v>670.05848637140457</v>
      </c>
      <c r="W18" s="13">
        <f>+'사업장별(당월)'!W18+'[4]사업장별(누계)'!W18</f>
        <v>449.68848200000008</v>
      </c>
      <c r="X18" s="14">
        <f t="shared" si="7"/>
        <v>982.72532600000045</v>
      </c>
      <c r="Y18" s="10">
        <f>+[11]울산!$Q$85</f>
        <v>100517.81854545453</v>
      </c>
      <c r="Z18" s="11">
        <f>+[11]울산!$R$85</f>
        <v>103784.79314224406</v>
      </c>
      <c r="AA18" s="15">
        <f>+[12]울산!$Q$85</f>
        <v>95568.807739501688</v>
      </c>
      <c r="AB18" s="16">
        <f>+[11]울산!$Q$89</f>
        <v>78953.169829189719</v>
      </c>
      <c r="AC18" s="11">
        <f>+[11]울산!$R$89</f>
        <v>80835.204382986311</v>
      </c>
      <c r="AD18" s="17">
        <f>+[12]울산!$Q$89</f>
        <v>74821.787465056914</v>
      </c>
      <c r="AE18" s="16">
        <f t="shared" si="8"/>
        <v>21564.648716264812</v>
      </c>
      <c r="AF18" s="11">
        <f t="shared" si="8"/>
        <v>22949.588759257749</v>
      </c>
      <c r="AG18" s="17">
        <f t="shared" si="8"/>
        <v>20747.020274444774</v>
      </c>
      <c r="AH18" s="18"/>
      <c r="AI18" s="660"/>
      <c r="AJ18" s="9"/>
    </row>
    <row r="19" spans="2:38" s="8" customFormat="1" ht="19.5" customHeight="1" x14ac:dyDescent="0.3">
      <c r="B19" s="8" t="s">
        <v>85</v>
      </c>
      <c r="F19" s="9">
        <f t="shared" si="2"/>
        <v>1.007768482279537</v>
      </c>
      <c r="G19" s="663">
        <f t="shared" si="0"/>
        <v>1.1340874999999999</v>
      </c>
      <c r="H19" s="80"/>
      <c r="I19" s="81" t="s">
        <v>31</v>
      </c>
      <c r="J19" s="46">
        <f>+'사업장별(당월)'!J19+'[4]사업장별(누계)'!J19</f>
        <v>280</v>
      </c>
      <c r="K19" s="47">
        <f>+'사업장별(당월)'!K19+'[4]사업장별(누계)'!K19</f>
        <v>317.54449999999997</v>
      </c>
      <c r="L19" s="48">
        <f t="shared" si="1"/>
        <v>37.544499999999971</v>
      </c>
      <c r="M19" s="49">
        <f>+'사업장별(당월)'!M19+'[4]사업장별(누계)'!M19</f>
        <v>305.73100000000005</v>
      </c>
      <c r="N19" s="50">
        <f t="shared" si="3"/>
        <v>11.81349999999992</v>
      </c>
      <c r="O19" s="46">
        <f>+'사업장별(당월)'!O19+'[4]사업장별(누계)'!O19</f>
        <v>28280.023399999998</v>
      </c>
      <c r="P19" s="47">
        <f>+'사업장별(당월)'!P19+'[4]사업장별(누계)'!P19</f>
        <v>32020.142446000002</v>
      </c>
      <c r="Q19" s="48">
        <f t="shared" si="4"/>
        <v>3740.1190460000034</v>
      </c>
      <c r="R19" s="49">
        <f>+'사업장별(당월)'!R19+'[4]사업장별(누계)'!R19</f>
        <v>29270.653083000001</v>
      </c>
      <c r="S19" s="50">
        <f t="shared" si="5"/>
        <v>2749.4893630000006</v>
      </c>
      <c r="T19" s="46">
        <f>+'사업장별(당월)'!T19+'[4]사업장별(누계)'!T19</f>
        <v>4154.413868480844</v>
      </c>
      <c r="U19" s="47">
        <f>+'사업장별(당월)'!U19+'[4]사업장별(누계)'!U19</f>
        <v>4186.6873590000005</v>
      </c>
      <c r="V19" s="48">
        <f t="shared" si="6"/>
        <v>32.273490519156439</v>
      </c>
      <c r="W19" s="49">
        <f>+'사업장별(당월)'!W19+'[4]사업장별(누계)'!W19</f>
        <v>4413.5563219999995</v>
      </c>
      <c r="X19" s="50">
        <f t="shared" si="7"/>
        <v>-226.86896299999898</v>
      </c>
      <c r="Y19" s="46">
        <f>+[11]아산!$Q$85</f>
        <v>101000.08357142856</v>
      </c>
      <c r="Z19" s="47">
        <f>+[11]아산!$R$85</f>
        <v>100779.83968661874</v>
      </c>
      <c r="AA19" s="51">
        <f>+[12]아산!$Q$85</f>
        <v>95764.34707702171</v>
      </c>
      <c r="AB19" s="52">
        <f>+[11]아산!$Q$89</f>
        <v>77025.018931005776</v>
      </c>
      <c r="AC19" s="47">
        <f>+[11]아산!$R$89</f>
        <v>77860.034638823228</v>
      </c>
      <c r="AD19" s="53">
        <f>+[12]아산!$Q$89</f>
        <v>72036.357634614658</v>
      </c>
      <c r="AE19" s="52">
        <f t="shared" si="8"/>
        <v>23975.064640422788</v>
      </c>
      <c r="AF19" s="47">
        <f t="shared" si="8"/>
        <v>22919.805047795511</v>
      </c>
      <c r="AG19" s="53">
        <f t="shared" si="8"/>
        <v>23727.989442407052</v>
      </c>
      <c r="AH19" s="18"/>
      <c r="AI19" s="660"/>
      <c r="AJ19" s="9"/>
    </row>
    <row r="20" spans="2:38" s="8" customFormat="1" ht="19.5" customHeight="1" x14ac:dyDescent="0.3">
      <c r="B20" s="8" t="s">
        <v>81</v>
      </c>
      <c r="F20" s="9">
        <f t="shared" si="2"/>
        <v>0.27525902926629853</v>
      </c>
      <c r="G20" s="663">
        <f t="shared" si="0"/>
        <v>0.74710357142857131</v>
      </c>
      <c r="H20" s="80"/>
      <c r="I20" s="81" t="s">
        <v>81</v>
      </c>
      <c r="J20" s="46">
        <f>+'사업장별(당월)'!J20+'[4]사업장별(누계)'!J20</f>
        <v>140</v>
      </c>
      <c r="K20" s="47">
        <f>+'사업장별(당월)'!K20+'[4]사업장별(누계)'!K20</f>
        <v>104.59449999999998</v>
      </c>
      <c r="L20" s="48">
        <f t="shared" si="1"/>
        <v>-35.405500000000018</v>
      </c>
      <c r="M20" s="49">
        <f>+'사업장별(당월)'!M20+'[4]사업장별(누계)'!M20</f>
        <v>129.7835</v>
      </c>
      <c r="N20" s="50">
        <f t="shared" si="3"/>
        <v>-25.189000000000021</v>
      </c>
      <c r="O20" s="46">
        <f>+'사업장별(당월)'!O20+'[4]사업장별(누계)'!O20</f>
        <v>14349.934257000001</v>
      </c>
      <c r="P20" s="47">
        <f>+'사업장별(당월)'!P20+'[4]사업장별(누계)'!P20</f>
        <v>10098.437312</v>
      </c>
      <c r="Q20" s="48">
        <f t="shared" si="4"/>
        <v>-4251.4969450000008</v>
      </c>
      <c r="R20" s="49">
        <f>+'사업장별(당월)'!R20+'[4]사업장별(누계)'!R20</f>
        <v>12573.946106000001</v>
      </c>
      <c r="S20" s="50">
        <f t="shared" si="5"/>
        <v>-2475.5087940000012</v>
      </c>
      <c r="T20" s="46">
        <f>+'사업장별(당월)'!T20+'[4]사업장별(누계)'!T20</f>
        <v>2325.1444528666761</v>
      </c>
      <c r="U20" s="47">
        <f>+'사업장별(당월)'!U20+'[4]사업장별(누계)'!U20</f>
        <v>640.01700500000004</v>
      </c>
      <c r="V20" s="48">
        <f t="shared" si="6"/>
        <v>-1685.127447866676</v>
      </c>
      <c r="W20" s="49">
        <f>+'사업장별(당월)'!W20+'[4]사업장별(누계)'!W20</f>
        <v>1805.491031</v>
      </c>
      <c r="X20" s="50">
        <f t="shared" si="7"/>
        <v>-1165.4740259999999</v>
      </c>
      <c r="Y20" s="46">
        <f>+[11]전주!$Q$85</f>
        <v>102499.53040714285</v>
      </c>
      <c r="Z20" s="47">
        <f>+[11]전주!$R$85</f>
        <v>96550.172800765358</v>
      </c>
      <c r="AA20" s="51">
        <f>+[12]전주!$Q$85</f>
        <v>96959.888976484988</v>
      </c>
      <c r="AB20" s="52">
        <f>+[11]전주!$Q$89</f>
        <v>73490.370391196571</v>
      </c>
      <c r="AC20" s="47">
        <f>+[11]전주!$R$89</f>
        <v>72741.123442386233</v>
      </c>
      <c r="AD20" s="53">
        <f>+[12]전주!$Q$89</f>
        <v>69016.785190305498</v>
      </c>
      <c r="AE20" s="52">
        <f t="shared" si="8"/>
        <v>29009.160015946283</v>
      </c>
      <c r="AF20" s="47">
        <f t="shared" si="8"/>
        <v>23809.049358379125</v>
      </c>
      <c r="AG20" s="53">
        <f t="shared" si="8"/>
        <v>27943.10378617949</v>
      </c>
      <c r="AH20" s="18"/>
      <c r="AI20" s="660"/>
      <c r="AJ20" s="9"/>
    </row>
    <row r="21" spans="2:38" s="8" customFormat="1" ht="19.5" customHeight="1" x14ac:dyDescent="0.3">
      <c r="B21" s="8" t="s">
        <v>82</v>
      </c>
      <c r="F21" s="9">
        <f t="shared" si="2"/>
        <v>1.3364351671070316</v>
      </c>
      <c r="G21" s="663">
        <f t="shared" si="0"/>
        <v>1.2292687499999999</v>
      </c>
      <c r="H21" s="80"/>
      <c r="I21" s="81" t="s">
        <v>82</v>
      </c>
      <c r="J21" s="46">
        <f>+'사업장별(당월)'!J21+'[4]사업장별(누계)'!J21</f>
        <v>80</v>
      </c>
      <c r="K21" s="47">
        <f>+'사업장별(당월)'!K21+'[4]사업장별(누계)'!K21</f>
        <v>98.341499999999996</v>
      </c>
      <c r="L21" s="48">
        <f t="shared" si="1"/>
        <v>18.341499999999996</v>
      </c>
      <c r="M21" s="49">
        <f>+'사업장별(당월)'!M21+'[4]사업장별(누계)'!M21</f>
        <v>94.531499999999994</v>
      </c>
      <c r="N21" s="50">
        <f t="shared" si="3"/>
        <v>3.8100000000000023</v>
      </c>
      <c r="O21" s="46">
        <f>+'사업장별(당월)'!O21+'[4]사업장별(누계)'!O21</f>
        <v>8720.0096629999989</v>
      </c>
      <c r="P21" s="47">
        <f>+'사업장별(당월)'!P21+'[4]사업장별(누계)'!P21</f>
        <v>11049.971786</v>
      </c>
      <c r="Q21" s="48">
        <f t="shared" si="4"/>
        <v>2329.9621230000012</v>
      </c>
      <c r="R21" s="49">
        <f>+'사업장별(당월)'!R21+'[4]사업장별(누계)'!R21</f>
        <v>9455.6124230000005</v>
      </c>
      <c r="S21" s="50">
        <f t="shared" si="5"/>
        <v>1594.3593629999996</v>
      </c>
      <c r="T21" s="46">
        <f>+'사업장별(당월)'!T21+'[4]사업장별(누계)'!T21</f>
        <v>2187.8864773735991</v>
      </c>
      <c r="U21" s="47">
        <f>+'사업장별(당월)'!U21+'[4]사업장별(누계)'!U21</f>
        <v>2923.9684300000004</v>
      </c>
      <c r="V21" s="48">
        <f t="shared" si="6"/>
        <v>736.08195262640129</v>
      </c>
      <c r="W21" s="49">
        <f>+'사업장별(당월)'!W21+'[4]사업장별(누계)'!W21</f>
        <v>2178.8394910000002</v>
      </c>
      <c r="X21" s="50">
        <f t="shared" si="7"/>
        <v>745.12893900000017</v>
      </c>
      <c r="Y21" s="46">
        <f>+[11]군산!$Q$85</f>
        <v>109000.12078749998</v>
      </c>
      <c r="Z21" s="47">
        <f>+[11]군산!$R$85</f>
        <v>112375.8608909858</v>
      </c>
      <c r="AA21" s="51">
        <f>+[12]군산!$Q$85</f>
        <v>99942.580052109566</v>
      </c>
      <c r="AB21" s="52">
        <f>+[11]군산!$Q$89</f>
        <v>69886.432838886351</v>
      </c>
      <c r="AC21" s="47">
        <f>+[11]군산!$R$89</f>
        <v>72449.183857095588</v>
      </c>
      <c r="AD21" s="53">
        <f>+[12]군산!$Q$89</f>
        <v>65770.95005063717</v>
      </c>
      <c r="AE21" s="52">
        <f t="shared" si="8"/>
        <v>39113.687948613631</v>
      </c>
      <c r="AF21" s="47">
        <f t="shared" si="8"/>
        <v>39926.677033890213</v>
      </c>
      <c r="AG21" s="53">
        <f t="shared" si="8"/>
        <v>34171.630001472397</v>
      </c>
      <c r="AH21" s="18"/>
      <c r="AI21" s="660"/>
      <c r="AJ21" s="9"/>
    </row>
    <row r="22" spans="2:38" s="8" customFormat="1" ht="19.5" customHeight="1" x14ac:dyDescent="0.3">
      <c r="B22" s="8" t="s">
        <v>83</v>
      </c>
      <c r="F22" s="9">
        <f t="shared" si="2"/>
        <v>1.3096611991164129</v>
      </c>
      <c r="G22" s="663">
        <f t="shared" si="0"/>
        <v>1.0746833333333332</v>
      </c>
      <c r="H22" s="80"/>
      <c r="I22" s="81" t="s">
        <v>83</v>
      </c>
      <c r="J22" s="46">
        <f>+'사업장별(당월)'!J22+'[4]사업장별(누계)'!J22</f>
        <v>60</v>
      </c>
      <c r="K22" s="47">
        <f>+'사업장별(당월)'!K22+'[4]사업장별(누계)'!K22</f>
        <v>64.480999999999995</v>
      </c>
      <c r="L22" s="48">
        <f t="shared" si="1"/>
        <v>4.4809999999999945</v>
      </c>
      <c r="M22" s="49">
        <f>+'사업장별(당월)'!M22+'[4]사업장별(누계)'!M22</f>
        <v>59.035999999999994</v>
      </c>
      <c r="N22" s="50">
        <f t="shared" si="3"/>
        <v>5.4450000000000003</v>
      </c>
      <c r="O22" s="46">
        <f>+'사업장별(당월)'!O22+'[4]사업장별(누계)'!O22</f>
        <v>6474</v>
      </c>
      <c r="P22" s="47">
        <f>+'사업장별(당월)'!P22+'[4]사업장별(누계)'!P22</f>
        <v>7251.5745670000006</v>
      </c>
      <c r="Q22" s="48">
        <f t="shared" si="4"/>
        <v>777.57456700000057</v>
      </c>
      <c r="R22" s="49">
        <f>+'사업장별(당월)'!R22+'[4]사업장별(누계)'!R22</f>
        <v>6026.7527009999994</v>
      </c>
      <c r="S22" s="50">
        <f t="shared" si="5"/>
        <v>1224.8218660000011</v>
      </c>
      <c r="T22" s="46">
        <f>+'사업장별(당월)'!T22+'[4]사업장별(누계)'!T22</f>
        <v>1044.9434837981753</v>
      </c>
      <c r="U22" s="47">
        <f>+'사업장별(당월)'!U22+'[4]사업장별(누계)'!U22</f>
        <v>1368.5219360000001</v>
      </c>
      <c r="V22" s="48">
        <f t="shared" si="6"/>
        <v>323.5784522018248</v>
      </c>
      <c r="W22" s="49">
        <f>+'사업장별(당월)'!W22+'[4]사업장별(누계)'!W22</f>
        <v>911.02585199999999</v>
      </c>
      <c r="X22" s="50">
        <f t="shared" si="7"/>
        <v>457.49608400000011</v>
      </c>
      <c r="Y22" s="46">
        <f>+[11]원주!$Q$85</f>
        <v>107900</v>
      </c>
      <c r="Z22" s="47">
        <f>+[11]원주!$R$85</f>
        <v>112465.39639709533</v>
      </c>
      <c r="AA22" s="51">
        <f>+[12]원주!$Q$85</f>
        <v>102089.72823323256</v>
      </c>
      <c r="AB22" s="52">
        <f>+[11]원주!$Q$89</f>
        <v>73463.226192911694</v>
      </c>
      <c r="AC22" s="47">
        <f>+[11]원주!$R$89</f>
        <v>74063.850592725925</v>
      </c>
      <c r="AD22" s="53">
        <f>+[12]원주!$Q$89</f>
        <v>69160.181726045281</v>
      </c>
      <c r="AE22" s="52">
        <f t="shared" si="8"/>
        <v>34436.773807088306</v>
      </c>
      <c r="AF22" s="47">
        <f t="shared" si="8"/>
        <v>38401.545804369409</v>
      </c>
      <c r="AG22" s="53">
        <f t="shared" si="8"/>
        <v>32929.546507187275</v>
      </c>
      <c r="AH22" s="18"/>
      <c r="AI22" s="660"/>
      <c r="AJ22" s="9"/>
    </row>
    <row r="23" spans="2:38" s="8" customFormat="1" ht="19.5" customHeight="1" x14ac:dyDescent="0.3">
      <c r="B23" s="8" t="s">
        <v>84</v>
      </c>
      <c r="F23" s="9">
        <f t="shared" si="2"/>
        <v>0.26002145648199987</v>
      </c>
      <c r="G23" s="663">
        <f t="shared" ref="G23:G28" si="9">+K23/J23</f>
        <v>0.61419999999999986</v>
      </c>
      <c r="H23" s="80"/>
      <c r="I23" s="81" t="s">
        <v>84</v>
      </c>
      <c r="J23" s="46">
        <f>+'사업장별(당월)'!J23+'[4]사업장별(누계)'!J23</f>
        <v>70</v>
      </c>
      <c r="K23" s="47">
        <f>+'사업장별(당월)'!K23+'[4]사업장별(누계)'!K23</f>
        <v>42.993999999999993</v>
      </c>
      <c r="L23" s="48">
        <f t="shared" si="1"/>
        <v>-27.006000000000007</v>
      </c>
      <c r="M23" s="49">
        <f>+'사업장별(당월)'!M23+'[4]사업장별(누계)'!M23</f>
        <v>81.968499999999992</v>
      </c>
      <c r="N23" s="50">
        <f t="shared" si="3"/>
        <v>-38.974499999999999</v>
      </c>
      <c r="O23" s="46">
        <f>+'사업장별(당월)'!O23+'[4]사업장별(누계)'!O23</f>
        <v>8874.9000000000015</v>
      </c>
      <c r="P23" s="47">
        <f>+'사업장별(당월)'!P23+'[4]사업장별(누계)'!P23</f>
        <v>5315.1092179999996</v>
      </c>
      <c r="Q23" s="48">
        <f t="shared" si="4"/>
        <v>-3559.7907820000019</v>
      </c>
      <c r="R23" s="49">
        <f>+'사업장별(당월)'!R23+'[4]사업장별(누계)'!R23</f>
        <v>9785.5747420000007</v>
      </c>
      <c r="S23" s="50">
        <f t="shared" si="5"/>
        <v>-4470.4655240000011</v>
      </c>
      <c r="T23" s="46">
        <f>+'사업장별(당월)'!T23+'[4]사업장별(누계)'!T23</f>
        <v>1415.4948210032776</v>
      </c>
      <c r="U23" s="47">
        <f>+'사업장별(당월)'!U23+'[4]사업장별(누계)'!U23</f>
        <v>368.05902499999991</v>
      </c>
      <c r="V23" s="48">
        <f t="shared" si="6"/>
        <v>-1047.4357960032776</v>
      </c>
      <c r="W23" s="49">
        <f>+'사업장별(당월)'!W23+'[4]사업장별(누계)'!W23</f>
        <v>1769.8158490000001</v>
      </c>
      <c r="X23" s="50">
        <f t="shared" si="7"/>
        <v>-1401.7568240000001</v>
      </c>
      <c r="Y23" s="46">
        <f>+[11]제주!$Q$85</f>
        <v>126784.28571428571</v>
      </c>
      <c r="Z23" s="47">
        <f>+[11]제주!$R$85</f>
        <v>123624.44103828441</v>
      </c>
      <c r="AA23" s="51">
        <f>+[12]제주!$Q$85</f>
        <v>119419.30063544944</v>
      </c>
      <c r="AB23" s="52">
        <f>+[11]제주!$Q$89</f>
        <v>90825.972309538061</v>
      </c>
      <c r="AC23" s="47">
        <f>+[11]제주!$R$89</f>
        <v>89420.48065664235</v>
      </c>
      <c r="AD23" s="53">
        <f>+[12]제주!$Q$89</f>
        <v>84321.96246070393</v>
      </c>
      <c r="AE23" s="52">
        <f t="shared" si="8"/>
        <v>35958.313404747649</v>
      </c>
      <c r="AF23" s="47">
        <f t="shared" si="8"/>
        <v>34203.960381642057</v>
      </c>
      <c r="AG23" s="53">
        <f t="shared" si="8"/>
        <v>35097.338174745513</v>
      </c>
      <c r="AH23" s="18"/>
      <c r="AI23" s="660"/>
      <c r="AJ23" s="9"/>
    </row>
    <row r="24" spans="2:38" s="8" customFormat="1" ht="19.5" customHeight="1" x14ac:dyDescent="0.3">
      <c r="F24" s="9">
        <f t="shared" si="2"/>
        <v>0.45411247983997483</v>
      </c>
      <c r="G24" s="663">
        <f t="shared" si="9"/>
        <v>0.88676531365313671</v>
      </c>
      <c r="H24" s="80"/>
      <c r="I24" s="84" t="s">
        <v>48</v>
      </c>
      <c r="J24" s="23">
        <f>SUM(J7:J10)</f>
        <v>1355</v>
      </c>
      <c r="K24" s="20">
        <f>SUM(K7:K10)</f>
        <v>1201.5670000000002</v>
      </c>
      <c r="L24" s="21">
        <f t="shared" si="1"/>
        <v>-153.43299999999977</v>
      </c>
      <c r="M24" s="25">
        <f>SUM(M7:M10)</f>
        <v>1494.54168</v>
      </c>
      <c r="N24" s="22">
        <f t="shared" si="3"/>
        <v>-292.97467999999981</v>
      </c>
      <c r="O24" s="23">
        <f>SUM(O7:O10)</f>
        <v>135817.94490056959</v>
      </c>
      <c r="P24" s="20">
        <f>SUM(P7:P10)</f>
        <v>117954.15519200001</v>
      </c>
      <c r="Q24" s="21">
        <f t="shared" si="4"/>
        <v>-17863.789708569588</v>
      </c>
      <c r="R24" s="25">
        <f>SUM(R7:R10)</f>
        <v>140340.49963700003</v>
      </c>
      <c r="S24" s="22">
        <f t="shared" si="5"/>
        <v>-22386.344445000024</v>
      </c>
      <c r="T24" s="23">
        <f>SUM(T7:T10)</f>
        <v>17915.95225675586</v>
      </c>
      <c r="U24" s="20">
        <f>SUM(U7:U10)</f>
        <v>8135.8575080099972</v>
      </c>
      <c r="V24" s="21">
        <f t="shared" si="6"/>
        <v>-9780.0947487458616</v>
      </c>
      <c r="W24" s="25">
        <f>SUM(W7:W10)</f>
        <v>15921.668735999996</v>
      </c>
      <c r="X24" s="22">
        <f t="shared" si="7"/>
        <v>-7785.8112279899988</v>
      </c>
      <c r="Y24" s="23">
        <f>+[11]수도권!$Q$85</f>
        <v>100234.64568307721</v>
      </c>
      <c r="Z24" s="20">
        <f>+[11]수도권!$R$85</f>
        <v>98175.05222356382</v>
      </c>
      <c r="AA24" s="24">
        <f>+[12]수도권!$Q$85</f>
        <v>93881.756022386675</v>
      </c>
      <c r="AB24" s="29">
        <f>+[11]수도권!$Q$89</f>
        <v>78291.649138796798</v>
      </c>
      <c r="AC24" s="20">
        <f>+[11]수도권!$R$89</f>
        <v>81236.793882205311</v>
      </c>
      <c r="AD24" s="30">
        <f>+[12]수도권!$Q$89</f>
        <v>74767.643090711877</v>
      </c>
      <c r="AE24" s="29">
        <f t="shared" si="8"/>
        <v>21942.99654428041</v>
      </c>
      <c r="AF24" s="20">
        <f t="shared" si="8"/>
        <v>16938.258341358509</v>
      </c>
      <c r="AG24" s="30">
        <f t="shared" si="8"/>
        <v>19114.112931674797</v>
      </c>
      <c r="AH24" s="18"/>
      <c r="AI24" s="660"/>
      <c r="AJ24" s="96"/>
    </row>
    <row r="25" spans="2:38" s="8" customFormat="1" ht="19.5" customHeight="1" x14ac:dyDescent="0.3">
      <c r="F25" s="9">
        <f t="shared" si="2"/>
        <v>0.67211921449823497</v>
      </c>
      <c r="G25" s="663">
        <f t="shared" si="9"/>
        <v>1.0222478547854785</v>
      </c>
      <c r="H25" s="80"/>
      <c r="I25" s="84" t="s">
        <v>49</v>
      </c>
      <c r="J25" s="23">
        <f>SUM(J11:J18)</f>
        <v>1515</v>
      </c>
      <c r="K25" s="20">
        <f>SUM(K11:K18)</f>
        <v>1548.7055</v>
      </c>
      <c r="L25" s="21">
        <f t="shared" si="1"/>
        <v>33.705500000000029</v>
      </c>
      <c r="M25" s="25">
        <f>SUM(M11:M18)</f>
        <v>1678.0355</v>
      </c>
      <c r="N25" s="22">
        <f t="shared" si="3"/>
        <v>-129.32999999999993</v>
      </c>
      <c r="O25" s="23">
        <f>SUM(O11:O18)</f>
        <v>154954.50900575001</v>
      </c>
      <c r="P25" s="20">
        <f>SUM(P11:P18)</f>
        <v>155875.848352</v>
      </c>
      <c r="Q25" s="21">
        <f t="shared" si="4"/>
        <v>921.33934624999529</v>
      </c>
      <c r="R25" s="25">
        <f>SUM(R11:R18)</f>
        <v>164333.14178199999</v>
      </c>
      <c r="S25" s="22">
        <f t="shared" si="5"/>
        <v>-8457.2934299999906</v>
      </c>
      <c r="T25" s="23">
        <f>SUM(T11:T18)</f>
        <v>22933.688434286651</v>
      </c>
      <c r="U25" s="20">
        <f>SUM(U11:U18)</f>
        <v>15414.172656000001</v>
      </c>
      <c r="V25" s="21">
        <f t="shared" si="6"/>
        <v>-7519.5157782866499</v>
      </c>
      <c r="W25" s="25">
        <f>SUM(W11:W18)</f>
        <v>24390.475601999999</v>
      </c>
      <c r="X25" s="22">
        <f t="shared" si="7"/>
        <v>-8976.302945999998</v>
      </c>
      <c r="Y25" s="23">
        <f>+[11]영남권!$Q$85</f>
        <v>102280.2039641914</v>
      </c>
      <c r="Z25" s="20">
        <f>+[11]영남권!$R$85</f>
        <v>100664.51082845427</v>
      </c>
      <c r="AA25" s="24">
        <f>+[12]영남권!$Q$85</f>
        <v>97936.195945242594</v>
      </c>
      <c r="AB25" s="29">
        <f>+[11]영남권!$Q$89</f>
        <v>75594.468844274277</v>
      </c>
      <c r="AC25" s="20">
        <f>+[11]영남권!$R$89</f>
        <v>78859.643032026695</v>
      </c>
      <c r="AD25" s="30">
        <f>+[12]영남권!$Q$89</f>
        <v>72543.876376942746</v>
      </c>
      <c r="AE25" s="29">
        <f t="shared" si="8"/>
        <v>26685.735119917124</v>
      </c>
      <c r="AF25" s="20">
        <f t="shared" si="8"/>
        <v>21804.86779642757</v>
      </c>
      <c r="AG25" s="30">
        <f t="shared" si="8"/>
        <v>25392.319568299848</v>
      </c>
      <c r="AH25" s="18"/>
      <c r="AI25" s="660"/>
      <c r="AJ25" s="96"/>
    </row>
    <row r="26" spans="2:38" s="8" customFormat="1" ht="19.5" customHeight="1" x14ac:dyDescent="0.3">
      <c r="F26" s="9">
        <f t="shared" si="2"/>
        <v>0.85256590734645432</v>
      </c>
      <c r="G26" s="663">
        <f t="shared" si="9"/>
        <v>0.99675476190476175</v>
      </c>
      <c r="H26" s="80"/>
      <c r="I26" s="84" t="s">
        <v>137</v>
      </c>
      <c r="J26" s="23">
        <f>SUM(J19:J23)</f>
        <v>630</v>
      </c>
      <c r="K26" s="20">
        <f>SUM(K19:K23)</f>
        <v>627.95549999999992</v>
      </c>
      <c r="L26" s="21">
        <f t="shared" si="1"/>
        <v>-2.0445000000000846</v>
      </c>
      <c r="M26" s="25">
        <f>SUM(M19:M23)</f>
        <v>671.05049999999994</v>
      </c>
      <c r="N26" s="22">
        <f t="shared" si="3"/>
        <v>-43.095000000000027</v>
      </c>
      <c r="O26" s="23">
        <f>SUM(O19:O23)</f>
        <v>66698.86731999999</v>
      </c>
      <c r="P26" s="20">
        <f>SUM(P19:P23)</f>
        <v>65735.235329000003</v>
      </c>
      <c r="Q26" s="21">
        <f t="shared" si="4"/>
        <v>-963.63199099998747</v>
      </c>
      <c r="R26" s="25">
        <f>SUM(R19:R23)</f>
        <v>67112.539055000001</v>
      </c>
      <c r="S26" s="22">
        <f t="shared" si="5"/>
        <v>-1377.3037259999983</v>
      </c>
      <c r="T26" s="23">
        <f>SUM(T19:T23)</f>
        <v>11127.883103522572</v>
      </c>
      <c r="U26" s="20">
        <f>SUM(U19:U23)</f>
        <v>9487.2537549999997</v>
      </c>
      <c r="V26" s="21">
        <f t="shared" si="6"/>
        <v>-1640.6293485225724</v>
      </c>
      <c r="W26" s="25">
        <f>SUM(W19:W23)</f>
        <v>11078.728545000002</v>
      </c>
      <c r="X26" s="22">
        <f t="shared" si="7"/>
        <v>-1591.474790000002</v>
      </c>
      <c r="Y26" s="23">
        <f>+[11]중부권!$Q$85</f>
        <v>105871.21796825396</v>
      </c>
      <c r="Z26" s="20">
        <f>+[11]중부권!$R$85</f>
        <v>104665.49395355821</v>
      </c>
      <c r="AA26" s="24">
        <f>+[12]중부권!$Q$85</f>
        <v>100087.18395581827</v>
      </c>
      <c r="AB26" s="29">
        <f>+[11]중부권!$Q$89</f>
        <v>76527.275263178439</v>
      </c>
      <c r="AC26" s="20">
        <f>+[11]중부권!$R$89</f>
        <v>76562.819182250692</v>
      </c>
      <c r="AD26" s="30">
        <f>+[12]중부권!$Q$89</f>
        <v>71825.070658085358</v>
      </c>
      <c r="AE26" s="29">
        <f t="shared" si="8"/>
        <v>29343.942705075518</v>
      </c>
      <c r="AF26" s="20">
        <f t="shared" si="8"/>
        <v>28102.674771307516</v>
      </c>
      <c r="AG26" s="30">
        <f t="shared" si="8"/>
        <v>28262.113297732911</v>
      </c>
      <c r="AH26" s="18"/>
      <c r="AI26" s="660"/>
      <c r="AJ26" s="96"/>
    </row>
    <row r="27" spans="2:38" s="3" customFormat="1" ht="19.5" customHeight="1" x14ac:dyDescent="0.3">
      <c r="B27" s="26"/>
      <c r="F27" s="9">
        <f t="shared" si="2"/>
        <v>0.63560711452099738</v>
      </c>
      <c r="G27" s="663">
        <f t="shared" si="9"/>
        <v>0.96520800000000007</v>
      </c>
      <c r="H27" s="500" t="s">
        <v>103</v>
      </c>
      <c r="I27" s="501"/>
      <c r="J27" s="502">
        <f>SUM(J24:J26)</f>
        <v>3500</v>
      </c>
      <c r="K27" s="503">
        <f>SUM(K24:K26)</f>
        <v>3378.2280000000001</v>
      </c>
      <c r="L27" s="504">
        <f t="shared" si="1"/>
        <v>-121.77199999999993</v>
      </c>
      <c r="M27" s="505">
        <f>SUM(M24:M26)</f>
        <v>3843.6276800000001</v>
      </c>
      <c r="N27" s="506">
        <f t="shared" si="3"/>
        <v>-465.39967999999999</v>
      </c>
      <c r="O27" s="502">
        <f>SUM(O24:O26)</f>
        <v>357471.32122631953</v>
      </c>
      <c r="P27" s="503">
        <f>SUM(P24:P26)</f>
        <v>339565.23887299997</v>
      </c>
      <c r="Q27" s="504">
        <f t="shared" si="4"/>
        <v>-17906.082353319565</v>
      </c>
      <c r="R27" s="505">
        <f>SUM(R24:R26)</f>
        <v>371786.18047399999</v>
      </c>
      <c r="S27" s="506">
        <f t="shared" si="5"/>
        <v>-32220.941601000028</v>
      </c>
      <c r="T27" s="502">
        <f>SUM(T24:T26)</f>
        <v>51977.523794565088</v>
      </c>
      <c r="U27" s="503">
        <f>SUM(U24:U26)</f>
        <v>33037.283919009998</v>
      </c>
      <c r="V27" s="504">
        <f t="shared" si="6"/>
        <v>-18940.239875555089</v>
      </c>
      <c r="W27" s="505">
        <f>SUM(W24:W26)</f>
        <v>51390.872883000004</v>
      </c>
      <c r="X27" s="506">
        <f t="shared" si="7"/>
        <v>-18353.588963990005</v>
      </c>
      <c r="Y27" s="502">
        <f>+[11]합계!$Q$85</f>
        <v>102134.6632075199</v>
      </c>
      <c r="Z27" s="503">
        <f>+[11]합계!$R$85</f>
        <v>100523.03337334946</v>
      </c>
      <c r="AA27" s="507">
        <f>+[12]합계!$Q$85</f>
        <v>96729.941616065073</v>
      </c>
      <c r="AB27" s="508">
        <f>+[11]합계!$Q$89</f>
        <v>76806.568085127903</v>
      </c>
      <c r="AC27" s="503">
        <f>+[11]합계!$R$89</f>
        <v>79276.382673567117</v>
      </c>
      <c r="AD27" s="509">
        <f>+[12]합계!$Q$89</f>
        <v>73284.063579971</v>
      </c>
      <c r="AE27" s="508">
        <f t="shared" si="8"/>
        <v>25328.095122391998</v>
      </c>
      <c r="AF27" s="503">
        <f t="shared" si="8"/>
        <v>21246.650699782345</v>
      </c>
      <c r="AG27" s="509">
        <f t="shared" si="8"/>
        <v>23445.878036094073</v>
      </c>
      <c r="AH27" s="27"/>
      <c r="AI27" s="660"/>
      <c r="AJ27" s="96"/>
      <c r="AL27" s="26"/>
    </row>
    <row r="28" spans="2:38" s="8" customFormat="1" ht="19.5" customHeight="1" x14ac:dyDescent="0.3">
      <c r="B28" s="8" t="s">
        <v>3</v>
      </c>
      <c r="E28" s="8" t="s">
        <v>167</v>
      </c>
      <c r="G28" s="663">
        <f t="shared" si="9"/>
        <v>1.1684912333333333</v>
      </c>
      <c r="H28" s="706" t="s">
        <v>3</v>
      </c>
      <c r="I28" s="707"/>
      <c r="J28" s="167">
        <f>+'사업장별(당월)'!J28+'[4]사업장별(누계)'!J28</f>
        <v>90000</v>
      </c>
      <c r="K28" s="168">
        <f>+'사업장별(당월)'!K28+'[4]사업장별(누계)'!K28</f>
        <v>105164.211</v>
      </c>
      <c r="L28" s="169">
        <f>+K28-J28</f>
        <v>15164.210999999996</v>
      </c>
      <c r="M28" s="170">
        <f>+'사업장별(당월)'!M28+'[4]사업장별(누계)'!M28</f>
        <v>96546.947000000015</v>
      </c>
      <c r="N28" s="171">
        <f>+K28-M28</f>
        <v>8617.263999999981</v>
      </c>
      <c r="O28" s="167">
        <f>+'사업장별(당월)'!O28+'[4]사업장별(누계)'!O28</f>
        <v>110033.79368421054</v>
      </c>
      <c r="P28" s="168">
        <f>+'사업장별(당월)'!P28+'[4]사업장별(누계)'!P28</f>
        <v>103999.84695300001</v>
      </c>
      <c r="Q28" s="169">
        <f>+P28-O28</f>
        <v>-6033.9467312105262</v>
      </c>
      <c r="R28" s="170">
        <f>+'사업장별(당월)'!R28+'[4]사업장별(누계)'!R28</f>
        <v>118368.377329</v>
      </c>
      <c r="S28" s="171">
        <f t="shared" si="5"/>
        <v>-14368.530375999981</v>
      </c>
      <c r="T28" s="167">
        <f>+'사업장별(당월)'!T28+'[4]사업장별(누계)'!T28</f>
        <v>1300.4306743368491</v>
      </c>
      <c r="U28" s="168">
        <f>+'사업장별(당월)'!U28+'[4]사업장별(누계)'!U28</f>
        <v>500.75827500000139</v>
      </c>
      <c r="V28" s="169">
        <f t="shared" si="6"/>
        <v>-799.67239933684766</v>
      </c>
      <c r="W28" s="170">
        <f>+'사업장별(당월)'!W28+'[4]사업장별(누계)'!W28</f>
        <v>781.64685500000121</v>
      </c>
      <c r="X28" s="171">
        <f t="shared" si="7"/>
        <v>-280.88857999999982</v>
      </c>
      <c r="Y28" s="520" t="s">
        <v>141</v>
      </c>
      <c r="Z28" s="521"/>
      <c r="AA28" s="521"/>
      <c r="AB28" s="521"/>
      <c r="AC28" s="521"/>
      <c r="AD28" s="521"/>
      <c r="AE28" s="521"/>
      <c r="AF28" s="521"/>
      <c r="AG28" s="522"/>
      <c r="AH28" s="18"/>
      <c r="AI28" s="19"/>
    </row>
    <row r="29" spans="2:38" s="8" customFormat="1" ht="19.5" customHeight="1" x14ac:dyDescent="0.3">
      <c r="B29" s="8" t="s">
        <v>159</v>
      </c>
      <c r="C29" s="79" t="s">
        <v>53</v>
      </c>
      <c r="G29" s="663">
        <f>+P28/O28</f>
        <v>0.94516278563904155</v>
      </c>
      <c r="H29" s="86" t="s">
        <v>1</v>
      </c>
      <c r="I29" s="79" t="s">
        <v>188</v>
      </c>
      <c r="J29" s="56">
        <f>+'사업장별(당월)'!J29+'[4]사업장별(누계)'!J29</f>
        <v>300.00017607285093</v>
      </c>
      <c r="K29" s="57">
        <f>+'사업장별(당월)'!K29+'[4]사업장별(누계)'!K29</f>
        <v>238.35299999999998</v>
      </c>
      <c r="L29" s="38">
        <f t="shared" si="1"/>
        <v>-61.647176072850954</v>
      </c>
      <c r="M29" s="38">
        <f>+'사업장별(당월)'!M29+'[4]사업장별(누계)'!M29</f>
        <v>309.48999999999995</v>
      </c>
      <c r="N29" s="58">
        <f t="shared" si="3"/>
        <v>-71.136999999999972</v>
      </c>
      <c r="O29" s="56">
        <f>+'사업장별(당월)'!O29+'[4]사업장별(누계)'!O29</f>
        <v>8721.9064142176303</v>
      </c>
      <c r="P29" s="57">
        <f>+'사업장별(당월)'!P29+'[4]사업장별(누계)'!P29</f>
        <v>6922.5480799999996</v>
      </c>
      <c r="Q29" s="38">
        <f t="shared" si="4"/>
        <v>-1799.3583342176307</v>
      </c>
      <c r="R29" s="38">
        <f>+'사업장별(당월)'!R29+'[4]사업장별(누계)'!R29</f>
        <v>9008.1723999999995</v>
      </c>
      <c r="S29" s="58">
        <f t="shared" si="5"/>
        <v>-2085.6243199999999</v>
      </c>
      <c r="T29" s="56">
        <f>+'사업장별(당월)'!T29+'[4]사업장별(누계)'!T29</f>
        <v>504.52215497375073</v>
      </c>
      <c r="U29" s="57">
        <f>+'사업장별(당월)'!U29+'[4]사업장별(누계)'!U29</f>
        <v>339.72439163340761</v>
      </c>
      <c r="V29" s="38">
        <f t="shared" si="6"/>
        <v>-164.79776334034312</v>
      </c>
      <c r="W29" s="38">
        <f>+'사업장별(당월)'!W29+'[4]사업장별(누계)'!W29</f>
        <v>349.85153103000005</v>
      </c>
      <c r="X29" s="58">
        <f t="shared" si="7"/>
        <v>-10.12713939659244</v>
      </c>
      <c r="Y29" s="669"/>
      <c r="Z29" s="459"/>
      <c r="AA29" s="459"/>
      <c r="AB29" s="459"/>
      <c r="AC29" s="668"/>
      <c r="AD29" s="459"/>
      <c r="AE29" s="459"/>
      <c r="AF29" s="459"/>
      <c r="AG29" s="51"/>
      <c r="AH29" s="18"/>
      <c r="AI29" s="651"/>
      <c r="AJ29" s="651"/>
      <c r="AK29" s="651"/>
    </row>
    <row r="30" spans="2:38" s="8" customFormat="1" ht="19.5" customHeight="1" x14ac:dyDescent="0.3">
      <c r="B30" s="8" t="s">
        <v>160</v>
      </c>
      <c r="C30" s="81" t="s">
        <v>54</v>
      </c>
      <c r="G30" s="661"/>
      <c r="H30" s="85"/>
      <c r="I30" s="81" t="s">
        <v>184</v>
      </c>
      <c r="J30" s="54">
        <f>+'사업장별(당월)'!J30+'[4]사업장별(누계)'!J30</f>
        <v>425.99938354666671</v>
      </c>
      <c r="K30" s="59">
        <f>+'사업장별(당월)'!K30+'[4]사업장별(누계)'!K30</f>
        <v>172.09200000000001</v>
      </c>
      <c r="L30" s="48">
        <f t="shared" si="1"/>
        <v>-253.90738354666669</v>
      </c>
      <c r="M30" s="48">
        <f>+'사업장별(당월)'!M30+'[4]사업장별(누계)'!M30</f>
        <v>398.54199999999997</v>
      </c>
      <c r="N30" s="60">
        <f t="shared" si="3"/>
        <v>-226.44999999999996</v>
      </c>
      <c r="O30" s="54">
        <f>+'사업장별(당월)'!O30+'[4]사업장별(누계)'!O30</f>
        <v>5334.5644198666669</v>
      </c>
      <c r="P30" s="59">
        <f>+'사업장별(당월)'!P30+'[4]사업장별(누계)'!P30</f>
        <v>2413.663</v>
      </c>
      <c r="Q30" s="48">
        <f t="shared" si="4"/>
        <v>-2920.9014198666669</v>
      </c>
      <c r="R30" s="48">
        <f>+'사업장별(당월)'!R30+'[4]사업장별(누계)'!R30</f>
        <v>4805.3020000000006</v>
      </c>
      <c r="S30" s="60">
        <f t="shared" si="5"/>
        <v>-2391.6390000000006</v>
      </c>
      <c r="T30" s="54">
        <f>+'사업장별(당월)'!T30+'[4]사업장별(누계)'!T30</f>
        <v>1089.7857397869443</v>
      </c>
      <c r="U30" s="59">
        <f>+'사업장별(당월)'!U30+'[4]사업장별(누계)'!U30</f>
        <v>-278.7264241139863</v>
      </c>
      <c r="V30" s="48">
        <f t="shared" si="6"/>
        <v>-1368.5121639009305</v>
      </c>
      <c r="W30" s="48">
        <f>+'사업장별(당월)'!W30+'[4]사업장별(누계)'!W30</f>
        <v>751.30645301000027</v>
      </c>
      <c r="X30" s="60">
        <f t="shared" si="7"/>
        <v>-1030.0328771239865</v>
      </c>
      <c r="Y30" s="499"/>
      <c r="Z30" s="459"/>
      <c r="AA30" s="459"/>
      <c r="AB30" s="668"/>
      <c r="AC30" s="459"/>
      <c r="AD30" s="668"/>
      <c r="AE30" s="459"/>
      <c r="AF30" s="459"/>
      <c r="AG30" s="51"/>
      <c r="AH30" s="18"/>
      <c r="AI30" s="651"/>
      <c r="AJ30" s="651"/>
      <c r="AK30" s="651"/>
      <c r="AL30" s="98"/>
    </row>
    <row r="31" spans="2:38" s="8" customFormat="1" ht="19.5" customHeight="1" x14ac:dyDescent="0.3">
      <c r="B31" s="8" t="s">
        <v>143</v>
      </c>
      <c r="C31" s="83" t="s">
        <v>143</v>
      </c>
      <c r="G31" s="661"/>
      <c r="H31" s="85"/>
      <c r="I31" s="83" t="s">
        <v>186</v>
      </c>
      <c r="J31" s="54">
        <f>+'사업장별(당월)'!J31+'[4]사업장별(누계)'!J31</f>
        <v>499.99987709049373</v>
      </c>
      <c r="K31" s="59">
        <f>+'사업장별(당월)'!K31+'[4]사업장별(누계)'!K31</f>
        <v>429.666</v>
      </c>
      <c r="L31" s="48">
        <f t="shared" si="1"/>
        <v>-70.333877090493729</v>
      </c>
      <c r="M31" s="48">
        <f>+'사업장별(당월)'!M31+'[4]사업장별(누계)'!M31</f>
        <v>140.06800000000001</v>
      </c>
      <c r="N31" s="60">
        <f t="shared" si="3"/>
        <v>289.59799999999996</v>
      </c>
      <c r="O31" s="54">
        <f>+'사업장별(당월)'!O31+'[4]사업장별(누계)'!O31</f>
        <v>9023.7826668100079</v>
      </c>
      <c r="P31" s="59">
        <f>+'사업장별(당월)'!P31+'[4]사업장별(누계)'!P31</f>
        <v>7733.933</v>
      </c>
      <c r="Q31" s="48">
        <f t="shared" si="4"/>
        <v>-1289.8496668100079</v>
      </c>
      <c r="R31" s="48">
        <f>+'사업장별(당월)'!R31+'[4]사업장별(누계)'!R31</f>
        <v>2460.752</v>
      </c>
      <c r="S31" s="60">
        <f t="shared" si="5"/>
        <v>5273.1810000000005</v>
      </c>
      <c r="T31" s="54">
        <f>+'사업장별(당월)'!T31+'[4]사업장별(누계)'!T31</f>
        <v>510.85122535316907</v>
      </c>
      <c r="U31" s="59">
        <f>+'사업장별(당월)'!U31+'[4]사업장별(누계)'!U31</f>
        <v>-822.30434175000005</v>
      </c>
      <c r="V31" s="48">
        <f t="shared" si="6"/>
        <v>-1333.1555671031692</v>
      </c>
      <c r="W31" s="48">
        <f>+'사업장별(당월)'!W31+'[4]사업장별(누계)'!W31</f>
        <v>-620.61893798999995</v>
      </c>
      <c r="X31" s="60">
        <f t="shared" si="7"/>
        <v>-201.6854037600001</v>
      </c>
      <c r="Y31" s="458"/>
      <c r="Z31" s="459"/>
      <c r="AA31" s="459"/>
      <c r="AB31" s="459"/>
      <c r="AC31" s="459"/>
      <c r="AD31" s="459"/>
      <c r="AE31" s="459"/>
      <c r="AF31" s="459"/>
      <c r="AG31" s="51"/>
      <c r="AH31" s="18"/>
      <c r="AI31" s="651"/>
      <c r="AJ31" s="651"/>
      <c r="AK31" s="651"/>
      <c r="AL31" s="98"/>
    </row>
    <row r="32" spans="2:38" s="3" customFormat="1" ht="19.5" customHeight="1" x14ac:dyDescent="0.3">
      <c r="G32" s="663">
        <f>+K32/J32</f>
        <v>0.68524582870482464</v>
      </c>
      <c r="H32" s="146" t="s">
        <v>38</v>
      </c>
      <c r="I32" s="147"/>
      <c r="J32" s="148">
        <f>SUM(J29:J31)</f>
        <v>1225.9994367100114</v>
      </c>
      <c r="K32" s="152">
        <f>SUM(K29:K31)</f>
        <v>840.11099999999999</v>
      </c>
      <c r="L32" s="150">
        <f t="shared" si="1"/>
        <v>-385.88843671001143</v>
      </c>
      <c r="M32" s="150">
        <f>SUM(M29:M31)</f>
        <v>848.09999999999991</v>
      </c>
      <c r="N32" s="151">
        <f t="shared" si="3"/>
        <v>-7.9889999999999191</v>
      </c>
      <c r="O32" s="148">
        <f>SUM(O29:O31)</f>
        <v>23080.253500894305</v>
      </c>
      <c r="P32" s="152">
        <f>SUM(P29:P31)</f>
        <v>17070.144079999998</v>
      </c>
      <c r="Q32" s="150">
        <f t="shared" si="4"/>
        <v>-6010.1094208943068</v>
      </c>
      <c r="R32" s="150">
        <f>SUM(R29:R31)</f>
        <v>16274.2264</v>
      </c>
      <c r="S32" s="151">
        <f t="shared" si="5"/>
        <v>795.91767999999865</v>
      </c>
      <c r="T32" s="148">
        <f>SUM(T29:T31)</f>
        <v>2105.159120113864</v>
      </c>
      <c r="U32" s="152">
        <f>SUM(U29:U31)</f>
        <v>-761.30637423057874</v>
      </c>
      <c r="V32" s="150">
        <f t="shared" si="6"/>
        <v>-2866.465494344443</v>
      </c>
      <c r="W32" s="150">
        <f>SUM(W29:W31)</f>
        <v>480.53904605000048</v>
      </c>
      <c r="X32" s="151">
        <f t="shared" si="7"/>
        <v>-1241.8454202805792</v>
      </c>
      <c r="Y32" s="458"/>
      <c r="Z32" s="459"/>
      <c r="AA32" s="459"/>
      <c r="AB32" s="459"/>
      <c r="AC32" s="459"/>
      <c r="AD32" s="459"/>
      <c r="AE32" s="459"/>
      <c r="AF32" s="459"/>
      <c r="AG32" s="51"/>
      <c r="AH32" s="27"/>
      <c r="AI32" s="652"/>
      <c r="AJ32" s="652"/>
      <c r="AK32" s="652"/>
    </row>
    <row r="33" spans="2:38" s="8" customFormat="1" ht="19.5" customHeight="1" x14ac:dyDescent="0.3">
      <c r="B33" s="8" t="s">
        <v>163</v>
      </c>
      <c r="C33" s="8" t="s">
        <v>162</v>
      </c>
      <c r="D33" t="s">
        <v>161</v>
      </c>
      <c r="E33" t="s">
        <v>90</v>
      </c>
      <c r="F33"/>
      <c r="G33" s="661"/>
      <c r="H33" s="89" t="s">
        <v>4</v>
      </c>
      <c r="I33" s="88" t="s">
        <v>89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1090.0800000000002</v>
      </c>
      <c r="P33" s="47">
        <f>+'사업장별(당월)'!P33+'[4]사업장별(누계)'!P33</f>
        <v>1090.0800000000002</v>
      </c>
      <c r="Q33" s="49">
        <f t="shared" si="4"/>
        <v>0</v>
      </c>
      <c r="R33" s="48">
        <f>+'사업장별(당월)'!R33+'[4]사업장별(누계)'!R33</f>
        <v>1021.3300000000003</v>
      </c>
      <c r="S33" s="60">
        <f t="shared" si="5"/>
        <v>68.749999999999886</v>
      </c>
      <c r="T33" s="46">
        <f>+'사업장별(당월)'!T33+'[4]사업장별(누계)'!T33</f>
        <v>817.57517200000007</v>
      </c>
      <c r="U33" s="47">
        <f>+'사업장별(당월)'!U33+'[4]사업장별(누계)'!U33</f>
        <v>771.41685799999993</v>
      </c>
      <c r="V33" s="49">
        <f t="shared" si="6"/>
        <v>-46.158314000000132</v>
      </c>
      <c r="W33" s="48">
        <f>+'사업장별(당월)'!W33+'[4]사업장별(누계)'!W33</f>
        <v>691.94446300000004</v>
      </c>
      <c r="X33" s="60">
        <f t="shared" si="7"/>
        <v>79.472394999999892</v>
      </c>
      <c r="Y33" s="499"/>
      <c r="Z33" s="668"/>
      <c r="AA33" s="459"/>
      <c r="AB33" s="459"/>
      <c r="AC33" s="459"/>
      <c r="AD33" s="459"/>
      <c r="AE33" s="459"/>
      <c r="AF33" s="459"/>
      <c r="AG33" s="51"/>
      <c r="AH33" s="18"/>
      <c r="AI33" s="19"/>
    </row>
    <row r="34" spans="2:38" s="8" customFormat="1" ht="19.5" customHeight="1" x14ac:dyDescent="0.3">
      <c r="B34" s="8" t="s">
        <v>164</v>
      </c>
      <c r="C34" s="8" t="s">
        <v>165</v>
      </c>
      <c r="D34"/>
      <c r="E34" t="s">
        <v>36</v>
      </c>
      <c r="F34"/>
      <c r="G34" s="661"/>
      <c r="H34" s="89"/>
      <c r="I34" s="88" t="s">
        <v>51</v>
      </c>
      <c r="J34" s="46"/>
      <c r="K34" s="47"/>
      <c r="L34" s="49">
        <f>+K34-J34</f>
        <v>0</v>
      </c>
      <c r="M34" s="48">
        <v>0</v>
      </c>
      <c r="N34" s="60">
        <f t="shared" ref="N34:N40" si="10">+K34-M34</f>
        <v>0</v>
      </c>
      <c r="O34" s="46">
        <f>+'사업장별(당월)'!O34+'[4]사업장별(누계)'!O34</f>
        <v>868.17000400000006</v>
      </c>
      <c r="P34" s="47">
        <f>+'사업장별(당월)'!P34+'[4]사업장별(누계)'!P34</f>
        <v>875.84247000000005</v>
      </c>
      <c r="Q34" s="49">
        <f t="shared" ref="Q34:Q39" si="11">+P34-O34</f>
        <v>7.6724659999999858</v>
      </c>
      <c r="R34" s="48">
        <f>+'사업장별(당월)'!R34+'[4]사업장별(누계)'!R34</f>
        <v>1116.1272920000001</v>
      </c>
      <c r="S34" s="60">
        <f t="shared" si="5"/>
        <v>-240.28482200000008</v>
      </c>
      <c r="T34" s="46">
        <f>+'사업장별(당월)'!T34+'[4]사업장별(누계)'!T34</f>
        <v>795.42736099999991</v>
      </c>
      <c r="U34" s="47">
        <f>+'사업장별(당월)'!U34+'[4]사업장별(누계)'!U34</f>
        <v>800.92318899999998</v>
      </c>
      <c r="V34" s="49">
        <f t="shared" si="6"/>
        <v>5.4958280000000741</v>
      </c>
      <c r="W34" s="48">
        <f>+'사업장별(당월)'!W34+'[4]사업장별(누계)'!W34</f>
        <v>787.04431900000009</v>
      </c>
      <c r="X34" s="60">
        <f t="shared" si="7"/>
        <v>13.878869999999893</v>
      </c>
      <c r="Y34" s="499"/>
      <c r="Z34" s="668"/>
      <c r="AA34" s="459"/>
      <c r="AB34" s="668"/>
      <c r="AC34" s="668"/>
      <c r="AD34" s="668"/>
      <c r="AE34" s="459"/>
      <c r="AF34" s="459"/>
      <c r="AG34" s="51"/>
      <c r="AH34" s="18"/>
      <c r="AI34" s="19"/>
    </row>
    <row r="35" spans="2:38" s="8" customFormat="1" ht="19.5" customHeight="1" x14ac:dyDescent="0.3">
      <c r="B35" s="8" t="s">
        <v>166</v>
      </c>
      <c r="D35"/>
      <c r="E35"/>
      <c r="F35"/>
      <c r="G35" s="5" t="s">
        <v>189</v>
      </c>
      <c r="H35" s="87"/>
      <c r="I35" s="88" t="s">
        <v>34</v>
      </c>
      <c r="J35" s="46"/>
      <c r="K35" s="47"/>
      <c r="L35" s="49">
        <f>+K35-J35</f>
        <v>0</v>
      </c>
      <c r="M35" s="48"/>
      <c r="N35" s="60">
        <f t="shared" si="10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si="11"/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-16184.900738896285</v>
      </c>
      <c r="U35" s="47">
        <f>+'사업장별(당월)'!U35+'[4]사업장별(누계)'!U35</f>
        <v>-17443.479454768898</v>
      </c>
      <c r="V35" s="49">
        <f t="shared" si="6"/>
        <v>-1258.5787158726125</v>
      </c>
      <c r="W35" s="48">
        <f>+'사업장별(당월)'!W35+'[4]사업장별(누계)'!W35</f>
        <v>-15938.368245</v>
      </c>
      <c r="X35" s="60">
        <f t="shared" si="7"/>
        <v>-1505.1112097688983</v>
      </c>
      <c r="Y35" s="499"/>
      <c r="Z35" s="459"/>
      <c r="AA35" s="459"/>
      <c r="AB35" s="459"/>
      <c r="AC35" s="459"/>
      <c r="AD35" s="668"/>
      <c r="AE35" s="459"/>
      <c r="AF35" s="459"/>
      <c r="AG35" s="51"/>
      <c r="AH35" s="18"/>
      <c r="AK35" s="467"/>
      <c r="AL35" s="98"/>
    </row>
    <row r="36" spans="2:38" s="8" customFormat="1" ht="19.5" customHeight="1" x14ac:dyDescent="0.3">
      <c r="D36"/>
      <c r="E36"/>
      <c r="F36"/>
      <c r="G36" s="5"/>
      <c r="H36" s="87"/>
      <c r="I36" s="88" t="s">
        <v>105</v>
      </c>
      <c r="J36" s="46"/>
      <c r="K36" s="47"/>
      <c r="L36" s="49"/>
      <c r="M36" s="48"/>
      <c r="N36" s="60">
        <f t="shared" si="10"/>
        <v>0</v>
      </c>
      <c r="O36" s="46">
        <f>+'사업장별(당월)'!O37+'[4]사업장별(누계)'!O37</f>
        <v>0</v>
      </c>
      <c r="P36" s="47">
        <f>+'사업장별(당월)'!P37+'[4]사업장별(누계)'!P37</f>
        <v>0</v>
      </c>
      <c r="Q36" s="49">
        <f t="shared" si="11"/>
        <v>0</v>
      </c>
      <c r="R36" s="48">
        <f>+'사업장별(당월)'!R37+'[4]사업장별(누계)'!R37</f>
        <v>0</v>
      </c>
      <c r="S36" s="60">
        <f t="shared" si="5"/>
        <v>0</v>
      </c>
      <c r="T36" s="46">
        <f>+'사업장별(당월)'!T37+'[4]사업장별(누계)'!T37</f>
        <v>0</v>
      </c>
      <c r="U36" s="47">
        <f>+'사업장별(당월)'!U37+'[4]사업장별(누계)'!U37</f>
        <v>-254.34662400000002</v>
      </c>
      <c r="V36" s="49">
        <f t="shared" si="6"/>
        <v>-254.34662400000002</v>
      </c>
      <c r="W36" s="48">
        <f>+'사업장별(당월)'!W37+'[4]사업장별(누계)'!W37</f>
        <v>-2957.9953559999999</v>
      </c>
      <c r="X36" s="60">
        <f t="shared" si="7"/>
        <v>2703.6487319999997</v>
      </c>
      <c r="Y36" s="458"/>
      <c r="Z36" s="668"/>
      <c r="AA36" s="459"/>
      <c r="AB36" s="668"/>
      <c r="AC36" s="459"/>
      <c r="AD36" s="459"/>
      <c r="AE36" s="459"/>
      <c r="AF36" s="459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5"/>
      <c r="H37" s="87"/>
      <c r="I37" s="88" t="s">
        <v>144</v>
      </c>
      <c r="J37" s="46"/>
      <c r="K37" s="47"/>
      <c r="L37" s="49"/>
      <c r="M37" s="48">
        <f>SUM(M53:M56)</f>
        <v>0</v>
      </c>
      <c r="N37" s="60">
        <f t="shared" si="10"/>
        <v>0</v>
      </c>
      <c r="O37" s="46">
        <f>+'사업장별(당월)'!O38+'[4]사업장별(누계)'!O38</f>
        <v>0</v>
      </c>
      <c r="P37" s="47">
        <f>+'사업장별(당월)'!P38+'[4]사업장별(누계)'!P38</f>
        <v>0</v>
      </c>
      <c r="Q37" s="49">
        <f t="shared" si="11"/>
        <v>0</v>
      </c>
      <c r="R37" s="48">
        <f>+'사업장별(당월)'!R38+'[4]사업장별(누계)'!R38</f>
        <v>188.626</v>
      </c>
      <c r="S37" s="60">
        <f t="shared" si="5"/>
        <v>-188.626</v>
      </c>
      <c r="T37" s="46">
        <f>+'사업장별(당월)'!T38+'[4]사업장별(누계)'!T38</f>
        <v>-346.52851233351561</v>
      </c>
      <c r="U37" s="47">
        <f>+'사업장별(당월)'!U38+'[4]사업장별(누계)'!U38</f>
        <v>-408.81052400000004</v>
      </c>
      <c r="V37" s="49">
        <f t="shared" si="6"/>
        <v>-62.282011666484436</v>
      </c>
      <c r="W37" s="48">
        <f>+'사업장별(당월)'!W38+'[4]사업장별(누계)'!W38</f>
        <v>-142.77902599999999</v>
      </c>
      <c r="X37" s="60">
        <f>+U37-W37</f>
        <v>-266.03149800000006</v>
      </c>
      <c r="Y37" s="458"/>
      <c r="Z37" s="459"/>
      <c r="AA37" s="459"/>
      <c r="AB37" s="459"/>
      <c r="AC37" s="459"/>
      <c r="AD37" s="459"/>
      <c r="AE37" s="459"/>
      <c r="AF37" s="459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35</v>
      </c>
      <c r="D38"/>
      <c r="G38" s="661"/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10"/>
        <v>0</v>
      </c>
      <c r="O38" s="46">
        <f>+'사업장별(당월)'!O39+'[4]사업장별(누계)'!O39</f>
        <v>21.24</v>
      </c>
      <c r="P38" s="47">
        <f>+'사업장별(당월)'!P39+'[4]사업장별(누계)'!P39</f>
        <v>20.98485000000522</v>
      </c>
      <c r="Q38" s="55">
        <f t="shared" si="11"/>
        <v>-0.25514999999477794</v>
      </c>
      <c r="R38" s="61">
        <f>+'사업장별(당월)'!R39+'[4]사업장별(누계)'!R39</f>
        <v>-13.019299999989576</v>
      </c>
      <c r="S38" s="62">
        <f t="shared" si="5"/>
        <v>34.004149999994794</v>
      </c>
      <c r="T38" s="46">
        <f>+'사업장별(당월)'!T39+'[4]사업장별(누계)'!T39++'사업장별(당월)'!T36+'[4]사업장별(누계)'!T36</f>
        <v>549.68262000000288</v>
      </c>
      <c r="U38" s="47">
        <f>+'사업장별(당월)'!U39+'[4]사업장별(누계)'!U39+'사업장별(당월)'!U36+'[4]사업장별(누계)'!U36</f>
        <v>1075.3121990000172</v>
      </c>
      <c r="V38" s="49">
        <f t="shared" si="6"/>
        <v>525.62957900001436</v>
      </c>
      <c r="W38" s="61">
        <f>+'사업장별(당월)'!W39+'[4]사업장별(누계)'!W39</f>
        <v>-265.85987499999908</v>
      </c>
      <c r="X38" s="60">
        <f t="shared" si="7"/>
        <v>1341.1720740000164</v>
      </c>
      <c r="Y38" s="466"/>
      <c r="Z38" s="668"/>
      <c r="AA38" s="459"/>
      <c r="AB38" s="459"/>
      <c r="AC38" s="459"/>
      <c r="AD38" s="459"/>
      <c r="AE38" s="459"/>
      <c r="AF38" s="459"/>
      <c r="AG38" s="51"/>
      <c r="AH38" s="18"/>
      <c r="AI38" s="19"/>
    </row>
    <row r="39" spans="2:38" s="8" customFormat="1" ht="19.5" customHeight="1" x14ac:dyDescent="0.3">
      <c r="G39" s="661"/>
      <c r="H39" s="87"/>
      <c r="I39" s="88"/>
      <c r="J39" s="46"/>
      <c r="K39" s="47"/>
      <c r="L39" s="55"/>
      <c r="M39" s="61"/>
      <c r="N39" s="62">
        <f t="shared" si="10"/>
        <v>0</v>
      </c>
      <c r="O39" s="46">
        <f>+'사업장별(당월)'!O40+'[4]사업장별(누계)'!O40</f>
        <v>0</v>
      </c>
      <c r="P39" s="47">
        <f>+'사업장별(당월)'!P40+'[4]사업장별(누계)'!P40</f>
        <v>0</v>
      </c>
      <c r="Q39" s="55">
        <f t="shared" si="11"/>
        <v>0</v>
      </c>
      <c r="R39" s="61">
        <f>+'사업장별(당월)'!R40+'[4]사업장별(누계)'!R40</f>
        <v>0</v>
      </c>
      <c r="S39" s="62">
        <f t="shared" si="5"/>
        <v>0</v>
      </c>
      <c r="T39" s="46">
        <f>+'사업장별(당월)'!T40+'[4]사업장별(누계)'!T40</f>
        <v>0</v>
      </c>
      <c r="U39" s="47">
        <f>+'사업장별(당월)'!U40+'[4]사업장별(누계)'!U40</f>
        <v>0</v>
      </c>
      <c r="V39" s="49">
        <f t="shared" si="6"/>
        <v>0</v>
      </c>
      <c r="W39" s="61">
        <f>+'사업장별(당월)'!W40+'[4]사업장별(누계)'!W40</f>
        <v>0</v>
      </c>
      <c r="X39" s="60"/>
      <c r="Y39" s="655"/>
      <c r="Z39" s="459"/>
      <c r="AA39" s="459"/>
      <c r="AB39" s="459"/>
      <c r="AC39" s="459"/>
      <c r="AD39" s="459"/>
      <c r="AE39" s="459"/>
      <c r="AF39" s="459"/>
      <c r="AG39" s="51"/>
      <c r="AH39" s="31"/>
    </row>
    <row r="40" spans="2:38" s="3" customFormat="1" ht="19.5" customHeight="1" x14ac:dyDescent="0.3">
      <c r="D40" s="526"/>
      <c r="G40" s="665"/>
      <c r="H40" s="146" t="s">
        <v>106</v>
      </c>
      <c r="I40" s="147"/>
      <c r="J40" s="517">
        <f>SUM(J33:J39)</f>
        <v>0</v>
      </c>
      <c r="K40" s="518">
        <f>SUM(K33:K39)</f>
        <v>0</v>
      </c>
      <c r="L40" s="518">
        <f>+K40-J40</f>
        <v>0</v>
      </c>
      <c r="M40" s="518">
        <f>SUM(M33:M39)</f>
        <v>0</v>
      </c>
      <c r="N40" s="519">
        <f t="shared" si="10"/>
        <v>0</v>
      </c>
      <c r="O40" s="148">
        <f>SUM(O33:O39)</f>
        <v>1979.4900040000002</v>
      </c>
      <c r="P40" s="149">
        <f>SUM(P33:P39)</f>
        <v>1986.9073200000055</v>
      </c>
      <c r="Q40" s="153">
        <f t="shared" si="4"/>
        <v>7.4173160000052576</v>
      </c>
      <c r="R40" s="154">
        <f>SUM(R33:R39)</f>
        <v>2313.0639920000112</v>
      </c>
      <c r="S40" s="155">
        <f>+P40-R40</f>
        <v>-326.15667200000576</v>
      </c>
      <c r="T40" s="148">
        <f>SUM(T33:T39)</f>
        <v>-14368.744098229799</v>
      </c>
      <c r="U40" s="149">
        <f>SUM(U33:U39)</f>
        <v>-15458.98435676888</v>
      </c>
      <c r="V40" s="153">
        <f>+U40-T40</f>
        <v>-1090.240258539081</v>
      </c>
      <c r="W40" s="154">
        <f>SUM(W33:W39)</f>
        <v>-17826.013719999999</v>
      </c>
      <c r="X40" s="155">
        <f>+U40-W40</f>
        <v>2367.0293632311186</v>
      </c>
      <c r="Y40" s="656"/>
      <c r="Z40" s="461"/>
      <c r="AA40" s="461"/>
      <c r="AB40" s="461"/>
      <c r="AC40" s="461"/>
      <c r="AD40" s="461"/>
      <c r="AE40" s="461"/>
      <c r="AF40" s="461"/>
      <c r="AG40" s="462"/>
      <c r="AH40" s="26"/>
    </row>
    <row r="41" spans="2:38" s="8" customFormat="1" ht="19.5" customHeight="1" x14ac:dyDescent="0.3">
      <c r="G41" s="661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/>
      <c r="V41" s="32"/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  <c r="AI41" s="19"/>
    </row>
    <row r="42" spans="2:38" s="3" customFormat="1" ht="19.5" customHeight="1" x14ac:dyDescent="0.3">
      <c r="G42" s="666">
        <f>+P42/O42</f>
        <v>0.93921060206010276</v>
      </c>
      <c r="H42" s="510" t="s">
        <v>37</v>
      </c>
      <c r="I42" s="511"/>
      <c r="J42" s="523"/>
      <c r="K42" s="524"/>
      <c r="L42" s="524"/>
      <c r="M42" s="524"/>
      <c r="N42" s="525"/>
      <c r="O42" s="512">
        <f>+O27+O32+O28+O40</f>
        <v>492564.85841542436</v>
      </c>
      <c r="P42" s="513">
        <f>+P27+P32+P28+P40</f>
        <v>462622.13722599996</v>
      </c>
      <c r="Q42" s="514">
        <f t="shared" si="4"/>
        <v>-29942.721189424396</v>
      </c>
      <c r="R42" s="515">
        <f>+R27+R32+R28+R40</f>
        <v>508741.84819499997</v>
      </c>
      <c r="S42" s="516">
        <f>+P42-R42</f>
        <v>-46119.710969000007</v>
      </c>
      <c r="T42" s="512">
        <f>+T27+T32+T28+T40</f>
        <v>41014.369490786004</v>
      </c>
      <c r="U42" s="513">
        <f>+U27+U32+U28+U40</f>
        <v>17317.751463010543</v>
      </c>
      <c r="V42" s="514">
        <f>+U42-T42</f>
        <v>-23696.618027775461</v>
      </c>
      <c r="W42" s="515">
        <f>+W27+W32+W28+W40</f>
        <v>34827.045064050006</v>
      </c>
      <c r="X42" s="516">
        <f>+U42-W42</f>
        <v>-17509.293601039462</v>
      </c>
      <c r="Y42" s="708"/>
      <c r="Z42" s="709"/>
      <c r="AA42" s="709"/>
      <c r="AB42" s="709"/>
      <c r="AC42" s="709"/>
      <c r="AD42" s="709"/>
      <c r="AE42" s="709"/>
      <c r="AF42" s="709"/>
      <c r="AG42" s="710"/>
      <c r="AH42" s="26"/>
      <c r="AI42" s="654"/>
      <c r="AK42" s="654"/>
    </row>
    <row r="43" spans="2:38" s="34" customFormat="1" x14ac:dyDescent="0.3">
      <c r="G43" s="663">
        <f>+U42/T42</f>
        <v>0.42223619863036116</v>
      </c>
      <c r="P43" s="530">
        <f>+P42/O42</f>
        <v>0.93921060206010276</v>
      </c>
      <c r="T43" s="657">
        <f>+T42/O42</f>
        <v>8.326694198755627E-2</v>
      </c>
      <c r="U43" s="657">
        <f>+U42/P42</f>
        <v>3.7433901384080294E-2</v>
      </c>
      <c r="AC43" s="35"/>
      <c r="AF43" s="35"/>
    </row>
    <row r="44" spans="2:38" s="34" customFormat="1" ht="17.25" thickBot="1" x14ac:dyDescent="0.35">
      <c r="G44" s="667"/>
      <c r="AC44" s="35"/>
      <c r="AF44" s="35"/>
    </row>
    <row r="45" spans="2:38" s="34" customFormat="1" x14ac:dyDescent="0.3">
      <c r="G45" s="667"/>
      <c r="I45" s="705" t="s">
        <v>91</v>
      </c>
      <c r="J45" s="138">
        <f>+'사업장별(당월)'!J46+'[4]사업장별(누계)'!J46</f>
        <v>3500</v>
      </c>
      <c r="K45" s="139">
        <f>+'사업장별(당월)'!K46+'[4]사업장별(누계)'!K46</f>
        <v>3378.2279999999992</v>
      </c>
      <c r="L45" s="139"/>
      <c r="M45" s="139">
        <f>+'사업장별(당월)'!M46+'[4]사업장별(누계)'!M46</f>
        <v>3843.6276800000005</v>
      </c>
      <c r="N45" s="139"/>
      <c r="O45" s="139">
        <f>+'사업장별(당월)'!O46+'[4]사업장별(누계)'!O46</f>
        <v>492564.85841542447</v>
      </c>
      <c r="P45" s="139">
        <f>+'사업장별(당월)'!P46+'[4]사업장별(누계)'!P46</f>
        <v>462622.13722600002</v>
      </c>
      <c r="Q45" s="139"/>
      <c r="R45" s="139">
        <f>+'사업장별(당월)'!R46+'[4]사업장별(누계)'!R46</f>
        <v>508741.84819500009</v>
      </c>
      <c r="S45" s="139"/>
      <c r="T45" s="144">
        <f>+'사업장별(당월)'!T46+'[4]사업장별(누계)'!T46</f>
        <v>41014.36949078599</v>
      </c>
      <c r="U45" s="139">
        <f>+'사업장별(당월)'!U46+'[4]사업장별(누계)'!U46</f>
        <v>17317.751463010532</v>
      </c>
      <c r="V45" s="139"/>
      <c r="W45" s="139">
        <f>+'사업장별(당월)'!W46+'[4]사업장별(누계)'!W46</f>
        <v>35856.030168049998</v>
      </c>
      <c r="X45" s="140"/>
      <c r="AC45" s="35"/>
      <c r="AF45" s="35"/>
    </row>
    <row r="46" spans="2:38" s="34" customFormat="1" ht="17.25" thickBot="1" x14ac:dyDescent="0.35">
      <c r="G46" s="667"/>
      <c r="I46" s="705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0</v>
      </c>
      <c r="U46" s="145">
        <f>+U45-U42</f>
        <v>0</v>
      </c>
      <c r="V46" s="141"/>
      <c r="W46" s="141">
        <f>+W45-W42</f>
        <v>1028.9851039999921</v>
      </c>
      <c r="X46" s="142"/>
      <c r="AC46" s="35"/>
      <c r="AF46" s="35"/>
      <c r="AG46" s="34" t="s">
        <v>92</v>
      </c>
    </row>
    <row r="47" spans="2:38" x14ac:dyDescent="0.3">
      <c r="T47" s="527"/>
      <c r="U47" s="527">
        <f>+U42-U28</f>
        <v>16816.993188010543</v>
      </c>
      <c r="V47" s="527"/>
    </row>
    <row r="48" spans="2:38" x14ac:dyDescent="0.3">
      <c r="P48" s="98"/>
      <c r="T48" s="527"/>
      <c r="U48" s="527"/>
      <c r="V48" s="527"/>
    </row>
    <row r="49" spans="10:33" x14ac:dyDescent="0.3">
      <c r="S49" t="s">
        <v>46</v>
      </c>
      <c r="T49" s="469">
        <f>(+T27+T35)/100</f>
        <v>357.92623055668804</v>
      </c>
      <c r="U49" s="469">
        <f>(+U27+U35)/100</f>
        <v>155.938044642411</v>
      </c>
      <c r="V49" s="469">
        <f>+U49-T49</f>
        <v>-201.98818591427704</v>
      </c>
      <c r="W49" s="468">
        <f>+U49/T49-1</f>
        <v>-0.56432909541198417</v>
      </c>
    </row>
    <row r="50" spans="10:33" x14ac:dyDescent="0.3">
      <c r="S50" t="s">
        <v>3</v>
      </c>
      <c r="T50" s="6">
        <f>+T28/100</f>
        <v>13.00430674336849</v>
      </c>
      <c r="U50" s="6">
        <f>+U28/100</f>
        <v>5.0075827500000143</v>
      </c>
      <c r="V50" s="469">
        <f>+U50-T50</f>
        <v>-7.9967239933684757</v>
      </c>
    </row>
    <row r="51" spans="10:33" x14ac:dyDescent="0.3">
      <c r="S51" t="s">
        <v>1</v>
      </c>
      <c r="T51" s="6">
        <f>+T32/100</f>
        <v>21.051591201138638</v>
      </c>
      <c r="U51" s="6">
        <f>+U32/100</f>
        <v>-7.613063742305787</v>
      </c>
      <c r="V51" s="469">
        <f>+U51-T51</f>
        <v>-28.664654943444425</v>
      </c>
    </row>
    <row r="52" spans="10:33" x14ac:dyDescent="0.3">
      <c r="S52" t="s">
        <v>51</v>
      </c>
      <c r="T52" s="6">
        <f>(T33+T34)/100</f>
        <v>16.130025329999999</v>
      </c>
      <c r="U52" s="6">
        <f>(U33+U34)/100</f>
        <v>15.72340047</v>
      </c>
      <c r="V52" s="469">
        <f>+U52-T52</f>
        <v>-0.40662485999999909</v>
      </c>
    </row>
    <row r="53" spans="10:33" x14ac:dyDescent="0.3">
      <c r="J53" s="469"/>
      <c r="K53" s="469"/>
      <c r="L53" s="469"/>
      <c r="M53" s="469"/>
      <c r="N53" s="469"/>
      <c r="O53" s="469"/>
      <c r="P53" s="469"/>
      <c r="Q53" s="469"/>
      <c r="R53" s="469"/>
      <c r="S53" s="469" t="s">
        <v>4</v>
      </c>
      <c r="T53" s="469">
        <f>(T45/100)-T49-T50-T51-T52</f>
        <v>2.0315410766647588</v>
      </c>
      <c r="U53" s="469">
        <f>(U45/100)-U49-U50-U51-U52</f>
        <v>4.1215505100000929</v>
      </c>
      <c r="V53" s="469">
        <f>+U53-T53</f>
        <v>2.0900094333353341</v>
      </c>
      <c r="W53" s="469"/>
      <c r="X53" s="469"/>
      <c r="Y53" s="469"/>
      <c r="Z53" s="469"/>
      <c r="AA53" s="469"/>
      <c r="AB53" s="469"/>
      <c r="AC53" s="469"/>
      <c r="AD53" s="469"/>
      <c r="AE53" s="469"/>
      <c r="AF53" s="469"/>
      <c r="AG53" s="469"/>
    </row>
    <row r="54" spans="10:33" x14ac:dyDescent="0.3"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</row>
    <row r="55" spans="10:33" x14ac:dyDescent="0.3"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527"/>
      <c r="U55" s="527"/>
      <c r="V55" s="469"/>
      <c r="W55" s="469"/>
      <c r="X55" s="469"/>
      <c r="Y55" s="469"/>
      <c r="Z55" s="469"/>
      <c r="AA55" s="469"/>
      <c r="AB55" s="469"/>
      <c r="AC55" s="469"/>
      <c r="AD55" s="469"/>
      <c r="AE55" s="469"/>
      <c r="AF55" s="469"/>
      <c r="AG55" s="469"/>
    </row>
    <row r="56" spans="10:33" x14ac:dyDescent="0.3"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</row>
    <row r="57" spans="10:33" x14ac:dyDescent="0.3">
      <c r="S57" s="469"/>
      <c r="T57" s="469"/>
      <c r="U57" s="469"/>
      <c r="V57" s="469"/>
    </row>
    <row r="58" spans="10:33" x14ac:dyDescent="0.3">
      <c r="S58" s="469"/>
      <c r="T58" s="469"/>
      <c r="U58" s="469"/>
      <c r="V58" s="469"/>
    </row>
    <row r="59" spans="10:33" x14ac:dyDescent="0.3">
      <c r="S59" s="469"/>
      <c r="T59" s="469"/>
      <c r="U59" s="469"/>
      <c r="V59" s="469"/>
    </row>
    <row r="60" spans="10:33" x14ac:dyDescent="0.3">
      <c r="T60" s="6"/>
      <c r="U60" s="6"/>
      <c r="V60" s="6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 codeName="Sheet9">
    <tabColor theme="1" tint="0.249977111117893"/>
    <pageSetUpPr fitToPage="1"/>
  </sheetPr>
  <dimension ref="D3:AP55"/>
  <sheetViews>
    <sheetView showGridLines="0" view="pageBreakPreview" topLeftCell="A4" zoomScale="60" zoomScaleNormal="70" workbookViewId="0">
      <pane ySplit="6" topLeftCell="A10" activePane="bottomLeft" state="frozenSplit"/>
      <selection activeCell="M35" sqref="M35"/>
      <selection pane="bottomLeft" activeCell="N10" sqref="N10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183" t="s">
        <v>206</v>
      </c>
      <c r="F6" s="183"/>
      <c r="G6" s="183"/>
      <c r="H6" s="183"/>
      <c r="I6" s="183"/>
      <c r="J6" s="183"/>
      <c r="K6" s="183"/>
      <c r="L6" s="183"/>
      <c r="M6" s="183"/>
    </row>
    <row r="7" spans="4:17" ht="21.95" customHeight="1" thickBot="1" x14ac:dyDescent="0.35">
      <c r="D7" s="184"/>
      <c r="O7" s="185" t="s">
        <v>68</v>
      </c>
    </row>
    <row r="8" spans="4:17" ht="25.5" customHeight="1" thickTop="1" x14ac:dyDescent="0.3">
      <c r="D8" s="711" t="s">
        <v>11</v>
      </c>
      <c r="E8" s="712"/>
      <c r="F8" s="721" t="s">
        <v>200</v>
      </c>
      <c r="G8" s="722"/>
      <c r="H8" s="722"/>
      <c r="I8" s="722"/>
      <c r="J8" s="723"/>
      <c r="K8" s="681" t="s">
        <v>196</v>
      </c>
      <c r="L8" s="681"/>
      <c r="M8" s="681"/>
      <c r="N8" s="681"/>
      <c r="O8" s="684"/>
      <c r="P8" s="186"/>
      <c r="Q8" s="186"/>
    </row>
    <row r="9" spans="4:17" ht="25.5" customHeight="1" x14ac:dyDescent="0.3">
      <c r="D9" s="713"/>
      <c r="E9" s="714"/>
      <c r="F9" s="440" t="s">
        <v>12</v>
      </c>
      <c r="G9" s="357" t="s">
        <v>13</v>
      </c>
      <c r="H9" s="366" t="s">
        <v>63</v>
      </c>
      <c r="I9" s="357" t="s">
        <v>14</v>
      </c>
      <c r="J9" s="441" t="s">
        <v>64</v>
      </c>
      <c r="K9" s="366" t="s">
        <v>12</v>
      </c>
      <c r="L9" s="357" t="s">
        <v>13</v>
      </c>
      <c r="M9" s="366" t="s">
        <v>63</v>
      </c>
      <c r="N9" s="357" t="s">
        <v>14</v>
      </c>
      <c r="O9" s="367" t="s">
        <v>64</v>
      </c>
      <c r="P9" s="186"/>
      <c r="Q9" s="186"/>
    </row>
    <row r="10" spans="4:17" ht="25.5" customHeight="1" x14ac:dyDescent="0.3">
      <c r="D10" s="71" t="s">
        <v>98</v>
      </c>
      <c r="E10" s="90" t="s">
        <v>78</v>
      </c>
      <c r="F10" s="442">
        <f>+IFERROR(HLOOKUP($F$8,[13]손익!$G$5:$AI$63,2,),)</f>
        <v>8600</v>
      </c>
      <c r="G10" s="358">
        <f>+'[7]12월'!$G$8</f>
        <v>8003.0569999999998</v>
      </c>
      <c r="H10" s="203">
        <f>+G10-F10</f>
        <v>-596.94300000000021</v>
      </c>
      <c r="I10" s="358">
        <f>+IFERROR(HLOOKUP($F$8,[8]월별!$E$2:$T$53,2,),)</f>
        <v>7811.91</v>
      </c>
      <c r="J10" s="443">
        <f>+G10-I10</f>
        <v>191.14699999999993</v>
      </c>
      <c r="K10" s="203">
        <f>+F10+[4]건자재!K10</f>
        <v>90000</v>
      </c>
      <c r="L10" s="358">
        <f>+G10+[4]건자재!L10</f>
        <v>105164.211</v>
      </c>
      <c r="M10" s="203">
        <f>+L10-K10</f>
        <v>15164.210999999996</v>
      </c>
      <c r="N10" s="358">
        <f>+I10+[4]건자재!N10</f>
        <v>96546.947000000015</v>
      </c>
      <c r="O10" s="351">
        <f>+L10-N10</f>
        <v>8617.263999999981</v>
      </c>
      <c r="P10" s="77"/>
      <c r="Q10" s="77"/>
    </row>
    <row r="11" spans="4:17" ht="25.5" customHeight="1" x14ac:dyDescent="0.3">
      <c r="D11" s="72" t="s">
        <v>21</v>
      </c>
      <c r="E11" s="356" t="s">
        <v>110</v>
      </c>
      <c r="F11" s="444">
        <f>+F12/F10*1000</f>
        <v>977906.97674418602</v>
      </c>
      <c r="G11" s="359">
        <f>+G12/G10*1000</f>
        <v>752238.01942182856</v>
      </c>
      <c r="H11" s="213">
        <f t="shared" ref="H11:H28" si="0">+G11-F11</f>
        <v>-225668.95732235746</v>
      </c>
      <c r="I11" s="359">
        <f>+I12/I10*1000</f>
        <v>951341.4287927025</v>
      </c>
      <c r="J11" s="445">
        <f t="shared" ref="J11:J28" si="1">+G11-I11</f>
        <v>-199103.40937087394</v>
      </c>
      <c r="K11" s="213">
        <f>+K12/K10*1000</f>
        <v>977000</v>
      </c>
      <c r="L11" s="359">
        <f>+L12/L10*1000</f>
        <v>824691.47076090367</v>
      </c>
      <c r="M11" s="213">
        <f t="shared" ref="M11:M28" si="2">+L11-K11</f>
        <v>-152308.52923909633</v>
      </c>
      <c r="N11" s="359">
        <f>+N12/N10*1000</f>
        <v>1015943.5106736206</v>
      </c>
      <c r="O11" s="211">
        <f t="shared" ref="O11:O28" si="3">+L11-N11</f>
        <v>-191252.03991271695</v>
      </c>
      <c r="P11" s="77"/>
      <c r="Q11" s="77"/>
    </row>
    <row r="12" spans="4:17" ht="25.5" customHeight="1" x14ac:dyDescent="0.3">
      <c r="D12" s="187" t="s">
        <v>69</v>
      </c>
      <c r="E12" s="91" t="s">
        <v>110</v>
      </c>
      <c r="F12" s="417">
        <f>+IFERROR(HLOOKUP($F$8,[13]손익!$G$5:$AI$63,22,),)</f>
        <v>8410000</v>
      </c>
      <c r="G12" s="360">
        <f>+'[7]12월'!$G$9</f>
        <v>6020203.7470000004</v>
      </c>
      <c r="H12" s="195">
        <f t="shared" si="0"/>
        <v>-2389796.2529999996</v>
      </c>
      <c r="I12" s="360">
        <f>+IFERROR(HLOOKUP($F$8,[8]월별!$E$2:$T$53,5,),)</f>
        <v>7431793.6210000003</v>
      </c>
      <c r="J12" s="418">
        <f t="shared" si="1"/>
        <v>-1411589.8739999998</v>
      </c>
      <c r="K12" s="195">
        <f>+F12+[4]건자재!K12</f>
        <v>87930000</v>
      </c>
      <c r="L12" s="360">
        <f>+G12+[4]건자재!L12</f>
        <v>86728027.841000006</v>
      </c>
      <c r="M12" s="195">
        <f t="shared" si="2"/>
        <v>-1201972.1589999944</v>
      </c>
      <c r="N12" s="360">
        <f>+I12+[4]건자재!N12</f>
        <v>98086244.280000001</v>
      </c>
      <c r="O12" s="218">
        <f t="shared" si="3"/>
        <v>-11358216.438999996</v>
      </c>
      <c r="P12" s="77"/>
      <c r="Q12" s="77"/>
    </row>
    <row r="13" spans="4:17" ht="25.5" customHeight="1" x14ac:dyDescent="0.3">
      <c r="D13" s="187"/>
      <c r="E13" s="92" t="s">
        <v>111</v>
      </c>
      <c r="F13" s="446">
        <f>+IFERROR(HLOOKUP($F$8,[13]손익!$G$5:$AI$63,23,),)</f>
        <v>2094631.5789473671</v>
      </c>
      <c r="G13" s="361">
        <f>+'[7]12월'!$J$9</f>
        <v>1425697.8589999992</v>
      </c>
      <c r="H13" s="205">
        <f t="shared" si="0"/>
        <v>-668933.71994736791</v>
      </c>
      <c r="I13" s="361">
        <f>+IFERROR(HLOOKUP($F$8,[8]월별!$E$2:$T$53,6,),)</f>
        <v>2190959.5439999988</v>
      </c>
      <c r="J13" s="447">
        <f t="shared" si="1"/>
        <v>-765261.68499999959</v>
      </c>
      <c r="K13" s="205">
        <f>+F13+[4]건자재!K13</f>
        <v>22103793.684210531</v>
      </c>
      <c r="L13" s="361">
        <f>+G13+[4]건자재!L13</f>
        <v>17271819.111999996</v>
      </c>
      <c r="M13" s="205">
        <f t="shared" si="2"/>
        <v>-4831974.5722105354</v>
      </c>
      <c r="N13" s="361">
        <f>+I13+[4]건자재!N13</f>
        <v>20282133.048999999</v>
      </c>
      <c r="O13" s="352">
        <f t="shared" si="3"/>
        <v>-3010313.9370000027</v>
      </c>
      <c r="P13" s="77"/>
      <c r="Q13" s="77"/>
    </row>
    <row r="14" spans="4:17" ht="25.5" customHeight="1" x14ac:dyDescent="0.3">
      <c r="D14" s="187"/>
      <c r="E14" s="94" t="s">
        <v>50</v>
      </c>
      <c r="F14" s="415">
        <f>SUM(F12:F13)</f>
        <v>10504631.578947367</v>
      </c>
      <c r="G14" s="362">
        <f>SUM(G12:G13)</f>
        <v>7445901.6059999997</v>
      </c>
      <c r="H14" s="204">
        <f t="shared" si="0"/>
        <v>-3058729.9729473675</v>
      </c>
      <c r="I14" s="362">
        <f>SUM(I12:I13)</f>
        <v>9622753.1649999991</v>
      </c>
      <c r="J14" s="416">
        <f t="shared" si="1"/>
        <v>-2176851.5589999994</v>
      </c>
      <c r="K14" s="204">
        <f>SUM(K12:K13)</f>
        <v>110033793.68421054</v>
      </c>
      <c r="L14" s="362">
        <f>SUM(L12:L13)</f>
        <v>103999846.95300001</v>
      </c>
      <c r="M14" s="204">
        <f t="shared" si="2"/>
        <v>-6033946.7312105298</v>
      </c>
      <c r="N14" s="362">
        <f>SUM(N12:N13)</f>
        <v>118368377.329</v>
      </c>
      <c r="O14" s="221">
        <f t="shared" si="3"/>
        <v>-14368530.375999987</v>
      </c>
      <c r="P14" s="77"/>
      <c r="Q14" s="77"/>
    </row>
    <row r="15" spans="4:17" ht="25.5" customHeight="1" x14ac:dyDescent="0.3">
      <c r="D15" s="71" t="s">
        <v>5</v>
      </c>
      <c r="E15" s="90" t="s">
        <v>110</v>
      </c>
      <c r="F15" s="442">
        <f>+IFERROR(HLOOKUP($F$8,[13]손익!$G$5:$AI$63,25,),)</f>
        <v>8213980</v>
      </c>
      <c r="G15" s="358">
        <f>+'[7]12월'!$G$11</f>
        <v>5934990.8200000003</v>
      </c>
      <c r="H15" s="203">
        <f t="shared" si="0"/>
        <v>-2278989.1799999997</v>
      </c>
      <c r="I15" s="358">
        <f>+IFERROR(HLOOKUP($F$8,[8]월별!$E$2:$T$53,8,),)</f>
        <v>7281578.4900000002</v>
      </c>
      <c r="J15" s="443">
        <f t="shared" si="1"/>
        <v>-1346587.67</v>
      </c>
      <c r="K15" s="203">
        <f>+F15+[4]건자재!K15</f>
        <v>85884165</v>
      </c>
      <c r="L15" s="358">
        <f>+G15+[4]건자재!L15</f>
        <v>84893904.878000021</v>
      </c>
      <c r="M15" s="203">
        <f t="shared" si="2"/>
        <v>-990260.12199997902</v>
      </c>
      <c r="N15" s="358">
        <f>+I15+[4]건자재!N15</f>
        <v>96194484.28899999</v>
      </c>
      <c r="O15" s="351">
        <f t="shared" si="3"/>
        <v>-11300579.410999969</v>
      </c>
      <c r="P15" s="77"/>
      <c r="Q15" s="77"/>
    </row>
    <row r="16" spans="4:17" ht="25.5" customHeight="1" x14ac:dyDescent="0.3">
      <c r="D16" s="187"/>
      <c r="E16" s="92" t="s">
        <v>111</v>
      </c>
      <c r="F16" s="446">
        <f>+IFERROR(HLOOKUP($F$8,[13]손익!$G$5:$AI$63,26,),)</f>
        <v>2021780.2926315796</v>
      </c>
      <c r="G16" s="361">
        <f>+'[7]12월'!$J$11</f>
        <v>1375066.2340000002</v>
      </c>
      <c r="H16" s="205">
        <f t="shared" si="0"/>
        <v>-646714.05863157939</v>
      </c>
      <c r="I16" s="361">
        <f>+IFERROR(HLOOKUP($F$8,[8]월별!$E$2:$T$53,9,),)</f>
        <v>2141540.9169999994</v>
      </c>
      <c r="J16" s="447">
        <f t="shared" si="1"/>
        <v>-766474.68299999926</v>
      </c>
      <c r="K16" s="205">
        <f>+F16+[4]건자재!K16</f>
        <v>21335023.739873677</v>
      </c>
      <c r="L16" s="361">
        <f>+G16+[4]건자재!L16</f>
        <v>16809081.306000005</v>
      </c>
      <c r="M16" s="205">
        <f t="shared" si="2"/>
        <v>-4525942.433873672</v>
      </c>
      <c r="N16" s="361">
        <f>+I16+[4]건자재!N16</f>
        <v>19787405.066999998</v>
      </c>
      <c r="O16" s="352">
        <f t="shared" si="3"/>
        <v>-2978323.7609999925</v>
      </c>
      <c r="P16" s="77"/>
      <c r="Q16" s="77"/>
    </row>
    <row r="17" spans="4:17" ht="25.5" customHeight="1" x14ac:dyDescent="0.3">
      <c r="D17" s="72"/>
      <c r="E17" s="368" t="s">
        <v>39</v>
      </c>
      <c r="F17" s="448">
        <f>SUM(F15:F16)</f>
        <v>10235760.29263158</v>
      </c>
      <c r="G17" s="369">
        <f>SUM(G15:G16)</f>
        <v>7310057.0540000005</v>
      </c>
      <c r="H17" s="370">
        <f t="shared" si="0"/>
        <v>-2925703.2386315791</v>
      </c>
      <c r="I17" s="369">
        <f>SUM(I15:I16)</f>
        <v>9423119.4069999997</v>
      </c>
      <c r="J17" s="449">
        <f t="shared" si="1"/>
        <v>-2113062.3529999992</v>
      </c>
      <c r="K17" s="370">
        <f>SUM(K15:K16)</f>
        <v>107219188.73987368</v>
      </c>
      <c r="L17" s="369">
        <f>SUM(L15:L16)</f>
        <v>101702986.18400003</v>
      </c>
      <c r="M17" s="370">
        <f t="shared" si="2"/>
        <v>-5516202.5558736473</v>
      </c>
      <c r="N17" s="369">
        <f>SUM(N15:N16)</f>
        <v>115981889.35599999</v>
      </c>
      <c r="O17" s="371">
        <f t="shared" si="3"/>
        <v>-14278903.171999961</v>
      </c>
      <c r="P17" s="77"/>
      <c r="Q17" s="77"/>
    </row>
    <row r="18" spans="4:17" ht="25.5" customHeight="1" x14ac:dyDescent="0.3">
      <c r="D18" s="187" t="s">
        <v>18</v>
      </c>
      <c r="E18" s="91" t="s">
        <v>110</v>
      </c>
      <c r="F18" s="417">
        <f>+F12-F15</f>
        <v>196020</v>
      </c>
      <c r="G18" s="360">
        <f>+G12-G15</f>
        <v>85212.927000000142</v>
      </c>
      <c r="H18" s="195">
        <f t="shared" si="0"/>
        <v>-110807.07299999986</v>
      </c>
      <c r="I18" s="360">
        <f>+I12-I15</f>
        <v>150215.13100000005</v>
      </c>
      <c r="J18" s="418">
        <f t="shared" si="1"/>
        <v>-65002.203999999911</v>
      </c>
      <c r="K18" s="195">
        <f>+K12-K15</f>
        <v>2045835</v>
      </c>
      <c r="L18" s="360">
        <f>+L12-L15</f>
        <v>1834122.9629999846</v>
      </c>
      <c r="M18" s="195">
        <f t="shared" si="2"/>
        <v>-211712.03700001538</v>
      </c>
      <c r="N18" s="360">
        <f>+N12-N15</f>
        <v>1891759.9910000116</v>
      </c>
      <c r="O18" s="218">
        <f t="shared" si="3"/>
        <v>-57637.028000026941</v>
      </c>
      <c r="P18" s="77"/>
      <c r="Q18" s="77"/>
    </row>
    <row r="19" spans="4:17" ht="25.5" customHeight="1" x14ac:dyDescent="0.3">
      <c r="D19" s="187"/>
      <c r="E19" s="193" t="s">
        <v>9</v>
      </c>
      <c r="F19" s="450">
        <f>+F18/F12</f>
        <v>2.330796670630202E-2</v>
      </c>
      <c r="G19" s="363">
        <f>+G18/G12</f>
        <v>1.4154492203434744E-2</v>
      </c>
      <c r="H19" s="196">
        <f t="shared" si="0"/>
        <v>-9.1534745028672756E-3</v>
      </c>
      <c r="I19" s="363">
        <f>+I18/I12</f>
        <v>2.0212500327718673E-2</v>
      </c>
      <c r="J19" s="451">
        <f t="shared" si="1"/>
        <v>-6.0580081242839288E-3</v>
      </c>
      <c r="K19" s="196">
        <f>+K18/K12</f>
        <v>2.3266632548618219E-2</v>
      </c>
      <c r="L19" s="363">
        <f>+L18/L12</f>
        <v>2.1147984206011394E-2</v>
      </c>
      <c r="M19" s="196">
        <f t="shared" si="2"/>
        <v>-2.1186483426068256E-3</v>
      </c>
      <c r="N19" s="363">
        <f>+N18/N12</f>
        <v>1.9286700239023683E-2</v>
      </c>
      <c r="O19" s="353">
        <f t="shared" si="3"/>
        <v>1.8612839669877104E-3</v>
      </c>
      <c r="P19" s="77"/>
      <c r="Q19" s="77"/>
    </row>
    <row r="20" spans="4:17" ht="25.5" customHeight="1" x14ac:dyDescent="0.3">
      <c r="D20" s="187"/>
      <c r="E20" s="93" t="s">
        <v>111</v>
      </c>
      <c r="F20" s="415">
        <f>+F13-F16</f>
        <v>72851.286315787584</v>
      </c>
      <c r="G20" s="362">
        <f>+G13-G16</f>
        <v>50631.624999999069</v>
      </c>
      <c r="H20" s="204">
        <f t="shared" si="0"/>
        <v>-22219.661315788515</v>
      </c>
      <c r="I20" s="362">
        <f>+I13-I16</f>
        <v>49418.626999999397</v>
      </c>
      <c r="J20" s="416">
        <f t="shared" si="1"/>
        <v>1212.9979999996722</v>
      </c>
      <c r="K20" s="204">
        <f>+K13-K16</f>
        <v>768769.94433685392</v>
      </c>
      <c r="L20" s="362">
        <f>+L13-L16</f>
        <v>462737.80599999055</v>
      </c>
      <c r="M20" s="204">
        <f t="shared" si="2"/>
        <v>-306032.13833686337</v>
      </c>
      <c r="N20" s="362">
        <f>+N13-N16</f>
        <v>494727.98200000077</v>
      </c>
      <c r="O20" s="221">
        <f t="shared" si="3"/>
        <v>-31990.176000010222</v>
      </c>
      <c r="P20" s="77"/>
      <c r="Q20" s="77"/>
    </row>
    <row r="21" spans="4:17" ht="25.5" customHeight="1" x14ac:dyDescent="0.3">
      <c r="D21" s="187"/>
      <c r="E21" s="194" t="s">
        <v>9</v>
      </c>
      <c r="F21" s="452">
        <f>+F20/F13</f>
        <v>3.4779999999999117E-2</v>
      </c>
      <c r="G21" s="364">
        <f>+G20/G13</f>
        <v>3.5513573005933156E-2</v>
      </c>
      <c r="H21" s="206">
        <f t="shared" si="0"/>
        <v>7.3357300593403924E-4</v>
      </c>
      <c r="I21" s="364">
        <f>+I20/I13</f>
        <v>2.2555700371252232E-2</v>
      </c>
      <c r="J21" s="453">
        <f t="shared" si="1"/>
        <v>1.2957872634680925E-2</v>
      </c>
      <c r="K21" s="206">
        <f>+K20/K13</f>
        <v>3.4780000000000526E-2</v>
      </c>
      <c r="L21" s="364">
        <f>+L20/L13</f>
        <v>2.6791492141003997E-2</v>
      </c>
      <c r="M21" s="206">
        <f t="shared" si="2"/>
        <v>-7.988507858996529E-3</v>
      </c>
      <c r="N21" s="364">
        <f>+N20/N13</f>
        <v>2.4392305326307536E-2</v>
      </c>
      <c r="O21" s="354">
        <f t="shared" si="3"/>
        <v>2.3991868146964607E-3</v>
      </c>
      <c r="P21" s="77"/>
      <c r="Q21" s="77"/>
    </row>
    <row r="22" spans="4:17" ht="25.5" customHeight="1" x14ac:dyDescent="0.3">
      <c r="D22" s="187"/>
      <c r="E22" s="94" t="s">
        <v>50</v>
      </c>
      <c r="F22" s="415">
        <f>SUM(F18,F20)</f>
        <v>268871.28631578758</v>
      </c>
      <c r="G22" s="362">
        <f>SUM(G18,G20)</f>
        <v>135844.55199999921</v>
      </c>
      <c r="H22" s="204">
        <f t="shared" si="0"/>
        <v>-133026.73431578837</v>
      </c>
      <c r="I22" s="362">
        <f>SUM(I18,I20)</f>
        <v>199633.75799999945</v>
      </c>
      <c r="J22" s="416">
        <f t="shared" si="1"/>
        <v>-63789.206000000238</v>
      </c>
      <c r="K22" s="204">
        <f>+K14-K17</f>
        <v>2814604.9443368614</v>
      </c>
      <c r="L22" s="362">
        <f>+L14-L17</f>
        <v>2296860.7689999789</v>
      </c>
      <c r="M22" s="204">
        <f t="shared" si="2"/>
        <v>-517744.17533688247</v>
      </c>
      <c r="N22" s="362">
        <f>+N14-N17</f>
        <v>2386487.9730000049</v>
      </c>
      <c r="O22" s="221">
        <f t="shared" si="3"/>
        <v>-89627.204000025988</v>
      </c>
      <c r="P22" s="77"/>
      <c r="Q22" s="77"/>
    </row>
    <row r="23" spans="4:17" ht="25.5" customHeight="1" x14ac:dyDescent="0.3">
      <c r="D23" s="187"/>
      <c r="E23" s="372" t="s">
        <v>9</v>
      </c>
      <c r="F23" s="450">
        <f>+F22/F14</f>
        <v>2.5595498927791074E-2</v>
      </c>
      <c r="G23" s="363">
        <f>+G22/G14</f>
        <v>1.8244204555501242E-2</v>
      </c>
      <c r="H23" s="196">
        <f t="shared" si="0"/>
        <v>-7.3512943722898322E-3</v>
      </c>
      <c r="I23" s="363">
        <f>+I22/I14</f>
        <v>2.0746012557623313E-2</v>
      </c>
      <c r="J23" s="451">
        <f t="shared" si="1"/>
        <v>-2.5018080021220711E-3</v>
      </c>
      <c r="K23" s="196">
        <f>+K22/K14</f>
        <v>2.5579459274253372E-2</v>
      </c>
      <c r="L23" s="363">
        <f>+L22/L14</f>
        <v>2.2085232202677996E-2</v>
      </c>
      <c r="M23" s="196">
        <f t="shared" si="2"/>
        <v>-3.4942270715753766E-3</v>
      </c>
      <c r="N23" s="363">
        <f>+N22/N14</f>
        <v>2.0161533230846448E-2</v>
      </c>
      <c r="O23" s="353">
        <f t="shared" si="3"/>
        <v>1.9236989718315473E-3</v>
      </c>
      <c r="P23" s="77"/>
      <c r="Q23" s="77"/>
    </row>
    <row r="24" spans="4:17" ht="25.5" customHeight="1" x14ac:dyDescent="0.3">
      <c r="D24" s="71" t="s">
        <v>112</v>
      </c>
      <c r="E24" s="90" t="s">
        <v>113</v>
      </c>
      <c r="F24" s="442">
        <f>+IFERROR(HLOOKUP($F$8,[13]판매4!$G$4:$U$50,7,),)</f>
        <v>83504.47</v>
      </c>
      <c r="G24" s="358">
        <f>+'[7]12월'!$M$19</f>
        <v>149560.27900000001</v>
      </c>
      <c r="H24" s="203">
        <f t="shared" si="0"/>
        <v>66055.809000000008</v>
      </c>
      <c r="I24" s="358">
        <f>+IFERROR(HLOOKUP($F$8,[8]월별!$E$2:$T$53,17,),)</f>
        <v>245571.959</v>
      </c>
      <c r="J24" s="443">
        <f t="shared" si="1"/>
        <v>-96011.68</v>
      </c>
      <c r="K24" s="203">
        <f>+F24+[4]건자재!K24</f>
        <v>999478.81999999983</v>
      </c>
      <c r="L24" s="358">
        <f>+G24+[4]건자재!L24</f>
        <v>1143789.0649999999</v>
      </c>
      <c r="M24" s="203">
        <f t="shared" si="2"/>
        <v>144310.24500000011</v>
      </c>
      <c r="N24" s="358">
        <f>+I24+[4]건자재!N24</f>
        <v>1145142.2620000001</v>
      </c>
      <c r="O24" s="351">
        <f t="shared" si="3"/>
        <v>-1353.1970000001602</v>
      </c>
      <c r="P24" s="77"/>
      <c r="Q24" s="77"/>
    </row>
    <row r="25" spans="4:17" ht="25.5" customHeight="1" x14ac:dyDescent="0.3">
      <c r="D25" s="187"/>
      <c r="E25" s="92" t="s">
        <v>114</v>
      </c>
      <c r="F25" s="446">
        <f>+IFERROR(HLOOKUP($F$8,[13]판매4!$G$4:$U$50,31,),)+IFERROR(HLOOKUP($F$8,[13]판매4!$G$4:$U$50,34,),)</f>
        <v>46326.57</v>
      </c>
      <c r="G25" s="361">
        <f>+'[7]12월'!$M$37+'[7]12월'!$M$40</f>
        <v>87386.34600000002</v>
      </c>
      <c r="H25" s="205">
        <f t="shared" si="0"/>
        <v>41059.77600000002</v>
      </c>
      <c r="I25" s="361">
        <f>+IFERROR(HLOOKUP($F$8,[8]월별!$E$2:$T$53,35,),)+IFERROR(HLOOKUP($F$8,[8]월별!$E$2:$T$53,38,),)</f>
        <v>40695.356</v>
      </c>
      <c r="J25" s="447">
        <f t="shared" si="1"/>
        <v>46690.99000000002</v>
      </c>
      <c r="K25" s="205">
        <f>+F25+[4]건자재!K25</f>
        <v>514695.45</v>
      </c>
      <c r="L25" s="361">
        <f>+G25+[4]건자재!L25</f>
        <v>652313.429</v>
      </c>
      <c r="M25" s="205">
        <f t="shared" si="2"/>
        <v>137617.97899999999</v>
      </c>
      <c r="N25" s="361">
        <f>+I25+[4]건자재!N25</f>
        <v>459698.85600000003</v>
      </c>
      <c r="O25" s="352">
        <f t="shared" si="3"/>
        <v>192614.57299999997</v>
      </c>
      <c r="P25" s="77"/>
      <c r="Q25" s="77"/>
    </row>
    <row r="26" spans="4:17" ht="25.5" customHeight="1" x14ac:dyDescent="0.3">
      <c r="D26" s="72"/>
      <c r="E26" s="368" t="s">
        <v>50</v>
      </c>
      <c r="F26" s="448">
        <f>SUM(F24:F25)</f>
        <v>129831.04000000001</v>
      </c>
      <c r="G26" s="369">
        <f>SUM(G24:G25)</f>
        <v>236946.62500000003</v>
      </c>
      <c r="H26" s="370">
        <f t="shared" si="0"/>
        <v>107115.58500000002</v>
      </c>
      <c r="I26" s="369">
        <f>SUM(I24:I25)</f>
        <v>286267.315</v>
      </c>
      <c r="J26" s="449">
        <f t="shared" si="1"/>
        <v>-49320.689999999973</v>
      </c>
      <c r="K26" s="370">
        <f>SUM(K24:K25)</f>
        <v>1514174.2699999998</v>
      </c>
      <c r="L26" s="369">
        <f>SUM(L24:L25)</f>
        <v>1796102.4939999999</v>
      </c>
      <c r="M26" s="370">
        <f t="shared" si="2"/>
        <v>281928.22400000016</v>
      </c>
      <c r="N26" s="369">
        <f>SUM(N24:N25)</f>
        <v>1604841.1180000002</v>
      </c>
      <c r="O26" s="371">
        <f t="shared" si="3"/>
        <v>191261.3759999997</v>
      </c>
      <c r="P26" s="77"/>
      <c r="Q26" s="77"/>
    </row>
    <row r="27" spans="4:17" ht="25.5" customHeight="1" x14ac:dyDescent="0.3">
      <c r="D27" s="187" t="s">
        <v>7</v>
      </c>
      <c r="E27" s="372"/>
      <c r="F27" s="417">
        <f>+F22-F26</f>
        <v>139040.24631578758</v>
      </c>
      <c r="G27" s="360">
        <f>+G22-G26</f>
        <v>-101102.07300000082</v>
      </c>
      <c r="H27" s="195">
        <f t="shared" si="0"/>
        <v>-240142.31931578839</v>
      </c>
      <c r="I27" s="360">
        <f>+I22-I26</f>
        <v>-86633.557000000554</v>
      </c>
      <c r="J27" s="418">
        <f t="shared" si="1"/>
        <v>-14468.516000000265</v>
      </c>
      <c r="K27" s="195">
        <f>+K22-K26</f>
        <v>1300430.6743368616</v>
      </c>
      <c r="L27" s="360">
        <f>+L22-L26</f>
        <v>500758.27499997895</v>
      </c>
      <c r="M27" s="195">
        <f t="shared" si="2"/>
        <v>-799672.39933688263</v>
      </c>
      <c r="N27" s="360">
        <f>+N22-N26</f>
        <v>781646.85500000464</v>
      </c>
      <c r="O27" s="218">
        <f t="shared" si="3"/>
        <v>-280888.58000002569</v>
      </c>
      <c r="P27" s="77"/>
      <c r="Q27" s="77"/>
    </row>
    <row r="28" spans="4:17" ht="25.5" customHeight="1" thickBot="1" x14ac:dyDescent="0.35">
      <c r="D28" s="187"/>
      <c r="E28" s="439" t="s">
        <v>10</v>
      </c>
      <c r="F28" s="454">
        <f>+F27/F14</f>
        <v>1.3236089744874262E-2</v>
      </c>
      <c r="G28" s="455">
        <f>+G27/G14</f>
        <v>-1.3578217702814057E-2</v>
      </c>
      <c r="H28" s="456">
        <f t="shared" si="0"/>
        <v>-2.6814307447688319E-2</v>
      </c>
      <c r="I28" s="455">
        <f>+I27/I14</f>
        <v>-9.002990673719579E-3</v>
      </c>
      <c r="J28" s="457">
        <f t="shared" si="1"/>
        <v>-4.575227029094478E-3</v>
      </c>
      <c r="K28" s="207">
        <f>+K27/K14</f>
        <v>1.18184662256489E-2</v>
      </c>
      <c r="L28" s="365">
        <f>+L27/L14</f>
        <v>4.8149904992291328E-3</v>
      </c>
      <c r="M28" s="207">
        <f t="shared" si="2"/>
        <v>-7.0034757264197675E-3</v>
      </c>
      <c r="N28" s="365">
        <f>+N27/N14</f>
        <v>6.6035107740596089E-3</v>
      </c>
      <c r="O28" s="355">
        <f t="shared" si="3"/>
        <v>-1.7885202748304761E-3</v>
      </c>
      <c r="P28" s="77"/>
      <c r="Q28" s="77"/>
    </row>
    <row r="29" spans="4:17" ht="25.5" customHeight="1" thickTop="1" x14ac:dyDescent="0.3">
      <c r="D29" s="715" t="s">
        <v>117</v>
      </c>
      <c r="E29" s="716"/>
      <c r="F29" s="164"/>
      <c r="G29" s="164"/>
      <c r="H29" s="164"/>
      <c r="I29" s="164"/>
      <c r="J29" s="164"/>
      <c r="K29" s="164"/>
      <c r="L29" s="164"/>
      <c r="M29" s="164"/>
      <c r="N29" s="75"/>
      <c r="O29" s="188"/>
      <c r="P29" s="77"/>
      <c r="Q29" s="77"/>
    </row>
    <row r="30" spans="4:17" ht="25.5" customHeight="1" x14ac:dyDescent="0.3">
      <c r="D30" s="717"/>
      <c r="E30" s="718"/>
      <c r="F30" s="164"/>
      <c r="G30" s="164"/>
      <c r="H30" s="164"/>
      <c r="I30" s="164"/>
      <c r="J30" s="164"/>
      <c r="K30" s="164"/>
      <c r="L30" s="164"/>
      <c r="M30" s="164"/>
      <c r="N30" s="75"/>
      <c r="O30" s="188"/>
      <c r="P30" s="77"/>
      <c r="Q30" s="77"/>
    </row>
    <row r="31" spans="4:17" ht="25.5" customHeight="1" x14ac:dyDescent="0.3">
      <c r="D31" s="717"/>
      <c r="E31" s="718"/>
      <c r="F31" s="164"/>
      <c r="G31" s="164"/>
      <c r="H31" s="164"/>
      <c r="I31" s="164"/>
      <c r="J31" s="164"/>
      <c r="K31" s="164"/>
      <c r="L31" s="164"/>
      <c r="M31" s="164"/>
      <c r="N31" s="75"/>
      <c r="O31" s="188"/>
      <c r="P31" s="77"/>
      <c r="Q31" s="77"/>
    </row>
    <row r="32" spans="4:17" ht="25.5" customHeight="1" x14ac:dyDescent="0.3">
      <c r="D32" s="717"/>
      <c r="E32" s="718"/>
      <c r="F32" s="164"/>
      <c r="G32" s="164"/>
      <c r="H32" s="164"/>
      <c r="I32" s="164"/>
      <c r="J32" s="164"/>
      <c r="K32" s="164"/>
      <c r="L32" s="164"/>
      <c r="M32" s="164"/>
      <c r="N32" s="75"/>
      <c r="O32" s="188"/>
      <c r="P32" s="77"/>
      <c r="Q32" s="77"/>
    </row>
    <row r="33" spans="4:42" ht="25.5" customHeight="1" x14ac:dyDescent="0.3">
      <c r="D33" s="717"/>
      <c r="E33" s="718"/>
      <c r="F33" s="164"/>
      <c r="G33" s="164"/>
      <c r="H33" s="164"/>
      <c r="I33" s="164"/>
      <c r="J33" s="164"/>
      <c r="K33" s="164"/>
      <c r="L33" s="164"/>
      <c r="M33" s="164"/>
      <c r="N33" s="75"/>
      <c r="O33" s="188"/>
      <c r="P33" s="77"/>
      <c r="Q33" s="77"/>
    </row>
    <row r="34" spans="4:42" ht="25.5" customHeight="1" x14ac:dyDescent="0.3">
      <c r="D34" s="719"/>
      <c r="E34" s="720"/>
      <c r="F34" s="198"/>
      <c r="G34" s="198"/>
      <c r="H34" s="198"/>
      <c r="I34" s="198"/>
      <c r="J34" s="198"/>
      <c r="K34" s="198"/>
      <c r="L34" s="198"/>
      <c r="M34" s="198"/>
      <c r="N34" s="166"/>
      <c r="O34" s="197"/>
      <c r="R34" s="6" t="s">
        <v>131</v>
      </c>
    </row>
    <row r="35" spans="4:42" ht="21.95" customHeight="1" x14ac:dyDescent="0.3"/>
    <row r="36" spans="4:42" ht="21.95" customHeight="1" x14ac:dyDescent="0.3">
      <c r="F36" s="6">
        <f>+IFERROR(HLOOKUP($F$8,[13]손익!$G$5:$AJ$65,17,),)</f>
        <v>139040.24631578758</v>
      </c>
      <c r="G36" s="6">
        <f>+'[7]12월'!$M$41</f>
        <v>-101102.0730000008</v>
      </c>
      <c r="I36" s="6">
        <f>+IFERROR(HLOOKUP($F$8,[8]월별!$E$2:$T$53,39,),)</f>
        <v>-86633.557000000568</v>
      </c>
      <c r="K36" s="6">
        <f>+F36+[4]건자재!K36</f>
        <v>1300430.674336849</v>
      </c>
      <c r="L36" s="6">
        <f>+G36+[4]건자재!L36</f>
        <v>500758.2750000013</v>
      </c>
      <c r="N36" s="6">
        <f>+I36+[4]건자재!N36</f>
        <v>781646.85500000103</v>
      </c>
      <c r="R36" s="438"/>
      <c r="S36" s="463" t="s">
        <v>146</v>
      </c>
      <c r="T36" s="463" t="s">
        <v>145</v>
      </c>
      <c r="U36" s="463" t="s">
        <v>147</v>
      </c>
      <c r="V36" s="463" t="s">
        <v>140</v>
      </c>
      <c r="W36" s="463" t="s">
        <v>177</v>
      </c>
      <c r="X36" s="463" t="s">
        <v>148</v>
      </c>
      <c r="Y36" s="463" t="s">
        <v>193</v>
      </c>
      <c r="Z36" s="463" t="s">
        <v>153</v>
      </c>
      <c r="AA36" s="463" t="s">
        <v>154</v>
      </c>
      <c r="AB36" s="463" t="s">
        <v>155</v>
      </c>
      <c r="AC36" s="463" t="s">
        <v>156</v>
      </c>
      <c r="AD36" s="463" t="s">
        <v>157</v>
      </c>
      <c r="AE36" s="463" t="s">
        <v>146</v>
      </c>
      <c r="AF36" s="463" t="s">
        <v>168</v>
      </c>
      <c r="AG36" s="463" t="s">
        <v>175</v>
      </c>
      <c r="AH36" s="463" t="s">
        <v>176</v>
      </c>
      <c r="AI36" s="463" t="s">
        <v>177</v>
      </c>
      <c r="AJ36" s="463" t="s">
        <v>148</v>
      </c>
      <c r="AK36" s="463" t="s">
        <v>193</v>
      </c>
      <c r="AL36" s="463" t="s">
        <v>192</v>
      </c>
      <c r="AM36" s="463" t="s">
        <v>194</v>
      </c>
      <c r="AN36" s="463" t="s">
        <v>155</v>
      </c>
      <c r="AO36" s="463" t="s">
        <v>197</v>
      </c>
      <c r="AP36" s="463" t="s">
        <v>157</v>
      </c>
    </row>
    <row r="37" spans="4:42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199" t="s">
        <v>109</v>
      </c>
      <c r="S37" s="209" t="s">
        <v>146</v>
      </c>
      <c r="T37" s="209" t="s">
        <v>145</v>
      </c>
      <c r="U37" s="209">
        <v>3</v>
      </c>
      <c r="V37" s="209" t="s">
        <v>140</v>
      </c>
      <c r="W37" s="209" t="s">
        <v>177</v>
      </c>
      <c r="X37" s="209" t="s">
        <v>148</v>
      </c>
      <c r="Y37" s="209" t="s">
        <v>193</v>
      </c>
      <c r="Z37" s="209" t="str">
        <f t="shared" ref="Z37:AE37" si="4">+Z36</f>
        <v>8월</v>
      </c>
      <c r="AA37" s="209" t="str">
        <f t="shared" si="4"/>
        <v>9월</v>
      </c>
      <c r="AB37" s="209" t="str">
        <f t="shared" si="4"/>
        <v>10월</v>
      </c>
      <c r="AC37" s="209" t="str">
        <f t="shared" si="4"/>
        <v>11월</v>
      </c>
      <c r="AD37" s="209" t="str">
        <f t="shared" si="4"/>
        <v>12월</v>
      </c>
      <c r="AE37" s="209" t="str">
        <f t="shared" si="4"/>
        <v>1월</v>
      </c>
      <c r="AF37" s="209" t="str">
        <f t="shared" ref="AF37:AO37" si="5">+AF36</f>
        <v>2월</v>
      </c>
      <c r="AG37" s="209" t="str">
        <f t="shared" si="5"/>
        <v>3월</v>
      </c>
      <c r="AH37" s="209" t="str">
        <f t="shared" si="5"/>
        <v>4월</v>
      </c>
      <c r="AI37" s="209" t="str">
        <f t="shared" si="5"/>
        <v>5월</v>
      </c>
      <c r="AJ37" s="209" t="str">
        <f t="shared" si="5"/>
        <v>6월</v>
      </c>
      <c r="AK37" s="209" t="str">
        <f t="shared" si="5"/>
        <v>7월</v>
      </c>
      <c r="AL37" s="209" t="str">
        <f t="shared" si="5"/>
        <v>8월</v>
      </c>
      <c r="AM37" s="209" t="str">
        <f t="shared" si="5"/>
        <v>9월</v>
      </c>
      <c r="AN37" s="209" t="str">
        <f t="shared" si="5"/>
        <v>10월</v>
      </c>
      <c r="AO37" s="209" t="str">
        <f t="shared" si="5"/>
        <v>11월</v>
      </c>
      <c r="AP37" s="209" t="str">
        <f t="shared" ref="AP37" si="6">+AP36</f>
        <v>12월</v>
      </c>
    </row>
    <row r="38" spans="4:42" ht="21.95" customHeight="1" x14ac:dyDescent="0.3">
      <c r="F38" s="464">
        <f>+F27-F36</f>
        <v>0</v>
      </c>
      <c r="G38" s="464">
        <f>+G27-G36</f>
        <v>0</v>
      </c>
      <c r="I38" s="464">
        <f>+I27-I36</f>
        <v>0</v>
      </c>
      <c r="K38" s="464">
        <f>+K27-K36</f>
        <v>1.257285475730896E-8</v>
      </c>
      <c r="L38" s="464">
        <f>+L27-L36</f>
        <v>-2.2351741790771484E-8</v>
      </c>
      <c r="N38" s="98">
        <f>+N27-N36</f>
        <v>3.6088749766349792E-9</v>
      </c>
      <c r="R38" s="200" t="s">
        <v>115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  <c r="AJ38" s="74">
        <f>+IFERROR(HLOOKUP(AJ$36,[7]월별!$E$2:$S$67,42,),)</f>
        <v>785072.67759542307</v>
      </c>
      <c r="AK38" s="74">
        <f>+IFERROR(HLOOKUP(AK$36,[7]월별!$E$2:$S$67,42,),)</f>
        <v>751049.2097042331</v>
      </c>
      <c r="AL38" s="74">
        <f>+IFERROR(HLOOKUP(AL$36,[7]월별!$E$2:$S$67,42,),)</f>
        <v>846014.52770958561</v>
      </c>
      <c r="AM38" s="74">
        <f>+IFERROR(HLOOKUP(AM$36,[7]월별!$E$2:$S$67,42,),)</f>
        <v>879572.42936012533</v>
      </c>
      <c r="AN38" s="74">
        <f>+IFERROR(HLOOKUP(AN$36,[7]월별!$E$2:$S$67,42,),)</f>
        <v>818946.47731031897</v>
      </c>
      <c r="AO38" s="74">
        <f>+IFERROR(HLOOKUP(AO$36,[7]월별!$E$2:$S$67,42,),)</f>
        <v>798803.69146262086</v>
      </c>
      <c r="AP38" s="74">
        <f>+IFERROR(HLOOKUP(AP$36,[7]월별!$E$2:$S$67,42,),)</f>
        <v>752238.01942182856</v>
      </c>
    </row>
    <row r="39" spans="4:42" ht="21.95" customHeight="1" x14ac:dyDescent="0.3">
      <c r="R39" s="201" t="s">
        <v>116</v>
      </c>
      <c r="S39" s="202">
        <f>+IFERROR(HLOOKUP(S$36,[8]월별!$E$2:$S$67,43,),)</f>
        <v>1.9263299607757241E-2</v>
      </c>
      <c r="T39" s="202">
        <f>+IFERROR(HLOOKUP(T$36,[8]월별!$E$2:$S$67,43,),)</f>
        <v>2.0328430506478493E-2</v>
      </c>
      <c r="U39" s="202">
        <f>+IFERROR(HLOOKUP(U$36,[8]월별!$E$2:$S$67,43,),)</f>
        <v>1.815970186077798E-2</v>
      </c>
      <c r="V39" s="202">
        <f>+IFERROR(HLOOKUP(V$36,[8]월별!$E$2:$S$67,43,),)</f>
        <v>2.0783119934692784E-2</v>
      </c>
      <c r="W39" s="202">
        <f>+IFERROR(HLOOKUP(W$36,[8]월별!$E$2:$S$67,43,),)</f>
        <v>1.8530156032889104E-2</v>
      </c>
      <c r="X39" s="202">
        <f>+IFERROR(HLOOKUP(X$36,[8]월별!$E$2:$S$67,43,),)</f>
        <v>2.338088905753952E-2</v>
      </c>
      <c r="Y39" s="202">
        <f>+IFERROR(HLOOKUP(Y$36,[8]월별!$E$2:$S$67,43,),)</f>
        <v>2.4066421287530761E-2</v>
      </c>
      <c r="Z39" s="202">
        <f>+IFERROR(HLOOKUP(Z$36,[8]월별!$E$2:$S$67,43,),)</f>
        <v>2.751551238666371E-2</v>
      </c>
      <c r="AA39" s="202">
        <f>+IFERROR(HLOOKUP(AA$36,[8]월별!$E$2:$S$67,43,),)</f>
        <v>1.6738202604907604E-2</v>
      </c>
      <c r="AB39" s="202">
        <f>+IFERROR(HLOOKUP(AB$36,[8]월별!$E$2:$S$67,43,),)</f>
        <v>1.8118540365804674E-2</v>
      </c>
      <c r="AC39" s="202">
        <f>+IFERROR(HLOOKUP(AC$36,[8]월별!$E$2:$S$67,43,),)</f>
        <v>1.7419708473984639E-2</v>
      </c>
      <c r="AD39" s="202">
        <f>+IFERROR(HLOOKUP(AD$36,[8]월별!$E$2:$S$67,43,),)</f>
        <v>2.0746012557623313E-2</v>
      </c>
      <c r="AE39" s="202">
        <f>+IFERROR(HLOOKUP(AE$36,[7]월별!$E$2:$S$67,43,),)</f>
        <v>0</v>
      </c>
      <c r="AF39" s="202">
        <f>+IFERROR(HLOOKUP(AF$36,[7]월별!$E$2:$S$67,43,),)</f>
        <v>0</v>
      </c>
      <c r="AG39" s="202">
        <f>+IFERROR(HLOOKUP(AG$36,[7]월별!$E$2:$S$67,43,),)</f>
        <v>0</v>
      </c>
      <c r="AH39" s="202">
        <f>+IFERROR(HLOOKUP(AH$36,[7]월별!$E$2:$S$67,43,),)</f>
        <v>0</v>
      </c>
      <c r="AI39" s="202">
        <f>+IFERROR(HLOOKUP(AI$36,[7]월별!$E$2:$S$67,43,),)</f>
        <v>0</v>
      </c>
      <c r="AJ39" s="202">
        <f>+IFERROR(HLOOKUP(AJ$36,[7]월별!$E$2:$S$67,43,),)</f>
        <v>0</v>
      </c>
      <c r="AK39" s="202">
        <f>+IFERROR(HLOOKUP(AK$36,[7]월별!$E$2:$S$67,43,),)</f>
        <v>0</v>
      </c>
      <c r="AL39" s="202">
        <f>+IFERROR(HLOOKUP(AL$36,[7]월별!$E$2:$S$67,43,),)</f>
        <v>0</v>
      </c>
      <c r="AM39" s="202">
        <f>+IFERROR(HLOOKUP(AM$36,[7]월별!$E$2:$S$67,43,),)</f>
        <v>0</v>
      </c>
      <c r="AN39" s="202">
        <f>+IFERROR(HLOOKUP(AN$36,[7]월별!$E$2:$S$67,43,),)</f>
        <v>0</v>
      </c>
      <c r="AO39" s="202">
        <f>+IFERROR(HLOOKUP(AO$36,[7]월별!$E$2:$S$67,43,),)</f>
        <v>0</v>
      </c>
      <c r="AP39" s="202">
        <f>+IFERROR(HLOOKUP(AP$36,[7]월별!$E$2:$S$67,43,),)</f>
        <v>0</v>
      </c>
    </row>
    <row r="40" spans="4:42" ht="21.95" customHeight="1" x14ac:dyDescent="0.3"/>
    <row r="41" spans="4:42" ht="21.95" customHeight="1" x14ac:dyDescent="0.3"/>
    <row r="42" spans="4:42" ht="21.95" customHeight="1" x14ac:dyDescent="0.3"/>
    <row r="43" spans="4:42" ht="21.95" customHeight="1" x14ac:dyDescent="0.3"/>
    <row r="44" spans="4:42" ht="21.95" customHeight="1" x14ac:dyDescent="0.3"/>
    <row r="45" spans="4:42" ht="21.95" customHeight="1" x14ac:dyDescent="0.3"/>
    <row r="46" spans="4:42" ht="21.95" customHeight="1" x14ac:dyDescent="0.3"/>
    <row r="47" spans="4:42" ht="21.95" customHeight="1" x14ac:dyDescent="0.3"/>
    <row r="48" spans="4:42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 codeName="Sheet10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L17" activePane="bottomRight" state="frozen"/>
      <selection activeCell="M35" sqref="M35"/>
      <selection pane="topRight" activeCell="M35" sqref="M35"/>
      <selection pane="bottomLeft" activeCell="M35" sqref="M35"/>
      <selection pane="bottomRight" activeCell="Q31" sqref="Q31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200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207</v>
      </c>
      <c r="F4" s="183"/>
      <c r="I4" s="183"/>
    </row>
    <row r="5" spans="1:39" ht="21.95" customHeight="1" thickBot="1" x14ac:dyDescent="0.35">
      <c r="J5" s="76"/>
      <c r="AE5" s="76"/>
      <c r="AH5" s="76"/>
      <c r="AJ5" s="185" t="s">
        <v>134</v>
      </c>
    </row>
    <row r="6" spans="1:39" ht="24" customHeight="1" thickTop="1" x14ac:dyDescent="0.3">
      <c r="A6" s="6" t="s">
        <v>204</v>
      </c>
      <c r="D6" s="295" t="s">
        <v>15</v>
      </c>
      <c r="E6" s="724" t="s">
        <v>11</v>
      </c>
      <c r="F6" s="725"/>
      <c r="G6" s="293" t="s">
        <v>128</v>
      </c>
      <c r="H6" s="292"/>
      <c r="I6" s="292"/>
      <c r="J6" s="292" t="s">
        <v>127</v>
      </c>
      <c r="K6" s="292"/>
      <c r="L6" s="294"/>
      <c r="M6" s="292" t="s">
        <v>179</v>
      </c>
      <c r="N6" s="292"/>
      <c r="O6" s="294"/>
      <c r="P6" s="388" t="s">
        <v>126</v>
      </c>
      <c r="Q6" s="389"/>
      <c r="R6" s="390"/>
      <c r="S6" s="293" t="s">
        <v>150</v>
      </c>
      <c r="T6" s="292"/>
      <c r="U6" s="292"/>
      <c r="V6" s="292" t="s">
        <v>151</v>
      </c>
      <c r="W6" s="292"/>
      <c r="X6" s="294"/>
      <c r="Y6" s="292" t="s">
        <v>190</v>
      </c>
      <c r="Z6" s="292"/>
      <c r="AA6" s="294"/>
      <c r="AB6" s="388" t="s">
        <v>152</v>
      </c>
      <c r="AC6" s="389"/>
      <c r="AD6" s="390"/>
      <c r="AE6" s="387" t="s">
        <v>125</v>
      </c>
      <c r="AF6" s="292"/>
      <c r="AG6" s="294"/>
      <c r="AH6" s="388" t="s">
        <v>124</v>
      </c>
      <c r="AI6" s="389"/>
      <c r="AJ6" s="390"/>
    </row>
    <row r="7" spans="1:39" ht="24" customHeight="1" x14ac:dyDescent="0.3">
      <c r="D7" s="291"/>
      <c r="E7" s="726"/>
      <c r="F7" s="727"/>
      <c r="G7" s="287" t="s">
        <v>12</v>
      </c>
      <c r="H7" s="373" t="s">
        <v>13</v>
      </c>
      <c r="I7" s="290" t="s">
        <v>32</v>
      </c>
      <c r="J7" s="289" t="s">
        <v>15</v>
      </c>
      <c r="K7" s="373" t="s">
        <v>16</v>
      </c>
      <c r="L7" s="288" t="s">
        <v>32</v>
      </c>
      <c r="M7" s="289" t="s">
        <v>15</v>
      </c>
      <c r="N7" s="373" t="s">
        <v>16</v>
      </c>
      <c r="O7" s="288" t="s">
        <v>32</v>
      </c>
      <c r="P7" s="391" t="s">
        <v>15</v>
      </c>
      <c r="Q7" s="373" t="s">
        <v>16</v>
      </c>
      <c r="R7" s="392" t="s">
        <v>32</v>
      </c>
      <c r="S7" s="287" t="s">
        <v>12</v>
      </c>
      <c r="T7" s="373" t="s">
        <v>13</v>
      </c>
      <c r="U7" s="290" t="s">
        <v>32</v>
      </c>
      <c r="V7" s="289" t="s">
        <v>15</v>
      </c>
      <c r="W7" s="373" t="s">
        <v>16</v>
      </c>
      <c r="X7" s="288" t="s">
        <v>32</v>
      </c>
      <c r="Y7" s="289" t="s">
        <v>15</v>
      </c>
      <c r="Z7" s="373" t="s">
        <v>16</v>
      </c>
      <c r="AA7" s="288" t="s">
        <v>32</v>
      </c>
      <c r="AB7" s="391" t="s">
        <v>15</v>
      </c>
      <c r="AC7" s="373" t="s">
        <v>16</v>
      </c>
      <c r="AD7" s="392" t="s">
        <v>32</v>
      </c>
      <c r="AE7" s="288" t="s">
        <v>15</v>
      </c>
      <c r="AF7" s="373" t="s">
        <v>16</v>
      </c>
      <c r="AG7" s="288" t="s">
        <v>32</v>
      </c>
      <c r="AH7" s="391" t="s">
        <v>15</v>
      </c>
      <c r="AI7" s="373" t="s">
        <v>16</v>
      </c>
      <c r="AJ7" s="392" t="s">
        <v>32</v>
      </c>
    </row>
    <row r="8" spans="1:39" ht="24" customHeight="1" x14ac:dyDescent="0.3">
      <c r="D8" s="77"/>
      <c r="E8" s="264" t="s">
        <v>98</v>
      </c>
      <c r="F8" s="263" t="s">
        <v>120</v>
      </c>
      <c r="G8" s="259">
        <f>+IFERROR(HLOOKUP($A$1,[14]손익요약!$G$5:$AL$106,3,),)</f>
        <v>16515.466666666667</v>
      </c>
      <c r="H8" s="374">
        <f>+'[9]서부산크라샤(당월)'!$F$66</f>
        <v>0</v>
      </c>
      <c r="I8" s="262">
        <f>H8-G8</f>
        <v>-16515.466666666667</v>
      </c>
      <c r="J8" s="261">
        <f>+IFERROR(HLOOKUP($A$1,[14]손익요약!$G$5:$AL$106,6,),)</f>
        <v>2313.2966666666671</v>
      </c>
      <c r="K8" s="374">
        <f>+'[9]서부산크라샤(당월)'!$I$66</f>
        <v>0</v>
      </c>
      <c r="L8" s="260">
        <f>K8-J8</f>
        <v>-2313.2966666666671</v>
      </c>
      <c r="M8" s="261">
        <f>+IFERROR(HLOOKUP($A$1,[14]손익요약!$G$5:$AL$106,9,),)</f>
        <v>0</v>
      </c>
      <c r="N8" s="374"/>
      <c r="O8" s="260">
        <f>N8-M8</f>
        <v>0</v>
      </c>
      <c r="P8" s="393">
        <f>+G8+J8+M8</f>
        <v>18828.763333333336</v>
      </c>
      <c r="Q8" s="374">
        <f>+H8+K8+N8</f>
        <v>0</v>
      </c>
      <c r="R8" s="394">
        <f>Q8-P8</f>
        <v>-18828.763333333336</v>
      </c>
      <c r="S8" s="259">
        <f>+IFERROR(HLOOKUP($A$1,[15]손익요약!$G$5:$AL$106,3,),)</f>
        <v>13017.869549930658</v>
      </c>
      <c r="T8" s="374">
        <f>+'[9]부산크라샤(당월)'!$F$66</f>
        <v>13960</v>
      </c>
      <c r="U8" s="262">
        <f>T8-S8</f>
        <v>942.13045006934226</v>
      </c>
      <c r="V8" s="261">
        <f>+IFERROR(HLOOKUP($A$1,[15]손익요약!$G$5:$AL$106,6,),)</f>
        <v>11509.136509370845</v>
      </c>
      <c r="W8" s="374">
        <f>+'[9]부산크라샤(당월)'!$I$66</f>
        <v>11909</v>
      </c>
      <c r="X8" s="260">
        <f>W8-V8</f>
        <v>399.86349062915542</v>
      </c>
      <c r="Y8" s="261"/>
      <c r="Z8" s="374">
        <f>+'[9]부산크라샤(당월)'!$L$66</f>
        <v>0</v>
      </c>
      <c r="AA8" s="260">
        <f>Z8-Y8</f>
        <v>0</v>
      </c>
      <c r="AB8" s="393">
        <f>+S8+V8+Y8</f>
        <v>24527.0060593015</v>
      </c>
      <c r="AC8" s="374">
        <f>+T8+W8+Z8</f>
        <v>25869</v>
      </c>
      <c r="AD8" s="394">
        <f>AC8-AB8</f>
        <v>1341.9939406984995</v>
      </c>
      <c r="AE8" s="260">
        <f>+IFERROR(HLOOKUP($A$1,[16]손익계획!$G$5:$AX$449,3,),)</f>
        <v>20399.457621864596</v>
      </c>
      <c r="AF8" s="374">
        <f>+'[9]부산모래장(당월)'!$R$48</f>
        <v>12291</v>
      </c>
      <c r="AG8" s="260">
        <f>AF8-AE8</f>
        <v>-8108.4576218645961</v>
      </c>
      <c r="AH8" s="393">
        <f>+P8+AB8+AE8</f>
        <v>63755.227014499433</v>
      </c>
      <c r="AI8" s="374">
        <f>+Q8+AC8+AF8</f>
        <v>38160</v>
      </c>
      <c r="AJ8" s="394">
        <f>AI8-AH8</f>
        <v>-25595.227014499433</v>
      </c>
    </row>
    <row r="9" spans="1:39" ht="24" customHeight="1" x14ac:dyDescent="0.3">
      <c r="D9" s="77"/>
      <c r="E9" s="281"/>
      <c r="F9" s="286" t="s">
        <v>10</v>
      </c>
      <c r="G9" s="282">
        <f>+G8/G$12</f>
        <v>0.83346342251170802</v>
      </c>
      <c r="H9" s="375">
        <f>+H8/H$12</f>
        <v>0</v>
      </c>
      <c r="I9" s="285">
        <f>+H9-G9</f>
        <v>-0.83346342251170802</v>
      </c>
      <c r="J9" s="284">
        <f>+J8/J$12</f>
        <v>0.26823018224867812</v>
      </c>
      <c r="K9" s="375" t="e">
        <f>+K8/K$12</f>
        <v>#DIV/0!</v>
      </c>
      <c r="L9" s="283" t="e">
        <f>+K9-J9</f>
        <v>#DIV/0!</v>
      </c>
      <c r="M9" s="284">
        <f>+M8/M$12</f>
        <v>0</v>
      </c>
      <c r="N9" s="375"/>
      <c r="O9" s="283">
        <f>+N9-M9</f>
        <v>0</v>
      </c>
      <c r="P9" s="395">
        <f>+P8/P$12</f>
        <v>0.37329206342429971</v>
      </c>
      <c r="Q9" s="375">
        <f>+Q8/Q$12</f>
        <v>0</v>
      </c>
      <c r="R9" s="396">
        <f>+Q9-P9</f>
        <v>-0.37329206342429971</v>
      </c>
      <c r="S9" s="282">
        <f>+S8/S$12</f>
        <v>0.7926189081296996</v>
      </c>
      <c r="T9" s="375">
        <f>+T8/T$12</f>
        <v>0.92474827768945411</v>
      </c>
      <c r="U9" s="285">
        <f>+T9-S9</f>
        <v>0.13212936955975452</v>
      </c>
      <c r="V9" s="284">
        <f>+V8/V$12</f>
        <v>0.45117703239946733</v>
      </c>
      <c r="W9" s="375">
        <f>+W8/W$12</f>
        <v>0.57954158353204532</v>
      </c>
      <c r="X9" s="283">
        <f>+W9-V9</f>
        <v>0.128364551132578</v>
      </c>
      <c r="Y9" s="284"/>
      <c r="Z9" s="375" t="e">
        <f>+Z8/Z$12</f>
        <v>#DIV/0!</v>
      </c>
      <c r="AA9" s="283" t="e">
        <f>+Z9-Y9</f>
        <v>#DIV/0!</v>
      </c>
      <c r="AB9" s="395">
        <f>+AB8/AB$12</f>
        <v>0.58490931999045093</v>
      </c>
      <c r="AC9" s="375">
        <f>+AC8/AC$12</f>
        <v>0.72573993547482119</v>
      </c>
      <c r="AD9" s="396">
        <f>+AC9-AB9</f>
        <v>0.14083061548437026</v>
      </c>
      <c r="AE9" s="283">
        <f>+AE8/AE$12</f>
        <v>0.71495620504251156</v>
      </c>
      <c r="AF9" s="375">
        <f>+AF8/AF$12</f>
        <v>0.53357933579335792</v>
      </c>
      <c r="AG9" s="283">
        <f>+AF9-AE9</f>
        <v>-0.18137686924915364</v>
      </c>
      <c r="AH9" s="395">
        <f>+AH8/AH$12</f>
        <v>0.52731572148533878</v>
      </c>
      <c r="AI9" s="375">
        <f>+AI8/AI$12</f>
        <v>0.6394101876675603</v>
      </c>
      <c r="AJ9" s="396">
        <f>+AI9-AH9</f>
        <v>0.11209446618222152</v>
      </c>
    </row>
    <row r="10" spans="1:39" ht="24" customHeight="1" x14ac:dyDescent="0.3">
      <c r="D10" s="257"/>
      <c r="E10" s="281"/>
      <c r="F10" s="280" t="s">
        <v>123</v>
      </c>
      <c r="G10" s="276">
        <f>+IFERROR(HLOOKUP($A$1,[14]손익요약!$G$5:$AL$106,2,),)</f>
        <v>3300</v>
      </c>
      <c r="H10" s="376">
        <f>+'[9]서부산크라샤(당월)'!$F$59</f>
        <v>1000</v>
      </c>
      <c r="I10" s="279">
        <f>H10-G10</f>
        <v>-2300</v>
      </c>
      <c r="J10" s="278">
        <f>+IFERROR(HLOOKUP($A$1,[14]손익요약!$G$5:$AL$106,5,),)</f>
        <v>6311</v>
      </c>
      <c r="K10" s="376">
        <f>+'[9]서부산크라샤(당월)'!$I$59</f>
        <v>0</v>
      </c>
      <c r="L10" s="277">
        <f>K10-J10</f>
        <v>-6311</v>
      </c>
      <c r="M10" s="278">
        <f>+IFERROR(HLOOKUP($A$1,[14]손익요약!$G$5:$AL$106,8,),)</f>
        <v>22000</v>
      </c>
      <c r="N10" s="376"/>
      <c r="O10" s="277">
        <f>N10-M10</f>
        <v>-22000</v>
      </c>
      <c r="P10" s="397">
        <f>+G10+J10+M10</f>
        <v>31611</v>
      </c>
      <c r="Q10" s="376">
        <f>+H10+K10+N10</f>
        <v>1000</v>
      </c>
      <c r="R10" s="398">
        <f>Q10-P10</f>
        <v>-30611</v>
      </c>
      <c r="S10" s="276">
        <f>+IFERROR(HLOOKUP($A$1,[15]손익요약!$G$5:$AL$106,2,),)</f>
        <v>3406</v>
      </c>
      <c r="T10" s="376">
        <f>+'[9]부산크라샤(당월)'!$F$59</f>
        <v>1136</v>
      </c>
      <c r="U10" s="279">
        <f>T10-S10</f>
        <v>-2270</v>
      </c>
      <c r="V10" s="278">
        <f>+IFERROR(HLOOKUP($A$1,[15]손익요약!$G$5:$AL$106,5,),)</f>
        <v>14000</v>
      </c>
      <c r="W10" s="376">
        <f>+'[9]부산크라샤(당월)'!$I$59</f>
        <v>8640</v>
      </c>
      <c r="X10" s="277">
        <f>W10-V10</f>
        <v>-5360</v>
      </c>
      <c r="Y10" s="278"/>
      <c r="Z10" s="376">
        <f>+'[9]부산크라샤(당월)'!$L$59</f>
        <v>0</v>
      </c>
      <c r="AA10" s="277">
        <f>Z10-Y10</f>
        <v>0</v>
      </c>
      <c r="AB10" s="397">
        <f>+S10+V10+Y10</f>
        <v>17406</v>
      </c>
      <c r="AC10" s="376">
        <f>+T10+W10+Z10</f>
        <v>9776</v>
      </c>
      <c r="AD10" s="398">
        <f>AC10-AB10</f>
        <v>-7630</v>
      </c>
      <c r="AE10" s="277">
        <f>+IFERROR(HLOOKUP($A$1,[16]손익계획!$G$5:$AX$449,2,),)</f>
        <v>8133</v>
      </c>
      <c r="AF10" s="376">
        <f>+'[9]부산모래장(당월)'!$R$47</f>
        <v>10744</v>
      </c>
      <c r="AG10" s="277">
        <f>AF10-AE10</f>
        <v>2611</v>
      </c>
      <c r="AH10" s="397">
        <f>+P10+AB10+AE10</f>
        <v>57150</v>
      </c>
      <c r="AI10" s="376">
        <f>+Q10+AC10+AF10</f>
        <v>21520</v>
      </c>
      <c r="AJ10" s="398">
        <f>AI10-AH10</f>
        <v>-35630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0.16653657748829198</v>
      </c>
      <c r="H11" s="377">
        <f>+H10/H$12</f>
        <v>1</v>
      </c>
      <c r="I11" s="274">
        <f>+H11-G11</f>
        <v>0.83346342251170802</v>
      </c>
      <c r="J11" s="273">
        <f>+J10/J$12</f>
        <v>0.73176981775132188</v>
      </c>
      <c r="K11" s="377" t="e">
        <f>+K10/K$12</f>
        <v>#DIV/0!</v>
      </c>
      <c r="L11" s="272" t="e">
        <f>+K11-J11</f>
        <v>#DIV/0!</v>
      </c>
      <c r="M11" s="273">
        <f>+M10/M$12</f>
        <v>1</v>
      </c>
      <c r="N11" s="377"/>
      <c r="O11" s="272">
        <f>+N11-M11</f>
        <v>-1</v>
      </c>
      <c r="P11" s="399">
        <f>+P10/P$12</f>
        <v>0.62670793657570023</v>
      </c>
      <c r="Q11" s="377">
        <f>+Q10/Q$12</f>
        <v>1</v>
      </c>
      <c r="R11" s="400">
        <f>+Q11-P11</f>
        <v>0.37329206342429977</v>
      </c>
      <c r="S11" s="271">
        <f>+S10/S$12</f>
        <v>0.20738109187030049</v>
      </c>
      <c r="T11" s="377">
        <f>+T10/T$12</f>
        <v>7.5251722310545846E-2</v>
      </c>
      <c r="U11" s="274">
        <f>+T11-S11</f>
        <v>-0.13212936955975463</v>
      </c>
      <c r="V11" s="273">
        <f>+V10/V$12</f>
        <v>0.54882296760053262</v>
      </c>
      <c r="W11" s="377">
        <f>+W10/W$12</f>
        <v>0.42045841646795462</v>
      </c>
      <c r="X11" s="272">
        <f>+W11-V11</f>
        <v>-0.128364551132578</v>
      </c>
      <c r="Y11" s="273"/>
      <c r="Z11" s="377" t="e">
        <f>+Z10/Z$12</f>
        <v>#DIV/0!</v>
      </c>
      <c r="AA11" s="272" t="e">
        <f>+Z11-Y11</f>
        <v>#DIV/0!</v>
      </c>
      <c r="AB11" s="399">
        <f>+AB10/AB$12</f>
        <v>0.41509068000954902</v>
      </c>
      <c r="AC11" s="377">
        <f>+AC10/AC$12</f>
        <v>0.27426006452517887</v>
      </c>
      <c r="AD11" s="400">
        <f>+AC11-AB11</f>
        <v>-0.14083061548437015</v>
      </c>
      <c r="AE11" s="272">
        <f>+AE10/AE$12</f>
        <v>0.28504379495748844</v>
      </c>
      <c r="AF11" s="377">
        <f>+AF10/AF$12</f>
        <v>0.46642066420664208</v>
      </c>
      <c r="AG11" s="272">
        <f>+AF11-AE11</f>
        <v>0.18137686924915364</v>
      </c>
      <c r="AH11" s="399">
        <f>+AH10/AH$12</f>
        <v>0.47268427851466133</v>
      </c>
      <c r="AI11" s="377">
        <f>+AI10/AI$12</f>
        <v>0.3605898123324397</v>
      </c>
      <c r="AJ11" s="400">
        <f>+AI11-AH11</f>
        <v>-0.11209446618222163</v>
      </c>
    </row>
    <row r="12" spans="1:39" ht="24" customHeight="1" x14ac:dyDescent="0.3">
      <c r="D12" s="257"/>
      <c r="E12" s="270"/>
      <c r="F12" s="269" t="s">
        <v>39</v>
      </c>
      <c r="G12" s="265">
        <f>G8+G10</f>
        <v>19815.466666666667</v>
      </c>
      <c r="H12" s="378">
        <f>H8+H10</f>
        <v>1000</v>
      </c>
      <c r="I12" s="268">
        <f t="shared" ref="I12:I32" si="0">H12-G12</f>
        <v>-18815.466666666667</v>
      </c>
      <c r="J12" s="267">
        <f>J8+J10</f>
        <v>8624.2966666666671</v>
      </c>
      <c r="K12" s="378">
        <f>K8+K10</f>
        <v>0</v>
      </c>
      <c r="L12" s="266">
        <f t="shared" ref="L12:L32" si="1">K12-J12</f>
        <v>-8624.2966666666671</v>
      </c>
      <c r="M12" s="267">
        <f>M8+M10</f>
        <v>22000</v>
      </c>
      <c r="N12" s="378"/>
      <c r="O12" s="266">
        <f t="shared" ref="O12:O32" si="2">N12-M12</f>
        <v>-22000</v>
      </c>
      <c r="P12" s="401">
        <f>P8+P10</f>
        <v>50439.763333333336</v>
      </c>
      <c r="Q12" s="378">
        <f>Q8+Q10</f>
        <v>1000</v>
      </c>
      <c r="R12" s="402">
        <f t="shared" ref="R12:R32" si="3">Q12-P12</f>
        <v>-49439.763333333336</v>
      </c>
      <c r="S12" s="265">
        <f>S8+S10</f>
        <v>16423.869549930656</v>
      </c>
      <c r="T12" s="378">
        <f>T8+T10</f>
        <v>15096</v>
      </c>
      <c r="U12" s="268">
        <f t="shared" ref="U12:U32" si="4">T12-S12</f>
        <v>-1327.8695499306559</v>
      </c>
      <c r="V12" s="267">
        <f>V8+V10</f>
        <v>25509.136509370845</v>
      </c>
      <c r="W12" s="378">
        <f>W8+W10</f>
        <v>20549</v>
      </c>
      <c r="X12" s="266">
        <f t="shared" ref="X12:X32" si="5">W12-V12</f>
        <v>-4960.1365093708446</v>
      </c>
      <c r="Y12" s="267"/>
      <c r="Z12" s="378">
        <f>Z8+Z10</f>
        <v>0</v>
      </c>
      <c r="AA12" s="266">
        <f t="shared" ref="AA12:AA32" si="6">Z12-Y12</f>
        <v>0</v>
      </c>
      <c r="AB12" s="401">
        <f>AB8+AB10</f>
        <v>41933.0060593015</v>
      </c>
      <c r="AC12" s="378">
        <f>AC8+AC10</f>
        <v>35645</v>
      </c>
      <c r="AD12" s="402">
        <f t="shared" ref="AD12:AD32" si="7">AC12-AB12</f>
        <v>-6288.0060593015005</v>
      </c>
      <c r="AE12" s="266">
        <f>AE8+AE10</f>
        <v>28532.457621864596</v>
      </c>
      <c r="AF12" s="378">
        <f>AF8+AF10</f>
        <v>23035</v>
      </c>
      <c r="AG12" s="266">
        <f t="shared" ref="AG12:AG32" si="8">AF12-AE12</f>
        <v>-5497.4576218645961</v>
      </c>
      <c r="AH12" s="401">
        <f>AH8+AH10</f>
        <v>120905.22701449943</v>
      </c>
      <c r="AI12" s="378">
        <f>AI8+AI10</f>
        <v>59680</v>
      </c>
      <c r="AJ12" s="402">
        <f t="shared" ref="AJ12:AJ32" si="9">AI12-AH12</f>
        <v>-61225.227014499425</v>
      </c>
      <c r="AL12" s="6">
        <f>+'사업장별(당월)'!J32*1000</f>
        <v>120905.22701449944</v>
      </c>
      <c r="AM12" s="6">
        <f>+'사업장별(당월)'!K32*1000</f>
        <v>59680.000000000007</v>
      </c>
    </row>
    <row r="13" spans="1:39" ht="24" customHeight="1" x14ac:dyDescent="0.3">
      <c r="D13" s="257"/>
      <c r="E13" s="264" t="s">
        <v>69</v>
      </c>
      <c r="F13" s="263" t="s">
        <v>120</v>
      </c>
      <c r="G13" s="259">
        <f>+IFERROR(HLOOKUP($A$1,[14]손익요약!$G$5:$AL$106,15,),)</f>
        <v>249935.46666666667</v>
      </c>
      <c r="H13" s="374">
        <f>+'[9]서부산크라샤(당월)'!$F$72</f>
        <v>0</v>
      </c>
      <c r="I13" s="262">
        <f t="shared" si="0"/>
        <v>-249935.46666666667</v>
      </c>
      <c r="J13" s="261">
        <f>+IFERROR(HLOOKUP($A$1,[14]손익요약!$G$5:$AL$106,18,),)</f>
        <v>42695.316666666673</v>
      </c>
      <c r="K13" s="374">
        <f>+'[9]서부산크라샤(당월)'!$I$72</f>
        <v>0</v>
      </c>
      <c r="L13" s="260">
        <f t="shared" si="1"/>
        <v>-42695.316666666673</v>
      </c>
      <c r="M13" s="261">
        <f>+IFERROR(HLOOKUP($A$1,[14]손익요약!$G$5:$AL$106,21,),)</f>
        <v>0</v>
      </c>
      <c r="N13" s="374"/>
      <c r="O13" s="260">
        <f t="shared" si="2"/>
        <v>0</v>
      </c>
      <c r="P13" s="393">
        <f>+G13+J13+M13</f>
        <v>292630.78333333333</v>
      </c>
      <c r="Q13" s="374">
        <f>+H13+K13+N13</f>
        <v>0</v>
      </c>
      <c r="R13" s="394">
        <f t="shared" si="3"/>
        <v>-292630.78333333333</v>
      </c>
      <c r="S13" s="259">
        <f>+IFERROR(HLOOKUP($A$1,[15]손익요약!$G$5:$AL$106,12,),)</f>
        <v>208285.91279889052</v>
      </c>
      <c r="T13" s="374">
        <f>+'[9]부산크라샤(당월)'!$F$72</f>
        <v>213500</v>
      </c>
      <c r="U13" s="262">
        <f t="shared" si="4"/>
        <v>5214.0872011094762</v>
      </c>
      <c r="V13" s="261">
        <f>+IFERROR(HLOOKUP($A$1,[15]손익요약!$G$5:$AL$106,15,),)</f>
        <v>255219.301005852</v>
      </c>
      <c r="W13" s="374">
        <f>+'[9]부산크라샤(당월)'!$I$72</f>
        <v>246509.5</v>
      </c>
      <c r="X13" s="260">
        <f t="shared" si="5"/>
        <v>-8709.8010058520013</v>
      </c>
      <c r="Y13" s="261"/>
      <c r="Z13" s="374">
        <f>+'[9]부산크라샤(당월)'!$L$72</f>
        <v>0</v>
      </c>
      <c r="AA13" s="260">
        <f t="shared" si="6"/>
        <v>0</v>
      </c>
      <c r="AB13" s="393">
        <f>+S13+V13+Y13</f>
        <v>463505.21380474255</v>
      </c>
      <c r="AC13" s="374">
        <f>+T13+W13+Z13</f>
        <v>460009.5</v>
      </c>
      <c r="AD13" s="394">
        <f t="shared" si="7"/>
        <v>-3495.7138047425542</v>
      </c>
      <c r="AE13" s="260">
        <f>+IFERROR(HLOOKUP($A$1,[16]손익계획!$G$5:$AX$449,6,),)</f>
        <v>579274.17774659046</v>
      </c>
      <c r="AF13" s="374">
        <f>+'[9]부산모래장(당월)'!$R$54</f>
        <v>359040</v>
      </c>
      <c r="AG13" s="260">
        <f t="shared" si="8"/>
        <v>-220234.17774659046</v>
      </c>
      <c r="AH13" s="393">
        <f>+P13+AB13+AE13</f>
        <v>1335410.1748846662</v>
      </c>
      <c r="AI13" s="374">
        <f>+Q13+AC13+AF13</f>
        <v>819049.5</v>
      </c>
      <c r="AJ13" s="394">
        <f t="shared" si="9"/>
        <v>-516360.67488466622</v>
      </c>
      <c r="AL13" s="6" t="b">
        <f>+AL12=AH12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119</v>
      </c>
      <c r="G14" s="252">
        <f>+G13/G8*1000</f>
        <v>15133.418371465939</v>
      </c>
      <c r="H14" s="379" t="e">
        <f>+H13/H8*1000</f>
        <v>#DIV/0!</v>
      </c>
      <c r="I14" s="255" t="e">
        <f t="shared" si="0"/>
        <v>#DIV/0!</v>
      </c>
      <c r="J14" s="254">
        <f>+J13/J8*1000</f>
        <v>18456.481298694936</v>
      </c>
      <c r="K14" s="379" t="e">
        <f>+K13/K8*1000</f>
        <v>#DIV/0!</v>
      </c>
      <c r="L14" s="253" t="e">
        <f t="shared" si="1"/>
        <v>#DIV/0!</v>
      </c>
      <c r="M14" s="254" t="e">
        <f>+M13/M8*1000</f>
        <v>#DIV/0!</v>
      </c>
      <c r="N14" s="379"/>
      <c r="O14" s="253" t="e">
        <f t="shared" si="2"/>
        <v>#DIV/0!</v>
      </c>
      <c r="P14" s="403">
        <f>+P13/P8*1000</f>
        <v>15541.688965587929</v>
      </c>
      <c r="Q14" s="379" t="e">
        <f>+Q13/Q8*1000</f>
        <v>#DIV/0!</v>
      </c>
      <c r="R14" s="404" t="e">
        <f t="shared" si="3"/>
        <v>#DIV/0!</v>
      </c>
      <c r="S14" s="252">
        <f>+S13/S8*1000</f>
        <v>16000</v>
      </c>
      <c r="T14" s="379">
        <f>+T13/T8*1000</f>
        <v>15293.696275071634</v>
      </c>
      <c r="U14" s="255">
        <f t="shared" si="4"/>
        <v>-706.30372492836614</v>
      </c>
      <c r="V14" s="254">
        <f>+V13/V8*1000</f>
        <v>22175.3648328048</v>
      </c>
      <c r="W14" s="379">
        <f>+W13/W8*1000</f>
        <v>20699.429003274832</v>
      </c>
      <c r="X14" s="253">
        <f t="shared" si="5"/>
        <v>-1475.935829529968</v>
      </c>
      <c r="Y14" s="254"/>
      <c r="Z14" s="379" t="e">
        <f>+Z13/Z8*1000</f>
        <v>#DIV/0!</v>
      </c>
      <c r="AA14" s="253" t="e">
        <f t="shared" si="6"/>
        <v>#DIV/0!</v>
      </c>
      <c r="AB14" s="403">
        <f>+AB13/AB8*1000</f>
        <v>18897.749390369037</v>
      </c>
      <c r="AC14" s="379">
        <f>+AC13/AC8*1000</f>
        <v>17782.268352081639</v>
      </c>
      <c r="AD14" s="404">
        <f t="shared" si="7"/>
        <v>-1115.4810382873984</v>
      </c>
      <c r="AE14" s="253">
        <f>+AE13/AE8*1000</f>
        <v>28396.548010458446</v>
      </c>
      <c r="AF14" s="379">
        <f>+AF13/AF8*1000</f>
        <v>29211.618257261409</v>
      </c>
      <c r="AG14" s="253">
        <f t="shared" si="8"/>
        <v>815.07024680296308</v>
      </c>
      <c r="AH14" s="403">
        <f>+AH13/AH8*1000</f>
        <v>20945.893182702694</v>
      </c>
      <c r="AI14" s="379">
        <f>+AI13/AI8*1000</f>
        <v>21463.561320754718</v>
      </c>
      <c r="AJ14" s="404">
        <f t="shared" si="9"/>
        <v>517.66813805202401</v>
      </c>
    </row>
    <row r="15" spans="1:39" ht="24" customHeight="1" x14ac:dyDescent="0.3">
      <c r="D15" s="257"/>
      <c r="E15" s="531"/>
      <c r="F15" s="223" t="s">
        <v>123</v>
      </c>
      <c r="G15" s="247">
        <f>+IFERROR(HLOOKUP($A$1,[14]손익요약!$G$5:$AL$106,14,),)</f>
        <v>37950</v>
      </c>
      <c r="H15" s="380">
        <f>+'[9]서부산크라샤(당월)'!$F$71</f>
        <v>11500</v>
      </c>
      <c r="I15" s="250">
        <f t="shared" si="0"/>
        <v>-26450</v>
      </c>
      <c r="J15" s="249">
        <f>+IFERROR(HLOOKUP($A$1,[14]손익요약!$G$5:$AL$106,17,),)</f>
        <v>94665</v>
      </c>
      <c r="K15" s="380">
        <f>+'[9]서부산크라샤(당월)'!$I$71</f>
        <v>0</v>
      </c>
      <c r="L15" s="248">
        <f t="shared" si="1"/>
        <v>-94665</v>
      </c>
      <c r="M15" s="249">
        <f>+IFERROR(HLOOKUP($A$1,[14]손익요약!$G$5:$AL$106,20,),)</f>
        <v>198000</v>
      </c>
      <c r="N15" s="380"/>
      <c r="O15" s="248">
        <f t="shared" si="2"/>
        <v>-198000</v>
      </c>
      <c r="P15" s="405">
        <f>+G15+J15+M15</f>
        <v>330615</v>
      </c>
      <c r="Q15" s="380">
        <f>+H15+K15+N15</f>
        <v>11500</v>
      </c>
      <c r="R15" s="406">
        <f t="shared" si="3"/>
        <v>-319115</v>
      </c>
      <c r="S15" s="247">
        <f>+IFERROR(HLOOKUP($A$1,[15]손익요약!$G$5:$AL$106,11,),)</f>
        <v>40872</v>
      </c>
      <c r="T15" s="380">
        <f>+'[9]부산크라샤(당월)'!$F$71</f>
        <v>14768</v>
      </c>
      <c r="U15" s="250">
        <f t="shared" si="4"/>
        <v>-26104</v>
      </c>
      <c r="V15" s="249">
        <f>+IFERROR(HLOOKUP($A$1,[15]손익요약!$G$5:$AL$106,14,),)</f>
        <v>266000</v>
      </c>
      <c r="W15" s="380">
        <f>+'[9]부산크라샤(당월)'!$I$71</f>
        <v>155904</v>
      </c>
      <c r="X15" s="248">
        <f t="shared" si="5"/>
        <v>-110096</v>
      </c>
      <c r="Y15" s="249"/>
      <c r="Z15" s="380">
        <f>+'[9]부산크라샤(당월)'!$L$71</f>
        <v>0</v>
      </c>
      <c r="AA15" s="248">
        <f t="shared" si="6"/>
        <v>0</v>
      </c>
      <c r="AB15" s="405">
        <f>+S15+V15+Y15</f>
        <v>306872</v>
      </c>
      <c r="AC15" s="380">
        <f>+T15+W15+Z15</f>
        <v>170672</v>
      </c>
      <c r="AD15" s="406">
        <f t="shared" si="7"/>
        <v>-136200</v>
      </c>
      <c r="AE15" s="248">
        <f>+IFERROR(HLOOKUP($A$1,[16]손익계획!$G$5:$AX$449,5,),)</f>
        <v>231790.5</v>
      </c>
      <c r="AF15" s="380">
        <f>+'[9]부산모래장(당월)'!$R$53</f>
        <v>279293</v>
      </c>
      <c r="AG15" s="248">
        <f t="shared" si="8"/>
        <v>47502.5</v>
      </c>
      <c r="AH15" s="405">
        <f>+P15+AB15+AE15</f>
        <v>869277.5</v>
      </c>
      <c r="AI15" s="380">
        <f>+Q15+AC15+AF15</f>
        <v>461465</v>
      </c>
      <c r="AJ15" s="406">
        <f t="shared" si="9"/>
        <v>-407812.5</v>
      </c>
    </row>
    <row r="16" spans="1:39" ht="24" customHeight="1" x14ac:dyDescent="0.3">
      <c r="D16" s="76"/>
      <c r="E16" s="531"/>
      <c r="F16" s="256" t="s">
        <v>119</v>
      </c>
      <c r="G16" s="252">
        <f>IFERROR(G15/G10,)*1000</f>
        <v>11500</v>
      </c>
      <c r="H16" s="379">
        <f>IFERROR(H15/H10,)*1000</f>
        <v>11500</v>
      </c>
      <c r="I16" s="255">
        <f t="shared" si="0"/>
        <v>0</v>
      </c>
      <c r="J16" s="254">
        <f>IFERROR(J15/J10,)*1000</f>
        <v>15000</v>
      </c>
      <c r="K16" s="379">
        <f>IFERROR(K15/K10,)*1000</f>
        <v>0</v>
      </c>
      <c r="L16" s="253">
        <f t="shared" si="1"/>
        <v>-15000</v>
      </c>
      <c r="M16" s="254">
        <f>IFERROR(M15/M10,)*1000</f>
        <v>9000</v>
      </c>
      <c r="N16" s="379"/>
      <c r="O16" s="253">
        <f t="shared" si="2"/>
        <v>-9000</v>
      </c>
      <c r="P16" s="403">
        <f>IFERROR(P15/P10,)*1000</f>
        <v>10458.859257853279</v>
      </c>
      <c r="Q16" s="379">
        <f>IFERROR(Q15/Q10,)*1000</f>
        <v>11500</v>
      </c>
      <c r="R16" s="404">
        <f t="shared" si="3"/>
        <v>1041.1407421467211</v>
      </c>
      <c r="S16" s="252">
        <f>IFERROR(S15/S10,)*1000</f>
        <v>12000</v>
      </c>
      <c r="T16" s="379">
        <f>IFERROR(T15/T10,)*1000</f>
        <v>13000</v>
      </c>
      <c r="U16" s="255">
        <f t="shared" si="4"/>
        <v>1000</v>
      </c>
      <c r="V16" s="254">
        <f>IFERROR(V15/V10,)*1000</f>
        <v>19000</v>
      </c>
      <c r="W16" s="379">
        <f>IFERROR(W15/W10,)*1000</f>
        <v>18044.444444444445</v>
      </c>
      <c r="X16" s="253">
        <f t="shared" si="5"/>
        <v>-955.55555555555475</v>
      </c>
      <c r="Y16" s="254"/>
      <c r="Z16" s="379">
        <f>IFERROR(Z15/Z10,)*1000</f>
        <v>0</v>
      </c>
      <c r="AA16" s="253">
        <f t="shared" si="6"/>
        <v>0</v>
      </c>
      <c r="AB16" s="403">
        <f>IFERROR(AB15/AB10,)*1000</f>
        <v>17630.242445133863</v>
      </c>
      <c r="AC16" s="379">
        <f>IFERROR(AC15/AC10,)*1000</f>
        <v>17458.265139116203</v>
      </c>
      <c r="AD16" s="404">
        <f t="shared" si="7"/>
        <v>-171.97730601765943</v>
      </c>
      <c r="AE16" s="253">
        <f>IFERROR(AE15/AE10,)*1000</f>
        <v>28500</v>
      </c>
      <c r="AF16" s="379">
        <f>IFERROR(AF15/AF10,)*1000</f>
        <v>25995.253164556965</v>
      </c>
      <c r="AG16" s="253">
        <f t="shared" si="8"/>
        <v>-2504.7468354430348</v>
      </c>
      <c r="AH16" s="403">
        <f>IFERROR(AH15/AH10,)*1000</f>
        <v>15210.454943132108</v>
      </c>
      <c r="AI16" s="379">
        <f>IFERROR(AI15/AI10,)*1000</f>
        <v>21443.540892193309</v>
      </c>
      <c r="AJ16" s="404">
        <f t="shared" si="9"/>
        <v>6233.0859490612002</v>
      </c>
    </row>
    <row r="17" spans="4:39" ht="24" customHeight="1" x14ac:dyDescent="0.3">
      <c r="D17" s="76"/>
      <c r="E17" s="531"/>
      <c r="F17" s="251" t="s">
        <v>39</v>
      </c>
      <c r="G17" s="247">
        <f>G13+G15</f>
        <v>287885.46666666667</v>
      </c>
      <c r="H17" s="380">
        <f>H13+H15</f>
        <v>11500</v>
      </c>
      <c r="I17" s="250">
        <f t="shared" si="0"/>
        <v>-276385.46666666667</v>
      </c>
      <c r="J17" s="249">
        <f>J13+J15</f>
        <v>137360.31666666668</v>
      </c>
      <c r="K17" s="380">
        <f>K13+K15</f>
        <v>0</v>
      </c>
      <c r="L17" s="248">
        <f t="shared" si="1"/>
        <v>-137360.31666666668</v>
      </c>
      <c r="M17" s="249">
        <f>M13+M15</f>
        <v>198000</v>
      </c>
      <c r="N17" s="380"/>
      <c r="O17" s="248">
        <f t="shared" si="2"/>
        <v>-198000</v>
      </c>
      <c r="P17" s="405">
        <f>P13+P15</f>
        <v>623245.78333333333</v>
      </c>
      <c r="Q17" s="380">
        <f>Q13+Q15</f>
        <v>11500</v>
      </c>
      <c r="R17" s="406">
        <f t="shared" si="3"/>
        <v>-611745.78333333333</v>
      </c>
      <c r="S17" s="247">
        <f>S13+S15</f>
        <v>249157.91279889052</v>
      </c>
      <c r="T17" s="380">
        <f>T13+T15</f>
        <v>228268</v>
      </c>
      <c r="U17" s="250">
        <f t="shared" si="4"/>
        <v>-20889.912798890524</v>
      </c>
      <c r="V17" s="249">
        <f>V13+V15</f>
        <v>521219.301005852</v>
      </c>
      <c r="W17" s="380">
        <f>W13+W15</f>
        <v>402413.5</v>
      </c>
      <c r="X17" s="248">
        <f t="shared" si="5"/>
        <v>-118805.801005852</v>
      </c>
      <c r="Y17" s="249"/>
      <c r="Z17" s="380">
        <f>Z13+Z15</f>
        <v>0</v>
      </c>
      <c r="AA17" s="248">
        <f t="shared" si="6"/>
        <v>0</v>
      </c>
      <c r="AB17" s="405">
        <f>AB13+AB15</f>
        <v>770377.21380474255</v>
      </c>
      <c r="AC17" s="380">
        <f>AC13+AC15</f>
        <v>630681.5</v>
      </c>
      <c r="AD17" s="406">
        <f t="shared" si="7"/>
        <v>-139695.71380474255</v>
      </c>
      <c r="AE17" s="248">
        <f>AE13+AE15</f>
        <v>811064.67774659046</v>
      </c>
      <c r="AF17" s="380">
        <f>AF13+AF15</f>
        <v>638333</v>
      </c>
      <c r="AG17" s="248">
        <f t="shared" si="8"/>
        <v>-172731.67774659046</v>
      </c>
      <c r="AH17" s="405">
        <f>AH13+AH15</f>
        <v>2204687.6748846662</v>
      </c>
      <c r="AI17" s="380">
        <f>AI13+AI15</f>
        <v>1280514.5</v>
      </c>
      <c r="AJ17" s="406">
        <f t="shared" si="9"/>
        <v>-924173.17488466622</v>
      </c>
      <c r="AL17" s="6">
        <f>+'사업장별(당월)'!O32*1000</f>
        <v>2204687.6748846662</v>
      </c>
      <c r="AM17" s="6">
        <f>+'사업장별(당월)'!P32*1000</f>
        <v>1280514.5</v>
      </c>
    </row>
    <row r="18" spans="4:39" ht="24" customHeight="1" x14ac:dyDescent="0.3">
      <c r="D18" s="76"/>
      <c r="E18" s="246" t="s">
        <v>7</v>
      </c>
      <c r="F18" s="245" t="s">
        <v>122</v>
      </c>
      <c r="G18" s="529">
        <f>+IFERROR(HLOOKUP($A$1,[14]손익요약!$G$5:$AL$106,80,),)</f>
        <v>68035.861680603019</v>
      </c>
      <c r="H18" s="381">
        <f>+'[9]서부산크라샤(당월)'!$F$87</f>
        <v>0</v>
      </c>
      <c r="I18" s="232">
        <f t="shared" si="0"/>
        <v>-68035.861680603019</v>
      </c>
      <c r="J18" s="231">
        <f>+IFERROR(HLOOKUP($A$1,[14]손익요약!$G$5:$AL$106,83,),)</f>
        <v>17090.291935869616</v>
      </c>
      <c r="K18" s="381">
        <f>+'[9]서부산크라샤(당월)'!$I$87</f>
        <v>0</v>
      </c>
      <c r="L18" s="230">
        <f t="shared" si="1"/>
        <v>-17090.291935869616</v>
      </c>
      <c r="M18" s="231">
        <f>+IFERROR(HLOOKUP($A$1,[14]손익요약!$G$5:$AL$106,86,),)</f>
        <v>0</v>
      </c>
      <c r="N18" s="381"/>
      <c r="O18" s="230">
        <f t="shared" si="2"/>
        <v>0</v>
      </c>
      <c r="P18" s="407">
        <f>+G18+J18+M18</f>
        <v>85126.153616472642</v>
      </c>
      <c r="Q18" s="381">
        <f>+H18+K18+N18</f>
        <v>0</v>
      </c>
      <c r="R18" s="408">
        <f t="shared" si="3"/>
        <v>-85126.153616472642</v>
      </c>
      <c r="S18" s="529">
        <f>+IFERROR(HLOOKUP($A$1,[15]손익요약!$G$5:$U$95,57,),)</f>
        <v>-48.15852517628673</v>
      </c>
      <c r="T18" s="381">
        <f>+'[9]부산크라샤(당월)'!$F$87</f>
        <v>-151311.34669280474</v>
      </c>
      <c r="U18" s="232">
        <f t="shared" si="4"/>
        <v>-151263.18816762845</v>
      </c>
      <c r="V18" s="231">
        <f>+IFERROR(HLOOKUP($A$1,[15]손익요약!$G$5:$AL$106,60,),)</f>
        <v>69859.864174654766</v>
      </c>
      <c r="W18" s="381">
        <f>+'[9]부산크라샤(당월)'!$I$87</f>
        <v>-61672.105281145872</v>
      </c>
      <c r="X18" s="230">
        <f t="shared" si="5"/>
        <v>-131531.96945580063</v>
      </c>
      <c r="Y18" s="231"/>
      <c r="Z18" s="381">
        <f>+'[9]부산크라샤(당월)'!$L$87</f>
        <v>0</v>
      </c>
      <c r="AA18" s="230">
        <f t="shared" si="6"/>
        <v>0</v>
      </c>
      <c r="AB18" s="407">
        <f>+S18+V18+Y18</f>
        <v>69811.705649478477</v>
      </c>
      <c r="AC18" s="381">
        <f>+T18+W18+Z18</f>
        <v>-212983.45197395061</v>
      </c>
      <c r="AD18" s="408">
        <f t="shared" si="7"/>
        <v>-282795.15762342908</v>
      </c>
      <c r="AE18" s="230">
        <f>+IFERROR(HLOOKUP($A$1,[16]손익계획!$G$5:$AX$449,25,),)</f>
        <v>44695.073621772011</v>
      </c>
      <c r="AF18" s="381">
        <f>+'[9]부산모래장(당월)'!$R$82</f>
        <v>28468.382000000001</v>
      </c>
      <c r="AG18" s="230">
        <f t="shared" si="8"/>
        <v>-16226.69162177201</v>
      </c>
      <c r="AH18" s="407">
        <f>+P18+AB18+AE18</f>
        <v>199632.93288772315</v>
      </c>
      <c r="AI18" s="381">
        <f>+Q18+AC18+AF18</f>
        <v>-184515.06997395059</v>
      </c>
      <c r="AJ18" s="408">
        <f t="shared" si="9"/>
        <v>-384148.00286167371</v>
      </c>
      <c r="AL18" s="6" t="b">
        <f>+AL17=AH17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121</v>
      </c>
      <c r="G19" s="240">
        <f>+IFERROR(HLOOKUP($A$1,[14]손익요약!$G$5:$AL$106,79,),)</f>
        <v>1801.6456699519983</v>
      </c>
      <c r="H19" s="382">
        <f>+'[9]서부산크라샤(당월)'!$F$86</f>
        <v>-151794.1449085169</v>
      </c>
      <c r="I19" s="243">
        <f t="shared" si="0"/>
        <v>-153595.79057846891</v>
      </c>
      <c r="J19" s="242">
        <f>+IFERROR(HLOOKUP($A$1,[14]손익요약!$G$5:$AL$106,82,),)</f>
        <v>25170.181761171534</v>
      </c>
      <c r="K19" s="382">
        <f>+'[9]서부산크라샤(당월)'!$I$86</f>
        <v>0</v>
      </c>
      <c r="L19" s="241">
        <f t="shared" si="1"/>
        <v>-25170.181761171534</v>
      </c>
      <c r="M19" s="242">
        <f>+IFERROR(HLOOKUP($A$1,[14]손익요약!$G$5:$AL$106,85,),)</f>
        <v>26116.899565758122</v>
      </c>
      <c r="N19" s="382"/>
      <c r="O19" s="241">
        <f t="shared" si="2"/>
        <v>-26116.899565758122</v>
      </c>
      <c r="P19" s="409">
        <f>+G19+J19+M19</f>
        <v>53088.726996881654</v>
      </c>
      <c r="Q19" s="382">
        <f>+H19+K19+N19</f>
        <v>-151794.1449085169</v>
      </c>
      <c r="R19" s="410">
        <f t="shared" si="3"/>
        <v>-204882.87190539856</v>
      </c>
      <c r="S19" s="240">
        <f>+IFERROR(HLOOKUP($A$1,[15]손익요약!$G$5:$AL$106,56,),)</f>
        <v>-13412.193505081068</v>
      </c>
      <c r="T19" s="382">
        <f>+'[9]부산크라샤(당월)'!$F$86</f>
        <v>-14767.634892249343</v>
      </c>
      <c r="U19" s="243">
        <f t="shared" si="4"/>
        <v>-1355.4413871682755</v>
      </c>
      <c r="V19" s="242">
        <f>+IFERROR(HLOOKUP($A$1,[15]손익요약!$G$5:$AL$106,59,),)</f>
        <v>41256.408270851207</v>
      </c>
      <c r="W19" s="382">
        <f>+'[9]부산크라샤(당월)'!$I$86</f>
        <v>-66352.722233800028</v>
      </c>
      <c r="X19" s="241">
        <f t="shared" si="5"/>
        <v>-107609.13050465123</v>
      </c>
      <c r="Y19" s="242"/>
      <c r="Z19" s="382">
        <f>+'[9]부산크라샤(당월)'!$L$86</f>
        <v>0</v>
      </c>
      <c r="AA19" s="241">
        <f t="shared" si="6"/>
        <v>0</v>
      </c>
      <c r="AB19" s="409">
        <f>+S19+V19+Y19</f>
        <v>27844.214765770139</v>
      </c>
      <c r="AC19" s="382">
        <f>+T19+W19+Z19</f>
        <v>-81120.357126049377</v>
      </c>
      <c r="AD19" s="410">
        <f t="shared" si="7"/>
        <v>-108964.57189181952</v>
      </c>
      <c r="AE19" s="241">
        <f>+IFERROR(HLOOKUP($A$1,[16]손익계획!$G$5:$AX$449,24,),)</f>
        <v>18276.464354466443</v>
      </c>
      <c r="AF19" s="382">
        <f>+'[9]부산모래장(당월)'!$I$81-'[9]부산모래장(당월)'!$R$82</f>
        <v>-49772.663356637597</v>
      </c>
      <c r="AG19" s="241">
        <f t="shared" si="8"/>
        <v>-68049.12771110404</v>
      </c>
      <c r="AH19" s="409">
        <f>+P19+AB19+AE19</f>
        <v>99209.40611711824</v>
      </c>
      <c r="AI19" s="382">
        <f>+Q19+AC19+AF19</f>
        <v>-282687.16539120389</v>
      </c>
      <c r="AJ19" s="410">
        <f t="shared" si="9"/>
        <v>-381896.57150832214</v>
      </c>
    </row>
    <row r="20" spans="4:39" ht="24" customHeight="1" x14ac:dyDescent="0.3">
      <c r="D20" s="76"/>
      <c r="E20" s="532"/>
      <c r="F20" s="239" t="s">
        <v>50</v>
      </c>
      <c r="G20" s="235">
        <f>G18+G19</f>
        <v>69837.50735055501</v>
      </c>
      <c r="H20" s="383">
        <f>H18+H19</f>
        <v>-151794.1449085169</v>
      </c>
      <c r="I20" s="238">
        <f t="shared" si="0"/>
        <v>-221631.65225907191</v>
      </c>
      <c r="J20" s="237">
        <f>J18+J19</f>
        <v>42260.473697041147</v>
      </c>
      <c r="K20" s="383">
        <f>K18+K19</f>
        <v>0</v>
      </c>
      <c r="L20" s="236">
        <f t="shared" si="1"/>
        <v>-42260.473697041147</v>
      </c>
      <c r="M20" s="237">
        <f>M18+M19</f>
        <v>26116.899565758122</v>
      </c>
      <c r="N20" s="383"/>
      <c r="O20" s="236">
        <f t="shared" si="2"/>
        <v>-26116.899565758122</v>
      </c>
      <c r="P20" s="411">
        <f>P18+P19</f>
        <v>138214.8806133543</v>
      </c>
      <c r="Q20" s="383">
        <f>Q18+Q19</f>
        <v>-151794.1449085169</v>
      </c>
      <c r="R20" s="412">
        <f t="shared" si="3"/>
        <v>-290009.02552187117</v>
      </c>
      <c r="S20" s="235">
        <f>S18+S19</f>
        <v>-13460.352030257354</v>
      </c>
      <c r="T20" s="383">
        <f>T18+T19</f>
        <v>-166078.98158505408</v>
      </c>
      <c r="U20" s="238">
        <f t="shared" si="4"/>
        <v>-152618.62955479673</v>
      </c>
      <c r="V20" s="237">
        <f>V18+V19</f>
        <v>111116.27244550598</v>
      </c>
      <c r="W20" s="383">
        <f>W18+W19</f>
        <v>-128024.82751494591</v>
      </c>
      <c r="X20" s="236">
        <f t="shared" si="5"/>
        <v>-239141.09996045189</v>
      </c>
      <c r="Y20" s="237"/>
      <c r="Z20" s="383">
        <f>Z18+Z19</f>
        <v>0</v>
      </c>
      <c r="AA20" s="236">
        <f t="shared" si="6"/>
        <v>0</v>
      </c>
      <c r="AB20" s="411">
        <f>AB18+AB19</f>
        <v>97655.92041524862</v>
      </c>
      <c r="AC20" s="383">
        <f>AC18+AC19</f>
        <v>-294103.80909999995</v>
      </c>
      <c r="AD20" s="412">
        <f t="shared" si="7"/>
        <v>-391759.72951524856</v>
      </c>
      <c r="AE20" s="236">
        <f>AE18+AE19</f>
        <v>62971.537976238455</v>
      </c>
      <c r="AF20" s="383">
        <f>AF18+AF19</f>
        <v>-21304.281356637595</v>
      </c>
      <c r="AG20" s="236">
        <f t="shared" si="8"/>
        <v>-84275.819332876054</v>
      </c>
      <c r="AH20" s="411">
        <f>AH18+AH19</f>
        <v>298842.3390048414</v>
      </c>
      <c r="AI20" s="383">
        <f>AI18+AI19</f>
        <v>-467202.23536515445</v>
      </c>
      <c r="AJ20" s="412">
        <f t="shared" si="9"/>
        <v>-766044.57436999585</v>
      </c>
      <c r="AL20" s="6">
        <f>+'사업장별(당월)'!T32*1000</f>
        <v>298842.33900484134</v>
      </c>
      <c r="AM20" s="6">
        <f>'사업장별(당월)'!U32*1000</f>
        <v>-467202.23536515445</v>
      </c>
    </row>
    <row r="21" spans="4:39" ht="24" customHeight="1" x14ac:dyDescent="0.3">
      <c r="D21" s="76"/>
      <c r="E21" s="234" t="s">
        <v>120</v>
      </c>
      <c r="F21" s="233" t="s">
        <v>25</v>
      </c>
      <c r="G21" s="229">
        <f>+IFERROR(HLOOKUP($A$1,[14]손익!$G$5:$AB$252,3,),)</f>
        <v>0</v>
      </c>
      <c r="H21" s="381">
        <f>+'[9]서부산크라샤(당월)'!$F$60</f>
        <v>0</v>
      </c>
      <c r="I21" s="232">
        <f t="shared" si="0"/>
        <v>0</v>
      </c>
      <c r="J21" s="231">
        <f>+IFERROR(HLOOKUP($A$1,[14]손익!$G$5:$AB$252,12,),)</f>
        <v>0</v>
      </c>
      <c r="K21" s="381">
        <f>+'[9]서부산크라샤(당월)'!$I$60</f>
        <v>0</v>
      </c>
      <c r="L21" s="230">
        <f t="shared" si="1"/>
        <v>0</v>
      </c>
      <c r="M21" s="231"/>
      <c r="N21" s="381"/>
      <c r="O21" s="230">
        <f t="shared" si="2"/>
        <v>0</v>
      </c>
      <c r="P21" s="407">
        <f t="shared" ref="P21:P26" si="10">+G21+J21+M21</f>
        <v>0</v>
      </c>
      <c r="Q21" s="381">
        <f t="shared" ref="Q21:Q26" si="11">+H21+K21+N21</f>
        <v>0</v>
      </c>
      <c r="R21" s="408">
        <f t="shared" si="3"/>
        <v>0</v>
      </c>
      <c r="S21" s="229">
        <f>+IFERROR(HLOOKUP($A$1,[15]손익!$G$5:$AB$252,3,),)</f>
        <v>13017.869549930658</v>
      </c>
      <c r="T21" s="381">
        <f>+'[9]부산크라샤(당월)'!$F$60</f>
        <v>8360</v>
      </c>
      <c r="U21" s="232">
        <f t="shared" si="4"/>
        <v>-4657.8695499306577</v>
      </c>
      <c r="V21" s="231">
        <f>+IFERROR(HLOOKUP($A$1,[15]손익!$G$5:$AB$252,12,),)</f>
        <v>9136.4268319514886</v>
      </c>
      <c r="W21" s="381">
        <f>+'[9]부산크라샤(당월)'!$I$60</f>
        <v>5845</v>
      </c>
      <c r="X21" s="230">
        <f t="shared" si="5"/>
        <v>-3291.4268319514886</v>
      </c>
      <c r="Y21" s="231"/>
      <c r="Z21" s="381">
        <f>+'[9]부산크라샤(당월)'!$L$60</f>
        <v>0</v>
      </c>
      <c r="AA21" s="230">
        <f t="shared" si="6"/>
        <v>0</v>
      </c>
      <c r="AB21" s="407">
        <f t="shared" ref="AB21:AB32" si="12">+S21+V21+Y21</f>
        <v>22154.296381882144</v>
      </c>
      <c r="AC21" s="381">
        <f t="shared" ref="AC21:AC32" si="13">+T21+W21+Z21</f>
        <v>14205</v>
      </c>
      <c r="AD21" s="408">
        <f t="shared" si="7"/>
        <v>-7949.2963818821445</v>
      </c>
      <c r="AE21" s="230">
        <f>+IFERROR(HLOOKUP($A$1,[16]이송계획!$G$193:$U$216,16,),)</f>
        <v>5180.4855938925693</v>
      </c>
      <c r="AF21" s="381">
        <f>+'[9]부산모래장(당월)'!$R$64</f>
        <v>3875</v>
      </c>
      <c r="AG21" s="230">
        <f t="shared" si="8"/>
        <v>-1305.4855938925693</v>
      </c>
      <c r="AH21" s="407">
        <f t="shared" ref="AH21:AI26" si="14">+P21+AB21+AE21</f>
        <v>27334.781975774713</v>
      </c>
      <c r="AI21" s="381">
        <f t="shared" si="14"/>
        <v>18080</v>
      </c>
      <c r="AJ21" s="408">
        <f t="shared" si="9"/>
        <v>-9254.7819757747129</v>
      </c>
      <c r="AL21" s="465" t="b">
        <f>+AL20=AH20</f>
        <v>1</v>
      </c>
      <c r="AM21" s="465" t="b">
        <f>+AM20=AI20</f>
        <v>1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+IFERROR(HLOOKUP($A$1,[14]손익!$G$5:$AB$252,4,),)</f>
        <v>14130.133333333333</v>
      </c>
      <c r="H22" s="384">
        <f>+'[9]서부산크라샤(당월)'!$F$61</f>
        <v>0</v>
      </c>
      <c r="I22" s="228">
        <f t="shared" si="0"/>
        <v>-14130.133333333333</v>
      </c>
      <c r="J22" s="227">
        <f>+IFERROR(HLOOKUP($A$1,[14]손익!$G$5:$AB$252,13,),)</f>
        <v>1142.2666666666669</v>
      </c>
      <c r="K22" s="384">
        <f>+'[9]서부산크라샤(당월)'!$I$61</f>
        <v>0</v>
      </c>
      <c r="L22" s="226">
        <f t="shared" si="1"/>
        <v>-1142.2666666666669</v>
      </c>
      <c r="M22" s="227"/>
      <c r="N22" s="384"/>
      <c r="O22" s="226">
        <f t="shared" si="2"/>
        <v>0</v>
      </c>
      <c r="P22" s="413">
        <f t="shared" si="10"/>
        <v>15272.4</v>
      </c>
      <c r="Q22" s="384">
        <f t="shared" si="11"/>
        <v>0</v>
      </c>
      <c r="R22" s="414">
        <f t="shared" si="3"/>
        <v>-15272.4</v>
      </c>
      <c r="S22" s="225">
        <f>+IFERROR(HLOOKUP($A$1,[15]손익!$G$5:$AB$252,4,),)</f>
        <v>0</v>
      </c>
      <c r="T22" s="384">
        <f>+'[9]부산크라샤(당월)'!$F$61</f>
        <v>5600</v>
      </c>
      <c r="U22" s="228">
        <f t="shared" si="4"/>
        <v>5600</v>
      </c>
      <c r="V22" s="227">
        <f>+IFERROR(HLOOKUP($A$1,[15]손익!$G$5:$AB$252,13,),)</f>
        <v>2372.7096774193556</v>
      </c>
      <c r="W22" s="384">
        <f>+'[9]부산크라샤(당월)'!$I$61</f>
        <v>5296</v>
      </c>
      <c r="X22" s="226">
        <f t="shared" si="5"/>
        <v>2923.2903225806444</v>
      </c>
      <c r="Y22" s="227"/>
      <c r="Z22" s="384">
        <f>+'[9]부산크라샤(당월)'!$L$61</f>
        <v>0</v>
      </c>
      <c r="AA22" s="226">
        <f t="shared" si="6"/>
        <v>0</v>
      </c>
      <c r="AB22" s="413">
        <f t="shared" si="12"/>
        <v>2372.7096774193556</v>
      </c>
      <c r="AC22" s="384">
        <f t="shared" si="13"/>
        <v>10896</v>
      </c>
      <c r="AD22" s="414">
        <f t="shared" si="7"/>
        <v>8523.290322580644</v>
      </c>
      <c r="AE22" s="226">
        <f>+IFERROR(HLOOKUP($A$1,[16]이송계획!$G$193:$U$216,17,),)</f>
        <v>5495.272727272727</v>
      </c>
      <c r="AF22" s="384">
        <f>+'[9]부산모래장(당월)'!$R$65</f>
        <v>2448</v>
      </c>
      <c r="AG22" s="226">
        <f t="shared" si="8"/>
        <v>-3047.272727272727</v>
      </c>
      <c r="AH22" s="413">
        <f t="shared" si="14"/>
        <v>23140.382404692082</v>
      </c>
      <c r="AI22" s="384">
        <f t="shared" si="14"/>
        <v>13344</v>
      </c>
      <c r="AJ22" s="414">
        <f t="shared" si="9"/>
        <v>-9796.3824046920818</v>
      </c>
      <c r="AL22" s="98">
        <f>+AH20-AL20</f>
        <v>0</v>
      </c>
      <c r="AM22" s="98">
        <f>+AI20-AM20</f>
        <v>0</v>
      </c>
    </row>
    <row r="23" spans="4:39" ht="24" customHeight="1" x14ac:dyDescent="0.3">
      <c r="D23" s="76"/>
      <c r="E23" s="165"/>
      <c r="F23" s="220" t="s">
        <v>27</v>
      </c>
      <c r="G23" s="225">
        <f>+IFERROR(HLOOKUP($A$1,[14]손익!$G$5:$AB$252,5,),)</f>
        <v>1549.3333333333333</v>
      </c>
      <c r="H23" s="384">
        <f>+'[9]서부산크라샤(당월)'!$F$62</f>
        <v>0</v>
      </c>
      <c r="I23" s="228">
        <f t="shared" si="0"/>
        <v>-1549.3333333333333</v>
      </c>
      <c r="J23" s="227">
        <f>+IFERROR(HLOOKUP($A$1,[14]손익!$G$5:$AB$252,14,),)</f>
        <v>0</v>
      </c>
      <c r="K23" s="384">
        <f>+'[9]서부산크라샤(당월)'!$I$62</f>
        <v>0</v>
      </c>
      <c r="L23" s="226">
        <f t="shared" si="1"/>
        <v>0</v>
      </c>
      <c r="M23" s="227"/>
      <c r="N23" s="384"/>
      <c r="O23" s="226">
        <f t="shared" si="2"/>
        <v>0</v>
      </c>
      <c r="P23" s="413">
        <f t="shared" si="10"/>
        <v>1549.3333333333333</v>
      </c>
      <c r="Q23" s="384">
        <f t="shared" si="11"/>
        <v>0</v>
      </c>
      <c r="R23" s="414">
        <f t="shared" si="3"/>
        <v>-1549.3333333333333</v>
      </c>
      <c r="S23" s="225">
        <f>+IFERROR(HLOOKUP($A$1,[15]손익!$G$5:$AB$252,5,),)</f>
        <v>0</v>
      </c>
      <c r="T23" s="384">
        <f>+'[9]부산크라샤(당월)'!$F$62</f>
        <v>0</v>
      </c>
      <c r="U23" s="228">
        <f t="shared" si="4"/>
        <v>0</v>
      </c>
      <c r="V23" s="227">
        <f>+IFERROR(HLOOKUP($A$1,[15]손익!$G$5:$AB$252,14,),)</f>
        <v>0</v>
      </c>
      <c r="W23" s="384">
        <f>+'[9]부산크라샤(당월)'!$I$62</f>
        <v>0</v>
      </c>
      <c r="X23" s="226">
        <f t="shared" si="5"/>
        <v>0</v>
      </c>
      <c r="Y23" s="227"/>
      <c r="Z23" s="384">
        <f>+'[9]부산크라샤(당월)'!$L$62</f>
        <v>0</v>
      </c>
      <c r="AA23" s="226">
        <f t="shared" si="6"/>
        <v>0</v>
      </c>
      <c r="AB23" s="413">
        <f t="shared" si="12"/>
        <v>0</v>
      </c>
      <c r="AC23" s="384">
        <f t="shared" si="13"/>
        <v>0</v>
      </c>
      <c r="AD23" s="414">
        <f t="shared" si="7"/>
        <v>0</v>
      </c>
      <c r="AE23" s="226">
        <f>+IFERROR(HLOOKUP($A$1,[16]이송계획!$G$193:$U$216,18,),)</f>
        <v>3720.2797202797201</v>
      </c>
      <c r="AF23" s="384">
        <f>+'[9]부산모래장(당월)'!$V$64</f>
        <v>0</v>
      </c>
      <c r="AG23" s="226">
        <f t="shared" si="8"/>
        <v>-3720.2797202797201</v>
      </c>
      <c r="AH23" s="413">
        <f t="shared" si="14"/>
        <v>5269.6130536130531</v>
      </c>
      <c r="AI23" s="384">
        <f t="shared" si="14"/>
        <v>0</v>
      </c>
      <c r="AJ23" s="414">
        <f t="shared" si="9"/>
        <v>-5269.6130536130531</v>
      </c>
    </row>
    <row r="24" spans="4:39" ht="24" customHeight="1" x14ac:dyDescent="0.3">
      <c r="D24" s="76"/>
      <c r="E24" s="165"/>
      <c r="F24" s="220" t="s">
        <v>28</v>
      </c>
      <c r="G24" s="225">
        <f>+IFERROR(HLOOKUP($A$1,[14]손익!$G$5:$AB$252,6,),)</f>
        <v>0</v>
      </c>
      <c r="H24" s="384">
        <f>+'[9]서부산크라샤(당월)'!$F$63</f>
        <v>0</v>
      </c>
      <c r="I24" s="228">
        <f t="shared" si="0"/>
        <v>0</v>
      </c>
      <c r="J24" s="227">
        <f>+IFERROR(HLOOKUP($A$1,[14]손익!$G$5:$AB$252,15,),)</f>
        <v>0</v>
      </c>
      <c r="K24" s="384">
        <f>+'[9]서부산크라샤(당월)'!$I$63</f>
        <v>0</v>
      </c>
      <c r="L24" s="226">
        <f t="shared" si="1"/>
        <v>0</v>
      </c>
      <c r="M24" s="227"/>
      <c r="N24" s="384"/>
      <c r="O24" s="226">
        <f t="shared" si="2"/>
        <v>0</v>
      </c>
      <c r="P24" s="413">
        <f t="shared" si="10"/>
        <v>0</v>
      </c>
      <c r="Q24" s="384">
        <f t="shared" si="11"/>
        <v>0</v>
      </c>
      <c r="R24" s="414">
        <f t="shared" si="3"/>
        <v>0</v>
      </c>
      <c r="S24" s="225">
        <f>+IFERROR(HLOOKUP($A$1,[15]손익!$G$5:$AB$252,6,),)</f>
        <v>0</v>
      </c>
      <c r="T24" s="384">
        <f>+'[9]부산크라샤(당월)'!$F$63</f>
        <v>0</v>
      </c>
      <c r="U24" s="228">
        <f t="shared" si="4"/>
        <v>0</v>
      </c>
      <c r="V24" s="227">
        <f>+IFERROR(HLOOKUP($A$1,[15]손익!$G$5:$AB$252,15,),)</f>
        <v>0</v>
      </c>
      <c r="W24" s="384">
        <f>+'[9]부산크라샤(당월)'!$I$63</f>
        <v>768</v>
      </c>
      <c r="X24" s="226">
        <f t="shared" si="5"/>
        <v>768</v>
      </c>
      <c r="Y24" s="227"/>
      <c r="Z24" s="384">
        <f>+'[9]부산크라샤(당월)'!$L$63</f>
        <v>0</v>
      </c>
      <c r="AA24" s="226">
        <f t="shared" si="6"/>
        <v>0</v>
      </c>
      <c r="AB24" s="413">
        <f t="shared" si="12"/>
        <v>0</v>
      </c>
      <c r="AC24" s="384">
        <f t="shared" si="13"/>
        <v>768</v>
      </c>
      <c r="AD24" s="414">
        <f t="shared" si="7"/>
        <v>768</v>
      </c>
      <c r="AE24" s="226">
        <f>+IFERROR(HLOOKUP($A$1,[16]이송계획!$G$193:$U$216,19,),)</f>
        <v>4400.5594405594402</v>
      </c>
      <c r="AF24" s="384">
        <f>+'[9]부산모래장(당월)'!$V$65</f>
        <v>0</v>
      </c>
      <c r="AG24" s="226">
        <f t="shared" si="8"/>
        <v>-4400.5594405594402</v>
      </c>
      <c r="AH24" s="413">
        <f t="shared" si="14"/>
        <v>4400.5594405594402</v>
      </c>
      <c r="AI24" s="384">
        <f t="shared" si="14"/>
        <v>768</v>
      </c>
      <c r="AJ24" s="414">
        <f t="shared" si="9"/>
        <v>-3632.5594405594402</v>
      </c>
    </row>
    <row r="25" spans="4:39" ht="24" customHeight="1" x14ac:dyDescent="0.3">
      <c r="D25" s="76"/>
      <c r="E25" s="165"/>
      <c r="F25" s="220" t="s">
        <v>29</v>
      </c>
      <c r="G25" s="225">
        <f>+IFERROR(HLOOKUP($A$1,[14]손익!$G$5:$AB$252,7,),)</f>
        <v>0</v>
      </c>
      <c r="H25" s="384">
        <f>+'[9]서부산크라샤(당월)'!$F$64</f>
        <v>0</v>
      </c>
      <c r="I25" s="228">
        <f t="shared" si="0"/>
        <v>0</v>
      </c>
      <c r="J25" s="227">
        <f>+IFERROR(HLOOKUP($A$1,[14]손익!$G$5:$AB$252,16,),)</f>
        <v>687.03</v>
      </c>
      <c r="K25" s="384">
        <f>+'[9]서부산크라샤(당월)'!$I$64</f>
        <v>0</v>
      </c>
      <c r="L25" s="226">
        <f t="shared" si="1"/>
        <v>-687.03</v>
      </c>
      <c r="M25" s="227"/>
      <c r="N25" s="384"/>
      <c r="O25" s="226">
        <f t="shared" si="2"/>
        <v>0</v>
      </c>
      <c r="P25" s="413">
        <f t="shared" si="10"/>
        <v>687.03</v>
      </c>
      <c r="Q25" s="384">
        <f t="shared" si="11"/>
        <v>0</v>
      </c>
      <c r="R25" s="414">
        <f t="shared" si="3"/>
        <v>-687.03</v>
      </c>
      <c r="S25" s="225">
        <f>+IFERROR(HLOOKUP($A$1,[15]손익!$G$5:$AB$252,7,),)</f>
        <v>0</v>
      </c>
      <c r="T25" s="384">
        <f>+'[9]부산크라샤(당월)'!$F$64</f>
        <v>0</v>
      </c>
      <c r="U25" s="228">
        <f t="shared" si="4"/>
        <v>0</v>
      </c>
      <c r="V25" s="227">
        <f>+IFERROR(HLOOKUP($A$1,[15]손익!$G$5:$AB$252,16,),)</f>
        <v>0</v>
      </c>
      <c r="W25" s="384">
        <f>+'[9]부산크라샤(당월)'!$I$64</f>
        <v>0</v>
      </c>
      <c r="X25" s="226">
        <f t="shared" si="5"/>
        <v>0</v>
      </c>
      <c r="Y25" s="227"/>
      <c r="Z25" s="384">
        <f>+'[9]부산크라샤(당월)'!$L$64</f>
        <v>0</v>
      </c>
      <c r="AA25" s="226">
        <f t="shared" si="6"/>
        <v>0</v>
      </c>
      <c r="AB25" s="413">
        <f t="shared" si="12"/>
        <v>0</v>
      </c>
      <c r="AC25" s="384">
        <f t="shared" si="13"/>
        <v>0</v>
      </c>
      <c r="AD25" s="414">
        <f t="shared" si="7"/>
        <v>0</v>
      </c>
      <c r="AE25" s="226">
        <f>+IFERROR(HLOOKUP($A$1,[16]이송계획!$G$193:$U$216,20,),)</f>
        <v>1602.86013986014</v>
      </c>
      <c r="AF25" s="384">
        <f>+'[9]부산모래장(당월)'!$R$66</f>
        <v>1920</v>
      </c>
      <c r="AG25" s="226">
        <f t="shared" si="8"/>
        <v>317.13986013986005</v>
      </c>
      <c r="AH25" s="413">
        <f t="shared" si="14"/>
        <v>2289.8901398601402</v>
      </c>
      <c r="AI25" s="384">
        <f t="shared" si="14"/>
        <v>1920</v>
      </c>
      <c r="AJ25" s="414">
        <f t="shared" si="9"/>
        <v>-369.89013986014015</v>
      </c>
    </row>
    <row r="26" spans="4:39" ht="24" customHeight="1" x14ac:dyDescent="0.3">
      <c r="D26" s="76"/>
      <c r="E26" s="165"/>
      <c r="F26" s="220" t="s">
        <v>30</v>
      </c>
      <c r="G26" s="225">
        <f>+IFERROR(HLOOKUP($A$1,[14]손익!$G$5:$AB$252,8,),)</f>
        <v>836</v>
      </c>
      <c r="H26" s="384">
        <f>+'[9]서부산크라샤(당월)'!$F$65</f>
        <v>0</v>
      </c>
      <c r="I26" s="228">
        <f t="shared" si="0"/>
        <v>-836</v>
      </c>
      <c r="J26" s="227">
        <f>+IFERROR(HLOOKUP($A$1,[14]손익!$G$5:$AB$252,17,),)</f>
        <v>484</v>
      </c>
      <c r="K26" s="384">
        <f>+'[9]서부산크라샤(당월)'!$I$65</f>
        <v>0</v>
      </c>
      <c r="L26" s="226">
        <f t="shared" si="1"/>
        <v>-484</v>
      </c>
      <c r="M26" s="227"/>
      <c r="N26" s="384"/>
      <c r="O26" s="226">
        <f t="shared" si="2"/>
        <v>0</v>
      </c>
      <c r="P26" s="413">
        <f t="shared" si="10"/>
        <v>1320</v>
      </c>
      <c r="Q26" s="382">
        <f t="shared" si="11"/>
        <v>0</v>
      </c>
      <c r="R26" s="432">
        <f t="shared" si="3"/>
        <v>-1320</v>
      </c>
      <c r="S26" s="225">
        <f>+IFERROR(HLOOKUP($A$1,[15]손익!$G$5:$AB$252,8,),)</f>
        <v>0</v>
      </c>
      <c r="T26" s="384">
        <f>+'[9]부산크라샤(당월)'!$F$65</f>
        <v>0</v>
      </c>
      <c r="U26" s="228">
        <f t="shared" si="4"/>
        <v>0</v>
      </c>
      <c r="V26" s="227">
        <f>+IFERROR(HLOOKUP($A$1,[15]손익!$G$5:$AB$252,17,),)</f>
        <v>0</v>
      </c>
      <c r="W26" s="384">
        <f>+'[9]부산크라샤(당월)'!$I$65</f>
        <v>0</v>
      </c>
      <c r="X26" s="226">
        <f t="shared" si="5"/>
        <v>0</v>
      </c>
      <c r="Y26" s="227"/>
      <c r="Z26" s="384">
        <f>+'[9]부산크라샤(당월)'!$L$65</f>
        <v>0</v>
      </c>
      <c r="AA26" s="226">
        <f t="shared" si="6"/>
        <v>0</v>
      </c>
      <c r="AB26" s="413">
        <f t="shared" si="12"/>
        <v>0</v>
      </c>
      <c r="AC26" s="382">
        <f t="shared" si="13"/>
        <v>0</v>
      </c>
      <c r="AD26" s="432">
        <f t="shared" si="7"/>
        <v>0</v>
      </c>
      <c r="AE26" s="226">
        <f>+IFERROR(HLOOKUP($A$1,[16]이송계획!$G$193:$U$216,21,),)</f>
        <v>0</v>
      </c>
      <c r="AF26" s="384"/>
      <c r="AG26" s="226">
        <f t="shared" si="8"/>
        <v>0</v>
      </c>
      <c r="AH26" s="413">
        <f t="shared" si="14"/>
        <v>1320</v>
      </c>
      <c r="AI26" s="382">
        <f t="shared" si="14"/>
        <v>0</v>
      </c>
      <c r="AJ26" s="414">
        <f t="shared" si="9"/>
        <v>-1320</v>
      </c>
    </row>
    <row r="27" spans="4:39" ht="24" customHeight="1" x14ac:dyDescent="0.3">
      <c r="D27" s="76"/>
      <c r="E27" s="224" t="s">
        <v>120</v>
      </c>
      <c r="F27" s="223" t="s">
        <v>25</v>
      </c>
      <c r="G27" s="191">
        <f>+IFERROR(HLOOKUP($A$1,[14]손익!$G$5:$AB$252,31,),)</f>
        <v>0</v>
      </c>
      <c r="H27" s="385">
        <f t="shared" ref="H27:H32" si="15">IFERROR(H35/H21,)*1000</f>
        <v>0</v>
      </c>
      <c r="I27" s="192">
        <f t="shared" si="0"/>
        <v>0</v>
      </c>
      <c r="J27" s="222">
        <f>+IFERROR(HLOOKUP($A$1,[14]손익!$G$5:$AB$252,40,),)</f>
        <v>0</v>
      </c>
      <c r="K27" s="385">
        <f t="shared" ref="K27:K32" si="16">IFERROR(K35/K21,)*1000</f>
        <v>0</v>
      </c>
      <c r="L27" s="204">
        <f t="shared" si="1"/>
        <v>0</v>
      </c>
      <c r="M27" s="222"/>
      <c r="N27" s="385"/>
      <c r="O27" s="204">
        <f t="shared" si="2"/>
        <v>0</v>
      </c>
      <c r="P27" s="427">
        <f>+IFERROR(HLOOKUP($A$1,[14]손익!$G$5:$AB$252,48,),)</f>
        <v>9000</v>
      </c>
      <c r="Q27" s="423">
        <f t="shared" ref="Q27:Q32" si="17">IFERROR(Q35/Q21,)*1000</f>
        <v>0</v>
      </c>
      <c r="R27" s="433">
        <f t="shared" si="3"/>
        <v>-9000</v>
      </c>
      <c r="S27" s="191">
        <f>+IFERROR(HLOOKUP($A$1,[15]손익!$G$5:$AB$252,30,),)</f>
        <v>16000</v>
      </c>
      <c r="T27" s="385">
        <f t="shared" ref="T27:T32" si="18">IFERROR(T35/T21,)*1000</f>
        <v>17500</v>
      </c>
      <c r="U27" s="192">
        <f t="shared" si="4"/>
        <v>1500</v>
      </c>
      <c r="V27" s="222">
        <f>+IFERROR(HLOOKUP($A$1,[15]손익!$G$5:$AB$252,39,),)</f>
        <v>23000</v>
      </c>
      <c r="W27" s="385">
        <f t="shared" ref="W27:W32" si="19">IFERROR(W35/W21,)*1000</f>
        <v>23500</v>
      </c>
      <c r="X27" s="204">
        <f t="shared" si="5"/>
        <v>500</v>
      </c>
      <c r="Y27" s="222"/>
      <c r="Z27" s="385">
        <f t="shared" ref="Z27:Z32" si="20">IFERROR(Z35/Z21,)*1000</f>
        <v>0</v>
      </c>
      <c r="AA27" s="204">
        <f t="shared" si="6"/>
        <v>0</v>
      </c>
      <c r="AB27" s="427">
        <f t="shared" si="12"/>
        <v>39000</v>
      </c>
      <c r="AC27" s="423">
        <f t="shared" si="13"/>
        <v>41000</v>
      </c>
      <c r="AD27" s="433">
        <f t="shared" si="7"/>
        <v>2000</v>
      </c>
      <c r="AE27" s="204">
        <f t="shared" ref="AE27:AF32" si="21">IFERROR(AE35/AE21,)*1000</f>
        <v>30499.999999999996</v>
      </c>
      <c r="AF27" s="385">
        <f t="shared" si="21"/>
        <v>32929.032258064515</v>
      </c>
      <c r="AG27" s="204">
        <f t="shared" si="8"/>
        <v>2429.0322580645188</v>
      </c>
      <c r="AH27" s="415">
        <f t="shared" ref="AH27:AH32" si="22">+AH35/AH21*1000</f>
        <v>21087.731413345624</v>
      </c>
      <c r="AI27" s="385">
        <f t="shared" ref="AI27:AI32" si="23">IFERROR(AI35/AI21,)*1000</f>
        <v>22746.54314159292</v>
      </c>
      <c r="AJ27" s="416">
        <f t="shared" si="9"/>
        <v>1658.8117282472958</v>
      </c>
    </row>
    <row r="28" spans="4:39" ht="24" customHeight="1" x14ac:dyDescent="0.3">
      <c r="D28" s="76"/>
      <c r="E28" s="165" t="s">
        <v>119</v>
      </c>
      <c r="F28" s="220" t="s">
        <v>26</v>
      </c>
      <c r="G28" s="189">
        <f>+IFERROR(HLOOKUP($A$1,[14]손익!$G$5:$AB$252,32,),)</f>
        <v>16000</v>
      </c>
      <c r="H28" s="95">
        <f t="shared" si="15"/>
        <v>0</v>
      </c>
      <c r="I28" s="190">
        <f t="shared" si="0"/>
        <v>-16000</v>
      </c>
      <c r="J28" s="219">
        <f>+IFERROR(HLOOKUP($A$1,[14]손익!$G$5:$AB$252,41,),)</f>
        <v>22000</v>
      </c>
      <c r="K28" s="95">
        <f t="shared" si="16"/>
        <v>0</v>
      </c>
      <c r="L28" s="195">
        <f t="shared" si="1"/>
        <v>-22000</v>
      </c>
      <c r="M28" s="219"/>
      <c r="N28" s="95"/>
      <c r="O28" s="195">
        <f t="shared" si="2"/>
        <v>0</v>
      </c>
      <c r="P28" s="428">
        <f>+IFERROR(HLOOKUP($A$1,[14]손익!$G$5:$AB$252,49,),)</f>
        <v>10458.859257853279</v>
      </c>
      <c r="Q28" s="424">
        <f t="shared" si="17"/>
        <v>0</v>
      </c>
      <c r="R28" s="434">
        <f t="shared" si="3"/>
        <v>-10458.859257853279</v>
      </c>
      <c r="S28" s="189">
        <f>+IFERROR(HLOOKUP($A$1,[15]손익!$G$5:$AB$252,31,),)</f>
        <v>0</v>
      </c>
      <c r="T28" s="95">
        <f t="shared" si="18"/>
        <v>12000</v>
      </c>
      <c r="U28" s="190">
        <f t="shared" si="4"/>
        <v>12000</v>
      </c>
      <c r="V28" s="219">
        <f>+IFERROR(HLOOKUP($A$1,[15]손익!$G$5:$AB$252,40,),)</f>
        <v>19000</v>
      </c>
      <c r="W28" s="95">
        <f t="shared" si="19"/>
        <v>18000</v>
      </c>
      <c r="X28" s="195">
        <f t="shared" si="5"/>
        <v>-1000</v>
      </c>
      <c r="Y28" s="219"/>
      <c r="Z28" s="95">
        <f t="shared" si="20"/>
        <v>0</v>
      </c>
      <c r="AA28" s="195">
        <f t="shared" si="6"/>
        <v>0</v>
      </c>
      <c r="AB28" s="428">
        <f t="shared" si="12"/>
        <v>19000</v>
      </c>
      <c r="AC28" s="424">
        <f t="shared" si="13"/>
        <v>30000</v>
      </c>
      <c r="AD28" s="434">
        <f t="shared" si="7"/>
        <v>11000</v>
      </c>
      <c r="AE28" s="195">
        <f t="shared" si="21"/>
        <v>28000</v>
      </c>
      <c r="AF28" s="95">
        <f t="shared" si="21"/>
        <v>27500</v>
      </c>
      <c r="AG28" s="195">
        <f t="shared" si="8"/>
        <v>-500</v>
      </c>
      <c r="AH28" s="417">
        <f t="shared" si="22"/>
        <v>19453.486652118881</v>
      </c>
      <c r="AI28" s="95">
        <f t="shared" si="23"/>
        <v>17224.820143884892</v>
      </c>
      <c r="AJ28" s="418">
        <f t="shared" si="9"/>
        <v>-2228.6665082339896</v>
      </c>
    </row>
    <row r="29" spans="4:39" ht="24" customHeight="1" x14ac:dyDescent="0.3">
      <c r="D29" s="76"/>
      <c r="E29" s="165"/>
      <c r="F29" s="220" t="s">
        <v>27</v>
      </c>
      <c r="G29" s="189">
        <f>+IFERROR(HLOOKUP($A$1,[14]손익!$G$5:$AB$252,33,),)</f>
        <v>10000</v>
      </c>
      <c r="H29" s="95">
        <f t="shared" si="15"/>
        <v>0</v>
      </c>
      <c r="I29" s="190">
        <f t="shared" si="0"/>
        <v>-10000</v>
      </c>
      <c r="J29" s="219">
        <f>+IFERROR(HLOOKUP($A$1,[14]손익!$G$5:$AB$252,42,),)</f>
        <v>0</v>
      </c>
      <c r="K29" s="95">
        <f t="shared" si="16"/>
        <v>0</v>
      </c>
      <c r="L29" s="195">
        <f t="shared" si="1"/>
        <v>0</v>
      </c>
      <c r="M29" s="219"/>
      <c r="N29" s="95"/>
      <c r="O29" s="195">
        <f t="shared" si="2"/>
        <v>0</v>
      </c>
      <c r="P29" s="429">
        <f>+IFERROR(HLOOKUP($A$1,[14]손익!$G$5:$AB$252,50,),)</f>
        <v>0</v>
      </c>
      <c r="Q29" s="425">
        <f t="shared" si="17"/>
        <v>0</v>
      </c>
      <c r="R29" s="434">
        <f t="shared" si="3"/>
        <v>0</v>
      </c>
      <c r="S29" s="189">
        <f>+IFERROR(HLOOKUP($A$1,[15]손익!$G$5:$AB$252,32,),)</f>
        <v>0</v>
      </c>
      <c r="T29" s="95">
        <f t="shared" si="18"/>
        <v>0</v>
      </c>
      <c r="U29" s="190">
        <f t="shared" si="4"/>
        <v>0</v>
      </c>
      <c r="V29" s="219">
        <f>+IFERROR(HLOOKUP($A$1,[15]손익!$G$5:$AB$252,41,),)</f>
        <v>0</v>
      </c>
      <c r="W29" s="95">
        <f t="shared" si="19"/>
        <v>0</v>
      </c>
      <c r="X29" s="195">
        <f t="shared" si="5"/>
        <v>0</v>
      </c>
      <c r="Y29" s="219"/>
      <c r="Z29" s="95">
        <f t="shared" si="20"/>
        <v>0</v>
      </c>
      <c r="AA29" s="195">
        <f t="shared" si="6"/>
        <v>0</v>
      </c>
      <c r="AB29" s="429">
        <f t="shared" si="12"/>
        <v>0</v>
      </c>
      <c r="AC29" s="425">
        <f t="shared" si="13"/>
        <v>0</v>
      </c>
      <c r="AD29" s="434">
        <f t="shared" si="7"/>
        <v>0</v>
      </c>
      <c r="AE29" s="195">
        <f t="shared" si="21"/>
        <v>27500</v>
      </c>
      <c r="AF29" s="95">
        <f t="shared" si="21"/>
        <v>0</v>
      </c>
      <c r="AG29" s="195">
        <f t="shared" si="8"/>
        <v>-27500</v>
      </c>
      <c r="AH29" s="417">
        <f t="shared" si="22"/>
        <v>22354.777180509795</v>
      </c>
      <c r="AI29" s="95">
        <f t="shared" si="23"/>
        <v>0</v>
      </c>
      <c r="AJ29" s="418">
        <f t="shared" si="9"/>
        <v>-22354.777180509795</v>
      </c>
    </row>
    <row r="30" spans="4:39" ht="24" customHeight="1" x14ac:dyDescent="0.3">
      <c r="D30" s="76"/>
      <c r="E30" s="165"/>
      <c r="F30" s="220" t="s">
        <v>28</v>
      </c>
      <c r="G30" s="189">
        <f>+IFERROR(HLOOKUP($A$1,[14]손익!$G$5:$AB$252,34,),)</f>
        <v>0</v>
      </c>
      <c r="H30" s="95">
        <f t="shared" si="15"/>
        <v>0</v>
      </c>
      <c r="I30" s="190">
        <f t="shared" si="0"/>
        <v>0</v>
      </c>
      <c r="J30" s="219">
        <f>+IFERROR(HLOOKUP($A$1,[14]손익!$G$5:$AB$252,43,),)</f>
        <v>0</v>
      </c>
      <c r="K30" s="95">
        <f t="shared" si="16"/>
        <v>0</v>
      </c>
      <c r="L30" s="195">
        <f t="shared" si="1"/>
        <v>0</v>
      </c>
      <c r="M30" s="219"/>
      <c r="N30" s="95"/>
      <c r="O30" s="195">
        <f t="shared" si="2"/>
        <v>0</v>
      </c>
      <c r="P30" s="429">
        <f>+IFERROR(HLOOKUP($A$1,[14]손익!$G$5:$AB$252,51,),)</f>
        <v>16448.75723527409</v>
      </c>
      <c r="Q30" s="55">
        <f t="shared" si="17"/>
        <v>0</v>
      </c>
      <c r="R30" s="435">
        <f t="shared" si="3"/>
        <v>-16448.75723527409</v>
      </c>
      <c r="S30" s="189">
        <f>+IFERROR(HLOOKUP($A$1,[15]손익!$G$5:$AB$252,33,),)</f>
        <v>0</v>
      </c>
      <c r="T30" s="95">
        <f t="shared" si="18"/>
        <v>0</v>
      </c>
      <c r="U30" s="190">
        <f t="shared" si="4"/>
        <v>0</v>
      </c>
      <c r="V30" s="219">
        <f>+IFERROR(HLOOKUP($A$1,[15]손익!$G$5:$AB$252,42,),)</f>
        <v>0</v>
      </c>
      <c r="W30" s="95">
        <f t="shared" si="19"/>
        <v>18000</v>
      </c>
      <c r="X30" s="195">
        <f t="shared" si="5"/>
        <v>18000</v>
      </c>
      <c r="Y30" s="219"/>
      <c r="Z30" s="95">
        <f t="shared" si="20"/>
        <v>0</v>
      </c>
      <c r="AA30" s="195">
        <f t="shared" si="6"/>
        <v>0</v>
      </c>
      <c r="AB30" s="429">
        <f t="shared" si="12"/>
        <v>0</v>
      </c>
      <c r="AC30" s="55">
        <f t="shared" si="13"/>
        <v>18000</v>
      </c>
      <c r="AD30" s="435">
        <f t="shared" si="7"/>
        <v>18000</v>
      </c>
      <c r="AE30" s="195">
        <f t="shared" si="21"/>
        <v>27500</v>
      </c>
      <c r="AF30" s="95">
        <f t="shared" si="21"/>
        <v>0</v>
      </c>
      <c r="AG30" s="195">
        <f t="shared" si="8"/>
        <v>-27500</v>
      </c>
      <c r="AH30" s="417">
        <f t="shared" si="22"/>
        <v>27500</v>
      </c>
      <c r="AI30" s="95">
        <f t="shared" si="23"/>
        <v>162947.91666666666</v>
      </c>
      <c r="AJ30" s="418">
        <f t="shared" si="9"/>
        <v>135447.91666666666</v>
      </c>
    </row>
    <row r="31" spans="4:39" ht="24" customHeight="1" x14ac:dyDescent="0.3">
      <c r="D31" s="76"/>
      <c r="E31" s="165"/>
      <c r="F31" s="220" t="s">
        <v>29</v>
      </c>
      <c r="G31" s="189">
        <f>+IFERROR(HLOOKUP($A$1,[14]손익!$G$5:$AB$252,35,),)</f>
        <v>0</v>
      </c>
      <c r="H31" s="95">
        <f t="shared" si="15"/>
        <v>0</v>
      </c>
      <c r="I31" s="190">
        <f t="shared" si="0"/>
        <v>0</v>
      </c>
      <c r="J31" s="219">
        <f>+IFERROR(HLOOKUP($A$1,[14]손익!$G$5:$AB$252,44,),)</f>
        <v>15000</v>
      </c>
      <c r="K31" s="95">
        <f t="shared" si="16"/>
        <v>0</v>
      </c>
      <c r="L31" s="195">
        <f t="shared" si="1"/>
        <v>-15000</v>
      </c>
      <c r="M31" s="219"/>
      <c r="N31" s="95"/>
      <c r="O31" s="195">
        <f t="shared" si="2"/>
        <v>0</v>
      </c>
      <c r="P31" s="429">
        <f>+IFERROR(HLOOKUP($A$1,[14]손익!$G$5:$AB$252,52,),)</f>
        <v>10000</v>
      </c>
      <c r="Q31" s="55">
        <f t="shared" si="17"/>
        <v>0</v>
      </c>
      <c r="R31" s="435">
        <f t="shared" si="3"/>
        <v>-10000</v>
      </c>
      <c r="S31" s="189">
        <f>+IFERROR(HLOOKUP($A$1,[15]손익!$G$5:$AB$252,34,),)</f>
        <v>0</v>
      </c>
      <c r="T31" s="95">
        <f t="shared" si="18"/>
        <v>0</v>
      </c>
      <c r="U31" s="190">
        <f t="shared" si="4"/>
        <v>0</v>
      </c>
      <c r="V31" s="219">
        <f>+IFERROR(HLOOKUP($A$1,[15]손익!$G$5:$AB$252,43,),)</f>
        <v>0</v>
      </c>
      <c r="W31" s="95">
        <f t="shared" si="19"/>
        <v>0</v>
      </c>
      <c r="X31" s="195">
        <f t="shared" si="5"/>
        <v>0</v>
      </c>
      <c r="Y31" s="219"/>
      <c r="Z31" s="95">
        <f t="shared" si="20"/>
        <v>0</v>
      </c>
      <c r="AA31" s="195">
        <f t="shared" si="6"/>
        <v>0</v>
      </c>
      <c r="AB31" s="429">
        <f t="shared" si="12"/>
        <v>0</v>
      </c>
      <c r="AC31" s="55">
        <f t="shared" si="13"/>
        <v>0</v>
      </c>
      <c r="AD31" s="435">
        <f t="shared" si="7"/>
        <v>0</v>
      </c>
      <c r="AE31" s="195">
        <f t="shared" si="21"/>
        <v>27500</v>
      </c>
      <c r="AF31" s="95">
        <f t="shared" si="21"/>
        <v>0</v>
      </c>
      <c r="AG31" s="195">
        <f t="shared" si="8"/>
        <v>-27500</v>
      </c>
      <c r="AH31" s="417">
        <f t="shared" si="22"/>
        <v>23749.656326078366</v>
      </c>
      <c r="AI31" s="95">
        <f t="shared" si="23"/>
        <v>0</v>
      </c>
      <c r="AJ31" s="418">
        <f t="shared" si="9"/>
        <v>-23749.656326078366</v>
      </c>
    </row>
    <row r="32" spans="4:39" ht="24" customHeight="1" thickBot="1" x14ac:dyDescent="0.35">
      <c r="D32" s="76"/>
      <c r="E32" s="217"/>
      <c r="F32" s="216" t="s">
        <v>30</v>
      </c>
      <c r="G32" s="212">
        <f>+IFERROR(HLOOKUP($A$1,[14]손익!$G$5:$AB$252,36,),)</f>
        <v>10000</v>
      </c>
      <c r="H32" s="386">
        <f t="shared" si="15"/>
        <v>0</v>
      </c>
      <c r="I32" s="215">
        <f t="shared" si="0"/>
        <v>-10000</v>
      </c>
      <c r="J32" s="214">
        <f>+IFERROR(HLOOKUP($A$1,[14]손익!$G$5:$AB$252,45,),)</f>
        <v>15000</v>
      </c>
      <c r="K32" s="386">
        <f t="shared" si="16"/>
        <v>0</v>
      </c>
      <c r="L32" s="213">
        <f t="shared" si="1"/>
        <v>-15000</v>
      </c>
      <c r="M32" s="214"/>
      <c r="N32" s="386"/>
      <c r="O32" s="213">
        <f t="shared" si="2"/>
        <v>0</v>
      </c>
      <c r="P32" s="430">
        <f>+IFERROR(HLOOKUP($A$1,[14]손익!$G$5:$AB$252,53,),)</f>
        <v>0</v>
      </c>
      <c r="Q32" s="426">
        <f t="shared" si="17"/>
        <v>0</v>
      </c>
      <c r="R32" s="436">
        <f t="shared" si="3"/>
        <v>0</v>
      </c>
      <c r="S32" s="212">
        <f>+IFERROR(HLOOKUP($A$1,[15]손익!$G$5:$AB$252,35,),)</f>
        <v>0</v>
      </c>
      <c r="T32" s="386">
        <f t="shared" si="18"/>
        <v>0</v>
      </c>
      <c r="U32" s="215">
        <f t="shared" si="4"/>
        <v>0</v>
      </c>
      <c r="V32" s="214">
        <f>+IFERROR(HLOOKUP($A$1,[15]손익!$G$5:$AB$252,44,),)</f>
        <v>0</v>
      </c>
      <c r="W32" s="386">
        <f t="shared" si="19"/>
        <v>0</v>
      </c>
      <c r="X32" s="213">
        <f t="shared" si="5"/>
        <v>0</v>
      </c>
      <c r="Y32" s="214"/>
      <c r="Z32" s="386">
        <f t="shared" si="20"/>
        <v>0</v>
      </c>
      <c r="AA32" s="213">
        <f t="shared" si="6"/>
        <v>0</v>
      </c>
      <c r="AB32" s="430">
        <f t="shared" si="12"/>
        <v>0</v>
      </c>
      <c r="AC32" s="426">
        <f t="shared" si="13"/>
        <v>0</v>
      </c>
      <c r="AD32" s="436">
        <f t="shared" si="7"/>
        <v>0</v>
      </c>
      <c r="AE32" s="213">
        <f t="shared" si="21"/>
        <v>0</v>
      </c>
      <c r="AF32" s="386">
        <f t="shared" si="21"/>
        <v>0</v>
      </c>
      <c r="AG32" s="213">
        <f t="shared" si="8"/>
        <v>0</v>
      </c>
      <c r="AH32" s="419">
        <f t="shared" si="22"/>
        <v>11833.333333333334</v>
      </c>
      <c r="AI32" s="420">
        <f t="shared" si="23"/>
        <v>0</v>
      </c>
      <c r="AJ32" s="421">
        <f t="shared" si="9"/>
        <v>-11833.333333333334</v>
      </c>
    </row>
    <row r="33" spans="5:36" ht="21.95" customHeight="1" thickTop="1" x14ac:dyDescent="0.3">
      <c r="E33" s="6" t="s">
        <v>118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131</v>
      </c>
      <c r="AH34" s="76"/>
    </row>
    <row r="35" spans="5:36" ht="21.95" customHeight="1" x14ac:dyDescent="0.3">
      <c r="E35" s="26" t="s">
        <v>120</v>
      </c>
      <c r="F35" s="431" t="s">
        <v>25</v>
      </c>
      <c r="G35" s="6">
        <f>+IFERROR(HLOOKUP($A$1,[14]손익!$G$5:$AB$252,59,),)</f>
        <v>0</v>
      </c>
      <c r="H35" s="6">
        <f>+IFERROR(VLOOKUP($F35,'[17]서부산(손익)'!$L$16:$R$29,4,),)/1000</f>
        <v>0</v>
      </c>
      <c r="I35" s="6">
        <f t="shared" ref="I35:I41" si="24">+H35-G35</f>
        <v>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0</v>
      </c>
      <c r="R35" s="6">
        <f t="shared" ref="R35:R41" si="25">+Q35-P35</f>
        <v>0</v>
      </c>
      <c r="S35" s="6">
        <f>+IFERROR(HLOOKUP($A$1,[15]손익!$G$5:$AB$252,57,),)</f>
        <v>208285.91279889052</v>
      </c>
      <c r="T35" s="6">
        <f>+IFERROR(VLOOKUP($F35,'[17]부산크라샤(손익)'!$L$16:$R$29,3,),)/1000</f>
        <v>146300</v>
      </c>
      <c r="U35" s="6">
        <f t="shared" ref="U35:U41" si="26">+T35-S35</f>
        <v>-61985.912798890524</v>
      </c>
      <c r="V35" s="76">
        <f>+IFERROR(HLOOKUP($A$1,[15]손익!$G$5:$AB$252,66,),)</f>
        <v>210137.81713488424</v>
      </c>
      <c r="W35" s="6">
        <f>+IFERROR(VLOOKUP($F35,'[17]부산크라샤(손익)'!$L$16:$R$29,4,),)/1000</f>
        <v>137357.5</v>
      </c>
      <c r="X35" s="6">
        <f>+W35-V35</f>
        <v>-72780.317134884244</v>
      </c>
      <c r="AA35" s="6">
        <f>+Z35-Y35</f>
        <v>0</v>
      </c>
      <c r="AB35" s="6">
        <f>SUM(S35,V35)</f>
        <v>418423.7299337748</v>
      </c>
      <c r="AC35" s="6">
        <f t="shared" ref="AC35:AC41" si="27">SUM(T35,W35)</f>
        <v>283657.5</v>
      </c>
      <c r="AD35" s="6">
        <f t="shared" ref="AD35:AD41" si="28">+AC35-AB35</f>
        <v>-134766.2299337748</v>
      </c>
      <c r="AE35" s="437">
        <f>+IFERROR(HLOOKUP($A$1,[16]이송계획!$G$70:$W$100,16,),)+IFERROR(HLOOKUP($A$1,[16]이송계획!$G$70:$W$100,23,),)</f>
        <v>158004.81061372336</v>
      </c>
      <c r="AF35" s="6">
        <f>+'[9]부산모래장(당월)'!R76</f>
        <v>127600</v>
      </c>
      <c r="AH35" s="76">
        <f t="shared" ref="AH35:AI41" si="29">+P35+AB35+AE35</f>
        <v>576428.54054749815</v>
      </c>
      <c r="AI35" s="76">
        <f t="shared" si="29"/>
        <v>411257.5</v>
      </c>
      <c r="AJ35" s="6">
        <f t="shared" ref="AJ35:AJ41" si="30">+AI35-AH35</f>
        <v>-165171.04054749815</v>
      </c>
    </row>
    <row r="36" spans="5:36" ht="21.95" customHeight="1" x14ac:dyDescent="0.3">
      <c r="E36" s="26" t="s">
        <v>69</v>
      </c>
      <c r="F36" s="431" t="s">
        <v>26</v>
      </c>
      <c r="G36" s="6">
        <f>+IFERROR(HLOOKUP($A$1,[14]손익!$G$5:$AB$252,60,),)</f>
        <v>226082.13333333333</v>
      </c>
      <c r="H36" s="6">
        <f>+IFERROR(VLOOKUP($F36,'[17]서부산(손익)'!$L$16:$R$29,4,),)/1000</f>
        <v>0</v>
      </c>
      <c r="I36" s="6">
        <f t="shared" si="24"/>
        <v>-226082.13333333333</v>
      </c>
      <c r="J36" s="76">
        <f>+IFERROR(HLOOKUP($A$1,[14]손익!$G$5:$AB$252,69,),)</f>
        <v>25129.866666666672</v>
      </c>
      <c r="K36" s="6">
        <f>+IFERROR(VLOOKUP($F36,'[17]서부산(손익)'!$L$16:$R$29,3,),)/1000</f>
        <v>0</v>
      </c>
      <c r="L36" s="6">
        <f t="shared" ref="L36:L41" si="31">+K36-J36</f>
        <v>-25129.866666666672</v>
      </c>
      <c r="M36" s="76"/>
      <c r="O36" s="6">
        <f t="shared" ref="O36:O41" si="32">+N36-M36</f>
        <v>0</v>
      </c>
      <c r="P36" s="6">
        <f t="shared" ref="P36:P41" si="33">SUM(G36,J36,M36)</f>
        <v>251212</v>
      </c>
      <c r="Q36" s="6">
        <f t="shared" ref="Q36:Q41" si="34">SUM(H36,K36,N36)</f>
        <v>0</v>
      </c>
      <c r="R36" s="6">
        <f t="shared" si="25"/>
        <v>-251212</v>
      </c>
      <c r="S36" s="6">
        <f>+IFERROR(HLOOKUP($A$1,[15]손익!$G$5:$AB$252,58,),)</f>
        <v>0</v>
      </c>
      <c r="T36" s="6">
        <f>+IFERROR(VLOOKUP($F36,'[17]부산크라샤(손익)'!$L$16:$R$29,3,),)/1000</f>
        <v>67200</v>
      </c>
      <c r="U36" s="6">
        <f t="shared" si="26"/>
        <v>67200</v>
      </c>
      <c r="V36" s="76">
        <f>+IFERROR(HLOOKUP($A$1,[15]손익!$G$5:$AB$252,67,),)</f>
        <v>45081.48387096775</v>
      </c>
      <c r="W36" s="6">
        <f>+IFERROR(VLOOKUP($F36,'[17]부산크라샤(손익)'!$L$16:$R$29,4,),)/1000</f>
        <v>95328</v>
      </c>
      <c r="X36" s="6">
        <f t="shared" ref="X36:X41" si="35">+W36-V36</f>
        <v>50246.51612903225</v>
      </c>
      <c r="AA36" s="6">
        <f t="shared" ref="AA36:AA41" si="36">+Z36-Y36</f>
        <v>0</v>
      </c>
      <c r="AB36" s="6">
        <f t="shared" ref="AB36:AB41" si="37">SUM(S36,V36)</f>
        <v>45081.48387096775</v>
      </c>
      <c r="AC36" s="6">
        <f t="shared" si="27"/>
        <v>162528</v>
      </c>
      <c r="AD36" s="6">
        <f>+AC36-AB36</f>
        <v>117446.51612903224</v>
      </c>
      <c r="AE36" s="437">
        <f>+IFERROR(HLOOKUP($A$1,[16]이송계획!$G$70:$W$100,17,),)+IFERROR(HLOOKUP($A$1,[16]이송계획!$G$70:$W$100,24,),)</f>
        <v>153867.63636363635</v>
      </c>
      <c r="AF36" s="6">
        <f>+'[9]부산모래장(당월)'!R77</f>
        <v>67320</v>
      </c>
      <c r="AH36" s="6">
        <f t="shared" si="29"/>
        <v>450161.12023460411</v>
      </c>
      <c r="AI36" s="6">
        <f t="shared" si="29"/>
        <v>229848</v>
      </c>
      <c r="AJ36" s="6">
        <f t="shared" si="30"/>
        <v>-220313.12023460411</v>
      </c>
    </row>
    <row r="37" spans="5:36" ht="21.95" customHeight="1" x14ac:dyDescent="0.3">
      <c r="F37" s="431" t="s">
        <v>27</v>
      </c>
      <c r="G37" s="6">
        <f>+IFERROR(HLOOKUP($A$1,[14]손익!$G$5:$AB$252,61,),)</f>
        <v>15493.333333333332</v>
      </c>
      <c r="H37" s="6">
        <f>+IFERROR(VLOOKUP($F37,'[17]서부산(손익)'!$L$16:$R$29,4,),)/1000</f>
        <v>0</v>
      </c>
      <c r="I37" s="6">
        <f t="shared" si="24"/>
        <v>-15493.333333333332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1"/>
        <v>0</v>
      </c>
      <c r="M37" s="76"/>
      <c r="O37" s="6">
        <f t="shared" si="32"/>
        <v>0</v>
      </c>
      <c r="P37" s="6">
        <f t="shared" si="33"/>
        <v>15493.333333333332</v>
      </c>
      <c r="Q37" s="6">
        <f t="shared" si="34"/>
        <v>0</v>
      </c>
      <c r="R37" s="6">
        <f t="shared" si="25"/>
        <v>-15493.333333333332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26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35"/>
        <v>0</v>
      </c>
      <c r="AA37" s="6">
        <f t="shared" si="36"/>
        <v>0</v>
      </c>
      <c r="AB37" s="6">
        <f t="shared" si="37"/>
        <v>0</v>
      </c>
      <c r="AC37" s="6">
        <f t="shared" si="27"/>
        <v>0</v>
      </c>
      <c r="AD37" s="6">
        <f t="shared" si="28"/>
        <v>0</v>
      </c>
      <c r="AE37" s="437">
        <f>+IFERROR(HLOOKUP($A$1,[16]이송계획!$G$70:$W$100,18,),)+IFERROR(HLOOKUP($A$1,[16]이송계획!$G$70:$W$100,25,),)</f>
        <v>102307.6923076923</v>
      </c>
      <c r="AF37" s="6">
        <f>+'[9]부산모래장(당월)'!R78</f>
        <v>52800</v>
      </c>
      <c r="AH37" s="6">
        <f t="shared" si="29"/>
        <v>117801.02564102563</v>
      </c>
      <c r="AI37" s="6">
        <f t="shared" si="29"/>
        <v>52800</v>
      </c>
      <c r="AJ37" s="6">
        <f t="shared" si="30"/>
        <v>-65001.025641025626</v>
      </c>
    </row>
    <row r="38" spans="5:36" ht="21.95" customHeight="1" x14ac:dyDescent="0.3">
      <c r="F38" s="431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24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1"/>
        <v>0</v>
      </c>
      <c r="M38" s="76"/>
      <c r="O38" s="6">
        <f t="shared" si="32"/>
        <v>0</v>
      </c>
      <c r="P38" s="6">
        <f t="shared" si="33"/>
        <v>0</v>
      </c>
      <c r="Q38" s="6">
        <f t="shared" si="34"/>
        <v>0</v>
      </c>
      <c r="R38" s="6">
        <f t="shared" si="25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26"/>
        <v>0</v>
      </c>
      <c r="V38" s="76">
        <f>+IFERROR(HLOOKUP($A$1,[15]손익!$G$5:$AB$252,69,),)</f>
        <v>0</v>
      </c>
      <c r="W38" s="6">
        <f>+IFERROR(VLOOKUP($F38,'[17]부산크라샤(손익)'!$L$16:$R$29,4,),)/1000</f>
        <v>13824</v>
      </c>
      <c r="X38" s="6">
        <f t="shared" si="35"/>
        <v>13824</v>
      </c>
      <c r="AA38" s="6">
        <f t="shared" si="36"/>
        <v>0</v>
      </c>
      <c r="AB38" s="6">
        <f t="shared" si="37"/>
        <v>0</v>
      </c>
      <c r="AC38" s="6">
        <f t="shared" si="27"/>
        <v>13824</v>
      </c>
      <c r="AD38" s="6">
        <f t="shared" si="28"/>
        <v>13824</v>
      </c>
      <c r="AE38" s="437">
        <f>+IFERROR(HLOOKUP($A$1,[16]이송계획!$G$70:$W$100,19,),)+IFERROR(HLOOKUP($A$1,[16]이송계획!$G$70:$W$100,26,),)</f>
        <v>121015.38461538461</v>
      </c>
      <c r="AF38" s="6">
        <f>+'[9]부산모래장(당월)'!R79</f>
        <v>111320</v>
      </c>
      <c r="AH38" s="6">
        <f t="shared" si="29"/>
        <v>121015.38461538461</v>
      </c>
      <c r="AI38" s="6">
        <f t="shared" si="29"/>
        <v>125144</v>
      </c>
      <c r="AJ38" s="6">
        <f t="shared" si="30"/>
        <v>4128.6153846153902</v>
      </c>
    </row>
    <row r="39" spans="5:36" ht="21.95" customHeight="1" x14ac:dyDescent="0.3">
      <c r="F39" s="431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24"/>
        <v>0</v>
      </c>
      <c r="J39" s="76">
        <f>+IFERROR(HLOOKUP($A$1,[14]손익!$G$5:$AB$252,72,),)</f>
        <v>10305.450000000001</v>
      </c>
      <c r="K39" s="6">
        <f>+IFERROR(VLOOKUP($F39,'[17]서부산(손익)'!$L$16:$R$29,3,),)/1000</f>
        <v>0</v>
      </c>
      <c r="L39" s="6">
        <f t="shared" si="31"/>
        <v>-10305.450000000001</v>
      </c>
      <c r="M39" s="76"/>
      <c r="O39" s="6">
        <f t="shared" si="32"/>
        <v>0</v>
      </c>
      <c r="P39" s="6">
        <f t="shared" si="33"/>
        <v>10305.450000000001</v>
      </c>
      <c r="Q39" s="6">
        <f t="shared" si="34"/>
        <v>0</v>
      </c>
      <c r="R39" s="6">
        <f t="shared" si="25"/>
        <v>-10305.450000000001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26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35"/>
        <v>0</v>
      </c>
      <c r="AA39" s="6">
        <f t="shared" si="36"/>
        <v>0</v>
      </c>
      <c r="AB39" s="6">
        <f t="shared" si="37"/>
        <v>0</v>
      </c>
      <c r="AC39" s="6">
        <f t="shared" si="27"/>
        <v>0</v>
      </c>
      <c r="AD39" s="6">
        <f t="shared" si="28"/>
        <v>0</v>
      </c>
      <c r="AE39" s="437">
        <f>+IFERROR(HLOOKUP($A$1,[16]이송계획!$G$70:$W$100,20,),)+IFERROR(HLOOKUP($A$1,[16]이송계획!$G$70:$W$100,27,),)</f>
        <v>44078.653846153851</v>
      </c>
      <c r="AF39" s="6">
        <f>+'[9]부산모래장(당월)'!R80</f>
        <v>0</v>
      </c>
      <c r="AH39" s="6">
        <f t="shared" si="29"/>
        <v>54384.103846153856</v>
      </c>
      <c r="AI39" s="6">
        <f t="shared" si="29"/>
        <v>0</v>
      </c>
      <c r="AJ39" s="6">
        <f t="shared" si="30"/>
        <v>-54384.103846153856</v>
      </c>
    </row>
    <row r="40" spans="5:36" ht="21.95" customHeight="1" x14ac:dyDescent="0.3">
      <c r="F40" s="431" t="s">
        <v>30</v>
      </c>
      <c r="G40" s="6">
        <f>+IFERROR(HLOOKUP($A$1,[14]손익!$G$5:$AB$252,64,),)</f>
        <v>8360</v>
      </c>
      <c r="H40" s="6">
        <f>+IFERROR(VLOOKUP($F40,'[17]서부산(손익)'!$L$16:$R$29,4,),)/1000</f>
        <v>0</v>
      </c>
      <c r="I40" s="6">
        <f t="shared" si="24"/>
        <v>-8360</v>
      </c>
      <c r="J40" s="76">
        <f>+IFERROR(HLOOKUP($A$1,[14]손익!$G$5:$AB$252,73,),)</f>
        <v>7260</v>
      </c>
      <c r="K40" s="6">
        <f>+IFERROR(VLOOKUP($F40,'[17]서부산(손익)'!$L$16:$R$29,3,),)/1000</f>
        <v>0</v>
      </c>
      <c r="L40" s="6">
        <f t="shared" si="31"/>
        <v>-7260</v>
      </c>
      <c r="M40" s="76"/>
      <c r="O40" s="6">
        <f t="shared" si="32"/>
        <v>0</v>
      </c>
      <c r="P40" s="6">
        <f t="shared" si="33"/>
        <v>15620</v>
      </c>
      <c r="Q40" s="6">
        <f t="shared" si="34"/>
        <v>0</v>
      </c>
      <c r="R40" s="6">
        <f t="shared" si="25"/>
        <v>-15620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26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35"/>
        <v>0</v>
      </c>
      <c r="AA40" s="6">
        <f t="shared" si="36"/>
        <v>0</v>
      </c>
      <c r="AB40" s="6">
        <f t="shared" si="37"/>
        <v>0</v>
      </c>
      <c r="AC40" s="6">
        <f t="shared" si="27"/>
        <v>0</v>
      </c>
      <c r="AD40" s="6">
        <f t="shared" si="28"/>
        <v>0</v>
      </c>
      <c r="AE40" s="437">
        <f>+IFERROR(HLOOKUP($A$1,[16]이송계획!$G$70:$W$100,21,),)+IFERROR(HLOOKUP($A$1,[16]이송계획!$G$70:$W$100,28,),)</f>
        <v>0</v>
      </c>
      <c r="AH40" s="6">
        <f t="shared" si="29"/>
        <v>15620</v>
      </c>
      <c r="AI40" s="6">
        <f t="shared" si="29"/>
        <v>0</v>
      </c>
      <c r="AJ40" s="6">
        <f t="shared" si="30"/>
        <v>-15620</v>
      </c>
    </row>
    <row r="41" spans="5:36" ht="21.95" customHeight="1" x14ac:dyDescent="0.3">
      <c r="F41" s="431" t="s">
        <v>8</v>
      </c>
      <c r="G41" s="6">
        <f>SUM(G35:G40)</f>
        <v>249935.46666666667</v>
      </c>
      <c r="H41" s="6">
        <f>SUM(H35:H40)</f>
        <v>0</v>
      </c>
      <c r="I41" s="6">
        <f t="shared" si="24"/>
        <v>-249935.46666666667</v>
      </c>
      <c r="J41" s="76">
        <f>SUM(J35:J40)</f>
        <v>42695.316666666673</v>
      </c>
      <c r="K41" s="76">
        <f>SUM(K35:K40)</f>
        <v>0</v>
      </c>
      <c r="L41" s="6">
        <f t="shared" si="31"/>
        <v>-42695.316666666673</v>
      </c>
      <c r="M41" s="76"/>
      <c r="N41" s="76"/>
      <c r="O41" s="6">
        <f t="shared" si="32"/>
        <v>0</v>
      </c>
      <c r="P41" s="6">
        <f t="shared" si="33"/>
        <v>292630.78333333333</v>
      </c>
      <c r="Q41" s="6">
        <f t="shared" si="34"/>
        <v>0</v>
      </c>
      <c r="R41" s="6">
        <f t="shared" si="25"/>
        <v>-292630.78333333333</v>
      </c>
      <c r="S41" s="6">
        <f>SUM(S35:S40)</f>
        <v>208285.91279889052</v>
      </c>
      <c r="T41" s="6">
        <f>SUM(T35:T40)</f>
        <v>213500</v>
      </c>
      <c r="U41" s="6">
        <f t="shared" si="26"/>
        <v>5214.0872011094762</v>
      </c>
      <c r="V41" s="76">
        <f>SUM(V35:V40)</f>
        <v>255219.301005852</v>
      </c>
      <c r="W41" s="76">
        <f>SUM(W35:W40)</f>
        <v>246509.5</v>
      </c>
      <c r="X41" s="6">
        <f t="shared" si="35"/>
        <v>-8709.8010058520013</v>
      </c>
      <c r="Z41" s="76"/>
      <c r="AA41" s="6">
        <f t="shared" si="36"/>
        <v>0</v>
      </c>
      <c r="AB41" s="6">
        <f t="shared" si="37"/>
        <v>463505.21380474255</v>
      </c>
      <c r="AC41" s="6">
        <f t="shared" si="27"/>
        <v>460009.5</v>
      </c>
      <c r="AD41" s="6">
        <f t="shared" si="28"/>
        <v>-3495.7138047425542</v>
      </c>
      <c r="AE41" s="6">
        <f>SUM(AE35:AE40)</f>
        <v>579274.17774659046</v>
      </c>
      <c r="AF41" s="6">
        <f>SUM(AF35:AF40)</f>
        <v>359040</v>
      </c>
      <c r="AH41" s="6">
        <f t="shared" si="29"/>
        <v>1335410.1748846662</v>
      </c>
      <c r="AI41" s="6">
        <f t="shared" si="29"/>
        <v>819049.5</v>
      </c>
      <c r="AJ41" s="6">
        <f t="shared" si="30"/>
        <v>-516360.67488466622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 codeName="Sheet11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J8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200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208</v>
      </c>
      <c r="F4" s="183"/>
      <c r="I4" s="183"/>
      <c r="P4" s="6">
        <f>+'골재사업소(당월)'!P12+'[4]골재사업소(누계)'!P12</f>
        <v>425999.38354666671</v>
      </c>
      <c r="Q4" s="6">
        <f>+'골재사업소(당월)'!Q12+'[4]골재사업소(누계)'!Q12</f>
        <v>172092</v>
      </c>
      <c r="S4" s="6">
        <f>+'골재사업소(당월)'!S12+'[4]골재사업소(누계)'!S12</f>
        <v>199970.9663336949</v>
      </c>
      <c r="T4" s="6">
        <f>+'골재사업소(당월)'!T12+'[4]골재사업소(누계)'!T12</f>
        <v>207313</v>
      </c>
      <c r="V4" s="6">
        <f>+'골재사업소(당월)'!V12+'[4]골재사업소(누계)'!V12</f>
        <v>300028.91075679893</v>
      </c>
      <c r="W4" s="6">
        <f>+'골재사업소(당월)'!W12+'[4]골재사업소(누계)'!W12</f>
        <v>221112</v>
      </c>
      <c r="AB4" s="6">
        <f>+'골재사업소(당월)'!AB12+'[4]골재사업소(누계)'!Y12</f>
        <v>41933.0060593015</v>
      </c>
      <c r="AC4" s="6">
        <f>+'골재사업소(당월)'!AC12+'[4]골재사업소(누계)'!Z12</f>
        <v>36886</v>
      </c>
      <c r="AE4" s="6">
        <f>+'골재사업소(당월)'!AE12+'[4]골재사업소(누계)'!AE12</f>
        <v>300000.17607285094</v>
      </c>
      <c r="AF4" s="6">
        <f>+'골재사업소(당월)'!AF12+'[4]골재사업소(누계)'!AF12</f>
        <v>238353</v>
      </c>
      <c r="AH4" s="6">
        <f>+'골재사업소(당월)'!AH12+'[4]골재사업소(누계)'!AE12</f>
        <v>392372.9454654858</v>
      </c>
      <c r="AI4" s="6">
        <f>+'골재사업소(당월)'!AI12+'[4]골재사업소(누계)'!AF12</f>
        <v>274998</v>
      </c>
    </row>
    <row r="5" spans="1:39" ht="21.95" customHeight="1" thickBot="1" x14ac:dyDescent="0.35">
      <c r="J5" s="76"/>
      <c r="AE5" s="76"/>
      <c r="AH5" s="76"/>
      <c r="AJ5" s="185" t="s">
        <v>134</v>
      </c>
    </row>
    <row r="6" spans="1:39" ht="24" customHeight="1" thickTop="1" x14ac:dyDescent="0.3">
      <c r="A6" s="6" t="s">
        <v>204</v>
      </c>
      <c r="D6" s="295" t="s">
        <v>15</v>
      </c>
      <c r="E6" s="724" t="s">
        <v>11</v>
      </c>
      <c r="F6" s="725"/>
      <c r="G6" s="293" t="s">
        <v>128</v>
      </c>
      <c r="H6" s="292"/>
      <c r="I6" s="292"/>
      <c r="J6" s="292" t="s">
        <v>127</v>
      </c>
      <c r="K6" s="292"/>
      <c r="L6" s="294"/>
      <c r="M6" s="292" t="s">
        <v>178</v>
      </c>
      <c r="N6" s="292"/>
      <c r="O6" s="294"/>
      <c r="P6" s="388" t="s">
        <v>126</v>
      </c>
      <c r="Q6" s="389"/>
      <c r="R6" s="390"/>
      <c r="S6" s="293" t="s">
        <v>150</v>
      </c>
      <c r="T6" s="292"/>
      <c r="U6" s="292"/>
      <c r="V6" s="292" t="s">
        <v>151</v>
      </c>
      <c r="W6" s="292"/>
      <c r="X6" s="294"/>
      <c r="Y6" s="292" t="s">
        <v>190</v>
      </c>
      <c r="Z6" s="292"/>
      <c r="AA6" s="294"/>
      <c r="AB6" s="388" t="s">
        <v>152</v>
      </c>
      <c r="AC6" s="389"/>
      <c r="AD6" s="390"/>
      <c r="AE6" s="387" t="s">
        <v>125</v>
      </c>
      <c r="AF6" s="292"/>
      <c r="AG6" s="294"/>
      <c r="AH6" s="388" t="s">
        <v>124</v>
      </c>
      <c r="AI6" s="389"/>
      <c r="AJ6" s="390"/>
    </row>
    <row r="7" spans="1:39" ht="24" customHeight="1" x14ac:dyDescent="0.3">
      <c r="D7" s="291"/>
      <c r="E7" s="726"/>
      <c r="F7" s="727"/>
      <c r="G7" s="287" t="s">
        <v>12</v>
      </c>
      <c r="H7" s="373" t="s">
        <v>13</v>
      </c>
      <c r="I7" s="290" t="s">
        <v>32</v>
      </c>
      <c r="J7" s="289" t="s">
        <v>15</v>
      </c>
      <c r="K7" s="373" t="s">
        <v>16</v>
      </c>
      <c r="L7" s="288" t="s">
        <v>32</v>
      </c>
      <c r="M7" s="289" t="s">
        <v>15</v>
      </c>
      <c r="N7" s="373" t="s">
        <v>16</v>
      </c>
      <c r="O7" s="288" t="s">
        <v>32</v>
      </c>
      <c r="P7" s="391" t="s">
        <v>15</v>
      </c>
      <c r="Q7" s="373" t="s">
        <v>16</v>
      </c>
      <c r="R7" s="392" t="s">
        <v>32</v>
      </c>
      <c r="S7" s="287" t="s">
        <v>12</v>
      </c>
      <c r="T7" s="373" t="s">
        <v>13</v>
      </c>
      <c r="U7" s="290" t="s">
        <v>32</v>
      </c>
      <c r="V7" s="289" t="s">
        <v>15</v>
      </c>
      <c r="W7" s="373" t="s">
        <v>16</v>
      </c>
      <c r="X7" s="288" t="s">
        <v>32</v>
      </c>
      <c r="Y7" s="289" t="s">
        <v>15</v>
      </c>
      <c r="Z7" s="373" t="s">
        <v>16</v>
      </c>
      <c r="AA7" s="288" t="s">
        <v>32</v>
      </c>
      <c r="AB7" s="391" t="s">
        <v>15</v>
      </c>
      <c r="AC7" s="373" t="s">
        <v>16</v>
      </c>
      <c r="AD7" s="392" t="s">
        <v>32</v>
      </c>
      <c r="AE7" s="288" t="s">
        <v>15</v>
      </c>
      <c r="AF7" s="373" t="s">
        <v>16</v>
      </c>
      <c r="AG7" s="288" t="s">
        <v>32</v>
      </c>
      <c r="AH7" s="391" t="s">
        <v>15</v>
      </c>
      <c r="AI7" s="373" t="s">
        <v>16</v>
      </c>
      <c r="AJ7" s="392" t="s">
        <v>32</v>
      </c>
    </row>
    <row r="8" spans="1:39" ht="24" customHeight="1" x14ac:dyDescent="0.3">
      <c r="D8" s="77"/>
      <c r="E8" s="264" t="s">
        <v>98</v>
      </c>
      <c r="F8" s="263" t="s">
        <v>120</v>
      </c>
      <c r="G8" s="259">
        <f>+'골재사업소(당월)'!G8+'[4]골재사업소(누계)'!G8</f>
        <v>149114.33333333334</v>
      </c>
      <c r="H8" s="374">
        <f>+'골재사업소(당월)'!H8+'[4]골재사업소(누계)'!H8</f>
        <v>98732</v>
      </c>
      <c r="I8" s="262">
        <f>H8-G8</f>
        <v>-50382.333333333343</v>
      </c>
      <c r="J8" s="261">
        <f>+'골재사업소(당월)'!J8+'[4]골재사업소(누계)'!J8</f>
        <v>19174.050213333336</v>
      </c>
      <c r="K8" s="374">
        <f>+'골재사업소(당월)'!K8+'[4]골재사업소(누계)'!K8</f>
        <v>2096</v>
      </c>
      <c r="L8" s="260">
        <f>K8-J8</f>
        <v>-17078.050213333336</v>
      </c>
      <c r="M8" s="261">
        <f>+'골재사업소(당월)'!M8+'[4]골재사업소(누계)'!M8</f>
        <v>0</v>
      </c>
      <c r="N8" s="374">
        <f>+'골재사업소(당월)'!N8+'[4]골재사업소(누계)'!N8</f>
        <v>0</v>
      </c>
      <c r="O8" s="260">
        <f>N8-M8</f>
        <v>0</v>
      </c>
      <c r="P8" s="393">
        <f>+G8+J8+M8</f>
        <v>168288.38354666668</v>
      </c>
      <c r="Q8" s="374">
        <f>+H8+K8+N8</f>
        <v>100828</v>
      </c>
      <c r="R8" s="394">
        <f>Q8-P8</f>
        <v>-67460.383546666679</v>
      </c>
      <c r="S8" s="259">
        <f>+'골재사업소(당월)'!S8+'[4]골재사업소(누계)'!S8</f>
        <v>135564.9663336949</v>
      </c>
      <c r="T8" s="374">
        <f>+'골재사업소(당월)'!T8+'[4]골재사업소(누계)'!T8</f>
        <v>145681</v>
      </c>
      <c r="U8" s="262">
        <f>T8-S8</f>
        <v>10116.033666305098</v>
      </c>
      <c r="V8" s="261">
        <f>+'골재사업소(당월)'!V8+'[4]골재사업소(누계)'!V8</f>
        <v>122028.9107567989</v>
      </c>
      <c r="W8" s="374">
        <f>+'골재사업소(당월)'!W8+'[4]골재사업소(누계)'!W8</f>
        <v>140696</v>
      </c>
      <c r="X8" s="260">
        <f>W8-V8</f>
        <v>18667.089243201102</v>
      </c>
      <c r="Y8" s="261">
        <f>+'골재사업소(당월)'!Y8+'[4]골재사업소(누계)'!Y8</f>
        <v>0</v>
      </c>
      <c r="Z8" s="374">
        <f>+'골재사업소(당월)'!Z8+'[4]골재사업소(누계)'!Z8</f>
        <v>0</v>
      </c>
      <c r="AA8" s="260">
        <f>Z8-Y8</f>
        <v>0</v>
      </c>
      <c r="AB8" s="393">
        <f>+S8+V8+Y8</f>
        <v>257593.8770904938</v>
      </c>
      <c r="AC8" s="374">
        <f>+T8+W8+Z8</f>
        <v>286377</v>
      </c>
      <c r="AD8" s="394">
        <f>AC8-AB8</f>
        <v>28783.122909506201</v>
      </c>
      <c r="AE8" s="260">
        <f>+'골재사업소(당월)'!AE8+'[4]골재사업소(누계)'!AE8</f>
        <v>198367.17607285097</v>
      </c>
      <c r="AF8" s="374">
        <f>+'골재사업소(당월)'!AF8+'[4]골재사업소(누계)'!AF8</f>
        <v>145698</v>
      </c>
      <c r="AG8" s="260">
        <f>AF8-AE8</f>
        <v>-52669.176072850969</v>
      </c>
      <c r="AH8" s="393">
        <f>+P8+AB8+AE8</f>
        <v>624249.43671001145</v>
      </c>
      <c r="AI8" s="374">
        <f>+Q8+AC8+AF8</f>
        <v>532903</v>
      </c>
      <c r="AJ8" s="394">
        <f>AI8-AH8</f>
        <v>-91346.436710011447</v>
      </c>
    </row>
    <row r="9" spans="1:39" ht="24" customHeight="1" x14ac:dyDescent="0.3">
      <c r="D9" s="77"/>
      <c r="E9" s="281"/>
      <c r="F9" s="286" t="s">
        <v>10</v>
      </c>
      <c r="G9" s="282">
        <f>+G8/G$12</f>
        <v>0.84958493418391279</v>
      </c>
      <c r="H9" s="375">
        <f>+H8/H$12</f>
        <v>0.63213563141854689</v>
      </c>
      <c r="I9" s="285">
        <f>+H9-G9</f>
        <v>-0.21744930276536589</v>
      </c>
      <c r="J9" s="284">
        <f>+J8/J$12</f>
        <v>0.25742145784176501</v>
      </c>
      <c r="K9" s="375">
        <f>+K8/K$12</f>
        <v>0.13179074446680081</v>
      </c>
      <c r="L9" s="283">
        <f>+K9-J9</f>
        <v>-0.1256307133749642</v>
      </c>
      <c r="M9" s="284">
        <f>+M8/M$12</f>
        <v>0</v>
      </c>
      <c r="N9" s="375" t="e">
        <f>+N8/N$12</f>
        <v>#DIV/0!</v>
      </c>
      <c r="O9" s="283" t="e">
        <f>+N9-M9</f>
        <v>#DIV/0!</v>
      </c>
      <c r="P9" s="395">
        <f>+P8/P$12</f>
        <v>0.39504372552274197</v>
      </c>
      <c r="Q9" s="375">
        <f>+Q8/Q$12</f>
        <v>0.58589591613787972</v>
      </c>
      <c r="R9" s="396">
        <f>+Q9-P9</f>
        <v>0.19085219061513775</v>
      </c>
      <c r="S9" s="282">
        <f>+S8/S$12</f>
        <v>0.67792324465480336</v>
      </c>
      <c r="T9" s="375">
        <f>+T8/T$12</f>
        <v>0.7027103944277493</v>
      </c>
      <c r="U9" s="285">
        <f>+T9-S9</f>
        <v>2.4787149772945938E-2</v>
      </c>
      <c r="V9" s="284">
        <f>+V8/V$12</f>
        <v>0.4067238402092343</v>
      </c>
      <c r="W9" s="375">
        <f>+W8/W$12</f>
        <v>0.63631100980498567</v>
      </c>
      <c r="X9" s="283">
        <f>+W9-V9</f>
        <v>0.22958716959575137</v>
      </c>
      <c r="Y9" s="284" t="e">
        <f>+Y8/Y$12</f>
        <v>#DIV/0!</v>
      </c>
      <c r="Z9" s="375">
        <f>+Z8/Z$12</f>
        <v>0</v>
      </c>
      <c r="AA9" s="283" t="e">
        <f>+Z9-Y9</f>
        <v>#DIV/0!</v>
      </c>
      <c r="AB9" s="395">
        <f>+AB8/AB$12</f>
        <v>0.51518788082396372</v>
      </c>
      <c r="AC9" s="375">
        <f>+AC8/AC$12</f>
        <v>0.6665107315915153</v>
      </c>
      <c r="AD9" s="396">
        <f>+AC9-AB9</f>
        <v>0.15132285076755159</v>
      </c>
      <c r="AE9" s="283">
        <f>+AE8/AE$12</f>
        <v>0.66122353216446184</v>
      </c>
      <c r="AF9" s="375">
        <f>+AF8/AF$12</f>
        <v>0.61126983927200418</v>
      </c>
      <c r="AG9" s="283">
        <f>+AF9-AE9</f>
        <v>-4.9953692892457657E-2</v>
      </c>
      <c r="AH9" s="395">
        <f>+AH8/AH$12</f>
        <v>0.50917595719717013</v>
      </c>
      <c r="AI9" s="375">
        <f>+AI8/AI$12</f>
        <v>0.63432451187997774</v>
      </c>
      <c r="AJ9" s="396">
        <f>+AI9-AH9</f>
        <v>0.12514855468280761</v>
      </c>
    </row>
    <row r="10" spans="1:39" ht="24" customHeight="1" x14ac:dyDescent="0.3">
      <c r="D10" s="257"/>
      <c r="E10" s="281"/>
      <c r="F10" s="280" t="s">
        <v>123</v>
      </c>
      <c r="G10" s="276">
        <f>+'골재사업소(당월)'!G10+'[4]골재사업소(누계)'!G10</f>
        <v>26400</v>
      </c>
      <c r="H10" s="376">
        <f>+'골재사업소(당월)'!H10+'[4]골재사업소(누계)'!H10</f>
        <v>57456</v>
      </c>
      <c r="I10" s="279">
        <f>H10-G10</f>
        <v>31056</v>
      </c>
      <c r="J10" s="278">
        <f>+'골재사업소(당월)'!J10+'[4]골재사업소(누계)'!J10</f>
        <v>55311</v>
      </c>
      <c r="K10" s="376">
        <f>+'골재사업소(당월)'!K10+'[4]골재사업소(누계)'!K10</f>
        <v>13808</v>
      </c>
      <c r="L10" s="277">
        <f>K10-J10</f>
        <v>-41503</v>
      </c>
      <c r="M10" s="278">
        <f>+'골재사업소(당월)'!M10+'[4]골재사업소(누계)'!M10</f>
        <v>176000</v>
      </c>
      <c r="N10" s="376">
        <f>+'골재사업소(당월)'!N10+'[4]골재사업소(누계)'!N10</f>
        <v>0</v>
      </c>
      <c r="O10" s="277">
        <f>N10-M10</f>
        <v>-176000</v>
      </c>
      <c r="P10" s="397">
        <f>+G10+J10+M10</f>
        <v>257711</v>
      </c>
      <c r="Q10" s="376">
        <f>+H10+K10+N10</f>
        <v>71264</v>
      </c>
      <c r="R10" s="398">
        <f>Q10-P10</f>
        <v>-186447</v>
      </c>
      <c r="S10" s="276">
        <f>+'골재사업소(당월)'!S10+'[4]골재사업소(누계)'!S10</f>
        <v>64406</v>
      </c>
      <c r="T10" s="376">
        <f>+'골재사업소(당월)'!T10+'[4]골재사업소(누계)'!T10</f>
        <v>61632</v>
      </c>
      <c r="U10" s="279">
        <f>T10-S10</f>
        <v>-2774</v>
      </c>
      <c r="V10" s="278">
        <f>+'골재사업소(당월)'!V10+'[4]골재사업소(누계)'!V10</f>
        <v>178000</v>
      </c>
      <c r="W10" s="376">
        <f>+'골재사업소(당월)'!W10+'[4]골재사업소(누계)'!W10</f>
        <v>80416</v>
      </c>
      <c r="X10" s="277">
        <f>W10-V10</f>
        <v>-97584</v>
      </c>
      <c r="Y10" s="278">
        <f>+'골재사업소(당월)'!Y10+'[4]골재사업소(누계)'!Y10</f>
        <v>0</v>
      </c>
      <c r="Z10" s="376">
        <f>+'골재사업소(당월)'!Z10+'[4]골재사업소(누계)'!Z10</f>
        <v>1241</v>
      </c>
      <c r="AA10" s="277">
        <f>Z10-Y10</f>
        <v>1241</v>
      </c>
      <c r="AB10" s="397">
        <f>+S10+V10+Y10</f>
        <v>242406</v>
      </c>
      <c r="AC10" s="376">
        <f>+T10+W10+Z10</f>
        <v>143289</v>
      </c>
      <c r="AD10" s="398">
        <f>AC10-AB10</f>
        <v>-99117</v>
      </c>
      <c r="AE10" s="277">
        <f>+'골재사업소(당월)'!AE10+'[4]골재사업소(누계)'!AE10</f>
        <v>101633</v>
      </c>
      <c r="AF10" s="376">
        <f>+'골재사업소(당월)'!AF10+'[4]골재사업소(누계)'!AF10</f>
        <v>92655</v>
      </c>
      <c r="AG10" s="277">
        <f>AF10-AE10</f>
        <v>-8978</v>
      </c>
      <c r="AH10" s="397">
        <f>+P10+AB10+AE10</f>
        <v>601750</v>
      </c>
      <c r="AI10" s="376">
        <f>+Q10+AC10+AF10</f>
        <v>307208</v>
      </c>
      <c r="AJ10" s="398">
        <f>AI10-AH10</f>
        <v>-294542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0.15041506581608718</v>
      </c>
      <c r="H11" s="377">
        <f>+H10/H$12</f>
        <v>0.36786436858145311</v>
      </c>
      <c r="I11" s="274">
        <f>+H11-G11</f>
        <v>0.21744930276536592</v>
      </c>
      <c r="J11" s="273">
        <f>+J10/J$12</f>
        <v>0.74257854215823504</v>
      </c>
      <c r="K11" s="377">
        <f>+K10/K$12</f>
        <v>0.86820925553319916</v>
      </c>
      <c r="L11" s="272">
        <f>+K11-J11</f>
        <v>0.12563071337496412</v>
      </c>
      <c r="M11" s="273">
        <f>+M10/M$12</f>
        <v>1</v>
      </c>
      <c r="N11" s="377" t="e">
        <f>+N10/N$12</f>
        <v>#DIV/0!</v>
      </c>
      <c r="O11" s="272" t="e">
        <f>+N11-M11</f>
        <v>#DIV/0!</v>
      </c>
      <c r="P11" s="399">
        <f>+P10/P$12</f>
        <v>0.60495627447725797</v>
      </c>
      <c r="Q11" s="377">
        <f>+Q10/Q$12</f>
        <v>0.41410408386212028</v>
      </c>
      <c r="R11" s="400">
        <f>+Q11-P11</f>
        <v>-0.1908521906151377</v>
      </c>
      <c r="S11" s="271">
        <f>+S10/S$12</f>
        <v>0.32207675534519659</v>
      </c>
      <c r="T11" s="377">
        <f>+T10/T$12</f>
        <v>0.29728960557225065</v>
      </c>
      <c r="U11" s="274">
        <f>+T11-S11</f>
        <v>-2.4787149772945938E-2</v>
      </c>
      <c r="V11" s="273">
        <f>+V10/V$12</f>
        <v>0.59327615979076564</v>
      </c>
      <c r="W11" s="377">
        <f>+W10/W$12</f>
        <v>0.36368899019501427</v>
      </c>
      <c r="X11" s="272">
        <f>+W11-V11</f>
        <v>-0.22958716959575137</v>
      </c>
      <c r="Y11" s="273" t="e">
        <f>+Y10/Y$12</f>
        <v>#DIV/0!</v>
      </c>
      <c r="Z11" s="377">
        <f>+Z10/Z$12</f>
        <v>1</v>
      </c>
      <c r="AA11" s="272" t="e">
        <f>+Z11-Y11</f>
        <v>#DIV/0!</v>
      </c>
      <c r="AB11" s="399">
        <f>+AB10/AB$12</f>
        <v>0.48481211917603634</v>
      </c>
      <c r="AC11" s="377">
        <f>+AC10/AC$12</f>
        <v>0.33348926840848475</v>
      </c>
      <c r="AD11" s="400">
        <f>+AC11-AB11</f>
        <v>-0.15132285076755159</v>
      </c>
      <c r="AE11" s="272">
        <f>+AE10/AE$12</f>
        <v>0.33877646783553828</v>
      </c>
      <c r="AF11" s="377">
        <f>+AF10/AF$12</f>
        <v>0.38873016072799588</v>
      </c>
      <c r="AG11" s="272">
        <f>+AF11-AE11</f>
        <v>4.9953692892457602E-2</v>
      </c>
      <c r="AH11" s="399">
        <f>+AH10/AH$12</f>
        <v>0.49082404280282987</v>
      </c>
      <c r="AI11" s="377">
        <f>+AI10/AI$12</f>
        <v>0.36567548812002226</v>
      </c>
      <c r="AJ11" s="400">
        <f>+AI11-AH11</f>
        <v>-0.12514855468280761</v>
      </c>
      <c r="AL11" s="6">
        <f>+'골재사업소(당월)'!AL12</f>
        <v>120905.22701449944</v>
      </c>
    </row>
    <row r="12" spans="1:39" ht="24" customHeight="1" x14ac:dyDescent="0.3">
      <c r="D12" s="257"/>
      <c r="E12" s="270"/>
      <c r="F12" s="269" t="s">
        <v>39</v>
      </c>
      <c r="G12" s="265">
        <f>G8+G10</f>
        <v>175514.33333333334</v>
      </c>
      <c r="H12" s="378">
        <f>H8+H10</f>
        <v>156188</v>
      </c>
      <c r="I12" s="268">
        <f t="shared" ref="I12:I32" si="0">H12-G12</f>
        <v>-19326.333333333343</v>
      </c>
      <c r="J12" s="267">
        <f>J8+J10</f>
        <v>74485.050213333336</v>
      </c>
      <c r="K12" s="378">
        <f>K8+K10</f>
        <v>15904</v>
      </c>
      <c r="L12" s="266">
        <f t="shared" ref="L12:L32" si="1">K12-J12</f>
        <v>-58581.050213333336</v>
      </c>
      <c r="M12" s="267">
        <f>M8+M10</f>
        <v>176000</v>
      </c>
      <c r="N12" s="378">
        <f>N8+N10</f>
        <v>0</v>
      </c>
      <c r="O12" s="266">
        <f t="shared" ref="O12:O32" si="2">N12-M12</f>
        <v>-176000</v>
      </c>
      <c r="P12" s="401">
        <f>P8+P10</f>
        <v>425999.38354666671</v>
      </c>
      <c r="Q12" s="378">
        <f>Q8+Q10</f>
        <v>172092</v>
      </c>
      <c r="R12" s="402">
        <f t="shared" ref="R12:R32" si="3">Q12-P12</f>
        <v>-253907.38354666671</v>
      </c>
      <c r="S12" s="265">
        <f>S8+S10</f>
        <v>199970.9663336949</v>
      </c>
      <c r="T12" s="378">
        <f>T8+T10</f>
        <v>207313</v>
      </c>
      <c r="U12" s="268">
        <f t="shared" ref="U12:U32" si="4">T12-S12</f>
        <v>7342.0336663050984</v>
      </c>
      <c r="V12" s="267">
        <f>V8+V10</f>
        <v>300028.91075679893</v>
      </c>
      <c r="W12" s="378">
        <f>W8+W10</f>
        <v>221112</v>
      </c>
      <c r="X12" s="266">
        <f t="shared" ref="X12:X32" si="5">W12-V12</f>
        <v>-78916.910756798927</v>
      </c>
      <c r="Y12" s="267">
        <f>Y8+Y10</f>
        <v>0</v>
      </c>
      <c r="Z12" s="378">
        <f>Z8+Z10</f>
        <v>1241</v>
      </c>
      <c r="AA12" s="266">
        <f t="shared" ref="AA12:AA32" si="6">Z12-Y12</f>
        <v>1241</v>
      </c>
      <c r="AB12" s="401">
        <f>AB8+AB10</f>
        <v>499999.8770904938</v>
      </c>
      <c r="AC12" s="378">
        <f>AC8+AC10</f>
        <v>429666</v>
      </c>
      <c r="AD12" s="402">
        <f t="shared" ref="AD12:AD32" si="7">AC12-AB12</f>
        <v>-70333.877090493799</v>
      </c>
      <c r="AE12" s="266">
        <f>AE8+AE10</f>
        <v>300000.17607285094</v>
      </c>
      <c r="AF12" s="378">
        <f>AF8+AF10</f>
        <v>238353</v>
      </c>
      <c r="AG12" s="266">
        <f t="shared" ref="AG12:AG32" si="8">AF12-AE12</f>
        <v>-61647.17607285094</v>
      </c>
      <c r="AH12" s="401">
        <f>AH8+AH10</f>
        <v>1225999.4367100114</v>
      </c>
      <c r="AI12" s="378">
        <f>AI8+AI10</f>
        <v>840111</v>
      </c>
      <c r="AJ12" s="402">
        <f t="shared" ref="AJ12:AJ32" si="9">AI12-AH12</f>
        <v>-385888.43671001145</v>
      </c>
      <c r="AL12" s="6">
        <f>+'골재사업소(당월)'!AL12+'[4]골재사업소(누계)'!AL12</f>
        <v>1225999.4367100114</v>
      </c>
      <c r="AM12" s="6">
        <f>+'골재사업소(당월)'!AM12+'[4]골재사업소(누계)'!AM12</f>
        <v>840111</v>
      </c>
    </row>
    <row r="13" spans="1:39" ht="24" customHeight="1" x14ac:dyDescent="0.3">
      <c r="D13" s="257"/>
      <c r="E13" s="264" t="s">
        <v>69</v>
      </c>
      <c r="F13" s="263" t="s">
        <v>120</v>
      </c>
      <c r="G13" s="259">
        <f>+'골재사업소(당월)'!G13+'[4]골재사업소(누계)'!G13</f>
        <v>2277259.333333333</v>
      </c>
      <c r="H13" s="374">
        <f>+'골재사업소(당월)'!H13+'[4]골재사업소(누계)'!H13</f>
        <v>1603364</v>
      </c>
      <c r="I13" s="262">
        <f t="shared" si="0"/>
        <v>-673895.33333333302</v>
      </c>
      <c r="J13" s="261">
        <f>+'골재사업소(당월)'!J13+'[4]골재사업소(누계)'!J13</f>
        <v>340040.08653333335</v>
      </c>
      <c r="K13" s="374">
        <f>+'골재사업소(당월)'!K13+'[4]골재사업소(누계)'!K13</f>
        <v>19824</v>
      </c>
      <c r="L13" s="260">
        <f t="shared" si="1"/>
        <v>-320216.08653333335</v>
      </c>
      <c r="M13" s="261">
        <f>+'골재사업소(당월)'!M13+'[4]골재사업소(누계)'!M13</f>
        <v>0</v>
      </c>
      <c r="N13" s="374">
        <f>+'골재사업소(당월)'!N13+'[4]골재사업소(누계)'!N13</f>
        <v>0</v>
      </c>
      <c r="O13" s="260">
        <f t="shared" si="2"/>
        <v>0</v>
      </c>
      <c r="P13" s="393">
        <f>+G13+J13+M13</f>
        <v>2617299.4198666662</v>
      </c>
      <c r="Q13" s="374">
        <f>+H13+K13+N13</f>
        <v>1623188</v>
      </c>
      <c r="R13" s="394">
        <f t="shared" si="3"/>
        <v>-994111.4198666662</v>
      </c>
      <c r="S13" s="259">
        <f>+'골재사업소(당월)'!S13+'[4]골재사업소(누계)'!S13</f>
        <v>2169039.4613391184</v>
      </c>
      <c r="T13" s="374">
        <f>+'골재사업소(당월)'!T13+'[4]골재사업소(누계)'!T13</f>
        <v>2374033.5</v>
      </c>
      <c r="U13" s="262">
        <f t="shared" si="4"/>
        <v>204994.03866088158</v>
      </c>
      <c r="V13" s="261">
        <f>+'골재사업소(당월)'!V13+'[4]골재사업소(누계)'!V13</f>
        <v>2699871.2054708907</v>
      </c>
      <c r="W13" s="374">
        <f>+'골재사업소(당월)'!W13+'[4]골재사업소(누계)'!W13</f>
        <v>3048092</v>
      </c>
      <c r="X13" s="260">
        <f t="shared" si="5"/>
        <v>348220.79452910926</v>
      </c>
      <c r="Y13" s="261">
        <f>+'골재사업소(당월)'!Y13+'[4]골재사업소(누계)'!Y13</f>
        <v>0</v>
      </c>
      <c r="Z13" s="374">
        <f>+'골재사업소(당월)'!Z13+'[4]골재사업소(누계)'!Z13</f>
        <v>0</v>
      </c>
      <c r="AA13" s="260">
        <f t="shared" si="6"/>
        <v>0</v>
      </c>
      <c r="AB13" s="393">
        <f>+S13+V13+Y13</f>
        <v>4868910.6668100096</v>
      </c>
      <c r="AC13" s="374">
        <f>+T13+W13+Z13</f>
        <v>5422125.5</v>
      </c>
      <c r="AD13" s="394">
        <f t="shared" si="7"/>
        <v>553214.83318999037</v>
      </c>
      <c r="AE13" s="260">
        <f>+'골재사업소(당월)'!AE13+'[4]골재사업소(누계)'!AE13</f>
        <v>5747365.9142176304</v>
      </c>
      <c r="AF13" s="374">
        <f>+'골재사업소(당월)'!AF13+'[4]골재사업소(누계)'!AF13</f>
        <v>4283666.08</v>
      </c>
      <c r="AG13" s="260">
        <f t="shared" si="8"/>
        <v>-1463699.8342176303</v>
      </c>
      <c r="AH13" s="393">
        <f>+P13+AB13+AE13</f>
        <v>13233576.000894306</v>
      </c>
      <c r="AI13" s="374">
        <f>+Q13+AC13+AF13</f>
        <v>11328979.58</v>
      </c>
      <c r="AJ13" s="394">
        <f t="shared" si="9"/>
        <v>-1904596.4208943062</v>
      </c>
      <c r="AL13" s="6" t="b">
        <f>+AL12=AL12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119</v>
      </c>
      <c r="G14" s="252">
        <f>+G13/G8*1000</f>
        <v>15271.900979785083</v>
      </c>
      <c r="H14" s="379">
        <f>+H13/H8*1000</f>
        <v>16239.5575902443</v>
      </c>
      <c r="I14" s="255">
        <f t="shared" si="0"/>
        <v>967.65661045921661</v>
      </c>
      <c r="J14" s="254">
        <f>+J13/J8*1000</f>
        <v>17734.390113199701</v>
      </c>
      <c r="K14" s="379">
        <f>+K13/K8*1000</f>
        <v>9458.0152671755714</v>
      </c>
      <c r="L14" s="253">
        <f t="shared" si="1"/>
        <v>-8276.3748460241295</v>
      </c>
      <c r="M14" s="254" t="e">
        <f>+M13/M8*1000</f>
        <v>#DIV/0!</v>
      </c>
      <c r="N14" s="379" t="e">
        <f>+N13/N8*1000</f>
        <v>#DIV/0!</v>
      </c>
      <c r="O14" s="253" t="e">
        <f t="shared" si="2"/>
        <v>#DIV/0!</v>
      </c>
      <c r="P14" s="403">
        <f>+P13/P8*1000</f>
        <v>15552.46633610266</v>
      </c>
      <c r="Q14" s="379">
        <f>+Q13/Q8*1000</f>
        <v>16098.583726742572</v>
      </c>
      <c r="R14" s="404">
        <f t="shared" si="3"/>
        <v>546.11739063991263</v>
      </c>
      <c r="S14" s="252">
        <f>+S13/S8*1000</f>
        <v>16000</v>
      </c>
      <c r="T14" s="379">
        <f>+T13/T8*1000</f>
        <v>16296.109307322162</v>
      </c>
      <c r="U14" s="255">
        <f t="shared" si="4"/>
        <v>296.10930732216184</v>
      </c>
      <c r="V14" s="254">
        <f>+V13/V8*1000</f>
        <v>22124.848847103767</v>
      </c>
      <c r="W14" s="379">
        <f>+W13/W8*1000</f>
        <v>21664.382782737248</v>
      </c>
      <c r="X14" s="253">
        <f t="shared" si="5"/>
        <v>-460.46606436651928</v>
      </c>
      <c r="Y14" s="254" t="e">
        <f>+Y13/Y8*1000</f>
        <v>#DIV/0!</v>
      </c>
      <c r="Z14" s="379" t="e">
        <f>+Z13/Z8*1000</f>
        <v>#DIV/0!</v>
      </c>
      <c r="AA14" s="253" t="e">
        <f t="shared" si="6"/>
        <v>#DIV/0!</v>
      </c>
      <c r="AB14" s="403">
        <f>+AB13/AB8*1000</f>
        <v>18901.499996055969</v>
      </c>
      <c r="AC14" s="379">
        <f>+AC13/AC8*1000</f>
        <v>18933.522943532476</v>
      </c>
      <c r="AD14" s="404">
        <f t="shared" si="7"/>
        <v>32.022947476507397</v>
      </c>
      <c r="AE14" s="253">
        <f>+AE13/AE8*1000</f>
        <v>28973.371643436072</v>
      </c>
      <c r="AF14" s="379">
        <f>+AF13/AF8*1000</f>
        <v>29400.994385647024</v>
      </c>
      <c r="AG14" s="253">
        <f t="shared" si="8"/>
        <v>427.6227422109514</v>
      </c>
      <c r="AH14" s="403">
        <f>+AH13/AH8*1000</f>
        <v>21199.179723155801</v>
      </c>
      <c r="AI14" s="379">
        <f>+AI13/AI8*1000</f>
        <v>21258.990060104748</v>
      </c>
      <c r="AJ14" s="404">
        <f t="shared" si="9"/>
        <v>59.810336948947224</v>
      </c>
    </row>
    <row r="15" spans="1:39" ht="24" customHeight="1" x14ac:dyDescent="0.3">
      <c r="D15" s="257"/>
      <c r="E15" s="533"/>
      <c r="F15" s="223" t="s">
        <v>123</v>
      </c>
      <c r="G15" s="247">
        <f>+'골재사업소(당월)'!G15+'[4]골재사업소(누계)'!G15</f>
        <v>303600</v>
      </c>
      <c r="H15" s="380">
        <f>+'골재사업소(당월)'!H15+'[4]골재사업소(누계)'!H15</f>
        <v>673371</v>
      </c>
      <c r="I15" s="250">
        <f t="shared" si="0"/>
        <v>369771</v>
      </c>
      <c r="J15" s="249">
        <f>+'골재사업소(당월)'!J15+'[4]골재사업소(누계)'!J15</f>
        <v>829665</v>
      </c>
      <c r="K15" s="380">
        <f>+'골재사업소(당월)'!K15+'[4]골재사업소(누계)'!K15</f>
        <v>117104</v>
      </c>
      <c r="L15" s="248">
        <f t="shared" si="1"/>
        <v>-712561</v>
      </c>
      <c r="M15" s="249">
        <f>+'골재사업소(당월)'!M15+'[4]골재사업소(누계)'!M15</f>
        <v>1584000</v>
      </c>
      <c r="N15" s="380">
        <f>+'골재사업소(당월)'!N15+'[4]골재사업소(누계)'!N15</f>
        <v>0</v>
      </c>
      <c r="O15" s="248">
        <f t="shared" si="2"/>
        <v>-1584000</v>
      </c>
      <c r="P15" s="405">
        <f>+G15+J15+M15</f>
        <v>2717265</v>
      </c>
      <c r="Q15" s="380">
        <f>+H15+K15+N15</f>
        <v>790475</v>
      </c>
      <c r="R15" s="406">
        <f t="shared" si="3"/>
        <v>-1926790</v>
      </c>
      <c r="S15" s="247">
        <f>+'골재사업소(당월)'!S15+'[4]골재사업소(누계)'!S15</f>
        <v>772872</v>
      </c>
      <c r="T15" s="380">
        <f>+'골재사업소(당월)'!T15+'[4]골재사업소(누계)'!T15</f>
        <v>801216</v>
      </c>
      <c r="U15" s="250">
        <f t="shared" si="4"/>
        <v>28344</v>
      </c>
      <c r="V15" s="249">
        <f>+'골재사업소(당월)'!V15+'[4]골재사업소(누계)'!V15</f>
        <v>3382000</v>
      </c>
      <c r="W15" s="380">
        <f>+'골재사업소(당월)'!W15+'[4]골재사업소(누계)'!W15</f>
        <v>1476464</v>
      </c>
      <c r="X15" s="248">
        <f t="shared" si="5"/>
        <v>-1905536</v>
      </c>
      <c r="Y15" s="249">
        <f>+'골재사업소(당월)'!Y15+'[4]골재사업소(누계)'!Y15</f>
        <v>0</v>
      </c>
      <c r="Z15" s="380">
        <f>+'골재사업소(당월)'!Z15+'[4]골재사업소(누계)'!Z15</f>
        <v>34127.5</v>
      </c>
      <c r="AA15" s="248">
        <f t="shared" si="6"/>
        <v>34127.5</v>
      </c>
      <c r="AB15" s="405">
        <f>+S15+V15+Y15</f>
        <v>4154872</v>
      </c>
      <c r="AC15" s="380">
        <f>+T15+W15+Z15</f>
        <v>2311807.5</v>
      </c>
      <c r="AD15" s="406">
        <f t="shared" si="7"/>
        <v>-1843064.5</v>
      </c>
      <c r="AE15" s="248">
        <f>+'골재사업소(당월)'!AE15+'[4]골재사업소(누계)'!AE15</f>
        <v>2974540.5</v>
      </c>
      <c r="AF15" s="380">
        <f>+'골재사업소(당월)'!AF15+'[4]골재사업소(누계)'!AF15</f>
        <v>2638882</v>
      </c>
      <c r="AG15" s="248">
        <f t="shared" si="8"/>
        <v>-335658.5</v>
      </c>
      <c r="AH15" s="405">
        <f>+P15+AB15+AE15</f>
        <v>9846677.5</v>
      </c>
      <c r="AI15" s="380">
        <f>+Q15+AC15+AF15</f>
        <v>5741164.5</v>
      </c>
      <c r="AJ15" s="406">
        <f t="shared" si="9"/>
        <v>-4105513</v>
      </c>
    </row>
    <row r="16" spans="1:39" ht="24" customHeight="1" x14ac:dyDescent="0.3">
      <c r="D16" s="76"/>
      <c r="E16" s="533"/>
      <c r="F16" s="256" t="s">
        <v>119</v>
      </c>
      <c r="G16" s="252">
        <f>IFERROR(G15/G10,)*1000</f>
        <v>11500</v>
      </c>
      <c r="H16" s="379">
        <f>IFERROR(H15/H10,)*1000</f>
        <v>11719.768170426065</v>
      </c>
      <c r="I16" s="255">
        <f t="shared" si="0"/>
        <v>219.7681704260649</v>
      </c>
      <c r="J16" s="254">
        <f>IFERROR(J15/J10,)*1000</f>
        <v>15000</v>
      </c>
      <c r="K16" s="379">
        <f>IFERROR(K15/K10,)*1000</f>
        <v>8480.8806488991886</v>
      </c>
      <c r="L16" s="253">
        <f t="shared" si="1"/>
        <v>-6519.1193511008114</v>
      </c>
      <c r="M16" s="254">
        <f>IFERROR(M15/M10,)*1000</f>
        <v>9000</v>
      </c>
      <c r="N16" s="379">
        <f>IFERROR(N15/N10,)*1000</f>
        <v>0</v>
      </c>
      <c r="O16" s="253">
        <f t="shared" si="2"/>
        <v>-9000</v>
      </c>
      <c r="P16" s="403">
        <f>IFERROR(P15/P10,)*1000</f>
        <v>10543.845625526268</v>
      </c>
      <c r="Q16" s="379">
        <f>IFERROR(Q15/Q10,)*1000</f>
        <v>11092.206443646161</v>
      </c>
      <c r="R16" s="404">
        <f t="shared" si="3"/>
        <v>548.36081811989243</v>
      </c>
      <c r="S16" s="252">
        <f>IFERROR(S15/S10,)*1000</f>
        <v>12000</v>
      </c>
      <c r="T16" s="379">
        <f>IFERROR(T15/T10,)*1000</f>
        <v>13000</v>
      </c>
      <c r="U16" s="255">
        <f t="shared" si="4"/>
        <v>1000</v>
      </c>
      <c r="V16" s="254">
        <f>IFERROR(V15/V10,)*1000</f>
        <v>19000</v>
      </c>
      <c r="W16" s="379">
        <f>IFERROR(W15/W10,)*1000</f>
        <v>18360.326303223239</v>
      </c>
      <c r="X16" s="253">
        <f t="shared" si="5"/>
        <v>-639.67369677676106</v>
      </c>
      <c r="Y16" s="254">
        <f>IFERROR(Y15/Y10,)*1000</f>
        <v>0</v>
      </c>
      <c r="Z16" s="379">
        <f>IFERROR(Z15/Z10,)*1000</f>
        <v>27500</v>
      </c>
      <c r="AA16" s="253">
        <f t="shared" si="6"/>
        <v>27500</v>
      </c>
      <c r="AB16" s="403">
        <f>IFERROR(AB15/AB10,)*1000</f>
        <v>17140.136795293845</v>
      </c>
      <c r="AC16" s="379">
        <f>IFERROR(AC15/AC10,)*1000</f>
        <v>16133.879781420766</v>
      </c>
      <c r="AD16" s="404">
        <f t="shared" si="7"/>
        <v>-1006.2570138730789</v>
      </c>
      <c r="AE16" s="253">
        <f>IFERROR(AE15/AE10,)*1000</f>
        <v>29267.467259649915</v>
      </c>
      <c r="AF16" s="379">
        <f>IFERROR(AF15/AF10,)*1000</f>
        <v>28480.729588257513</v>
      </c>
      <c r="AG16" s="253">
        <f t="shared" si="8"/>
        <v>-786.73767139240226</v>
      </c>
      <c r="AH16" s="403">
        <f>IFERROR(AH15/AH10,)*1000</f>
        <v>16363.402575820523</v>
      </c>
      <c r="AI16" s="379">
        <f>IFERROR(AI15/AI10,)*1000</f>
        <v>18688.199851566365</v>
      </c>
      <c r="AJ16" s="404">
        <f t="shared" si="9"/>
        <v>2324.7972757458429</v>
      </c>
    </row>
    <row r="17" spans="4:39" ht="24" customHeight="1" x14ac:dyDescent="0.3">
      <c r="D17" s="76"/>
      <c r="E17" s="533"/>
      <c r="F17" s="251" t="s">
        <v>39</v>
      </c>
      <c r="G17" s="247">
        <f>G13+G15</f>
        <v>2580859.333333333</v>
      </c>
      <c r="H17" s="380">
        <f>H13+H15</f>
        <v>2276735</v>
      </c>
      <c r="I17" s="250">
        <f t="shared" si="0"/>
        <v>-304124.33333333302</v>
      </c>
      <c r="J17" s="249">
        <f>J13+J15</f>
        <v>1169705.0865333334</v>
      </c>
      <c r="K17" s="380">
        <f>K13+K15</f>
        <v>136928</v>
      </c>
      <c r="L17" s="248">
        <f t="shared" si="1"/>
        <v>-1032777.0865333334</v>
      </c>
      <c r="M17" s="249">
        <f>M13+M15</f>
        <v>1584000</v>
      </c>
      <c r="N17" s="380">
        <f>N13+N15</f>
        <v>0</v>
      </c>
      <c r="O17" s="248">
        <f t="shared" si="2"/>
        <v>-1584000</v>
      </c>
      <c r="P17" s="405">
        <f>P13+P15</f>
        <v>5334564.4198666662</v>
      </c>
      <c r="Q17" s="380">
        <f>Q13+Q15</f>
        <v>2413663</v>
      </c>
      <c r="R17" s="406">
        <f t="shared" si="3"/>
        <v>-2920901.4198666662</v>
      </c>
      <c r="S17" s="247">
        <f>S13+S15</f>
        <v>2941911.4613391184</v>
      </c>
      <c r="T17" s="380">
        <f>T13+T15</f>
        <v>3175249.5</v>
      </c>
      <c r="U17" s="250">
        <f t="shared" si="4"/>
        <v>233338.03866088158</v>
      </c>
      <c r="V17" s="249">
        <f>V13+V15</f>
        <v>6081871.2054708907</v>
      </c>
      <c r="W17" s="380">
        <f>W13+W15</f>
        <v>4524556</v>
      </c>
      <c r="X17" s="248">
        <f t="shared" si="5"/>
        <v>-1557315.2054708907</v>
      </c>
      <c r="Y17" s="249">
        <f>Y13+Y15</f>
        <v>0</v>
      </c>
      <c r="Z17" s="380">
        <f>Z13+Z15</f>
        <v>34127.5</v>
      </c>
      <c r="AA17" s="248">
        <f t="shared" si="6"/>
        <v>34127.5</v>
      </c>
      <c r="AB17" s="405">
        <f>AB13+AB15</f>
        <v>9023782.6668100096</v>
      </c>
      <c r="AC17" s="380">
        <f>AC13+AC15</f>
        <v>7733933</v>
      </c>
      <c r="AD17" s="406">
        <f t="shared" si="7"/>
        <v>-1289849.6668100096</v>
      </c>
      <c r="AE17" s="248">
        <f>AE13+AE15</f>
        <v>8721906.4142176304</v>
      </c>
      <c r="AF17" s="380">
        <f>AF13+AF15</f>
        <v>6922548.0800000001</v>
      </c>
      <c r="AG17" s="248">
        <f t="shared" si="8"/>
        <v>-1799358.3342176303</v>
      </c>
      <c r="AH17" s="405">
        <f>AH13+AH15</f>
        <v>23080253.500894308</v>
      </c>
      <c r="AI17" s="380">
        <f>AI13+AI15</f>
        <v>17070144.079999998</v>
      </c>
      <c r="AJ17" s="406">
        <f t="shared" si="9"/>
        <v>-6010109.4208943099</v>
      </c>
      <c r="AL17" s="6">
        <f>+'골재사업소(당월)'!AL17+'[4]골재사업소(누계)'!AL17</f>
        <v>23080253.500894304</v>
      </c>
      <c r="AM17" s="6">
        <f>+'골재사업소(당월)'!AM17+'[4]골재사업소(누계)'!AM17</f>
        <v>17070144.079999998</v>
      </c>
    </row>
    <row r="18" spans="4:39" ht="24" customHeight="1" x14ac:dyDescent="0.3">
      <c r="D18" s="76"/>
      <c r="E18" s="246" t="s">
        <v>7</v>
      </c>
      <c r="F18" s="245" t="s">
        <v>122</v>
      </c>
      <c r="G18" s="229">
        <f>+'골재사업소(당월)'!G18+'[4]골재사업소(누계)'!G18</f>
        <v>494470.95977846376</v>
      </c>
      <c r="H18" s="381">
        <f>+'골재사업소(당월)'!H18+'[4]골재사업소(누계)'!H18</f>
        <v>152007.26137924445</v>
      </c>
      <c r="I18" s="232">
        <f t="shared" si="0"/>
        <v>-342463.69839921931</v>
      </c>
      <c r="J18" s="231">
        <f>+'골재사업소(당월)'!J18+'[4]골재사업소(누계)'!J18</f>
        <v>132381.35245168745</v>
      </c>
      <c r="K18" s="381">
        <f>+'골재사업소(당월)'!K18+'[4]골재사업소(누계)'!K18</f>
        <v>8957.9034389485114</v>
      </c>
      <c r="L18" s="230">
        <f t="shared" si="1"/>
        <v>-123423.44901273893</v>
      </c>
      <c r="M18" s="231">
        <f>+'골재사업소(당월)'!M18+'[4]골재사업소(누계)'!M18</f>
        <v>0</v>
      </c>
      <c r="N18" s="381">
        <f>+'골재사업소(당월)'!N18+'[4]골재사업소(누계)'!N18</f>
        <v>0</v>
      </c>
      <c r="O18" s="230">
        <f t="shared" si="2"/>
        <v>0</v>
      </c>
      <c r="P18" s="407">
        <f>+G18+J18+M18</f>
        <v>626852.31223015115</v>
      </c>
      <c r="Q18" s="381">
        <f>+H18+K18+N18</f>
        <v>160965.16481819295</v>
      </c>
      <c r="R18" s="408">
        <f t="shared" si="3"/>
        <v>-465887.1474119582</v>
      </c>
      <c r="S18" s="529">
        <f>+'골재사업소(당월)'!S18+'[4]골재사업소(누계)'!S18</f>
        <v>-126698.56901877074</v>
      </c>
      <c r="T18" s="381">
        <f>+'골재사업소(당월)'!T18+'[4]골재사업소(누계)'!T18</f>
        <v>-552799.82147608034</v>
      </c>
      <c r="U18" s="232">
        <f t="shared" si="4"/>
        <v>-426101.25245730963</v>
      </c>
      <c r="V18" s="231">
        <f>+'골재사업소(당월)'!V18+'[4]골재사업소(누계)'!V18</f>
        <v>619035.25074888766</v>
      </c>
      <c r="W18" s="381">
        <f>+'골재사업소(당월)'!W18+'[4]골재사업소(누계)'!W18</f>
        <v>251706.63416004702</v>
      </c>
      <c r="X18" s="230">
        <f t="shared" si="5"/>
        <v>-367328.61658884061</v>
      </c>
      <c r="Y18" s="231">
        <f>+'골재사업소(당월)'!Y18+'[4]골재사업소(누계)'!Y18</f>
        <v>0</v>
      </c>
      <c r="Z18" s="381">
        <f>+'골재사업소(당월)'!Z18+'[4]골재사업소(누계)'!Z18</f>
        <v>0</v>
      </c>
      <c r="AA18" s="230">
        <f t="shared" si="6"/>
        <v>0</v>
      </c>
      <c r="AB18" s="407">
        <f>+S18+V18+Y18</f>
        <v>492336.68173011695</v>
      </c>
      <c r="AC18" s="381">
        <f>+T18+W18+Z18</f>
        <v>-301093.18731603329</v>
      </c>
      <c r="AD18" s="408">
        <f t="shared" si="7"/>
        <v>-793429.86904615024</v>
      </c>
      <c r="AE18" s="230">
        <f>+'골재사업소(당월)'!AE18+'[4]골재사업소(누계)'!AE18</f>
        <v>330815.61238025525</v>
      </c>
      <c r="AF18" s="381">
        <f>+'골재사업소(당월)'!AF18+'[4]골재사업소(누계)'!AF18</f>
        <v>440371.51199999999</v>
      </c>
      <c r="AG18" s="230">
        <f t="shared" si="8"/>
        <v>109555.89961974474</v>
      </c>
      <c r="AH18" s="407">
        <f>+P18+AB18+AE18</f>
        <v>1450004.6063405233</v>
      </c>
      <c r="AI18" s="381">
        <f>+Q18+AC18+AF18</f>
        <v>300243.48950215965</v>
      </c>
      <c r="AJ18" s="408">
        <f t="shared" si="9"/>
        <v>-1149761.1168383637</v>
      </c>
      <c r="AL18" s="6" t="b">
        <f>+AL17=AL17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121</v>
      </c>
      <c r="G19" s="240">
        <f>+'골재사업소(당월)'!G19+'[4]골재사업소(누계)'!G19</f>
        <v>16358.824240845777</v>
      </c>
      <c r="H19" s="382">
        <f>+'골재사업소(당월)'!H19+'[4]골재사업소(누계)'!H19</f>
        <v>-477740.62700734934</v>
      </c>
      <c r="I19" s="243">
        <f t="shared" si="0"/>
        <v>-494099.45124819514</v>
      </c>
      <c r="J19" s="242">
        <f>+'골재사업소(당월)'!J19+'[4]골재사업소(누계)'!J19</f>
        <v>224769.05753557559</v>
      </c>
      <c r="K19" s="382">
        <f>+'골재사업소(당월)'!K19+'[4]골재사업소(누계)'!K19</f>
        <v>38049.038075170065</v>
      </c>
      <c r="L19" s="241">
        <f t="shared" si="1"/>
        <v>-186720.01946040551</v>
      </c>
      <c r="M19" s="242">
        <f>+'골재사업소(당월)'!M19+'[4]골재사업소(누계)'!M19</f>
        <v>221805.54578037179</v>
      </c>
      <c r="N19" s="382">
        <f>+'골재사업소(당월)'!N19+'[4]골재사업소(누계)'!N19</f>
        <v>0</v>
      </c>
      <c r="O19" s="241">
        <f t="shared" si="2"/>
        <v>-221805.54578037179</v>
      </c>
      <c r="P19" s="409">
        <f>+G19+J19+M19</f>
        <v>462933.42755679315</v>
      </c>
      <c r="Q19" s="382">
        <f>+H19+K19+N19</f>
        <v>-439691.58893217926</v>
      </c>
      <c r="R19" s="410">
        <f t="shared" si="3"/>
        <v>-902625.01648897235</v>
      </c>
      <c r="S19" s="240">
        <f>+'골재사업소(당월)'!S19+'[4]골재사업소(누계)'!S19</f>
        <v>-322180.04797789641</v>
      </c>
      <c r="T19" s="382">
        <f>+'골재사업소(당월)'!T19+'[4]골재사업소(누계)'!T19</f>
        <v>-380236.57968136546</v>
      </c>
      <c r="U19" s="243">
        <f t="shared" si="4"/>
        <v>-58056.531703469052</v>
      </c>
      <c r="V19" s="242">
        <f>+'골재사업소(당월)'!V19+'[4]골재사업소(누계)'!V19</f>
        <v>340694.59160094865</v>
      </c>
      <c r="W19" s="382">
        <f>+'골재사업소(당월)'!W19+'[4]골재사업소(누계)'!W19</f>
        <v>-145787.95081516803</v>
      </c>
      <c r="X19" s="241">
        <f t="shared" si="5"/>
        <v>-486482.54241611669</v>
      </c>
      <c r="Y19" s="242">
        <f>+'골재사업소(당월)'!Y19+'[4]골재사업소(누계)'!Y19</f>
        <v>0</v>
      </c>
      <c r="Z19" s="382">
        <f>+'골재사업소(당월)'!Z19+'[4]골재사업소(누계)'!Z19</f>
        <v>4813.3760625666546</v>
      </c>
      <c r="AA19" s="241">
        <f t="shared" si="6"/>
        <v>4813.3760625666546</v>
      </c>
      <c r="AB19" s="409">
        <f>+S19+V19+Y19</f>
        <v>18514.543623052246</v>
      </c>
      <c r="AC19" s="382">
        <f>+T19+W19+Z19</f>
        <v>-521211.15443396685</v>
      </c>
      <c r="AD19" s="410">
        <f t="shared" si="7"/>
        <v>-539725.69805701915</v>
      </c>
      <c r="AE19" s="241">
        <f>+'골재사업소(당월)'!AE19+'[4]골재사업소(누계)'!AE19</f>
        <v>173706.54259349554</v>
      </c>
      <c r="AF19" s="382">
        <f>+'골재사업소(당월)'!AF19+'[4]골재사업소(누계)'!AF19</f>
        <v>-100647.1203665924</v>
      </c>
      <c r="AG19" s="241">
        <f t="shared" si="8"/>
        <v>-274353.66296008794</v>
      </c>
      <c r="AH19" s="409">
        <f>+P19+AB19+AE19</f>
        <v>655154.51377334096</v>
      </c>
      <c r="AI19" s="382">
        <f>+Q19+AC19+AF19</f>
        <v>-1061549.8637327384</v>
      </c>
      <c r="AJ19" s="410">
        <f t="shared" si="9"/>
        <v>-1716704.3775060794</v>
      </c>
    </row>
    <row r="20" spans="4:39" ht="24" customHeight="1" x14ac:dyDescent="0.3">
      <c r="D20" s="76"/>
      <c r="E20" s="534"/>
      <c r="F20" s="239" t="s">
        <v>50</v>
      </c>
      <c r="G20" s="235">
        <f>G18+G19</f>
        <v>510829.78401930956</v>
      </c>
      <c r="H20" s="383">
        <f>H18+H19</f>
        <v>-325733.36562810489</v>
      </c>
      <c r="I20" s="238">
        <f t="shared" si="0"/>
        <v>-836563.14964741445</v>
      </c>
      <c r="J20" s="237">
        <f>J18+J19</f>
        <v>357150.40998726303</v>
      </c>
      <c r="K20" s="383">
        <f>K18+K19</f>
        <v>47006.941514118575</v>
      </c>
      <c r="L20" s="236">
        <f t="shared" si="1"/>
        <v>-310143.46847314446</v>
      </c>
      <c r="M20" s="237">
        <f>M18+M19</f>
        <v>221805.54578037179</v>
      </c>
      <c r="N20" s="383">
        <f>N18+N19</f>
        <v>0</v>
      </c>
      <c r="O20" s="236">
        <f t="shared" si="2"/>
        <v>-221805.54578037179</v>
      </c>
      <c r="P20" s="411">
        <f>P18+P19</f>
        <v>1089785.7397869444</v>
      </c>
      <c r="Q20" s="383">
        <f>Q18+Q19</f>
        <v>-278726.42411398632</v>
      </c>
      <c r="R20" s="412">
        <f t="shared" si="3"/>
        <v>-1368512.1639009307</v>
      </c>
      <c r="S20" s="235">
        <f>S18+S19</f>
        <v>-448878.61699666712</v>
      </c>
      <c r="T20" s="383">
        <f>T18+T19</f>
        <v>-933036.40115744574</v>
      </c>
      <c r="U20" s="238">
        <f t="shared" si="4"/>
        <v>-484157.78416077862</v>
      </c>
      <c r="V20" s="237">
        <f>V18+V19</f>
        <v>959729.84234983637</v>
      </c>
      <c r="W20" s="383">
        <f>W18+W19</f>
        <v>105918.68334487898</v>
      </c>
      <c r="X20" s="236">
        <f t="shared" si="5"/>
        <v>-853811.15900495742</v>
      </c>
      <c r="Y20" s="237">
        <f>Y18+Y19</f>
        <v>0</v>
      </c>
      <c r="Z20" s="383">
        <f>Z18+Z19</f>
        <v>4813.3760625666546</v>
      </c>
      <c r="AA20" s="236">
        <f t="shared" si="6"/>
        <v>4813.3760625666546</v>
      </c>
      <c r="AB20" s="411">
        <f>AB18+AB19</f>
        <v>510851.2253531692</v>
      </c>
      <c r="AC20" s="383">
        <f>AC18+AC19</f>
        <v>-822304.34175000014</v>
      </c>
      <c r="AD20" s="412">
        <f t="shared" si="7"/>
        <v>-1333155.5671031694</v>
      </c>
      <c r="AE20" s="236">
        <f>AE18+AE19</f>
        <v>504522.15497375082</v>
      </c>
      <c r="AF20" s="383">
        <f>AF18+AF19</f>
        <v>339724.39163340756</v>
      </c>
      <c r="AG20" s="236">
        <f t="shared" si="8"/>
        <v>-164797.76334034326</v>
      </c>
      <c r="AH20" s="411">
        <f>AH18+AH19</f>
        <v>2105159.1201138645</v>
      </c>
      <c r="AI20" s="383">
        <f>AI18+AI19</f>
        <v>-761306.37423057877</v>
      </c>
      <c r="AJ20" s="412">
        <f t="shared" si="9"/>
        <v>-2866465.4943444431</v>
      </c>
      <c r="AL20" s="6">
        <f>+'골재사업소(당월)'!AL20+'[4]골재사업소(누계)'!AL20</f>
        <v>2105159.1201138641</v>
      </c>
      <c r="AM20" s="6">
        <f>+'골재사업소(당월)'!AM20+'[4]골재사업소(누계)'!AM20</f>
        <v>-761306.37423057866</v>
      </c>
    </row>
    <row r="21" spans="4:39" ht="24" customHeight="1" x14ac:dyDescent="0.3">
      <c r="D21" s="76"/>
      <c r="E21" s="234" t="s">
        <v>120</v>
      </c>
      <c r="F21" s="233" t="s">
        <v>25</v>
      </c>
      <c r="G21" s="229">
        <f>+'골재사업소(당월)'!G21+'[4]골재사업소(누계)'!G21</f>
        <v>0</v>
      </c>
      <c r="H21" s="381">
        <f>+'골재사업소(당월)'!H21+'[4]골재사업소(누계)'!H21</f>
        <v>4208</v>
      </c>
      <c r="I21" s="232">
        <f t="shared" si="0"/>
        <v>4208</v>
      </c>
      <c r="J21" s="231">
        <f>+'골재사업소(당월)'!J21+'[4]골재사업소(누계)'!J21</f>
        <v>0</v>
      </c>
      <c r="K21" s="381">
        <f>+'골재사업소(당월)'!K21+'[4]골재사업소(누계)'!K21</f>
        <v>0</v>
      </c>
      <c r="L21" s="230">
        <f t="shared" si="1"/>
        <v>0</v>
      </c>
      <c r="M21" s="231">
        <f>+'골재사업소(당월)'!M21+'[4]골재사업소(누계)'!M21</f>
        <v>0</v>
      </c>
      <c r="N21" s="381">
        <f>+'골재사업소(당월)'!N21+'[4]골재사업소(누계)'!N21</f>
        <v>0</v>
      </c>
      <c r="O21" s="230">
        <f t="shared" si="2"/>
        <v>0</v>
      </c>
      <c r="P21" s="407">
        <f t="shared" ref="P21:Q26" si="10">+G21+J21+M21</f>
        <v>0</v>
      </c>
      <c r="Q21" s="381">
        <f t="shared" si="10"/>
        <v>4208</v>
      </c>
      <c r="R21" s="408">
        <f t="shared" si="3"/>
        <v>4208</v>
      </c>
      <c r="S21" s="229">
        <f>+'골재사업소(당월)'!S21+'[4]골재사업소(누계)'!S21</f>
        <v>135564.9663336949</v>
      </c>
      <c r="T21" s="381">
        <f>+'골재사업소(당월)'!T21+'[4]골재사업소(누계)'!T21</f>
        <v>113793</v>
      </c>
      <c r="U21" s="232">
        <f t="shared" si="4"/>
        <v>-21771.966333694902</v>
      </c>
      <c r="V21" s="231">
        <f>+'골재사업소(당월)'!V21+'[4]골재사업소(누계)'!V21</f>
        <v>95330.475272927899</v>
      </c>
      <c r="W21" s="381">
        <f>+'골재사업소(당월)'!W21+'[4]골재사업소(누계)'!W21</f>
        <v>82344</v>
      </c>
      <c r="X21" s="230">
        <f t="shared" si="5"/>
        <v>-12986.475272927899</v>
      </c>
      <c r="Y21" s="231">
        <f>+'골재사업소(당월)'!Y21+'[4]골재사업소(누계)'!Y21</f>
        <v>0</v>
      </c>
      <c r="Z21" s="381">
        <f>+'골재사업소(당월)'!Z21+'[4]골재사업소(누계)'!Z21</f>
        <v>0</v>
      </c>
      <c r="AA21" s="230">
        <f t="shared" si="6"/>
        <v>0</v>
      </c>
      <c r="AB21" s="407">
        <f t="shared" ref="AB21:AB32" si="11">+S21+V21+Y21</f>
        <v>230895.4416066228</v>
      </c>
      <c r="AC21" s="381">
        <f t="shared" ref="AC21:AC32" si="12">+T21+W21+Z21</f>
        <v>196137</v>
      </c>
      <c r="AD21" s="408">
        <f t="shared" si="7"/>
        <v>-34758.4416066228</v>
      </c>
      <c r="AE21" s="230">
        <f>+'골재사업소(당월)'!AE21+'[4]골재사업소(누계)'!AE21</f>
        <v>53859.994254669153</v>
      </c>
      <c r="AF21" s="381">
        <f>+'골재사업소(당월)'!AF21+'[4]골재사업소(누계)'!AF21</f>
        <v>50738</v>
      </c>
      <c r="AG21" s="230">
        <f t="shared" si="8"/>
        <v>-3121.9942546691527</v>
      </c>
      <c r="AH21" s="407">
        <f t="shared" ref="AH21:AI26" si="13">+P21+AB21+AE21</f>
        <v>284755.43586129195</v>
      </c>
      <c r="AI21" s="381">
        <f t="shared" si="13"/>
        <v>251083</v>
      </c>
      <c r="AJ21" s="408">
        <f t="shared" si="9"/>
        <v>-33672.435861291946</v>
      </c>
      <c r="AL21" s="465" t="b">
        <f>+AL20=AL20</f>
        <v>1</v>
      </c>
      <c r="AM21" s="465" t="b">
        <f>+AM20=AI20</f>
        <v>1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+'골재사업소(당월)'!G22+'[4]골재사업소(누계)'!G22</f>
        <v>131019.33333333334</v>
      </c>
      <c r="H22" s="384">
        <f>+'골재사업소(당월)'!H22+'[4]골재사업소(누계)'!H22</f>
        <v>84316</v>
      </c>
      <c r="I22" s="228">
        <f t="shared" si="0"/>
        <v>-46703.333333333343</v>
      </c>
      <c r="J22" s="227">
        <f>+'골재사업소(당월)'!J22+'[4]골재사업소(누계)'!J22</f>
        <v>10367.533333333333</v>
      </c>
      <c r="K22" s="384">
        <f>+'골재사업소(당월)'!K22+'[4]골재사업소(누계)'!K22</f>
        <v>640</v>
      </c>
      <c r="L22" s="226">
        <f t="shared" si="1"/>
        <v>-9727.5333333333328</v>
      </c>
      <c r="M22" s="227">
        <f>+'골재사업소(당월)'!M22+'[4]골재사업소(누계)'!M22</f>
        <v>0</v>
      </c>
      <c r="N22" s="384">
        <f>+'골재사업소(당월)'!N22+'[4]골재사업소(누계)'!N22</f>
        <v>0</v>
      </c>
      <c r="O22" s="226">
        <f t="shared" si="2"/>
        <v>0</v>
      </c>
      <c r="P22" s="413">
        <f t="shared" si="10"/>
        <v>141386.86666666667</v>
      </c>
      <c r="Q22" s="384">
        <f t="shared" si="10"/>
        <v>84956</v>
      </c>
      <c r="R22" s="414">
        <f t="shared" si="3"/>
        <v>-56430.866666666669</v>
      </c>
      <c r="S22" s="225">
        <f>+'골재사업소(당월)'!S22+'[4]골재사업소(누계)'!S22</f>
        <v>0</v>
      </c>
      <c r="T22" s="384">
        <f>+'골재사업소(당월)'!T22+'[4]골재사업소(누계)'!T22</f>
        <v>31888</v>
      </c>
      <c r="U22" s="228">
        <f t="shared" si="4"/>
        <v>31888</v>
      </c>
      <c r="V22" s="227">
        <f>+'골재사업소(당월)'!V22+'[4]골재사업소(누계)'!V22</f>
        <v>26698.435483870973</v>
      </c>
      <c r="W22" s="384">
        <f>+'골재사업소(당월)'!W22+'[4]골재사업소(누계)'!W22</f>
        <v>51536</v>
      </c>
      <c r="X22" s="226">
        <f t="shared" si="5"/>
        <v>24837.564516129027</v>
      </c>
      <c r="Y22" s="227">
        <f>+'골재사업소(당월)'!Y22+'[4]골재사업소(누계)'!Y22</f>
        <v>0</v>
      </c>
      <c r="Z22" s="384">
        <f>+'골재사업소(당월)'!Z22+'[4]골재사업소(누계)'!Z22</f>
        <v>0</v>
      </c>
      <c r="AA22" s="226">
        <f t="shared" si="6"/>
        <v>0</v>
      </c>
      <c r="AB22" s="413">
        <f t="shared" si="11"/>
        <v>26698.435483870973</v>
      </c>
      <c r="AC22" s="384">
        <f t="shared" si="12"/>
        <v>83424</v>
      </c>
      <c r="AD22" s="414">
        <f t="shared" si="7"/>
        <v>56725.56451612903</v>
      </c>
      <c r="AE22" s="226">
        <f>+'골재사업소(당월)'!AE22+'[4]골재사업소(누계)'!AE22</f>
        <v>48612.419580419584</v>
      </c>
      <c r="AF22" s="384">
        <f>+'골재사업소(당월)'!AF22+'[4]골재사업소(누계)'!AF22</f>
        <v>28352</v>
      </c>
      <c r="AG22" s="226">
        <f t="shared" si="8"/>
        <v>-20260.419580419584</v>
      </c>
      <c r="AH22" s="413">
        <f t="shared" si="13"/>
        <v>216697.72173095722</v>
      </c>
      <c r="AI22" s="384">
        <f t="shared" si="13"/>
        <v>196732</v>
      </c>
      <c r="AJ22" s="414">
        <f t="shared" si="9"/>
        <v>-19965.721730957215</v>
      </c>
      <c r="AL22" s="98">
        <f>+AL20-AL20</f>
        <v>0</v>
      </c>
      <c r="AM22" s="98">
        <f>+AI20-AM20</f>
        <v>0</v>
      </c>
    </row>
    <row r="23" spans="4:39" ht="24" customHeight="1" x14ac:dyDescent="0.3">
      <c r="D23" s="76"/>
      <c r="E23" s="165"/>
      <c r="F23" s="220" t="s">
        <v>27</v>
      </c>
      <c r="G23" s="225">
        <f>+'골재사업소(당월)'!G23+'[4]골재사업소(누계)'!G23</f>
        <v>11066.666666666668</v>
      </c>
      <c r="H23" s="384">
        <f>+'골재사업소(당월)'!H23+'[4]골재사업소(누계)'!H23</f>
        <v>6704</v>
      </c>
      <c r="I23" s="228">
        <f t="shared" si="0"/>
        <v>-4362.6666666666679</v>
      </c>
      <c r="J23" s="227">
        <f>+'골재사업소(당월)'!J23+'[4]골재사업소(누계)'!J23</f>
        <v>0</v>
      </c>
      <c r="K23" s="384">
        <f>+'골재사업소(당월)'!K23+'[4]골재사업소(누계)'!K23</f>
        <v>0</v>
      </c>
      <c r="L23" s="226">
        <f t="shared" si="1"/>
        <v>0</v>
      </c>
      <c r="M23" s="227">
        <f>+'골재사업소(당월)'!M23+'[4]골재사업소(누계)'!M23</f>
        <v>0</v>
      </c>
      <c r="N23" s="384">
        <f>+'골재사업소(당월)'!N23+'[4]골재사업소(누계)'!N23</f>
        <v>0</v>
      </c>
      <c r="O23" s="226">
        <f t="shared" si="2"/>
        <v>0</v>
      </c>
      <c r="P23" s="413">
        <f t="shared" si="10"/>
        <v>11066.666666666668</v>
      </c>
      <c r="Q23" s="384">
        <f t="shared" si="10"/>
        <v>6704</v>
      </c>
      <c r="R23" s="414">
        <f t="shared" si="3"/>
        <v>-4362.6666666666679</v>
      </c>
      <c r="S23" s="225">
        <f>+'골재사업소(당월)'!S23+'[4]골재사업소(누계)'!S23</f>
        <v>0</v>
      </c>
      <c r="T23" s="384">
        <f>+'골재사업소(당월)'!T23+'[4]골재사업소(누계)'!T23</f>
        <v>0</v>
      </c>
      <c r="U23" s="228">
        <f t="shared" si="4"/>
        <v>0</v>
      </c>
      <c r="V23" s="227">
        <f>+'골재사업소(당월)'!V23+'[4]골재사업소(누계)'!V23</f>
        <v>0</v>
      </c>
      <c r="W23" s="384">
        <f>+'골재사업소(당월)'!W23+'[4]골재사업소(누계)'!W23</f>
        <v>0</v>
      </c>
      <c r="X23" s="226">
        <f t="shared" si="5"/>
        <v>0</v>
      </c>
      <c r="Y23" s="227">
        <f>+'골재사업소(당월)'!Y23+'[4]골재사업소(누계)'!Y23</f>
        <v>0</v>
      </c>
      <c r="Z23" s="384">
        <f>+'골재사업소(당월)'!Z23+'[4]골재사업소(누계)'!Z23</f>
        <v>0</v>
      </c>
      <c r="AA23" s="226">
        <f t="shared" si="6"/>
        <v>0</v>
      </c>
      <c r="AB23" s="413">
        <f t="shared" si="11"/>
        <v>0</v>
      </c>
      <c r="AC23" s="384">
        <f t="shared" si="12"/>
        <v>0</v>
      </c>
      <c r="AD23" s="414">
        <f t="shared" si="7"/>
        <v>0</v>
      </c>
      <c r="AE23" s="226">
        <f>+'골재사업소(당월)'!AE23+'[4]골재사업소(누계)'!AE23</f>
        <v>32286.713286713286</v>
      </c>
      <c r="AF23" s="384">
        <f>+'골재사업소(당월)'!AF23+'[4]골재사업소(누계)'!AF23</f>
        <v>0</v>
      </c>
      <c r="AG23" s="226">
        <f t="shared" si="8"/>
        <v>-32286.713286713286</v>
      </c>
      <c r="AH23" s="413">
        <f t="shared" si="13"/>
        <v>43353.379953379954</v>
      </c>
      <c r="AI23" s="384">
        <f t="shared" si="13"/>
        <v>6704</v>
      </c>
      <c r="AJ23" s="414">
        <f t="shared" si="9"/>
        <v>-36649.379953379954</v>
      </c>
    </row>
    <row r="24" spans="4:39" ht="24" customHeight="1" x14ac:dyDescent="0.3">
      <c r="D24" s="76"/>
      <c r="E24" s="165"/>
      <c r="F24" s="220" t="s">
        <v>28</v>
      </c>
      <c r="G24" s="225">
        <f>+'골재사업소(당월)'!G24+'[4]골재사업소(누계)'!G24</f>
        <v>0</v>
      </c>
      <c r="H24" s="384">
        <f>+'골재사업소(당월)'!H24+'[4]골재사업소(누계)'!H24</f>
        <v>0</v>
      </c>
      <c r="I24" s="228">
        <f t="shared" si="0"/>
        <v>0</v>
      </c>
      <c r="J24" s="227">
        <f>+'골재사업소(당월)'!J24+'[4]골재사업소(누계)'!J24</f>
        <v>0</v>
      </c>
      <c r="K24" s="384">
        <f>+'골재사업소(당월)'!K24+'[4]골재사업소(누계)'!K24</f>
        <v>0</v>
      </c>
      <c r="L24" s="226">
        <f t="shared" si="1"/>
        <v>0</v>
      </c>
      <c r="M24" s="227">
        <f>+'골재사업소(당월)'!M24+'[4]골재사업소(누계)'!M24</f>
        <v>0</v>
      </c>
      <c r="N24" s="384">
        <f>+'골재사업소(당월)'!N24+'[4]골재사업소(누계)'!N24</f>
        <v>0</v>
      </c>
      <c r="O24" s="226">
        <f t="shared" si="2"/>
        <v>0</v>
      </c>
      <c r="P24" s="413">
        <f t="shared" si="10"/>
        <v>0</v>
      </c>
      <c r="Q24" s="384">
        <f t="shared" si="10"/>
        <v>0</v>
      </c>
      <c r="R24" s="414">
        <f t="shared" si="3"/>
        <v>0</v>
      </c>
      <c r="S24" s="225">
        <f>+'골재사업소(당월)'!S24+'[4]골재사업소(누계)'!S24</f>
        <v>0</v>
      </c>
      <c r="T24" s="384">
        <f>+'골재사업소(당월)'!T24+'[4]골재사업소(누계)'!T24</f>
        <v>0</v>
      </c>
      <c r="U24" s="228">
        <f t="shared" si="4"/>
        <v>0</v>
      </c>
      <c r="V24" s="227">
        <f>+'골재사업소(당월)'!V24+'[4]골재사업소(누계)'!V24</f>
        <v>0</v>
      </c>
      <c r="W24" s="384">
        <f>+'골재사업소(당월)'!W24+'[4]골재사업소(누계)'!W24</f>
        <v>6576</v>
      </c>
      <c r="X24" s="226">
        <f t="shared" si="5"/>
        <v>6576</v>
      </c>
      <c r="Y24" s="227">
        <f>+'골재사업소(당월)'!Y24+'[4]골재사업소(누계)'!Y24</f>
        <v>0</v>
      </c>
      <c r="Z24" s="384">
        <f>+'골재사업소(당월)'!Z24+'[4]골재사업소(누계)'!Z24</f>
        <v>0</v>
      </c>
      <c r="AA24" s="226">
        <f t="shared" si="6"/>
        <v>0</v>
      </c>
      <c r="AB24" s="413">
        <f t="shared" si="11"/>
        <v>0</v>
      </c>
      <c r="AC24" s="384">
        <f t="shared" si="12"/>
        <v>6576</v>
      </c>
      <c r="AD24" s="414">
        <f t="shared" si="7"/>
        <v>6576</v>
      </c>
      <c r="AE24" s="226">
        <f>+'골재사업소(당월)'!AE24+'[4]골재사업소(누계)'!AE24</f>
        <v>48637.762237762239</v>
      </c>
      <c r="AF24" s="384">
        <f>+'골재사업소(당월)'!AF24+'[4]골재사업소(누계)'!AF24</f>
        <v>0</v>
      </c>
      <c r="AG24" s="226">
        <f t="shared" si="8"/>
        <v>-48637.762237762239</v>
      </c>
      <c r="AH24" s="413">
        <f t="shared" si="13"/>
        <v>48637.762237762239</v>
      </c>
      <c r="AI24" s="384">
        <f t="shared" si="13"/>
        <v>6576</v>
      </c>
      <c r="AJ24" s="414">
        <f t="shared" si="9"/>
        <v>-42061.762237762239</v>
      </c>
    </row>
    <row r="25" spans="4:39" ht="24" customHeight="1" x14ac:dyDescent="0.3">
      <c r="D25" s="76"/>
      <c r="E25" s="165"/>
      <c r="F25" s="220" t="s">
        <v>29</v>
      </c>
      <c r="G25" s="225">
        <f>+'골재사업소(당월)'!G25+'[4]골재사업소(누계)'!G25</f>
        <v>0</v>
      </c>
      <c r="H25" s="384">
        <f>+'골재사업소(당월)'!H25+'[4]골재사업소(누계)'!H25</f>
        <v>0</v>
      </c>
      <c r="I25" s="228">
        <f t="shared" si="0"/>
        <v>0</v>
      </c>
      <c r="J25" s="227">
        <f>+'골재사업소(당월)'!J25+'[4]골재사업소(누계)'!J25</f>
        <v>4740.9168799999989</v>
      </c>
      <c r="K25" s="384">
        <f>+'골재사업소(당월)'!K25+'[4]골재사업소(누계)'!K25</f>
        <v>1216</v>
      </c>
      <c r="L25" s="226">
        <f t="shared" si="1"/>
        <v>-3524.9168799999989</v>
      </c>
      <c r="M25" s="227">
        <f>+'골재사업소(당월)'!M25+'[4]골재사업소(누계)'!M25</f>
        <v>0</v>
      </c>
      <c r="N25" s="384">
        <f>+'골재사업소(당월)'!N25+'[4]골재사업소(누계)'!N25</f>
        <v>0</v>
      </c>
      <c r="O25" s="226">
        <f t="shared" si="2"/>
        <v>0</v>
      </c>
      <c r="P25" s="413">
        <f t="shared" si="10"/>
        <v>4740.9168799999989</v>
      </c>
      <c r="Q25" s="384">
        <f t="shared" si="10"/>
        <v>1216</v>
      </c>
      <c r="R25" s="414">
        <f t="shared" si="3"/>
        <v>-3524.9168799999989</v>
      </c>
      <c r="S25" s="225">
        <f>+'골재사업소(당월)'!S25+'[4]골재사업소(누계)'!S25</f>
        <v>0</v>
      </c>
      <c r="T25" s="384">
        <f>+'골재사업소(당월)'!T25+'[4]골재사업소(누계)'!T25</f>
        <v>0</v>
      </c>
      <c r="U25" s="228">
        <f t="shared" si="4"/>
        <v>0</v>
      </c>
      <c r="V25" s="227">
        <f>+'골재사업소(당월)'!V25+'[4]골재사업소(누계)'!V25</f>
        <v>0</v>
      </c>
      <c r="W25" s="384">
        <f>+'골재사업소(당월)'!W25+'[4]골재사업소(누계)'!W25</f>
        <v>240</v>
      </c>
      <c r="X25" s="226">
        <f t="shared" si="5"/>
        <v>240</v>
      </c>
      <c r="Y25" s="227">
        <f>+'골재사업소(당월)'!Y25+'[4]골재사업소(누계)'!Y25</f>
        <v>0</v>
      </c>
      <c r="Z25" s="384">
        <f>+'골재사업소(당월)'!Z25+'[4]골재사업소(누계)'!Z25</f>
        <v>0</v>
      </c>
      <c r="AA25" s="226">
        <f t="shared" si="6"/>
        <v>0</v>
      </c>
      <c r="AB25" s="413">
        <f t="shared" si="11"/>
        <v>0</v>
      </c>
      <c r="AC25" s="384">
        <f t="shared" si="12"/>
        <v>240</v>
      </c>
      <c r="AD25" s="414">
        <f t="shared" si="7"/>
        <v>240</v>
      </c>
      <c r="AE25" s="226">
        <f>+'골재사업소(당월)'!AE25+'[4]골재사업소(누계)'!AE25</f>
        <v>14970.286713286714</v>
      </c>
      <c r="AF25" s="384">
        <f>+'골재사업소(당월)'!AF25+'[4]골재사업소(누계)'!AF25</f>
        <v>23168</v>
      </c>
      <c r="AG25" s="226">
        <f t="shared" si="8"/>
        <v>8197.7132867132859</v>
      </c>
      <c r="AH25" s="413">
        <f t="shared" si="13"/>
        <v>19711.203593286715</v>
      </c>
      <c r="AI25" s="384">
        <f t="shared" si="13"/>
        <v>24624</v>
      </c>
      <c r="AJ25" s="414">
        <f t="shared" si="9"/>
        <v>4912.7964067132853</v>
      </c>
    </row>
    <row r="26" spans="4:39" ht="24" customHeight="1" x14ac:dyDescent="0.3">
      <c r="D26" s="76"/>
      <c r="E26" s="165"/>
      <c r="F26" s="220" t="s">
        <v>30</v>
      </c>
      <c r="G26" s="225">
        <f>+'골재사업소(당월)'!G26+'[4]골재사업소(누계)'!G26</f>
        <v>7028.3333333333339</v>
      </c>
      <c r="H26" s="384">
        <f>+'골재사업소(당월)'!H26+'[4]골재사업소(누계)'!H26</f>
        <v>3504</v>
      </c>
      <c r="I26" s="228">
        <f t="shared" si="0"/>
        <v>-3524.3333333333339</v>
      </c>
      <c r="J26" s="227">
        <f>+'골재사업소(당월)'!J26+'[4]골재사업소(누계)'!J26</f>
        <v>4065.6000000000004</v>
      </c>
      <c r="K26" s="384">
        <f>+'골재사업소(당월)'!K26+'[4]골재사업소(누계)'!K26</f>
        <v>240</v>
      </c>
      <c r="L26" s="226">
        <f t="shared" si="1"/>
        <v>-3825.6000000000004</v>
      </c>
      <c r="M26" s="227">
        <f>+'골재사업소(당월)'!M26+'[4]골재사업소(누계)'!M26</f>
        <v>0</v>
      </c>
      <c r="N26" s="384">
        <f>+'골재사업소(당월)'!N26+'[4]골재사업소(누계)'!N26</f>
        <v>0</v>
      </c>
      <c r="O26" s="226">
        <f t="shared" si="2"/>
        <v>0</v>
      </c>
      <c r="P26" s="413">
        <f t="shared" si="10"/>
        <v>11093.933333333334</v>
      </c>
      <c r="Q26" s="382">
        <f t="shared" si="10"/>
        <v>3744</v>
      </c>
      <c r="R26" s="432">
        <f t="shared" si="3"/>
        <v>-7349.9333333333343</v>
      </c>
      <c r="S26" s="225">
        <f>+'골재사업소(당월)'!S26+'[4]골재사업소(누계)'!S26</f>
        <v>0</v>
      </c>
      <c r="T26" s="384">
        <f>+'골재사업소(당월)'!T26+'[4]골재사업소(누계)'!T26</f>
        <v>0</v>
      </c>
      <c r="U26" s="228">
        <f t="shared" si="4"/>
        <v>0</v>
      </c>
      <c r="V26" s="227">
        <f>+'골재사업소(당월)'!V26+'[4]골재사업소(누계)'!V26</f>
        <v>0</v>
      </c>
      <c r="W26" s="384">
        <f>+'골재사업소(당월)'!W26+'[4]골재사업소(누계)'!W26</f>
        <v>0</v>
      </c>
      <c r="X26" s="226">
        <f t="shared" si="5"/>
        <v>0</v>
      </c>
      <c r="Y26" s="227">
        <f>+'골재사업소(당월)'!Y26+'[4]골재사업소(누계)'!Y26</f>
        <v>0</v>
      </c>
      <c r="Z26" s="384">
        <f>+'골재사업소(당월)'!Z26+'[4]골재사업소(누계)'!Z26</f>
        <v>0</v>
      </c>
      <c r="AA26" s="226">
        <f t="shared" si="6"/>
        <v>0</v>
      </c>
      <c r="AB26" s="413">
        <f t="shared" si="11"/>
        <v>0</v>
      </c>
      <c r="AC26" s="382">
        <f t="shared" si="12"/>
        <v>0</v>
      </c>
      <c r="AD26" s="432">
        <f t="shared" si="7"/>
        <v>0</v>
      </c>
      <c r="AE26" s="226">
        <f>+'골재사업소(당월)'!AE26+'[4]골재사업소(누계)'!AE26</f>
        <v>0</v>
      </c>
      <c r="AF26" s="384">
        <f>+'골재사업소(당월)'!AF26+'[4]골재사업소(누계)'!AF26</f>
        <v>0</v>
      </c>
      <c r="AG26" s="226">
        <f t="shared" si="8"/>
        <v>0</v>
      </c>
      <c r="AH26" s="413">
        <f t="shared" si="13"/>
        <v>11093.933333333334</v>
      </c>
      <c r="AI26" s="382">
        <f t="shared" si="13"/>
        <v>3744</v>
      </c>
      <c r="AJ26" s="414">
        <f t="shared" si="9"/>
        <v>-7349.9333333333343</v>
      </c>
    </row>
    <row r="27" spans="4:39" ht="24" customHeight="1" x14ac:dyDescent="0.3">
      <c r="D27" s="76"/>
      <c r="E27" s="224" t="s">
        <v>120</v>
      </c>
      <c r="F27" s="223" t="s">
        <v>25</v>
      </c>
      <c r="G27" s="191">
        <f t="shared" ref="G27:G32" si="14">IFERROR(G35/G21,)*1000</f>
        <v>0</v>
      </c>
      <c r="H27" s="385">
        <f t="shared" ref="H27:H32" si="15">IFERROR(H35/H21,)*1000</f>
        <v>12500</v>
      </c>
      <c r="I27" s="192">
        <f t="shared" si="0"/>
        <v>12500</v>
      </c>
      <c r="J27" s="222">
        <f t="shared" ref="J27:K32" si="16">IFERROR(J35/J21,)*1000</f>
        <v>0</v>
      </c>
      <c r="K27" s="385">
        <f t="shared" si="16"/>
        <v>0</v>
      </c>
      <c r="L27" s="204">
        <f t="shared" si="1"/>
        <v>0</v>
      </c>
      <c r="M27" s="222">
        <f t="shared" ref="M27:N32" si="17">IFERROR(M35/M21,)*1000</f>
        <v>0</v>
      </c>
      <c r="N27" s="385">
        <f t="shared" si="17"/>
        <v>0</v>
      </c>
      <c r="O27" s="204">
        <f t="shared" si="2"/>
        <v>0</v>
      </c>
      <c r="P27" s="427">
        <f>+IFERROR(HLOOKUP($A$1,[14]손익!$G$5:$AB$252,48,),)</f>
        <v>9000</v>
      </c>
      <c r="Q27" s="423">
        <f t="shared" ref="Q27:Q32" si="18">IFERROR(Q35/Q21,)*1000</f>
        <v>12500</v>
      </c>
      <c r="R27" s="433">
        <f t="shared" si="3"/>
        <v>3500</v>
      </c>
      <c r="S27" s="191">
        <f t="shared" ref="S27:T32" si="19">IFERROR(S35/S21,)*1000</f>
        <v>16000</v>
      </c>
      <c r="T27" s="385">
        <f t="shared" si="19"/>
        <v>17500</v>
      </c>
      <c r="U27" s="192">
        <f t="shared" si="4"/>
        <v>1500</v>
      </c>
      <c r="V27" s="222">
        <f t="shared" ref="V27:W32" si="20">IFERROR(V35/V21,)*1000</f>
        <v>23000.000000000004</v>
      </c>
      <c r="W27" s="385">
        <f t="shared" si="20"/>
        <v>23500</v>
      </c>
      <c r="X27" s="204">
        <f t="shared" si="5"/>
        <v>499.99999999999636</v>
      </c>
      <c r="Y27" s="222">
        <f t="shared" ref="Y27:Z32" si="21">IFERROR(Y35/Y21,)*1000</f>
        <v>0</v>
      </c>
      <c r="Z27" s="385">
        <f t="shared" si="21"/>
        <v>0</v>
      </c>
      <c r="AA27" s="204">
        <f t="shared" si="6"/>
        <v>0</v>
      </c>
      <c r="AB27" s="427">
        <f t="shared" si="11"/>
        <v>39000</v>
      </c>
      <c r="AC27" s="423">
        <f t="shared" si="12"/>
        <v>41000</v>
      </c>
      <c r="AD27" s="433">
        <f t="shared" si="7"/>
        <v>2000</v>
      </c>
      <c r="AE27" s="204">
        <f t="shared" ref="AE27:AF32" si="22">IFERROR(AE35/AE21,)*1000</f>
        <v>31190.586168589758</v>
      </c>
      <c r="AF27" s="385">
        <f t="shared" si="22"/>
        <v>32149.994087271865</v>
      </c>
      <c r="AG27" s="204">
        <f t="shared" si="8"/>
        <v>959.40791868210727</v>
      </c>
      <c r="AH27" s="415">
        <f t="shared" ref="AH27:AH32" si="23">+AH35/AH21*1000</f>
        <v>21216.680784978562</v>
      </c>
      <c r="AI27" s="385">
        <f t="shared" ref="AI27:AI32" si="24">IFERROR(AI35/AI21,)*1000</f>
        <v>22344.355850455828</v>
      </c>
      <c r="AJ27" s="416">
        <f t="shared" si="9"/>
        <v>1127.6750654772659</v>
      </c>
    </row>
    <row r="28" spans="4:39" ht="24" customHeight="1" x14ac:dyDescent="0.3">
      <c r="D28" s="76"/>
      <c r="E28" s="165" t="s">
        <v>119</v>
      </c>
      <c r="F28" s="220" t="s">
        <v>26</v>
      </c>
      <c r="G28" s="189">
        <f t="shared" si="14"/>
        <v>16000</v>
      </c>
      <c r="H28" s="95">
        <f t="shared" si="15"/>
        <v>17000</v>
      </c>
      <c r="I28" s="190">
        <f t="shared" si="0"/>
        <v>1000</v>
      </c>
      <c r="J28" s="219">
        <f t="shared" si="16"/>
        <v>20057.069183926746</v>
      </c>
      <c r="K28" s="95">
        <f t="shared" si="16"/>
        <v>10500</v>
      </c>
      <c r="L28" s="195">
        <f t="shared" si="1"/>
        <v>-9557.0691839267456</v>
      </c>
      <c r="M28" s="219">
        <f t="shared" si="17"/>
        <v>0</v>
      </c>
      <c r="N28" s="95">
        <f t="shared" si="17"/>
        <v>0</v>
      </c>
      <c r="O28" s="195">
        <f t="shared" si="2"/>
        <v>0</v>
      </c>
      <c r="P28" s="428">
        <f>+IFERROR(HLOOKUP($A$1,[14]손익!$G$5:$AB$252,49,),)</f>
        <v>10458.859257853279</v>
      </c>
      <c r="Q28" s="424">
        <f t="shared" si="18"/>
        <v>16951.033476152363</v>
      </c>
      <c r="R28" s="434">
        <f t="shared" si="3"/>
        <v>6492.1742182990838</v>
      </c>
      <c r="S28" s="189">
        <f t="shared" si="19"/>
        <v>0</v>
      </c>
      <c r="T28" s="95">
        <f t="shared" si="19"/>
        <v>12000</v>
      </c>
      <c r="U28" s="190">
        <f t="shared" si="4"/>
        <v>12000</v>
      </c>
      <c r="V28" s="219">
        <f t="shared" si="20"/>
        <v>19000</v>
      </c>
      <c r="W28" s="95">
        <f t="shared" si="20"/>
        <v>19161.751009003412</v>
      </c>
      <c r="X28" s="195">
        <f t="shared" si="5"/>
        <v>161.75100900341204</v>
      </c>
      <c r="Y28" s="219">
        <f t="shared" si="21"/>
        <v>0</v>
      </c>
      <c r="Z28" s="95">
        <f t="shared" si="21"/>
        <v>0</v>
      </c>
      <c r="AA28" s="195">
        <f t="shared" si="6"/>
        <v>0</v>
      </c>
      <c r="AB28" s="428">
        <f t="shared" si="11"/>
        <v>19000</v>
      </c>
      <c r="AC28" s="424">
        <f t="shared" si="12"/>
        <v>31161.751009003412</v>
      </c>
      <c r="AD28" s="434">
        <f t="shared" si="7"/>
        <v>12161.751009003412</v>
      </c>
      <c r="AE28" s="195">
        <f t="shared" si="22"/>
        <v>27999.999999999996</v>
      </c>
      <c r="AF28" s="95">
        <f t="shared" si="22"/>
        <v>27869.051354401807</v>
      </c>
      <c r="AG28" s="195">
        <f t="shared" si="8"/>
        <v>-130.94864559818961</v>
      </c>
      <c r="AH28" s="417">
        <f t="shared" si="23"/>
        <v>19255.715545974104</v>
      </c>
      <c r="AI28" s="95">
        <f t="shared" si="24"/>
        <v>18301.096639082607</v>
      </c>
      <c r="AJ28" s="418">
        <f t="shared" si="9"/>
        <v>-954.61890689149732</v>
      </c>
    </row>
    <row r="29" spans="4:39" ht="24" customHeight="1" x14ac:dyDescent="0.3">
      <c r="D29" s="76"/>
      <c r="E29" s="165"/>
      <c r="F29" s="220" t="s">
        <v>27</v>
      </c>
      <c r="G29" s="189">
        <f t="shared" si="14"/>
        <v>9999.9999999999982</v>
      </c>
      <c r="H29" s="95">
        <f t="shared" si="15"/>
        <v>11500</v>
      </c>
      <c r="I29" s="190">
        <f t="shared" si="0"/>
        <v>1500.0000000000018</v>
      </c>
      <c r="J29" s="219">
        <f t="shared" si="16"/>
        <v>0</v>
      </c>
      <c r="K29" s="95">
        <f t="shared" si="16"/>
        <v>0</v>
      </c>
      <c r="L29" s="195">
        <f t="shared" si="1"/>
        <v>0</v>
      </c>
      <c r="M29" s="219">
        <f t="shared" si="17"/>
        <v>0</v>
      </c>
      <c r="N29" s="95">
        <f t="shared" si="17"/>
        <v>0</v>
      </c>
      <c r="O29" s="195">
        <f t="shared" si="2"/>
        <v>0</v>
      </c>
      <c r="P29" s="429">
        <f>+IFERROR(HLOOKUP($A$1,[14]손익!$G$5:$AB$252,50,),)</f>
        <v>0</v>
      </c>
      <c r="Q29" s="425">
        <f t="shared" si="18"/>
        <v>11500</v>
      </c>
      <c r="R29" s="434">
        <f t="shared" si="3"/>
        <v>11500</v>
      </c>
      <c r="S29" s="189">
        <f t="shared" si="19"/>
        <v>0</v>
      </c>
      <c r="T29" s="95">
        <f t="shared" si="19"/>
        <v>0</v>
      </c>
      <c r="U29" s="190">
        <f t="shared" si="4"/>
        <v>0</v>
      </c>
      <c r="V29" s="219">
        <f t="shared" si="20"/>
        <v>0</v>
      </c>
      <c r="W29" s="95">
        <f t="shared" si="20"/>
        <v>0</v>
      </c>
      <c r="X29" s="195">
        <f t="shared" si="5"/>
        <v>0</v>
      </c>
      <c r="Y29" s="219">
        <f t="shared" si="21"/>
        <v>0</v>
      </c>
      <c r="Z29" s="95">
        <f t="shared" si="21"/>
        <v>0</v>
      </c>
      <c r="AA29" s="195">
        <f t="shared" si="6"/>
        <v>0</v>
      </c>
      <c r="AB29" s="429">
        <f t="shared" si="11"/>
        <v>0</v>
      </c>
      <c r="AC29" s="425">
        <f t="shared" si="12"/>
        <v>0</v>
      </c>
      <c r="AD29" s="434">
        <f t="shared" si="7"/>
        <v>0</v>
      </c>
      <c r="AE29" s="195">
        <f t="shared" si="22"/>
        <v>27499.999999999996</v>
      </c>
      <c r="AF29" s="95">
        <f t="shared" si="22"/>
        <v>0</v>
      </c>
      <c r="AG29" s="195">
        <f t="shared" si="8"/>
        <v>-27499.999999999996</v>
      </c>
      <c r="AH29" s="417">
        <f t="shared" si="23"/>
        <v>23032.835804845523</v>
      </c>
      <c r="AI29" s="95">
        <f t="shared" si="24"/>
        <v>108257.74701670645</v>
      </c>
      <c r="AJ29" s="418">
        <f t="shared" si="9"/>
        <v>85224.911211860919</v>
      </c>
    </row>
    <row r="30" spans="4:39" ht="24" customHeight="1" x14ac:dyDescent="0.3">
      <c r="D30" s="76"/>
      <c r="E30" s="165"/>
      <c r="F30" s="220" t="s">
        <v>28</v>
      </c>
      <c r="G30" s="189">
        <f t="shared" si="14"/>
        <v>0</v>
      </c>
      <c r="H30" s="95">
        <f t="shared" si="15"/>
        <v>0</v>
      </c>
      <c r="I30" s="190">
        <f t="shared" si="0"/>
        <v>0</v>
      </c>
      <c r="J30" s="219">
        <f t="shared" si="16"/>
        <v>0</v>
      </c>
      <c r="K30" s="95">
        <f t="shared" si="16"/>
        <v>0</v>
      </c>
      <c r="L30" s="195">
        <f t="shared" si="1"/>
        <v>0</v>
      </c>
      <c r="M30" s="219">
        <f t="shared" si="17"/>
        <v>0</v>
      </c>
      <c r="N30" s="95">
        <f t="shared" si="17"/>
        <v>0</v>
      </c>
      <c r="O30" s="195">
        <f t="shared" si="2"/>
        <v>0</v>
      </c>
      <c r="P30" s="429">
        <f>+IFERROR(HLOOKUP($A$1,[14]손익!$G$5:$AB$252,51,),)</f>
        <v>16448.75723527409</v>
      </c>
      <c r="Q30" s="55">
        <f t="shared" si="18"/>
        <v>0</v>
      </c>
      <c r="R30" s="435">
        <f t="shared" si="3"/>
        <v>-16448.75723527409</v>
      </c>
      <c r="S30" s="189">
        <f t="shared" si="19"/>
        <v>0</v>
      </c>
      <c r="T30" s="95">
        <f t="shared" si="19"/>
        <v>0</v>
      </c>
      <c r="U30" s="190">
        <f t="shared" si="4"/>
        <v>0</v>
      </c>
      <c r="V30" s="219">
        <f t="shared" si="20"/>
        <v>0</v>
      </c>
      <c r="W30" s="95">
        <f t="shared" si="20"/>
        <v>18389.294403892942</v>
      </c>
      <c r="X30" s="195">
        <f t="shared" si="5"/>
        <v>18389.294403892942</v>
      </c>
      <c r="Y30" s="219">
        <f t="shared" si="21"/>
        <v>0</v>
      </c>
      <c r="Z30" s="95">
        <f t="shared" si="21"/>
        <v>0</v>
      </c>
      <c r="AA30" s="195">
        <f t="shared" si="6"/>
        <v>0</v>
      </c>
      <c r="AB30" s="429">
        <f t="shared" si="11"/>
        <v>0</v>
      </c>
      <c r="AC30" s="55">
        <f t="shared" si="12"/>
        <v>18389.294403892942</v>
      </c>
      <c r="AD30" s="435">
        <f t="shared" si="7"/>
        <v>18389.294403892942</v>
      </c>
      <c r="AE30" s="195">
        <f t="shared" si="22"/>
        <v>28666.666666666661</v>
      </c>
      <c r="AF30" s="95">
        <f t="shared" si="22"/>
        <v>0</v>
      </c>
      <c r="AG30" s="195">
        <f t="shared" si="8"/>
        <v>-28666.666666666661</v>
      </c>
      <c r="AH30" s="417">
        <f t="shared" si="23"/>
        <v>28666.666666666661</v>
      </c>
      <c r="AI30" s="95">
        <f t="shared" si="24"/>
        <v>198028.04136253038</v>
      </c>
      <c r="AJ30" s="418">
        <f t="shared" si="9"/>
        <v>169361.37469586372</v>
      </c>
    </row>
    <row r="31" spans="4:39" ht="24" customHeight="1" x14ac:dyDescent="0.3">
      <c r="D31" s="76"/>
      <c r="E31" s="165"/>
      <c r="F31" s="220" t="s">
        <v>29</v>
      </c>
      <c r="G31" s="189">
        <f t="shared" si="14"/>
        <v>0</v>
      </c>
      <c r="H31" s="95">
        <f t="shared" si="15"/>
        <v>0</v>
      </c>
      <c r="I31" s="190">
        <f t="shared" si="0"/>
        <v>0</v>
      </c>
      <c r="J31" s="219">
        <f t="shared" si="16"/>
        <v>15000.000000000002</v>
      </c>
      <c r="K31" s="95">
        <f t="shared" si="16"/>
        <v>9000</v>
      </c>
      <c r="L31" s="195">
        <f t="shared" si="1"/>
        <v>-6000.0000000000018</v>
      </c>
      <c r="M31" s="219">
        <f t="shared" si="17"/>
        <v>0</v>
      </c>
      <c r="N31" s="95">
        <f t="shared" si="17"/>
        <v>0</v>
      </c>
      <c r="O31" s="195">
        <f t="shared" si="2"/>
        <v>0</v>
      </c>
      <c r="P31" s="429">
        <f>+IFERROR(HLOOKUP($A$1,[14]손익!$G$5:$AB$252,52,),)</f>
        <v>10000</v>
      </c>
      <c r="Q31" s="55">
        <f t="shared" si="18"/>
        <v>9000</v>
      </c>
      <c r="R31" s="435">
        <f t="shared" si="3"/>
        <v>-1000</v>
      </c>
      <c r="S31" s="189">
        <f t="shared" si="19"/>
        <v>0</v>
      </c>
      <c r="T31" s="95">
        <f t="shared" si="19"/>
        <v>0</v>
      </c>
      <c r="U31" s="190">
        <f t="shared" si="4"/>
        <v>0</v>
      </c>
      <c r="V31" s="219">
        <f t="shared" si="20"/>
        <v>0</v>
      </c>
      <c r="W31" s="95">
        <f t="shared" si="20"/>
        <v>19000</v>
      </c>
      <c r="X31" s="195">
        <f t="shared" si="5"/>
        <v>19000</v>
      </c>
      <c r="Y31" s="219">
        <f t="shared" si="21"/>
        <v>0</v>
      </c>
      <c r="Z31" s="95">
        <f t="shared" si="21"/>
        <v>0</v>
      </c>
      <c r="AA31" s="195">
        <f t="shared" si="6"/>
        <v>0</v>
      </c>
      <c r="AB31" s="429">
        <f t="shared" si="11"/>
        <v>0</v>
      </c>
      <c r="AC31" s="55">
        <f t="shared" si="12"/>
        <v>19000</v>
      </c>
      <c r="AD31" s="435">
        <f t="shared" si="7"/>
        <v>19000</v>
      </c>
      <c r="AE31" s="195">
        <f t="shared" si="22"/>
        <v>28331.203629006835</v>
      </c>
      <c r="AF31" s="95">
        <f t="shared" si="22"/>
        <v>1395.3729281767955</v>
      </c>
      <c r="AG31" s="195">
        <f t="shared" si="8"/>
        <v>-26935.83070083004</v>
      </c>
      <c r="AH31" s="417">
        <f t="shared" si="23"/>
        <v>25124.797281654141</v>
      </c>
      <c r="AI31" s="95">
        <f t="shared" si="24"/>
        <v>1942.4951267056529</v>
      </c>
      <c r="AJ31" s="418">
        <f t="shared" si="9"/>
        <v>-23182.302154948487</v>
      </c>
    </row>
    <row r="32" spans="4:39" ht="24" customHeight="1" thickBot="1" x14ac:dyDescent="0.35">
      <c r="D32" s="76"/>
      <c r="E32" s="217"/>
      <c r="F32" s="216" t="s">
        <v>30</v>
      </c>
      <c r="G32" s="212">
        <f t="shared" si="14"/>
        <v>9999.9999999999982</v>
      </c>
      <c r="H32" s="386">
        <f t="shared" si="15"/>
        <v>11500</v>
      </c>
      <c r="I32" s="215">
        <f t="shared" si="0"/>
        <v>1500.0000000000018</v>
      </c>
      <c r="J32" s="214">
        <f t="shared" si="16"/>
        <v>14999.999999999998</v>
      </c>
      <c r="K32" s="386">
        <f t="shared" si="16"/>
        <v>9000</v>
      </c>
      <c r="L32" s="213">
        <f t="shared" si="1"/>
        <v>-5999.9999999999982</v>
      </c>
      <c r="M32" s="214">
        <f t="shared" si="17"/>
        <v>0</v>
      </c>
      <c r="N32" s="386">
        <f t="shared" si="17"/>
        <v>0</v>
      </c>
      <c r="O32" s="213">
        <f t="shared" si="2"/>
        <v>0</v>
      </c>
      <c r="P32" s="430">
        <f>+IFERROR(HLOOKUP($A$1,[14]손익!$G$5:$AB$252,53,),)</f>
        <v>0</v>
      </c>
      <c r="Q32" s="426">
        <f t="shared" si="18"/>
        <v>11339.74358974359</v>
      </c>
      <c r="R32" s="436">
        <f t="shared" si="3"/>
        <v>11339.74358974359</v>
      </c>
      <c r="S32" s="212">
        <f t="shared" si="19"/>
        <v>0</v>
      </c>
      <c r="T32" s="386">
        <f t="shared" si="19"/>
        <v>0</v>
      </c>
      <c r="U32" s="215">
        <f t="shared" si="4"/>
        <v>0</v>
      </c>
      <c r="V32" s="214">
        <f t="shared" si="20"/>
        <v>0</v>
      </c>
      <c r="W32" s="386">
        <f t="shared" si="20"/>
        <v>0</v>
      </c>
      <c r="X32" s="213">
        <f t="shared" si="5"/>
        <v>0</v>
      </c>
      <c r="Y32" s="214">
        <f t="shared" si="21"/>
        <v>0</v>
      </c>
      <c r="Z32" s="386">
        <f t="shared" si="21"/>
        <v>0</v>
      </c>
      <c r="AA32" s="213">
        <f t="shared" si="6"/>
        <v>0</v>
      </c>
      <c r="AB32" s="430">
        <f t="shared" si="11"/>
        <v>0</v>
      </c>
      <c r="AC32" s="426">
        <f t="shared" si="12"/>
        <v>0</v>
      </c>
      <c r="AD32" s="436">
        <f t="shared" si="7"/>
        <v>0</v>
      </c>
      <c r="AE32" s="213">
        <f t="shared" si="22"/>
        <v>0</v>
      </c>
      <c r="AF32" s="386">
        <f t="shared" si="22"/>
        <v>0</v>
      </c>
      <c r="AG32" s="213">
        <f t="shared" si="8"/>
        <v>0</v>
      </c>
      <c r="AH32" s="419">
        <f t="shared" si="23"/>
        <v>11832.352817455783</v>
      </c>
      <c r="AI32" s="420">
        <f t="shared" si="24"/>
        <v>11339.74358974359</v>
      </c>
      <c r="AJ32" s="421">
        <f t="shared" si="9"/>
        <v>-492.60922771219339</v>
      </c>
    </row>
    <row r="33" spans="5:36" ht="21.95" customHeight="1" thickTop="1" x14ac:dyDescent="0.3">
      <c r="E33" s="6" t="s">
        <v>118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131</v>
      </c>
      <c r="AH34" s="76"/>
    </row>
    <row r="35" spans="5:36" ht="21.95" customHeight="1" x14ac:dyDescent="0.3">
      <c r="E35" s="26" t="s">
        <v>120</v>
      </c>
      <c r="F35" s="431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52600</v>
      </c>
      <c r="I35" s="6">
        <f t="shared" ref="I35:I41" si="25">+H35-G35</f>
        <v>52600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+'골재사업소(당월)'!M35+'[4]골재사업소(누계)'!M35</f>
        <v>0</v>
      </c>
      <c r="N35" s="6">
        <f>+'골재사업소(당월)'!N35+'[4]골재사업소(누계)'!N35</f>
        <v>0</v>
      </c>
      <c r="O35" s="6">
        <f>+N35-M35</f>
        <v>0</v>
      </c>
      <c r="P35" s="6">
        <f>SUM(G35,J35,M35)</f>
        <v>0</v>
      </c>
      <c r="Q35" s="6">
        <f>SUM(H35,K35,N35)</f>
        <v>52600</v>
      </c>
      <c r="R35" s="6">
        <f t="shared" ref="R35:R41" si="26">+Q35-P35</f>
        <v>52600</v>
      </c>
      <c r="S35" s="6">
        <f>+'골재사업소(당월)'!S35+'[4]골재사업소(누계)'!S35</f>
        <v>2169039.4613391184</v>
      </c>
      <c r="T35" s="6">
        <f>+'골재사업소(당월)'!T35+'[4]골재사업소(누계)'!T35</f>
        <v>1991377.5</v>
      </c>
      <c r="U35" s="6">
        <f t="shared" ref="U35:U41" si="27">+T35-S35</f>
        <v>-177661.96133911842</v>
      </c>
      <c r="V35" s="76">
        <f>+'골재사업소(당월)'!V35+'[4]골재사업소(누계)'!V35</f>
        <v>2192600.9312773421</v>
      </c>
      <c r="W35" s="6">
        <f>+'골재사업소(당월)'!W35+'[4]골재사업소(누계)'!W35</f>
        <v>1935084</v>
      </c>
      <c r="X35" s="6">
        <f>+W35-V35</f>
        <v>-257516.93127734214</v>
      </c>
      <c r="AA35" s="6">
        <f>+Z35-Y35</f>
        <v>0</v>
      </c>
      <c r="AB35" s="6">
        <f>+S35+V35+Y35</f>
        <v>4361640.3926164601</v>
      </c>
      <c r="AC35" s="6">
        <f t="shared" ref="AC35:AC41" si="28">+T35+W35+Z35</f>
        <v>3926461.5</v>
      </c>
      <c r="AD35" s="6">
        <f t="shared" ref="AD35:AD41" si="29">+AC35-AB35</f>
        <v>-435178.8926164601</v>
      </c>
      <c r="AE35" s="437">
        <f>+'골재사업소(당월)'!AE35+'[4]골재사업소(누계)'!AE35</f>
        <v>1679924.7918400075</v>
      </c>
      <c r="AF35" s="6">
        <f>+'골재사업소(당월)'!AF35+'[4]골재사업소(누계)'!AF35</f>
        <v>1631226.4</v>
      </c>
      <c r="AH35" s="76">
        <f t="shared" ref="AH35:AI41" si="30">+P35+AB35+AE35</f>
        <v>6041565.1844564676</v>
      </c>
      <c r="AI35" s="76">
        <f t="shared" si="30"/>
        <v>5610287.9000000004</v>
      </c>
      <c r="AJ35" s="6">
        <f t="shared" ref="AJ35:AJ41" si="31">+AI35-AH35</f>
        <v>-431277.28445646726</v>
      </c>
    </row>
    <row r="36" spans="5:36" ht="21.95" customHeight="1" x14ac:dyDescent="0.3">
      <c r="E36" s="26" t="s">
        <v>69</v>
      </c>
      <c r="F36" s="431" t="s">
        <v>26</v>
      </c>
      <c r="G36" s="6">
        <f>+'골재사업소(당월)'!G36+'[4]골재사업소(누계)'!G36</f>
        <v>2096309.3333333335</v>
      </c>
      <c r="H36" s="6">
        <f>+'골재사업소(당월)'!H36+'[4]골재사업소(누계)'!H36</f>
        <v>1433372</v>
      </c>
      <c r="I36" s="6">
        <f t="shared" si="25"/>
        <v>-662937.33333333349</v>
      </c>
      <c r="J36" s="76">
        <f>+'골재사업소(당월)'!J36+'[4]골재사업소(누계)'!J36</f>
        <v>207942.33333333331</v>
      </c>
      <c r="K36" s="6">
        <f>+'골재사업소(당월)'!K36+'[4]골재사업소(누계)'!K36</f>
        <v>6720</v>
      </c>
      <c r="L36" s="6">
        <f t="shared" ref="L36:L41" si="32">+K36-J36</f>
        <v>-201222.33333333331</v>
      </c>
      <c r="M36" s="76">
        <f>+'골재사업소(당월)'!M36+'[4]골재사업소(누계)'!M36</f>
        <v>0</v>
      </c>
      <c r="N36" s="6">
        <f>+'골재사업소(당월)'!N36+'[4]골재사업소(누계)'!N36</f>
        <v>0</v>
      </c>
      <c r="O36" s="6">
        <f t="shared" ref="O36:O41" si="33">+N36-M36</f>
        <v>0</v>
      </c>
      <c r="P36" s="6">
        <f t="shared" ref="P36:Q41" si="34">SUM(G36,J36,M36)</f>
        <v>2304251.666666667</v>
      </c>
      <c r="Q36" s="6">
        <f t="shared" si="34"/>
        <v>1440092</v>
      </c>
      <c r="R36" s="6">
        <f t="shared" si="26"/>
        <v>-864159.66666666698</v>
      </c>
      <c r="S36" s="6">
        <f>+'골재사업소(당월)'!S36+'[4]골재사업소(누계)'!S36</f>
        <v>0</v>
      </c>
      <c r="T36" s="6">
        <f>+'골재사업소(당월)'!T36+'[4]골재사업소(누계)'!T36</f>
        <v>382656</v>
      </c>
      <c r="U36" s="6">
        <f t="shared" si="27"/>
        <v>382656</v>
      </c>
      <c r="V36" s="76">
        <f>+'골재사업소(당월)'!V36+'[4]골재사업소(누계)'!V36</f>
        <v>507270.27419354848</v>
      </c>
      <c r="W36" s="6">
        <f>+'골재사업소(당월)'!W36+'[4]골재사업소(누계)'!W36</f>
        <v>987520</v>
      </c>
      <c r="X36" s="6">
        <f t="shared" ref="X36:X41" si="35">+W36-V36</f>
        <v>480249.72580645152</v>
      </c>
      <c r="AA36" s="6">
        <f t="shared" ref="AA36:AA41" si="36">+Z36-Y36</f>
        <v>0</v>
      </c>
      <c r="AB36" s="6">
        <f t="shared" ref="AB36:AB41" si="37">+S36+V36+Y36</f>
        <v>507270.27419354848</v>
      </c>
      <c r="AC36" s="6">
        <f t="shared" si="28"/>
        <v>1370176</v>
      </c>
      <c r="AD36" s="6">
        <f>+AC36-AB36</f>
        <v>862905.72580645152</v>
      </c>
      <c r="AE36" s="437">
        <f>+'골재사업소(당월)'!AE36+'[4]골재사업소(누계)'!AE36</f>
        <v>1361147.7482517483</v>
      </c>
      <c r="AF36" s="6">
        <f>+'골재사업소(당월)'!AF36+'[4]골재사업소(누계)'!AF36</f>
        <v>790143.34400000004</v>
      </c>
      <c r="AH36" s="6">
        <f t="shared" si="30"/>
        <v>4172669.6891119638</v>
      </c>
      <c r="AI36" s="6">
        <f t="shared" si="30"/>
        <v>3600411.344</v>
      </c>
      <c r="AJ36" s="6">
        <f t="shared" si="31"/>
        <v>-572258.3451119638</v>
      </c>
    </row>
    <row r="37" spans="5:36" ht="21.95" customHeight="1" x14ac:dyDescent="0.3">
      <c r="F37" s="431" t="s">
        <v>27</v>
      </c>
      <c r="G37" s="6">
        <f>+'골재사업소(당월)'!G37+'[4]골재사업소(누계)'!G37</f>
        <v>110666.66666666666</v>
      </c>
      <c r="H37" s="6">
        <f>+'골재사업소(당월)'!H37+'[4]골재사업소(누계)'!H37</f>
        <v>77096</v>
      </c>
      <c r="I37" s="6">
        <f t="shared" si="25"/>
        <v>-33570.666666666657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32"/>
        <v>0</v>
      </c>
      <c r="M37" s="76">
        <f>+'골재사업소(당월)'!M37+'[4]골재사업소(누계)'!M37</f>
        <v>0</v>
      </c>
      <c r="N37" s="6">
        <f>+'골재사업소(당월)'!N37+'[4]골재사업소(누계)'!N37</f>
        <v>0</v>
      </c>
      <c r="O37" s="6">
        <f t="shared" si="33"/>
        <v>0</v>
      </c>
      <c r="P37" s="6">
        <f t="shared" si="34"/>
        <v>110666.66666666666</v>
      </c>
      <c r="Q37" s="6">
        <f t="shared" si="34"/>
        <v>77096</v>
      </c>
      <c r="R37" s="6">
        <f t="shared" si="26"/>
        <v>-33570.666666666657</v>
      </c>
      <c r="S37" s="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27"/>
        <v>0</v>
      </c>
      <c r="V37" s="76">
        <f>+'골재사업소(당월)'!V37+'[4]골재사업소(누계)'!V37</f>
        <v>0</v>
      </c>
      <c r="W37" s="6">
        <f>+'골재사업소(당월)'!W37+'[4]골재사업소(누계)'!W37</f>
        <v>0</v>
      </c>
      <c r="X37" s="6">
        <f t="shared" si="35"/>
        <v>0</v>
      </c>
      <c r="AA37" s="6">
        <f t="shared" si="36"/>
        <v>0</v>
      </c>
      <c r="AB37" s="6">
        <f t="shared" si="37"/>
        <v>0</v>
      </c>
      <c r="AC37" s="6">
        <f t="shared" si="28"/>
        <v>0</v>
      </c>
      <c r="AD37" s="6">
        <f t="shared" si="29"/>
        <v>0</v>
      </c>
      <c r="AE37" s="437">
        <f>+'골재사업소(당월)'!AE37+'[4]골재사업소(누계)'!AE37</f>
        <v>887884.61538461526</v>
      </c>
      <c r="AF37" s="6">
        <f>+'골재사업소(당월)'!AF37+'[4]골재사업소(누계)'!AF37</f>
        <v>648663.93599999999</v>
      </c>
      <c r="AH37" s="6">
        <f t="shared" si="30"/>
        <v>998551.28205128189</v>
      </c>
      <c r="AI37" s="6">
        <f t="shared" si="30"/>
        <v>725759.93599999999</v>
      </c>
      <c r="AJ37" s="6">
        <f t="shared" si="31"/>
        <v>-272791.3460512819</v>
      </c>
    </row>
    <row r="38" spans="5:36" ht="21.95" customHeight="1" x14ac:dyDescent="0.3">
      <c r="F38" s="431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25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32"/>
        <v>0</v>
      </c>
      <c r="M38" s="76">
        <f>+'골재사업소(당월)'!M38+'[4]골재사업소(누계)'!M38</f>
        <v>0</v>
      </c>
      <c r="N38" s="6">
        <f>+'골재사업소(당월)'!N38+'[4]골재사업소(누계)'!N38</f>
        <v>0</v>
      </c>
      <c r="O38" s="6">
        <f t="shared" si="33"/>
        <v>0</v>
      </c>
      <c r="P38" s="6">
        <f t="shared" si="34"/>
        <v>0</v>
      </c>
      <c r="Q38" s="6">
        <f t="shared" si="34"/>
        <v>0</v>
      </c>
      <c r="R38" s="6">
        <f t="shared" si="26"/>
        <v>0</v>
      </c>
      <c r="S38" s="6">
        <f>+'골재사업소(당월)'!S38+'[4]골재사업소(누계)'!S38</f>
        <v>0</v>
      </c>
      <c r="T38" s="6">
        <f>+'골재사업소(당월)'!T38+'[4]골재사업소(누계)'!T38</f>
        <v>0</v>
      </c>
      <c r="U38" s="6">
        <f t="shared" si="27"/>
        <v>0</v>
      </c>
      <c r="V38" s="76">
        <f>+'골재사업소(당월)'!V38+'[4]골재사업소(누계)'!V38</f>
        <v>0</v>
      </c>
      <c r="W38" s="6">
        <f>+'골재사업소(당월)'!W38+'[4]골재사업소(누계)'!W38</f>
        <v>120928</v>
      </c>
      <c r="X38" s="6">
        <f t="shared" si="35"/>
        <v>120928</v>
      </c>
      <c r="AA38" s="6">
        <f t="shared" si="36"/>
        <v>0</v>
      </c>
      <c r="AB38" s="6">
        <f t="shared" si="37"/>
        <v>0</v>
      </c>
      <c r="AC38" s="6">
        <f t="shared" si="28"/>
        <v>120928</v>
      </c>
      <c r="AD38" s="6">
        <f t="shared" si="29"/>
        <v>120928</v>
      </c>
      <c r="AE38" s="437">
        <f>+'골재사업소(당월)'!AE38+'[4]골재사업소(누계)'!AE38</f>
        <v>1394282.5174825173</v>
      </c>
      <c r="AF38" s="6">
        <f>+'골재사업소(당월)'!AF38+'[4]골재사업소(누계)'!AF38</f>
        <v>1181304.3999999999</v>
      </c>
      <c r="AH38" s="6">
        <f t="shared" si="30"/>
        <v>1394282.5174825173</v>
      </c>
      <c r="AI38" s="6">
        <f t="shared" si="30"/>
        <v>1302232.3999999999</v>
      </c>
      <c r="AJ38" s="6">
        <f t="shared" si="31"/>
        <v>-92050.11748251738</v>
      </c>
    </row>
    <row r="39" spans="5:36" ht="21.95" customHeight="1" x14ac:dyDescent="0.3">
      <c r="F39" s="431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25"/>
        <v>0</v>
      </c>
      <c r="J39" s="76">
        <f>+'골재사업소(당월)'!J39+'[4]골재사업소(누계)'!J39</f>
        <v>71113.753199999992</v>
      </c>
      <c r="K39" s="6">
        <f>+'골재사업소(당월)'!K39+'[4]골재사업소(누계)'!K39</f>
        <v>10944</v>
      </c>
      <c r="L39" s="6">
        <f t="shared" si="32"/>
        <v>-60169.753199999992</v>
      </c>
      <c r="M39" s="76">
        <f>+'골재사업소(당월)'!M39+'[4]골재사업소(누계)'!M39</f>
        <v>0</v>
      </c>
      <c r="N39" s="6">
        <f>+'골재사업소(당월)'!N39+'[4]골재사업소(누계)'!N39</f>
        <v>0</v>
      </c>
      <c r="O39" s="6">
        <f t="shared" si="33"/>
        <v>0</v>
      </c>
      <c r="P39" s="6">
        <f t="shared" si="34"/>
        <v>71113.753199999992</v>
      </c>
      <c r="Q39" s="6">
        <f t="shared" si="34"/>
        <v>10944</v>
      </c>
      <c r="R39" s="6">
        <f t="shared" si="26"/>
        <v>-60169.753199999992</v>
      </c>
      <c r="S39" s="6">
        <f>+'골재사업소(당월)'!S39+'[4]골재사업소(누계)'!S39</f>
        <v>0</v>
      </c>
      <c r="T39" s="6">
        <f>+'골재사업소(당월)'!T39+'[4]골재사업소(누계)'!T39</f>
        <v>0</v>
      </c>
      <c r="U39" s="6">
        <f t="shared" si="27"/>
        <v>0</v>
      </c>
      <c r="V39" s="76">
        <f>+'골재사업소(당월)'!V39+'[4]골재사업소(누계)'!V39</f>
        <v>0</v>
      </c>
      <c r="W39" s="6">
        <f>+'골재사업소(당월)'!W39+'[4]골재사업소(누계)'!W39</f>
        <v>4560</v>
      </c>
      <c r="X39" s="6">
        <f t="shared" si="35"/>
        <v>4560</v>
      </c>
      <c r="AA39" s="6">
        <f t="shared" si="36"/>
        <v>0</v>
      </c>
      <c r="AB39" s="6">
        <f t="shared" si="37"/>
        <v>0</v>
      </c>
      <c r="AC39" s="6">
        <f t="shared" si="28"/>
        <v>4560</v>
      </c>
      <c r="AD39" s="6">
        <f t="shared" si="29"/>
        <v>4560</v>
      </c>
      <c r="AE39" s="437">
        <f>+'골재사업소(당월)'!AE39+'[4]골재사업소(누계)'!AE39</f>
        <v>424126.24125874136</v>
      </c>
      <c r="AF39" s="6">
        <f>+'골재사업소(당월)'!AF39+'[4]골재사업소(누계)'!AF39</f>
        <v>32328</v>
      </c>
      <c r="AH39" s="6">
        <f t="shared" si="30"/>
        <v>495239.99445874133</v>
      </c>
      <c r="AI39" s="6">
        <f t="shared" si="30"/>
        <v>47832</v>
      </c>
      <c r="AJ39" s="6">
        <f t="shared" si="31"/>
        <v>-447407.99445874133</v>
      </c>
    </row>
    <row r="40" spans="5:36" ht="21.95" customHeight="1" x14ac:dyDescent="0.3">
      <c r="F40" s="431" t="s">
        <v>30</v>
      </c>
      <c r="G40" s="6">
        <f>+'골재사업소(당월)'!G40+'[4]골재사업소(누계)'!G40</f>
        <v>70283.333333333328</v>
      </c>
      <c r="H40" s="6">
        <f>+'골재사업소(당월)'!H40+'[4]골재사업소(누계)'!H40</f>
        <v>40296</v>
      </c>
      <c r="I40" s="6">
        <f t="shared" si="25"/>
        <v>-29987.333333333328</v>
      </c>
      <c r="J40" s="76">
        <f>+'골재사업소(당월)'!J40+'[4]골재사업소(누계)'!J40</f>
        <v>60984</v>
      </c>
      <c r="K40" s="6">
        <f>+'골재사업소(당월)'!K40+'[4]골재사업소(누계)'!K40</f>
        <v>2160</v>
      </c>
      <c r="L40" s="6">
        <f t="shared" si="32"/>
        <v>-58824</v>
      </c>
      <c r="M40" s="76">
        <f>+'골재사업소(당월)'!M40+'[4]골재사업소(누계)'!M40</f>
        <v>0</v>
      </c>
      <c r="N40" s="6">
        <f>+'골재사업소(당월)'!N40+'[4]골재사업소(누계)'!N40</f>
        <v>0</v>
      </c>
      <c r="O40" s="6">
        <f t="shared" si="33"/>
        <v>0</v>
      </c>
      <c r="P40" s="6">
        <f t="shared" si="34"/>
        <v>131267.33333333331</v>
      </c>
      <c r="Q40" s="6">
        <f t="shared" si="34"/>
        <v>42456</v>
      </c>
      <c r="R40" s="6">
        <f t="shared" si="26"/>
        <v>-88811.333333333314</v>
      </c>
      <c r="S40" s="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27"/>
        <v>0</v>
      </c>
      <c r="V40" s="76">
        <f>+'골재사업소(당월)'!V40+'[4]골재사업소(누계)'!V40</f>
        <v>0</v>
      </c>
      <c r="W40" s="6">
        <f>+'골재사업소(당월)'!W40+'[4]골재사업소(누계)'!W40</f>
        <v>0</v>
      </c>
      <c r="X40" s="6">
        <f t="shared" si="35"/>
        <v>0</v>
      </c>
      <c r="AA40" s="6">
        <f t="shared" si="36"/>
        <v>0</v>
      </c>
      <c r="AB40" s="6">
        <f t="shared" si="37"/>
        <v>0</v>
      </c>
      <c r="AC40" s="6">
        <f t="shared" si="28"/>
        <v>0</v>
      </c>
      <c r="AD40" s="6">
        <f t="shared" si="29"/>
        <v>0</v>
      </c>
      <c r="AE40" s="437">
        <f>+'골재사업소(당월)'!AE40+'[4]골재사업소(누계)'!AE40</f>
        <v>0</v>
      </c>
      <c r="AF40" s="6">
        <f>+'골재사업소(당월)'!AF40+'[4]골재사업소(누계)'!AF40</f>
        <v>0</v>
      </c>
      <c r="AH40" s="6">
        <f t="shared" si="30"/>
        <v>131267.33333333331</v>
      </c>
      <c r="AI40" s="6">
        <f t="shared" si="30"/>
        <v>42456</v>
      </c>
      <c r="AJ40" s="6">
        <f t="shared" si="31"/>
        <v>-88811.333333333314</v>
      </c>
    </row>
    <row r="41" spans="5:36" ht="21.95" customHeight="1" x14ac:dyDescent="0.3">
      <c r="F41" s="431" t="s">
        <v>8</v>
      </c>
      <c r="G41" s="6">
        <f>SUM(G35:G40)</f>
        <v>2277259.3333333335</v>
      </c>
      <c r="H41" s="6">
        <f>SUM(H35:H40)</f>
        <v>1603364</v>
      </c>
      <c r="I41" s="6">
        <f t="shared" si="25"/>
        <v>-673895.33333333349</v>
      </c>
      <c r="J41" s="76">
        <f>SUM(J35:J40)</f>
        <v>340040.08653333329</v>
      </c>
      <c r="K41" s="76">
        <f>SUM(K35:K40)</f>
        <v>19824</v>
      </c>
      <c r="L41" s="6">
        <f t="shared" si="32"/>
        <v>-320216.08653333329</v>
      </c>
      <c r="M41" s="76">
        <f>SUM(M35:M40)</f>
        <v>0</v>
      </c>
      <c r="N41" s="76">
        <f>SUM(N35:N40)</f>
        <v>0</v>
      </c>
      <c r="O41" s="6">
        <f t="shared" si="33"/>
        <v>0</v>
      </c>
      <c r="P41" s="6">
        <f t="shared" si="34"/>
        <v>2617299.4198666667</v>
      </c>
      <c r="Q41" s="6">
        <f t="shared" si="34"/>
        <v>1623188</v>
      </c>
      <c r="R41" s="6">
        <f t="shared" si="26"/>
        <v>-994111.41986666666</v>
      </c>
      <c r="S41" s="6">
        <f>SUM(S35:S40)</f>
        <v>2169039.4613391184</v>
      </c>
      <c r="T41" s="6">
        <f>SUM(T35:T40)</f>
        <v>2374033.5</v>
      </c>
      <c r="U41" s="6">
        <f t="shared" si="27"/>
        <v>204994.03866088158</v>
      </c>
      <c r="V41" s="76">
        <f>SUM(V35:V40)</f>
        <v>2699871.2054708907</v>
      </c>
      <c r="W41" s="76">
        <f>SUM(W35:W40)</f>
        <v>3048092</v>
      </c>
      <c r="X41" s="6">
        <f t="shared" si="35"/>
        <v>348220.79452910926</v>
      </c>
      <c r="Z41" s="76"/>
      <c r="AA41" s="6">
        <f t="shared" si="36"/>
        <v>0</v>
      </c>
      <c r="AB41" s="6">
        <f t="shared" si="37"/>
        <v>4868910.6668100096</v>
      </c>
      <c r="AC41" s="6">
        <f t="shared" si="28"/>
        <v>5422125.5</v>
      </c>
      <c r="AD41" s="6">
        <f t="shared" si="29"/>
        <v>553214.83318999037</v>
      </c>
      <c r="AE41" s="6">
        <f>SUM(AE35:AE40)</f>
        <v>5747365.9142176295</v>
      </c>
      <c r="AF41" s="6">
        <f>SUM(AF35:AF40)</f>
        <v>4283666.08</v>
      </c>
      <c r="AH41" s="6">
        <f t="shared" si="30"/>
        <v>13233576.000894304</v>
      </c>
      <c r="AI41" s="6">
        <f t="shared" si="30"/>
        <v>11328979.58</v>
      </c>
      <c r="AJ41" s="6">
        <f t="shared" si="31"/>
        <v>-1904596.4208943043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표지</vt:lpstr>
      <vt:lpstr>손익총괄</vt:lpstr>
      <vt:lpstr>사업장별(당월)</vt:lpstr>
      <vt:lpstr>사업장별(누계)</vt:lpstr>
      <vt:lpstr>사업장별(당월)_공장 송부용</vt:lpstr>
      <vt:lpstr>사업장별(누계)_공장 송부용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'사업장별(누계)'!Print_Area</vt:lpstr>
      <vt:lpstr>'사업장별(누계)_공장 송부용'!Print_Area</vt:lpstr>
      <vt:lpstr>'사업장별(당월)'!Print_Area</vt:lpstr>
      <vt:lpstr>'사업장별(당월)_공장 송부용'!Print_Area</vt:lpstr>
      <vt:lpstr>손익총괄!Print_Area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2025-01-16T06:51:18Z</cp:lastPrinted>
  <dcterms:created xsi:type="dcterms:W3CDTF">2018-12-20T00:38:36Z</dcterms:created>
  <dcterms:modified xsi:type="dcterms:W3CDTF">2026-01-21T22:52:34Z</dcterms:modified>
</cp:coreProperties>
</file>