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10\00_보고서\"/>
    </mc:Choice>
  </mc:AlternateContent>
  <xr:revisionPtr revIDLastSave="0" documentId="13_ncr:1_{4407C14C-82E2-4604-9CB7-9A67A4B37799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사업장별(당월)_공장 송부용" sheetId="46" r:id="rId5"/>
    <sheet name="사업장별(누계)_공장 송부용" sheetId="45" r:id="rId6"/>
    <sheet name="영업이익" sheetId="33" r:id="rId7"/>
    <sheet name="공헌이익" sheetId="34" r:id="rId8"/>
    <sheet name="재료비단가" sheetId="36" r:id="rId9"/>
    <sheet name="원단위" sheetId="37" r:id="rId10"/>
    <sheet name="건자재" sheetId="29" r:id="rId11"/>
    <sheet name="골재사업소(당월)" sheetId="41" r:id="rId12"/>
    <sheet name="골재사업소(누계)" sheetId="4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0">건자재!$D$6:$O$34</definedName>
    <definedName name="_xlnm.Print_Area" localSheetId="12">'골재사업소(누계)'!$D$4:$AJ$33</definedName>
    <definedName name="_xlnm.Print_Area" localSheetId="11">'골재사업소(당월)'!$D$4:$AJ$33</definedName>
    <definedName name="_xlnm.Print_Area" localSheetId="7">공헌이익!$D$4:$V$29</definedName>
    <definedName name="_xlnm.Print_Area" localSheetId="3">'사업장별(누계)'!$H$3:$AG$43</definedName>
    <definedName name="_xlnm.Print_Area" localSheetId="5">'사업장별(누계)_공장 송부용'!$H$3:$AG$42</definedName>
    <definedName name="_xlnm.Print_Area" localSheetId="2">'사업장별(당월)'!$H$3:$AG$43</definedName>
    <definedName name="_xlnm.Print_Area" localSheetId="4">'사업장별(당월)_공장 송부용'!$H$3:$AG$42</definedName>
    <definedName name="_xlnm.Print_Area" localSheetId="1">손익총괄!$C$3:$X$36</definedName>
    <definedName name="_xlnm.Print_Area" localSheetId="6">영업이익!$D$4:$W$29</definedName>
    <definedName name="_xlnm.Print_Area" localSheetId="9">원단위!$D$4:$V$29</definedName>
    <definedName name="_xlnm.Print_Area" localSheetId="8">재료비단가!$D$4:$V$29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11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S60" i="2" l="1"/>
  <c r="S59" i="2"/>
  <c r="T58" i="2"/>
  <c r="S58" i="2"/>
  <c r="S57" i="2"/>
  <c r="W38" i="46" l="1"/>
  <c r="U38" i="46"/>
  <c r="W45" i="46"/>
  <c r="U45" i="46"/>
  <c r="T45" i="46"/>
  <c r="R45" i="46"/>
  <c r="P45" i="46"/>
  <c r="O45" i="46"/>
  <c r="M45" i="46"/>
  <c r="J45" i="46"/>
  <c r="K40" i="46"/>
  <c r="J40" i="46"/>
  <c r="V39" i="46"/>
  <c r="S39" i="46"/>
  <c r="Q39" i="46"/>
  <c r="N39" i="46"/>
  <c r="X38" i="46"/>
  <c r="T38" i="46"/>
  <c r="R38" i="46"/>
  <c r="P38" i="46"/>
  <c r="O38" i="46"/>
  <c r="N38" i="46"/>
  <c r="L38" i="46"/>
  <c r="G38" i="46"/>
  <c r="W37" i="46"/>
  <c r="U37" i="46"/>
  <c r="X37" i="46" s="1"/>
  <c r="T37" i="46"/>
  <c r="R37" i="46"/>
  <c r="S37" i="46" s="1"/>
  <c r="Q37" i="46"/>
  <c r="M37" i="46"/>
  <c r="M40" i="46" s="1"/>
  <c r="G37" i="46"/>
  <c r="U36" i="46"/>
  <c r="V36" i="46" s="1"/>
  <c r="S36" i="46"/>
  <c r="Q36" i="46"/>
  <c r="N36" i="46"/>
  <c r="G36" i="46"/>
  <c r="W35" i="46"/>
  <c r="U35" i="46"/>
  <c r="T35" i="46"/>
  <c r="S35" i="46"/>
  <c r="Q35" i="46"/>
  <c r="N35" i="46"/>
  <c r="L35" i="46"/>
  <c r="G35" i="46"/>
  <c r="W34" i="46"/>
  <c r="U34" i="46"/>
  <c r="T34" i="46"/>
  <c r="R34" i="46"/>
  <c r="P34" i="46"/>
  <c r="O34" i="46"/>
  <c r="N34" i="46"/>
  <c r="L34" i="46"/>
  <c r="G34" i="46"/>
  <c r="W33" i="46"/>
  <c r="U33" i="46"/>
  <c r="T33" i="46"/>
  <c r="R33" i="46"/>
  <c r="P33" i="46"/>
  <c r="O33" i="46"/>
  <c r="N33" i="46"/>
  <c r="L33" i="46"/>
  <c r="G33" i="46"/>
  <c r="W31" i="46"/>
  <c r="U31" i="46"/>
  <c r="T31" i="46"/>
  <c r="R31" i="46"/>
  <c r="P31" i="46"/>
  <c r="O31" i="46"/>
  <c r="M31" i="46"/>
  <c r="J31" i="46"/>
  <c r="G31" i="46"/>
  <c r="W30" i="46"/>
  <c r="U30" i="46"/>
  <c r="T30" i="46"/>
  <c r="R30" i="46"/>
  <c r="P30" i="46"/>
  <c r="O30" i="46"/>
  <c r="M30" i="46"/>
  <c r="J30" i="46"/>
  <c r="G30" i="46"/>
  <c r="W29" i="46"/>
  <c r="U29" i="46"/>
  <c r="T29" i="46"/>
  <c r="R29" i="46"/>
  <c r="P29" i="46"/>
  <c r="O29" i="46"/>
  <c r="M29" i="46"/>
  <c r="J29" i="46"/>
  <c r="G29" i="46"/>
  <c r="W28" i="46"/>
  <c r="U28" i="46"/>
  <c r="T28" i="46"/>
  <c r="R28" i="46"/>
  <c r="P28" i="46"/>
  <c r="O28" i="46"/>
  <c r="M28" i="46"/>
  <c r="J28" i="46"/>
  <c r="AD27" i="46"/>
  <c r="AC27" i="46"/>
  <c r="AB27" i="46"/>
  <c r="AA27" i="46"/>
  <c r="Z27" i="46"/>
  <c r="Y27" i="46"/>
  <c r="AD26" i="46"/>
  <c r="AC26" i="46"/>
  <c r="AB26" i="46"/>
  <c r="AA26" i="46"/>
  <c r="AG26" i="46" s="1"/>
  <c r="Z26" i="46"/>
  <c r="Y26" i="46"/>
  <c r="G26" i="46"/>
  <c r="AD25" i="46"/>
  <c r="AC25" i="46"/>
  <c r="AB25" i="46"/>
  <c r="AA25" i="46"/>
  <c r="Z25" i="46"/>
  <c r="Y25" i="46"/>
  <c r="G25" i="46"/>
  <c r="AD24" i="46"/>
  <c r="AC24" i="46"/>
  <c r="AB24" i="46"/>
  <c r="AA24" i="46"/>
  <c r="AG24" i="46" s="1"/>
  <c r="Z24" i="46"/>
  <c r="Y24" i="46"/>
  <c r="AE24" i="46" s="1"/>
  <c r="G24" i="46"/>
  <c r="AD23" i="46"/>
  <c r="AC23" i="46"/>
  <c r="AB23" i="46"/>
  <c r="AA23" i="46"/>
  <c r="Z23" i="46"/>
  <c r="Y23" i="46"/>
  <c r="W23" i="46"/>
  <c r="U23" i="46"/>
  <c r="T23" i="46"/>
  <c r="R23" i="46"/>
  <c r="P23" i="46"/>
  <c r="O23" i="46"/>
  <c r="M23" i="46"/>
  <c r="J23" i="46"/>
  <c r="G23" i="46"/>
  <c r="AD22" i="46"/>
  <c r="AC22" i="46"/>
  <c r="AB22" i="46"/>
  <c r="AA22" i="46"/>
  <c r="Z22" i="46"/>
  <c r="AF22" i="46" s="1"/>
  <c r="Y22" i="46"/>
  <c r="W22" i="46"/>
  <c r="U22" i="46"/>
  <c r="T22" i="46"/>
  <c r="R22" i="46"/>
  <c r="P22" i="46"/>
  <c r="O22" i="46"/>
  <c r="M22" i="46"/>
  <c r="J22" i="46"/>
  <c r="G22" i="46"/>
  <c r="AD21" i="46"/>
  <c r="AC21" i="46"/>
  <c r="AB21" i="46"/>
  <c r="AA21" i="46"/>
  <c r="Z21" i="46"/>
  <c r="Y21" i="46"/>
  <c r="W21" i="46"/>
  <c r="U21" i="46"/>
  <c r="T21" i="46"/>
  <c r="R21" i="46"/>
  <c r="P21" i="46"/>
  <c r="O21" i="46"/>
  <c r="M21" i="46"/>
  <c r="J21" i="46"/>
  <c r="G21" i="46"/>
  <c r="AD20" i="46"/>
  <c r="AC20" i="46"/>
  <c r="AB20" i="46"/>
  <c r="AA20" i="46"/>
  <c r="Z20" i="46"/>
  <c r="Y20" i="46"/>
  <c r="W20" i="46"/>
  <c r="U20" i="46"/>
  <c r="T20" i="46"/>
  <c r="R20" i="46"/>
  <c r="P20" i="46"/>
  <c r="O20" i="46"/>
  <c r="M20" i="46"/>
  <c r="J20" i="46"/>
  <c r="G20" i="46"/>
  <c r="AD19" i="46"/>
  <c r="AC19" i="46"/>
  <c r="AB19" i="46"/>
  <c r="AA19" i="46"/>
  <c r="Z19" i="46"/>
  <c r="Y19" i="46"/>
  <c r="W19" i="46"/>
  <c r="U19" i="46"/>
  <c r="T19" i="46"/>
  <c r="R19" i="46"/>
  <c r="P19" i="46"/>
  <c r="O19" i="46"/>
  <c r="M19" i="46"/>
  <c r="J19" i="46"/>
  <c r="G19" i="46"/>
  <c r="AD18" i="46"/>
  <c r="AC18" i="46"/>
  <c r="AB18" i="46"/>
  <c r="AA18" i="46"/>
  <c r="AG18" i="46" s="1"/>
  <c r="Z18" i="46"/>
  <c r="Y18" i="46"/>
  <c r="W18" i="46"/>
  <c r="U18" i="46"/>
  <c r="T18" i="46"/>
  <c r="R18" i="46"/>
  <c r="P18" i="46"/>
  <c r="O18" i="46"/>
  <c r="M18" i="46"/>
  <c r="J18" i="46"/>
  <c r="G18" i="46"/>
  <c r="AD17" i="46"/>
  <c r="AC17" i="46"/>
  <c r="AB17" i="46"/>
  <c r="AA17" i="46"/>
  <c r="Z17" i="46"/>
  <c r="AF17" i="46" s="1"/>
  <c r="Y17" i="46"/>
  <c r="W17" i="46"/>
  <c r="U17" i="46"/>
  <c r="T17" i="46"/>
  <c r="R17" i="46"/>
  <c r="P17" i="46"/>
  <c r="O17" i="46"/>
  <c r="M17" i="46"/>
  <c r="J17" i="46"/>
  <c r="G17" i="46"/>
  <c r="AD16" i="46"/>
  <c r="AC16" i="46"/>
  <c r="AB16" i="46"/>
  <c r="AA16" i="46"/>
  <c r="Z16" i="46"/>
  <c r="Y16" i="46"/>
  <c r="W16" i="46"/>
  <c r="U16" i="46"/>
  <c r="T16" i="46"/>
  <c r="R16" i="46"/>
  <c r="P16" i="46"/>
  <c r="O16" i="46"/>
  <c r="M16" i="46"/>
  <c r="J16" i="46"/>
  <c r="G16" i="46"/>
  <c r="AD15" i="46"/>
  <c r="AC15" i="46"/>
  <c r="AB15" i="46"/>
  <c r="AA15" i="46"/>
  <c r="Z15" i="46"/>
  <c r="Y15" i="46"/>
  <c r="W15" i="46"/>
  <c r="U15" i="46"/>
  <c r="T15" i="46"/>
  <c r="R15" i="46"/>
  <c r="P15" i="46"/>
  <c r="O15" i="46"/>
  <c r="M15" i="46"/>
  <c r="J15" i="46"/>
  <c r="G15" i="46"/>
  <c r="AD14" i="46"/>
  <c r="AC14" i="46"/>
  <c r="AB14" i="46"/>
  <c r="AA14" i="46"/>
  <c r="AG14" i="46" s="1"/>
  <c r="Z14" i="46"/>
  <c r="Y14" i="46"/>
  <c r="W14" i="46"/>
  <c r="U14" i="46"/>
  <c r="T14" i="46"/>
  <c r="R14" i="46"/>
  <c r="P14" i="46"/>
  <c r="O14" i="46"/>
  <c r="M14" i="46"/>
  <c r="J14" i="46"/>
  <c r="G14" i="46"/>
  <c r="AD13" i="46"/>
  <c r="AC13" i="46"/>
  <c r="AB13" i="46"/>
  <c r="AA13" i="46"/>
  <c r="AG13" i="46" s="1"/>
  <c r="Z13" i="46"/>
  <c r="Y13" i="46"/>
  <c r="W13" i="46"/>
  <c r="U13" i="46"/>
  <c r="T13" i="46"/>
  <c r="R13" i="46"/>
  <c r="P13" i="46"/>
  <c r="O13" i="46"/>
  <c r="M13" i="46"/>
  <c r="J13" i="46"/>
  <c r="G13" i="46"/>
  <c r="AD12" i="46"/>
  <c r="AC12" i="46"/>
  <c r="AB12" i="46"/>
  <c r="AA12" i="46"/>
  <c r="Z12" i="46"/>
  <c r="Y12" i="46"/>
  <c r="W12" i="46"/>
  <c r="U12" i="46"/>
  <c r="T12" i="46"/>
  <c r="R12" i="46"/>
  <c r="P12" i="46"/>
  <c r="O12" i="46"/>
  <c r="M12" i="46"/>
  <c r="J12" i="46"/>
  <c r="G12" i="46"/>
  <c r="AD11" i="46"/>
  <c r="AC11" i="46"/>
  <c r="AB11" i="46"/>
  <c r="AA11" i="46"/>
  <c r="Z11" i="46"/>
  <c r="Y11" i="46"/>
  <c r="W11" i="46"/>
  <c r="U11" i="46"/>
  <c r="T11" i="46"/>
  <c r="R11" i="46"/>
  <c r="P11" i="46"/>
  <c r="O11" i="46"/>
  <c r="M11" i="46"/>
  <c r="J11" i="46"/>
  <c r="G11" i="46"/>
  <c r="AD10" i="46"/>
  <c r="AC10" i="46"/>
  <c r="AB10" i="46"/>
  <c r="AA10" i="46"/>
  <c r="Z10" i="46"/>
  <c r="Y10" i="46"/>
  <c r="W10" i="46"/>
  <c r="U10" i="46"/>
  <c r="T10" i="46"/>
  <c r="R10" i="46"/>
  <c r="P10" i="46"/>
  <c r="O10" i="46"/>
  <c r="M10" i="46"/>
  <c r="J10" i="46"/>
  <c r="G10" i="46"/>
  <c r="AD9" i="46"/>
  <c r="AC9" i="46"/>
  <c r="AB9" i="46"/>
  <c r="AA9" i="46"/>
  <c r="Z9" i="46"/>
  <c r="Y9" i="46"/>
  <c r="W9" i="46"/>
  <c r="U9" i="46"/>
  <c r="T9" i="46"/>
  <c r="R9" i="46"/>
  <c r="P9" i="46"/>
  <c r="O9" i="46"/>
  <c r="M9" i="46"/>
  <c r="J9" i="46"/>
  <c r="G9" i="46"/>
  <c r="AD8" i="46"/>
  <c r="AC8" i="46"/>
  <c r="AB8" i="46"/>
  <c r="AA8" i="46"/>
  <c r="Z8" i="46"/>
  <c r="Y8" i="46"/>
  <c r="W8" i="46"/>
  <c r="U8" i="46"/>
  <c r="T8" i="46"/>
  <c r="R8" i="46"/>
  <c r="P8" i="46"/>
  <c r="O8" i="46"/>
  <c r="M8" i="46"/>
  <c r="J8" i="46"/>
  <c r="G8" i="46"/>
  <c r="AD7" i="46"/>
  <c r="AC7" i="46"/>
  <c r="AB7" i="46"/>
  <c r="AA7" i="46"/>
  <c r="Z7" i="46"/>
  <c r="Y7" i="46"/>
  <c r="W7" i="46"/>
  <c r="U7" i="46"/>
  <c r="T7" i="46"/>
  <c r="R7" i="46"/>
  <c r="P7" i="46"/>
  <c r="O7" i="46"/>
  <c r="M7" i="46"/>
  <c r="J7" i="46"/>
  <c r="G7" i="46"/>
  <c r="K40" i="45"/>
  <c r="J40" i="45"/>
  <c r="W39" i="45"/>
  <c r="U39" i="45"/>
  <c r="T39" i="45"/>
  <c r="R39" i="45"/>
  <c r="P39" i="45"/>
  <c r="S39" i="45" s="1"/>
  <c r="O39" i="45"/>
  <c r="N39" i="45"/>
  <c r="N38" i="45"/>
  <c r="L38" i="45"/>
  <c r="P37" i="45"/>
  <c r="O37" i="45"/>
  <c r="M37" i="45"/>
  <c r="N37" i="45" s="1"/>
  <c r="T36" i="45"/>
  <c r="R36" i="45"/>
  <c r="P36" i="45"/>
  <c r="S36" i="45" s="1"/>
  <c r="O36" i="45"/>
  <c r="N36" i="45"/>
  <c r="R35" i="45"/>
  <c r="P35" i="45"/>
  <c r="O35" i="45"/>
  <c r="N35" i="45"/>
  <c r="L35" i="45"/>
  <c r="N34" i="45"/>
  <c r="L34" i="45"/>
  <c r="N33" i="45"/>
  <c r="L33" i="45"/>
  <c r="AD27" i="45"/>
  <c r="AC27" i="45"/>
  <c r="AB27" i="45"/>
  <c r="AA27" i="45"/>
  <c r="Z27" i="45"/>
  <c r="Y27" i="45"/>
  <c r="AD26" i="45"/>
  <c r="AC26" i="45"/>
  <c r="AB26" i="45"/>
  <c r="AA26" i="45"/>
  <c r="AG26" i="45" s="1"/>
  <c r="Z26" i="45"/>
  <c r="AF26" i="45" s="1"/>
  <c r="Y26" i="45"/>
  <c r="AE26" i="45" s="1"/>
  <c r="AD25" i="45"/>
  <c r="AC25" i="45"/>
  <c r="AB25" i="45"/>
  <c r="AA25" i="45"/>
  <c r="Z25" i="45"/>
  <c r="Y25" i="45"/>
  <c r="AD24" i="45"/>
  <c r="AC24" i="45"/>
  <c r="AB24" i="45"/>
  <c r="AA24" i="45"/>
  <c r="Z24" i="45"/>
  <c r="Y24" i="45"/>
  <c r="AD23" i="45"/>
  <c r="AC23" i="45"/>
  <c r="AB23" i="45"/>
  <c r="AA23" i="45"/>
  <c r="AG23" i="45" s="1"/>
  <c r="Z23" i="45"/>
  <c r="Y23" i="45"/>
  <c r="AE23" i="45" s="1"/>
  <c r="AD22" i="45"/>
  <c r="AC22" i="45"/>
  <c r="AB22" i="45"/>
  <c r="AA22" i="45"/>
  <c r="AG22" i="45" s="1"/>
  <c r="Z22" i="45"/>
  <c r="AF22" i="45" s="1"/>
  <c r="Y22" i="45"/>
  <c r="AD21" i="45"/>
  <c r="AC21" i="45"/>
  <c r="AB21" i="45"/>
  <c r="AA21" i="45"/>
  <c r="AG21" i="45" s="1"/>
  <c r="Z21" i="45"/>
  <c r="Y21" i="45"/>
  <c r="AD20" i="45"/>
  <c r="AC20" i="45"/>
  <c r="AB20" i="45"/>
  <c r="AA20" i="45"/>
  <c r="Z20" i="45"/>
  <c r="Y20" i="45"/>
  <c r="AD19" i="45"/>
  <c r="AC19" i="45"/>
  <c r="AB19" i="45"/>
  <c r="AA19" i="45"/>
  <c r="Z19" i="45"/>
  <c r="Y19" i="45"/>
  <c r="AD18" i="45"/>
  <c r="AC18" i="45"/>
  <c r="AB18" i="45"/>
  <c r="AA18" i="45"/>
  <c r="Z18" i="45"/>
  <c r="Y18" i="45"/>
  <c r="AD17" i="45"/>
  <c r="AC17" i="45"/>
  <c r="AB17" i="45"/>
  <c r="AA17" i="45"/>
  <c r="Z17" i="45"/>
  <c r="Y17" i="45"/>
  <c r="AD16" i="45"/>
  <c r="AC16" i="45"/>
  <c r="AB16" i="45"/>
  <c r="AA16" i="45"/>
  <c r="Z16" i="45"/>
  <c r="Y16" i="45"/>
  <c r="AD15" i="45"/>
  <c r="AC15" i="45"/>
  <c r="AB15" i="45"/>
  <c r="AA15" i="45"/>
  <c r="AG15" i="45" s="1"/>
  <c r="Z15" i="45"/>
  <c r="Y15" i="45"/>
  <c r="AD14" i="45"/>
  <c r="AC14" i="45"/>
  <c r="AB14" i="45"/>
  <c r="AA14" i="45"/>
  <c r="Z14" i="45"/>
  <c r="Y14" i="45"/>
  <c r="AE14" i="45" s="1"/>
  <c r="AD13" i="45"/>
  <c r="AC13" i="45"/>
  <c r="AB13" i="45"/>
  <c r="AA13" i="45"/>
  <c r="Z13" i="45"/>
  <c r="Y13" i="45"/>
  <c r="AD12" i="45"/>
  <c r="AC12" i="45"/>
  <c r="AB12" i="45"/>
  <c r="AA12" i="45"/>
  <c r="Z12" i="45"/>
  <c r="Y12" i="45"/>
  <c r="AD11" i="45"/>
  <c r="AC11" i="45"/>
  <c r="AB11" i="45"/>
  <c r="AA11" i="45"/>
  <c r="AG11" i="45" s="1"/>
  <c r="Z11" i="45"/>
  <c r="AF11" i="45" s="1"/>
  <c r="Y11" i="45"/>
  <c r="AE11" i="45" s="1"/>
  <c r="AD10" i="45"/>
  <c r="AC10" i="45"/>
  <c r="AB10" i="45"/>
  <c r="AE10" i="45" s="1"/>
  <c r="AA10" i="45"/>
  <c r="AG10" i="45" s="1"/>
  <c r="Z10" i="45"/>
  <c r="Y10" i="45"/>
  <c r="AD9" i="45"/>
  <c r="AC9" i="45"/>
  <c r="AB9" i="45"/>
  <c r="AA9" i="45"/>
  <c r="AG9" i="45" s="1"/>
  <c r="Z9" i="45"/>
  <c r="AF9" i="45" s="1"/>
  <c r="Y9" i="45"/>
  <c r="AE9" i="45" s="1"/>
  <c r="AD8" i="45"/>
  <c r="AC8" i="45"/>
  <c r="AB8" i="45"/>
  <c r="AA8" i="45"/>
  <c r="AG8" i="45" s="1"/>
  <c r="Z8" i="45"/>
  <c r="AF8" i="45" s="1"/>
  <c r="Y8" i="45"/>
  <c r="AD7" i="45"/>
  <c r="AC7" i="45"/>
  <c r="AB7" i="45"/>
  <c r="AA7" i="45"/>
  <c r="AG7" i="45" s="1"/>
  <c r="Z7" i="45"/>
  <c r="Y7" i="45"/>
  <c r="X35" i="46" l="1"/>
  <c r="S30" i="46"/>
  <c r="S16" i="46"/>
  <c r="J32" i="46"/>
  <c r="S11" i="46"/>
  <c r="S15" i="46"/>
  <c r="X30" i="46"/>
  <c r="X28" i="46"/>
  <c r="X22" i="46"/>
  <c r="X34" i="46"/>
  <c r="AE25" i="46"/>
  <c r="AF26" i="46"/>
  <c r="AE7" i="46"/>
  <c r="AF16" i="46"/>
  <c r="AF21" i="46"/>
  <c r="AF14" i="45"/>
  <c r="AE15" i="45"/>
  <c r="AE12" i="45"/>
  <c r="AG24" i="45"/>
  <c r="AG16" i="45"/>
  <c r="AG14" i="45"/>
  <c r="AE7" i="45"/>
  <c r="AF7" i="45"/>
  <c r="AE16" i="45"/>
  <c r="AF15" i="45"/>
  <c r="AE13" i="45"/>
  <c r="AF13" i="45"/>
  <c r="AE22" i="45"/>
  <c r="AF25" i="45"/>
  <c r="AE21" i="45"/>
  <c r="AF21" i="45"/>
  <c r="AE24" i="45"/>
  <c r="AF24" i="45"/>
  <c r="AE20" i="45"/>
  <c r="AE25" i="45"/>
  <c r="AF10" i="45"/>
  <c r="AF16" i="45"/>
  <c r="AF27" i="45"/>
  <c r="AF23" i="45"/>
  <c r="AE17" i="45"/>
  <c r="AE8" i="46"/>
  <c r="AE13" i="46"/>
  <c r="AF8" i="46"/>
  <c r="AF13" i="46"/>
  <c r="AE14" i="46"/>
  <c r="AG17" i="46"/>
  <c r="AG22" i="46"/>
  <c r="AF25" i="46"/>
  <c r="AE11" i="46"/>
  <c r="AE16" i="46"/>
  <c r="AE21" i="46"/>
  <c r="X10" i="46"/>
  <c r="AG16" i="46"/>
  <c r="AG21" i="46"/>
  <c r="AG25" i="46"/>
  <c r="AF10" i="46"/>
  <c r="AG10" i="46"/>
  <c r="Q35" i="45"/>
  <c r="S35" i="45"/>
  <c r="V39" i="45"/>
  <c r="AE19" i="45"/>
  <c r="AF19" i="45"/>
  <c r="AG13" i="45"/>
  <c r="AE8" i="45"/>
  <c r="AG19" i="45"/>
  <c r="AG27" i="45"/>
  <c r="AG25" i="45"/>
  <c r="AF20" i="45"/>
  <c r="AE27" i="45"/>
  <c r="AE18" i="45"/>
  <c r="AG20" i="45"/>
  <c r="AG17" i="45"/>
  <c r="AF12" i="45"/>
  <c r="AF18" i="45"/>
  <c r="AG12" i="45"/>
  <c r="AG18" i="45"/>
  <c r="AF17" i="45"/>
  <c r="Q22" i="46"/>
  <c r="AE18" i="46"/>
  <c r="AE17" i="46"/>
  <c r="AF19" i="46"/>
  <c r="AE15" i="46"/>
  <c r="AE20" i="46"/>
  <c r="AE27" i="46"/>
  <c r="AE9" i="46"/>
  <c r="AF27" i="46"/>
  <c r="R40" i="46"/>
  <c r="AG19" i="46"/>
  <c r="AG7" i="46"/>
  <c r="AF9" i="46"/>
  <c r="X12" i="46"/>
  <c r="M32" i="46"/>
  <c r="Q9" i="46"/>
  <c r="AG9" i="46"/>
  <c r="S17" i="46"/>
  <c r="S7" i="46"/>
  <c r="AE19" i="46"/>
  <c r="AG23" i="46"/>
  <c r="V8" i="46"/>
  <c r="X14" i="46"/>
  <c r="S19" i="46"/>
  <c r="AF24" i="46"/>
  <c r="S34" i="46"/>
  <c r="AF11" i="46"/>
  <c r="R24" i="46"/>
  <c r="AG11" i="46"/>
  <c r="M24" i="46"/>
  <c r="R26" i="46"/>
  <c r="X8" i="46"/>
  <c r="S13" i="46"/>
  <c r="AE22" i="46"/>
  <c r="AE26" i="46"/>
  <c r="O32" i="46"/>
  <c r="AG8" i="46"/>
  <c r="S12" i="46"/>
  <c r="AF15" i="46"/>
  <c r="AF20" i="46"/>
  <c r="S29" i="46"/>
  <c r="S31" i="46"/>
  <c r="R32" i="46"/>
  <c r="W40" i="46"/>
  <c r="AF23" i="46"/>
  <c r="AE10" i="46"/>
  <c r="W24" i="46"/>
  <c r="AG20" i="46"/>
  <c r="W26" i="46"/>
  <c r="T32" i="46"/>
  <c r="R25" i="46"/>
  <c r="AF14" i="46"/>
  <c r="AG15" i="46"/>
  <c r="X31" i="46"/>
  <c r="W32" i="46"/>
  <c r="X32" i="46" s="1"/>
  <c r="AE12" i="46"/>
  <c r="X18" i="46"/>
  <c r="S23" i="46"/>
  <c r="AG27" i="46"/>
  <c r="AE23" i="46"/>
  <c r="M25" i="46"/>
  <c r="AF7" i="46"/>
  <c r="AF12" i="46"/>
  <c r="AG12" i="46"/>
  <c r="W25" i="46"/>
  <c r="AF18" i="46"/>
  <c r="M26" i="46"/>
  <c r="U32" i="46"/>
  <c r="O40" i="46"/>
  <c r="Q28" i="46"/>
  <c r="P40" i="46"/>
  <c r="S40" i="46" s="1"/>
  <c r="S9" i="46"/>
  <c r="V21" i="46"/>
  <c r="Q38" i="46"/>
  <c r="V38" i="46"/>
  <c r="Q8" i="46"/>
  <c r="Q13" i="46"/>
  <c r="Q10" i="46"/>
  <c r="O26" i="46"/>
  <c r="V23" i="46"/>
  <c r="V16" i="46"/>
  <c r="Q21" i="46"/>
  <c r="X16" i="46"/>
  <c r="S21" i="46"/>
  <c r="V9" i="46"/>
  <c r="S28" i="46"/>
  <c r="T40" i="46"/>
  <c r="U25" i="46"/>
  <c r="V15" i="46"/>
  <c r="J26" i="46"/>
  <c r="P26" i="46"/>
  <c r="V28" i="46"/>
  <c r="T24" i="46"/>
  <c r="O25" i="46"/>
  <c r="Q14" i="46"/>
  <c r="V30" i="46"/>
  <c r="O24" i="46"/>
  <c r="V20" i="46"/>
  <c r="V33" i="46"/>
  <c r="T25" i="46"/>
  <c r="X20" i="46"/>
  <c r="V13" i="46"/>
  <c r="V7" i="46"/>
  <c r="J25" i="46"/>
  <c r="T26" i="46"/>
  <c r="V17" i="46"/>
  <c r="U26" i="46"/>
  <c r="S38" i="46"/>
  <c r="Q18" i="46"/>
  <c r="J24" i="46"/>
  <c r="V12" i="46"/>
  <c r="Q17" i="46"/>
  <c r="N40" i="46"/>
  <c r="P24" i="46"/>
  <c r="Q12" i="46"/>
  <c r="Q16" i="46"/>
  <c r="P32" i="46"/>
  <c r="X7" i="46"/>
  <c r="S8" i="46"/>
  <c r="X11" i="46"/>
  <c r="X15" i="46"/>
  <c r="X19" i="46"/>
  <c r="S20" i="46"/>
  <c r="X23" i="46"/>
  <c r="X29" i="46"/>
  <c r="X33" i="46"/>
  <c r="X36" i="46"/>
  <c r="U40" i="46"/>
  <c r="V35" i="46"/>
  <c r="U24" i="46"/>
  <c r="P25" i="46"/>
  <c r="N37" i="46"/>
  <c r="Q20" i="46"/>
  <c r="V29" i="46"/>
  <c r="Q30" i="46"/>
  <c r="V37" i="46"/>
  <c r="X9" i="46"/>
  <c r="S10" i="46"/>
  <c r="X13" i="46"/>
  <c r="S14" i="46"/>
  <c r="X17" i="46"/>
  <c r="S18" i="46"/>
  <c r="X21" i="46"/>
  <c r="S22" i="46"/>
  <c r="V31" i="46"/>
  <c r="V34" i="46"/>
  <c r="L40" i="46"/>
  <c r="V19" i="46"/>
  <c r="Q34" i="46"/>
  <c r="Q7" i="46"/>
  <c r="V10" i="46"/>
  <c r="Q11" i="46"/>
  <c r="V14" i="46"/>
  <c r="Q15" i="46"/>
  <c r="V18" i="46"/>
  <c r="Q19" i="46"/>
  <c r="V22" i="46"/>
  <c r="Q23" i="46"/>
  <c r="Q29" i="46"/>
  <c r="Q33" i="46"/>
  <c r="V11" i="46"/>
  <c r="Q31" i="46"/>
  <c r="S33" i="46"/>
  <c r="Q37" i="45"/>
  <c r="Q36" i="45"/>
  <c r="Q39" i="45"/>
  <c r="L40" i="45"/>
  <c r="M40" i="45"/>
  <c r="N40" i="45" s="1"/>
  <c r="AF40" i="43"/>
  <c r="N40" i="43"/>
  <c r="M40" i="43"/>
  <c r="N39" i="43"/>
  <c r="M39" i="43"/>
  <c r="N38" i="43"/>
  <c r="M38" i="43"/>
  <c r="N37" i="43"/>
  <c r="M37" i="43"/>
  <c r="N36" i="43"/>
  <c r="M36" i="43"/>
  <c r="N35" i="43"/>
  <c r="M35" i="43"/>
  <c r="AF26" i="43"/>
  <c r="Y26" i="43"/>
  <c r="N26" i="43"/>
  <c r="M26" i="43"/>
  <c r="Y25" i="43"/>
  <c r="N25" i="43"/>
  <c r="M25" i="43"/>
  <c r="Y24" i="43"/>
  <c r="N24" i="43"/>
  <c r="M24" i="43"/>
  <c r="Y23" i="43"/>
  <c r="N23" i="43"/>
  <c r="M23" i="43"/>
  <c r="Y22" i="43"/>
  <c r="N22" i="43"/>
  <c r="M22" i="43"/>
  <c r="Y21" i="43"/>
  <c r="N21" i="43"/>
  <c r="M21" i="43"/>
  <c r="Y19" i="43"/>
  <c r="N19" i="43"/>
  <c r="Y18" i="43"/>
  <c r="N18" i="43"/>
  <c r="Y15" i="43"/>
  <c r="N15" i="43"/>
  <c r="Y13" i="43"/>
  <c r="N13" i="43"/>
  <c r="Y10" i="43"/>
  <c r="N10" i="43"/>
  <c r="Y8" i="43"/>
  <c r="N8" i="43"/>
  <c r="W40" i="41"/>
  <c r="W40" i="43" s="1"/>
  <c r="T40" i="41"/>
  <c r="T40" i="43" s="1"/>
  <c r="K40" i="41"/>
  <c r="K40" i="43" s="1"/>
  <c r="H40" i="41"/>
  <c r="H40" i="43" s="1"/>
  <c r="AF39" i="41"/>
  <c r="AF39" i="43" s="1"/>
  <c r="W39" i="41"/>
  <c r="W39" i="43" s="1"/>
  <c r="T39" i="41"/>
  <c r="T39" i="43" s="1"/>
  <c r="K39" i="41"/>
  <c r="K39" i="43" s="1"/>
  <c r="H39" i="41"/>
  <c r="H39" i="43" s="1"/>
  <c r="AF38" i="41"/>
  <c r="AF38" i="43" s="1"/>
  <c r="W38" i="41"/>
  <c r="W38" i="43" s="1"/>
  <c r="T38" i="41"/>
  <c r="T38" i="43" s="1"/>
  <c r="K38" i="41"/>
  <c r="K38" i="43" s="1"/>
  <c r="H38" i="41"/>
  <c r="H38" i="43" s="1"/>
  <c r="AF37" i="41"/>
  <c r="AF37" i="43" s="1"/>
  <c r="W37" i="41"/>
  <c r="W37" i="43" s="1"/>
  <c r="T37" i="41"/>
  <c r="T37" i="43" s="1"/>
  <c r="K37" i="41"/>
  <c r="K37" i="43" s="1"/>
  <c r="H37" i="41"/>
  <c r="H37" i="43" s="1"/>
  <c r="AF36" i="41"/>
  <c r="AF36" i="43" s="1"/>
  <c r="W36" i="41"/>
  <c r="W36" i="43" s="1"/>
  <c r="T36" i="41"/>
  <c r="T36" i="43" s="1"/>
  <c r="K36" i="41"/>
  <c r="K36" i="43" s="1"/>
  <c r="H36" i="41"/>
  <c r="H36" i="43" s="1"/>
  <c r="AF35" i="41"/>
  <c r="AF35" i="43" s="1"/>
  <c r="W35" i="41"/>
  <c r="W35" i="43" s="1"/>
  <c r="T35" i="41"/>
  <c r="T35" i="43" s="1"/>
  <c r="K35" i="41"/>
  <c r="K35" i="43" s="1"/>
  <c r="H35" i="41"/>
  <c r="H35" i="43" s="1"/>
  <c r="Z26" i="41"/>
  <c r="Z26" i="43" s="1"/>
  <c r="W26" i="41"/>
  <c r="W26" i="43" s="1"/>
  <c r="T26" i="41"/>
  <c r="T26" i="43" s="1"/>
  <c r="K26" i="41"/>
  <c r="K26" i="43" s="1"/>
  <c r="H26" i="41"/>
  <c r="H26" i="43" s="1"/>
  <c r="AF25" i="41"/>
  <c r="AF25" i="43" s="1"/>
  <c r="Z25" i="41"/>
  <c r="Z25" i="43" s="1"/>
  <c r="W25" i="41"/>
  <c r="W25" i="43" s="1"/>
  <c r="T25" i="41"/>
  <c r="T25" i="43" s="1"/>
  <c r="K25" i="41"/>
  <c r="K25" i="43" s="1"/>
  <c r="H25" i="41"/>
  <c r="H25" i="43" s="1"/>
  <c r="AF24" i="41"/>
  <c r="AF24" i="43" s="1"/>
  <c r="Z24" i="41"/>
  <c r="Z24" i="43" s="1"/>
  <c r="W24" i="41"/>
  <c r="W24" i="43" s="1"/>
  <c r="T24" i="41"/>
  <c r="T24" i="43" s="1"/>
  <c r="K24" i="41"/>
  <c r="K24" i="43" s="1"/>
  <c r="H24" i="41"/>
  <c r="H24" i="43" s="1"/>
  <c r="AF23" i="41"/>
  <c r="AF23" i="43" s="1"/>
  <c r="Z23" i="41"/>
  <c r="Z23" i="43" s="1"/>
  <c r="W23" i="41"/>
  <c r="W23" i="43" s="1"/>
  <c r="T23" i="41"/>
  <c r="T23" i="43" s="1"/>
  <c r="K23" i="41"/>
  <c r="K23" i="43" s="1"/>
  <c r="H23" i="41"/>
  <c r="H23" i="43" s="1"/>
  <c r="AF22" i="41"/>
  <c r="AF22" i="43" s="1"/>
  <c r="Z22" i="41"/>
  <c r="Z22" i="43" s="1"/>
  <c r="W22" i="41"/>
  <c r="W22" i="43" s="1"/>
  <c r="T22" i="41"/>
  <c r="T22" i="43" s="1"/>
  <c r="K22" i="41"/>
  <c r="K22" i="43" s="1"/>
  <c r="H22" i="41"/>
  <c r="H22" i="43" s="1"/>
  <c r="AF21" i="41"/>
  <c r="AF21" i="43" s="1"/>
  <c r="Z21" i="41"/>
  <c r="Z21" i="43" s="1"/>
  <c r="W21" i="41"/>
  <c r="W21" i="43" s="1"/>
  <c r="T21" i="41"/>
  <c r="T21" i="43" s="1"/>
  <c r="K21" i="41"/>
  <c r="K21" i="43" s="1"/>
  <c r="H21" i="41"/>
  <c r="H21" i="43" s="1"/>
  <c r="AF19" i="41"/>
  <c r="AF19" i="43" s="1"/>
  <c r="Z19" i="41"/>
  <c r="Z19" i="43" s="1"/>
  <c r="W19" i="41"/>
  <c r="W19" i="43" s="1"/>
  <c r="T19" i="41"/>
  <c r="T19" i="43" s="1"/>
  <c r="K19" i="41"/>
  <c r="K19" i="43" s="1"/>
  <c r="H19" i="41"/>
  <c r="H19" i="43" s="1"/>
  <c r="AF18" i="41"/>
  <c r="AF18" i="43" s="1"/>
  <c r="Z18" i="41"/>
  <c r="Z18" i="43" s="1"/>
  <c r="W18" i="41"/>
  <c r="W18" i="43" s="1"/>
  <c r="T18" i="41"/>
  <c r="T18" i="43" s="1"/>
  <c r="K18" i="41"/>
  <c r="K18" i="43" s="1"/>
  <c r="H18" i="41"/>
  <c r="H18" i="43" s="1"/>
  <c r="AF15" i="41"/>
  <c r="AF15" i="43" s="1"/>
  <c r="Z15" i="41"/>
  <c r="Z15" i="43" s="1"/>
  <c r="W15" i="41"/>
  <c r="W15" i="43" s="1"/>
  <c r="T15" i="41"/>
  <c r="T15" i="43" s="1"/>
  <c r="K15" i="41"/>
  <c r="K15" i="43" s="1"/>
  <c r="H15" i="41"/>
  <c r="H15" i="43" s="1"/>
  <c r="AF13" i="41"/>
  <c r="AF13" i="43" s="1"/>
  <c r="Z13" i="41"/>
  <c r="Z13" i="43" s="1"/>
  <c r="W13" i="41"/>
  <c r="W13" i="43" s="1"/>
  <c r="T13" i="41"/>
  <c r="T13" i="43" s="1"/>
  <c r="K13" i="41"/>
  <c r="K13" i="43" s="1"/>
  <c r="H13" i="41"/>
  <c r="H13" i="43" s="1"/>
  <c r="AF10" i="41"/>
  <c r="AF10" i="43" s="1"/>
  <c r="Z10" i="41"/>
  <c r="Z10" i="43" s="1"/>
  <c r="W10" i="41"/>
  <c r="W10" i="43" s="1"/>
  <c r="T10" i="41"/>
  <c r="T10" i="43" s="1"/>
  <c r="K10" i="41"/>
  <c r="K10" i="43" s="1"/>
  <c r="H10" i="41"/>
  <c r="H10" i="43" s="1"/>
  <c r="AF8" i="41"/>
  <c r="AF8" i="43" s="1"/>
  <c r="Z8" i="41"/>
  <c r="Z8" i="43" s="1"/>
  <c r="W8" i="41"/>
  <c r="W8" i="43" s="1"/>
  <c r="T8" i="41"/>
  <c r="T8" i="43" s="1"/>
  <c r="K8" i="41"/>
  <c r="K8" i="43" s="1"/>
  <c r="H8" i="41"/>
  <c r="H8" i="43" s="1"/>
  <c r="AM39" i="29"/>
  <c r="AM38" i="29"/>
  <c r="AM37" i="29"/>
  <c r="G36" i="29"/>
  <c r="L36" i="29" s="1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W40" i="42"/>
  <c r="U40" i="42"/>
  <c r="T40" i="42"/>
  <c r="R40" i="42"/>
  <c r="P40" i="42"/>
  <c r="O40" i="42"/>
  <c r="P38" i="42"/>
  <c r="O38" i="42"/>
  <c r="T37" i="42"/>
  <c r="R37" i="42"/>
  <c r="P37" i="42"/>
  <c r="O37" i="42"/>
  <c r="R36" i="42"/>
  <c r="P36" i="42"/>
  <c r="O36" i="42"/>
  <c r="R35" i="42"/>
  <c r="P35" i="42"/>
  <c r="O35" i="42"/>
  <c r="W46" i="2"/>
  <c r="T46" i="2"/>
  <c r="R46" i="2"/>
  <c r="O46" i="2"/>
  <c r="M46" i="2"/>
  <c r="J46" i="2"/>
  <c r="W39" i="2"/>
  <c r="T39" i="2"/>
  <c r="R39" i="2"/>
  <c r="O39" i="2"/>
  <c r="W38" i="2"/>
  <c r="T38" i="2"/>
  <c r="T59" i="2" s="1"/>
  <c r="R38" i="2"/>
  <c r="W37" i="2"/>
  <c r="W36" i="2"/>
  <c r="W36" i="42" s="1"/>
  <c r="T36" i="2"/>
  <c r="T57" i="2" s="1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T51" i="2" s="1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M19" i="45" s="1"/>
  <c r="J19" i="2"/>
  <c r="J19" i="45" s="1"/>
  <c r="W18" i="2"/>
  <c r="W18" i="45" s="1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W15" i="45" s="1"/>
  <c r="T15" i="2"/>
  <c r="T15" i="45" s="1"/>
  <c r="R15" i="2"/>
  <c r="R15" i="45" s="1"/>
  <c r="O15" i="2"/>
  <c r="O15" i="45" s="1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8" i="1"/>
  <c r="V27" i="1"/>
  <c r="H38" i="1"/>
  <c r="M38" i="1" s="1"/>
  <c r="E38" i="1"/>
  <c r="J38" i="1" s="1"/>
  <c r="H27" i="1"/>
  <c r="M27" i="1" s="1"/>
  <c r="E27" i="1"/>
  <c r="J27" i="1" s="1"/>
  <c r="H26" i="1"/>
  <c r="M26" i="1" s="1"/>
  <c r="E26" i="1"/>
  <c r="J26" i="1" s="1"/>
  <c r="H25" i="1"/>
  <c r="E25" i="1"/>
  <c r="V24" i="1"/>
  <c r="T24" i="1"/>
  <c r="S24" i="1"/>
  <c r="V23" i="1"/>
  <c r="T23" i="1"/>
  <c r="S23" i="1"/>
  <c r="H17" i="1"/>
  <c r="M17" i="1" s="1"/>
  <c r="E17" i="1"/>
  <c r="J17" i="1" s="1"/>
  <c r="H16" i="1"/>
  <c r="M16" i="1" s="1"/>
  <c r="E16" i="1"/>
  <c r="J16" i="1" s="1"/>
  <c r="H15" i="1"/>
  <c r="M15" i="1" s="1"/>
  <c r="E15" i="1"/>
  <c r="H12" i="1"/>
  <c r="M12" i="1" s="1"/>
  <c r="E12" i="1"/>
  <c r="J12" i="1" s="1"/>
  <c r="H11" i="1"/>
  <c r="M11" i="1" s="1"/>
  <c r="E11" i="1"/>
  <c r="J11" i="1" s="1"/>
  <c r="H10" i="1"/>
  <c r="M10" i="1" s="1"/>
  <c r="E10" i="1"/>
  <c r="J10" i="1" s="1"/>
  <c r="H9" i="1"/>
  <c r="M9" i="1" s="1"/>
  <c r="E9" i="1"/>
  <c r="J9" i="1" s="1"/>
  <c r="H8" i="1"/>
  <c r="M8" i="1" s="1"/>
  <c r="E8" i="1"/>
  <c r="J8" i="1" s="1"/>
  <c r="H7" i="1"/>
  <c r="M7" i="1" s="1"/>
  <c r="E7" i="1"/>
  <c r="J7" i="1" s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L39" i="29"/>
  <c r="AK39" i="29"/>
  <c r="AJ39" i="29"/>
  <c r="AI39" i="29"/>
  <c r="AH39" i="29"/>
  <c r="AG39" i="29"/>
  <c r="AF39" i="29"/>
  <c r="AE39" i="29"/>
  <c r="AL38" i="29"/>
  <c r="AK38" i="29"/>
  <c r="AJ38" i="29"/>
  <c r="AI38" i="29"/>
  <c r="AH38" i="29"/>
  <c r="AG38" i="29"/>
  <c r="AF38" i="29"/>
  <c r="AE38" i="29"/>
  <c r="W27" i="46" l="1"/>
  <c r="O27" i="46"/>
  <c r="M7" i="42"/>
  <c r="M7" i="45"/>
  <c r="W13" i="42"/>
  <c r="W13" i="45"/>
  <c r="R20" i="42"/>
  <c r="R20" i="45"/>
  <c r="W23" i="42"/>
  <c r="W23" i="45"/>
  <c r="M31" i="42"/>
  <c r="M31" i="45"/>
  <c r="W38" i="42"/>
  <c r="W37" i="45"/>
  <c r="M13" i="42"/>
  <c r="M13" i="45"/>
  <c r="W16" i="42"/>
  <c r="W16" i="45"/>
  <c r="R10" i="42"/>
  <c r="R10" i="45"/>
  <c r="M17" i="42"/>
  <c r="M17" i="45"/>
  <c r="W19" i="42"/>
  <c r="W19" i="45"/>
  <c r="R38" i="42"/>
  <c r="R37" i="45"/>
  <c r="S37" i="45" s="1"/>
  <c r="R7" i="42"/>
  <c r="R7" i="45"/>
  <c r="W10" i="42"/>
  <c r="W10" i="45"/>
  <c r="M14" i="42"/>
  <c r="M14" i="45"/>
  <c r="W20" i="42"/>
  <c r="W20" i="45"/>
  <c r="M28" i="42"/>
  <c r="M28" i="45"/>
  <c r="R31" i="42"/>
  <c r="R31" i="45"/>
  <c r="R39" i="42"/>
  <c r="R38" i="45"/>
  <c r="W30" i="42"/>
  <c r="W30" i="45"/>
  <c r="R17" i="42"/>
  <c r="R17" i="45"/>
  <c r="M10" i="42"/>
  <c r="M10" i="45"/>
  <c r="M11" i="42"/>
  <c r="M11" i="45"/>
  <c r="R14" i="42"/>
  <c r="R14" i="45"/>
  <c r="M21" i="42"/>
  <c r="M21" i="45"/>
  <c r="R28" i="42"/>
  <c r="R28" i="45"/>
  <c r="W31" i="42"/>
  <c r="W31" i="45"/>
  <c r="W39" i="42"/>
  <c r="W38" i="45"/>
  <c r="W7" i="42"/>
  <c r="W7" i="45"/>
  <c r="W17" i="42"/>
  <c r="W17" i="45"/>
  <c r="R11" i="42"/>
  <c r="R11" i="45"/>
  <c r="W14" i="42"/>
  <c r="W14" i="45"/>
  <c r="M18" i="42"/>
  <c r="M18" i="45"/>
  <c r="W28" i="42"/>
  <c r="W28" i="45"/>
  <c r="R33" i="42"/>
  <c r="R33" i="45"/>
  <c r="M46" i="42"/>
  <c r="M45" i="45"/>
  <c r="M8" i="42"/>
  <c r="M8" i="45"/>
  <c r="R21" i="42"/>
  <c r="R21" i="45"/>
  <c r="R8" i="42"/>
  <c r="R8" i="45"/>
  <c r="M15" i="42"/>
  <c r="M15" i="45"/>
  <c r="W21" i="42"/>
  <c r="W21" i="45"/>
  <c r="M29" i="42"/>
  <c r="M29" i="45"/>
  <c r="W33" i="42"/>
  <c r="W33" i="45"/>
  <c r="R46" i="42"/>
  <c r="R45" i="45"/>
  <c r="W11" i="42"/>
  <c r="W11" i="45"/>
  <c r="R18" i="42"/>
  <c r="R18" i="45"/>
  <c r="W8" i="42"/>
  <c r="W8" i="45"/>
  <c r="R29" i="42"/>
  <c r="R29" i="45"/>
  <c r="R34" i="42"/>
  <c r="R34" i="45"/>
  <c r="W46" i="42"/>
  <c r="W45" i="45"/>
  <c r="R30" i="42"/>
  <c r="R30" i="45"/>
  <c r="M22" i="42"/>
  <c r="M22" i="45"/>
  <c r="R15" i="42"/>
  <c r="W29" i="42"/>
  <c r="W29" i="45"/>
  <c r="W34" i="42"/>
  <c r="W34" i="45"/>
  <c r="W15" i="42"/>
  <c r="R16" i="42"/>
  <c r="R16" i="45"/>
  <c r="M20" i="42"/>
  <c r="M20" i="45"/>
  <c r="M26" i="45" s="1"/>
  <c r="R22" i="42"/>
  <c r="R22" i="45"/>
  <c r="W18" i="42"/>
  <c r="W9" i="42"/>
  <c r="W9" i="45"/>
  <c r="W37" i="42"/>
  <c r="W36" i="45"/>
  <c r="R23" i="42"/>
  <c r="R23" i="45"/>
  <c r="M9" i="42"/>
  <c r="M9" i="45"/>
  <c r="R12" i="42"/>
  <c r="R12" i="45"/>
  <c r="R9" i="42"/>
  <c r="R9" i="45"/>
  <c r="M16" i="42"/>
  <c r="M16" i="45"/>
  <c r="R19" i="42"/>
  <c r="R19" i="45"/>
  <c r="W22" i="42"/>
  <c r="W22" i="45"/>
  <c r="M30" i="42"/>
  <c r="M30" i="45"/>
  <c r="W35" i="42"/>
  <c r="W35" i="45"/>
  <c r="M19" i="42"/>
  <c r="M23" i="42"/>
  <c r="M23" i="45"/>
  <c r="R13" i="42"/>
  <c r="R13" i="45"/>
  <c r="M12" i="42"/>
  <c r="M12" i="45"/>
  <c r="W12" i="42"/>
  <c r="W12" i="45"/>
  <c r="T53" i="2"/>
  <c r="T56" i="2"/>
  <c r="V25" i="46"/>
  <c r="T60" i="2"/>
  <c r="T38" i="45"/>
  <c r="AL16" i="42"/>
  <c r="AL26" i="42"/>
  <c r="AL15" i="42"/>
  <c r="AL25" i="42"/>
  <c r="AK15" i="42"/>
  <c r="AK25" i="42"/>
  <c r="AL8" i="42"/>
  <c r="AL18" i="42"/>
  <c r="AK16" i="42"/>
  <c r="AK26" i="42"/>
  <c r="AL12" i="42"/>
  <c r="AK9" i="42"/>
  <c r="AK12" i="42"/>
  <c r="AL14" i="42"/>
  <c r="AL24" i="42"/>
  <c r="AL27" i="42"/>
  <c r="AK8" i="42"/>
  <c r="AK18" i="42"/>
  <c r="AK10" i="42"/>
  <c r="AL13" i="42"/>
  <c r="AK14" i="42"/>
  <c r="AL7" i="42"/>
  <c r="AL11" i="42"/>
  <c r="AK17" i="42"/>
  <c r="AK24" i="42"/>
  <c r="AL17" i="42"/>
  <c r="AL10" i="42"/>
  <c r="AL9" i="42"/>
  <c r="AK7" i="42"/>
  <c r="AK27" i="42"/>
  <c r="AK11" i="42"/>
  <c r="AK13" i="42"/>
  <c r="V32" i="46"/>
  <c r="Q40" i="46"/>
  <c r="M27" i="46"/>
  <c r="M46" i="46" s="1"/>
  <c r="W42" i="46"/>
  <c r="W46" i="46" s="1"/>
  <c r="X26" i="46"/>
  <c r="O42" i="46"/>
  <c r="O46" i="46" s="1"/>
  <c r="J27" i="46"/>
  <c r="J46" i="46" s="1"/>
  <c r="R27" i="46"/>
  <c r="R42" i="46" s="1"/>
  <c r="R46" i="46" s="1"/>
  <c r="V26" i="46"/>
  <c r="Q26" i="46"/>
  <c r="S26" i="46"/>
  <c r="J18" i="42"/>
  <c r="J18" i="45"/>
  <c r="J15" i="42"/>
  <c r="J15" i="45"/>
  <c r="O46" i="42"/>
  <c r="O45" i="45"/>
  <c r="J46" i="42"/>
  <c r="J45" i="45"/>
  <c r="O8" i="42"/>
  <c r="O8" i="45"/>
  <c r="T8" i="42"/>
  <c r="T8" i="45"/>
  <c r="J22" i="42"/>
  <c r="J22" i="45"/>
  <c r="O34" i="42"/>
  <c r="O34" i="45"/>
  <c r="T46" i="42"/>
  <c r="T45" i="45"/>
  <c r="T33" i="42"/>
  <c r="T33" i="45"/>
  <c r="J12" i="42"/>
  <c r="J12" i="45"/>
  <c r="T18" i="42"/>
  <c r="T18" i="45"/>
  <c r="O29" i="42"/>
  <c r="O29" i="45"/>
  <c r="J8" i="42"/>
  <c r="J8" i="45"/>
  <c r="J29" i="42"/>
  <c r="J29" i="45"/>
  <c r="O22" i="42"/>
  <c r="O22" i="45"/>
  <c r="T34" i="42"/>
  <c r="T34" i="45"/>
  <c r="O15" i="42"/>
  <c r="T14" i="42"/>
  <c r="T14" i="45"/>
  <c r="T11" i="42"/>
  <c r="T11" i="45"/>
  <c r="O12" i="42"/>
  <c r="O12" i="45"/>
  <c r="T29" i="42"/>
  <c r="T29" i="45"/>
  <c r="T12" i="42"/>
  <c r="T12" i="45"/>
  <c r="J16" i="42"/>
  <c r="J16" i="45"/>
  <c r="T22" i="42"/>
  <c r="T22" i="45"/>
  <c r="J30" i="42"/>
  <c r="J30" i="45"/>
  <c r="T35" i="42"/>
  <c r="T35" i="45"/>
  <c r="T15" i="42"/>
  <c r="O9" i="42"/>
  <c r="O9" i="45"/>
  <c r="O19" i="42"/>
  <c r="O19" i="45"/>
  <c r="J13" i="42"/>
  <c r="J13" i="45"/>
  <c r="O16" i="42"/>
  <c r="O16" i="45"/>
  <c r="J23" i="42"/>
  <c r="J23" i="45"/>
  <c r="O30" i="42"/>
  <c r="O30" i="45"/>
  <c r="T36" i="42"/>
  <c r="T9" i="42"/>
  <c r="T9" i="45"/>
  <c r="T19" i="42"/>
  <c r="T19" i="45"/>
  <c r="J19" i="42"/>
  <c r="J10" i="42"/>
  <c r="J10" i="45"/>
  <c r="T16" i="42"/>
  <c r="T16" i="45"/>
  <c r="O23" i="42"/>
  <c r="O23" i="45"/>
  <c r="T30" i="42"/>
  <c r="T30" i="45"/>
  <c r="O13" i="42"/>
  <c r="O13" i="45"/>
  <c r="J20" i="42"/>
  <c r="J20" i="45"/>
  <c r="J7" i="42"/>
  <c r="J7" i="45"/>
  <c r="J17" i="42"/>
  <c r="J17" i="45"/>
  <c r="T23" i="42"/>
  <c r="T23" i="45"/>
  <c r="J31" i="42"/>
  <c r="J31" i="45"/>
  <c r="T38" i="42"/>
  <c r="T37" i="45"/>
  <c r="T27" i="46"/>
  <c r="T42" i="46" s="1"/>
  <c r="T46" i="46" s="1"/>
  <c r="O11" i="42"/>
  <c r="O11" i="45"/>
  <c r="O10" i="42"/>
  <c r="O10" i="45"/>
  <c r="T13" i="42"/>
  <c r="T13" i="45"/>
  <c r="O20" i="42"/>
  <c r="O20" i="45"/>
  <c r="T28" i="42"/>
  <c r="T28" i="45"/>
  <c r="T50" i="45" s="1"/>
  <c r="T10" i="42"/>
  <c r="T10" i="45"/>
  <c r="J14" i="42"/>
  <c r="J14" i="45"/>
  <c r="T20" i="42"/>
  <c r="T20" i="45"/>
  <c r="J28" i="42"/>
  <c r="J28" i="45"/>
  <c r="O31" i="42"/>
  <c r="O31" i="45"/>
  <c r="O39" i="42"/>
  <c r="O38" i="45"/>
  <c r="O21" i="42"/>
  <c r="O21" i="45"/>
  <c r="T21" i="42"/>
  <c r="T21" i="45"/>
  <c r="O7" i="42"/>
  <c r="O7" i="45"/>
  <c r="O17" i="42"/>
  <c r="O17" i="45"/>
  <c r="X25" i="46"/>
  <c r="O33" i="42"/>
  <c r="O33" i="45"/>
  <c r="O18" i="42"/>
  <c r="O18" i="45"/>
  <c r="J9" i="42"/>
  <c r="J9" i="45"/>
  <c r="E28" i="1"/>
  <c r="J28" i="1" s="1"/>
  <c r="T7" i="42"/>
  <c r="T7" i="45"/>
  <c r="J11" i="42"/>
  <c r="J11" i="45"/>
  <c r="O14" i="42"/>
  <c r="O14" i="45"/>
  <c r="T17" i="42"/>
  <c r="T17" i="45"/>
  <c r="J21" i="42"/>
  <c r="J21" i="45"/>
  <c r="O28" i="42"/>
  <c r="O28" i="45"/>
  <c r="T31" i="42"/>
  <c r="T31" i="45"/>
  <c r="T39" i="42"/>
  <c r="S32" i="46"/>
  <c r="Q32" i="46"/>
  <c r="X40" i="46"/>
  <c r="V40" i="46"/>
  <c r="P27" i="46"/>
  <c r="Q24" i="46"/>
  <c r="S24" i="46"/>
  <c r="S25" i="46"/>
  <c r="Q25" i="46"/>
  <c r="X24" i="46"/>
  <c r="V24" i="46"/>
  <c r="U27" i="46"/>
  <c r="H28" i="1"/>
  <c r="M28" i="1" s="1"/>
  <c r="E18" i="1"/>
  <c r="J18" i="1" s="1"/>
  <c r="H18" i="1"/>
  <c r="M18" i="1" s="1"/>
  <c r="J15" i="1"/>
  <c r="E13" i="1"/>
  <c r="J13" i="1" s="1"/>
  <c r="H13" i="1"/>
  <c r="M13" i="1" s="1"/>
  <c r="J25" i="1"/>
  <c r="M25" i="1"/>
  <c r="Y32" i="43"/>
  <c r="Y31" i="43"/>
  <c r="Y30" i="43"/>
  <c r="Y29" i="43"/>
  <c r="Y28" i="43"/>
  <c r="Y27" i="43"/>
  <c r="Y20" i="43"/>
  <c r="Y17" i="43"/>
  <c r="Y12" i="43"/>
  <c r="Y11" i="43" s="1"/>
  <c r="R32" i="45" l="1"/>
  <c r="W32" i="45"/>
  <c r="R26" i="45"/>
  <c r="W25" i="45"/>
  <c r="R40" i="45"/>
  <c r="W24" i="45"/>
  <c r="W40" i="45"/>
  <c r="M25" i="45"/>
  <c r="R24" i="45"/>
  <c r="M32" i="45"/>
  <c r="R25" i="45"/>
  <c r="W26" i="45"/>
  <c r="M24" i="45"/>
  <c r="M27" i="45" s="1"/>
  <c r="M46" i="45" s="1"/>
  <c r="J26" i="45"/>
  <c r="T61" i="2"/>
  <c r="T25" i="45"/>
  <c r="O25" i="45"/>
  <c r="J25" i="45"/>
  <c r="T24" i="45"/>
  <c r="T40" i="45"/>
  <c r="T52" i="45"/>
  <c r="T26" i="45"/>
  <c r="J32" i="45"/>
  <c r="O26" i="45"/>
  <c r="J24" i="45"/>
  <c r="O32" i="45"/>
  <c r="O24" i="45"/>
  <c r="T32" i="45"/>
  <c r="T51" i="45" s="1"/>
  <c r="O40" i="45"/>
  <c r="T43" i="46"/>
  <c r="V27" i="46"/>
  <c r="U42" i="46"/>
  <c r="X27" i="46"/>
  <c r="S27" i="46"/>
  <c r="P42" i="46"/>
  <c r="Q27" i="46"/>
  <c r="Y16" i="43"/>
  <c r="Y9" i="43"/>
  <c r="Y14" i="43"/>
  <c r="T27" i="45" l="1"/>
  <c r="O27" i="45"/>
  <c r="J27" i="45"/>
  <c r="J46" i="45" s="1"/>
  <c r="R27" i="45"/>
  <c r="R42" i="45" s="1"/>
  <c r="R46" i="45" s="1"/>
  <c r="W27" i="45"/>
  <c r="W42" i="45" s="1"/>
  <c r="W46" i="45" s="1"/>
  <c r="O42" i="45"/>
  <c r="O46" i="45" s="1"/>
  <c r="T42" i="45"/>
  <c r="T49" i="45"/>
  <c r="T53" i="45" s="1"/>
  <c r="P43" i="46"/>
  <c r="Q42" i="46"/>
  <c r="S42" i="46"/>
  <c r="G42" i="46"/>
  <c r="P46" i="46"/>
  <c r="G43" i="46"/>
  <c r="X42" i="46"/>
  <c r="V42" i="46"/>
  <c r="U43" i="46"/>
  <c r="U46" i="46"/>
  <c r="AA19" i="43"/>
  <c r="AK37" i="29"/>
  <c r="I36" i="29"/>
  <c r="N36" i="29" s="1"/>
  <c r="F36" i="29"/>
  <c r="K36" i="29" s="1"/>
  <c r="I25" i="29"/>
  <c r="N25" i="29" s="1"/>
  <c r="F25" i="29"/>
  <c r="K25" i="29" s="1"/>
  <c r="I24" i="29"/>
  <c r="N24" i="29" s="1"/>
  <c r="F24" i="29"/>
  <c r="K24" i="29" s="1"/>
  <c r="I16" i="29"/>
  <c r="N16" i="29" s="1"/>
  <c r="F16" i="29"/>
  <c r="K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F10" i="29"/>
  <c r="K10" i="29" s="1"/>
  <c r="T43" i="45" l="1"/>
  <c r="T46" i="45"/>
  <c r="I11" i="29"/>
  <c r="N10" i="29"/>
  <c r="O10" i="29" s="1"/>
  <c r="G26" i="29"/>
  <c r="I17" i="29"/>
  <c r="AA22" i="43"/>
  <c r="Z28" i="43"/>
  <c r="AA28" i="43" s="1"/>
  <c r="AA24" i="43"/>
  <c r="Z30" i="43"/>
  <c r="AA30" i="43" s="1"/>
  <c r="AA21" i="43"/>
  <c r="Z27" i="43"/>
  <c r="AA27" i="43" s="1"/>
  <c r="Z20" i="43"/>
  <c r="AA20" i="43" s="1"/>
  <c r="AA18" i="43"/>
  <c r="G20" i="29"/>
  <c r="G21" i="29" s="1"/>
  <c r="Z29" i="43"/>
  <c r="AA29" i="43" s="1"/>
  <c r="AA23" i="43"/>
  <c r="AA25" i="43"/>
  <c r="Z31" i="43"/>
  <c r="AA31" i="43" s="1"/>
  <c r="AA10" i="43"/>
  <c r="Z32" i="43"/>
  <c r="AA32" i="43" s="1"/>
  <c r="AA26" i="43"/>
  <c r="AA15" i="43"/>
  <c r="Z16" i="43"/>
  <c r="AA16" i="43" s="1"/>
  <c r="Z12" i="43"/>
  <c r="AA12" i="43" s="1"/>
  <c r="AA8" i="43"/>
  <c r="Z17" i="43"/>
  <c r="AA17" i="43" s="1"/>
  <c r="Z14" i="43"/>
  <c r="AA14" i="43" s="1"/>
  <c r="AA13" i="43"/>
  <c r="J24" i="29"/>
  <c r="I18" i="29"/>
  <c r="I19" i="29" s="1"/>
  <c r="F18" i="29"/>
  <c r="F19" i="29" s="1"/>
  <c r="H19" i="29" s="1"/>
  <c r="O24" i="29"/>
  <c r="K18" i="29"/>
  <c r="K19" i="29" s="1"/>
  <c r="I26" i="29"/>
  <c r="J26" i="29" s="1"/>
  <c r="O12" i="29"/>
  <c r="N17" i="29"/>
  <c r="F17" i="29"/>
  <c r="J12" i="29"/>
  <c r="J15" i="29"/>
  <c r="F20" i="29"/>
  <c r="F21" i="29" s="1"/>
  <c r="I20" i="29"/>
  <c r="J16" i="29"/>
  <c r="O15" i="29"/>
  <c r="K17" i="29"/>
  <c r="G17" i="29"/>
  <c r="G18" i="29"/>
  <c r="G19" i="29" s="1"/>
  <c r="K11" i="29"/>
  <c r="K26" i="29"/>
  <c r="J13" i="29"/>
  <c r="J25" i="29"/>
  <c r="F14" i="29"/>
  <c r="G14" i="29"/>
  <c r="F11" i="29"/>
  <c r="K14" i="29"/>
  <c r="N26" i="29"/>
  <c r="J17" i="29"/>
  <c r="F26" i="29"/>
  <c r="H26" i="29" s="1"/>
  <c r="H10" i="29"/>
  <c r="I14" i="29"/>
  <c r="J10" i="29"/>
  <c r="G11" i="29"/>
  <c r="H15" i="29"/>
  <c r="L17" i="29"/>
  <c r="H13" i="29"/>
  <c r="H25" i="29"/>
  <c r="L26" i="29"/>
  <c r="L18" i="29"/>
  <c r="H12" i="29"/>
  <c r="H16" i="29"/>
  <c r="H24" i="29"/>
  <c r="N18" i="29"/>
  <c r="N19" i="29" s="1"/>
  <c r="L14" i="29"/>
  <c r="M10" i="29"/>
  <c r="L11" i="29"/>
  <c r="M25" i="29"/>
  <c r="N14" i="29"/>
  <c r="M15" i="29"/>
  <c r="M12" i="29"/>
  <c r="M16" i="29"/>
  <c r="M24" i="29"/>
  <c r="G22" i="29" l="1"/>
  <c r="Z9" i="43"/>
  <c r="AA9" i="43" s="1"/>
  <c r="I22" i="29"/>
  <c r="I27" i="29" s="1"/>
  <c r="I38" i="29" s="1"/>
  <c r="J19" i="29"/>
  <c r="M18" i="29"/>
  <c r="F22" i="29"/>
  <c r="H22" i="29" s="1"/>
  <c r="H18" i="29"/>
  <c r="Z11" i="43"/>
  <c r="AA11" i="43" s="1"/>
  <c r="N11" i="29"/>
  <c r="O11" i="29" s="1"/>
  <c r="N20" i="29"/>
  <c r="N21" i="29" s="1"/>
  <c r="O16" i="29"/>
  <c r="H17" i="29"/>
  <c r="K22" i="29"/>
  <c r="K27" i="29" s="1"/>
  <c r="K28" i="29" s="1"/>
  <c r="O26" i="29"/>
  <c r="H20" i="29"/>
  <c r="O17" i="29"/>
  <c r="N22" i="29"/>
  <c r="N27" i="29" s="1"/>
  <c r="N28" i="29" s="1"/>
  <c r="J20" i="29"/>
  <c r="I21" i="29"/>
  <c r="J21" i="29" s="1"/>
  <c r="L19" i="29"/>
  <c r="O19" i="29" s="1"/>
  <c r="L20" i="29"/>
  <c r="L21" i="29" s="1"/>
  <c r="J18" i="29"/>
  <c r="G27" i="29"/>
  <c r="G23" i="29"/>
  <c r="J14" i="29"/>
  <c r="H14" i="29"/>
  <c r="K20" i="29"/>
  <c r="K21" i="29" s="1"/>
  <c r="O18" i="29"/>
  <c r="M13" i="29"/>
  <c r="O25" i="29"/>
  <c r="O13" i="29"/>
  <c r="M17" i="29"/>
  <c r="J11" i="29"/>
  <c r="H11" i="29"/>
  <c r="H21" i="29"/>
  <c r="M26" i="29"/>
  <c r="M11" i="29"/>
  <c r="O14" i="29"/>
  <c r="L22" i="29"/>
  <c r="M14" i="29"/>
  <c r="K23" i="29" l="1"/>
  <c r="F27" i="29"/>
  <c r="F38" i="29" s="1"/>
  <c r="F23" i="29"/>
  <c r="H23" i="29" s="1"/>
  <c r="O21" i="29"/>
  <c r="I23" i="29"/>
  <c r="J23" i="29" s="1"/>
  <c r="J22" i="29"/>
  <c r="G37" i="29"/>
  <c r="G38" i="29"/>
  <c r="K38" i="29"/>
  <c r="K37" i="29"/>
  <c r="O20" i="29"/>
  <c r="M21" i="29"/>
  <c r="N23" i="29"/>
  <c r="I28" i="29"/>
  <c r="I37" i="29"/>
  <c r="F37" i="29"/>
  <c r="M19" i="29"/>
  <c r="N37" i="29"/>
  <c r="M20" i="29"/>
  <c r="N38" i="29"/>
  <c r="G28" i="29"/>
  <c r="J27" i="29"/>
  <c r="L27" i="29"/>
  <c r="L23" i="29"/>
  <c r="M22" i="29"/>
  <c r="O22" i="29"/>
  <c r="H27" i="29" l="1"/>
  <c r="F28" i="29"/>
  <c r="L38" i="29"/>
  <c r="L37" i="29"/>
  <c r="J28" i="29"/>
  <c r="H28" i="29"/>
  <c r="O23" i="29"/>
  <c r="M23" i="29"/>
  <c r="O27" i="29"/>
  <c r="L28" i="29"/>
  <c r="M27" i="29"/>
  <c r="O28" i="29" l="1"/>
  <c r="M28" i="29"/>
  <c r="AL37" i="29" l="1"/>
  <c r="G39" i="2" l="1"/>
  <c r="G38" i="2"/>
  <c r="G37" i="2"/>
  <c r="G36" i="2"/>
  <c r="G35" i="2"/>
  <c r="G34" i="2"/>
  <c r="G33" i="2"/>
  <c r="G31" i="2"/>
  <c r="G30" i="2"/>
  <c r="G29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AB21" i="1" l="1"/>
  <c r="AA21" i="1"/>
  <c r="AA20" i="1"/>
  <c r="AA41" i="43" l="1"/>
  <c r="AA40" i="43"/>
  <c r="AA39" i="43"/>
  <c r="AA38" i="43"/>
  <c r="AA37" i="43"/>
  <c r="AA36" i="43"/>
  <c r="AA35" i="43"/>
  <c r="AA39" i="41" l="1"/>
  <c r="AA37" i="41"/>
  <c r="AA36" i="41" l="1"/>
  <c r="AA40" i="41"/>
  <c r="AA38" i="41"/>
  <c r="AA35" i="41"/>
  <c r="AA41" i="41" l="1"/>
  <c r="Z16" i="41" l="1"/>
  <c r="AA16" i="41" s="1"/>
  <c r="AA10" i="41"/>
  <c r="AA15" i="41" l="1"/>
  <c r="Z17" i="41"/>
  <c r="AA17" i="41" s="1"/>
  <c r="AA13" i="41"/>
  <c r="AA22" i="41"/>
  <c r="Z28" i="41"/>
  <c r="AA28" i="41" s="1"/>
  <c r="AA25" i="41"/>
  <c r="Z31" i="41"/>
  <c r="AA31" i="41" s="1"/>
  <c r="AA23" i="41"/>
  <c r="Z29" i="41"/>
  <c r="AA29" i="41" s="1"/>
  <c r="AA26" i="41"/>
  <c r="Z32" i="41"/>
  <c r="AA32" i="41" s="1"/>
  <c r="AA21" i="41"/>
  <c r="Z27" i="41"/>
  <c r="AA27" i="41" s="1"/>
  <c r="AA24" i="41"/>
  <c r="Z30" i="41"/>
  <c r="AA30" i="41" s="1"/>
  <c r="Z12" i="41" l="1"/>
  <c r="Z9" i="41" s="1"/>
  <c r="AA9" i="41" s="1"/>
  <c r="AA8" i="41"/>
  <c r="Z14" i="41"/>
  <c r="AA14" i="41" s="1"/>
  <c r="AA12" i="41" l="1"/>
  <c r="Z11" i="41"/>
  <c r="AA11" i="41" s="1"/>
  <c r="AA19" i="41" l="1"/>
  <c r="Z20" i="41" l="1"/>
  <c r="AA20" i="41" s="1"/>
  <c r="AA18" i="41"/>
  <c r="AB20" i="1" l="1"/>
  <c r="AE20" i="1"/>
  <c r="AB19" i="1"/>
  <c r="AE19" i="1"/>
  <c r="AE21" i="1"/>
  <c r="AC40" i="43"/>
  <c r="AC36" i="43"/>
  <c r="AC37" i="43"/>
  <c r="AC35" i="43"/>
  <c r="AC38" i="43"/>
  <c r="AC39" i="43"/>
  <c r="AC15" i="41"/>
  <c r="AC8" i="41"/>
  <c r="AC26" i="41"/>
  <c r="AC10" i="41"/>
  <c r="AC19" i="41"/>
  <c r="AC24" i="41"/>
  <c r="AC18" i="41"/>
  <c r="AC13" i="41"/>
  <c r="AC21" i="41"/>
  <c r="AC25" i="41"/>
  <c r="AC22" i="41"/>
  <c r="AC23" i="41"/>
  <c r="AM36" i="42"/>
  <c r="AC22" i="43" l="1"/>
  <c r="AC15" i="43"/>
  <c r="AC8" i="43"/>
  <c r="AC23" i="43"/>
  <c r="AC25" i="43"/>
  <c r="AC21" i="43"/>
  <c r="AC24" i="43"/>
  <c r="AC13" i="43"/>
  <c r="AC18" i="43"/>
  <c r="AC19" i="43"/>
  <c r="AC10" i="43"/>
  <c r="AC26" i="43"/>
  <c r="AK43" i="42"/>
  <c r="AJ43" i="42"/>
  <c r="AI43" i="42"/>
  <c r="S60" i="42" l="1"/>
  <c r="S59" i="42"/>
  <c r="S58" i="42"/>
  <c r="S57" i="42"/>
  <c r="M32" i="43" l="1"/>
  <c r="N31" i="43"/>
  <c r="M31" i="43"/>
  <c r="M30" i="43"/>
  <c r="N29" i="43"/>
  <c r="M29" i="43"/>
  <c r="N28" i="43"/>
  <c r="M28" i="43"/>
  <c r="N27" i="43"/>
  <c r="M27" i="43"/>
  <c r="N32" i="43"/>
  <c r="O32" i="43" s="1"/>
  <c r="O25" i="43"/>
  <c r="O24" i="43"/>
  <c r="O23" i="43"/>
  <c r="O22" i="43"/>
  <c r="O21" i="43"/>
  <c r="N20" i="43"/>
  <c r="N16" i="43"/>
  <c r="N17" i="43"/>
  <c r="N12" i="43"/>
  <c r="O27" i="43" l="1"/>
  <c r="O29" i="43"/>
  <c r="O31" i="43"/>
  <c r="O28" i="43"/>
  <c r="N11" i="43"/>
  <c r="N9" i="43"/>
  <c r="O26" i="43"/>
  <c r="N14" i="43"/>
  <c r="N30" i="43"/>
  <c r="O30" i="43" s="1"/>
  <c r="AJ37" i="29" l="1"/>
  <c r="P32" i="43" l="1"/>
  <c r="P31" i="43"/>
  <c r="P30" i="43"/>
  <c r="P29" i="43"/>
  <c r="P28" i="43"/>
  <c r="P27" i="43"/>
  <c r="O35" i="43" l="1"/>
  <c r="O37" i="43" l="1"/>
  <c r="N41" i="43"/>
  <c r="O39" i="43"/>
  <c r="O36" i="43"/>
  <c r="O38" i="43"/>
  <c r="O40" i="43"/>
  <c r="M41" i="43"/>
  <c r="N42" i="43" l="1"/>
  <c r="O41" i="43"/>
  <c r="M15" i="41" l="1"/>
  <c r="M15" i="43" s="1"/>
  <c r="M13" i="41"/>
  <c r="M13" i="43" s="1"/>
  <c r="M10" i="41"/>
  <c r="M10" i="43" s="1"/>
  <c r="M8" i="41"/>
  <c r="M8" i="43" s="1"/>
  <c r="M18" i="41" l="1"/>
  <c r="M18" i="43" s="1"/>
  <c r="M19" i="41" l="1"/>
  <c r="M19" i="43" s="1"/>
  <c r="G18" i="41" l="1"/>
  <c r="G18" i="43" s="1"/>
  <c r="O30" i="41" l="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9" i="41" s="1"/>
  <c r="O41" i="41"/>
  <c r="O11" i="41"/>
  <c r="AI37" i="29" l="1"/>
  <c r="AH37" i="29" l="1"/>
  <c r="AG37" i="29" l="1"/>
  <c r="AA24" i="1" l="1"/>
  <c r="AA22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F32" i="43" l="1"/>
  <c r="AF37" i="29" l="1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9" i="43" s="1"/>
  <c r="S18" i="41"/>
  <c r="S18" i="43" s="1"/>
  <c r="AE40" i="41" l="1"/>
  <c r="AE40" i="43" s="1"/>
  <c r="AE39" i="41"/>
  <c r="AE39" i="43" s="1"/>
  <c r="AE38" i="41"/>
  <c r="AE38" i="43" s="1"/>
  <c r="AE37" i="41"/>
  <c r="AE37" i="43" s="1"/>
  <c r="AE36" i="41"/>
  <c r="AE36" i="43" s="1"/>
  <c r="AE35" i="41"/>
  <c r="AE35" i="43" s="1"/>
  <c r="AE19" i="41"/>
  <c r="AE19" i="43" s="1"/>
  <c r="AE18" i="41"/>
  <c r="AE18" i="43" s="1"/>
  <c r="AE26" i="41" l="1"/>
  <c r="AE26" i="43" s="1"/>
  <c r="AE25" i="41"/>
  <c r="AE25" i="43" s="1"/>
  <c r="AE24" i="41"/>
  <c r="AE24" i="43" s="1"/>
  <c r="AE23" i="41"/>
  <c r="AE23" i="43" s="1"/>
  <c r="AE22" i="41"/>
  <c r="AE22" i="43" s="1"/>
  <c r="AE21" i="41"/>
  <c r="AE21" i="43" s="1"/>
  <c r="AE15" i="41"/>
  <c r="AE15" i="43" s="1"/>
  <c r="AE13" i="41"/>
  <c r="AE13" i="43" s="1"/>
  <c r="AE10" i="41"/>
  <c r="AE10" i="43" s="1"/>
  <c r="AE8" i="41"/>
  <c r="AE8" i="43" s="1"/>
  <c r="V19" i="41" l="1"/>
  <c r="V19" i="43" s="1"/>
  <c r="X19" i="41" l="1"/>
  <c r="AB19" i="41"/>
  <c r="V18" i="41"/>
  <c r="V18" i="43" s="1"/>
  <c r="X18" i="41" l="1"/>
  <c r="AB18" i="41"/>
  <c r="V40" i="41"/>
  <c r="V40" i="43" s="1"/>
  <c r="S40" i="41"/>
  <c r="S40" i="43" s="1"/>
  <c r="V39" i="41"/>
  <c r="V39" i="43" s="1"/>
  <c r="S39" i="41"/>
  <c r="S39" i="43" s="1"/>
  <c r="V38" i="41"/>
  <c r="V38" i="43" s="1"/>
  <c r="S38" i="41"/>
  <c r="S38" i="43" s="1"/>
  <c r="V37" i="41"/>
  <c r="V37" i="43" s="1"/>
  <c r="S37" i="41"/>
  <c r="S37" i="43" s="1"/>
  <c r="V36" i="41"/>
  <c r="V36" i="43" s="1"/>
  <c r="S36" i="41"/>
  <c r="S36" i="43" s="1"/>
  <c r="V35" i="41"/>
  <c r="V35" i="43" s="1"/>
  <c r="S35" i="41"/>
  <c r="S35" i="43" s="1"/>
  <c r="V32" i="41"/>
  <c r="S32" i="41"/>
  <c r="AB32" i="41" s="1"/>
  <c r="V31" i="41"/>
  <c r="S31" i="41"/>
  <c r="V30" i="41"/>
  <c r="S30" i="41"/>
  <c r="V29" i="41"/>
  <c r="S29" i="41"/>
  <c r="V28" i="41"/>
  <c r="S28" i="41"/>
  <c r="V27" i="41"/>
  <c r="S27" i="41"/>
  <c r="V26" i="41"/>
  <c r="V26" i="43" s="1"/>
  <c r="S26" i="41"/>
  <c r="S26" i="43" s="1"/>
  <c r="V25" i="41"/>
  <c r="V25" i="43" s="1"/>
  <c r="S25" i="41"/>
  <c r="S25" i="43" s="1"/>
  <c r="V24" i="41"/>
  <c r="V24" i="43" s="1"/>
  <c r="S24" i="41"/>
  <c r="S24" i="43" s="1"/>
  <c r="V23" i="41"/>
  <c r="V23" i="43" s="1"/>
  <c r="S23" i="41"/>
  <c r="S23" i="43" s="1"/>
  <c r="V22" i="41"/>
  <c r="V22" i="43" s="1"/>
  <c r="S22" i="41"/>
  <c r="S22" i="43" s="1"/>
  <c r="V21" i="41"/>
  <c r="V21" i="43" s="1"/>
  <c r="S21" i="41"/>
  <c r="S21" i="43" s="1"/>
  <c r="V15" i="41"/>
  <c r="V15" i="43" s="1"/>
  <c r="S15" i="41"/>
  <c r="S15" i="43" s="1"/>
  <c r="V13" i="41"/>
  <c r="V13" i="43" s="1"/>
  <c r="S13" i="41"/>
  <c r="S13" i="43" s="1"/>
  <c r="V10" i="41"/>
  <c r="V10" i="43" s="1"/>
  <c r="S10" i="41"/>
  <c r="S10" i="43" s="1"/>
  <c r="V8" i="41"/>
  <c r="V8" i="43" s="1"/>
  <c r="S8" i="41"/>
  <c r="S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AB27" i="41" l="1"/>
  <c r="AB31" i="41"/>
  <c r="AB30" i="41"/>
  <c r="X22" i="41"/>
  <c r="X23" i="41"/>
  <c r="X15" i="41"/>
  <c r="X24" i="41"/>
  <c r="X25" i="41"/>
  <c r="X21" i="41"/>
  <c r="X26" i="41"/>
  <c r="X8" i="41"/>
  <c r="AB28" i="41"/>
  <c r="X10" i="41"/>
  <c r="AB29" i="41"/>
  <c r="X13" i="41"/>
  <c r="X35" i="41"/>
  <c r="X37" i="41"/>
  <c r="X36" i="41"/>
  <c r="X40" i="41"/>
  <c r="X39" i="41"/>
  <c r="X38" i="41"/>
  <c r="AB15" i="41"/>
  <c r="AB22" i="41"/>
  <c r="AB26" i="41"/>
  <c r="AB24" i="41"/>
  <c r="AB25" i="41"/>
  <c r="AB21" i="41"/>
  <c r="AB23" i="41"/>
  <c r="AB8" i="41"/>
  <c r="AB10" i="41"/>
  <c r="AB13" i="41"/>
  <c r="P38" i="41"/>
  <c r="P35" i="41"/>
  <c r="P36" i="41"/>
  <c r="P40" i="41"/>
  <c r="P37" i="41"/>
  <c r="P39" i="41"/>
  <c r="P15" i="41"/>
  <c r="P19" i="41"/>
  <c r="P18" i="41"/>
  <c r="P13" i="41"/>
  <c r="P32" i="41"/>
  <c r="P31" i="41"/>
  <c r="P30" i="41"/>
  <c r="P29" i="41"/>
  <c r="P28" i="41"/>
  <c r="P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P25" i="41" l="1"/>
  <c r="P26" i="41"/>
  <c r="P8" i="41"/>
  <c r="P21" i="41"/>
  <c r="P24" i="41"/>
  <c r="P10" i="41"/>
  <c r="P23" i="41"/>
  <c r="P22" i="41"/>
  <c r="AB40" i="41"/>
  <c r="AE29" i="41"/>
  <c r="AE28" i="41"/>
  <c r="AB35" i="41"/>
  <c r="AF32" i="41"/>
  <c r="AE30" i="41"/>
  <c r="AG26" i="41"/>
  <c r="AE31" i="41"/>
  <c r="AG24" i="41"/>
  <c r="V20" i="41"/>
  <c r="S20" i="41"/>
  <c r="J20" i="41"/>
  <c r="J17" i="41"/>
  <c r="J14" i="41"/>
  <c r="AE14" i="41"/>
  <c r="V17" i="41"/>
  <c r="G14" i="41"/>
  <c r="G12" i="41"/>
  <c r="G9" i="41" s="1"/>
  <c r="V16" i="41"/>
  <c r="G11" i="41" l="1"/>
  <c r="AH22" i="41"/>
  <c r="AH26" i="41"/>
  <c r="S14" i="41"/>
  <c r="AE20" i="41"/>
  <c r="AE32" i="41"/>
  <c r="AG32" i="41" s="1"/>
  <c r="AB36" i="41"/>
  <c r="AH36" i="41" s="1"/>
  <c r="AB39" i="41"/>
  <c r="AH25" i="41"/>
  <c r="AH21" i="41"/>
  <c r="AB17" i="41"/>
  <c r="AH24" i="41"/>
  <c r="V41" i="41"/>
  <c r="V42" i="41" s="1"/>
  <c r="AB37" i="41"/>
  <c r="AH37" i="41" s="1"/>
  <c r="AH40" i="41"/>
  <c r="J41" i="41"/>
  <c r="J42" i="41" s="1"/>
  <c r="AE17" i="41"/>
  <c r="AE16" i="41"/>
  <c r="AH19" i="41"/>
  <c r="G20" i="41"/>
  <c r="AH23" i="41"/>
  <c r="AH35" i="41"/>
  <c r="V12" i="41"/>
  <c r="V4" i="43" s="1"/>
  <c r="G16" i="41"/>
  <c r="AE41" i="41"/>
  <c r="AE42" i="41" s="1"/>
  <c r="AE27" i="41"/>
  <c r="G41" i="41"/>
  <c r="S41" i="41"/>
  <c r="AB38" i="41"/>
  <c r="AH38" i="41" s="1"/>
  <c r="J16" i="41"/>
  <c r="V14" i="41"/>
  <c r="S12" i="41"/>
  <c r="S4" i="43" s="1"/>
  <c r="AH8" i="41"/>
  <c r="S16" i="41"/>
  <c r="S17" i="41"/>
  <c r="AG23" i="41"/>
  <c r="AE12" i="41"/>
  <c r="AE4" i="43" s="1"/>
  <c r="G17" i="41"/>
  <c r="AB20" i="41"/>
  <c r="J12" i="41"/>
  <c r="J9" i="41" s="1"/>
  <c r="AE11" i="41" l="1"/>
  <c r="S9" i="41"/>
  <c r="V11" i="41"/>
  <c r="P41" i="41"/>
  <c r="AH28" i="41"/>
  <c r="V9" i="41"/>
  <c r="AE9" i="41"/>
  <c r="AH32" i="41"/>
  <c r="AB14" i="41"/>
  <c r="AH39" i="41"/>
  <c r="AH31" i="41" s="1"/>
  <c r="AH27" i="41"/>
  <c r="P17" i="41"/>
  <c r="AH13" i="41"/>
  <c r="P14" i="41"/>
  <c r="AH10" i="41"/>
  <c r="AH12" i="41" s="1"/>
  <c r="AH4" i="43" s="1"/>
  <c r="J11" i="41"/>
  <c r="AH30" i="41"/>
  <c r="AH18" i="41"/>
  <c r="AH20" i="41" s="1"/>
  <c r="P20" i="41"/>
  <c r="AH29" i="41"/>
  <c r="P16" i="41"/>
  <c r="AH15" i="41"/>
  <c r="S11" i="41"/>
  <c r="G42" i="41"/>
  <c r="AB16" i="41"/>
  <c r="AB41" i="41"/>
  <c r="AB42" i="41" s="1"/>
  <c r="S42" i="41"/>
  <c r="P12" i="41"/>
  <c r="P4" i="43" s="1"/>
  <c r="AB12" i="41"/>
  <c r="AB4" i="43" s="1"/>
  <c r="AB11" i="41" l="1"/>
  <c r="P9" i="41"/>
  <c r="AH16" i="41"/>
  <c r="AH11" i="41"/>
  <c r="P11" i="41"/>
  <c r="AB9" i="41"/>
  <c r="AH9" i="41"/>
  <c r="AH17" i="41"/>
  <c r="AH14" i="41"/>
  <c r="P42" i="41"/>
  <c r="AH41" i="41"/>
  <c r="AH42" i="41" s="1"/>
  <c r="AE37" i="29" l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V29" i="1" l="1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H29" i="1"/>
  <c r="H35" i="1" l="1"/>
  <c r="H36" i="1" l="1"/>
  <c r="AE24" i="1" s="1"/>
  <c r="W41" i="2" l="1"/>
  <c r="AE26" i="1" s="1"/>
  <c r="H40" i="1"/>
  <c r="H39" i="1"/>
  <c r="AE22" i="1" l="1"/>
  <c r="AE23" i="1" s="1"/>
  <c r="V36" i="1"/>
  <c r="W43" i="2"/>
  <c r="W47" i="2" l="1"/>
  <c r="V35" i="1"/>
  <c r="M26" i="2" l="1"/>
  <c r="M24" i="2" l="1"/>
  <c r="M25" i="2"/>
  <c r="M32" i="2"/>
  <c r="M27" i="2" l="1"/>
  <c r="M47" i="2" s="1"/>
  <c r="W23" i="1" l="1"/>
  <c r="W24" i="1" l="1"/>
  <c r="AB11" i="1" l="1"/>
  <c r="E21" i="1"/>
  <c r="AB8" i="1"/>
  <c r="O41" i="2" l="1"/>
  <c r="J32" i="2" l="1"/>
  <c r="O32" i="2" l="1"/>
  <c r="AL12" i="41"/>
  <c r="AL12" i="43" s="1"/>
  <c r="AL13" i="43" l="1"/>
  <c r="AL11" i="43"/>
  <c r="AL13" i="41"/>
  <c r="AL17" i="41"/>
  <c r="AB9" i="1"/>
  <c r="AL17" i="43" l="1"/>
  <c r="AL18" i="43" s="1"/>
  <c r="AB12" i="1"/>
  <c r="AL18" i="41"/>
  <c r="S33" i="1" l="1"/>
  <c r="S32" i="1" l="1"/>
  <c r="E32" i="1" l="1"/>
  <c r="AB17" i="1" l="1"/>
  <c r="E22" i="1" l="1"/>
  <c r="T32" i="2" l="1"/>
  <c r="T52" i="2" s="1"/>
  <c r="E33" i="1"/>
  <c r="AB18" i="1" l="1"/>
  <c r="AL20" i="41"/>
  <c r="AL20" i="43" s="1"/>
  <c r="AL22" i="43" l="1"/>
  <c r="AL21" i="43"/>
  <c r="AL22" i="41"/>
  <c r="AL21" i="41"/>
  <c r="O25" i="2" l="1"/>
  <c r="J25" i="2" l="1"/>
  <c r="O26" i="2" l="1"/>
  <c r="J26" i="2" l="1"/>
  <c r="O24" i="2" l="1"/>
  <c r="J24" i="2"/>
  <c r="J27" i="2" l="1"/>
  <c r="O27" i="2"/>
  <c r="O43" i="2" l="1"/>
  <c r="AB10" i="1"/>
  <c r="E14" i="1"/>
  <c r="AB7" i="1"/>
  <c r="J47" i="2"/>
  <c r="AB13" i="1" l="1"/>
  <c r="O47" i="2"/>
  <c r="AB14" i="1" l="1"/>
  <c r="T26" i="2" l="1"/>
  <c r="T25" i="2" l="1"/>
  <c r="T24" i="2" l="1"/>
  <c r="T27" i="2" l="1"/>
  <c r="T50" i="2" s="1"/>
  <c r="E20" i="1"/>
  <c r="T54" i="2" l="1"/>
  <c r="E23" i="1"/>
  <c r="E30" i="1"/>
  <c r="AB15" i="1" s="1"/>
  <c r="E19" i="1"/>
  <c r="T55" i="2" l="1"/>
  <c r="E31" i="1"/>
  <c r="E24" i="1"/>
  <c r="AB16" i="1" l="1"/>
  <c r="S34" i="1" l="1"/>
  <c r="E29" i="1" l="1"/>
  <c r="E34" i="1"/>
  <c r="T41" i="2" l="1"/>
  <c r="AB26" i="1" s="1"/>
  <c r="AB22" i="1" s="1"/>
  <c r="AB23" i="1" s="1"/>
  <c r="E35" i="1"/>
  <c r="S36" i="1" l="1"/>
  <c r="T43" i="2"/>
  <c r="E40" i="1"/>
  <c r="E36" i="1"/>
  <c r="E39" i="1"/>
  <c r="AB24" i="1" l="1"/>
  <c r="T44" i="2"/>
  <c r="T47" i="2"/>
  <c r="S35" i="1"/>
  <c r="AG18" i="41" l="1"/>
  <c r="AF30" i="41" l="1"/>
  <c r="AG30" i="41" s="1"/>
  <c r="AF29" i="41"/>
  <c r="AG29" i="41" s="1"/>
  <c r="AF28" i="41"/>
  <c r="AG28" i="41" s="1"/>
  <c r="AF27" i="41"/>
  <c r="AG27" i="41" s="1"/>
  <c r="AF41" i="41"/>
  <c r="AG22" i="41"/>
  <c r="AF12" i="41"/>
  <c r="AF4" i="43" s="1"/>
  <c r="AF14" i="41"/>
  <c r="AG14" i="41" s="1"/>
  <c r="AG13" i="41"/>
  <c r="AF31" i="41"/>
  <c r="AG31" i="41" s="1"/>
  <c r="AG8" i="41"/>
  <c r="AG21" i="41"/>
  <c r="AG25" i="41"/>
  <c r="AG12" i="41" l="1"/>
  <c r="AF9" i="41"/>
  <c r="AG9" i="41" s="1"/>
  <c r="AF42" i="41"/>
  <c r="AF27" i="43"/>
  <c r="AF41" i="43"/>
  <c r="AF28" i="43"/>
  <c r="AF17" i="43"/>
  <c r="AG15" i="41"/>
  <c r="AF16" i="41"/>
  <c r="AG16" i="41" s="1"/>
  <c r="AF29" i="43"/>
  <c r="AF17" i="41"/>
  <c r="AG17" i="41" s="1"/>
  <c r="AF31" i="43"/>
  <c r="AF12" i="43"/>
  <c r="AF9" i="43" s="1"/>
  <c r="AF14" i="43"/>
  <c r="AG10" i="41"/>
  <c r="AF11" i="41"/>
  <c r="AG11" i="41" s="1"/>
  <c r="AF30" i="43"/>
  <c r="AF16" i="43" l="1"/>
  <c r="AF42" i="43"/>
  <c r="AF11" i="43"/>
  <c r="W16" i="41" l="1"/>
  <c r="X16" i="41" s="1"/>
  <c r="U21" i="41"/>
  <c r="T16" i="41"/>
  <c r="U16" i="41" s="1"/>
  <c r="U15" i="41"/>
  <c r="U23" i="41"/>
  <c r="W17" i="41"/>
  <c r="X17" i="41" s="1"/>
  <c r="U24" i="41"/>
  <c r="U22" i="41"/>
  <c r="U25" i="41"/>
  <c r="T17" i="41"/>
  <c r="U17" i="41" s="1"/>
  <c r="U13" i="41"/>
  <c r="U26" i="41"/>
  <c r="U10" i="41"/>
  <c r="AD22" i="41" l="1"/>
  <c r="W17" i="43"/>
  <c r="AD23" i="41"/>
  <c r="AD13" i="41"/>
  <c r="AC17" i="41"/>
  <c r="AD17" i="41" s="1"/>
  <c r="AD25" i="41"/>
  <c r="AD26" i="41"/>
  <c r="T17" i="43"/>
  <c r="AD15" i="41"/>
  <c r="AC16" i="41"/>
  <c r="AD16" i="41" s="1"/>
  <c r="T16" i="43"/>
  <c r="AD21" i="41"/>
  <c r="AD24" i="41"/>
  <c r="W16" i="43"/>
  <c r="AD10" i="41"/>
  <c r="AC16" i="43" l="1"/>
  <c r="AC17" i="43"/>
  <c r="I24" i="41" l="1"/>
  <c r="Q24" i="41"/>
  <c r="L24" i="41"/>
  <c r="L23" i="41"/>
  <c r="Q25" i="41"/>
  <c r="I25" i="41"/>
  <c r="L25" i="41"/>
  <c r="L22" i="41"/>
  <c r="Q26" i="41"/>
  <c r="I26" i="41"/>
  <c r="L26" i="41"/>
  <c r="Q23" i="41"/>
  <c r="I23" i="41"/>
  <c r="I10" i="41"/>
  <c r="Q10" i="41"/>
  <c r="K17" i="41"/>
  <c r="L17" i="41" s="1"/>
  <c r="L13" i="41"/>
  <c r="L10" i="41"/>
  <c r="I21" i="41"/>
  <c r="Q21" i="41"/>
  <c r="L21" i="41"/>
  <c r="I13" i="41"/>
  <c r="Q13" i="41"/>
  <c r="H17" i="41"/>
  <c r="I17" i="41" s="1"/>
  <c r="Q15" i="41"/>
  <c r="I15" i="41"/>
  <c r="H16" i="41"/>
  <c r="I16" i="41" s="1"/>
  <c r="Q22" i="41"/>
  <c r="I22" i="41"/>
  <c r="L15" i="41"/>
  <c r="K16" i="41"/>
  <c r="L16" i="41" s="1"/>
  <c r="K17" i="43" l="1"/>
  <c r="Q17" i="41"/>
  <c r="R17" i="41" s="1"/>
  <c r="R13" i="41"/>
  <c r="AI13" i="41"/>
  <c r="AI10" i="41"/>
  <c r="R10" i="41"/>
  <c r="R25" i="41"/>
  <c r="AI25" i="41"/>
  <c r="Q13" i="43"/>
  <c r="H17" i="43"/>
  <c r="Q15" i="43"/>
  <c r="H16" i="43"/>
  <c r="Q23" i="43"/>
  <c r="AI23" i="41"/>
  <c r="R23" i="41"/>
  <c r="AI15" i="41"/>
  <c r="Q16" i="41"/>
  <c r="R16" i="41" s="1"/>
  <c r="R15" i="41"/>
  <c r="Q25" i="43"/>
  <c r="Q10" i="43"/>
  <c r="K16" i="43"/>
  <c r="R21" i="41"/>
  <c r="AI21" i="41"/>
  <c r="Q21" i="43"/>
  <c r="Q26" i="43"/>
  <c r="R24" i="41"/>
  <c r="AI24" i="41"/>
  <c r="Q22" i="43"/>
  <c r="AI22" i="41"/>
  <c r="R22" i="41"/>
  <c r="AI26" i="41"/>
  <c r="R26" i="41"/>
  <c r="Q24" i="43"/>
  <c r="AJ25" i="41" l="1"/>
  <c r="AI25" i="43"/>
  <c r="AJ26" i="41"/>
  <c r="AJ15" i="41"/>
  <c r="AI16" i="41"/>
  <c r="AJ16" i="41" s="1"/>
  <c r="AJ10" i="41"/>
  <c r="AJ23" i="41"/>
  <c r="AI24" i="43"/>
  <c r="AJ21" i="41"/>
  <c r="AJ13" i="41"/>
  <c r="AI17" i="41"/>
  <c r="AI23" i="43"/>
  <c r="AI21" i="43"/>
  <c r="AJ22" i="41"/>
  <c r="AI10" i="43"/>
  <c r="AI13" i="43"/>
  <c r="Q17" i="43"/>
  <c r="AI22" i="43"/>
  <c r="AJ24" i="41"/>
  <c r="AI26" i="43"/>
  <c r="Q16" i="43"/>
  <c r="AI15" i="43"/>
  <c r="AI17" i="43" l="1"/>
  <c r="AI16" i="43"/>
  <c r="AJ17" i="41"/>
  <c r="S29" i="1" l="1"/>
  <c r="T12" i="41" l="1"/>
  <c r="T4" i="43" s="1"/>
  <c r="U8" i="41"/>
  <c r="T14" i="41"/>
  <c r="U14" i="41" s="1"/>
  <c r="W12" i="41"/>
  <c r="W4" i="43" s="1"/>
  <c r="W14" i="41"/>
  <c r="X14" i="41" s="1"/>
  <c r="X12" i="41" l="1"/>
  <c r="T9" i="41"/>
  <c r="U9" i="41" s="1"/>
  <c r="W9" i="41"/>
  <c r="X9" i="41" s="1"/>
  <c r="W11" i="41"/>
  <c r="X11" i="41" s="1"/>
  <c r="W12" i="43"/>
  <c r="W9" i="43" s="1"/>
  <c r="W14" i="43"/>
  <c r="U12" i="41"/>
  <c r="T11" i="41"/>
  <c r="U11" i="41" s="1"/>
  <c r="AC12" i="41"/>
  <c r="AC4" i="43" s="1"/>
  <c r="AD8" i="41"/>
  <c r="AC14" i="41"/>
  <c r="AD14" i="41" s="1"/>
  <c r="T12" i="43"/>
  <c r="T9" i="43" s="1"/>
  <c r="T14" i="43"/>
  <c r="AC9" i="41" l="1"/>
  <c r="AD9" i="41" s="1"/>
  <c r="T11" i="43"/>
  <c r="AD12" i="41"/>
  <c r="AC11" i="41"/>
  <c r="AD11" i="41" s="1"/>
  <c r="W11" i="43"/>
  <c r="AC12" i="43"/>
  <c r="AC9" i="43" s="1"/>
  <c r="AC14" i="43"/>
  <c r="U19" i="41" l="1"/>
  <c r="AD19" i="41"/>
  <c r="W20" i="41"/>
  <c r="X20" i="41" s="1"/>
  <c r="AC11" i="43"/>
  <c r="W20" i="43"/>
  <c r="U18" i="41"/>
  <c r="T20" i="41"/>
  <c r="U20" i="41" s="1"/>
  <c r="T20" i="43" l="1"/>
  <c r="AC20" i="41"/>
  <c r="AD20" i="41" s="1"/>
  <c r="AD18" i="41"/>
  <c r="AC20" i="43" l="1"/>
  <c r="L8" i="41" l="1"/>
  <c r="K12" i="41"/>
  <c r="K9" i="41" s="1"/>
  <c r="L9" i="41" s="1"/>
  <c r="K14" i="41"/>
  <c r="L14" i="41" s="1"/>
  <c r="I8" i="41"/>
  <c r="H12" i="41"/>
  <c r="H9" i="41" s="1"/>
  <c r="I9" i="41" s="1"/>
  <c r="Q8" i="41"/>
  <c r="H14" i="41"/>
  <c r="I14" i="41" s="1"/>
  <c r="W28" i="1"/>
  <c r="U28" i="1"/>
  <c r="R8" i="41" l="1"/>
  <c r="Q12" i="41"/>
  <c r="Q4" i="43" s="1"/>
  <c r="AI8" i="41"/>
  <c r="Q14" i="41"/>
  <c r="R14" i="41" s="1"/>
  <c r="I12" i="41"/>
  <c r="H11" i="41"/>
  <c r="I11" i="41" s="1"/>
  <c r="U27" i="1"/>
  <c r="T29" i="1"/>
  <c r="W27" i="1"/>
  <c r="Q8" i="43"/>
  <c r="H12" i="43"/>
  <c r="H9" i="43" s="1"/>
  <c r="H14" i="43"/>
  <c r="L12" i="41"/>
  <c r="K11" i="41"/>
  <c r="L11" i="41" s="1"/>
  <c r="K12" i="43"/>
  <c r="K9" i="43" s="1"/>
  <c r="K14" i="43"/>
  <c r="Q9" i="41" l="1"/>
  <c r="R9" i="41" s="1"/>
  <c r="Q12" i="43"/>
  <c r="Q9" i="43" s="1"/>
  <c r="AI8" i="43"/>
  <c r="Q14" i="43"/>
  <c r="AI12" i="41"/>
  <c r="AI4" i="43" s="1"/>
  <c r="AJ8" i="41"/>
  <c r="AI14" i="41"/>
  <c r="AJ14" i="41" s="1"/>
  <c r="R12" i="41"/>
  <c r="Q11" i="41"/>
  <c r="R11" i="41" s="1"/>
  <c r="K11" i="43"/>
  <c r="H11" i="43"/>
  <c r="U29" i="1"/>
  <c r="W29" i="1"/>
  <c r="AI9" i="41" l="1"/>
  <c r="AJ9" i="41" s="1"/>
  <c r="AJ12" i="41"/>
  <c r="AI11" i="41"/>
  <c r="AJ11" i="41" s="1"/>
  <c r="AI12" i="43"/>
  <c r="AI9" i="43" s="1"/>
  <c r="AI14" i="43"/>
  <c r="Q11" i="43"/>
  <c r="AI11" i="43" l="1"/>
  <c r="U23" i="1" l="1"/>
  <c r="U24" i="1"/>
  <c r="AE10" i="42" l="1"/>
  <c r="AF21" i="42"/>
  <c r="AF11" i="42"/>
  <c r="AF22" i="42"/>
  <c r="AF19" i="42"/>
  <c r="AF14" i="42"/>
  <c r="AF16" i="42"/>
  <c r="AF23" i="42"/>
  <c r="AF18" i="42"/>
  <c r="AF7" i="42"/>
  <c r="AF10" i="42"/>
  <c r="AM10" i="42" s="1"/>
  <c r="AF13" i="42"/>
  <c r="AF9" i="42"/>
  <c r="AF12" i="42"/>
  <c r="AF20" i="42"/>
  <c r="AF8" i="42"/>
  <c r="AF15" i="42"/>
  <c r="AF17" i="42"/>
  <c r="AF24" i="42" l="1"/>
  <c r="AF25" i="42"/>
  <c r="AF26" i="42"/>
  <c r="AF27" i="42"/>
  <c r="AE14" i="42" l="1"/>
  <c r="AM14" i="42" s="1"/>
  <c r="AE12" i="42"/>
  <c r="AM12" i="42" s="1"/>
  <c r="AE18" i="42"/>
  <c r="AM18" i="42" s="1"/>
  <c r="AE8" i="42"/>
  <c r="AM8" i="42" s="1"/>
  <c r="AE23" i="42"/>
  <c r="AE9" i="42"/>
  <c r="AM9" i="42" s="1"/>
  <c r="AE22" i="42"/>
  <c r="AE16" i="42" l="1"/>
  <c r="AM16" i="42" s="1"/>
  <c r="AE11" i="42"/>
  <c r="AM11" i="42" s="1"/>
  <c r="AE21" i="42"/>
  <c r="AE20" i="42"/>
  <c r="AE17" i="42"/>
  <c r="AM17" i="42" s="1"/>
  <c r="AE13" i="42"/>
  <c r="AM13" i="42" s="1"/>
  <c r="AE15" i="42"/>
  <c r="AM15" i="42" s="1"/>
  <c r="AE19" i="42"/>
  <c r="AE25" i="42" l="1"/>
  <c r="AM25" i="42" s="1"/>
  <c r="AE26" i="42"/>
  <c r="AM26" i="42" s="1"/>
  <c r="AE7" i="42" l="1"/>
  <c r="AM7" i="42" s="1"/>
  <c r="AE27" i="42" l="1"/>
  <c r="AM27" i="42" s="1"/>
  <c r="AE24" i="42"/>
  <c r="AM24" i="42" s="1"/>
  <c r="U36" i="41" l="1"/>
  <c r="AC36" i="41"/>
  <c r="T28" i="41"/>
  <c r="U37" i="41"/>
  <c r="AC37" i="41"/>
  <c r="T29" i="41"/>
  <c r="U38" i="41"/>
  <c r="AC38" i="41"/>
  <c r="T30" i="41"/>
  <c r="U39" i="41"/>
  <c r="AC39" i="41"/>
  <c r="T31" i="41"/>
  <c r="U40" i="41"/>
  <c r="AC40" i="41"/>
  <c r="T32" i="41"/>
  <c r="W41" i="41"/>
  <c r="X41" i="41" s="1"/>
  <c r="W27" i="41"/>
  <c r="X27" i="41" s="1"/>
  <c r="W28" i="41"/>
  <c r="X28" i="41" s="1"/>
  <c r="W29" i="41"/>
  <c r="X29" i="41" s="1"/>
  <c r="W30" i="41"/>
  <c r="X30" i="41" s="1"/>
  <c r="AC35" i="41"/>
  <c r="U35" i="41"/>
  <c r="T41" i="41"/>
  <c r="T27" i="41"/>
  <c r="W31" i="41"/>
  <c r="X31" i="41" s="1"/>
  <c r="W32" i="41"/>
  <c r="X32" i="41" s="1"/>
  <c r="U31" i="41" l="1"/>
  <c r="AC31" i="41"/>
  <c r="U30" i="41"/>
  <c r="AC30" i="41"/>
  <c r="U27" i="41"/>
  <c r="AC27" i="41"/>
  <c r="AD27" i="41" s="1"/>
  <c r="U32" i="41"/>
  <c r="AC32" i="41"/>
  <c r="AD32" i="41" s="1"/>
  <c r="U29" i="41"/>
  <c r="AC29" i="41"/>
  <c r="AD29" i="41" s="1"/>
  <c r="U28" i="41"/>
  <c r="AC28" i="41"/>
  <c r="AD28" i="41" s="1"/>
  <c r="T41" i="43"/>
  <c r="T27" i="43"/>
  <c r="W31" i="43"/>
  <c r="T30" i="43"/>
  <c r="T32" i="43"/>
  <c r="AD37" i="41"/>
  <c r="W28" i="43"/>
  <c r="T29" i="43"/>
  <c r="AD35" i="41"/>
  <c r="AD39" i="41"/>
  <c r="AD31" i="41"/>
  <c r="T31" i="43"/>
  <c r="AD38" i="41"/>
  <c r="AD30" i="41"/>
  <c r="W30" i="43"/>
  <c r="W42" i="41"/>
  <c r="AD36" i="41"/>
  <c r="AC41" i="41"/>
  <c r="U41" i="41"/>
  <c r="T42" i="41"/>
  <c r="W29" i="43"/>
  <c r="W32" i="43"/>
  <c r="AD40" i="41"/>
  <c r="W41" i="43"/>
  <c r="W27" i="43"/>
  <c r="T28" i="43"/>
  <c r="AC41" i="43" l="1"/>
  <c r="AC28" i="43"/>
  <c r="AC27" i="43"/>
  <c r="AC30" i="43"/>
  <c r="AC31" i="43"/>
  <c r="AC29" i="43"/>
  <c r="AC32" i="43"/>
  <c r="AD41" i="41"/>
  <c r="AC42" i="41"/>
  <c r="W42" i="43"/>
  <c r="T42" i="43"/>
  <c r="AC42" i="43" l="1"/>
  <c r="L36" i="41" l="1"/>
  <c r="K28" i="41"/>
  <c r="L28" i="41" s="1"/>
  <c r="Q36" i="41"/>
  <c r="I36" i="41"/>
  <c r="H28" i="41"/>
  <c r="I28" i="41" s="1"/>
  <c r="L37" i="41"/>
  <c r="K29" i="41"/>
  <c r="L29" i="41" s="1"/>
  <c r="Q37" i="41"/>
  <c r="I37" i="41"/>
  <c r="H29" i="41"/>
  <c r="I29" i="41" s="1"/>
  <c r="L38" i="41"/>
  <c r="K30" i="41"/>
  <c r="L30" i="41" s="1"/>
  <c r="Q38" i="41"/>
  <c r="I38" i="41"/>
  <c r="H30" i="41"/>
  <c r="I30" i="41" s="1"/>
  <c r="L39" i="41"/>
  <c r="K31" i="41"/>
  <c r="L31" i="41" s="1"/>
  <c r="Q39" i="41"/>
  <c r="I39" i="41"/>
  <c r="H31" i="41"/>
  <c r="I31" i="41" s="1"/>
  <c r="L35" i="41"/>
  <c r="K41" i="41"/>
  <c r="K27" i="41"/>
  <c r="L27" i="41" s="1"/>
  <c r="L40" i="41"/>
  <c r="K32" i="41"/>
  <c r="L32" i="41" s="1"/>
  <c r="Q35" i="41"/>
  <c r="H41" i="41"/>
  <c r="I35" i="41"/>
  <c r="H27" i="41"/>
  <c r="I27" i="41" s="1"/>
  <c r="Q40" i="41"/>
  <c r="I40" i="41"/>
  <c r="H32" i="41"/>
  <c r="I32" i="41" s="1"/>
  <c r="R38" i="41" l="1"/>
  <c r="AI38" i="41"/>
  <c r="Q30" i="41"/>
  <c r="R30" i="41" s="1"/>
  <c r="K30" i="43"/>
  <c r="L41" i="41"/>
  <c r="K42" i="41"/>
  <c r="Q35" i="43"/>
  <c r="H41" i="43"/>
  <c r="H27" i="43"/>
  <c r="K41" i="43"/>
  <c r="K27" i="43"/>
  <c r="K32" i="43"/>
  <c r="K29" i="43"/>
  <c r="R35" i="41"/>
  <c r="AI35" i="41"/>
  <c r="Q27" i="41"/>
  <c r="R27" i="41" s="1"/>
  <c r="R39" i="41"/>
  <c r="AI39" i="41"/>
  <c r="Q31" i="41"/>
  <c r="R31" i="41" s="1"/>
  <c r="Q39" i="43"/>
  <c r="H31" i="43"/>
  <c r="R36" i="41"/>
  <c r="AI36" i="41"/>
  <c r="Q28" i="41"/>
  <c r="R28" i="41" s="1"/>
  <c r="Q37" i="43"/>
  <c r="H29" i="43"/>
  <c r="Q36" i="43"/>
  <c r="H28" i="43"/>
  <c r="Q41" i="41"/>
  <c r="I41" i="41"/>
  <c r="H42" i="41"/>
  <c r="R40" i="41"/>
  <c r="AI40" i="41"/>
  <c r="Q32" i="41"/>
  <c r="R32" i="41" s="1"/>
  <c r="K31" i="43"/>
  <c r="Q38" i="43"/>
  <c r="H30" i="43"/>
  <c r="R37" i="41"/>
  <c r="AI37" i="41"/>
  <c r="Q29" i="41"/>
  <c r="R29" i="41" s="1"/>
  <c r="Q40" i="43"/>
  <c r="H32" i="43"/>
  <c r="K28" i="43"/>
  <c r="AJ35" i="41" l="1"/>
  <c r="AI27" i="41"/>
  <c r="AJ27" i="41" s="1"/>
  <c r="Q41" i="43"/>
  <c r="H42" i="43"/>
  <c r="AI35" i="43"/>
  <c r="Q27" i="43"/>
  <c r="R27" i="43" s="1"/>
  <c r="AI40" i="43"/>
  <c r="Q32" i="43"/>
  <c r="R32" i="43" s="1"/>
  <c r="AJ36" i="41"/>
  <c r="AI28" i="41"/>
  <c r="AJ28" i="41" s="1"/>
  <c r="R41" i="41"/>
  <c r="AI41" i="41"/>
  <c r="Q42" i="41"/>
  <c r="AI36" i="43"/>
  <c r="Q28" i="43"/>
  <c r="R28" i="43" s="1"/>
  <c r="AI38" i="43"/>
  <c r="Q30" i="43"/>
  <c r="R30" i="43" s="1"/>
  <c r="K42" i="43"/>
  <c r="AJ39" i="41"/>
  <c r="AI31" i="41"/>
  <c r="AJ31" i="41" s="1"/>
  <c r="AJ38" i="41"/>
  <c r="AI30" i="41"/>
  <c r="AJ30" i="41" s="1"/>
  <c r="AI37" i="43"/>
  <c r="Q29" i="43"/>
  <c r="R29" i="43" s="1"/>
  <c r="AJ37" i="41"/>
  <c r="AI29" i="41"/>
  <c r="AJ29" i="41" s="1"/>
  <c r="AI39" i="43"/>
  <c r="Q31" i="43"/>
  <c r="R31" i="43" s="1"/>
  <c r="AJ40" i="41"/>
  <c r="AI32" i="41"/>
  <c r="AJ32" i="41" s="1"/>
  <c r="AI29" i="43" l="1"/>
  <c r="AJ41" i="41"/>
  <c r="AI42" i="41"/>
  <c r="AI27" i="43"/>
  <c r="AI31" i="43"/>
  <c r="AI28" i="43"/>
  <c r="AI41" i="43"/>
  <c r="Q42" i="43"/>
  <c r="AI32" i="43"/>
  <c r="AI30" i="43"/>
  <c r="AI42" i="43" l="1"/>
  <c r="L18" i="41" l="1"/>
  <c r="K20" i="41"/>
  <c r="L20" i="41" s="1"/>
  <c r="I19" i="41"/>
  <c r="Q19" i="41"/>
  <c r="I18" i="41"/>
  <c r="H20" i="41"/>
  <c r="I20" i="41" s="1"/>
  <c r="Q18" i="41"/>
  <c r="L19" i="41"/>
  <c r="AI18" i="41" l="1"/>
  <c r="R18" i="41"/>
  <c r="H20" i="43"/>
  <c r="Q18" i="43"/>
  <c r="Q20" i="41"/>
  <c r="R20" i="41" s="1"/>
  <c r="AI19" i="41"/>
  <c r="AJ19" i="41" s="1"/>
  <c r="R19" i="41"/>
  <c r="Q19" i="43"/>
  <c r="K20" i="43"/>
  <c r="AG19" i="41"/>
  <c r="AF20" i="41"/>
  <c r="AG20" i="41" s="1"/>
  <c r="AI19" i="43" l="1"/>
  <c r="Q20" i="43"/>
  <c r="AI18" i="43"/>
  <c r="AF20" i="43"/>
  <c r="AJ18" i="41"/>
  <c r="AI20" i="41"/>
  <c r="AI20" i="43" l="1"/>
  <c r="AJ20" i="41"/>
  <c r="AJ9" i="1" l="1"/>
  <c r="AG9" i="1"/>
  <c r="AJ8" i="1"/>
  <c r="AG8" i="1"/>
  <c r="AJ7" i="1"/>
  <c r="AG7" i="1"/>
  <c r="AJ11" i="1" l="1"/>
  <c r="M21" i="1"/>
  <c r="M32" i="1" s="1"/>
  <c r="AJ17" i="1" s="1"/>
  <c r="AG12" i="1"/>
  <c r="J22" i="1"/>
  <c r="J33" i="1" s="1"/>
  <c r="AG18" i="1" s="1"/>
  <c r="M22" i="1"/>
  <c r="M33" i="1" s="1"/>
  <c r="AJ18" i="1" s="1"/>
  <c r="AJ12" i="1"/>
  <c r="AG10" i="1"/>
  <c r="J20" i="1"/>
  <c r="M19" i="1"/>
  <c r="J19" i="1"/>
  <c r="J29" i="1" l="1"/>
  <c r="M29" i="1"/>
  <c r="AG11" i="1"/>
  <c r="J21" i="1"/>
  <c r="J32" i="1" s="1"/>
  <c r="AG17" i="1" s="1"/>
  <c r="AJ10" i="1"/>
  <c r="M14" i="1"/>
  <c r="M20" i="1"/>
  <c r="J30" i="1"/>
  <c r="J14" i="1"/>
  <c r="AG13" i="1"/>
  <c r="AG14" i="1" s="1"/>
  <c r="J23" i="1"/>
  <c r="J34" i="1" s="1"/>
  <c r="M23" i="1"/>
  <c r="M34" i="1" s="1"/>
  <c r="AJ13" i="1"/>
  <c r="AJ14" i="1" l="1"/>
  <c r="AG15" i="1"/>
  <c r="J31" i="1"/>
  <c r="AG16" i="1" s="1"/>
  <c r="J35" i="1"/>
  <c r="J24" i="1"/>
  <c r="M24" i="1"/>
  <c r="M30" i="1"/>
  <c r="AJ15" i="1" l="1"/>
  <c r="M31" i="1"/>
  <c r="AJ16" i="1" s="1"/>
  <c r="M35" i="1"/>
  <c r="J36" i="1"/>
  <c r="AG24" i="1" s="1"/>
  <c r="J40" i="1"/>
  <c r="J39" i="1"/>
  <c r="M40" i="1" l="1"/>
  <c r="M39" i="1"/>
  <c r="M36" i="1"/>
  <c r="AJ24" i="1" s="1"/>
  <c r="O8" i="43" l="1"/>
  <c r="O13" i="43"/>
  <c r="M14" i="43"/>
  <c r="O14" i="43" s="1"/>
  <c r="M42" i="43"/>
  <c r="M17" i="43"/>
  <c r="O17" i="43" s="1"/>
  <c r="O15" i="43"/>
  <c r="O18" i="43" l="1"/>
  <c r="O10" i="43" l="1"/>
  <c r="M12" i="43"/>
  <c r="M11" i="43" s="1"/>
  <c r="O11" i="43" s="1"/>
  <c r="M16" i="43"/>
  <c r="O16" i="43" s="1"/>
  <c r="I18" i="43" l="1"/>
  <c r="M9" i="43"/>
  <c r="O9" i="43" s="1"/>
  <c r="O12" i="43"/>
  <c r="O19" i="43" l="1"/>
  <c r="M20" i="43"/>
  <c r="O20" i="43" s="1"/>
  <c r="U19" i="43" l="1"/>
  <c r="S20" i="43" l="1"/>
  <c r="U20" i="43" s="1"/>
  <c r="U18" i="43"/>
  <c r="AG19" i="43"/>
  <c r="AE20" i="43" l="1"/>
  <c r="AG20" i="43" s="1"/>
  <c r="AG18" i="43"/>
  <c r="AE41" i="43"/>
  <c r="AG26" i="43"/>
  <c r="AG25" i="43"/>
  <c r="AG24" i="43"/>
  <c r="AG23" i="43"/>
  <c r="AG22" i="43"/>
  <c r="AG21" i="43"/>
  <c r="AG10" i="43"/>
  <c r="AE16" i="43" l="1"/>
  <c r="AG16" i="43" s="1"/>
  <c r="AG15" i="43"/>
  <c r="AE12" i="43"/>
  <c r="AE9" i="43" s="1"/>
  <c r="AG9" i="43" s="1"/>
  <c r="AG8" i="43"/>
  <c r="AE14" i="43"/>
  <c r="AG14" i="43" s="1"/>
  <c r="AE17" i="43"/>
  <c r="AG17" i="43" s="1"/>
  <c r="AG13" i="43"/>
  <c r="AE30" i="43"/>
  <c r="AG30" i="43" s="1"/>
  <c r="AE31" i="43"/>
  <c r="AG31" i="43" s="1"/>
  <c r="AE32" i="43"/>
  <c r="AG32" i="43" s="1"/>
  <c r="AE29" i="43"/>
  <c r="AG29" i="43" s="1"/>
  <c r="AE28" i="43"/>
  <c r="AG28" i="43" s="1"/>
  <c r="AE27" i="43"/>
  <c r="AG27" i="43" s="1"/>
  <c r="AE42" i="43"/>
  <c r="AB19" i="43" l="1"/>
  <c r="AD19" i="43" s="1"/>
  <c r="X19" i="43"/>
  <c r="AE11" i="43"/>
  <c r="AG11" i="43" s="1"/>
  <c r="AG12" i="43"/>
  <c r="AB18" i="43" l="1"/>
  <c r="V20" i="43"/>
  <c r="X20" i="43" s="1"/>
  <c r="X18" i="43"/>
  <c r="X26" i="43"/>
  <c r="X25" i="43"/>
  <c r="X24" i="43"/>
  <c r="X23" i="43"/>
  <c r="X22" i="43"/>
  <c r="X21" i="43"/>
  <c r="X10" i="43"/>
  <c r="L19" i="43"/>
  <c r="AB25" i="43" l="1"/>
  <c r="AD25" i="43" s="1"/>
  <c r="U25" i="43"/>
  <c r="L38" i="43"/>
  <c r="P35" i="43"/>
  <c r="G41" i="43"/>
  <c r="I35" i="43"/>
  <c r="L39" i="43"/>
  <c r="AB26" i="43"/>
  <c r="AD26" i="43" s="1"/>
  <c r="U26" i="43"/>
  <c r="S41" i="43"/>
  <c r="S27" i="43"/>
  <c r="U35" i="43"/>
  <c r="L36" i="43"/>
  <c r="J29" i="43"/>
  <c r="L29" i="43" s="1"/>
  <c r="L37" i="43"/>
  <c r="P36" i="43"/>
  <c r="I36" i="43"/>
  <c r="L40" i="43"/>
  <c r="AB35" i="43"/>
  <c r="AD35" i="43" s="1"/>
  <c r="V41" i="43"/>
  <c r="V27" i="43"/>
  <c r="X27" i="43" s="1"/>
  <c r="X35" i="43"/>
  <c r="P38" i="43"/>
  <c r="I38" i="43"/>
  <c r="AB37" i="43"/>
  <c r="AD37" i="43" s="1"/>
  <c r="V29" i="43"/>
  <c r="X29" i="43" s="1"/>
  <c r="X37" i="43"/>
  <c r="J41" i="43"/>
  <c r="L35" i="43"/>
  <c r="AB13" i="43"/>
  <c r="S17" i="43"/>
  <c r="U17" i="43" s="1"/>
  <c r="S14" i="43"/>
  <c r="U14" i="43" s="1"/>
  <c r="U13" i="43"/>
  <c r="S30" i="43"/>
  <c r="U38" i="43"/>
  <c r="P37" i="43"/>
  <c r="I37" i="43"/>
  <c r="V17" i="43"/>
  <c r="X17" i="43" s="1"/>
  <c r="V14" i="43"/>
  <c r="X14" i="43" s="1"/>
  <c r="X13" i="43"/>
  <c r="AB38" i="43"/>
  <c r="AD38" i="43" s="1"/>
  <c r="V30" i="43"/>
  <c r="X30" i="43" s="1"/>
  <c r="X38" i="43"/>
  <c r="AB10" i="43"/>
  <c r="U10" i="43"/>
  <c r="AB15" i="43"/>
  <c r="S16" i="43"/>
  <c r="U16" i="43" s="1"/>
  <c r="U15" i="43"/>
  <c r="S31" i="43"/>
  <c r="U39" i="43"/>
  <c r="P39" i="43"/>
  <c r="I39" i="43"/>
  <c r="V16" i="43"/>
  <c r="X16" i="43" s="1"/>
  <c r="X15" i="43"/>
  <c r="AB39" i="43"/>
  <c r="AD39" i="43" s="1"/>
  <c r="V31" i="43"/>
  <c r="X31" i="43" s="1"/>
  <c r="X39" i="43"/>
  <c r="AB36" i="43"/>
  <c r="AD36" i="43" s="1"/>
  <c r="V28" i="43"/>
  <c r="X28" i="43" s="1"/>
  <c r="X36" i="43"/>
  <c r="AB21" i="43"/>
  <c r="AD21" i="43" s="1"/>
  <c r="U21" i="43"/>
  <c r="S32" i="43"/>
  <c r="U40" i="43"/>
  <c r="J17" i="43"/>
  <c r="L17" i="43" s="1"/>
  <c r="L13" i="43"/>
  <c r="AB40" i="43"/>
  <c r="AD40" i="43" s="1"/>
  <c r="V32" i="43"/>
  <c r="X32" i="43" s="1"/>
  <c r="X40" i="43"/>
  <c r="S28" i="43"/>
  <c r="U36" i="43"/>
  <c r="L15" i="43"/>
  <c r="AB22" i="43"/>
  <c r="AD22" i="43" s="1"/>
  <c r="U22" i="43"/>
  <c r="AB24" i="43"/>
  <c r="AD24" i="43" s="1"/>
  <c r="U24" i="43"/>
  <c r="V12" i="43"/>
  <c r="V9" i="43"/>
  <c r="X9" i="43" s="1"/>
  <c r="X8" i="43"/>
  <c r="P40" i="43"/>
  <c r="I40" i="43"/>
  <c r="P13" i="43"/>
  <c r="G17" i="43"/>
  <c r="I17" i="43" s="1"/>
  <c r="I13" i="43"/>
  <c r="P15" i="43"/>
  <c r="I15" i="43"/>
  <c r="P19" i="43"/>
  <c r="I19" i="43"/>
  <c r="G20" i="43"/>
  <c r="I20" i="43" s="1"/>
  <c r="AB8" i="43"/>
  <c r="S12" i="43"/>
  <c r="U12" i="43" s="1"/>
  <c r="U8" i="43"/>
  <c r="S29" i="43"/>
  <c r="U37" i="43"/>
  <c r="J20" i="43"/>
  <c r="L20" i="43" s="1"/>
  <c r="L18" i="43"/>
  <c r="P18" i="43"/>
  <c r="AB23" i="43"/>
  <c r="AD23" i="43" s="1"/>
  <c r="U23" i="43"/>
  <c r="AB20" i="43"/>
  <c r="AD20" i="43" s="1"/>
  <c r="AD18" i="43"/>
  <c r="L26" i="43"/>
  <c r="G32" i="43"/>
  <c r="I32" i="43" s="1"/>
  <c r="L25" i="43"/>
  <c r="L24" i="43"/>
  <c r="L23" i="43"/>
  <c r="G29" i="43"/>
  <c r="I29" i="43" s="1"/>
  <c r="L22" i="43"/>
  <c r="L21" i="43"/>
  <c r="G14" i="43"/>
  <c r="I14" i="43" s="1"/>
  <c r="J27" i="43" l="1"/>
  <c r="L27" i="43" s="1"/>
  <c r="J42" i="43"/>
  <c r="L41" i="43"/>
  <c r="AH36" i="43"/>
  <c r="AJ36" i="43" s="1"/>
  <c r="R36" i="43"/>
  <c r="P17" i="43"/>
  <c r="R17" i="43" s="1"/>
  <c r="AH13" i="43"/>
  <c r="R13" i="43"/>
  <c r="J28" i="43"/>
  <c r="L28" i="43" s="1"/>
  <c r="P22" i="43"/>
  <c r="I22" i="43"/>
  <c r="P20" i="43"/>
  <c r="R20" i="43" s="1"/>
  <c r="AH18" i="43"/>
  <c r="R18" i="43"/>
  <c r="AB32" i="43"/>
  <c r="AD32" i="43" s="1"/>
  <c r="U32" i="43"/>
  <c r="S11" i="43"/>
  <c r="U11" i="43" s="1"/>
  <c r="AB27" i="43"/>
  <c r="AD27" i="43" s="1"/>
  <c r="U27" i="43"/>
  <c r="AB16" i="43"/>
  <c r="AD16" i="43" s="1"/>
  <c r="AD15" i="43"/>
  <c r="L10" i="43"/>
  <c r="P24" i="43"/>
  <c r="I24" i="43"/>
  <c r="AB29" i="43"/>
  <c r="AD29" i="43" s="1"/>
  <c r="U29" i="43"/>
  <c r="V11" i="43"/>
  <c r="X11" i="43" s="1"/>
  <c r="X12" i="43"/>
  <c r="G30" i="43"/>
  <c r="I30" i="43" s="1"/>
  <c r="AB31" i="43"/>
  <c r="AD31" i="43" s="1"/>
  <c r="U31" i="43"/>
  <c r="S42" i="43"/>
  <c r="AB41" i="43"/>
  <c r="U41" i="43"/>
  <c r="AH38" i="43"/>
  <c r="AJ38" i="43" s="1"/>
  <c r="R38" i="43"/>
  <c r="J31" i="43"/>
  <c r="L31" i="43" s="1"/>
  <c r="P21" i="43"/>
  <c r="I21" i="43"/>
  <c r="P25" i="43"/>
  <c r="I25" i="43"/>
  <c r="S9" i="43"/>
  <c r="U9" i="43" s="1"/>
  <c r="P41" i="43"/>
  <c r="G42" i="43"/>
  <c r="I41" i="43"/>
  <c r="AB12" i="43"/>
  <c r="AD8" i="43"/>
  <c r="V42" i="43"/>
  <c r="X41" i="43"/>
  <c r="G27" i="43"/>
  <c r="I27" i="43" s="1"/>
  <c r="P10" i="43"/>
  <c r="G11" i="43"/>
  <c r="I11" i="43" s="1"/>
  <c r="I10" i="43"/>
  <c r="AH40" i="43"/>
  <c r="AJ40" i="43" s="1"/>
  <c r="R40" i="43"/>
  <c r="AH35" i="43"/>
  <c r="AJ35" i="43" s="1"/>
  <c r="R35" i="43"/>
  <c r="J12" i="43"/>
  <c r="L8" i="43"/>
  <c r="AB14" i="43"/>
  <c r="AD14" i="43" s="1"/>
  <c r="AB17" i="43"/>
  <c r="AD17" i="43" s="1"/>
  <c r="AD13" i="43"/>
  <c r="J16" i="43"/>
  <c r="L16" i="43" s="1"/>
  <c r="AH37" i="43"/>
  <c r="AJ37" i="43" s="1"/>
  <c r="R37" i="43"/>
  <c r="P8" i="43"/>
  <c r="G12" i="43"/>
  <c r="I12" i="43" s="1"/>
  <c r="I8" i="43"/>
  <c r="AB11" i="43"/>
  <c r="AD11" i="43" s="1"/>
  <c r="AD10" i="43"/>
  <c r="AH19" i="43"/>
  <c r="AJ19" i="43" s="1"/>
  <c r="R19" i="43"/>
  <c r="J32" i="43"/>
  <c r="L32" i="43" s="1"/>
  <c r="J30" i="43"/>
  <c r="L30" i="43" s="1"/>
  <c r="J14" i="43"/>
  <c r="L14" i="43" s="1"/>
  <c r="P23" i="43"/>
  <c r="I23" i="43"/>
  <c r="AB28" i="43"/>
  <c r="AD28" i="43" s="1"/>
  <c r="U28" i="43"/>
  <c r="G31" i="43"/>
  <c r="I31" i="43" s="1"/>
  <c r="AB30" i="43"/>
  <c r="AD30" i="43" s="1"/>
  <c r="U30" i="43"/>
  <c r="AH15" i="43"/>
  <c r="R15" i="43"/>
  <c r="P26" i="43"/>
  <c r="I26" i="43"/>
  <c r="G16" i="43"/>
  <c r="I16" i="43" s="1"/>
  <c r="AH39" i="43"/>
  <c r="R39" i="43"/>
  <c r="G28" i="43"/>
  <c r="I28" i="43" s="1"/>
  <c r="G9" i="43" l="1"/>
  <c r="I9" i="43" s="1"/>
  <c r="AH25" i="43"/>
  <c r="AJ25" i="43" s="1"/>
  <c r="R25" i="43"/>
  <c r="J9" i="43"/>
  <c r="L9" i="43" s="1"/>
  <c r="L12" i="43"/>
  <c r="P16" i="43"/>
  <c r="R16" i="43" s="1"/>
  <c r="AH10" i="43"/>
  <c r="AJ10" i="43" s="1"/>
  <c r="R10" i="43"/>
  <c r="AH22" i="43"/>
  <c r="R22" i="43"/>
  <c r="AH21" i="43"/>
  <c r="R21" i="43"/>
  <c r="AH26" i="43"/>
  <c r="R26" i="43"/>
  <c r="P14" i="43"/>
  <c r="R14" i="43" s="1"/>
  <c r="P12" i="43"/>
  <c r="R12" i="43" s="1"/>
  <c r="AH8" i="43"/>
  <c r="AH14" i="43" s="1"/>
  <c r="AJ14" i="43" s="1"/>
  <c r="R8" i="43"/>
  <c r="AB9" i="43"/>
  <c r="AD9" i="43" s="1"/>
  <c r="AD12" i="43"/>
  <c r="AH17" i="43"/>
  <c r="AJ17" i="43" s="1"/>
  <c r="AJ13" i="43"/>
  <c r="AB42" i="43"/>
  <c r="AD41" i="43"/>
  <c r="AJ39" i="43"/>
  <c r="P42" i="43"/>
  <c r="AH41" i="43"/>
  <c r="R41" i="43"/>
  <c r="AH24" i="43"/>
  <c r="R24" i="43"/>
  <c r="AH20" i="43"/>
  <c r="AJ18" i="43"/>
  <c r="AH23" i="43"/>
  <c r="R23" i="43"/>
  <c r="AH16" i="43"/>
  <c r="AJ16" i="43" s="1"/>
  <c r="AJ15" i="43"/>
  <c r="J11" i="43"/>
  <c r="L11" i="43" s="1"/>
  <c r="AH31" i="43" l="1"/>
  <c r="AJ31" i="43" s="1"/>
  <c r="P9" i="43"/>
  <c r="R9" i="43" s="1"/>
  <c r="AJ20" i="43"/>
  <c r="AH30" i="43"/>
  <c r="AJ30" i="43" s="1"/>
  <c r="AJ24" i="43"/>
  <c r="AH28" i="43"/>
  <c r="AJ28" i="43" s="1"/>
  <c r="AJ22" i="43"/>
  <c r="P11" i="43"/>
  <c r="R11" i="43" s="1"/>
  <c r="AH42" i="43"/>
  <c r="AJ41" i="43"/>
  <c r="AH29" i="43"/>
  <c r="AJ29" i="43" s="1"/>
  <c r="AJ23" i="43"/>
  <c r="AH27" i="43"/>
  <c r="AJ27" i="43" s="1"/>
  <c r="AJ21" i="43"/>
  <c r="AH12" i="43"/>
  <c r="AH9" i="43" s="1"/>
  <c r="AJ9" i="43" s="1"/>
  <c r="AJ8" i="43"/>
  <c r="AH32" i="43"/>
  <c r="AJ32" i="43" s="1"/>
  <c r="AJ26" i="43"/>
  <c r="AH11" i="43" l="1"/>
  <c r="AJ11" i="43" s="1"/>
  <c r="AJ12" i="43"/>
  <c r="AI30" i="42" l="1"/>
  <c r="Q35" i="42"/>
  <c r="S35" i="42"/>
  <c r="R25" i="42"/>
  <c r="S38" i="42"/>
  <c r="Q38" i="42"/>
  <c r="R32" i="42"/>
  <c r="M26" i="42"/>
  <c r="O25" i="42"/>
  <c r="Q40" i="42"/>
  <c r="S40" i="42"/>
  <c r="Q36" i="42"/>
  <c r="S36" i="42"/>
  <c r="AJ20" i="1"/>
  <c r="W32" i="42"/>
  <c r="W26" i="42"/>
  <c r="O24" i="42"/>
  <c r="M25" i="42"/>
  <c r="T60" i="42"/>
  <c r="Q37" i="42"/>
  <c r="S37" i="42"/>
  <c r="O26" i="42"/>
  <c r="T58" i="42"/>
  <c r="AG21" i="1"/>
  <c r="T51" i="42"/>
  <c r="W24" i="42"/>
  <c r="O41" i="42"/>
  <c r="AI29" i="42"/>
  <c r="AJ19" i="1"/>
  <c r="R41" i="42"/>
  <c r="R26" i="42"/>
  <c r="T26" i="42"/>
  <c r="AG19" i="1"/>
  <c r="J26" i="42"/>
  <c r="T53" i="42"/>
  <c r="AG20" i="1"/>
  <c r="T41" i="42"/>
  <c r="AG26" i="1" s="1"/>
  <c r="AG22" i="1" s="1"/>
  <c r="O32" i="42"/>
  <c r="J25" i="42"/>
  <c r="AJ21" i="1"/>
  <c r="W41" i="42"/>
  <c r="AJ26" i="1" s="1"/>
  <c r="J32" i="42"/>
  <c r="T59" i="42"/>
  <c r="T57" i="42"/>
  <c r="AI31" i="42"/>
  <c r="V40" i="42"/>
  <c r="M32" i="42"/>
  <c r="J24" i="42"/>
  <c r="W25" i="42"/>
  <c r="T56" i="42"/>
  <c r="T25" i="42"/>
  <c r="T24" i="42"/>
  <c r="T32" i="42"/>
  <c r="T52" i="42" s="1"/>
  <c r="M24" i="42"/>
  <c r="R24" i="42"/>
  <c r="W27" i="42" l="1"/>
  <c r="J27" i="42"/>
  <c r="J47" i="42" s="1"/>
  <c r="AJ22" i="1"/>
  <c r="AJ23" i="1"/>
  <c r="W43" i="42"/>
  <c r="W47" i="42" s="1"/>
  <c r="T27" i="42"/>
  <c r="AI32" i="42"/>
  <c r="M27" i="42"/>
  <c r="M47" i="42" s="1"/>
  <c r="O27" i="42"/>
  <c r="O43" i="42" s="1"/>
  <c r="O47" i="42" s="1"/>
  <c r="T61" i="42"/>
  <c r="T43" i="42"/>
  <c r="T50" i="42"/>
  <c r="R27" i="42"/>
  <c r="R43" i="42" s="1"/>
  <c r="R47" i="42" s="1"/>
  <c r="AG23" i="1"/>
  <c r="T54" i="42" l="1"/>
  <c r="T47" i="42"/>
  <c r="T44" i="42"/>
  <c r="P18" i="2" l="1"/>
  <c r="P18" i="45" s="1"/>
  <c r="S18" i="45" l="1"/>
  <c r="Q18" i="45"/>
  <c r="P18" i="42"/>
  <c r="S18" i="2"/>
  <c r="Q18" i="2"/>
  <c r="P22" i="2"/>
  <c r="P22" i="45" s="1"/>
  <c r="P21" i="2"/>
  <c r="P21" i="45" s="1"/>
  <c r="P29" i="2"/>
  <c r="P29" i="45" s="1"/>
  <c r="P20" i="2"/>
  <c r="P20" i="45" s="1"/>
  <c r="P31" i="2"/>
  <c r="P31" i="45" s="1"/>
  <c r="P16" i="2"/>
  <c r="P16" i="45" s="1"/>
  <c r="P11" i="2"/>
  <c r="P11" i="45" s="1"/>
  <c r="P8" i="2"/>
  <c r="P8" i="45" s="1"/>
  <c r="P7" i="2"/>
  <c r="P7" i="45" s="1"/>
  <c r="F16" i="1"/>
  <c r="S11" i="45" l="1"/>
  <c r="Q11" i="45"/>
  <c r="S29" i="45"/>
  <c r="Q29" i="45"/>
  <c r="Q16" i="45"/>
  <c r="S16" i="45"/>
  <c r="S7" i="45"/>
  <c r="Q7" i="45"/>
  <c r="Q20" i="45"/>
  <c r="S20" i="45"/>
  <c r="Q21" i="45"/>
  <c r="S21" i="45"/>
  <c r="S8" i="45"/>
  <c r="Q8" i="45"/>
  <c r="S22" i="45"/>
  <c r="Q22" i="45"/>
  <c r="S31" i="45"/>
  <c r="Q31" i="45"/>
  <c r="K16" i="1"/>
  <c r="G16" i="1"/>
  <c r="I16" i="1"/>
  <c r="P11" i="42"/>
  <c r="Q11" i="2"/>
  <c r="S11" i="2"/>
  <c r="P29" i="42"/>
  <c r="S29" i="2"/>
  <c r="Q29" i="2"/>
  <c r="P15" i="2"/>
  <c r="P15" i="45" s="1"/>
  <c r="P9" i="2"/>
  <c r="P9" i="45" s="1"/>
  <c r="P14" i="2"/>
  <c r="P14" i="45" s="1"/>
  <c r="P7" i="42"/>
  <c r="Q7" i="2"/>
  <c r="S7" i="2"/>
  <c r="P17" i="2"/>
  <c r="P17" i="45" s="1"/>
  <c r="P30" i="2"/>
  <c r="P12" i="2"/>
  <c r="P12" i="45" s="1"/>
  <c r="F11" i="1"/>
  <c r="P28" i="2"/>
  <c r="P28" i="45" s="1"/>
  <c r="P22" i="42"/>
  <c r="S22" i="2"/>
  <c r="Q22" i="2"/>
  <c r="P19" i="2"/>
  <c r="P19" i="45" s="1"/>
  <c r="P8" i="42"/>
  <c r="S8" i="2"/>
  <c r="Q8" i="2"/>
  <c r="P31" i="42"/>
  <c r="S31" i="2"/>
  <c r="Q31" i="2"/>
  <c r="P21" i="42"/>
  <c r="S21" i="2"/>
  <c r="Q21" i="2"/>
  <c r="P20" i="42"/>
  <c r="Q20" i="2"/>
  <c r="S20" i="2"/>
  <c r="P23" i="2"/>
  <c r="P23" i="45" s="1"/>
  <c r="P13" i="2"/>
  <c r="P13" i="45" s="1"/>
  <c r="P16" i="42"/>
  <c r="S16" i="2"/>
  <c r="Q16" i="2"/>
  <c r="P10" i="2"/>
  <c r="P10" i="45" s="1"/>
  <c r="S18" i="42"/>
  <c r="Q18" i="42"/>
  <c r="U18" i="2"/>
  <c r="U18" i="45" s="1"/>
  <c r="F12" i="1"/>
  <c r="P34" i="2"/>
  <c r="P34" i="45" s="1"/>
  <c r="F10" i="1"/>
  <c r="P33" i="2"/>
  <c r="P33" i="45" s="1"/>
  <c r="U23" i="2"/>
  <c r="U23" i="45" s="1"/>
  <c r="Q10" i="45" l="1"/>
  <c r="S10" i="45"/>
  <c r="P24" i="45"/>
  <c r="S28" i="45"/>
  <c r="G29" i="45"/>
  <c r="Q28" i="45"/>
  <c r="P26" i="45"/>
  <c r="S19" i="45"/>
  <c r="Q19" i="45"/>
  <c r="Q12" i="45"/>
  <c r="S12" i="45"/>
  <c r="P32" i="2"/>
  <c r="Q32" i="2" s="1"/>
  <c r="P30" i="45"/>
  <c r="S17" i="45"/>
  <c r="Q17" i="45"/>
  <c r="P25" i="45"/>
  <c r="Q13" i="45"/>
  <c r="S13" i="45"/>
  <c r="S33" i="45"/>
  <c r="Q33" i="45"/>
  <c r="S14" i="45"/>
  <c r="Q14" i="45"/>
  <c r="Q9" i="45"/>
  <c r="S9" i="45"/>
  <c r="X23" i="45"/>
  <c r="V23" i="45"/>
  <c r="F23" i="45"/>
  <c r="S15" i="45"/>
  <c r="Q15" i="45"/>
  <c r="S23" i="45"/>
  <c r="Q23" i="45"/>
  <c r="S34" i="45"/>
  <c r="Q34" i="45"/>
  <c r="V18" i="45"/>
  <c r="F18" i="45"/>
  <c r="X18" i="45"/>
  <c r="U13" i="2"/>
  <c r="U13" i="45" s="1"/>
  <c r="P14" i="42"/>
  <c r="S14" i="2"/>
  <c r="Q14" i="2"/>
  <c r="P10" i="42"/>
  <c r="S10" i="2"/>
  <c r="Q10" i="2"/>
  <c r="F17" i="1"/>
  <c r="F22" i="1" s="1"/>
  <c r="U18" i="42"/>
  <c r="X18" i="2"/>
  <c r="V18" i="2"/>
  <c r="S8" i="42"/>
  <c r="Q8" i="42"/>
  <c r="P9" i="42"/>
  <c r="Q9" i="2"/>
  <c r="S9" i="2"/>
  <c r="F15" i="1"/>
  <c r="F20" i="1" s="1"/>
  <c r="P19" i="42"/>
  <c r="P26" i="2"/>
  <c r="Q19" i="2"/>
  <c r="S19" i="2"/>
  <c r="Q7" i="42"/>
  <c r="S7" i="42"/>
  <c r="K10" i="1"/>
  <c r="AC10" i="1"/>
  <c r="I10" i="1"/>
  <c r="G10" i="1"/>
  <c r="P15" i="42"/>
  <c r="S15" i="2"/>
  <c r="Q15" i="2"/>
  <c r="P28" i="42"/>
  <c r="S28" i="2"/>
  <c r="Q28" i="2"/>
  <c r="S22" i="42"/>
  <c r="Q22" i="42"/>
  <c r="P23" i="42"/>
  <c r="S23" i="2"/>
  <c r="Q23" i="2"/>
  <c r="K11" i="1"/>
  <c r="AC11" i="1"/>
  <c r="F21" i="1"/>
  <c r="I11" i="1"/>
  <c r="G11" i="1"/>
  <c r="Q16" i="42"/>
  <c r="S16" i="42"/>
  <c r="P33" i="42"/>
  <c r="Q33" i="2"/>
  <c r="S33" i="2"/>
  <c r="F26" i="1"/>
  <c r="P12" i="42"/>
  <c r="Q12" i="2"/>
  <c r="S12" i="2"/>
  <c r="S29" i="42"/>
  <c r="Q29" i="42"/>
  <c r="P34" i="42"/>
  <c r="S34" i="2"/>
  <c r="Q34" i="2"/>
  <c r="P25" i="2"/>
  <c r="P30" i="42"/>
  <c r="S30" i="2"/>
  <c r="Q30" i="2"/>
  <c r="U23" i="42"/>
  <c r="V23" i="2"/>
  <c r="X23" i="2"/>
  <c r="Q20" i="42"/>
  <c r="S20" i="42"/>
  <c r="K12" i="1"/>
  <c r="I12" i="1"/>
  <c r="G12" i="1"/>
  <c r="AC12" i="1"/>
  <c r="P17" i="42"/>
  <c r="S17" i="2"/>
  <c r="Q17" i="2"/>
  <c r="S11" i="42"/>
  <c r="Q11" i="42"/>
  <c r="P13" i="42"/>
  <c r="S13" i="2"/>
  <c r="Q13" i="2"/>
  <c r="Q21" i="42"/>
  <c r="S21" i="42"/>
  <c r="P24" i="2"/>
  <c r="Q31" i="42"/>
  <c r="S31" i="42"/>
  <c r="N16" i="1"/>
  <c r="L16" i="1"/>
  <c r="U31" i="2"/>
  <c r="U31" i="45" s="1"/>
  <c r="U14" i="2"/>
  <c r="U14" i="45" s="1"/>
  <c r="U20" i="2"/>
  <c r="U20" i="45" s="1"/>
  <c r="U21" i="2"/>
  <c r="U21" i="45" s="1"/>
  <c r="U9" i="2"/>
  <c r="U9" i="45" s="1"/>
  <c r="U19" i="2"/>
  <c r="U19" i="45" s="1"/>
  <c r="U10" i="2"/>
  <c r="U10" i="45" s="1"/>
  <c r="U15" i="2"/>
  <c r="U15" i="45" s="1"/>
  <c r="U37" i="2"/>
  <c r="U7" i="2"/>
  <c r="U7" i="45" s="1"/>
  <c r="U12" i="2"/>
  <c r="U12" i="45" s="1"/>
  <c r="U8" i="2"/>
  <c r="U8" i="45" s="1"/>
  <c r="U16" i="2"/>
  <c r="U16" i="45" s="1"/>
  <c r="U22" i="2"/>
  <c r="U22" i="45" s="1"/>
  <c r="U17" i="2"/>
  <c r="U17" i="45" s="1"/>
  <c r="U11" i="2"/>
  <c r="U11" i="45" s="1"/>
  <c r="U36" i="2"/>
  <c r="U57" i="2" s="1"/>
  <c r="V57" i="2" s="1"/>
  <c r="U13" i="42" l="1"/>
  <c r="S32" i="2"/>
  <c r="AM17" i="41"/>
  <c r="U36" i="45"/>
  <c r="U58" i="2"/>
  <c r="V58" i="2" s="1"/>
  <c r="F13" i="45"/>
  <c r="V13" i="45"/>
  <c r="X13" i="45"/>
  <c r="S30" i="45"/>
  <c r="Q30" i="45"/>
  <c r="P32" i="45"/>
  <c r="V14" i="45"/>
  <c r="F14" i="45"/>
  <c r="X14" i="45"/>
  <c r="V11" i="45"/>
  <c r="F11" i="45"/>
  <c r="U25" i="45"/>
  <c r="X11" i="45"/>
  <c r="F17" i="45"/>
  <c r="V17" i="45"/>
  <c r="X17" i="45"/>
  <c r="S25" i="45"/>
  <c r="Q25" i="45"/>
  <c r="X36" i="45"/>
  <c r="V36" i="45"/>
  <c r="Q26" i="45"/>
  <c r="S26" i="45"/>
  <c r="V15" i="45"/>
  <c r="F15" i="45"/>
  <c r="X15" i="45"/>
  <c r="V10" i="45"/>
  <c r="F10" i="45"/>
  <c r="X10" i="45"/>
  <c r="F8" i="45"/>
  <c r="V8" i="45"/>
  <c r="X8" i="45"/>
  <c r="U24" i="45"/>
  <c r="F7" i="45"/>
  <c r="V7" i="45"/>
  <c r="X7" i="45"/>
  <c r="X19" i="45"/>
  <c r="F19" i="45"/>
  <c r="V19" i="45"/>
  <c r="F16" i="45"/>
  <c r="X16" i="45"/>
  <c r="V16" i="45"/>
  <c r="V9" i="45"/>
  <c r="X9" i="45"/>
  <c r="F9" i="45"/>
  <c r="Q24" i="45"/>
  <c r="S24" i="45"/>
  <c r="P27" i="45"/>
  <c r="V31" i="45"/>
  <c r="X31" i="45"/>
  <c r="V22" i="45"/>
  <c r="F22" i="45"/>
  <c r="X22" i="45"/>
  <c r="V21" i="45"/>
  <c r="X21" i="45"/>
  <c r="F21" i="45"/>
  <c r="V13" i="2"/>
  <c r="X12" i="45"/>
  <c r="V12" i="45"/>
  <c r="F12" i="45"/>
  <c r="U26" i="45"/>
  <c r="F20" i="45"/>
  <c r="X20" i="45"/>
  <c r="V20" i="45"/>
  <c r="X13" i="2"/>
  <c r="Q12" i="42"/>
  <c r="S12" i="42"/>
  <c r="S9" i="42"/>
  <c r="Q9" i="42"/>
  <c r="U21" i="42"/>
  <c r="V21" i="2"/>
  <c r="X21" i="2"/>
  <c r="AH12" i="1"/>
  <c r="N12" i="1"/>
  <c r="L12" i="1"/>
  <c r="U20" i="42"/>
  <c r="V20" i="2"/>
  <c r="X20" i="2"/>
  <c r="S15" i="42"/>
  <c r="Q15" i="42"/>
  <c r="AJ18" i="42"/>
  <c r="F18" i="42"/>
  <c r="AI18" i="42"/>
  <c r="X18" i="42"/>
  <c r="V18" i="42"/>
  <c r="G20" i="1"/>
  <c r="I20" i="1"/>
  <c r="U16" i="42"/>
  <c r="V16" i="2"/>
  <c r="X16" i="2"/>
  <c r="Q30" i="42"/>
  <c r="S30" i="42"/>
  <c r="L10" i="1"/>
  <c r="AH10" i="1"/>
  <c r="N10" i="1"/>
  <c r="Q10" i="42"/>
  <c r="S10" i="42"/>
  <c r="U28" i="2"/>
  <c r="AF10" i="1"/>
  <c r="AD10" i="1"/>
  <c r="S13" i="42"/>
  <c r="Q13" i="42"/>
  <c r="Q25" i="2"/>
  <c r="S25" i="2"/>
  <c r="I21" i="1"/>
  <c r="G21" i="1"/>
  <c r="F32" i="1"/>
  <c r="P24" i="42"/>
  <c r="K26" i="1"/>
  <c r="I26" i="1"/>
  <c r="G26" i="1"/>
  <c r="P27" i="2"/>
  <c r="S24" i="2"/>
  <c r="Q24" i="2"/>
  <c r="F23" i="42"/>
  <c r="V23" i="42"/>
  <c r="AJ23" i="42"/>
  <c r="AI23" i="42"/>
  <c r="X23" i="42"/>
  <c r="U22" i="42"/>
  <c r="X22" i="2"/>
  <c r="V22" i="2"/>
  <c r="AD11" i="1"/>
  <c r="AF11" i="1"/>
  <c r="P25" i="42"/>
  <c r="L11" i="1"/>
  <c r="N11" i="1"/>
  <c r="K21" i="1"/>
  <c r="AH11" i="1"/>
  <c r="Q14" i="42"/>
  <c r="S14" i="42"/>
  <c r="U37" i="42"/>
  <c r="V37" i="2"/>
  <c r="AC21" i="1"/>
  <c r="X37" i="2"/>
  <c r="U15" i="42"/>
  <c r="V15" i="2"/>
  <c r="X15" i="2"/>
  <c r="Q34" i="42"/>
  <c r="S34" i="42"/>
  <c r="U7" i="42"/>
  <c r="V7" i="2"/>
  <c r="X7" i="2"/>
  <c r="U24" i="2"/>
  <c r="U31" i="42"/>
  <c r="X31" i="2"/>
  <c r="V31" i="2"/>
  <c r="P32" i="42"/>
  <c r="U9" i="42"/>
  <c r="V9" i="2"/>
  <c r="X9" i="2"/>
  <c r="U14" i="42"/>
  <c r="X14" i="2"/>
  <c r="V14" i="2"/>
  <c r="Q23" i="42"/>
  <c r="S23" i="42"/>
  <c r="Q26" i="2"/>
  <c r="S26" i="2"/>
  <c r="F13" i="42"/>
  <c r="V13" i="42"/>
  <c r="AI13" i="42"/>
  <c r="X13" i="42"/>
  <c r="G22" i="1"/>
  <c r="I22" i="1"/>
  <c r="U10" i="42"/>
  <c r="X10" i="2"/>
  <c r="V10" i="2"/>
  <c r="S17" i="42"/>
  <c r="Q17" i="42"/>
  <c r="S19" i="42"/>
  <c r="Q19" i="42"/>
  <c r="P26" i="42"/>
  <c r="U19" i="42"/>
  <c r="U26" i="2"/>
  <c r="X19" i="2"/>
  <c r="V19" i="2"/>
  <c r="S33" i="42"/>
  <c r="Q33" i="42"/>
  <c r="U8" i="42"/>
  <c r="V8" i="2"/>
  <c r="X8" i="2"/>
  <c r="AD12" i="1"/>
  <c r="AF12" i="1"/>
  <c r="K15" i="1"/>
  <c r="K20" i="1" s="1"/>
  <c r="G15" i="1"/>
  <c r="I15" i="1"/>
  <c r="AM17" i="43"/>
  <c r="AM18" i="43" s="1"/>
  <c r="AM18" i="41"/>
  <c r="U11" i="42"/>
  <c r="X11" i="2"/>
  <c r="V11" i="2"/>
  <c r="U25" i="2"/>
  <c r="Q28" i="42"/>
  <c r="G29" i="42"/>
  <c r="S28" i="42"/>
  <c r="U17" i="42"/>
  <c r="X17" i="2"/>
  <c r="V17" i="2"/>
  <c r="K17" i="1"/>
  <c r="I17" i="1"/>
  <c r="G17" i="1"/>
  <c r="U36" i="42"/>
  <c r="X36" i="2"/>
  <c r="V36" i="2"/>
  <c r="U12" i="42"/>
  <c r="X12" i="2"/>
  <c r="V12" i="2"/>
  <c r="F25" i="1"/>
  <c r="U28" i="45" l="1"/>
  <c r="U51" i="2"/>
  <c r="V51" i="2" s="1"/>
  <c r="X25" i="45"/>
  <c r="F25" i="45"/>
  <c r="V25" i="45"/>
  <c r="S27" i="45"/>
  <c r="Q27" i="45"/>
  <c r="X26" i="45"/>
  <c r="F26" i="45"/>
  <c r="V26" i="45"/>
  <c r="X24" i="45"/>
  <c r="F24" i="45"/>
  <c r="V24" i="45"/>
  <c r="U27" i="45"/>
  <c r="X28" i="45"/>
  <c r="U50" i="45"/>
  <c r="V50" i="45" s="1"/>
  <c r="V28" i="45"/>
  <c r="S32" i="45"/>
  <c r="Q32" i="45"/>
  <c r="U28" i="42"/>
  <c r="X28" i="2"/>
  <c r="V28" i="2"/>
  <c r="P39" i="2"/>
  <c r="P38" i="45" s="1"/>
  <c r="P46" i="2"/>
  <c r="P45" i="45" s="1"/>
  <c r="F13" i="1"/>
  <c r="U34" i="2"/>
  <c r="U34" i="45" s="1"/>
  <c r="X19" i="42"/>
  <c r="F19" i="42"/>
  <c r="V19" i="42"/>
  <c r="AJ19" i="42"/>
  <c r="AI19" i="42"/>
  <c r="U26" i="42"/>
  <c r="F11" i="42"/>
  <c r="U25" i="42"/>
  <c r="V11" i="42"/>
  <c r="AI11" i="42"/>
  <c r="X11" i="42"/>
  <c r="S26" i="42"/>
  <c r="Q26" i="42"/>
  <c r="AF21" i="1"/>
  <c r="AD21" i="1"/>
  <c r="V14" i="42"/>
  <c r="X14" i="42"/>
  <c r="F14" i="42"/>
  <c r="AI14" i="42"/>
  <c r="U33" i="2"/>
  <c r="F12" i="42"/>
  <c r="AI12" i="42"/>
  <c r="V12" i="42"/>
  <c r="X12" i="42"/>
  <c r="U58" i="42"/>
  <c r="V58" i="42" s="1"/>
  <c r="AH21" i="1"/>
  <c r="X37" i="42"/>
  <c r="V37" i="42"/>
  <c r="AK10" i="1"/>
  <c r="AI10" i="1"/>
  <c r="L20" i="1"/>
  <c r="N20" i="1"/>
  <c r="F18" i="1"/>
  <c r="AI10" i="42"/>
  <c r="X10" i="42"/>
  <c r="F10" i="42"/>
  <c r="V10" i="42"/>
  <c r="Q24" i="42"/>
  <c r="P27" i="42"/>
  <c r="S24" i="42"/>
  <c r="V25" i="2"/>
  <c r="X25" i="2"/>
  <c r="X26" i="2"/>
  <c r="V26" i="2"/>
  <c r="Q32" i="42"/>
  <c r="S32" i="42"/>
  <c r="L15" i="1"/>
  <c r="N15" i="1"/>
  <c r="N17" i="1"/>
  <c r="L17" i="1"/>
  <c r="AJ31" i="42"/>
  <c r="V31" i="42"/>
  <c r="AK31" i="42" s="1"/>
  <c r="X31" i="42"/>
  <c r="I32" i="1"/>
  <c r="AC17" i="1"/>
  <c r="G32" i="1"/>
  <c r="K22" i="1"/>
  <c r="S27" i="2"/>
  <c r="Q27" i="2"/>
  <c r="V24" i="2"/>
  <c r="U27" i="2"/>
  <c r="X24" i="2"/>
  <c r="S25" i="42"/>
  <c r="Q25" i="42"/>
  <c r="AI12" i="1"/>
  <c r="AK12" i="1"/>
  <c r="X9" i="42"/>
  <c r="AI9" i="42"/>
  <c r="F9" i="42"/>
  <c r="V9" i="42"/>
  <c r="X15" i="42"/>
  <c r="V15" i="42"/>
  <c r="F15" i="42"/>
  <c r="AI15" i="42"/>
  <c r="AK11" i="1"/>
  <c r="AI11" i="1"/>
  <c r="K25" i="1"/>
  <c r="G25" i="1"/>
  <c r="I25" i="1"/>
  <c r="V17" i="42"/>
  <c r="F17" i="42"/>
  <c r="X17" i="42"/>
  <c r="AI17" i="42"/>
  <c r="X16" i="42"/>
  <c r="F16" i="42"/>
  <c r="AI16" i="42"/>
  <c r="V16" i="42"/>
  <c r="V8" i="42"/>
  <c r="X8" i="42"/>
  <c r="F8" i="42"/>
  <c r="AI8" i="42"/>
  <c r="X7" i="42"/>
  <c r="V7" i="42"/>
  <c r="AJ7" i="42"/>
  <c r="AI7" i="42"/>
  <c r="U24" i="42"/>
  <c r="F7" i="42"/>
  <c r="F21" i="42"/>
  <c r="X21" i="42"/>
  <c r="AJ21" i="42"/>
  <c r="V21" i="42"/>
  <c r="AI21" i="42"/>
  <c r="F30" i="1"/>
  <c r="L21" i="1"/>
  <c r="N21" i="1"/>
  <c r="K32" i="1"/>
  <c r="V36" i="42"/>
  <c r="X36" i="42"/>
  <c r="U57" i="42"/>
  <c r="V57" i="42" s="1"/>
  <c r="N26" i="1"/>
  <c r="L26" i="1"/>
  <c r="F22" i="42"/>
  <c r="AI22" i="42"/>
  <c r="X22" i="42"/>
  <c r="AJ22" i="42"/>
  <c r="V22" i="42"/>
  <c r="F20" i="42"/>
  <c r="X20" i="42"/>
  <c r="V20" i="42"/>
  <c r="AI20" i="42"/>
  <c r="U33" i="45" l="1"/>
  <c r="U56" i="2"/>
  <c r="U53" i="2"/>
  <c r="F27" i="45"/>
  <c r="X27" i="45"/>
  <c r="V27" i="45"/>
  <c r="V34" i="45"/>
  <c r="X34" i="45"/>
  <c r="S38" i="45"/>
  <c r="Q38" i="45"/>
  <c r="P40" i="45"/>
  <c r="X33" i="45"/>
  <c r="V33" i="45"/>
  <c r="U52" i="45"/>
  <c r="V52" i="45" s="1"/>
  <c r="AC15" i="1"/>
  <c r="I30" i="1"/>
  <c r="G30" i="1"/>
  <c r="F31" i="1"/>
  <c r="F25" i="42"/>
  <c r="X25" i="42"/>
  <c r="AI25" i="42"/>
  <c r="V25" i="42"/>
  <c r="V27" i="2"/>
  <c r="X27" i="2"/>
  <c r="AK21" i="1"/>
  <c r="AI21" i="1"/>
  <c r="U27" i="42"/>
  <c r="X24" i="42"/>
  <c r="V24" i="42"/>
  <c r="AI24" i="42"/>
  <c r="F24" i="42"/>
  <c r="L25" i="1"/>
  <c r="N25" i="1"/>
  <c r="S27" i="42"/>
  <c r="Q27" i="42"/>
  <c r="N22" i="1"/>
  <c r="L22" i="1"/>
  <c r="U33" i="42"/>
  <c r="T32" i="1"/>
  <c r="V33" i="2"/>
  <c r="AC20" i="1"/>
  <c r="X33" i="2"/>
  <c r="AF17" i="1"/>
  <c r="AD17" i="1"/>
  <c r="U34" i="42"/>
  <c r="V34" i="2"/>
  <c r="T33" i="1"/>
  <c r="X34" i="2"/>
  <c r="K13" i="1"/>
  <c r="G13" i="1"/>
  <c r="AC13" i="1"/>
  <c r="F23" i="1"/>
  <c r="I13" i="1"/>
  <c r="F14" i="1"/>
  <c r="K18" i="1"/>
  <c r="I18" i="1"/>
  <c r="G18" i="1"/>
  <c r="F19" i="1"/>
  <c r="P46" i="42"/>
  <c r="F26" i="42"/>
  <c r="X26" i="42"/>
  <c r="V26" i="42"/>
  <c r="AI26" i="42"/>
  <c r="P39" i="42"/>
  <c r="Q39" i="2"/>
  <c r="S39" i="2"/>
  <c r="P41" i="2"/>
  <c r="K30" i="1"/>
  <c r="L32" i="1"/>
  <c r="N32" i="1"/>
  <c r="AH17" i="1"/>
  <c r="X28" i="42"/>
  <c r="U51" i="42"/>
  <c r="V51" i="42" s="1"/>
  <c r="V28" i="42"/>
  <c r="V53" i="2" l="1"/>
  <c r="V56" i="2"/>
  <c r="S40" i="45"/>
  <c r="Q40" i="45"/>
  <c r="P42" i="45"/>
  <c r="AI27" i="42"/>
  <c r="V27" i="42"/>
  <c r="F27" i="42"/>
  <c r="X27" i="42"/>
  <c r="W32" i="1"/>
  <c r="U32" i="1"/>
  <c r="U33" i="1"/>
  <c r="W33" i="1"/>
  <c r="L18" i="1"/>
  <c r="N18" i="1"/>
  <c r="K19" i="1"/>
  <c r="U53" i="42"/>
  <c r="V53" i="42" s="1"/>
  <c r="AH20" i="1"/>
  <c r="X33" i="42"/>
  <c r="V33" i="42"/>
  <c r="U56" i="42"/>
  <c r="X34" i="42"/>
  <c r="V34" i="42"/>
  <c r="AF20" i="1"/>
  <c r="AD20" i="1"/>
  <c r="A14" i="1"/>
  <c r="G14" i="1"/>
  <c r="I14" i="1"/>
  <c r="AI17" i="1"/>
  <c r="AK17" i="1"/>
  <c r="I23" i="1"/>
  <c r="G23" i="1"/>
  <c r="F24" i="1"/>
  <c r="G19" i="1"/>
  <c r="I19" i="1"/>
  <c r="AD13" i="1"/>
  <c r="AF13" i="1"/>
  <c r="AC14" i="1"/>
  <c r="Q39" i="42"/>
  <c r="S39" i="42"/>
  <c r="P41" i="42"/>
  <c r="N30" i="1"/>
  <c r="AH15" i="1"/>
  <c r="L30" i="1"/>
  <c r="K31" i="1"/>
  <c r="G31" i="1"/>
  <c r="I31" i="1"/>
  <c r="AC16" i="1"/>
  <c r="S41" i="2"/>
  <c r="Q41" i="2"/>
  <c r="P43" i="2"/>
  <c r="AH13" i="1"/>
  <c r="N13" i="1"/>
  <c r="K23" i="1"/>
  <c r="L13" i="1"/>
  <c r="K14" i="1"/>
  <c r="AD15" i="1"/>
  <c r="AF15" i="1"/>
  <c r="S42" i="45" l="1"/>
  <c r="P43" i="45"/>
  <c r="Q42" i="45"/>
  <c r="G42" i="45"/>
  <c r="P46" i="45"/>
  <c r="N14" i="1"/>
  <c r="B14" i="1"/>
  <c r="L14" i="1"/>
  <c r="AF16" i="1"/>
  <c r="AD16" i="1"/>
  <c r="AK13" i="1"/>
  <c r="AI13" i="1"/>
  <c r="AH14" i="1"/>
  <c r="AI20" i="1"/>
  <c r="AK20" i="1"/>
  <c r="G43" i="2"/>
  <c r="S43" i="2"/>
  <c r="Q43" i="2"/>
  <c r="P44" i="2"/>
  <c r="P47" i="2"/>
  <c r="AH16" i="1"/>
  <c r="N31" i="1"/>
  <c r="L31" i="1"/>
  <c r="AI15" i="1"/>
  <c r="AK15" i="1"/>
  <c r="AF14" i="1"/>
  <c r="AD14" i="1"/>
  <c r="L23" i="1"/>
  <c r="N23" i="1"/>
  <c r="K24" i="1"/>
  <c r="L19" i="1"/>
  <c r="N19" i="1"/>
  <c r="Q41" i="42"/>
  <c r="S41" i="42"/>
  <c r="P43" i="42"/>
  <c r="I24" i="1"/>
  <c r="G24" i="1"/>
  <c r="V56" i="42"/>
  <c r="AK16" i="1" l="1"/>
  <c r="AI16" i="1"/>
  <c r="AK14" i="1"/>
  <c r="AI14" i="1"/>
  <c r="N24" i="1"/>
  <c r="L24" i="1"/>
  <c r="G43" i="42"/>
  <c r="S43" i="42"/>
  <c r="P44" i="42"/>
  <c r="Q43" i="42"/>
  <c r="P47" i="42"/>
  <c r="U29" i="2" l="1"/>
  <c r="U29" i="45" s="1"/>
  <c r="U30" i="2"/>
  <c r="U30" i="45" s="1"/>
  <c r="V30" i="45" l="1"/>
  <c r="X30" i="45"/>
  <c r="X29" i="45"/>
  <c r="U32" i="45"/>
  <c r="V29" i="45"/>
  <c r="U30" i="42"/>
  <c r="V30" i="2"/>
  <c r="X30" i="2"/>
  <c r="F27" i="1"/>
  <c r="U29" i="42"/>
  <c r="X29" i="2"/>
  <c r="V29" i="2"/>
  <c r="U32" i="2"/>
  <c r="U52" i="2" s="1"/>
  <c r="V52" i="2" s="1"/>
  <c r="U35" i="2"/>
  <c r="U35" i="45" l="1"/>
  <c r="U50" i="2"/>
  <c r="X35" i="45"/>
  <c r="V35" i="45"/>
  <c r="U49" i="45"/>
  <c r="V32" i="45"/>
  <c r="U51" i="45"/>
  <c r="V51" i="45" s="1"/>
  <c r="X32" i="45"/>
  <c r="U38" i="2"/>
  <c r="U35" i="42"/>
  <c r="AC19" i="1"/>
  <c r="X35" i="2"/>
  <c r="V35" i="2"/>
  <c r="T34" i="1"/>
  <c r="X32" i="2"/>
  <c r="AM20" i="41"/>
  <c r="V32" i="2"/>
  <c r="X29" i="42"/>
  <c r="AJ29" i="42"/>
  <c r="AJ32" i="42" s="1"/>
  <c r="V29" i="42"/>
  <c r="AK29" i="42" s="1"/>
  <c r="AK32" i="42" s="1"/>
  <c r="U32" i="42"/>
  <c r="K27" i="1"/>
  <c r="G27" i="1"/>
  <c r="I27" i="1"/>
  <c r="F33" i="1"/>
  <c r="F28" i="1"/>
  <c r="V30" i="42"/>
  <c r="AK30" i="42" s="1"/>
  <c r="AJ30" i="42"/>
  <c r="X30" i="42"/>
  <c r="W50" i="2" l="1"/>
  <c r="V50" i="2"/>
  <c r="U37" i="45"/>
  <c r="V37" i="45" s="1"/>
  <c r="U59" i="2"/>
  <c r="X37" i="45"/>
  <c r="W49" i="45"/>
  <c r="V49" i="45"/>
  <c r="U52" i="42"/>
  <c r="V52" i="42" s="1"/>
  <c r="V32" i="42"/>
  <c r="X32" i="42"/>
  <c r="AM20" i="43"/>
  <c r="AM22" i="41"/>
  <c r="AM21" i="41"/>
  <c r="U39" i="2"/>
  <c r="U46" i="2"/>
  <c r="U45" i="45" s="1"/>
  <c r="F38" i="1"/>
  <c r="K38" i="1" s="1"/>
  <c r="U34" i="1"/>
  <c r="W34" i="1"/>
  <c r="AD19" i="1"/>
  <c r="AF19" i="1"/>
  <c r="N27" i="1"/>
  <c r="L27" i="1"/>
  <c r="K33" i="1"/>
  <c r="K28" i="1"/>
  <c r="K29" i="1" s="1"/>
  <c r="I28" i="1"/>
  <c r="G28" i="1"/>
  <c r="F34" i="1"/>
  <c r="F35" i="1" s="1"/>
  <c r="V35" i="42"/>
  <c r="AH19" i="1"/>
  <c r="X35" i="42"/>
  <c r="U50" i="42"/>
  <c r="F29" i="1"/>
  <c r="U38" i="42"/>
  <c r="V38" i="2"/>
  <c r="X38" i="2"/>
  <c r="I33" i="1"/>
  <c r="G33" i="1"/>
  <c r="AC18" i="1"/>
  <c r="U60" i="2" l="1"/>
  <c r="V60" i="2" s="1"/>
  <c r="U38" i="45"/>
  <c r="V59" i="2"/>
  <c r="V61" i="2" s="1"/>
  <c r="U61" i="2"/>
  <c r="U54" i="2"/>
  <c r="V38" i="45"/>
  <c r="X38" i="45"/>
  <c r="U40" i="45"/>
  <c r="U53" i="45"/>
  <c r="V53" i="45" s="1"/>
  <c r="L29" i="1"/>
  <c r="N29" i="1"/>
  <c r="L33" i="1"/>
  <c r="AH18" i="1"/>
  <c r="N33" i="1"/>
  <c r="U46" i="42"/>
  <c r="U39" i="42"/>
  <c r="V39" i="2"/>
  <c r="X39" i="2"/>
  <c r="U41" i="2"/>
  <c r="I35" i="1"/>
  <c r="G35" i="1"/>
  <c r="F40" i="1"/>
  <c r="F36" i="1"/>
  <c r="F39" i="1"/>
  <c r="V50" i="42"/>
  <c r="W50" i="42"/>
  <c r="AM22" i="43"/>
  <c r="AM21" i="43"/>
  <c r="AF18" i="1"/>
  <c r="AD18" i="1"/>
  <c r="L28" i="1"/>
  <c r="N28" i="1"/>
  <c r="K34" i="1"/>
  <c r="K35" i="1" s="1"/>
  <c r="V38" i="42"/>
  <c r="U59" i="42"/>
  <c r="X38" i="42"/>
  <c r="G34" i="1"/>
  <c r="I34" i="1"/>
  <c r="AK19" i="1"/>
  <c r="AI19" i="1"/>
  <c r="I29" i="1"/>
  <c r="G29" i="1"/>
  <c r="V54" i="2" l="1"/>
  <c r="V55" i="2" s="1"/>
  <c r="U55" i="2"/>
  <c r="X40" i="45"/>
  <c r="V40" i="45"/>
  <c r="U42" i="45"/>
  <c r="L35" i="1"/>
  <c r="K36" i="1"/>
  <c r="K40" i="1"/>
  <c r="N35" i="1"/>
  <c r="K39" i="1"/>
  <c r="X41" i="2"/>
  <c r="T36" i="1"/>
  <c r="AC26" i="1"/>
  <c r="V41" i="2"/>
  <c r="U43" i="2"/>
  <c r="X39" i="42"/>
  <c r="U60" i="42"/>
  <c r="V60" i="42" s="1"/>
  <c r="V39" i="42"/>
  <c r="U54" i="42"/>
  <c r="V54" i="42" s="1"/>
  <c r="I36" i="1"/>
  <c r="AF24" i="1" s="1"/>
  <c r="AC24" i="1"/>
  <c r="G36" i="1"/>
  <c r="AD24" i="1" s="1"/>
  <c r="AI18" i="1"/>
  <c r="AK18" i="1"/>
  <c r="V59" i="42"/>
  <c r="L34" i="1"/>
  <c r="N34" i="1"/>
  <c r="U41" i="42"/>
  <c r="X42" i="45" l="1"/>
  <c r="V42" i="45"/>
  <c r="U43" i="45"/>
  <c r="G43" i="45"/>
  <c r="U46" i="45"/>
  <c r="V43" i="2"/>
  <c r="G44" i="2"/>
  <c r="X43" i="2"/>
  <c r="U44" i="2"/>
  <c r="U47" i="2"/>
  <c r="U61" i="42"/>
  <c r="AD26" i="1"/>
  <c r="AF26" i="1" s="1"/>
  <c r="AC22" i="1"/>
  <c r="X41" i="42"/>
  <c r="AH26" i="1"/>
  <c r="AH22" i="1" s="1"/>
  <c r="V41" i="42"/>
  <c r="U43" i="42"/>
  <c r="V61" i="42"/>
  <c r="AH24" i="1"/>
  <c r="L36" i="1"/>
  <c r="AI24" i="1" s="1"/>
  <c r="N36" i="1"/>
  <c r="AK24" i="1" s="1"/>
  <c r="T35" i="1"/>
  <c r="U36" i="1"/>
  <c r="W36" i="1"/>
  <c r="W35" i="1" l="1"/>
  <c r="U35" i="1"/>
  <c r="X43" i="42"/>
  <c r="G44" i="42"/>
  <c r="V43" i="42"/>
  <c r="U44" i="42"/>
  <c r="U47" i="42"/>
  <c r="AF22" i="1"/>
  <c r="AD22" i="1"/>
  <c r="AC23" i="1"/>
  <c r="AK22" i="1"/>
  <c r="AI22" i="1"/>
  <c r="AH23" i="1"/>
  <c r="AK23" i="1" l="1"/>
  <c r="AI23" i="1"/>
  <c r="AD23" i="1"/>
  <c r="AF23" i="1"/>
  <c r="K29" i="46" l="1"/>
  <c r="K29" i="2"/>
  <c r="K9" i="46"/>
  <c r="K9" i="2"/>
  <c r="K30" i="46"/>
  <c r="K30" i="2"/>
  <c r="K7" i="46"/>
  <c r="K7" i="2"/>
  <c r="K8" i="46"/>
  <c r="K8" i="2"/>
  <c r="K10" i="46"/>
  <c r="K10" i="2"/>
  <c r="K31" i="46"/>
  <c r="K31" i="2"/>
  <c r="K11" i="46"/>
  <c r="K11" i="2"/>
  <c r="K13" i="46"/>
  <c r="K13" i="2"/>
  <c r="K16" i="46"/>
  <c r="K16" i="2"/>
  <c r="K17" i="46"/>
  <c r="K17" i="2"/>
  <c r="K15" i="46"/>
  <c r="K15" i="2"/>
  <c r="K14" i="46"/>
  <c r="K14" i="2"/>
  <c r="K19" i="46"/>
  <c r="K19" i="2"/>
  <c r="K12" i="46"/>
  <c r="K12" i="2"/>
  <c r="K18" i="46"/>
  <c r="K18" i="2"/>
  <c r="K21" i="46"/>
  <c r="K21" i="2"/>
  <c r="K20" i="46"/>
  <c r="K20" i="2"/>
  <c r="K22" i="46"/>
  <c r="K22" i="2"/>
  <c r="K23" i="46"/>
  <c r="K23" i="2"/>
  <c r="K16" i="45" l="1"/>
  <c r="K16" i="42"/>
  <c r="L16" i="2"/>
  <c r="N16" i="2"/>
  <c r="N20" i="46"/>
  <c r="L20" i="46"/>
  <c r="N11" i="46"/>
  <c r="L11" i="46"/>
  <c r="K25" i="46"/>
  <c r="K20" i="45"/>
  <c r="L20" i="2"/>
  <c r="K20" i="42"/>
  <c r="N20" i="2"/>
  <c r="K21" i="45"/>
  <c r="N21" i="2"/>
  <c r="L21" i="2"/>
  <c r="K21" i="42"/>
  <c r="K31" i="45"/>
  <c r="K31" i="42"/>
  <c r="N31" i="2"/>
  <c r="L31" i="2"/>
  <c r="N21" i="46"/>
  <c r="L21" i="46"/>
  <c r="K8" i="45"/>
  <c r="K8" i="42"/>
  <c r="L8" i="2"/>
  <c r="N8" i="2"/>
  <c r="L22" i="46"/>
  <c r="N22" i="46"/>
  <c r="N12" i="46"/>
  <c r="L12" i="46"/>
  <c r="L8" i="46"/>
  <c r="N8" i="46"/>
  <c r="K11" i="45"/>
  <c r="K25" i="2"/>
  <c r="K11" i="42"/>
  <c r="L11" i="2"/>
  <c r="N11" i="2"/>
  <c r="K12" i="45"/>
  <c r="N12" i="2"/>
  <c r="L12" i="2"/>
  <c r="K12" i="42"/>
  <c r="K7" i="45"/>
  <c r="K7" i="42"/>
  <c r="N7" i="2"/>
  <c r="L7" i="2"/>
  <c r="K24" i="2"/>
  <c r="N18" i="46"/>
  <c r="L18" i="46"/>
  <c r="K24" i="46"/>
  <c r="L7" i="46"/>
  <c r="N7" i="46"/>
  <c r="K18" i="45"/>
  <c r="K18" i="42"/>
  <c r="N18" i="2"/>
  <c r="L18" i="2"/>
  <c r="K30" i="45"/>
  <c r="K30" i="42"/>
  <c r="N30" i="2"/>
  <c r="L30" i="2"/>
  <c r="L23" i="46"/>
  <c r="N23" i="46"/>
  <c r="K10" i="45"/>
  <c r="L10" i="2"/>
  <c r="K10" i="42"/>
  <c r="N10" i="2"/>
  <c r="L30" i="46"/>
  <c r="N30" i="46"/>
  <c r="L22" i="2"/>
  <c r="K22" i="45"/>
  <c r="N22" i="2"/>
  <c r="K22" i="42"/>
  <c r="K26" i="46"/>
  <c r="L19" i="46"/>
  <c r="N19" i="46"/>
  <c r="K9" i="45"/>
  <c r="N9" i="2"/>
  <c r="K9" i="42"/>
  <c r="L9" i="2"/>
  <c r="K13" i="45"/>
  <c r="K13" i="42"/>
  <c r="L13" i="2"/>
  <c r="N13" i="2"/>
  <c r="L14" i="46"/>
  <c r="N14" i="46"/>
  <c r="N9" i="46"/>
  <c r="L9" i="46"/>
  <c r="K23" i="45"/>
  <c r="N23" i="2"/>
  <c r="K23" i="42"/>
  <c r="L23" i="2"/>
  <c r="N13" i="46"/>
  <c r="L13" i="46"/>
  <c r="N10" i="46"/>
  <c r="L10" i="46"/>
  <c r="K14" i="45"/>
  <c r="K14" i="42"/>
  <c r="L14" i="2"/>
  <c r="N14" i="2"/>
  <c r="K15" i="45"/>
  <c r="L15" i="2"/>
  <c r="K15" i="42"/>
  <c r="N15" i="2"/>
  <c r="K17" i="45"/>
  <c r="K17" i="42"/>
  <c r="N17" i="2"/>
  <c r="L17" i="2"/>
  <c r="K29" i="45"/>
  <c r="K29" i="42"/>
  <c r="L29" i="2"/>
  <c r="K32" i="2"/>
  <c r="N29" i="2"/>
  <c r="N16" i="46"/>
  <c r="L16" i="46"/>
  <c r="N31" i="46"/>
  <c r="L31" i="46"/>
  <c r="K19" i="45"/>
  <c r="N19" i="2"/>
  <c r="K19" i="42"/>
  <c r="L19" i="2"/>
  <c r="K26" i="2"/>
  <c r="N15" i="46"/>
  <c r="L15" i="46"/>
  <c r="N17" i="46"/>
  <c r="L17" i="46"/>
  <c r="K32" i="46"/>
  <c r="N29" i="46"/>
  <c r="L29" i="46"/>
  <c r="G15" i="45" l="1"/>
  <c r="N15" i="45"/>
  <c r="L15" i="45"/>
  <c r="G14" i="42"/>
  <c r="L14" i="42"/>
  <c r="N14" i="42"/>
  <c r="L25" i="2"/>
  <c r="N25" i="2"/>
  <c r="N12" i="45"/>
  <c r="G12" i="45"/>
  <c r="L12" i="45"/>
  <c r="N18" i="42"/>
  <c r="G18" i="42"/>
  <c r="L18" i="42"/>
  <c r="N11" i="45"/>
  <c r="K25" i="45"/>
  <c r="G11" i="45"/>
  <c r="L11" i="45"/>
  <c r="G21" i="45"/>
  <c r="L21" i="45"/>
  <c r="N21" i="45"/>
  <c r="G19" i="42"/>
  <c r="N19" i="42"/>
  <c r="L19" i="42"/>
  <c r="L30" i="45"/>
  <c r="N30" i="45"/>
  <c r="K27" i="46"/>
  <c r="L24" i="46"/>
  <c r="N24" i="46"/>
  <c r="N20" i="45"/>
  <c r="G20" i="45"/>
  <c r="L20" i="45"/>
  <c r="N31" i="42"/>
  <c r="L31" i="42"/>
  <c r="G9" i="45"/>
  <c r="L9" i="45"/>
  <c r="N9" i="45"/>
  <c r="L25" i="46"/>
  <c r="N25" i="46"/>
  <c r="L13" i="45"/>
  <c r="N13" i="45"/>
  <c r="G13" i="45"/>
  <c r="G20" i="42"/>
  <c r="N20" i="42"/>
  <c r="L20" i="42"/>
  <c r="N23" i="45"/>
  <c r="G23" i="45"/>
  <c r="L23" i="45"/>
  <c r="L30" i="42"/>
  <c r="N30" i="42"/>
  <c r="L18" i="45"/>
  <c r="N18" i="45"/>
  <c r="G18" i="45"/>
  <c r="K27" i="2"/>
  <c r="L24" i="2"/>
  <c r="N24" i="2"/>
  <c r="AM12" i="41"/>
  <c r="N32" i="2"/>
  <c r="L32" i="2"/>
  <c r="N10" i="42"/>
  <c r="L10" i="42"/>
  <c r="G10" i="42"/>
  <c r="N8" i="42"/>
  <c r="G8" i="42"/>
  <c r="L8" i="42"/>
  <c r="L11" i="42"/>
  <c r="G11" i="42"/>
  <c r="K25" i="42"/>
  <c r="N11" i="42"/>
  <c r="L17" i="45"/>
  <c r="N17" i="45"/>
  <c r="G17" i="45"/>
  <c r="G7" i="42"/>
  <c r="L7" i="42"/>
  <c r="N7" i="42"/>
  <c r="K24" i="42"/>
  <c r="N8" i="45"/>
  <c r="G8" i="45"/>
  <c r="L8" i="45"/>
  <c r="L21" i="42"/>
  <c r="G21" i="42"/>
  <c r="N21" i="42"/>
  <c r="G23" i="42"/>
  <c r="L23" i="42"/>
  <c r="N23" i="42"/>
  <c r="L10" i="45"/>
  <c r="G10" i="45"/>
  <c r="N10" i="45"/>
  <c r="L7" i="45"/>
  <c r="G7" i="45"/>
  <c r="K24" i="45"/>
  <c r="N7" i="45"/>
  <c r="N31" i="45"/>
  <c r="L31" i="45"/>
  <c r="L14" i="45"/>
  <c r="G14" i="45"/>
  <c r="N14" i="45"/>
  <c r="N26" i="46"/>
  <c r="L26" i="46"/>
  <c r="N22" i="45"/>
  <c r="G22" i="45"/>
  <c r="L22" i="45"/>
  <c r="K32" i="45"/>
  <c r="L29" i="45"/>
  <c r="N29" i="45"/>
  <c r="L32" i="46"/>
  <c r="N32" i="46"/>
  <c r="G15" i="42"/>
  <c r="L15" i="42"/>
  <c r="N15" i="42"/>
  <c r="N12" i="42"/>
  <c r="L12" i="42"/>
  <c r="G12" i="42"/>
  <c r="G16" i="42"/>
  <c r="L16" i="42"/>
  <c r="N16" i="42"/>
  <c r="L9" i="42"/>
  <c r="N9" i="42"/>
  <c r="G9" i="42"/>
  <c r="N19" i="45"/>
  <c r="G19" i="45"/>
  <c r="L19" i="45"/>
  <c r="K26" i="45"/>
  <c r="K26" i="42"/>
  <c r="N22" i="42"/>
  <c r="G22" i="42"/>
  <c r="L22" i="42"/>
  <c r="L29" i="42"/>
  <c r="N29" i="42"/>
  <c r="K32" i="42"/>
  <c r="N17" i="42"/>
  <c r="L17" i="42"/>
  <c r="G17" i="42"/>
  <c r="N26" i="2"/>
  <c r="L26" i="2"/>
  <c r="L13" i="42"/>
  <c r="N13" i="42"/>
  <c r="G13" i="42"/>
  <c r="G16" i="45"/>
  <c r="N16" i="45"/>
  <c r="L16" i="45"/>
  <c r="L27" i="2" l="1"/>
  <c r="G27" i="2"/>
  <c r="N27" i="2"/>
  <c r="N24" i="42"/>
  <c r="K27" i="42"/>
  <c r="L24" i="42"/>
  <c r="G24" i="42"/>
  <c r="N32" i="42"/>
  <c r="G32" i="42"/>
  <c r="L32" i="42"/>
  <c r="N25" i="42"/>
  <c r="G25" i="42"/>
  <c r="L25" i="42"/>
  <c r="AM13" i="41"/>
  <c r="AM12" i="43"/>
  <c r="AM13" i="43" s="1"/>
  <c r="G27" i="46"/>
  <c r="N27" i="46"/>
  <c r="L27" i="46"/>
  <c r="L25" i="45"/>
  <c r="N25" i="45"/>
  <c r="G25" i="45"/>
  <c r="N26" i="42"/>
  <c r="L26" i="42"/>
  <c r="G26" i="42"/>
  <c r="N32" i="45"/>
  <c r="L32" i="45"/>
  <c r="G32" i="45"/>
  <c r="N26" i="45"/>
  <c r="G26" i="45"/>
  <c r="L26" i="45"/>
  <c r="N24" i="45"/>
  <c r="G24" i="45"/>
  <c r="K27" i="45"/>
  <c r="L24" i="45"/>
  <c r="K28" i="46"/>
  <c r="K28" i="2"/>
  <c r="F8" i="1"/>
  <c r="AC8" i="1" l="1"/>
  <c r="I8" i="1"/>
  <c r="K8" i="1"/>
  <c r="G8" i="1"/>
  <c r="N28" i="46"/>
  <c r="L28" i="46"/>
  <c r="K28" i="45"/>
  <c r="K28" i="42"/>
  <c r="L28" i="2"/>
  <c r="N28" i="2"/>
  <c r="L27" i="42"/>
  <c r="N27" i="42"/>
  <c r="G27" i="42"/>
  <c r="N27" i="45"/>
  <c r="G27" i="45"/>
  <c r="L27" i="45"/>
  <c r="N28" i="42" l="1"/>
  <c r="G28" i="42"/>
  <c r="L28" i="42"/>
  <c r="L28" i="45"/>
  <c r="N28" i="45"/>
  <c r="G28" i="45"/>
  <c r="N8" i="1"/>
  <c r="L8" i="1"/>
  <c r="AH8" i="1"/>
  <c r="AF8" i="1"/>
  <c r="AD8" i="1"/>
  <c r="AK8" i="1" l="1"/>
  <c r="AI8" i="1"/>
  <c r="F7" i="1" l="1"/>
  <c r="F9" i="1"/>
  <c r="K9" i="1" l="1"/>
  <c r="I9" i="1"/>
  <c r="AC9" i="1"/>
  <c r="G9" i="1"/>
  <c r="AC7" i="1"/>
  <c r="A7" i="1"/>
  <c r="K7" i="1"/>
  <c r="G7" i="1"/>
  <c r="I7" i="1"/>
  <c r="N7" i="1" l="1"/>
  <c r="B7" i="1"/>
  <c r="L7" i="1"/>
  <c r="AH7" i="1"/>
  <c r="AF7" i="1"/>
  <c r="AD7" i="1"/>
  <c r="AD9" i="1"/>
  <c r="AF9" i="1"/>
  <c r="K45" i="46"/>
  <c r="K46" i="46" s="1"/>
  <c r="K46" i="2"/>
  <c r="L9" i="1"/>
  <c r="AH9" i="1"/>
  <c r="N9" i="1"/>
  <c r="K45" i="45" l="1"/>
  <c r="K46" i="45" s="1"/>
  <c r="K46" i="42"/>
  <c r="K47" i="42" s="1"/>
  <c r="K47" i="2"/>
  <c r="AK7" i="1"/>
  <c r="AI7" i="1"/>
  <c r="AI9" i="1"/>
  <c r="AK9" i="1"/>
</calcChain>
</file>

<file path=xl/sharedStrings.xml><?xml version="1.0" encoding="utf-8"?>
<sst xmlns="http://schemas.openxmlformats.org/spreadsheetml/2006/main" count="1030" uniqueCount="259">
  <si>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</si>
  <si>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</si>
  <si>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</si>
  <si>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</si>
  <si>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</si>
  <si>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</si>
  <si>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</si>
  <si>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</si>
  <si>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</si>
  <si>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</si>
  <si>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</si>
  <si>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</si>
  <si>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</si>
  <si>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</si>
  <si>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</si>
  <si>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</si>
  <si>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</si>
  <si>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</si>
  <si>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</si>
  <si>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</si>
  <si>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</si>
  <si>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</si>
  <si>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</si>
  <si>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</si>
  <si>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</si>
  <si>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</si>
  <si>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</si>
  <si>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</si>
  <si>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</si>
  <si>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</si>
  <si>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</si>
  <si>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</si>
  <si>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</si>
  <si>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</si>
  <si>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</si>
  <si>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</si>
  <si>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</si>
  <si>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</si>
  <si>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</si>
  <si>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</si>
  <si>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</si>
  <si>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</si>
  <si>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</si>
  <si>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</si>
  <si>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</si>
  <si>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</si>
  <si>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</si>
  <si>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</si>
  <si>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</si>
  <si>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</si>
  <si>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</si>
  <si>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</si>
  <si>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</si>
  <si>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</si>
  <si>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</si>
  <si>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</si>
  <si>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</si>
  <si>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</si>
  <si>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</si>
  <si>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</si>
  <si>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</si>
  <si>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</si>
  <si>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</si>
  <si>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</si>
  <si>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</si>
  <si>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</si>
  <si>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</si>
  <si>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</si>
  <si>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</si>
  <si>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</si>
  <si>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</si>
  <si>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</si>
  <si>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</si>
  <si>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</si>
  <si>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</si>
  <si>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</si>
  <si>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</si>
  <si>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</si>
  <si>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</si>
  <si>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</si>
  <si>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</si>
  <si>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</si>
  <si>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</si>
  <si>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</si>
  <si>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</si>
  <si>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</si>
  <si>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</si>
  <si>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</si>
  <si>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</si>
  <si>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</si>
  <si>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</si>
  <si>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</si>
  <si>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</si>
  <si>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</si>
  <si>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</si>
  <si>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</si>
  <si>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</si>
  <si>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</si>
  <si>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</si>
  <si>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</si>
  <si>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</si>
  <si>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</si>
  <si>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</si>
  <si>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</si>
  <si>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</si>
  <si>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</si>
  <si>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</si>
  <si>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</si>
  <si>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</si>
  <si>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</si>
  <si>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</si>
  <si>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</si>
  <si>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</si>
  <si>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</si>
  <si>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</si>
  <si>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</si>
  <si>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</si>
  <si>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</si>
  <si>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</si>
  <si>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</si>
  <si>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</si>
  <si>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</si>
  <si>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</si>
  <si>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</si>
  <si>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</si>
  <si>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</si>
  <si>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</si>
  <si>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</si>
  <si>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</si>
  <si>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</si>
  <si>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</si>
  <si>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</si>
  <si>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</si>
  <si>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</si>
  <si>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</si>
  <si>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</si>
  <si>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</si>
  <si>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</si>
  <si>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</si>
  <si>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</si>
  <si>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</si>
  <si>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</si>
  <si>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</si>
  <si>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</si>
  <si>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</si>
  <si>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</si>
  <si>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</si>
  <si>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</si>
  <si>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</si>
  <si>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</si>
  <si>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</si>
  <si>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</si>
  <si>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</si>
  <si>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</si>
  <si>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</si>
  <si>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</si>
  <si>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</si>
  <si>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</si>
  <si>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</si>
  <si>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</si>
  <si>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</si>
  <si>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</si>
  <si>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</si>
  <si>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</si>
  <si>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</si>
  <si>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</si>
  <si>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</si>
  <si>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</si>
  <si>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</si>
  <si>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</si>
  <si>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</si>
  <si>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</si>
  <si>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</si>
  <si>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</si>
  <si>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</si>
  <si>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</si>
  <si>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</si>
  <si>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</si>
  <si>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</si>
  <si>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</si>
  <si>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</si>
  <si>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</si>
  <si>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</si>
  <si>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</si>
  <si>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</si>
  <si>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</si>
  <si>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</si>
  <si>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</si>
  <si>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</si>
  <si>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</si>
  <si>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</si>
  <si>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</si>
  <si>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</si>
  <si>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</si>
  <si>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</si>
  <si>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</si>
  <si>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</si>
  <si>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</si>
  <si>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</si>
  <si>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</si>
  <si>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</si>
  <si>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</si>
  <si>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</si>
  <si>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</si>
  <si>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</si>
  <si>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</si>
  <si>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</si>
  <si>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</si>
  <si>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</si>
  <si>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</si>
  <si>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</si>
  <si>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</si>
  <si>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</si>
  <si>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</si>
  <si>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</si>
  <si>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임대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</si>
  <si>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</si>
  <si>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</si>
  <si>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</si>
  <si>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</si>
  <si>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</si>
  <si>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</si>
  <si>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</si>
  <si>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</si>
  <si>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</si>
  <si>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서해사1</t>
    <phoneticPr fontId="1" type="noConversion"/>
  </si>
  <si>
    <t>공통비</t>
    <phoneticPr fontId="1" type="noConversion"/>
  </si>
  <si>
    <t>8월</t>
  </si>
  <si>
    <t>7월</t>
    <phoneticPr fontId="1" type="noConversion"/>
  </si>
  <si>
    <t>레미콘</t>
    <phoneticPr fontId="1" type="noConversion"/>
  </si>
  <si>
    <t>건자재</t>
    <phoneticPr fontId="1" type="noConversion"/>
  </si>
  <si>
    <t>골재</t>
    <phoneticPr fontId="1" type="noConversion"/>
  </si>
  <si>
    <t>임대</t>
    <phoneticPr fontId="1" type="noConversion"/>
  </si>
  <si>
    <t>기타</t>
    <phoneticPr fontId="1" type="noConversion"/>
  </si>
  <si>
    <t xml:space="preserve">  - OPC 소급분 : 삼표 2.5억(총 9.9억 中 1회차) → 8~11월 총 4회 소급예정</t>
    <phoneticPr fontId="1" type="noConversion"/>
  </si>
  <si>
    <t>2024년 9월 마감 손익</t>
    <phoneticPr fontId="1" type="noConversion"/>
  </si>
  <si>
    <t>□ 건재사업본부 손익실적(2024-09)</t>
  </si>
  <si>
    <t>□ 건재부문 실적(9월)</t>
  </si>
  <si>
    <t>9월</t>
  </si>
  <si>
    <t>9월 누계</t>
  </si>
  <si>
    <t>9월 주요지표</t>
  </si>
  <si>
    <t>□ 사업장별 손익실적(2024-09)</t>
  </si>
  <si>
    <t>□ 사업장별 손익실적(2024-09누계)</t>
    <phoneticPr fontId="1" type="noConversion"/>
  </si>
  <si>
    <t>□ 레미콘 영업이익 차이분석(2024-09)</t>
  </si>
  <si>
    <t>□ 레미콘 원재료 원단위(2024-09)</t>
  </si>
  <si>
    <t>□ 2024년 레미콘 원재료단가(2024-09)</t>
  </si>
  <si>
    <t>□ 레미콘 단위당 공헌이익(2024-09)</t>
  </si>
  <si>
    <t>□ 건자재 손익실적(2024-09)</t>
  </si>
  <si>
    <t>9월누계</t>
  </si>
  <si>
    <t>9월</t>
    <phoneticPr fontId="1" type="noConversion"/>
  </si>
  <si>
    <t>□ 2024년 골재사업소 손익(2024-09)</t>
  </si>
  <si>
    <t>□ 2024년 골재사업소 손익(2024-09누계)</t>
  </si>
  <si>
    <t xml:space="preserve">  □ 대손 환입 : 4억</t>
    <phoneticPr fontId="1" type="noConversion"/>
  </si>
  <si>
    <t xml:space="preserve">    - 집합 대손 : 1.7억</t>
    <phoneticPr fontId="1" type="noConversion"/>
  </si>
  <si>
    <t xml:space="preserve">    - 개별 대손 : 2.3억(신일 1.2억, 남양건설 1.1억)</t>
    <phoneticPr fontId="1" type="noConversion"/>
  </si>
  <si>
    <t xml:space="preserve">  □ 3분기 총 대손 : 5.7억</t>
    <phoneticPr fontId="1" type="noConversion"/>
  </si>
  <si>
    <t xml:space="preserve">    - 집합대손 : 0.4억</t>
    <phoneticPr fontId="1" type="noConversion"/>
  </si>
  <si>
    <t xml:space="preserve">    - 개별 대손 : 11.7억(송학 0.9억, 계원토건 1.2억, 남양건설 1.7억, 선원건설 7.9억)</t>
    <phoneticPr fontId="1" type="noConversion"/>
  </si>
  <si>
    <t xml:space="preserve">    - 개별 대손환입 : -6.4억(신일 1.8억, 태영건설 3.1억, 남양건설 1.1억 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</si>
</sst>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59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9" fontId="6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12" borderId="0" xfId="0" applyNumberFormat="1" applyFont="1" applyFill="1">
      <alignment vertical="center"/>
    </xf>
    <xf numFmtId="9" fontId="6" fillId="0" borderId="0" xfId="1" applyNumberFormat="1" applyFont="1" applyFill="1" applyBorder="1" applyAlignment="1">
      <alignment vertical="center"/>
    </xf>
    <xf numFmtId="9" fontId="0" fillId="0" borderId="0" xfId="1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건자재!$Z$37:$AM$37</c:f>
              <c:strCache>
                <c:ptCount val="9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건자재!$Z$38:$AM$38</c:f>
              <c:numCache>
                <c:formatCode>#,##0_);[Red]\(#,##0\)</c:formatCode>
                <c:ptCount val="9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건자재!$Z$37:$AM$37</c:f>
              <c:strCache>
                <c:ptCount val="9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건자재!$Z$39:$AM$39</c:f>
              <c:numCache>
                <c:formatCode>0.0%</c:formatCode>
                <c:ptCount val="9"/>
                <c:pt idx="0">
                  <c:v>2.6651369945751794E-2</c:v>
                </c:pt>
                <c:pt idx="1">
                  <c:v>2.5582238806566245E-2</c:v>
                </c:pt>
                <c:pt idx="2">
                  <c:v>1.8641220384622476E-2</c:v>
                </c:pt>
                <c:pt idx="3">
                  <c:v>1.847120545626342E-2</c:v>
                </c:pt>
                <c:pt idx="4">
                  <c:v>2.607951153265552E-2</c:v>
                </c:pt>
                <c:pt idx="5">
                  <c:v>3.568968550509475E-2</c:v>
                </c:pt>
                <c:pt idx="6">
                  <c:v>1.0750284938609023E-2</c:v>
                </c:pt>
                <c:pt idx="7">
                  <c:v>2.1116076964595568E-2</c:v>
                </c:pt>
                <c:pt idx="8">
                  <c:v>1.8862051757392903E-2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27</xdr:row>
      <xdr:rowOff>299358</xdr:rowOff>
    </xdr:from>
    <xdr:to>
      <xdr:col>14</xdr:col>
      <xdr:colOff>635000</xdr:colOff>
      <xdr:row>34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8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1_&#47112;&#48120;&#53080;/&#47112;&#48120;&#53080;&#50896;&#44032;&#49552;&#51061;(2024-09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1_&#47112;&#48120;&#53080;/&#47112;&#48120;&#53080;&#50896;&#44032;&#49552;&#51061;(2024-09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3_&#44264;&#51116;/&#44264;&#51116;&#50896;&#44032;&#49552;&#51061;(2024-09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9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1_&#47112;&#48120;&#53080;/&#47112;&#48120;&#53080;&#50896;&#44032;&#49552;&#51061;(2024-09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1_&#47112;&#48120;&#53080;/&#47112;&#48120;&#53080;&#50896;&#44032;&#49552;&#51061;(2024-09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9/03_&#44264;&#51116;/&#44264;&#51116;&#49892;&#51201;(2024-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44000</v>
          </cell>
          <cell r="G7">
            <v>30000</v>
          </cell>
          <cell r="H7">
            <v>24000</v>
          </cell>
          <cell r="I7">
            <v>16500</v>
          </cell>
          <cell r="J7">
            <v>21000</v>
          </cell>
          <cell r="K7">
            <v>19000</v>
          </cell>
          <cell r="L7">
            <v>12000</v>
          </cell>
          <cell r="M7">
            <v>16000</v>
          </cell>
          <cell r="N7">
            <v>12000</v>
          </cell>
          <cell r="O7">
            <v>14000</v>
          </cell>
          <cell r="P7">
            <v>16000</v>
          </cell>
          <cell r="Q7">
            <v>10000</v>
          </cell>
          <cell r="R7">
            <v>25000</v>
          </cell>
          <cell r="S7">
            <v>12000</v>
          </cell>
          <cell r="T7">
            <v>7000</v>
          </cell>
          <cell r="U7">
            <v>4000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288500</v>
          </cell>
          <cell r="AA7">
            <v>6500</v>
          </cell>
          <cell r="AB7">
            <v>46669.63</v>
          </cell>
          <cell r="AC7">
            <v>41116.309768000385</v>
          </cell>
          <cell r="AD7">
            <v>26511.795321480207</v>
          </cell>
          <cell r="AE7">
            <v>114297.7350894806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39715507.970113583</v>
          </cell>
          <cell r="F8">
            <v>4453473.4000000004</v>
          </cell>
          <cell r="G8">
            <v>3105378.8305695998</v>
          </cell>
          <cell r="H8">
            <v>2390194.5134890852</v>
          </cell>
          <cell r="I8">
            <v>1599179</v>
          </cell>
          <cell r="J8">
            <v>2259600.7849999997</v>
          </cell>
          <cell r="K8">
            <v>1983641.8000000003</v>
          </cell>
          <cell r="L8">
            <v>1211992.8</v>
          </cell>
          <cell r="M8">
            <v>1664000</v>
          </cell>
          <cell r="N8">
            <v>1166521.8300000003</v>
          </cell>
          <cell r="O8">
            <v>1423730</v>
          </cell>
          <cell r="P8">
            <v>1564160</v>
          </cell>
          <cell r="Q8">
            <v>1012462</v>
          </cell>
          <cell r="R8">
            <v>2525003.5</v>
          </cell>
          <cell r="S8">
            <v>1228072.7600000002</v>
          </cell>
          <cell r="T8">
            <v>762999.02899999998</v>
          </cell>
          <cell r="U8">
            <v>431600</v>
          </cell>
          <cell r="V8">
            <v>760800</v>
          </cell>
          <cell r="W8">
            <v>0</v>
          </cell>
          <cell r="X8">
            <v>0</v>
          </cell>
          <cell r="Y8">
            <v>0</v>
          </cell>
          <cell r="Z8">
            <v>29542810.248058688</v>
          </cell>
          <cell r="AA8">
            <v>7946920.0000000009</v>
          </cell>
          <cell r="AB8">
            <v>561628.1166666667</v>
          </cell>
          <cell r="AC8">
            <v>744439.10998751165</v>
          </cell>
          <cell r="AD8">
            <v>754202.99506738409</v>
          </cell>
          <cell r="AE8">
            <v>2060270.2217215626</v>
          </cell>
          <cell r="AF8">
            <v>12500</v>
          </cell>
          <cell r="AG8">
            <v>50000</v>
          </cell>
          <cell r="AH8">
            <v>28340</v>
          </cell>
          <cell r="AI8">
            <v>67647.50033333333</v>
          </cell>
          <cell r="AJ8">
            <v>5250</v>
          </cell>
          <cell r="AK8">
            <v>0</v>
          </cell>
          <cell r="AL8">
            <v>163737.50033333333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101215.30454545456</v>
          </cell>
          <cell r="G9">
            <v>103512.62768565332</v>
          </cell>
          <cell r="H9">
            <v>99591.438062045214</v>
          </cell>
          <cell r="I9">
            <v>96919.939393939392</v>
          </cell>
          <cell r="J9">
            <v>107600.03738095237</v>
          </cell>
          <cell r="K9">
            <v>104402.20000000001</v>
          </cell>
          <cell r="L9">
            <v>100999.40000000001</v>
          </cell>
          <cell r="M9">
            <v>104000</v>
          </cell>
          <cell r="N9">
            <v>97210.152500000026</v>
          </cell>
          <cell r="O9">
            <v>101695</v>
          </cell>
          <cell r="P9">
            <v>97760</v>
          </cell>
          <cell r="Q9">
            <v>101246.2</v>
          </cell>
          <cell r="R9">
            <v>101000.14</v>
          </cell>
          <cell r="S9">
            <v>102339.39666666668</v>
          </cell>
          <cell r="T9">
            <v>108999.86128571429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102401.42200366962</v>
          </cell>
          <cell r="AA9">
            <v>1222603.076923077</v>
          </cell>
          <cell r="AB9">
            <v>12034.124047408704</v>
          </cell>
          <cell r="AC9">
            <v>18105.6888176012</v>
          </cell>
          <cell r="AD9">
            <v>28447.828067543916</v>
          </cell>
          <cell r="AE9">
            <v>18025.468484643487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33591460.163230874</v>
          </cell>
          <cell r="F10">
            <v>3665669.4679322322</v>
          </cell>
          <cell r="G10">
            <v>2625144.0332802176</v>
          </cell>
          <cell r="H10">
            <v>1994388.0445013864</v>
          </cell>
          <cell r="I10">
            <v>1294558.1543055247</v>
          </cell>
          <cell r="J10">
            <v>1793060.9458093322</v>
          </cell>
          <cell r="K10">
            <v>1590200.2778781157</v>
          </cell>
          <cell r="L10">
            <v>1012201.1082109594</v>
          </cell>
          <cell r="M10">
            <v>1369041.6432318327</v>
          </cell>
          <cell r="N10">
            <v>920991.87813783041</v>
          </cell>
          <cell r="O10">
            <v>1127024.0479030253</v>
          </cell>
          <cell r="P10">
            <v>1222905.3863322942</v>
          </cell>
          <cell r="Q10">
            <v>884418.36190147942</v>
          </cell>
          <cell r="R10">
            <v>2071353.5601554892</v>
          </cell>
          <cell r="S10">
            <v>965029.26947714249</v>
          </cell>
          <cell r="T10">
            <v>541488.46827852854</v>
          </cell>
          <cell r="U10">
            <v>361948.33436560788</v>
          </cell>
          <cell r="V10">
            <v>612049.02150620345</v>
          </cell>
          <cell r="W10">
            <v>0</v>
          </cell>
          <cell r="X10">
            <v>0</v>
          </cell>
          <cell r="Y10">
            <v>0</v>
          </cell>
          <cell r="Z10">
            <v>24051472.003207203</v>
          </cell>
          <cell r="AA10">
            <v>7743493.0223999992</v>
          </cell>
          <cell r="AB10">
            <v>450151.94000000012</v>
          </cell>
          <cell r="AC10">
            <v>656678.54837600258</v>
          </cell>
          <cell r="AD10">
            <v>651470.28524767293</v>
          </cell>
          <cell r="AE10">
            <v>1758300.7736236756</v>
          </cell>
          <cell r="AF10">
            <v>137.01400000000001</v>
          </cell>
          <cell r="AG10">
            <v>755.50800000000004</v>
          </cell>
          <cell r="AH10">
            <v>444.46899999999999</v>
          </cell>
          <cell r="AI10">
            <v>264.589</v>
          </cell>
          <cell r="AJ10">
            <v>184.95400000000001</v>
          </cell>
          <cell r="AK10">
            <v>0</v>
          </cell>
          <cell r="AL10">
            <v>1786.5339999999999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</row>
        <row r="11">
          <cell r="D11" t="str">
            <v xml:space="preserve"> - 단  위  당</v>
          </cell>
          <cell r="F11">
            <v>83310.669725732558</v>
          </cell>
          <cell r="G11">
            <v>87504.801109340595</v>
          </cell>
          <cell r="H11">
            <v>83099.501854224422</v>
          </cell>
          <cell r="I11">
            <v>78458.069957910586</v>
          </cell>
          <cell r="J11">
            <v>85383.854562349152</v>
          </cell>
          <cell r="K11">
            <v>83694.751467269249</v>
          </cell>
          <cell r="L11">
            <v>84350.092350913284</v>
          </cell>
          <cell r="M11">
            <v>85565.102701989541</v>
          </cell>
          <cell r="N11">
            <v>76749.323178152539</v>
          </cell>
          <cell r="O11">
            <v>80501.717707358956</v>
          </cell>
          <cell r="P11">
            <v>76431.586645768388</v>
          </cell>
          <cell r="Q11">
            <v>88441.836190147937</v>
          </cell>
          <cell r="R11">
            <v>82854.142406219573</v>
          </cell>
          <cell r="S11">
            <v>80419.105789761874</v>
          </cell>
          <cell r="T11">
            <v>77355.49546836123</v>
          </cell>
          <cell r="U11">
            <v>90487.08359140197</v>
          </cell>
          <cell r="V11">
            <v>102008.17025103391</v>
          </cell>
          <cell r="W11">
            <v>0</v>
          </cell>
          <cell r="X11">
            <v>0</v>
          </cell>
          <cell r="Y11">
            <v>0</v>
          </cell>
          <cell r="Z11">
            <v>83367.32063503364</v>
          </cell>
          <cell r="AA11">
            <v>1191306.6188307691</v>
          </cell>
          <cell r="AB11">
            <v>9645.500510717573</v>
          </cell>
          <cell r="AC11">
            <v>15971.242362977724</v>
          </cell>
          <cell r="AD11">
            <v>24572.846815841367</v>
          </cell>
          <cell r="AE11">
            <v>15383.513699962205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6124047.8068827093</v>
          </cell>
          <cell r="F12">
            <v>787803.93206776818</v>
          </cell>
          <cell r="G12">
            <v>480234.7972893822</v>
          </cell>
          <cell r="H12">
            <v>395806.4689876989</v>
          </cell>
          <cell r="I12">
            <v>304620.84569447534</v>
          </cell>
          <cell r="J12">
            <v>466539.8391906675</v>
          </cell>
          <cell r="K12">
            <v>393441.52212188463</v>
          </cell>
          <cell r="L12">
            <v>199791.69178904069</v>
          </cell>
          <cell r="M12">
            <v>294958.35676816734</v>
          </cell>
          <cell r="N12">
            <v>245529.9518621699</v>
          </cell>
          <cell r="O12">
            <v>296705.95209697471</v>
          </cell>
          <cell r="P12">
            <v>341254.61366770579</v>
          </cell>
          <cell r="Q12">
            <v>128043.63809852058</v>
          </cell>
          <cell r="R12">
            <v>453649.93984451075</v>
          </cell>
          <cell r="S12">
            <v>263043.49052285776</v>
          </cell>
          <cell r="T12">
            <v>221510.56072147144</v>
          </cell>
          <cell r="U12">
            <v>69651.66563439212</v>
          </cell>
          <cell r="V12">
            <v>148750.97849379655</v>
          </cell>
          <cell r="W12">
            <v>0</v>
          </cell>
          <cell r="X12">
            <v>0</v>
          </cell>
          <cell r="Y12">
            <v>0</v>
          </cell>
          <cell r="Z12">
            <v>5491338.2448514849</v>
          </cell>
          <cell r="AA12">
            <v>203426.97760000173</v>
          </cell>
          <cell r="AB12">
            <v>111476.17666666658</v>
          </cell>
          <cell r="AC12">
            <v>87760.561611509067</v>
          </cell>
          <cell r="AD12">
            <v>102732.70981971116</v>
          </cell>
          <cell r="AE12">
            <v>301969.44809788698</v>
          </cell>
          <cell r="AF12">
            <v>12362.986000000001</v>
          </cell>
          <cell r="AG12">
            <v>49244.491999999998</v>
          </cell>
          <cell r="AH12">
            <v>27895.530999999999</v>
          </cell>
          <cell r="AI12">
            <v>67382.911333333323</v>
          </cell>
          <cell r="AJ12">
            <v>5065.0460000000003</v>
          </cell>
          <cell r="AK12">
            <v>0</v>
          </cell>
          <cell r="AL12">
            <v>161950.96633333332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</row>
        <row r="13">
          <cell r="D13" t="str">
            <v>판 관 비</v>
          </cell>
          <cell r="E13">
            <v>883445.14300000004</v>
          </cell>
          <cell r="F13">
            <v>78571.28</v>
          </cell>
          <cell r="G13">
            <v>76690.14</v>
          </cell>
          <cell r="H13">
            <v>52198.55</v>
          </cell>
          <cell r="I13">
            <v>38167.67</v>
          </cell>
          <cell r="J13">
            <v>60051.99</v>
          </cell>
          <cell r="K13">
            <v>49180</v>
          </cell>
          <cell r="L13">
            <v>35627.57</v>
          </cell>
          <cell r="M13">
            <v>49574.36</v>
          </cell>
          <cell r="N13">
            <v>45134.69</v>
          </cell>
          <cell r="O13">
            <v>41906.69</v>
          </cell>
          <cell r="P13">
            <v>40076.769999999997</v>
          </cell>
          <cell r="Q13">
            <v>27435.420000000002</v>
          </cell>
          <cell r="R13">
            <v>45995.039999999994</v>
          </cell>
          <cell r="S13">
            <v>30120.300000000003</v>
          </cell>
          <cell r="T13">
            <v>10953.150000000001</v>
          </cell>
          <cell r="U13">
            <v>11076.630000000001</v>
          </cell>
          <cell r="V13">
            <v>15781.390000000001</v>
          </cell>
          <cell r="W13">
            <v>0</v>
          </cell>
          <cell r="X13">
            <v>0</v>
          </cell>
          <cell r="Y13">
            <v>0</v>
          </cell>
          <cell r="Z13">
            <v>708541.64</v>
          </cell>
          <cell r="AA13">
            <v>137627.18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410.08199999999999</v>
          </cell>
          <cell r="AN13">
            <v>236.14099999999999</v>
          </cell>
          <cell r="AO13">
            <v>145.001</v>
          </cell>
          <cell r="AP13">
            <v>150</v>
          </cell>
          <cell r="AQ13">
            <v>9446.5290000000005</v>
          </cell>
          <cell r="AR13">
            <v>26888.569999999996</v>
          </cell>
          <cell r="AS13">
            <v>0</v>
          </cell>
          <cell r="AT13">
            <v>0</v>
          </cell>
          <cell r="AU13">
            <v>37276.322999999997</v>
          </cell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</row>
        <row r="15">
          <cell r="D15" t="str">
            <v xml:space="preserve"> - 경        비</v>
          </cell>
          <cell r="E15">
            <v>317656.58299999998</v>
          </cell>
          <cell r="F15">
            <v>30274.739999999998</v>
          </cell>
          <cell r="G15">
            <v>30612.21</v>
          </cell>
          <cell r="H15">
            <v>18035.510000000002</v>
          </cell>
          <cell r="I15">
            <v>12783.169999999998</v>
          </cell>
          <cell r="J15">
            <v>19687.989999999998</v>
          </cell>
          <cell r="K15">
            <v>15697.17</v>
          </cell>
          <cell r="L15">
            <v>10189.83</v>
          </cell>
          <cell r="M15">
            <v>16518.05</v>
          </cell>
          <cell r="N15">
            <v>18936.669999999998</v>
          </cell>
          <cell r="O15">
            <v>11805.8</v>
          </cell>
          <cell r="P15">
            <v>14557.85</v>
          </cell>
          <cell r="Q15">
            <v>8577.369999999999</v>
          </cell>
          <cell r="R15">
            <v>16752.16</v>
          </cell>
          <cell r="S15">
            <v>12159.67</v>
          </cell>
          <cell r="T15">
            <v>4212.3900000000003</v>
          </cell>
          <cell r="U15">
            <v>5095.08</v>
          </cell>
          <cell r="V15">
            <v>5227.8600000000006</v>
          </cell>
          <cell r="W15">
            <v>0</v>
          </cell>
          <cell r="X15">
            <v>0</v>
          </cell>
          <cell r="Y15">
            <v>0</v>
          </cell>
          <cell r="Z15">
            <v>251123.51999999996</v>
          </cell>
          <cell r="AA15">
            <v>54122.71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410.08199999999999</v>
          </cell>
          <cell r="AN15">
            <v>236.14099999999999</v>
          </cell>
          <cell r="AO15">
            <v>145.001</v>
          </cell>
          <cell r="AP15">
            <v>150</v>
          </cell>
          <cell r="AQ15">
            <v>9446.5290000000005</v>
          </cell>
          <cell r="AR15">
            <v>2022.6</v>
          </cell>
          <cell r="AS15">
            <v>0</v>
          </cell>
          <cell r="AT15">
            <v>0</v>
          </cell>
          <cell r="AU15">
            <v>12410.353000000001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5240602.6638827091</v>
          </cell>
          <cell r="F17">
            <v>709232.65206776815</v>
          </cell>
          <cell r="G17">
            <v>403544.65728938219</v>
          </cell>
          <cell r="H17">
            <v>343607.91898769891</v>
          </cell>
          <cell r="I17">
            <v>266453.17569447536</v>
          </cell>
          <cell r="J17">
            <v>406487.8491906675</v>
          </cell>
          <cell r="K17">
            <v>344261.52212188463</v>
          </cell>
          <cell r="L17">
            <v>164164.12178904068</v>
          </cell>
          <cell r="M17">
            <v>245383.99676816736</v>
          </cell>
          <cell r="N17">
            <v>200395.26186216989</v>
          </cell>
          <cell r="O17">
            <v>254799.26209697471</v>
          </cell>
          <cell r="P17">
            <v>301177.84366770578</v>
          </cell>
          <cell r="Q17">
            <v>100608.21809852058</v>
          </cell>
          <cell r="R17">
            <v>407654.89984451077</v>
          </cell>
          <cell r="S17">
            <v>232923.19052285777</v>
          </cell>
          <cell r="T17">
            <v>210557.41072147145</v>
          </cell>
          <cell r="U17">
            <v>58575.035634392116</v>
          </cell>
          <cell r="V17">
            <v>132969.58849379653</v>
          </cell>
          <cell r="W17">
            <v>0</v>
          </cell>
          <cell r="X17">
            <v>0</v>
          </cell>
          <cell r="Y17">
            <v>0</v>
          </cell>
          <cell r="Z17">
            <v>4782796.6048514852</v>
          </cell>
          <cell r="AA17">
            <v>65799.797600001737</v>
          </cell>
          <cell r="AB17">
            <v>111476.17666666658</v>
          </cell>
          <cell r="AC17">
            <v>87760.561611509067</v>
          </cell>
          <cell r="AD17">
            <v>102732.70981971116</v>
          </cell>
          <cell r="AE17">
            <v>301969.44809788698</v>
          </cell>
          <cell r="AF17">
            <v>12362.986000000001</v>
          </cell>
          <cell r="AG17">
            <v>49244.491999999998</v>
          </cell>
          <cell r="AH17">
            <v>27895.530999999999</v>
          </cell>
          <cell r="AI17">
            <v>67382.911333333323</v>
          </cell>
          <cell r="AJ17">
            <v>5065.0460000000003</v>
          </cell>
          <cell r="AK17">
            <v>0</v>
          </cell>
          <cell r="AL17">
            <v>161950.96633333332</v>
          </cell>
          <cell r="AM17">
            <v>-410.08199999999999</v>
          </cell>
          <cell r="AN17">
            <v>-236.14099999999999</v>
          </cell>
          <cell r="AO17">
            <v>-145.001</v>
          </cell>
          <cell r="AP17">
            <v>-150</v>
          </cell>
          <cell r="AQ17">
            <v>-9446.5290000000005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-71914.152999999991</v>
          </cell>
        </row>
        <row r="18">
          <cell r="D18" t="str">
            <v>감가상각비</v>
          </cell>
          <cell r="E18">
            <v>467225.23155639449</v>
          </cell>
          <cell r="F18">
            <v>30236.577444444443</v>
          </cell>
          <cell r="G18">
            <v>34461.201683911124</v>
          </cell>
          <cell r="H18">
            <v>17060.498555555554</v>
          </cell>
          <cell r="I18">
            <v>19446.767777777775</v>
          </cell>
          <cell r="J18">
            <v>46892.19733333333</v>
          </cell>
          <cell r="K18">
            <v>1974.0617777777784</v>
          </cell>
          <cell r="L18">
            <v>12068.37588888889</v>
          </cell>
          <cell r="M18">
            <v>23561.66377777778</v>
          </cell>
          <cell r="N18">
            <v>10760.140111111112</v>
          </cell>
          <cell r="O18">
            <v>32560.991888888886</v>
          </cell>
          <cell r="P18">
            <v>14030.872474676307</v>
          </cell>
          <cell r="Q18">
            <v>12019.427222222223</v>
          </cell>
          <cell r="R18">
            <v>22868.705999999998</v>
          </cell>
          <cell r="S18">
            <v>23608.662666666667</v>
          </cell>
          <cell r="T18">
            <v>10301.92511111111</v>
          </cell>
          <cell r="U18">
            <v>5428.9927777777775</v>
          </cell>
          <cell r="V18">
            <v>10105.497842236317</v>
          </cell>
          <cell r="W18">
            <v>0</v>
          </cell>
          <cell r="X18">
            <v>0</v>
          </cell>
          <cell r="Y18">
            <v>0</v>
          </cell>
          <cell r="Z18">
            <v>327386.56033415708</v>
          </cell>
          <cell r="AA18">
            <v>4908.0999999999995</v>
          </cell>
          <cell r="AB18">
            <v>33214.155888888898</v>
          </cell>
          <cell r="AC18">
            <v>56856.659666666681</v>
          </cell>
          <cell r="AD18">
            <v>34019.718222222225</v>
          </cell>
          <cell r="AE18">
            <v>124090.53377777779</v>
          </cell>
          <cell r="AF18">
            <v>3169.12</v>
          </cell>
          <cell r="AG18">
            <v>5255.8180000000002</v>
          </cell>
          <cell r="AH18">
            <v>5673.2289999999994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11307.723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-14097.802</v>
          </cell>
          <cell r="AR18">
            <v>0</v>
          </cell>
          <cell r="AS18">
            <v>0</v>
          </cell>
          <cell r="AT18">
            <v>6562.5290000000005</v>
          </cell>
          <cell r="AU18">
            <v>-467.68555554035993</v>
          </cell>
        </row>
        <row r="19">
          <cell r="D19" t="str">
            <v xml:space="preserve"> - 제        조</v>
          </cell>
          <cell r="E19">
            <v>437886.60311193485</v>
          </cell>
          <cell r="F19">
            <v>27908.955444444444</v>
          </cell>
          <cell r="G19">
            <v>31851.319683911126</v>
          </cell>
          <cell r="H19">
            <v>15463.690555555555</v>
          </cell>
          <cell r="I19">
            <v>18254.779777777774</v>
          </cell>
          <cell r="J19">
            <v>43789.895333333327</v>
          </cell>
          <cell r="K19">
            <v>409.65977777777834</v>
          </cell>
          <cell r="L19">
            <v>10874.77688888889</v>
          </cell>
          <cell r="M19">
            <v>21704.011777777781</v>
          </cell>
          <cell r="N19">
            <v>9272.8881111111114</v>
          </cell>
          <cell r="O19">
            <v>31342.225888888886</v>
          </cell>
          <cell r="P19">
            <v>12825.484474676306</v>
          </cell>
          <cell r="Q19">
            <v>10917.272222222222</v>
          </cell>
          <cell r="R19">
            <v>21280.504999999997</v>
          </cell>
          <cell r="S19">
            <v>22765.504666666668</v>
          </cell>
          <cell r="T19">
            <v>9859.0561111111092</v>
          </cell>
          <cell r="U19">
            <v>5058.5927777777779</v>
          </cell>
          <cell r="V19">
            <v>9280.1278422363157</v>
          </cell>
          <cell r="W19">
            <v>0</v>
          </cell>
          <cell r="X19">
            <v>0</v>
          </cell>
          <cell r="Y19">
            <v>0</v>
          </cell>
          <cell r="Z19">
            <v>302858.74633415707</v>
          </cell>
          <cell r="AA19">
            <v>0</v>
          </cell>
          <cell r="AB19">
            <v>33214.155888888898</v>
          </cell>
          <cell r="AC19">
            <v>56856.659666666681</v>
          </cell>
          <cell r="AD19">
            <v>33649.318222222224</v>
          </cell>
          <cell r="AE19">
            <v>123720.1337777778</v>
          </cell>
          <cell r="AF19">
            <v>3169.12</v>
          </cell>
          <cell r="AG19">
            <v>5255.8180000000002</v>
          </cell>
          <cell r="AH19">
            <v>5673.2289999999994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11307.723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29338.628444459639</v>
          </cell>
          <cell r="F20">
            <v>2327.6220000000003</v>
          </cell>
          <cell r="G20">
            <v>2609.8820000000001</v>
          </cell>
          <cell r="H20">
            <v>1596.808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24527.813999999998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-14097.802</v>
          </cell>
          <cell r="AR20">
            <v>0</v>
          </cell>
          <cell r="AS20">
            <v>0</v>
          </cell>
          <cell r="AT20">
            <v>6562.5290000000005</v>
          </cell>
          <cell r="AU20">
            <v>-467.68555554035993</v>
          </cell>
        </row>
        <row r="21">
          <cell r="D21" t="str">
            <v>영업이익 I</v>
          </cell>
          <cell r="E21">
            <v>4773377.432326315</v>
          </cell>
          <cell r="F21">
            <v>678996.07462332374</v>
          </cell>
          <cell r="G21">
            <v>369083.45560547104</v>
          </cell>
          <cell r="H21">
            <v>326547.42043214338</v>
          </cell>
          <cell r="I21">
            <v>247006.40791669759</v>
          </cell>
          <cell r="J21">
            <v>359595.65185733419</v>
          </cell>
          <cell r="K21">
            <v>342287.46034410683</v>
          </cell>
          <cell r="L21">
            <v>152095.74590015179</v>
          </cell>
          <cell r="M21">
            <v>221822.33299038958</v>
          </cell>
          <cell r="N21">
            <v>189635.12175105879</v>
          </cell>
          <cell r="O21">
            <v>222238.27020808583</v>
          </cell>
          <cell r="P21">
            <v>287146.97119302949</v>
          </cell>
          <cell r="Q21">
            <v>88588.790876298357</v>
          </cell>
          <cell r="R21">
            <v>384786.19384451077</v>
          </cell>
          <cell r="S21">
            <v>209314.5278561911</v>
          </cell>
          <cell r="T21">
            <v>200255.48561036034</v>
          </cell>
          <cell r="U21">
            <v>53146.042856614338</v>
          </cell>
          <cell r="V21">
            <v>122864.09065156021</v>
          </cell>
          <cell r="W21">
            <v>0</v>
          </cell>
          <cell r="X21">
            <v>0</v>
          </cell>
          <cell r="Y21">
            <v>0</v>
          </cell>
          <cell r="Z21">
            <v>4455410.044517328</v>
          </cell>
          <cell r="AA21">
            <v>60891.697600001738</v>
          </cell>
          <cell r="AB21">
            <v>78262.020777777681</v>
          </cell>
          <cell r="AC21">
            <v>30903.901944842386</v>
          </cell>
          <cell r="AD21">
            <v>68712.99159748893</v>
          </cell>
          <cell r="AE21">
            <v>177878.91432010918</v>
          </cell>
          <cell r="AF21">
            <v>9193.8660000000018</v>
          </cell>
          <cell r="AG21">
            <v>43988.673999999999</v>
          </cell>
          <cell r="AH21">
            <v>22222.302</v>
          </cell>
          <cell r="AI21">
            <v>71486.247333333318</v>
          </cell>
          <cell r="AJ21">
            <v>3752.1540000000005</v>
          </cell>
          <cell r="AK21">
            <v>0</v>
          </cell>
          <cell r="AL21">
            <v>150643.24333333332</v>
          </cell>
          <cell r="AM21">
            <v>-5635.3704444596397</v>
          </cell>
          <cell r="AN21">
            <v>-1292.5980000000002</v>
          </cell>
          <cell r="AO21">
            <v>-498.673</v>
          </cell>
          <cell r="AP21">
            <v>-582.17000000000007</v>
          </cell>
          <cell r="AQ21">
            <v>4651.2729999999992</v>
          </cell>
          <cell r="AR21">
            <v>-63296.399999999994</v>
          </cell>
          <cell r="AS21">
            <v>0</v>
          </cell>
          <cell r="AT21">
            <v>-4792.5290000000005</v>
          </cell>
          <cell r="AU21">
            <v>-71446.467444459631</v>
          </cell>
        </row>
        <row r="22">
          <cell r="D22" t="str">
            <v>공    통    비</v>
          </cell>
          <cell r="E22">
            <v>1195396.4692690107</v>
          </cell>
          <cell r="F22">
            <v>174755.69822734955</v>
          </cell>
          <cell r="G22">
            <v>121856.04292519647</v>
          </cell>
          <cell r="H22">
            <v>93791.985173632143</v>
          </cell>
          <cell r="I22">
            <v>62752.287402348607</v>
          </cell>
          <cell r="J22">
            <v>89988.936370666052</v>
          </cell>
          <cell r="K22">
            <v>78998.828867194563</v>
          </cell>
          <cell r="L22">
            <v>48267.793003490835</v>
          </cell>
          <cell r="M22">
            <v>66269.046778007876</v>
          </cell>
          <cell r="N22">
            <v>46456.90487970996</v>
          </cell>
          <cell r="O22">
            <v>56700.258394983874</v>
          </cell>
          <cell r="P22">
            <v>62292.903971327411</v>
          </cell>
          <cell r="Q22">
            <v>40321.449302256864</v>
          </cell>
          <cell r="R22">
            <v>95024.754242460156</v>
          </cell>
          <cell r="S22">
            <v>46216.693248488475</v>
          </cell>
          <cell r="T22">
            <v>28714.33454169894</v>
          </cell>
          <cell r="U22">
            <v>16242.624586875148</v>
          </cell>
          <cell r="V22">
            <v>28631.577353323941</v>
          </cell>
          <cell r="W22">
            <v>0</v>
          </cell>
          <cell r="X22">
            <v>0</v>
          </cell>
          <cell r="Y22">
            <v>0</v>
          </cell>
          <cell r="Z22">
            <v>1157282.1192690106</v>
          </cell>
          <cell r="AA22">
            <v>0</v>
          </cell>
          <cell r="AB22">
            <v>10389.943213656326</v>
          </cell>
          <cell r="AC22">
            <v>13771.888994271512</v>
          </cell>
          <cell r="AD22">
            <v>13952.517792072154</v>
          </cell>
          <cell r="AE22">
            <v>38114.349999999991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247301.3233333333</v>
          </cell>
          <cell r="F23">
            <v>31833.732522644303</v>
          </cell>
          <cell r="G23">
            <v>22197.460318014833</v>
          </cell>
          <cell r="H23">
            <v>17085.273894193117</v>
          </cell>
          <cell r="I23">
            <v>11431.040890876275</v>
          </cell>
          <cell r="J23">
            <v>17473.271204664386</v>
          </cell>
          <cell r="K23">
            <v>15339.30744510192</v>
          </cell>
          <cell r="L23">
            <v>9372.2214264944014</v>
          </cell>
          <cell r="M23">
            <v>12867.548762407403</v>
          </cell>
          <cell r="N23">
            <v>9020.5988761644967</v>
          </cell>
          <cell r="O23">
            <v>11009.564422777819</v>
          </cell>
          <cell r="P23">
            <v>12095.495836662958</v>
          </cell>
          <cell r="Q23">
            <v>7829.2693239690643</v>
          </cell>
          <cell r="R23">
            <v>13991.719750492444</v>
          </cell>
          <cell r="S23">
            <v>6805.0796330119028</v>
          </cell>
          <cell r="T23">
            <v>4227.981697318779</v>
          </cell>
          <cell r="U23">
            <v>2391.6110390787735</v>
          </cell>
          <cell r="V23">
            <v>4215.7962894604516</v>
          </cell>
          <cell r="W23">
            <v>0</v>
          </cell>
          <cell r="X23">
            <v>0</v>
          </cell>
          <cell r="Y23">
            <v>0</v>
          </cell>
          <cell r="Z23">
            <v>209186.9733333333</v>
          </cell>
          <cell r="AA23">
            <v>0</v>
          </cell>
          <cell r="AB23">
            <v>10389.943213656326</v>
          </cell>
          <cell r="AC23">
            <v>13771.888994271512</v>
          </cell>
          <cell r="AD23">
            <v>13952.517792072154</v>
          </cell>
          <cell r="AE23">
            <v>38114.349999999991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355761.67766666657</v>
          </cell>
          <cell r="F24">
            <v>53629.805523730975</v>
          </cell>
          <cell r="G24">
            <v>37395.724146675886</v>
          </cell>
          <cell r="H24">
            <v>28783.301349079218</v>
          </cell>
          <cell r="I24">
            <v>19257.700914444573</v>
          </cell>
          <cell r="J24">
            <v>27210.660034664139</v>
          </cell>
          <cell r="K24">
            <v>23887.495087035586</v>
          </cell>
          <cell r="L24">
            <v>14595.110899317862</v>
          </cell>
          <cell r="M24">
            <v>20038.291099142603</v>
          </cell>
          <cell r="N24">
            <v>14047.538463368115</v>
          </cell>
          <cell r="O24">
            <v>17144.901554436477</v>
          </cell>
          <cell r="P24">
            <v>18835.993633194048</v>
          </cell>
          <cell r="Q24">
            <v>12192.312669964012</v>
          </cell>
          <cell r="R24">
            <v>30406.703821727115</v>
          </cell>
          <cell r="S24">
            <v>14788.749672961234</v>
          </cell>
          <cell r="T24">
            <v>9188.2191415054967</v>
          </cell>
          <cell r="U24">
            <v>5197.4317538401128</v>
          </cell>
          <cell r="V24">
            <v>9161.737901579143</v>
          </cell>
          <cell r="W24">
            <v>0</v>
          </cell>
          <cell r="X24">
            <v>0</v>
          </cell>
          <cell r="Y24">
            <v>0</v>
          </cell>
          <cell r="Z24">
            <v>355761.67766666657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592333.46826901077</v>
          </cell>
          <cell r="F25">
            <v>89292.160180974271</v>
          </cell>
          <cell r="G25">
            <v>62262.85846050574</v>
          </cell>
          <cell r="H25">
            <v>47923.409930359805</v>
          </cell>
          <cell r="I25">
            <v>32063.545597027762</v>
          </cell>
          <cell r="J25">
            <v>45305.005131337522</v>
          </cell>
          <cell r="K25">
            <v>39772.026335057068</v>
          </cell>
          <cell r="L25">
            <v>24300.460677678577</v>
          </cell>
          <cell r="M25">
            <v>33363.206916457879</v>
          </cell>
          <cell r="N25">
            <v>23388.767540177349</v>
          </cell>
          <cell r="O25">
            <v>28545.792417769575</v>
          </cell>
          <cell r="P25">
            <v>31361.414501470408</v>
          </cell>
          <cell r="Q25">
            <v>20299.867308323785</v>
          </cell>
          <cell r="R25">
            <v>50626.330670240597</v>
          </cell>
          <cell r="S25">
            <v>24622.863942515338</v>
          </cell>
          <cell r="T25">
            <v>15298.133702874666</v>
          </cell>
          <cell r="U25">
            <v>8653.5817939562621</v>
          </cell>
          <cell r="V25">
            <v>15254.043162284348</v>
          </cell>
          <cell r="W25">
            <v>0</v>
          </cell>
          <cell r="X25">
            <v>0</v>
          </cell>
          <cell r="Y25">
            <v>0</v>
          </cell>
          <cell r="Z25">
            <v>592333.46826901077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3577980.9630573043</v>
          </cell>
          <cell r="F26">
            <v>504240.37639597419</v>
          </cell>
          <cell r="G26">
            <v>247227.41268027457</v>
          </cell>
          <cell r="H26">
            <v>232755.43525851122</v>
          </cell>
          <cell r="I26">
            <v>184254.12051434896</v>
          </cell>
          <cell r="J26">
            <v>269606.71548666817</v>
          </cell>
          <cell r="K26">
            <v>263288.6314769123</v>
          </cell>
          <cell r="L26">
            <v>103827.95289666095</v>
          </cell>
          <cell r="M26">
            <v>155553.2862123817</v>
          </cell>
          <cell r="N26">
            <v>143178.21687134882</v>
          </cell>
          <cell r="O26">
            <v>165538.01181310194</v>
          </cell>
          <cell r="P26">
            <v>224854.06722170208</v>
          </cell>
          <cell r="Q26">
            <v>48267.341574041493</v>
          </cell>
          <cell r="R26">
            <v>289761.43960205058</v>
          </cell>
          <cell r="S26">
            <v>163097.83460770262</v>
          </cell>
          <cell r="T26">
            <v>171541.15106866139</v>
          </cell>
          <cell r="U26">
            <v>36903.418269739188</v>
          </cell>
          <cell r="V26">
            <v>94232.51329823627</v>
          </cell>
          <cell r="W26">
            <v>0</v>
          </cell>
          <cell r="X26">
            <v>0</v>
          </cell>
          <cell r="Y26">
            <v>0</v>
          </cell>
          <cell r="Z26">
            <v>3298127.9252483174</v>
          </cell>
          <cell r="AA26">
            <v>60891.697600001738</v>
          </cell>
          <cell r="AB26">
            <v>67872.077564121355</v>
          </cell>
          <cell r="AC26">
            <v>17132.012950570876</v>
          </cell>
          <cell r="AD26">
            <v>54760.473805416776</v>
          </cell>
          <cell r="AE26">
            <v>139764.5643201092</v>
          </cell>
          <cell r="AF26">
            <v>9193.8660000000018</v>
          </cell>
          <cell r="AG26">
            <v>43988.673999999999</v>
          </cell>
          <cell r="AH26">
            <v>22222.302</v>
          </cell>
          <cell r="AI26">
            <v>71486.247333333318</v>
          </cell>
          <cell r="AJ26">
            <v>3752.1540000000005</v>
          </cell>
          <cell r="AK26">
            <v>0</v>
          </cell>
          <cell r="AL26">
            <v>150643.24333333332</v>
          </cell>
          <cell r="AM26">
            <v>-5635.3704444596397</v>
          </cell>
          <cell r="AN26">
            <v>-1292.5980000000002</v>
          </cell>
          <cell r="AO26">
            <v>-498.673</v>
          </cell>
          <cell r="AP26">
            <v>-582.17000000000007</v>
          </cell>
          <cell r="AQ26">
            <v>4651.2729999999992</v>
          </cell>
          <cell r="AR26">
            <v>-63296.399999999994</v>
          </cell>
          <cell r="AS26">
            <v>0</v>
          </cell>
          <cell r="AT26">
            <v>-4792.5290000000005</v>
          </cell>
          <cell r="AU26">
            <v>-71446.467444459631</v>
          </cell>
        </row>
        <row r="27">
          <cell r="E27">
            <v>3610818.3630573004</v>
          </cell>
          <cell r="F27">
            <v>504240.37639597419</v>
          </cell>
          <cell r="G27">
            <v>247227.41268027463</v>
          </cell>
          <cell r="H27">
            <v>232755.43525851116</v>
          </cell>
          <cell r="I27">
            <v>184254.12051434896</v>
          </cell>
          <cell r="J27">
            <v>269606.71548666817</v>
          </cell>
          <cell r="K27">
            <v>263288.6314769123</v>
          </cell>
          <cell r="L27">
            <v>103827.95289666095</v>
          </cell>
          <cell r="M27">
            <v>155553.28621238167</v>
          </cell>
          <cell r="N27">
            <v>143178.21687134882</v>
          </cell>
          <cell r="O27">
            <v>165538.01181310194</v>
          </cell>
          <cell r="P27">
            <v>224854.06722170208</v>
          </cell>
          <cell r="Q27">
            <v>48267.341574041493</v>
          </cell>
          <cell r="R27">
            <v>289761.43960205058</v>
          </cell>
          <cell r="S27">
            <v>163097.83460770262</v>
          </cell>
          <cell r="T27">
            <v>171541.15106866139</v>
          </cell>
          <cell r="U27">
            <v>36903.418269739188</v>
          </cell>
          <cell r="V27">
            <v>94232.513298236285</v>
          </cell>
          <cell r="W27">
            <v>0</v>
          </cell>
          <cell r="X27">
            <v>0</v>
          </cell>
          <cell r="Y27">
            <v>0</v>
          </cell>
          <cell r="Z27">
            <v>3298127.925248316</v>
          </cell>
          <cell r="AA27">
            <v>60891.697600001731</v>
          </cell>
          <cell r="AB27">
            <v>67872.077564121355</v>
          </cell>
          <cell r="AC27">
            <v>17132.012950570876</v>
          </cell>
          <cell r="AD27">
            <v>54760.473805416776</v>
          </cell>
          <cell r="AE27">
            <v>139764.564320109</v>
          </cell>
          <cell r="AF27">
            <v>9193.8660000000018</v>
          </cell>
          <cell r="AG27">
            <v>43988.673999999999</v>
          </cell>
          <cell r="AH27">
            <v>22222.302</v>
          </cell>
          <cell r="AI27">
            <v>71486.247333333318</v>
          </cell>
          <cell r="AJ27">
            <v>3752.1540000000005</v>
          </cell>
          <cell r="AK27">
            <v>0</v>
          </cell>
          <cell r="AL27">
            <v>150643.24333333332</v>
          </cell>
          <cell r="AM27">
            <v>-5635.3704444596397</v>
          </cell>
          <cell r="AN27">
            <v>-1292.5980000000002</v>
          </cell>
          <cell r="AO27">
            <v>0</v>
          </cell>
          <cell r="AP27">
            <v>0</v>
          </cell>
          <cell r="AQ27">
            <v>-6562.5290000000005</v>
          </cell>
          <cell r="AR27">
            <v>0</v>
          </cell>
          <cell r="AS27">
            <v>0</v>
          </cell>
          <cell r="AT27">
            <v>-25118.569999999996</v>
          </cell>
          <cell r="AU27">
            <v>-38609.067444459637</v>
          </cell>
        </row>
        <row r="28">
          <cell r="E28">
            <v>-32837.399999996182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-498.673</v>
          </cell>
          <cell r="AP28">
            <v>-582.17000000000007</v>
          </cell>
          <cell r="AQ28">
            <v>11213.802</v>
          </cell>
          <cell r="AR28">
            <v>-63296.399999999994</v>
          </cell>
          <cell r="AS28">
            <v>0</v>
          </cell>
          <cell r="AT28">
            <v>20326.040999999997</v>
          </cell>
          <cell r="AU28">
            <v>-32837.399999999994</v>
          </cell>
        </row>
        <row r="30">
          <cell r="E30">
            <v>409297.73508948059</v>
          </cell>
          <cell r="F30">
            <v>44000</v>
          </cell>
          <cell r="G30">
            <v>30000</v>
          </cell>
          <cell r="H30">
            <v>24000</v>
          </cell>
          <cell r="I30">
            <v>16500</v>
          </cell>
          <cell r="J30">
            <v>21000</v>
          </cell>
          <cell r="K30">
            <v>19000</v>
          </cell>
          <cell r="L30">
            <v>12000</v>
          </cell>
          <cell r="M30">
            <v>16000</v>
          </cell>
          <cell r="N30">
            <v>12000</v>
          </cell>
          <cell r="O30">
            <v>14000</v>
          </cell>
          <cell r="P30">
            <v>16000</v>
          </cell>
          <cell r="Q30">
            <v>10000</v>
          </cell>
          <cell r="R30">
            <v>25000</v>
          </cell>
          <cell r="S30">
            <v>12000</v>
          </cell>
          <cell r="T30">
            <v>7000</v>
          </cell>
          <cell r="U30">
            <v>4000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288500</v>
          </cell>
          <cell r="AA30">
            <v>6500</v>
          </cell>
          <cell r="AB30">
            <v>46669.63</v>
          </cell>
          <cell r="AC30">
            <v>41116.309768000385</v>
          </cell>
          <cell r="AD30">
            <v>26511.795321480207</v>
          </cell>
          <cell r="AE30">
            <v>114297.7350894806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39715507.970113583</v>
          </cell>
          <cell r="F31">
            <v>4453473.4000000004</v>
          </cell>
          <cell r="G31">
            <v>3105378.8305695998</v>
          </cell>
          <cell r="H31">
            <v>2390194.5134890852</v>
          </cell>
          <cell r="I31">
            <v>1599179</v>
          </cell>
          <cell r="J31">
            <v>2259600.7849999997</v>
          </cell>
          <cell r="K31">
            <v>1983641.8000000003</v>
          </cell>
          <cell r="L31">
            <v>1211992.8</v>
          </cell>
          <cell r="M31">
            <v>1664000</v>
          </cell>
          <cell r="N31">
            <v>1166521.8300000003</v>
          </cell>
          <cell r="O31">
            <v>1423730</v>
          </cell>
          <cell r="P31">
            <v>1564160</v>
          </cell>
          <cell r="Q31">
            <v>1012462</v>
          </cell>
          <cell r="R31">
            <v>2525003.5</v>
          </cell>
          <cell r="S31">
            <v>1228072.7600000002</v>
          </cell>
          <cell r="T31">
            <v>762999.02899999998</v>
          </cell>
          <cell r="U31">
            <v>431600</v>
          </cell>
          <cell r="V31">
            <v>760800</v>
          </cell>
          <cell r="W31">
            <v>0</v>
          </cell>
          <cell r="X31">
            <v>0</v>
          </cell>
          <cell r="Y31">
            <v>0</v>
          </cell>
          <cell r="Z31">
            <v>29542810.248058688</v>
          </cell>
          <cell r="AA31">
            <v>7946920.0000000009</v>
          </cell>
          <cell r="AB31">
            <v>561628.1166666667</v>
          </cell>
          <cell r="AC31">
            <v>744439.10998751165</v>
          </cell>
          <cell r="AD31">
            <v>754202.99506738409</v>
          </cell>
          <cell r="AE31">
            <v>2060270.2217215626</v>
          </cell>
          <cell r="AF31">
            <v>12500</v>
          </cell>
          <cell r="AG31">
            <v>50000</v>
          </cell>
          <cell r="AH31">
            <v>28340</v>
          </cell>
          <cell r="AI31">
            <v>67647.50033333333</v>
          </cell>
          <cell r="AJ31">
            <v>5250</v>
          </cell>
          <cell r="AK31">
            <v>0</v>
          </cell>
          <cell r="AL31">
            <v>163737.50033333333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34029346.766342811</v>
          </cell>
          <cell r="F32">
            <v>3693578.4233766766</v>
          </cell>
          <cell r="G32">
            <v>2656995.3529641288</v>
          </cell>
          <cell r="H32">
            <v>2009851.7350569419</v>
          </cell>
          <cell r="I32">
            <v>1312812.9340833025</v>
          </cell>
          <cell r="J32">
            <v>1836850.8411426656</v>
          </cell>
          <cell r="K32">
            <v>1590609.9376558934</v>
          </cell>
          <cell r="L32">
            <v>1023075.8850998483</v>
          </cell>
          <cell r="M32">
            <v>1390745.6550096103</v>
          </cell>
          <cell r="N32">
            <v>930264.76624894154</v>
          </cell>
          <cell r="O32">
            <v>1158366.2737919141</v>
          </cell>
          <cell r="P32">
            <v>1235730.8708069704</v>
          </cell>
          <cell r="Q32">
            <v>895335.6341237016</v>
          </cell>
          <cell r="R32">
            <v>2092634.0651554891</v>
          </cell>
          <cell r="S32">
            <v>987794.7741438091</v>
          </cell>
          <cell r="T32">
            <v>551347.52438963961</v>
          </cell>
          <cell r="U32">
            <v>367006.92714338563</v>
          </cell>
          <cell r="V32">
            <v>621329.14934843977</v>
          </cell>
          <cell r="W32">
            <v>0</v>
          </cell>
          <cell r="X32">
            <v>0</v>
          </cell>
          <cell r="Y32">
            <v>0</v>
          </cell>
          <cell r="Z32">
            <v>24354330.749541361</v>
          </cell>
          <cell r="AA32">
            <v>7743493.0223999992</v>
          </cell>
          <cell r="AB32">
            <v>483366.09588888905</v>
          </cell>
          <cell r="AC32">
            <v>713535.20804266923</v>
          </cell>
          <cell r="AD32">
            <v>685119.6034698952</v>
          </cell>
          <cell r="AE32">
            <v>1882020.9074014535</v>
          </cell>
          <cell r="AF32">
            <v>3306.134</v>
          </cell>
          <cell r="AG32">
            <v>6011.326</v>
          </cell>
          <cell r="AH32">
            <v>6117.6979999999994</v>
          </cell>
          <cell r="AI32">
            <v>-3838.7469999999994</v>
          </cell>
          <cell r="AJ32">
            <v>1497.846</v>
          </cell>
          <cell r="AK32">
            <v>0</v>
          </cell>
          <cell r="AL32">
            <v>13094.257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5686161.2037707707</v>
          </cell>
          <cell r="F33">
            <v>759894.97662332375</v>
          </cell>
          <cell r="G33">
            <v>448383.47760547092</v>
          </cell>
          <cell r="H33">
            <v>380342.77843214339</v>
          </cell>
          <cell r="I33">
            <v>286366.06591669749</v>
          </cell>
          <cell r="J33">
            <v>422749.94385733409</v>
          </cell>
          <cell r="K33">
            <v>393031.86234410689</v>
          </cell>
          <cell r="L33">
            <v>188916.91490015178</v>
          </cell>
          <cell r="M33">
            <v>273254.34499038965</v>
          </cell>
          <cell r="N33">
            <v>236257.06375105877</v>
          </cell>
          <cell r="O33">
            <v>265363.72620808589</v>
          </cell>
          <cell r="P33">
            <v>328429.1291930296</v>
          </cell>
          <cell r="Q33">
            <v>117126.3658762984</v>
          </cell>
          <cell r="R33">
            <v>432369.43484451086</v>
          </cell>
          <cell r="S33">
            <v>240277.98585619114</v>
          </cell>
          <cell r="T33">
            <v>211651.50461036037</v>
          </cell>
          <cell r="U33">
            <v>64593.072856614366</v>
          </cell>
          <cell r="V33">
            <v>139470.85065156023</v>
          </cell>
          <cell r="W33">
            <v>0</v>
          </cell>
          <cell r="X33">
            <v>0</v>
          </cell>
          <cell r="Y33">
            <v>0</v>
          </cell>
          <cell r="Z33">
            <v>5188479.498517327</v>
          </cell>
          <cell r="AA33">
            <v>203426.97760000173</v>
          </cell>
          <cell r="AB33">
            <v>78262.020777777652</v>
          </cell>
          <cell r="AC33">
            <v>30903.901944842422</v>
          </cell>
          <cell r="AD33">
            <v>69083.391597488895</v>
          </cell>
          <cell r="AE33">
            <v>178249.31432010909</v>
          </cell>
          <cell r="AF33">
            <v>9193.866</v>
          </cell>
          <cell r="AG33">
            <v>43988.673999999999</v>
          </cell>
          <cell r="AH33">
            <v>22222.302</v>
          </cell>
          <cell r="AI33">
            <v>71486.247333333333</v>
          </cell>
          <cell r="AJ33">
            <v>3752.154</v>
          </cell>
          <cell r="AK33">
            <v>0</v>
          </cell>
          <cell r="AL33">
            <v>150643.24333333332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2108180.2407134706</v>
          </cell>
          <cell r="F34">
            <v>255654.60022734955</v>
          </cell>
          <cell r="G34">
            <v>201156.06492519649</v>
          </cell>
          <cell r="H34">
            <v>147587.34317363214</v>
          </cell>
          <cell r="I34">
            <v>102111.9454023486</v>
          </cell>
          <cell r="J34">
            <v>153143.22837066604</v>
          </cell>
          <cell r="K34">
            <v>129743.23086719456</v>
          </cell>
          <cell r="L34">
            <v>85088.962003490844</v>
          </cell>
          <cell r="M34">
            <v>117701.05877800788</v>
          </cell>
          <cell r="N34">
            <v>93078.846879709963</v>
          </cell>
          <cell r="O34">
            <v>99825.714394983879</v>
          </cell>
          <cell r="P34">
            <v>103575.06197132741</v>
          </cell>
          <cell r="Q34">
            <v>68859.024302256861</v>
          </cell>
          <cell r="R34">
            <v>142607.99524246017</v>
          </cell>
          <cell r="S34">
            <v>77180.151248488473</v>
          </cell>
          <cell r="T34">
            <v>40110.35354169894</v>
          </cell>
          <cell r="U34">
            <v>27689.654586875149</v>
          </cell>
          <cell r="V34">
            <v>45238.337353323943</v>
          </cell>
          <cell r="W34">
            <v>0</v>
          </cell>
          <cell r="X34">
            <v>0</v>
          </cell>
          <cell r="Y34">
            <v>0</v>
          </cell>
          <cell r="Z34">
            <v>1890351.5732690108</v>
          </cell>
          <cell r="AA34">
            <v>142535.28</v>
          </cell>
          <cell r="AB34">
            <v>10389.943213656326</v>
          </cell>
          <cell r="AC34">
            <v>13771.888994271512</v>
          </cell>
          <cell r="AD34">
            <v>14322.917792072154</v>
          </cell>
          <cell r="AE34">
            <v>38484.749999999993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5635.3704444596397</v>
          </cell>
          <cell r="AN34">
            <v>1292.5980000000002</v>
          </cell>
          <cell r="AO34">
            <v>498.673</v>
          </cell>
          <cell r="AP34">
            <v>582.17000000000007</v>
          </cell>
          <cell r="AQ34">
            <v>-4651.2729999999992</v>
          </cell>
          <cell r="AR34">
            <v>26888.569999999996</v>
          </cell>
          <cell r="AS34">
            <v>0</v>
          </cell>
          <cell r="AT34">
            <v>6562.5290000000005</v>
          </cell>
          <cell r="AU34">
            <v>36808.637444459637</v>
          </cell>
        </row>
        <row r="35">
          <cell r="D35" t="str">
            <v>영업이익</v>
          </cell>
          <cell r="E35">
            <v>3577980.9630573015</v>
          </cell>
          <cell r="F35">
            <v>504240.37639597419</v>
          </cell>
          <cell r="G35">
            <v>247227.41268027443</v>
          </cell>
          <cell r="H35">
            <v>232755.43525851125</v>
          </cell>
          <cell r="I35">
            <v>184254.12051434891</v>
          </cell>
          <cell r="J35">
            <v>269606.71548666805</v>
          </cell>
          <cell r="K35">
            <v>263288.6314769123</v>
          </cell>
          <cell r="L35">
            <v>103827.95289666094</v>
          </cell>
          <cell r="M35">
            <v>155553.28621238179</v>
          </cell>
          <cell r="N35">
            <v>143178.21687134879</v>
          </cell>
          <cell r="O35">
            <v>165538.011813102</v>
          </cell>
          <cell r="P35">
            <v>224854.06722170219</v>
          </cell>
          <cell r="Q35">
            <v>48267.341574041537</v>
          </cell>
          <cell r="R35">
            <v>289761.4396020507</v>
          </cell>
          <cell r="S35">
            <v>163097.83460770268</v>
          </cell>
          <cell r="T35">
            <v>171541.15106866142</v>
          </cell>
          <cell r="U35">
            <v>36903.418269739217</v>
          </cell>
          <cell r="V35">
            <v>94232.513298236299</v>
          </cell>
          <cell r="W35">
            <v>0</v>
          </cell>
          <cell r="X35">
            <v>0</v>
          </cell>
          <cell r="Y35">
            <v>0</v>
          </cell>
          <cell r="Z35">
            <v>3298127.9252483165</v>
          </cell>
          <cell r="AA35">
            <v>60891.697600001731</v>
          </cell>
          <cell r="AB35">
            <v>67872.077564121326</v>
          </cell>
          <cell r="AC35">
            <v>17132.012950570912</v>
          </cell>
          <cell r="AD35">
            <v>54760.473805416739</v>
          </cell>
          <cell r="AE35">
            <v>139764.56432010909</v>
          </cell>
          <cell r="AF35">
            <v>9193.866</v>
          </cell>
          <cell r="AG35">
            <v>43988.673999999999</v>
          </cell>
          <cell r="AH35">
            <v>22222.302</v>
          </cell>
          <cell r="AI35">
            <v>71486.247333333333</v>
          </cell>
          <cell r="AJ35">
            <v>3752.154</v>
          </cell>
          <cell r="AK35">
            <v>0</v>
          </cell>
          <cell r="AL35">
            <v>150643.24333333332</v>
          </cell>
          <cell r="AM35">
            <v>-5635.3704444596397</v>
          </cell>
          <cell r="AN35">
            <v>-1292.5980000000002</v>
          </cell>
          <cell r="AO35">
            <v>-498.673</v>
          </cell>
          <cell r="AP35">
            <v>-582.17000000000007</v>
          </cell>
          <cell r="AQ35">
            <v>4651.2729999999992</v>
          </cell>
          <cell r="AR35">
            <v>-63296.399999999994</v>
          </cell>
          <cell r="AS35">
            <v>0</v>
          </cell>
          <cell r="AT35">
            <v>-4792.5290000000005</v>
          </cell>
          <cell r="AU35">
            <v>-71446.467444459631</v>
          </cell>
        </row>
      </sheetData>
      <sheetData sheetId="12">
        <row r="6">
          <cell r="D6" t="str">
            <v>구분</v>
          </cell>
        </row>
      </sheetData>
      <sheetData sheetId="13">
        <row r="6">
          <cell r="D6" t="str">
            <v>구분</v>
          </cell>
        </row>
      </sheetData>
      <sheetData sheetId="14">
        <row r="6">
          <cell r="D6" t="str">
            <v>구분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6">
          <cell r="D6" t="str">
            <v>구분</v>
          </cell>
        </row>
      </sheetData>
      <sheetData sheetId="24">
        <row r="6">
          <cell r="D6" t="str">
            <v>구분</v>
          </cell>
        </row>
      </sheetData>
      <sheetData sheetId="25">
        <row r="6">
          <cell r="D6" t="str">
            <v>구분</v>
          </cell>
        </row>
      </sheetData>
      <sheetData sheetId="26" refreshError="1"/>
      <sheetData sheetId="27">
        <row r="3">
          <cell r="AR3">
            <v>-126592.79999999999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4">
          <cell r="AJ24">
            <v>0</v>
          </cell>
        </row>
      </sheetData>
      <sheetData sheetId="16"/>
      <sheetData sheetId="17">
        <row r="7">
          <cell r="AU7">
            <v>0</v>
          </cell>
        </row>
      </sheetData>
      <sheetData sheetId="18"/>
      <sheetData sheetId="1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28400</v>
          </cell>
          <cell r="H7">
            <v>18327</v>
          </cell>
          <cell r="I7">
            <v>19107.8</v>
          </cell>
          <cell r="J7">
            <v>9800</v>
          </cell>
          <cell r="K7">
            <v>15517</v>
          </cell>
          <cell r="L7">
            <v>13004</v>
          </cell>
          <cell r="M7">
            <v>12705</v>
          </cell>
          <cell r="N7">
            <v>16976</v>
          </cell>
          <cell r="O7">
            <v>12518</v>
          </cell>
          <cell r="P7">
            <v>14953</v>
          </cell>
          <cell r="Q7">
            <v>14191</v>
          </cell>
          <cell r="R7">
            <v>11980</v>
          </cell>
          <cell r="S7">
            <v>23352</v>
          </cell>
          <cell r="T7">
            <v>5359</v>
          </cell>
          <cell r="U7">
            <v>7883</v>
          </cell>
          <cell r="V7">
            <v>10103</v>
          </cell>
          <cell r="W7">
            <v>2108.5</v>
          </cell>
          <cell r="Z7">
            <v>236284.3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236284.3</v>
          </cell>
          <cell r="AJ7">
            <v>9143</v>
          </cell>
          <cell r="AK7">
            <v>1050</v>
          </cell>
          <cell r="AL7">
            <v>36758</v>
          </cell>
          <cell r="AN7">
            <v>46951</v>
          </cell>
          <cell r="AO7">
            <v>7354.6280000000006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J7">
            <v>0</v>
          </cell>
        </row>
        <row r="8">
          <cell r="F8">
            <v>32391918.422000002</v>
          </cell>
          <cell r="G8">
            <v>2850383.9180000001</v>
          </cell>
          <cell r="H8">
            <v>1795814.6939999999</v>
          </cell>
          <cell r="I8">
            <v>1803396.3</v>
          </cell>
          <cell r="J8">
            <v>943503.09400000004</v>
          </cell>
          <cell r="K8">
            <v>1769742.8</v>
          </cell>
          <cell r="L8">
            <v>1314970.3</v>
          </cell>
          <cell r="M8">
            <v>1134828.7</v>
          </cell>
          <cell r="N8">
            <v>1722999.7</v>
          </cell>
          <cell r="O8">
            <v>1127996.8999999999</v>
          </cell>
          <cell r="P8">
            <v>1507345.4</v>
          </cell>
          <cell r="Q8">
            <v>1379972.75</v>
          </cell>
          <cell r="R8">
            <v>1176186.55</v>
          </cell>
          <cell r="S8">
            <v>2315037.7599999998</v>
          </cell>
          <cell r="T8">
            <v>606961</v>
          </cell>
          <cell r="U8">
            <v>917560.2</v>
          </cell>
          <cell r="V8">
            <v>1007174.3959999999</v>
          </cell>
          <cell r="W8">
            <v>245498.21799999999</v>
          </cell>
          <cell r="Z8">
            <v>23619372.680000003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23710212.680000003</v>
          </cell>
          <cell r="AJ8">
            <v>251085.5</v>
          </cell>
          <cell r="AK8">
            <v>12075</v>
          </cell>
          <cell r="AL8">
            <v>622585</v>
          </cell>
          <cell r="AN8">
            <v>885745.5</v>
          </cell>
          <cell r="AO8">
            <v>7720825.8609999996</v>
          </cell>
          <cell r="AP8">
            <v>0</v>
          </cell>
          <cell r="AS8">
            <v>7720825.8609999996</v>
          </cell>
          <cell r="AT8">
            <v>5512.5</v>
          </cell>
          <cell r="AU8">
            <v>6650</v>
          </cell>
          <cell r="AV8">
            <v>61155.680999999997</v>
          </cell>
          <cell r="BA8">
            <v>73318.180999999997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J8">
            <v>1816.2</v>
          </cell>
        </row>
        <row r="9">
          <cell r="G9">
            <v>100365.63091549296</v>
          </cell>
          <cell r="H9">
            <v>97987.378949091493</v>
          </cell>
          <cell r="I9">
            <v>94380.111786809575</v>
          </cell>
          <cell r="J9">
            <v>96275.825918367351</v>
          </cell>
          <cell r="K9">
            <v>114051.86569568861</v>
          </cell>
          <cell r="L9">
            <v>101120.44755459859</v>
          </cell>
          <cell r="M9">
            <v>89321.424635970092</v>
          </cell>
          <cell r="N9">
            <v>101496.21229971724</v>
          </cell>
          <cell r="O9">
            <v>90109.993609202749</v>
          </cell>
          <cell r="P9">
            <v>100805.5507256069</v>
          </cell>
          <cell r="Q9">
            <v>97242.812345853017</v>
          </cell>
          <cell r="R9">
            <v>98179.177796327203</v>
          </cell>
          <cell r="S9">
            <v>99136.594724220617</v>
          </cell>
          <cell r="T9">
            <v>113260.12315730547</v>
          </cell>
          <cell r="U9">
            <v>116397.33603957883</v>
          </cell>
          <cell r="V9">
            <v>99690.626150648313</v>
          </cell>
          <cell r="W9">
            <v>116432.63836850841</v>
          </cell>
          <cell r="Z9">
            <v>99961.667702847815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100346.11982260355</v>
          </cell>
          <cell r="AJ9">
            <v>27462.04746800831</v>
          </cell>
          <cell r="AK9">
            <v>11500</v>
          </cell>
          <cell r="AL9">
            <v>16937.401382012082</v>
          </cell>
          <cell r="AO9">
            <v>1049791.4865306576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28947684.51946</v>
          </cell>
          <cell r="G10">
            <v>2529764.54061</v>
          </cell>
          <cell r="H10">
            <v>1747776.3546499999</v>
          </cell>
          <cell r="I10">
            <v>1617438.1311700002</v>
          </cell>
          <cell r="J10">
            <v>850470.92554999993</v>
          </cell>
          <cell r="K10">
            <v>1463783.99926</v>
          </cell>
          <cell r="L10">
            <v>1142041.4417300001</v>
          </cell>
          <cell r="M10">
            <v>1070963.76997</v>
          </cell>
          <cell r="N10">
            <v>1514563.1808599997</v>
          </cell>
          <cell r="O10">
            <v>1012250.8071399999</v>
          </cell>
          <cell r="P10">
            <v>1262886.77923</v>
          </cell>
          <cell r="Q10">
            <v>1169770.6398199999</v>
          </cell>
          <cell r="R10">
            <v>1043143.72341</v>
          </cell>
          <cell r="S10">
            <v>1978900.5405299999</v>
          </cell>
          <cell r="T10">
            <v>476580.95704000001</v>
          </cell>
          <cell r="U10">
            <v>638270.27237000002</v>
          </cell>
          <cell r="V10">
            <v>842602.51361999998</v>
          </cell>
          <cell r="W10">
            <v>256221.11383000002</v>
          </cell>
          <cell r="Z10">
            <v>20617429.690790001</v>
          </cell>
          <cell r="AA10">
            <v>930.42600000000004</v>
          </cell>
          <cell r="AB10">
            <v>0</v>
          </cell>
          <cell r="AC10">
            <v>3247.4059999999999</v>
          </cell>
          <cell r="AD10">
            <v>4830.6580000000004</v>
          </cell>
          <cell r="AH10">
            <v>9008.4900000000016</v>
          </cell>
          <cell r="AI10">
            <v>20626438.18079</v>
          </cell>
          <cell r="AJ10">
            <v>198770.87384000001</v>
          </cell>
          <cell r="AK10">
            <v>54398.826099999998</v>
          </cell>
          <cell r="AL10">
            <v>743108.60372999997</v>
          </cell>
          <cell r="AN10">
            <v>996278.30367000005</v>
          </cell>
          <cell r="AO10">
            <v>7575195.2439999999</v>
          </cell>
          <cell r="AP10">
            <v>0</v>
          </cell>
          <cell r="AS10">
            <v>7575195.2439999999</v>
          </cell>
          <cell r="AT10">
            <v>138.39099999999999</v>
          </cell>
          <cell r="AU10">
            <v>180.244</v>
          </cell>
          <cell r="AV10">
            <v>0</v>
          </cell>
          <cell r="BA10">
            <v>318.63499999999999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-545.84400000000005</v>
          </cell>
          <cell r="BH10"/>
          <cell r="BJ10">
            <v>-250545.84400000001</v>
          </cell>
        </row>
        <row r="11">
          <cell r="G11">
            <v>89076.216218661968</v>
          </cell>
          <cell r="H11">
            <v>95366.200395591193</v>
          </cell>
          <cell r="I11">
            <v>84648.056352379674</v>
          </cell>
          <cell r="J11">
            <v>86782.74750510203</v>
          </cell>
          <cell r="K11">
            <v>94334.214040085062</v>
          </cell>
          <cell r="L11">
            <v>87822.319419409425</v>
          </cell>
          <cell r="M11">
            <v>84294.669025580471</v>
          </cell>
          <cell r="N11">
            <v>89217.906506833155</v>
          </cell>
          <cell r="O11">
            <v>80863.620957021878</v>
          </cell>
          <cell r="P11">
            <v>84457.084145656394</v>
          </cell>
          <cell r="Q11">
            <v>82430.458728771759</v>
          </cell>
          <cell r="R11">
            <v>87073.766561769618</v>
          </cell>
          <cell r="S11">
            <v>84742.22938206578</v>
          </cell>
          <cell r="T11">
            <v>88930.949251726081</v>
          </cell>
          <cell r="U11">
            <v>80967.940171254595</v>
          </cell>
          <cell r="V11">
            <v>83401.21880827476</v>
          </cell>
          <cell r="W11">
            <v>121518.19484467631</v>
          </cell>
          <cell r="Z11">
            <v>87256.875259126406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87295.000898451573</v>
          </cell>
          <cell r="AJ11">
            <v>21740.224635240076</v>
          </cell>
          <cell r="AK11">
            <v>51808.405809523807</v>
          </cell>
          <cell r="AL11">
            <v>20216.241463899012</v>
          </cell>
          <cell r="AO11">
            <v>1029990.2651772461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3444233.902540002</v>
          </cell>
          <cell r="G12">
            <v>320619.37739000004</v>
          </cell>
          <cell r="H12">
            <v>48038.339350000024</v>
          </cell>
          <cell r="I12">
            <v>185958.16882999986</v>
          </cell>
          <cell r="J12">
            <v>93032.168450000114</v>
          </cell>
          <cell r="K12">
            <v>305958.80074000009</v>
          </cell>
          <cell r="L12">
            <v>172928.85826999997</v>
          </cell>
          <cell r="M12">
            <v>63864.93002999993</v>
          </cell>
          <cell r="N12">
            <v>208436.51914000022</v>
          </cell>
          <cell r="O12">
            <v>115746.09285999998</v>
          </cell>
          <cell r="P12">
            <v>244458.62076999992</v>
          </cell>
          <cell r="Q12">
            <v>210202.11018000008</v>
          </cell>
          <cell r="R12">
            <v>133042.82659000007</v>
          </cell>
          <cell r="S12">
            <v>336137.21946999989</v>
          </cell>
          <cell r="T12">
            <v>130380.04295999999</v>
          </cell>
          <cell r="U12">
            <v>279289.92762999993</v>
          </cell>
          <cell r="V12">
            <v>164571.88237999997</v>
          </cell>
          <cell r="W12">
            <v>-10722.895830000023</v>
          </cell>
          <cell r="Z12">
            <v>3001942.9892099998</v>
          </cell>
          <cell r="AA12">
            <v>49069.574000000001</v>
          </cell>
          <cell r="AB12">
            <v>0</v>
          </cell>
          <cell r="AC12">
            <v>9252.594000000001</v>
          </cell>
          <cell r="AD12">
            <v>23509.342000000001</v>
          </cell>
          <cell r="AH12">
            <v>81831.509999999995</v>
          </cell>
          <cell r="AI12">
            <v>3083774.4992100038</v>
          </cell>
          <cell r="AJ12">
            <v>52314.626159999985</v>
          </cell>
          <cell r="AK12">
            <v>-42323.826099999998</v>
          </cell>
          <cell r="AL12">
            <v>-120523.60372999997</v>
          </cell>
          <cell r="AN12">
            <v>-110532.80367000005</v>
          </cell>
          <cell r="AO12">
            <v>145630.61699999962</v>
          </cell>
          <cell r="AP12">
            <v>0</v>
          </cell>
          <cell r="AS12">
            <v>145630.61699999962</v>
          </cell>
          <cell r="AT12">
            <v>5374.1090000000004</v>
          </cell>
          <cell r="AU12">
            <v>6469.7560000000003</v>
          </cell>
          <cell r="AV12">
            <v>61155.680999999997</v>
          </cell>
          <cell r="BA12">
            <v>72999.546000000002</v>
          </cell>
          <cell r="BB12">
            <v>0</v>
          </cell>
          <cell r="BC12">
            <v>1816.2</v>
          </cell>
          <cell r="BD12">
            <v>250000</v>
          </cell>
          <cell r="BE12">
            <v>0</v>
          </cell>
          <cell r="BF12">
            <v>0</v>
          </cell>
          <cell r="BG12">
            <v>545.84400000000005</v>
          </cell>
          <cell r="BJ12">
            <v>252362.04400000002</v>
          </cell>
        </row>
        <row r="13">
          <cell r="F13">
            <v>1066205.2010000001</v>
          </cell>
          <cell r="G13">
            <v>88953.674999999988</v>
          </cell>
          <cell r="H13">
            <v>81603.025999999998</v>
          </cell>
          <cell r="I13">
            <v>61724.567999999999</v>
          </cell>
          <cell r="J13">
            <v>46465.675999999999</v>
          </cell>
          <cell r="K13">
            <v>57035.590000000004</v>
          </cell>
          <cell r="L13">
            <v>67538.234999999986</v>
          </cell>
          <cell r="M13">
            <v>47729.662000000004</v>
          </cell>
          <cell r="N13">
            <v>67648.728000000003</v>
          </cell>
          <cell r="O13">
            <v>35509.570999999996</v>
          </cell>
          <cell r="P13">
            <v>60703.040999999997</v>
          </cell>
          <cell r="Q13">
            <v>57870.334999999999</v>
          </cell>
          <cell r="R13">
            <v>40554.173999999999</v>
          </cell>
          <cell r="S13">
            <v>54539.885999999999</v>
          </cell>
          <cell r="T13">
            <v>17304.272999999997</v>
          </cell>
          <cell r="U13">
            <v>16511.871999999999</v>
          </cell>
          <cell r="V13">
            <v>45519.494000000006</v>
          </cell>
          <cell r="W13">
            <v>17822.421000000002</v>
          </cell>
          <cell r="Z13">
            <v>865034.22700000007</v>
          </cell>
          <cell r="AA13">
            <v>0</v>
          </cell>
          <cell r="AB13">
            <v>171.33199999999999</v>
          </cell>
          <cell r="AC13">
            <v>0</v>
          </cell>
          <cell r="AD13">
            <v>0</v>
          </cell>
          <cell r="AH13">
            <v>171.33199999999999</v>
          </cell>
          <cell r="AI13">
            <v>865205.55900000012</v>
          </cell>
          <cell r="AJ13">
            <v>1009.999</v>
          </cell>
          <cell r="AK13">
            <v>31935.563999999998</v>
          </cell>
          <cell r="AL13">
            <v>0</v>
          </cell>
          <cell r="AN13">
            <v>32945.563000000002</v>
          </cell>
          <cell r="AO13">
            <v>155734.05099999998</v>
          </cell>
          <cell r="AP13">
            <v>0</v>
          </cell>
          <cell r="AS13">
            <v>155734.05099999998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12320.028</v>
          </cell>
          <cell r="BG13">
            <v>0</v>
          </cell>
          <cell r="BJ13">
            <v>12320.028</v>
          </cell>
        </row>
        <row r="14">
          <cell r="F14">
            <v>667307.21000000008</v>
          </cell>
          <cell r="G14">
            <v>59454.600999999995</v>
          </cell>
          <cell r="H14">
            <v>50360.849000000002</v>
          </cell>
          <cell r="I14">
            <v>43106.989000000001</v>
          </cell>
          <cell r="J14">
            <v>31738.364000000001</v>
          </cell>
          <cell r="K14">
            <v>39555.97</v>
          </cell>
          <cell r="L14">
            <v>43155.484999999993</v>
          </cell>
          <cell r="M14">
            <v>32744.79</v>
          </cell>
          <cell r="N14">
            <v>41992.29</v>
          </cell>
          <cell r="O14">
            <v>24869.042999999998</v>
          </cell>
          <cell r="P14">
            <v>40615.696000000004</v>
          </cell>
          <cell r="Q14">
            <v>32514.976999999999</v>
          </cell>
          <cell r="R14">
            <v>23558.152999999998</v>
          </cell>
          <cell r="S14">
            <v>38551.341</v>
          </cell>
          <cell r="T14">
            <v>9116.2319999999982</v>
          </cell>
          <cell r="U14">
            <v>9282.9850000000006</v>
          </cell>
          <cell r="V14">
            <v>26924.856</v>
          </cell>
          <cell r="W14">
            <v>12907.557000000001</v>
          </cell>
          <cell r="Z14">
            <v>560450.17800000007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560450.17800000007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106849.64499999999</v>
          </cell>
          <cell r="AP14">
            <v>0</v>
          </cell>
          <cell r="AS14">
            <v>106849.64499999999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7.3869999999999996</v>
          </cell>
          <cell r="BG14">
            <v>0</v>
          </cell>
          <cell r="BH14"/>
          <cell r="BJ14">
            <v>7.3869999999999996</v>
          </cell>
        </row>
        <row r="15">
          <cell r="F15">
            <v>398897.99100000004</v>
          </cell>
          <cell r="G15">
            <v>29499.074000000001</v>
          </cell>
          <cell r="H15">
            <v>31242.177</v>
          </cell>
          <cell r="I15">
            <v>18617.578999999998</v>
          </cell>
          <cell r="J15">
            <v>14727.311999999998</v>
          </cell>
          <cell r="K15">
            <v>17479.620000000003</v>
          </cell>
          <cell r="L15">
            <v>24382.75</v>
          </cell>
          <cell r="M15">
            <v>14984.872000000001</v>
          </cell>
          <cell r="N15">
            <v>25656.438000000002</v>
          </cell>
          <cell r="O15">
            <v>10640.528</v>
          </cell>
          <cell r="P15">
            <v>20087.344999999998</v>
          </cell>
          <cell r="Q15">
            <v>25355.358</v>
          </cell>
          <cell r="R15">
            <v>16996.021000000001</v>
          </cell>
          <cell r="S15">
            <v>15988.545</v>
          </cell>
          <cell r="T15">
            <v>8188.0410000000002</v>
          </cell>
          <cell r="U15">
            <v>7228.8869999999997</v>
          </cell>
          <cell r="V15">
            <v>18594.638000000003</v>
          </cell>
          <cell r="W15">
            <v>4914.8639999999996</v>
          </cell>
          <cell r="Z15">
            <v>304584.049</v>
          </cell>
          <cell r="AA15">
            <v>0</v>
          </cell>
          <cell r="AB15">
            <v>171.33199999999999</v>
          </cell>
          <cell r="AC15">
            <v>0</v>
          </cell>
          <cell r="AD15">
            <v>0</v>
          </cell>
          <cell r="AH15">
            <v>171.33199999999999</v>
          </cell>
          <cell r="AI15">
            <v>304755.38099999999</v>
          </cell>
          <cell r="AJ15">
            <v>1009.999</v>
          </cell>
          <cell r="AK15">
            <v>31935.563999999998</v>
          </cell>
          <cell r="AL15">
            <v>0</v>
          </cell>
          <cell r="AN15">
            <v>32945.563000000002</v>
          </cell>
          <cell r="AO15">
            <v>48884.406000000003</v>
          </cell>
          <cell r="AP15">
            <v>0</v>
          </cell>
          <cell r="AS15">
            <v>48884.406000000003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12312.641</v>
          </cell>
          <cell r="BG15">
            <v>0</v>
          </cell>
          <cell r="BH15"/>
          <cell r="BJ15">
            <v>12312.641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J16">
            <v>0</v>
          </cell>
        </row>
        <row r="17">
          <cell r="F17">
            <v>2378028.7015400017</v>
          </cell>
          <cell r="G17">
            <v>231665.70239000005</v>
          </cell>
          <cell r="H17">
            <v>-33564.686649999974</v>
          </cell>
          <cell r="I17">
            <v>124233.60082999986</v>
          </cell>
          <cell r="J17">
            <v>46566.492450000114</v>
          </cell>
          <cell r="K17">
            <v>248923.2107400001</v>
          </cell>
          <cell r="L17">
            <v>105390.62326999998</v>
          </cell>
          <cell r="M17">
            <v>16135.268029999927</v>
          </cell>
          <cell r="N17">
            <v>140787.79114000022</v>
          </cell>
          <cell r="O17">
            <v>80236.521859999979</v>
          </cell>
          <cell r="P17">
            <v>183755.57976999992</v>
          </cell>
          <cell r="Q17">
            <v>152331.77518000008</v>
          </cell>
          <cell r="R17">
            <v>92488.652590000071</v>
          </cell>
          <cell r="S17">
            <v>281597.3334699999</v>
          </cell>
          <cell r="T17">
            <v>113075.76995999999</v>
          </cell>
          <cell r="U17">
            <v>262778.05562999996</v>
          </cell>
          <cell r="V17">
            <v>119052.38837999996</v>
          </cell>
          <cell r="W17">
            <v>-28545.316830000025</v>
          </cell>
          <cell r="Z17">
            <v>2136908.7622099998</v>
          </cell>
          <cell r="AA17">
            <v>49069.574000000001</v>
          </cell>
          <cell r="AB17">
            <v>-171.33199999999999</v>
          </cell>
          <cell r="AC17">
            <v>9252.594000000001</v>
          </cell>
          <cell r="AD17">
            <v>23509.342000000001</v>
          </cell>
          <cell r="AH17">
            <v>81660.178</v>
          </cell>
          <cell r="AI17">
            <v>2218568.9402100034</v>
          </cell>
          <cell r="AJ17">
            <v>51304.627159999982</v>
          </cell>
          <cell r="AK17">
            <v>-74259.39009999999</v>
          </cell>
          <cell r="AL17">
            <v>-120523.60372999997</v>
          </cell>
          <cell r="AN17">
            <v>-143478.36667000005</v>
          </cell>
          <cell r="AO17">
            <v>-10103.434000000358</v>
          </cell>
          <cell r="AP17">
            <v>0</v>
          </cell>
          <cell r="AS17">
            <v>-10103.434000000358</v>
          </cell>
          <cell r="AT17">
            <v>5374.1090000000004</v>
          </cell>
          <cell r="AU17">
            <v>6469.7560000000003</v>
          </cell>
          <cell r="AV17">
            <v>61155.680999999997</v>
          </cell>
          <cell r="BA17">
            <v>72999.546000000002</v>
          </cell>
          <cell r="BB17">
            <v>0</v>
          </cell>
          <cell r="BC17">
            <v>1816.2</v>
          </cell>
          <cell r="BD17">
            <v>250000</v>
          </cell>
          <cell r="BE17">
            <v>0</v>
          </cell>
          <cell r="BF17">
            <v>-12320.028</v>
          </cell>
          <cell r="BG17">
            <v>545.84400000000005</v>
          </cell>
          <cell r="BJ17">
            <v>240042.01600000003</v>
          </cell>
        </row>
        <row r="18">
          <cell r="F18">
            <v>526827.33753999998</v>
          </cell>
          <cell r="G18">
            <v>29633.301390000001</v>
          </cell>
          <cell r="H18">
            <v>34832.353350000005</v>
          </cell>
          <cell r="I18">
            <v>17983.770830000001</v>
          </cell>
          <cell r="J18">
            <v>17524.635449999998</v>
          </cell>
          <cell r="K18">
            <v>81701.659740000003</v>
          </cell>
          <cell r="L18">
            <v>20717.129269999998</v>
          </cell>
          <cell r="M18">
            <v>18864.79103</v>
          </cell>
          <cell r="N18">
            <v>37242.390140000003</v>
          </cell>
          <cell r="O18">
            <v>10634.31386</v>
          </cell>
          <cell r="P18">
            <v>31500.912769999999</v>
          </cell>
          <cell r="Q18">
            <v>14677.051179999999</v>
          </cell>
          <cell r="R18">
            <v>14028.704590000001</v>
          </cell>
          <cell r="S18">
            <v>24945.14847</v>
          </cell>
          <cell r="T18">
            <v>5937.0669599999992</v>
          </cell>
          <cell r="U18">
            <v>10763.841630000001</v>
          </cell>
          <cell r="V18">
            <v>21050.289380000002</v>
          </cell>
          <cell r="W18">
            <v>12136.01217</v>
          </cell>
          <cell r="Z18">
            <v>404173.37221000006</v>
          </cell>
          <cell r="AA18">
            <v>5302.2790000000005</v>
          </cell>
          <cell r="AB18">
            <v>353.67200000000003</v>
          </cell>
          <cell r="AC18">
            <v>0</v>
          </cell>
          <cell r="AD18">
            <v>0</v>
          </cell>
          <cell r="AH18">
            <v>5655.9510000000009</v>
          </cell>
          <cell r="AI18">
            <v>409829.32321</v>
          </cell>
          <cell r="AJ18">
            <v>39510.939159999994</v>
          </cell>
          <cell r="AK18">
            <v>12575.9139</v>
          </cell>
          <cell r="AL18">
            <v>62878.777270000006</v>
          </cell>
          <cell r="AN18">
            <v>114965.63033</v>
          </cell>
          <cell r="AO18">
            <v>5475.768</v>
          </cell>
          <cell r="AP18">
            <v>855.83600000000001</v>
          </cell>
          <cell r="AS18">
            <v>6331.6040000000003</v>
          </cell>
          <cell r="AT18">
            <v>1312.8920000000001</v>
          </cell>
          <cell r="AU18">
            <v>-4103.3360000000002</v>
          </cell>
          <cell r="AV18">
            <v>0</v>
          </cell>
          <cell r="BA18">
            <v>-2790.4440000000004</v>
          </cell>
          <cell r="BB18">
            <v>0</v>
          </cell>
          <cell r="BC18">
            <v>7761.0870000000004</v>
          </cell>
          <cell r="BD18">
            <v>0</v>
          </cell>
          <cell r="BE18">
            <v>0</v>
          </cell>
          <cell r="BF18">
            <v>-9269.8630000000012</v>
          </cell>
          <cell r="BG18">
            <v>0</v>
          </cell>
          <cell r="BJ18">
            <v>-1508.7760000000007</v>
          </cell>
        </row>
        <row r="19">
          <cell r="F19">
            <v>500056.20954000001</v>
          </cell>
          <cell r="G19">
            <v>27305.679390000001</v>
          </cell>
          <cell r="H19">
            <v>32887.218350000003</v>
          </cell>
          <cell r="I19">
            <v>16681.308830000002</v>
          </cell>
          <cell r="J19">
            <v>16332.647449999999</v>
          </cell>
          <cell r="K19">
            <v>79825.593739999997</v>
          </cell>
          <cell r="L19">
            <v>19152.727269999999</v>
          </cell>
          <cell r="M19">
            <v>17671.192030000002</v>
          </cell>
          <cell r="N19">
            <v>35679.085140000003</v>
          </cell>
          <cell r="O19">
            <v>9884.2778600000001</v>
          </cell>
          <cell r="P19">
            <v>30282.146769999999</v>
          </cell>
          <cell r="Q19">
            <v>13471.66318</v>
          </cell>
          <cell r="R19">
            <v>12926.549590000001</v>
          </cell>
          <cell r="S19">
            <v>23356.947469999999</v>
          </cell>
          <cell r="T19">
            <v>5566.6669599999996</v>
          </cell>
          <cell r="U19">
            <v>10320.97263</v>
          </cell>
          <cell r="V19">
            <v>19923.425380000001</v>
          </cell>
          <cell r="W19">
            <v>11310.642169999999</v>
          </cell>
          <cell r="Z19">
            <v>382578.74421000003</v>
          </cell>
          <cell r="AA19">
            <v>5302.2790000000005</v>
          </cell>
          <cell r="AB19">
            <v>0</v>
          </cell>
          <cell r="AC19">
            <v>0</v>
          </cell>
          <cell r="AD19">
            <v>0</v>
          </cell>
          <cell r="AH19">
            <v>5302.2790000000005</v>
          </cell>
          <cell r="AI19">
            <v>387881.02321000001</v>
          </cell>
          <cell r="AJ19">
            <v>39510.939159999994</v>
          </cell>
          <cell r="AK19">
            <v>12575.9139</v>
          </cell>
          <cell r="AL19">
            <v>62878.777270000006</v>
          </cell>
          <cell r="AN19">
            <v>114965.63033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J19">
            <v>0</v>
          </cell>
        </row>
        <row r="20">
          <cell r="F20">
            <v>26771.127999999997</v>
          </cell>
          <cell r="G20">
            <v>2327.6219999999998</v>
          </cell>
          <cell r="H20">
            <v>1945.135</v>
          </cell>
          <cell r="I20">
            <v>1302.462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21594.628000000001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21948.3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5475.768</v>
          </cell>
          <cell r="AP20">
            <v>855.83600000000001</v>
          </cell>
          <cell r="AS20">
            <v>6331.6040000000003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7761.0870000000004</v>
          </cell>
          <cell r="BD20">
            <v>0</v>
          </cell>
          <cell r="BE20">
            <v>0</v>
          </cell>
          <cell r="BF20">
            <v>-9269.8630000000012</v>
          </cell>
          <cell r="BG20">
            <v>0</v>
          </cell>
          <cell r="BH20"/>
          <cell r="BJ20">
            <v>-1508.7760000000007</v>
          </cell>
        </row>
        <row r="21">
          <cell r="F21">
            <v>1851201.3640000017</v>
          </cell>
          <cell r="G21">
            <v>202032.40100000004</v>
          </cell>
          <cell r="H21">
            <v>-68397.039999999979</v>
          </cell>
          <cell r="I21">
            <v>106249.82999999987</v>
          </cell>
          <cell r="J21">
            <v>29041.857000000116</v>
          </cell>
          <cell r="K21">
            <v>167221.55100000009</v>
          </cell>
          <cell r="L21">
            <v>84673.493999999977</v>
          </cell>
          <cell r="M21">
            <v>-2729.5230000000738</v>
          </cell>
          <cell r="N21">
            <v>103545.40100000022</v>
          </cell>
          <cell r="O21">
            <v>69602.207999999984</v>
          </cell>
          <cell r="P21">
            <v>152254.66699999993</v>
          </cell>
          <cell r="Q21">
            <v>137654.72400000007</v>
          </cell>
          <cell r="R21">
            <v>78459.948000000062</v>
          </cell>
          <cell r="S21">
            <v>256652.18499999988</v>
          </cell>
          <cell r="T21">
            <v>107138.70299999999</v>
          </cell>
          <cell r="U21">
            <v>252014.21399999995</v>
          </cell>
          <cell r="V21">
            <v>98002.098999999958</v>
          </cell>
          <cell r="W21">
            <v>-40681.329000000027</v>
          </cell>
          <cell r="Z21">
            <v>1732735.3899999997</v>
          </cell>
          <cell r="AA21">
            <v>43767.294999999998</v>
          </cell>
          <cell r="AB21">
            <v>-525.00400000000002</v>
          </cell>
          <cell r="AC21">
            <v>9252.594000000001</v>
          </cell>
          <cell r="AD21">
            <v>23509.342000000001</v>
          </cell>
          <cell r="AH21">
            <v>76004.226999999999</v>
          </cell>
          <cell r="AI21">
            <v>1808739.6170000033</v>
          </cell>
          <cell r="AJ21">
            <v>11793.687999999987</v>
          </cell>
          <cell r="AK21">
            <v>-86835.303999999989</v>
          </cell>
          <cell r="AL21">
            <v>-183402.38099999999</v>
          </cell>
          <cell r="AN21">
            <v>-258443.99700000003</v>
          </cell>
          <cell r="AO21">
            <v>-15579.202000000358</v>
          </cell>
          <cell r="AP21">
            <v>-855.83600000000001</v>
          </cell>
          <cell r="AS21">
            <v>-16435.038000000357</v>
          </cell>
          <cell r="AT21">
            <v>4061.2170000000006</v>
          </cell>
          <cell r="AU21">
            <v>10573.092000000001</v>
          </cell>
          <cell r="AV21">
            <v>61155.680999999997</v>
          </cell>
          <cell r="BA21">
            <v>75789.990000000005</v>
          </cell>
          <cell r="BB21">
            <v>0</v>
          </cell>
          <cell r="BC21">
            <v>-5944.8870000000006</v>
          </cell>
          <cell r="BD21">
            <v>250000</v>
          </cell>
          <cell r="BE21">
            <v>0</v>
          </cell>
          <cell r="BF21">
            <v>-3050.1649999999991</v>
          </cell>
          <cell r="BG21">
            <v>545.84400000000005</v>
          </cell>
          <cell r="BJ21">
            <v>241550.79200000004</v>
          </cell>
        </row>
        <row r="22">
          <cell r="F22">
            <v>1021534.2010026759</v>
          </cell>
          <cell r="G22">
            <v>164247.2062594528</v>
          </cell>
          <cell r="H22">
            <v>103479.9363645491</v>
          </cell>
          <cell r="I22">
            <v>103916.81000693675</v>
          </cell>
          <cell r="J22">
            <v>54367.324453396628</v>
          </cell>
          <cell r="K22">
            <v>105153.14013796758</v>
          </cell>
          <cell r="L22">
            <v>78131.8371421911</v>
          </cell>
          <cell r="M22">
            <v>67428.329881431127</v>
          </cell>
          <cell r="N22">
            <v>102375.796591333</v>
          </cell>
          <cell r="O22">
            <v>67022.40353846502</v>
          </cell>
          <cell r="P22">
            <v>89562.224568745689</v>
          </cell>
          <cell r="Q22">
            <v>81994.099915155195</v>
          </cell>
          <cell r="R22">
            <v>69885.697017974948</v>
          </cell>
          <cell r="S22">
            <v>127785.58089235109</v>
          </cell>
          <cell r="T22">
            <v>33503.066474389736</v>
          </cell>
          <cell r="U22">
            <v>50647.53810352616</v>
          </cell>
          <cell r="V22">
            <v>55594.067395584454</v>
          </cell>
          <cell r="W22">
            <v>13551.02406414617</v>
          </cell>
          <cell r="Z22">
            <v>1368646.0828075965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1368646.0828075965</v>
          </cell>
          <cell r="AJ22">
            <v>15459.660160914926</v>
          </cell>
          <cell r="AK22">
            <v>743.47342416446884</v>
          </cell>
          <cell r="AL22">
            <v>38333.366609999997</v>
          </cell>
          <cell r="AN22">
            <v>54536.500195079396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-401648.38199999998</v>
          </cell>
          <cell r="BF22">
            <v>0</v>
          </cell>
          <cell r="BG22">
            <v>0</v>
          </cell>
          <cell r="BJ22">
            <v>-401648.38199999998</v>
          </cell>
        </row>
        <row r="23">
          <cell r="F23">
            <v>300094.96800267615</v>
          </cell>
          <cell r="G23">
            <v>28713.086887533256</v>
          </cell>
          <cell r="H23">
            <v>18089.978341903818</v>
          </cell>
          <cell r="I23">
            <v>18166.350970324267</v>
          </cell>
          <cell r="J23">
            <v>9504.293841121249</v>
          </cell>
          <cell r="K23">
            <v>21002.885711505751</v>
          </cell>
          <cell r="L23">
            <v>15605.754081849878</v>
          </cell>
          <cell r="M23">
            <v>13467.876511907067</v>
          </cell>
          <cell r="N23">
            <v>20448.149742470316</v>
          </cell>
          <cell r="O23">
            <v>13386.798337946497</v>
          </cell>
          <cell r="P23">
            <v>17888.815913794886</v>
          </cell>
          <cell r="Q23">
            <v>16377.18766435569</v>
          </cell>
          <cell r="R23">
            <v>13958.701617579824</v>
          </cell>
          <cell r="S23">
            <v>17706.864080582582</v>
          </cell>
          <cell r="T23">
            <v>4642.4192792494596</v>
          </cell>
          <cell r="U23">
            <v>7018.077211471561</v>
          </cell>
          <cell r="V23">
            <v>7703.5029162612263</v>
          </cell>
          <cell r="W23">
            <v>1877.7246977393715</v>
          </cell>
          <cell r="Z23">
            <v>245558.46780759672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245558.46780759672</v>
          </cell>
          <cell r="AJ23">
            <v>15459.660160914926</v>
          </cell>
          <cell r="AK23">
            <v>743.47342416446884</v>
          </cell>
          <cell r="AL23">
            <v>38333.366609999997</v>
          </cell>
          <cell r="AN23">
            <v>54536.500195079396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J23">
            <v>0</v>
          </cell>
        </row>
        <row r="24">
          <cell r="F24">
            <v>380353.43899999995</v>
          </cell>
          <cell r="G24">
            <v>45901.021181634271</v>
          </cell>
          <cell r="H24">
            <v>28918.816088964501</v>
          </cell>
          <cell r="I24">
            <v>29040.906118801951</v>
          </cell>
          <cell r="J24">
            <v>15193.656976923583</v>
          </cell>
          <cell r="K24">
            <v>28498.968590112829</v>
          </cell>
          <cell r="L24">
            <v>21175.56137345565</v>
          </cell>
          <cell r="M24">
            <v>18274.659728215072</v>
          </cell>
          <cell r="N24">
            <v>27746.243313476869</v>
          </cell>
          <cell r="O24">
            <v>18164.644163459594</v>
          </cell>
          <cell r="P24">
            <v>24273.464601212705</v>
          </cell>
          <cell r="Q24">
            <v>22222.325220061146</v>
          </cell>
          <cell r="R24">
            <v>18940.663888878753</v>
          </cell>
          <cell r="S24">
            <v>37280.099914611979</v>
          </cell>
          <cell r="T24">
            <v>9774.1674521424666</v>
          </cell>
          <cell r="U24">
            <v>14775.886823406005</v>
          </cell>
          <cell r="V24">
            <v>16218.984745336929</v>
          </cell>
          <cell r="W24">
            <v>3953.3688193056487</v>
          </cell>
          <cell r="Z24">
            <v>380353.43899999995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380353.43899999995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J24">
            <v>0</v>
          </cell>
        </row>
        <row r="25">
          <cell r="F25">
            <v>341085.79399999988</v>
          </cell>
          <cell r="G25">
            <v>89633.098190285265</v>
          </cell>
          <cell r="H25">
            <v>56471.141933680767</v>
          </cell>
          <cell r="I25">
            <v>56709.552917810543</v>
          </cell>
          <cell r="J25">
            <v>29669.373635351796</v>
          </cell>
          <cell r="K25">
            <v>55651.285836349001</v>
          </cell>
          <cell r="L25">
            <v>41350.521686885579</v>
          </cell>
          <cell r="M25">
            <v>35685.793641308985</v>
          </cell>
          <cell r="N25">
            <v>54181.403535385813</v>
          </cell>
          <cell r="O25">
            <v>35470.961037058929</v>
          </cell>
          <cell r="P25">
            <v>47399.944053738102</v>
          </cell>
          <cell r="Q25">
            <v>43394.587030738359</v>
          </cell>
          <cell r="R25">
            <v>36986.331511516364</v>
          </cell>
          <cell r="S25">
            <v>72798.616897156535</v>
          </cell>
          <cell r="T25">
            <v>19086.47974299781</v>
          </cell>
          <cell r="U25">
            <v>28853.574068648595</v>
          </cell>
          <cell r="V25">
            <v>31671.579733986295</v>
          </cell>
          <cell r="W25">
            <v>7719.9305471011494</v>
          </cell>
          <cell r="Z25">
            <v>742734.17599999986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742734.17599999986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-401648.38199999998</v>
          </cell>
          <cell r="BF25">
            <v>0</v>
          </cell>
          <cell r="BG25">
            <v>0</v>
          </cell>
          <cell r="BH25"/>
          <cell r="BJ25">
            <v>-401648.38199999998</v>
          </cell>
        </row>
        <row r="26">
          <cell r="F26">
            <v>829667.16299732577</v>
          </cell>
          <cell r="G26">
            <v>37785.194740547246</v>
          </cell>
          <cell r="H26">
            <v>-171876.97636454907</v>
          </cell>
          <cell r="I26">
            <v>2333.0199930631206</v>
          </cell>
          <cell r="J26">
            <v>-25325.467453396512</v>
          </cell>
          <cell r="K26">
            <v>62068.410862032513</v>
          </cell>
          <cell r="L26">
            <v>6541.6568578088772</v>
          </cell>
          <cell r="M26">
            <v>-70157.852881431201</v>
          </cell>
          <cell r="N26">
            <v>1169.6044086672191</v>
          </cell>
          <cell r="O26">
            <v>2579.8044615349645</v>
          </cell>
          <cell r="P26">
            <v>62692.44243125424</v>
          </cell>
          <cell r="Q26">
            <v>55660.62408484488</v>
          </cell>
          <cell r="R26">
            <v>8574.2509820251144</v>
          </cell>
          <cell r="S26">
            <v>128866.60410764879</v>
          </cell>
          <cell r="T26">
            <v>73635.636525610258</v>
          </cell>
          <cell r="U26">
            <v>201366.67589647378</v>
          </cell>
          <cell r="V26">
            <v>42408.031604415504</v>
          </cell>
          <cell r="W26">
            <v>-54232.353064146198</v>
          </cell>
          <cell r="Z26">
            <v>364089.30719240312</v>
          </cell>
          <cell r="AA26">
            <v>43767.294999999998</v>
          </cell>
          <cell r="AB26">
            <v>-525.00400000000002</v>
          </cell>
          <cell r="AC26">
            <v>9252.594000000001</v>
          </cell>
          <cell r="AD26">
            <v>23509.342000000001</v>
          </cell>
          <cell r="AH26">
            <v>76004.226999999999</v>
          </cell>
          <cell r="AI26">
            <v>440093.53419240681</v>
          </cell>
          <cell r="AJ26">
            <v>-3665.9721609149383</v>
          </cell>
          <cell r="AK26">
            <v>-87578.777424164451</v>
          </cell>
          <cell r="AL26">
            <v>-221735.74760999999</v>
          </cell>
          <cell r="AN26">
            <v>-312980.49719507946</v>
          </cell>
          <cell r="AO26">
            <v>-15579.202000000358</v>
          </cell>
          <cell r="AP26">
            <v>-855.83600000000001</v>
          </cell>
          <cell r="AS26">
            <v>-16435.038000000357</v>
          </cell>
          <cell r="AT26">
            <v>4061.2170000000006</v>
          </cell>
          <cell r="AU26">
            <v>10573.092000000001</v>
          </cell>
          <cell r="AV26">
            <v>61155.680999999997</v>
          </cell>
          <cell r="BA26">
            <v>75789.990000000005</v>
          </cell>
          <cell r="BB26">
            <v>0</v>
          </cell>
          <cell r="BC26">
            <v>-5944.8870000000006</v>
          </cell>
          <cell r="BD26">
            <v>250000</v>
          </cell>
          <cell r="BE26">
            <v>401648.38199999998</v>
          </cell>
          <cell r="BF26">
            <v>-3050.1649999999991</v>
          </cell>
          <cell r="BG26">
            <v>545.84400000000005</v>
          </cell>
          <cell r="BJ26">
            <v>643199.174</v>
          </cell>
        </row>
        <row r="27">
          <cell r="F27">
            <v>829667.16299732367</v>
          </cell>
          <cell r="G27">
            <v>37785.194740547246</v>
          </cell>
          <cell r="H27">
            <v>-171876.97636454907</v>
          </cell>
          <cell r="I27">
            <v>2333.0199930630911</v>
          </cell>
          <cell r="J27">
            <v>-25325.467453396512</v>
          </cell>
          <cell r="K27">
            <v>62068.410862032535</v>
          </cell>
          <cell r="L27">
            <v>6541.6568578088682</v>
          </cell>
          <cell r="M27">
            <v>-70157.852881431201</v>
          </cell>
          <cell r="N27">
            <v>1169.6044086672266</v>
          </cell>
          <cell r="O27">
            <v>2579.8044615349372</v>
          </cell>
          <cell r="P27">
            <v>62692.442431254232</v>
          </cell>
          <cell r="Q27">
            <v>55660.624084844872</v>
          </cell>
          <cell r="R27">
            <v>8574.2509820251289</v>
          </cell>
          <cell r="S27">
            <v>128866.60410764879</v>
          </cell>
          <cell r="T27">
            <v>73635.636525610258</v>
          </cell>
          <cell r="U27">
            <v>201366.67589647378</v>
          </cell>
          <cell r="V27">
            <v>42408.031604415504</v>
          </cell>
          <cell r="W27">
            <v>-54232.353064146198</v>
          </cell>
          <cell r="Z27">
            <v>364089.30719240347</v>
          </cell>
          <cell r="AA27">
            <v>43767.294999999998</v>
          </cell>
          <cell r="AB27">
            <v>-525.00400000000002</v>
          </cell>
          <cell r="AC27">
            <v>9252.594000000001</v>
          </cell>
          <cell r="AD27">
            <v>23509.342000000001</v>
          </cell>
          <cell r="AH27">
            <v>76004.226999999999</v>
          </cell>
          <cell r="AI27">
            <v>440093.53419240349</v>
          </cell>
          <cell r="AJ27">
            <v>-3665.9721609149419</v>
          </cell>
          <cell r="AK27">
            <v>-87578.777424164451</v>
          </cell>
          <cell r="AL27">
            <v>-221735.74760999996</v>
          </cell>
          <cell r="AN27">
            <v>-312980.49719507934</v>
          </cell>
          <cell r="AO27">
            <v>-15579.202000000372</v>
          </cell>
          <cell r="AP27">
            <v>-855.83600000000001</v>
          </cell>
          <cell r="AS27">
            <v>-16435.038000000372</v>
          </cell>
          <cell r="AT27">
            <v>4061.2170000000006</v>
          </cell>
          <cell r="AU27">
            <v>10573.092000000001</v>
          </cell>
          <cell r="AV27">
            <v>61155.680999999997</v>
          </cell>
          <cell r="BA27">
            <v>75789.989999999991</v>
          </cell>
          <cell r="BB27">
            <v>0</v>
          </cell>
          <cell r="BC27">
            <v>-5944.8870000000006</v>
          </cell>
          <cell r="BD27">
            <v>250000</v>
          </cell>
          <cell r="BE27">
            <v>401648.38199999998</v>
          </cell>
          <cell r="BF27">
            <v>-3050.1650000000018</v>
          </cell>
          <cell r="BG27">
            <v>545.84400000000005</v>
          </cell>
          <cell r="BJ27">
            <v>643199.174</v>
          </cell>
        </row>
        <row r="28">
          <cell r="F28">
            <v>2.0954757928848267E-9</v>
          </cell>
          <cell r="G28">
            <v>0</v>
          </cell>
          <cell r="H28">
            <v>0</v>
          </cell>
          <cell r="I28">
            <v>2.9558577807620168E-11</v>
          </cell>
          <cell r="J28">
            <v>0</v>
          </cell>
          <cell r="K28">
            <v>0</v>
          </cell>
          <cell r="L28">
            <v>9.0949470177292824E-12</v>
          </cell>
          <cell r="M28">
            <v>0</v>
          </cell>
          <cell r="N28">
            <v>-7.503331289626658E-12</v>
          </cell>
          <cell r="O28">
            <v>2.7284841053187847E-11</v>
          </cell>
          <cell r="P28">
            <v>0</v>
          </cell>
          <cell r="Q28">
            <v>0</v>
          </cell>
          <cell r="R28">
            <v>-1.4551915228366852E-11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3.3178366720676422E-9</v>
          </cell>
          <cell r="AJ28">
            <v>3.637978807091713E-12</v>
          </cell>
          <cell r="AK28">
            <v>0</v>
          </cell>
          <cell r="AL28">
            <v>0</v>
          </cell>
          <cell r="AN28">
            <v>0</v>
          </cell>
          <cell r="AO28">
            <v>1.4551915228366852E-11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28400</v>
          </cell>
          <cell r="H31">
            <v>18327</v>
          </cell>
          <cell r="I31">
            <v>19107.8</v>
          </cell>
          <cell r="J31">
            <v>9800</v>
          </cell>
          <cell r="K31">
            <v>15517</v>
          </cell>
          <cell r="L31">
            <v>13004</v>
          </cell>
          <cell r="M31">
            <v>12705</v>
          </cell>
          <cell r="N31">
            <v>16976</v>
          </cell>
          <cell r="O31">
            <v>12518</v>
          </cell>
          <cell r="P31">
            <v>14953</v>
          </cell>
          <cell r="Q31">
            <v>14191</v>
          </cell>
          <cell r="R31">
            <v>11980</v>
          </cell>
          <cell r="S31">
            <v>23352</v>
          </cell>
          <cell r="T31">
            <v>5359</v>
          </cell>
          <cell r="U31">
            <v>7883</v>
          </cell>
          <cell r="V31">
            <v>10103</v>
          </cell>
          <cell r="W31">
            <v>2108.5</v>
          </cell>
          <cell r="X31">
            <v>0</v>
          </cell>
          <cell r="Y31">
            <v>0</v>
          </cell>
          <cell r="Z31">
            <v>236284.3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236284.3</v>
          </cell>
          <cell r="AJ31">
            <v>9143</v>
          </cell>
          <cell r="AK31">
            <v>1050</v>
          </cell>
          <cell r="AL31">
            <v>36758</v>
          </cell>
          <cell r="AN31">
            <v>46951</v>
          </cell>
          <cell r="AO31">
            <v>7354.6280000000006</v>
          </cell>
          <cell r="AP31">
            <v>0</v>
          </cell>
          <cell r="AS31">
            <v>7354.6280000000006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32391918.422000002</v>
          </cell>
          <cell r="G32">
            <v>2850383.9180000001</v>
          </cell>
          <cell r="H32">
            <v>1795814.6939999999</v>
          </cell>
          <cell r="I32">
            <v>1803396.3</v>
          </cell>
          <cell r="J32">
            <v>943503.09400000004</v>
          </cell>
          <cell r="K32">
            <v>1769742.8</v>
          </cell>
          <cell r="L32">
            <v>1314970.3</v>
          </cell>
          <cell r="M32">
            <v>1134828.7</v>
          </cell>
          <cell r="N32">
            <v>1722999.7</v>
          </cell>
          <cell r="O32">
            <v>1127996.8999999999</v>
          </cell>
          <cell r="P32">
            <v>1507345.4</v>
          </cell>
          <cell r="Q32">
            <v>1379972.75</v>
          </cell>
          <cell r="R32">
            <v>1176186.55</v>
          </cell>
          <cell r="S32">
            <v>2315037.7599999998</v>
          </cell>
          <cell r="T32">
            <v>606961</v>
          </cell>
          <cell r="U32">
            <v>917560.2</v>
          </cell>
          <cell r="V32">
            <v>1007174.3959999999</v>
          </cell>
          <cell r="W32">
            <v>245498.21799999999</v>
          </cell>
          <cell r="X32">
            <v>0</v>
          </cell>
          <cell r="Y32">
            <v>0</v>
          </cell>
          <cell r="Z32">
            <v>23619372.680000003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23710212.680000003</v>
          </cell>
          <cell r="AJ32">
            <v>251085.5</v>
          </cell>
          <cell r="AK32">
            <v>12075</v>
          </cell>
          <cell r="AL32">
            <v>622585</v>
          </cell>
          <cell r="AN32">
            <v>885745.5</v>
          </cell>
          <cell r="AO32">
            <v>7720825.8609999996</v>
          </cell>
          <cell r="AP32">
            <v>0</v>
          </cell>
          <cell r="AS32">
            <v>7720825.8609999996</v>
          </cell>
          <cell r="AT32">
            <v>5512.5</v>
          </cell>
          <cell r="AU32">
            <v>6650</v>
          </cell>
          <cell r="AV32">
            <v>61155.680999999997</v>
          </cell>
          <cell r="BA32">
            <v>73318.180999999997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1816.2</v>
          </cell>
        </row>
        <row r="33">
          <cell r="F33">
            <v>29447740.729000002</v>
          </cell>
          <cell r="G33">
            <v>2557070.2200000002</v>
          </cell>
          <cell r="H33">
            <v>1780663.5729999999</v>
          </cell>
          <cell r="I33">
            <v>1634119.4400000002</v>
          </cell>
          <cell r="J33">
            <v>866803.57299999997</v>
          </cell>
          <cell r="K33">
            <v>1543609.5929999999</v>
          </cell>
          <cell r="L33">
            <v>1161194.169</v>
          </cell>
          <cell r="M33">
            <v>1088634.9620000001</v>
          </cell>
          <cell r="N33">
            <v>1550242.2659999998</v>
          </cell>
          <cell r="O33">
            <v>1022135.085</v>
          </cell>
          <cell r="P33">
            <v>1293168.926</v>
          </cell>
          <cell r="Q33">
            <v>1183242.3029999998</v>
          </cell>
          <cell r="R33">
            <v>1056070.273</v>
          </cell>
          <cell r="S33">
            <v>2002257.4879999999</v>
          </cell>
          <cell r="T33">
            <v>482147.62400000001</v>
          </cell>
          <cell r="U33">
            <v>648591.245</v>
          </cell>
          <cell r="V33">
            <v>862525.93900000001</v>
          </cell>
          <cell r="W33">
            <v>267531.75599999999</v>
          </cell>
          <cell r="X33">
            <v>0</v>
          </cell>
          <cell r="Y33">
            <v>0</v>
          </cell>
          <cell r="Z33">
            <v>21000008.435000002</v>
          </cell>
          <cell r="AA33">
            <v>6232.7050000000008</v>
          </cell>
          <cell r="AB33">
            <v>0</v>
          </cell>
          <cell r="AC33">
            <v>3247.4059999999999</v>
          </cell>
          <cell r="AD33">
            <v>4830.6580000000004</v>
          </cell>
          <cell r="AH33">
            <v>14310.769</v>
          </cell>
          <cell r="AI33">
            <v>21014319.204000004</v>
          </cell>
          <cell r="AJ33">
            <v>238281.81300000002</v>
          </cell>
          <cell r="AK33">
            <v>66974.739999999991</v>
          </cell>
          <cell r="AL33">
            <v>805987.38099999994</v>
          </cell>
          <cell r="AN33">
            <v>1111243.9339999999</v>
          </cell>
          <cell r="AO33">
            <v>7575195.2439999999</v>
          </cell>
          <cell r="AP33">
            <v>0</v>
          </cell>
          <cell r="AS33">
            <v>7575195.2439999999</v>
          </cell>
          <cell r="AT33">
            <v>1451.2830000000001</v>
          </cell>
          <cell r="AU33">
            <v>-3923.0920000000001</v>
          </cell>
          <cell r="AV33">
            <v>0</v>
          </cell>
          <cell r="BA33">
            <v>-2471.8090000000002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-545.84400000000005</v>
          </cell>
          <cell r="BJ33">
            <v>-250545.84400000001</v>
          </cell>
        </row>
        <row r="34">
          <cell r="F34">
            <v>2944177.693</v>
          </cell>
          <cell r="G34">
            <v>293313.69799999986</v>
          </cell>
          <cell r="H34">
            <v>15151.121000000043</v>
          </cell>
          <cell r="I34">
            <v>169276.85999999987</v>
          </cell>
          <cell r="J34">
            <v>76699.521000000066</v>
          </cell>
          <cell r="K34">
            <v>226133.20700000017</v>
          </cell>
          <cell r="L34">
            <v>153776.13100000005</v>
          </cell>
          <cell r="M34">
            <v>46193.737999999896</v>
          </cell>
          <cell r="N34">
            <v>172757.43400000012</v>
          </cell>
          <cell r="O34">
            <v>105861.81499999994</v>
          </cell>
          <cell r="P34">
            <v>214176.47399999993</v>
          </cell>
          <cell r="Q34">
            <v>196730.44700000016</v>
          </cell>
          <cell r="R34">
            <v>120116.277</v>
          </cell>
          <cell r="S34">
            <v>312780.27199999988</v>
          </cell>
          <cell r="T34">
            <v>124813.37599999999</v>
          </cell>
          <cell r="U34">
            <v>268968.95499999996</v>
          </cell>
          <cell r="V34">
            <v>144648.45699999994</v>
          </cell>
          <cell r="W34">
            <v>-22033.538</v>
          </cell>
          <cell r="X34">
            <v>0</v>
          </cell>
          <cell r="Y34">
            <v>0</v>
          </cell>
          <cell r="Z34">
            <v>2619364.245000001</v>
          </cell>
          <cell r="AA34">
            <v>43767.294999999998</v>
          </cell>
          <cell r="AB34">
            <v>0</v>
          </cell>
          <cell r="AC34">
            <v>9252.594000000001</v>
          </cell>
          <cell r="AD34">
            <v>23509.342000000001</v>
          </cell>
          <cell r="AH34">
            <v>76529.231</v>
          </cell>
          <cell r="AI34">
            <v>2695893.4759999998</v>
          </cell>
          <cell r="AJ34">
            <v>12803.686999999976</v>
          </cell>
          <cell r="AK34">
            <v>-54899.739999999991</v>
          </cell>
          <cell r="AL34">
            <v>-183402.38099999994</v>
          </cell>
          <cell r="AN34">
            <v>-225498.43399999989</v>
          </cell>
          <cell r="AO34">
            <v>145630.61699999962</v>
          </cell>
          <cell r="AP34">
            <v>0</v>
          </cell>
          <cell r="AS34">
            <v>145630.61699999962</v>
          </cell>
          <cell r="AT34">
            <v>4061.2169999999996</v>
          </cell>
          <cell r="AU34">
            <v>10573.092000000001</v>
          </cell>
          <cell r="AV34">
            <v>61155.680999999997</v>
          </cell>
          <cell r="BA34">
            <v>75789.989999999991</v>
          </cell>
          <cell r="BB34">
            <v>0</v>
          </cell>
          <cell r="BC34">
            <v>1816.2</v>
          </cell>
          <cell r="BD34">
            <v>250000</v>
          </cell>
          <cell r="BE34">
            <v>0</v>
          </cell>
          <cell r="BF34">
            <v>0</v>
          </cell>
          <cell r="BG34">
            <v>545.84400000000005</v>
          </cell>
          <cell r="BJ34">
            <v>252362.04400000002</v>
          </cell>
        </row>
        <row r="35">
          <cell r="F35">
            <v>2114510.5300026764</v>
          </cell>
          <cell r="G35">
            <v>255528.50325945279</v>
          </cell>
          <cell r="H35">
            <v>187028.09736454912</v>
          </cell>
          <cell r="I35">
            <v>166943.84000693675</v>
          </cell>
          <cell r="J35">
            <v>102024.98845339663</v>
          </cell>
          <cell r="K35">
            <v>164064.79613796758</v>
          </cell>
          <cell r="L35">
            <v>147234.47414219109</v>
          </cell>
          <cell r="M35">
            <v>116351.59088143114</v>
          </cell>
          <cell r="N35">
            <v>171587.82959133299</v>
          </cell>
          <cell r="O35">
            <v>103282.01053846501</v>
          </cell>
          <cell r="P35">
            <v>151484.03156874568</v>
          </cell>
          <cell r="Q35">
            <v>141069.82291515521</v>
          </cell>
          <cell r="R35">
            <v>111542.02601797495</v>
          </cell>
          <cell r="S35">
            <v>183913.66789235111</v>
          </cell>
          <cell r="T35">
            <v>51177.739474389738</v>
          </cell>
          <cell r="U35">
            <v>67602.279103526162</v>
          </cell>
          <cell r="V35">
            <v>102240.42539558446</v>
          </cell>
          <cell r="W35">
            <v>32198.815064146173</v>
          </cell>
          <cell r="X35">
            <v>0</v>
          </cell>
          <cell r="Y35">
            <v>0</v>
          </cell>
          <cell r="Z35">
            <v>2255274.9378075968</v>
          </cell>
          <cell r="AA35">
            <v>0</v>
          </cell>
          <cell r="AB35">
            <v>525.00400000000002</v>
          </cell>
          <cell r="AC35">
            <v>0</v>
          </cell>
          <cell r="AD35">
            <v>0</v>
          </cell>
          <cell r="AH35">
            <v>525.00400000000002</v>
          </cell>
          <cell r="AI35">
            <v>2255799.9418075969</v>
          </cell>
          <cell r="AJ35">
            <v>16469.659160914925</v>
          </cell>
          <cell r="AK35">
            <v>32679.037424164468</v>
          </cell>
          <cell r="AL35">
            <v>38333.366609999997</v>
          </cell>
          <cell r="AN35">
            <v>87482.06319507939</v>
          </cell>
          <cell r="AO35">
            <v>161209.81899999999</v>
          </cell>
          <cell r="AP35">
            <v>855.83600000000001</v>
          </cell>
          <cell r="AS35">
            <v>162065.655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7761.0870000000004</v>
          </cell>
          <cell r="BD35">
            <v>0</v>
          </cell>
          <cell r="BE35">
            <v>-401648.38199999998</v>
          </cell>
          <cell r="BF35">
            <v>3050.1649999999991</v>
          </cell>
          <cell r="BG35">
            <v>0</v>
          </cell>
          <cell r="BJ35">
            <v>-390837.13</v>
          </cell>
        </row>
        <row r="36">
          <cell r="F36">
            <v>829667.16299732355</v>
          </cell>
          <cell r="G36">
            <v>37785.194740547071</v>
          </cell>
          <cell r="H36">
            <v>-171876.97636454907</v>
          </cell>
          <cell r="I36">
            <v>2333.0199930631206</v>
          </cell>
          <cell r="J36">
            <v>-25325.467453396559</v>
          </cell>
          <cell r="K36">
            <v>62068.410862032586</v>
          </cell>
          <cell r="L36">
            <v>6541.6568578089646</v>
          </cell>
          <cell r="M36">
            <v>-70157.852881431245</v>
          </cell>
          <cell r="N36">
            <v>1169.6044086671318</v>
          </cell>
          <cell r="O36">
            <v>2579.8044615349354</v>
          </cell>
          <cell r="P36">
            <v>62692.442431254254</v>
          </cell>
          <cell r="Q36">
            <v>55660.624084844952</v>
          </cell>
          <cell r="R36">
            <v>8574.2509820250561</v>
          </cell>
          <cell r="S36">
            <v>128866.60410764877</v>
          </cell>
          <cell r="T36">
            <v>73635.636525610258</v>
          </cell>
          <cell r="U36">
            <v>201366.67589647381</v>
          </cell>
          <cell r="V36">
            <v>42408.031604415475</v>
          </cell>
          <cell r="W36">
            <v>-54232.353064146169</v>
          </cell>
          <cell r="X36">
            <v>0</v>
          </cell>
          <cell r="Y36">
            <v>0</v>
          </cell>
          <cell r="Z36">
            <v>364089.30719240429</v>
          </cell>
          <cell r="AA36">
            <v>43767.294999999998</v>
          </cell>
          <cell r="AB36">
            <v>-525.00400000000002</v>
          </cell>
          <cell r="AC36">
            <v>9252.594000000001</v>
          </cell>
          <cell r="AD36">
            <v>23509.342000000001</v>
          </cell>
          <cell r="AH36">
            <v>76004.226999999999</v>
          </cell>
          <cell r="AI36">
            <v>440093.53419240285</v>
          </cell>
          <cell r="AJ36">
            <v>-3665.9721609149492</v>
          </cell>
          <cell r="AK36">
            <v>-87578.777424164466</v>
          </cell>
          <cell r="AL36">
            <v>-221735.74760999993</v>
          </cell>
          <cell r="AN36">
            <v>-312980.49719507928</v>
          </cell>
          <cell r="AO36">
            <v>-15579.202000000369</v>
          </cell>
          <cell r="AP36">
            <v>-855.83600000000001</v>
          </cell>
          <cell r="AS36">
            <v>-16435.038000000379</v>
          </cell>
          <cell r="AT36">
            <v>4061.2169999999996</v>
          </cell>
          <cell r="AU36">
            <v>10573.092000000001</v>
          </cell>
          <cell r="AV36">
            <v>61155.680999999997</v>
          </cell>
          <cell r="BA36">
            <v>75789.989999999991</v>
          </cell>
          <cell r="BB36">
            <v>0</v>
          </cell>
          <cell r="BC36">
            <v>-5944.8870000000006</v>
          </cell>
          <cell r="BD36">
            <v>250000</v>
          </cell>
          <cell r="BE36">
            <v>401648.38199999998</v>
          </cell>
          <cell r="BF36">
            <v>-3050.1649999999991</v>
          </cell>
          <cell r="BG36">
            <v>545.84400000000005</v>
          </cell>
          <cell r="BJ36">
            <v>643199.174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-8956</v>
          </cell>
          <cell r="AK38">
            <v>0</v>
          </cell>
          <cell r="AL38">
            <v>-23222</v>
          </cell>
          <cell r="AN38">
            <v>-32178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-651313</v>
          </cell>
          <cell r="Z39">
            <v>0</v>
          </cell>
          <cell r="AH39">
            <v>0</v>
          </cell>
          <cell r="AI39">
            <v>0</v>
          </cell>
          <cell r="AJ39">
            <v>-245688</v>
          </cell>
          <cell r="AK39">
            <v>0</v>
          </cell>
          <cell r="AL39">
            <v>-405625</v>
          </cell>
          <cell r="AN39">
            <v>-651313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-651313</v>
          </cell>
          <cell r="K40">
            <v>19510.003000000001</v>
          </cell>
          <cell r="L40">
            <v>73993.31</v>
          </cell>
          <cell r="M40">
            <v>-2630.6819999999998</v>
          </cell>
          <cell r="N40">
            <v>181.239</v>
          </cell>
          <cell r="O40">
            <v>0</v>
          </cell>
          <cell r="P40">
            <v>0</v>
          </cell>
          <cell r="Z40">
            <v>91053.87</v>
          </cell>
          <cell r="AH40">
            <v>0</v>
          </cell>
          <cell r="AI40">
            <v>91053.87</v>
          </cell>
          <cell r="AJ40">
            <v>-233050.75700000001</v>
          </cell>
          <cell r="AK40">
            <v>0</v>
          </cell>
          <cell r="AL40">
            <v>-509316.11300000001</v>
          </cell>
          <cell r="AN40">
            <v>-742366.87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-19510.003000000001</v>
          </cell>
          <cell r="L41">
            <v>-73993.31</v>
          </cell>
          <cell r="M41">
            <v>2630.6819999999998</v>
          </cell>
          <cell r="N41">
            <v>-181.239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-91053.87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-91053.87</v>
          </cell>
          <cell r="AJ41">
            <v>-12637.242999999988</v>
          </cell>
          <cell r="AK41">
            <v>0</v>
          </cell>
          <cell r="AL41">
            <v>103691.11300000001</v>
          </cell>
          <cell r="AN41">
            <v>91053.87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-19510.003000000001</v>
          </cell>
          <cell r="L43">
            <v>-73993.31</v>
          </cell>
          <cell r="M43">
            <v>2630.6819999999998</v>
          </cell>
          <cell r="N43">
            <v>-181.239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-91053.87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-91053.87</v>
          </cell>
          <cell r="AJ43">
            <v>-12637.242999999988</v>
          </cell>
          <cell r="AK43">
            <v>0</v>
          </cell>
          <cell r="AL43">
            <v>103691.11300000001</v>
          </cell>
          <cell r="AN43">
            <v>91053.87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28400</v>
          </cell>
          <cell r="H45">
            <v>18327</v>
          </cell>
          <cell r="I45">
            <v>19107.8</v>
          </cell>
          <cell r="J45">
            <v>9800</v>
          </cell>
          <cell r="K45">
            <v>15517</v>
          </cell>
          <cell r="L45">
            <v>13004</v>
          </cell>
          <cell r="M45">
            <v>12705</v>
          </cell>
          <cell r="N45">
            <v>16976</v>
          </cell>
          <cell r="O45">
            <v>12518</v>
          </cell>
          <cell r="P45">
            <v>14953</v>
          </cell>
          <cell r="Q45">
            <v>14191</v>
          </cell>
          <cell r="R45">
            <v>11980</v>
          </cell>
          <cell r="S45">
            <v>23352</v>
          </cell>
          <cell r="T45">
            <v>5359</v>
          </cell>
          <cell r="U45">
            <v>7883</v>
          </cell>
          <cell r="V45">
            <v>10103</v>
          </cell>
          <cell r="W45">
            <v>2108.5</v>
          </cell>
          <cell r="X45">
            <v>0</v>
          </cell>
          <cell r="Y45">
            <v>0</v>
          </cell>
          <cell r="Z45">
            <v>236284.3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236284.3</v>
          </cell>
          <cell r="AJ45">
            <v>187</v>
          </cell>
          <cell r="AK45">
            <v>1050</v>
          </cell>
          <cell r="AL45">
            <v>13536</v>
          </cell>
          <cell r="AN45">
            <v>14773</v>
          </cell>
          <cell r="AO45">
            <v>7354.6280000000006</v>
          </cell>
          <cell r="AP45">
            <v>0</v>
          </cell>
          <cell r="AS45">
            <v>7354.6280000000006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31740605.422000002</v>
          </cell>
          <cell r="G46">
            <v>2850383.9180000001</v>
          </cell>
          <cell r="H46">
            <v>1795814.6939999999</v>
          </cell>
          <cell r="I46">
            <v>1803396.3</v>
          </cell>
          <cell r="J46">
            <v>943503.09400000004</v>
          </cell>
          <cell r="K46">
            <v>1769742.8</v>
          </cell>
          <cell r="L46">
            <v>1314970.3</v>
          </cell>
          <cell r="M46">
            <v>1134828.7</v>
          </cell>
          <cell r="N46">
            <v>1722999.7</v>
          </cell>
          <cell r="O46">
            <v>1127996.8999999999</v>
          </cell>
          <cell r="P46">
            <v>1507345.4</v>
          </cell>
          <cell r="Q46">
            <v>1379972.75</v>
          </cell>
          <cell r="R46">
            <v>1176186.55</v>
          </cell>
          <cell r="S46">
            <v>2315037.7599999998</v>
          </cell>
          <cell r="T46">
            <v>606961</v>
          </cell>
          <cell r="U46">
            <v>917560.2</v>
          </cell>
          <cell r="V46">
            <v>1007174.3959999999</v>
          </cell>
          <cell r="W46">
            <v>245498.21799999999</v>
          </cell>
          <cell r="X46">
            <v>0</v>
          </cell>
          <cell r="Y46">
            <v>0</v>
          </cell>
          <cell r="Z46">
            <v>23619372.680000003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23710212.680000003</v>
          </cell>
          <cell r="AJ46">
            <v>5397.5</v>
          </cell>
          <cell r="AK46">
            <v>12075</v>
          </cell>
          <cell r="AL46">
            <v>216960</v>
          </cell>
          <cell r="AN46">
            <v>234432.5</v>
          </cell>
          <cell r="AO46">
            <v>7720825.8609999996</v>
          </cell>
          <cell r="AP46">
            <v>0</v>
          </cell>
          <cell r="AS46">
            <v>7720825.8609999996</v>
          </cell>
          <cell r="AT46">
            <v>5512.5</v>
          </cell>
          <cell r="AU46">
            <v>6650</v>
          </cell>
          <cell r="AV46">
            <v>61155.680999999997</v>
          </cell>
          <cell r="BA46">
            <v>73318.180999999997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1816.2</v>
          </cell>
        </row>
        <row r="47">
          <cell r="F47">
            <v>28796427.728999998</v>
          </cell>
          <cell r="G47">
            <v>2557070.2200000002</v>
          </cell>
          <cell r="H47">
            <v>1780663.5729999999</v>
          </cell>
          <cell r="I47">
            <v>1634119.4400000002</v>
          </cell>
          <cell r="J47">
            <v>866803.57299999997</v>
          </cell>
          <cell r="K47">
            <v>1563119.5959999999</v>
          </cell>
          <cell r="L47">
            <v>1235187.4790000001</v>
          </cell>
          <cell r="M47">
            <v>1086004.28</v>
          </cell>
          <cell r="N47">
            <v>1550423.5049999999</v>
          </cell>
          <cell r="O47">
            <v>1022135.085</v>
          </cell>
          <cell r="P47">
            <v>1293168.926</v>
          </cell>
          <cell r="Q47">
            <v>1183242.3029999998</v>
          </cell>
          <cell r="R47">
            <v>1056070.273</v>
          </cell>
          <cell r="S47">
            <v>2002257.4879999999</v>
          </cell>
          <cell r="T47">
            <v>482147.62400000001</v>
          </cell>
          <cell r="U47">
            <v>648591.245</v>
          </cell>
          <cell r="V47">
            <v>862525.93900000001</v>
          </cell>
          <cell r="W47">
            <v>267531.75599999999</v>
          </cell>
          <cell r="X47">
            <v>0</v>
          </cell>
          <cell r="Y47">
            <v>0</v>
          </cell>
          <cell r="Z47">
            <v>21091062.305</v>
          </cell>
          <cell r="AA47">
            <v>6232.7050000000008</v>
          </cell>
          <cell r="AB47">
            <v>0</v>
          </cell>
          <cell r="AC47">
            <v>3247.4059999999999</v>
          </cell>
          <cell r="AD47">
            <v>4830.6580000000004</v>
          </cell>
          <cell r="AH47">
            <v>14310.769</v>
          </cell>
          <cell r="AI47">
            <v>21105373.074000001</v>
          </cell>
          <cell r="AJ47">
            <v>5231.0560000000114</v>
          </cell>
          <cell r="AK47">
            <v>66974.739999999991</v>
          </cell>
          <cell r="AL47">
            <v>296671.26799999992</v>
          </cell>
          <cell r="AN47">
            <v>368877.0639999999</v>
          </cell>
          <cell r="AO47">
            <v>7575195.2439999999</v>
          </cell>
          <cell r="AP47">
            <v>0</v>
          </cell>
          <cell r="AS47">
            <v>7575195.2439999999</v>
          </cell>
          <cell r="AT47">
            <v>1451.2830000000001</v>
          </cell>
          <cell r="AU47">
            <v>-3923.0920000000001</v>
          </cell>
          <cell r="AV47">
            <v>0</v>
          </cell>
          <cell r="BA47">
            <v>-2471.8090000000002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-545.84400000000005</v>
          </cell>
          <cell r="BJ47">
            <v>-250545.84400000001</v>
          </cell>
        </row>
        <row r="48">
          <cell r="F48">
            <v>2944177.6930000037</v>
          </cell>
          <cell r="G48">
            <v>293313.69799999986</v>
          </cell>
          <cell r="H48">
            <v>15151.121000000043</v>
          </cell>
          <cell r="I48">
            <v>169276.85999999987</v>
          </cell>
          <cell r="J48">
            <v>76699.521000000066</v>
          </cell>
          <cell r="K48">
            <v>206623.20400000014</v>
          </cell>
          <cell r="L48">
            <v>79782.820999999996</v>
          </cell>
          <cell r="M48">
            <v>48824.419999999925</v>
          </cell>
          <cell r="N48">
            <v>172576.19500000007</v>
          </cell>
          <cell r="O48">
            <v>105861.81499999994</v>
          </cell>
          <cell r="P48">
            <v>214176.47399999993</v>
          </cell>
          <cell r="Q48">
            <v>196730.44700000016</v>
          </cell>
          <cell r="R48">
            <v>120116.277</v>
          </cell>
          <cell r="S48">
            <v>312780.27199999988</v>
          </cell>
          <cell r="T48">
            <v>124813.37599999999</v>
          </cell>
          <cell r="U48">
            <v>268968.95499999996</v>
          </cell>
          <cell r="V48">
            <v>144648.45699999994</v>
          </cell>
          <cell r="W48">
            <v>-22033.538</v>
          </cell>
          <cell r="X48">
            <v>0</v>
          </cell>
          <cell r="Y48">
            <v>0</v>
          </cell>
          <cell r="Z48">
            <v>2528310.3750000037</v>
          </cell>
          <cell r="AA48">
            <v>43767.294999999998</v>
          </cell>
          <cell r="AB48">
            <v>0</v>
          </cell>
          <cell r="AC48">
            <v>9252.594000000001</v>
          </cell>
          <cell r="AD48">
            <v>23509.342000000001</v>
          </cell>
          <cell r="AH48">
            <v>76529.231</v>
          </cell>
          <cell r="AI48">
            <v>2604839.6060000025</v>
          </cell>
          <cell r="AJ48">
            <v>166.44399999998859</v>
          </cell>
          <cell r="AK48">
            <v>-54899.739999999991</v>
          </cell>
          <cell r="AL48">
            <v>-79711.267999999924</v>
          </cell>
          <cell r="AN48">
            <v>-134444.5639999999</v>
          </cell>
          <cell r="AO48">
            <v>145630.61699999962</v>
          </cell>
          <cell r="AP48">
            <v>0</v>
          </cell>
          <cell r="AS48">
            <v>145630.61699999962</v>
          </cell>
          <cell r="AT48">
            <v>4061.2169999999996</v>
          </cell>
          <cell r="AU48">
            <v>10573.092000000001</v>
          </cell>
          <cell r="AV48">
            <v>61155.680999999997</v>
          </cell>
          <cell r="BA48">
            <v>75789.989999999991</v>
          </cell>
          <cell r="BB48">
            <v>0</v>
          </cell>
          <cell r="BC48">
            <v>1816.2</v>
          </cell>
          <cell r="BD48">
            <v>250000</v>
          </cell>
          <cell r="BE48">
            <v>0</v>
          </cell>
          <cell r="BF48">
            <v>0</v>
          </cell>
          <cell r="BG48">
            <v>545.84400000000005</v>
          </cell>
          <cell r="BJ48">
            <v>252362.04400000002</v>
          </cell>
        </row>
        <row r="49">
          <cell r="F49">
            <v>2114510.5300026764</v>
          </cell>
          <cell r="G49">
            <v>255528.50325945279</v>
          </cell>
          <cell r="H49">
            <v>187028.09736454912</v>
          </cell>
          <cell r="I49">
            <v>166943.84000693675</v>
          </cell>
          <cell r="J49">
            <v>102024.98845339663</v>
          </cell>
          <cell r="K49">
            <v>164064.79613796758</v>
          </cell>
          <cell r="L49">
            <v>147234.47414219109</v>
          </cell>
          <cell r="M49">
            <v>116351.59088143114</v>
          </cell>
          <cell r="N49">
            <v>171587.82959133299</v>
          </cell>
          <cell r="O49">
            <v>103282.01053846501</v>
          </cell>
          <cell r="P49">
            <v>151484.03156874568</v>
          </cell>
          <cell r="Q49">
            <v>141069.82291515521</v>
          </cell>
          <cell r="R49">
            <v>111542.02601797495</v>
          </cell>
          <cell r="S49">
            <v>183913.66789235111</v>
          </cell>
          <cell r="T49">
            <v>51177.739474389738</v>
          </cell>
          <cell r="U49">
            <v>67602.279103526162</v>
          </cell>
          <cell r="V49">
            <v>102240.42539558446</v>
          </cell>
          <cell r="W49">
            <v>32198.815064146173</v>
          </cell>
          <cell r="X49">
            <v>0</v>
          </cell>
          <cell r="Y49">
            <v>0</v>
          </cell>
          <cell r="Z49">
            <v>2255274.9378075968</v>
          </cell>
          <cell r="AA49">
            <v>0</v>
          </cell>
          <cell r="AB49">
            <v>525.00400000000002</v>
          </cell>
          <cell r="AC49">
            <v>0</v>
          </cell>
          <cell r="AD49">
            <v>0</v>
          </cell>
          <cell r="AH49">
            <v>525.00400000000002</v>
          </cell>
          <cell r="AI49">
            <v>2255799.9418075969</v>
          </cell>
          <cell r="AJ49">
            <v>16469.659160914925</v>
          </cell>
          <cell r="AK49">
            <v>32679.037424164468</v>
          </cell>
          <cell r="AL49">
            <v>38333.366609999997</v>
          </cell>
          <cell r="AN49">
            <v>87482.06319507939</v>
          </cell>
          <cell r="AO49">
            <v>161209.81899999999</v>
          </cell>
          <cell r="AP49">
            <v>855.83600000000001</v>
          </cell>
          <cell r="AS49">
            <v>162065.655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7761.0870000000004</v>
          </cell>
          <cell r="BD49">
            <v>0</v>
          </cell>
          <cell r="BE49">
            <v>-401648.38199999998</v>
          </cell>
          <cell r="BF49">
            <v>3050.1649999999991</v>
          </cell>
          <cell r="BG49">
            <v>0</v>
          </cell>
          <cell r="BJ49">
            <v>-390837.13</v>
          </cell>
        </row>
        <row r="50">
          <cell r="F50">
            <v>829667.16299732728</v>
          </cell>
          <cell r="G50">
            <v>37785.194740547071</v>
          </cell>
          <cell r="H50">
            <v>-171876.97636454907</v>
          </cell>
          <cell r="I50">
            <v>2333.0199930631206</v>
          </cell>
          <cell r="J50">
            <v>-25325.467453396559</v>
          </cell>
          <cell r="K50">
            <v>42558.40786203256</v>
          </cell>
          <cell r="L50">
            <v>-67451.653142191091</v>
          </cell>
          <cell r="M50">
            <v>-67527.170881431215</v>
          </cell>
          <cell r="N50">
            <v>988.36540866707219</v>
          </cell>
          <cell r="O50">
            <v>2579.8044615349354</v>
          </cell>
          <cell r="P50">
            <v>62692.442431254254</v>
          </cell>
          <cell r="Q50">
            <v>55660.624084844952</v>
          </cell>
          <cell r="R50">
            <v>8574.2509820250561</v>
          </cell>
          <cell r="S50">
            <v>128866.60410764877</v>
          </cell>
          <cell r="T50">
            <v>73635.636525610258</v>
          </cell>
          <cell r="U50">
            <v>201366.67589647381</v>
          </cell>
          <cell r="V50">
            <v>42408.031604415475</v>
          </cell>
          <cell r="W50">
            <v>-54232.353064146169</v>
          </cell>
          <cell r="X50">
            <v>0</v>
          </cell>
          <cell r="Y50">
            <v>0</v>
          </cell>
          <cell r="Z50">
            <v>273035.43719240697</v>
          </cell>
          <cell r="AA50">
            <v>43767.294999999998</v>
          </cell>
          <cell r="AB50">
            <v>-525.00400000000002</v>
          </cell>
          <cell r="AC50">
            <v>9252.594000000001</v>
          </cell>
          <cell r="AD50">
            <v>23509.342000000001</v>
          </cell>
          <cell r="AH50">
            <v>76004.226999999999</v>
          </cell>
          <cell r="AI50">
            <v>349039.66419240553</v>
          </cell>
          <cell r="AJ50">
            <v>-16303.215160914937</v>
          </cell>
          <cell r="AK50">
            <v>-87578.777424164466</v>
          </cell>
          <cell r="AL50">
            <v>-118044.63460999992</v>
          </cell>
          <cell r="AN50">
            <v>-221926.62719507929</v>
          </cell>
          <cell r="AO50">
            <v>-15579.202000000369</v>
          </cell>
          <cell r="AP50">
            <v>-855.83600000000001</v>
          </cell>
          <cell r="AS50">
            <v>-16435.038000000379</v>
          </cell>
          <cell r="AT50">
            <v>4061.2169999999996</v>
          </cell>
          <cell r="AU50">
            <v>10573.092000000001</v>
          </cell>
          <cell r="AV50">
            <v>61155.680999999997</v>
          </cell>
          <cell r="BA50">
            <v>75789.989999999991</v>
          </cell>
          <cell r="BB50">
            <v>0</v>
          </cell>
          <cell r="BC50">
            <v>-5944.8870000000006</v>
          </cell>
          <cell r="BD50">
            <v>250000</v>
          </cell>
          <cell r="BE50">
            <v>401648.38199999998</v>
          </cell>
          <cell r="BF50">
            <v>-3050.1649999999991</v>
          </cell>
          <cell r="BG50">
            <v>545.84400000000005</v>
          </cell>
          <cell r="BJ50">
            <v>643199.174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0">
        <row r="6">
          <cell r="G6" t="str">
            <v>안양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>
        <row r="6">
          <cell r="G6" t="str">
            <v>안양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BM8"/>
        </row>
      </sheetData>
      <sheetData sheetId="15"/>
      <sheetData sheetId="16"/>
      <sheetData sheetId="17"/>
      <sheetData sheetId="18"/>
      <sheetData sheetId="1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48184</v>
          </cell>
          <cell r="H7">
            <v>34957</v>
          </cell>
          <cell r="I7">
            <v>29377</v>
          </cell>
          <cell r="J7">
            <v>17310.5</v>
          </cell>
          <cell r="K7">
            <v>19603</v>
          </cell>
          <cell r="L7">
            <v>23901</v>
          </cell>
          <cell r="M7">
            <v>12034</v>
          </cell>
          <cell r="N7">
            <v>18982</v>
          </cell>
          <cell r="O7">
            <v>13622</v>
          </cell>
          <cell r="P7">
            <v>20125</v>
          </cell>
          <cell r="Q7">
            <v>17334</v>
          </cell>
          <cell r="R7">
            <v>7286</v>
          </cell>
          <cell r="S7">
            <v>24188</v>
          </cell>
          <cell r="T7">
            <v>4984.5</v>
          </cell>
          <cell r="U7">
            <v>7779</v>
          </cell>
          <cell r="V7">
            <v>9857.5</v>
          </cell>
          <cell r="W7">
            <v>5666</v>
          </cell>
          <cell r="Z7">
            <v>315190.5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H7">
            <v>0</v>
          </cell>
          <cell r="AI7">
            <v>315190.5</v>
          </cell>
          <cell r="AJ7">
            <v>27469</v>
          </cell>
          <cell r="AK7">
            <v>33128</v>
          </cell>
          <cell r="AL7">
            <v>21312</v>
          </cell>
          <cell r="AN7">
            <v>81909</v>
          </cell>
          <cell r="AO7">
            <v>6990.5029999999997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42187033.673999995</v>
          </cell>
          <cell r="G8">
            <v>4539943.341</v>
          </cell>
          <cell r="H8">
            <v>3521222.929</v>
          </cell>
          <cell r="I8">
            <v>2809712.9649999999</v>
          </cell>
          <cell r="J8">
            <v>1606576.64</v>
          </cell>
          <cell r="K8">
            <v>2103788.5699999998</v>
          </cell>
          <cell r="L8">
            <v>2410524.1919999998</v>
          </cell>
          <cell r="M8">
            <v>1216446.1980000001</v>
          </cell>
          <cell r="N8">
            <v>1927898.18</v>
          </cell>
          <cell r="O8">
            <v>1240380.24</v>
          </cell>
          <cell r="P8">
            <v>1973021.2</v>
          </cell>
          <cell r="Q8">
            <v>1626837.5</v>
          </cell>
          <cell r="R8">
            <v>718746.7</v>
          </cell>
          <cell r="S8">
            <v>2300572.4</v>
          </cell>
          <cell r="T8">
            <v>508109.2</v>
          </cell>
          <cell r="U8">
            <v>813607.25399999996</v>
          </cell>
          <cell r="V8">
            <v>1033302.4789999999</v>
          </cell>
          <cell r="W8">
            <v>680800.17700000003</v>
          </cell>
          <cell r="Z8">
            <v>31031490.164999995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H8">
            <v>90840</v>
          </cell>
          <cell r="AI8">
            <v>31122330.164999995</v>
          </cell>
          <cell r="AJ8">
            <v>783537</v>
          </cell>
          <cell r="AK8">
            <v>413920</v>
          </cell>
          <cell r="AL8">
            <v>377489</v>
          </cell>
          <cell r="AN8">
            <v>1574946</v>
          </cell>
          <cell r="AO8">
            <v>9395220.5449999999</v>
          </cell>
          <cell r="AP8">
            <v>0</v>
          </cell>
          <cell r="AS8">
            <v>9395220.5449999999</v>
          </cell>
          <cell r="AT8">
            <v>5250</v>
          </cell>
          <cell r="AU8">
            <v>6437.5</v>
          </cell>
          <cell r="AV8">
            <v>0</v>
          </cell>
          <cell r="AW8">
            <v>81075.364000000001</v>
          </cell>
          <cell r="AX8">
            <v>0</v>
          </cell>
          <cell r="BA8">
            <v>92762.864000000001</v>
          </cell>
          <cell r="BB8">
            <v>0</v>
          </cell>
          <cell r="BC8">
            <v>1774.1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1774.1</v>
          </cell>
        </row>
        <row r="9">
          <cell r="G9">
            <v>94220.972542752774</v>
          </cell>
          <cell r="H9">
            <v>100730.1235517922</v>
          </cell>
          <cell r="I9">
            <v>95643.291180174958</v>
          </cell>
          <cell r="J9">
            <v>92809.37234626383</v>
          </cell>
          <cell r="K9">
            <v>107319.72504208538</v>
          </cell>
          <cell r="L9">
            <v>100854.5329484122</v>
          </cell>
          <cell r="M9">
            <v>101084.11151736746</v>
          </cell>
          <cell r="N9">
            <v>101564.54430513117</v>
          </cell>
          <cell r="O9">
            <v>91057.131111437382</v>
          </cell>
          <cell r="P9">
            <v>98038.320496894419</v>
          </cell>
          <cell r="Q9">
            <v>93852.399907695857</v>
          </cell>
          <cell r="R9">
            <v>98647.639308262413</v>
          </cell>
          <cell r="S9">
            <v>95112.138250372082</v>
          </cell>
          <cell r="T9">
            <v>101937.84732671281</v>
          </cell>
          <cell r="U9">
            <v>104590.21133821827</v>
          </cell>
          <cell r="V9">
            <v>104823.98975399441</v>
          </cell>
          <cell r="W9">
            <v>120155.3436286622</v>
          </cell>
          <cell r="Z9">
            <v>98453.126490170223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H9">
            <v>0</v>
          </cell>
          <cell r="AI9">
            <v>98741.333146144942</v>
          </cell>
          <cell r="AJ9">
            <v>28524.409334158507</v>
          </cell>
          <cell r="AK9">
            <v>12494.566529823715</v>
          </cell>
          <cell r="AL9">
            <v>17712.509384384382</v>
          </cell>
          <cell r="AO9">
            <v>1343997.7845657172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36573666.111649998</v>
          </cell>
          <cell r="G10">
            <v>3758821.9348300002</v>
          </cell>
          <cell r="H10">
            <v>3014459.8041900001</v>
          </cell>
          <cell r="I10">
            <v>2352312.05712</v>
          </cell>
          <cell r="J10">
            <v>1351920.2605099999</v>
          </cell>
          <cell r="K10">
            <v>1750937.1805700001</v>
          </cell>
          <cell r="L10">
            <v>1980426.82816</v>
          </cell>
          <cell r="M10">
            <v>1084910.3216500001</v>
          </cell>
          <cell r="N10">
            <v>1626332.4140799998</v>
          </cell>
          <cell r="O10">
            <v>1097060.8550799999</v>
          </cell>
          <cell r="P10">
            <v>1568096.9531700001</v>
          </cell>
          <cell r="Q10">
            <v>1347904.8672799999</v>
          </cell>
          <cell r="R10">
            <v>696696.42554999993</v>
          </cell>
          <cell r="S10">
            <v>1923089.8033800002</v>
          </cell>
          <cell r="T10">
            <v>398860.98162999999</v>
          </cell>
          <cell r="U10">
            <v>604790.36312999995</v>
          </cell>
          <cell r="V10">
            <v>823066.66922000004</v>
          </cell>
          <cell r="W10">
            <v>574759.38297999999</v>
          </cell>
          <cell r="Z10">
            <v>25954447.102530003</v>
          </cell>
          <cell r="AA10">
            <v>33269.315000000002</v>
          </cell>
          <cell r="AB10">
            <v>0</v>
          </cell>
          <cell r="AC10">
            <v>16115.199000000001</v>
          </cell>
          <cell r="AD10">
            <v>4914.59</v>
          </cell>
          <cell r="AE10">
            <v>0</v>
          </cell>
          <cell r="AH10">
            <v>54299.104000000007</v>
          </cell>
          <cell r="AI10">
            <v>26008746.206530001</v>
          </cell>
          <cell r="AJ10">
            <v>715634.63861999998</v>
          </cell>
          <cell r="AK10">
            <v>316357.82741000003</v>
          </cell>
          <cell r="AL10">
            <v>281459.53608999995</v>
          </cell>
          <cell r="AN10">
            <v>1313452.0021199998</v>
          </cell>
          <cell r="AO10">
            <v>9237961.4399999995</v>
          </cell>
          <cell r="AP10">
            <v>0</v>
          </cell>
          <cell r="AS10">
            <v>9237961.4399999995</v>
          </cell>
          <cell r="AT10">
            <v>121.962</v>
          </cell>
          <cell r="AU10">
            <v>174.47399999999999</v>
          </cell>
          <cell r="AV10">
            <v>1610.68</v>
          </cell>
          <cell r="AW10">
            <v>0</v>
          </cell>
          <cell r="AX10">
            <v>0</v>
          </cell>
          <cell r="BA10">
            <v>1907.116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11599.347</v>
          </cell>
          <cell r="BJ10">
            <v>11599.347</v>
          </cell>
        </row>
        <row r="11">
          <cell r="G11">
            <v>78009.752922754444</v>
          </cell>
          <cell r="H11">
            <v>86233.366827530976</v>
          </cell>
          <cell r="I11">
            <v>80073.256531300009</v>
          </cell>
          <cell r="J11">
            <v>78098.279108633491</v>
          </cell>
          <cell r="K11">
            <v>89319.858214048872</v>
          </cell>
          <cell r="L11">
            <v>82859.580275302287</v>
          </cell>
          <cell r="M11">
            <v>90153.757823666281</v>
          </cell>
          <cell r="N11">
            <v>85677.611109472127</v>
          </cell>
          <cell r="O11">
            <v>80535.960584348839</v>
          </cell>
          <cell r="P11">
            <v>77917.86102708074</v>
          </cell>
          <cell r="Q11">
            <v>77760.751544940576</v>
          </cell>
          <cell r="R11">
            <v>95621.249732363431</v>
          </cell>
          <cell r="S11">
            <v>79505.945236480911</v>
          </cell>
          <cell r="T11">
            <v>80020.25912930083</v>
          </cell>
          <cell r="U11">
            <v>77746.543659853443</v>
          </cell>
          <cell r="V11">
            <v>83496.491932031451</v>
          </cell>
          <cell r="W11">
            <v>101440.06053300388</v>
          </cell>
          <cell r="Z11">
            <v>82345.270883894031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H11">
            <v>0</v>
          </cell>
          <cell r="AI11">
            <v>82517.544807124577</v>
          </cell>
          <cell r="AJ11">
            <v>26052.445979831809</v>
          </cell>
          <cell r="AK11">
            <v>9549.5601125935773</v>
          </cell>
          <cell r="AL11">
            <v>13206.622376595344</v>
          </cell>
          <cell r="AO11">
            <v>1321501.6773471094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5613367.5623499975</v>
          </cell>
          <cell r="G12">
            <v>781121.40616999986</v>
          </cell>
          <cell r="H12">
            <v>506763.12480999995</v>
          </cell>
          <cell r="I12">
            <v>457400.90787999984</v>
          </cell>
          <cell r="J12">
            <v>254656.37948999996</v>
          </cell>
          <cell r="K12">
            <v>352851.38942999975</v>
          </cell>
          <cell r="L12">
            <v>430097.36383999977</v>
          </cell>
          <cell r="M12">
            <v>131535.87635000004</v>
          </cell>
          <cell r="N12">
            <v>301565.76592000015</v>
          </cell>
          <cell r="O12">
            <v>143319.3849200001</v>
          </cell>
          <cell r="P12">
            <v>404924.24682999984</v>
          </cell>
          <cell r="Q12">
            <v>278932.63272000011</v>
          </cell>
          <cell r="R12">
            <v>22050.274450000026</v>
          </cell>
          <cell r="S12">
            <v>377482.59661999973</v>
          </cell>
          <cell r="T12">
            <v>109248.21837000002</v>
          </cell>
          <cell r="U12">
            <v>208816.89087</v>
          </cell>
          <cell r="V12">
            <v>210235.80977999989</v>
          </cell>
          <cell r="W12">
            <v>106040.79402000003</v>
          </cell>
          <cell r="Z12">
            <v>5077043.0624699984</v>
          </cell>
          <cell r="AA12">
            <v>16730.684999999998</v>
          </cell>
          <cell r="AB12">
            <v>0</v>
          </cell>
          <cell r="AC12">
            <v>-3615.1990000000005</v>
          </cell>
          <cell r="AD12">
            <v>23425.41</v>
          </cell>
          <cell r="AE12">
            <v>0</v>
          </cell>
          <cell r="AH12">
            <v>36540.895999999993</v>
          </cell>
          <cell r="AI12">
            <v>5113583.9584699944</v>
          </cell>
          <cell r="AJ12">
            <v>67902.361380000017</v>
          </cell>
          <cell r="AK12">
            <v>97562.172589999973</v>
          </cell>
          <cell r="AL12">
            <v>96029.46391000005</v>
          </cell>
          <cell r="AN12">
            <v>261493.99788000016</v>
          </cell>
          <cell r="AO12">
            <v>157259.10500000045</v>
          </cell>
          <cell r="AP12">
            <v>0</v>
          </cell>
          <cell r="AS12">
            <v>157259.10500000045</v>
          </cell>
          <cell r="AT12">
            <v>5128.0379999999996</v>
          </cell>
          <cell r="AU12">
            <v>6263.0259999999998</v>
          </cell>
          <cell r="AV12">
            <v>-1610.68</v>
          </cell>
          <cell r="AW12">
            <v>81075.364000000001</v>
          </cell>
          <cell r="AX12">
            <v>0</v>
          </cell>
          <cell r="BA12">
            <v>90855.747999999992</v>
          </cell>
          <cell r="BB12">
            <v>0</v>
          </cell>
          <cell r="BC12">
            <v>1774.1</v>
          </cell>
          <cell r="BD12">
            <v>0</v>
          </cell>
          <cell r="BE12">
            <v>0</v>
          </cell>
          <cell r="BF12">
            <v>0</v>
          </cell>
          <cell r="BG12">
            <v>-11599.347</v>
          </cell>
          <cell r="BJ12">
            <v>-9825.2469999999994</v>
          </cell>
        </row>
        <row r="13">
          <cell r="F13">
            <v>1068084.2089999998</v>
          </cell>
          <cell r="G13">
            <v>95381.59599999999</v>
          </cell>
          <cell r="H13">
            <v>99346.812000000005</v>
          </cell>
          <cell r="I13">
            <v>71722.351999999999</v>
          </cell>
          <cell r="J13">
            <v>46114.955000000002</v>
          </cell>
          <cell r="K13">
            <v>71960.962</v>
          </cell>
          <cell r="L13">
            <v>60812.7</v>
          </cell>
          <cell r="M13">
            <v>43699.946000000004</v>
          </cell>
          <cell r="N13">
            <v>55226.82</v>
          </cell>
          <cell r="O13">
            <v>49124.618999999999</v>
          </cell>
          <cell r="P13">
            <v>47837.705000000002</v>
          </cell>
          <cell r="Q13">
            <v>47305.088000000003</v>
          </cell>
          <cell r="R13">
            <v>35966.149999999994</v>
          </cell>
          <cell r="S13">
            <v>53068.451000000001</v>
          </cell>
          <cell r="T13">
            <v>12301.319</v>
          </cell>
          <cell r="U13">
            <v>13396.625</v>
          </cell>
          <cell r="V13">
            <v>33303.823999999993</v>
          </cell>
          <cell r="W13">
            <v>19159.251</v>
          </cell>
          <cell r="Z13">
            <v>855729.17499999981</v>
          </cell>
          <cell r="AA13">
            <v>0</v>
          </cell>
          <cell r="AB13">
            <v>512.67799999999988</v>
          </cell>
          <cell r="AC13">
            <v>0</v>
          </cell>
          <cell r="AD13">
            <v>0</v>
          </cell>
          <cell r="AE13">
            <v>0</v>
          </cell>
          <cell r="AH13">
            <v>512.67799999999988</v>
          </cell>
          <cell r="AI13">
            <v>856241.85299999989</v>
          </cell>
          <cell r="AJ13">
            <v>12538.717000000001</v>
          </cell>
          <cell r="AK13">
            <v>0</v>
          </cell>
          <cell r="AL13">
            <v>246.4</v>
          </cell>
          <cell r="AN13">
            <v>12785.117</v>
          </cell>
          <cell r="AO13">
            <v>153916.12400000001</v>
          </cell>
          <cell r="AP13">
            <v>0</v>
          </cell>
          <cell r="AS13">
            <v>153916.12400000001</v>
          </cell>
          <cell r="AT13">
            <v>0</v>
          </cell>
          <cell r="AU13">
            <v>0</v>
          </cell>
          <cell r="AV13">
            <v>161.58699999999999</v>
          </cell>
          <cell r="AW13">
            <v>0</v>
          </cell>
          <cell r="AX13">
            <v>7933.3460000000005</v>
          </cell>
          <cell r="BA13">
            <v>8094.9330000000009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37046.181999999993</v>
          </cell>
          <cell r="BG13">
            <v>0</v>
          </cell>
          <cell r="BJ13">
            <v>37046.181999999993</v>
          </cell>
        </row>
        <row r="14">
          <cell r="F14">
            <v>633247.7649999999</v>
          </cell>
          <cell r="G14">
            <v>57066.873999999996</v>
          </cell>
          <cell r="H14">
            <v>52615.295000000006</v>
          </cell>
          <cell r="I14">
            <v>41105.364000000001</v>
          </cell>
          <cell r="J14">
            <v>26783.738000000001</v>
          </cell>
          <cell r="K14">
            <v>47191.066999999995</v>
          </cell>
          <cell r="L14">
            <v>38480.269</v>
          </cell>
          <cell r="M14">
            <v>30253.293000000001</v>
          </cell>
          <cell r="N14">
            <v>38212.131999999998</v>
          </cell>
          <cell r="O14">
            <v>29324.133999999998</v>
          </cell>
          <cell r="P14">
            <v>32448.804</v>
          </cell>
          <cell r="Q14">
            <v>29400.491999999998</v>
          </cell>
          <cell r="R14">
            <v>20489.989999999998</v>
          </cell>
          <cell r="S14">
            <v>32531.095999999998</v>
          </cell>
          <cell r="T14">
            <v>6751.1090000000004</v>
          </cell>
          <cell r="U14">
            <v>7912.1230000000005</v>
          </cell>
          <cell r="V14">
            <v>21187.473999999998</v>
          </cell>
          <cell r="W14">
            <v>11409.821</v>
          </cell>
          <cell r="Z14">
            <v>523163.07499999995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H14">
            <v>0</v>
          </cell>
          <cell r="AI14">
            <v>523163.07499999995</v>
          </cell>
          <cell r="AJ14">
            <v>10393.556</v>
          </cell>
          <cell r="AK14">
            <v>0</v>
          </cell>
          <cell r="AL14">
            <v>0</v>
          </cell>
          <cell r="AN14">
            <v>10393.556</v>
          </cell>
          <cell r="AO14">
            <v>99691.134000000005</v>
          </cell>
          <cell r="AP14">
            <v>0</v>
          </cell>
          <cell r="AS14">
            <v>99691.134000000005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434716.4439999999</v>
          </cell>
          <cell r="G15">
            <v>38314.721999999994</v>
          </cell>
          <cell r="H15">
            <v>46731.517</v>
          </cell>
          <cell r="I15">
            <v>30616.988000000001</v>
          </cell>
          <cell r="J15">
            <v>19331.217000000001</v>
          </cell>
          <cell r="K15">
            <v>24769.895000000004</v>
          </cell>
          <cell r="L15">
            <v>22332.431</v>
          </cell>
          <cell r="M15">
            <v>13446.653</v>
          </cell>
          <cell r="N15">
            <v>17014.688000000002</v>
          </cell>
          <cell r="O15">
            <v>19800.485000000001</v>
          </cell>
          <cell r="P15">
            <v>15388.901000000002</v>
          </cell>
          <cell r="Q15">
            <v>17904.596000000001</v>
          </cell>
          <cell r="R15">
            <v>15476.16</v>
          </cell>
          <cell r="S15">
            <v>20537.355</v>
          </cell>
          <cell r="T15">
            <v>5550.2099999999991</v>
          </cell>
          <cell r="U15">
            <v>5484.5020000000004</v>
          </cell>
          <cell r="V15">
            <v>12116.349999999999</v>
          </cell>
          <cell r="W15">
            <v>7749.43</v>
          </cell>
          <cell r="Z15">
            <v>332566.09999999992</v>
          </cell>
          <cell r="AA15">
            <v>0</v>
          </cell>
          <cell r="AB15">
            <v>512.67799999999988</v>
          </cell>
          <cell r="AC15">
            <v>0</v>
          </cell>
          <cell r="AD15">
            <v>0</v>
          </cell>
          <cell r="AE15">
            <v>0</v>
          </cell>
          <cell r="AH15">
            <v>512.67799999999988</v>
          </cell>
          <cell r="AI15">
            <v>333078.77799999993</v>
          </cell>
          <cell r="AJ15">
            <v>2145.1610000000001</v>
          </cell>
          <cell r="AK15">
            <v>0</v>
          </cell>
          <cell r="AL15">
            <v>246.4</v>
          </cell>
          <cell r="AN15">
            <v>2391.5610000000001</v>
          </cell>
          <cell r="AO15">
            <v>54224.99</v>
          </cell>
          <cell r="AP15">
            <v>0</v>
          </cell>
          <cell r="AS15">
            <v>54224.99</v>
          </cell>
          <cell r="AT15">
            <v>0</v>
          </cell>
          <cell r="AU15">
            <v>0</v>
          </cell>
          <cell r="AV15">
            <v>161.58699999999999</v>
          </cell>
          <cell r="AW15">
            <v>0</v>
          </cell>
          <cell r="AX15">
            <v>7933.3460000000005</v>
          </cell>
          <cell r="BA15">
            <v>8094.9330000000009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36926.181999999993</v>
          </cell>
          <cell r="BG15">
            <v>0</v>
          </cell>
          <cell r="BJ15">
            <v>36926.181999999993</v>
          </cell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J16">
            <v>120</v>
          </cell>
        </row>
        <row r="17">
          <cell r="F17">
            <v>4545283.3533499977</v>
          </cell>
          <cell r="G17">
            <v>685739.81016999984</v>
          </cell>
          <cell r="H17">
            <v>407416.31280999992</v>
          </cell>
          <cell r="I17">
            <v>385678.55587999983</v>
          </cell>
          <cell r="J17">
            <v>208541.42448999995</v>
          </cell>
          <cell r="K17">
            <v>280890.42742999975</v>
          </cell>
          <cell r="L17">
            <v>369284.66383999976</v>
          </cell>
          <cell r="M17">
            <v>87835.930350000039</v>
          </cell>
          <cell r="N17">
            <v>246338.94592000014</v>
          </cell>
          <cell r="O17">
            <v>94194.765920000093</v>
          </cell>
          <cell r="P17">
            <v>357086.54182999983</v>
          </cell>
          <cell r="Q17">
            <v>231627.54472000012</v>
          </cell>
          <cell r="R17">
            <v>-13915.875549999968</v>
          </cell>
          <cell r="S17">
            <v>324414.14561999973</v>
          </cell>
          <cell r="T17">
            <v>96946.899370000014</v>
          </cell>
          <cell r="U17">
            <v>195420.26587</v>
          </cell>
          <cell r="V17">
            <v>176931.9857799999</v>
          </cell>
          <cell r="W17">
            <v>86881.543020000026</v>
          </cell>
          <cell r="Z17">
            <v>4221313.8874699986</v>
          </cell>
          <cell r="AA17">
            <v>16730.684999999998</v>
          </cell>
          <cell r="AB17">
            <v>-512.67799999999988</v>
          </cell>
          <cell r="AC17">
            <v>-3615.1990000000005</v>
          </cell>
          <cell r="AD17">
            <v>23425.41</v>
          </cell>
          <cell r="AE17">
            <v>0</v>
          </cell>
          <cell r="AH17">
            <v>36028.217999999993</v>
          </cell>
          <cell r="AI17">
            <v>4257342.1054699942</v>
          </cell>
          <cell r="AJ17">
            <v>55363.644380000012</v>
          </cell>
          <cell r="AK17">
            <v>97562.172589999973</v>
          </cell>
          <cell r="AL17">
            <v>95783.063910000055</v>
          </cell>
          <cell r="AN17">
            <v>248708.88088000016</v>
          </cell>
          <cell r="AO17">
            <v>3342.9810000004363</v>
          </cell>
          <cell r="AP17">
            <v>0</v>
          </cell>
          <cell r="AS17">
            <v>3342.9810000004363</v>
          </cell>
          <cell r="AT17">
            <v>5128.0379999999996</v>
          </cell>
          <cell r="AU17">
            <v>6263.0259999999998</v>
          </cell>
          <cell r="AV17">
            <v>-1772.2670000000001</v>
          </cell>
          <cell r="AW17">
            <v>81075.364000000001</v>
          </cell>
          <cell r="AX17">
            <v>-7933.3460000000005</v>
          </cell>
          <cell r="BA17">
            <v>82760.814999999988</v>
          </cell>
          <cell r="BB17">
            <v>0</v>
          </cell>
          <cell r="BC17">
            <v>1774.1</v>
          </cell>
          <cell r="BD17">
            <v>0</v>
          </cell>
          <cell r="BE17">
            <v>0</v>
          </cell>
          <cell r="BF17">
            <v>-37046.181999999993</v>
          </cell>
          <cell r="BG17">
            <v>-11599.347</v>
          </cell>
          <cell r="BJ17">
            <v>-46871.428999999989</v>
          </cell>
        </row>
        <row r="18">
          <cell r="F18">
            <v>487093.71334999998</v>
          </cell>
          <cell r="G18">
            <v>29835.312170000001</v>
          </cell>
          <cell r="H18">
            <v>33930.933809999995</v>
          </cell>
          <cell r="I18">
            <v>16623.688880000002</v>
          </cell>
          <cell r="J18">
            <v>18500.95349</v>
          </cell>
          <cell r="K18">
            <v>83640.840430000011</v>
          </cell>
          <cell r="L18">
            <v>15866.914839999999</v>
          </cell>
          <cell r="M18">
            <v>16635.306349999999</v>
          </cell>
          <cell r="N18">
            <v>26953.218919999999</v>
          </cell>
          <cell r="O18">
            <v>11613.72092</v>
          </cell>
          <cell r="P18">
            <v>32638.067829999996</v>
          </cell>
          <cell r="Q18">
            <v>13243.364720000001</v>
          </cell>
          <cell r="R18">
            <v>11359.70645</v>
          </cell>
          <cell r="S18">
            <v>22545.776620000001</v>
          </cell>
          <cell r="T18">
            <v>5301.2083699999994</v>
          </cell>
          <cell r="U18">
            <v>9840.7998699999989</v>
          </cell>
          <cell r="V18">
            <v>23191.99178</v>
          </cell>
          <cell r="W18">
            <v>9792.9890200000009</v>
          </cell>
          <cell r="Z18">
            <v>381514.79447000002</v>
          </cell>
          <cell r="AA18">
            <v>5255.8180000000002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H18">
            <v>5609.49</v>
          </cell>
          <cell r="AI18">
            <v>387124.28447000001</v>
          </cell>
          <cell r="AJ18">
            <v>33672.473380000003</v>
          </cell>
          <cell r="AK18">
            <v>12504.13659</v>
          </cell>
          <cell r="AL18">
            <v>51640.685909999993</v>
          </cell>
          <cell r="AN18">
            <v>97817.295879999991</v>
          </cell>
          <cell r="AO18">
            <v>4908.1000000000004</v>
          </cell>
          <cell r="AP18">
            <v>855.83600000000001</v>
          </cell>
          <cell r="AS18">
            <v>5763.9360000000006</v>
          </cell>
          <cell r="AT18">
            <v>1312.8920000000001</v>
          </cell>
          <cell r="AU18">
            <v>-4103.3360000000002</v>
          </cell>
          <cell r="AV18">
            <v>432.17</v>
          </cell>
          <cell r="AW18">
            <v>0</v>
          </cell>
          <cell r="AX18">
            <v>-14097.802</v>
          </cell>
          <cell r="BA18">
            <v>-16456.076000000001</v>
          </cell>
          <cell r="BB18">
            <v>0</v>
          </cell>
          <cell r="BC18">
            <v>6562.5279999999993</v>
          </cell>
          <cell r="BD18">
            <v>0</v>
          </cell>
          <cell r="BE18">
            <v>0</v>
          </cell>
          <cell r="BF18">
            <v>6281.7449999999999</v>
          </cell>
          <cell r="BG18">
            <v>0</v>
          </cell>
          <cell r="BJ18">
            <v>12844.272999999999</v>
          </cell>
        </row>
        <row r="19">
          <cell r="F19">
            <v>457755.08534999995</v>
          </cell>
          <cell r="G19">
            <v>27507.690170000002</v>
          </cell>
          <cell r="H19">
            <v>31321.051809999997</v>
          </cell>
          <cell r="I19">
            <v>15026.87988</v>
          </cell>
          <cell r="J19">
            <v>17308.965489999999</v>
          </cell>
          <cell r="K19">
            <v>81394.374430000011</v>
          </cell>
          <cell r="L19">
            <v>14302.512839999999</v>
          </cell>
          <cell r="M19">
            <v>15441.707349999999</v>
          </cell>
          <cell r="N19">
            <v>25095.566920000001</v>
          </cell>
          <cell r="O19">
            <v>10126.468919999999</v>
          </cell>
          <cell r="P19">
            <v>31419.301829999997</v>
          </cell>
          <cell r="Q19">
            <v>12037.976720000001</v>
          </cell>
          <cell r="R19">
            <v>10257.551449999999</v>
          </cell>
          <cell r="S19">
            <v>20957.57562</v>
          </cell>
          <cell r="T19">
            <v>4930.8083699999997</v>
          </cell>
          <cell r="U19">
            <v>9397.9308699999983</v>
          </cell>
          <cell r="V19">
            <v>22348.833780000001</v>
          </cell>
          <cell r="W19">
            <v>8967.6190200000001</v>
          </cell>
          <cell r="Z19">
            <v>357842.81546999997</v>
          </cell>
          <cell r="AA19">
            <v>5255.8180000000002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H19">
            <v>5255.8180000000002</v>
          </cell>
          <cell r="AI19">
            <v>363098.63347</v>
          </cell>
          <cell r="AJ19">
            <v>33302.073380000002</v>
          </cell>
          <cell r="AK19">
            <v>12504.13659</v>
          </cell>
          <cell r="AL19">
            <v>51640.685909999993</v>
          </cell>
          <cell r="AN19">
            <v>97446.895879999996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>
            <v>0</v>
          </cell>
          <cell r="AX19">
            <v>0</v>
          </cell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29338.628000000004</v>
          </cell>
          <cell r="G20">
            <v>2327.6219999999998</v>
          </cell>
          <cell r="H20">
            <v>2609.8820000000001</v>
          </cell>
          <cell r="I20">
            <v>1596.809</v>
          </cell>
          <cell r="J20">
            <v>1191.9880000000001</v>
          </cell>
          <cell r="K20">
            <v>2246.4659999999999</v>
          </cell>
          <cell r="L20">
            <v>1564.402</v>
          </cell>
          <cell r="M20">
            <v>1193.5989999999999</v>
          </cell>
          <cell r="N20">
            <v>1857.652</v>
          </cell>
          <cell r="O20">
            <v>1487.252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843.15800000000002</v>
          </cell>
          <cell r="W20">
            <v>825.37</v>
          </cell>
          <cell r="Z20">
            <v>23671.978999999999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H20">
            <v>353.67200000000003</v>
          </cell>
          <cell r="AI20">
            <v>24025.650999999998</v>
          </cell>
          <cell r="AJ20">
            <v>370.4</v>
          </cell>
          <cell r="AK20">
            <v>0</v>
          </cell>
          <cell r="AL20">
            <v>0</v>
          </cell>
          <cell r="AN20">
            <v>370.4</v>
          </cell>
          <cell r="AO20">
            <v>4908.1000000000004</v>
          </cell>
          <cell r="AP20">
            <v>855.83600000000001</v>
          </cell>
          <cell r="AS20">
            <v>5763.9360000000006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-14097.802</v>
          </cell>
          <cell r="BA20">
            <v>-13665.632</v>
          </cell>
          <cell r="BB20">
            <v>0</v>
          </cell>
          <cell r="BC20">
            <v>6562.5279999999993</v>
          </cell>
          <cell r="BD20">
            <v>0</v>
          </cell>
          <cell r="BE20">
            <v>0</v>
          </cell>
          <cell r="BF20">
            <v>6281.7449999999999</v>
          </cell>
          <cell r="BG20">
            <v>0</v>
          </cell>
          <cell r="BJ20">
            <v>12844.272999999999</v>
          </cell>
        </row>
        <row r="21">
          <cell r="F21">
            <v>4058189.6399999978</v>
          </cell>
          <cell r="G21">
            <v>655904.49799999979</v>
          </cell>
          <cell r="H21">
            <v>373485.3789999999</v>
          </cell>
          <cell r="I21">
            <v>369054.86699999985</v>
          </cell>
          <cell r="J21">
            <v>190040.47099999996</v>
          </cell>
          <cell r="K21">
            <v>197249.58699999974</v>
          </cell>
          <cell r="L21">
            <v>353417.74899999978</v>
          </cell>
          <cell r="M21">
            <v>71200.62400000004</v>
          </cell>
          <cell r="N21">
            <v>219385.72700000013</v>
          </cell>
          <cell r="O21">
            <v>82581.0450000001</v>
          </cell>
          <cell r="P21">
            <v>324448.47399999981</v>
          </cell>
          <cell r="Q21">
            <v>218384.18000000011</v>
          </cell>
          <cell r="R21">
            <v>-25275.581999999966</v>
          </cell>
          <cell r="S21">
            <v>301868.36899999972</v>
          </cell>
          <cell r="T21">
            <v>91645.691000000021</v>
          </cell>
          <cell r="U21">
            <v>185579.46600000001</v>
          </cell>
          <cell r="V21">
            <v>153739.99399999989</v>
          </cell>
          <cell r="W21">
            <v>77088.554000000033</v>
          </cell>
          <cell r="Z21">
            <v>3839799.0929999985</v>
          </cell>
          <cell r="AA21">
            <v>11474.866999999998</v>
          </cell>
          <cell r="AB21">
            <v>-866.34999999999991</v>
          </cell>
          <cell r="AC21">
            <v>-3615.1990000000005</v>
          </cell>
          <cell r="AD21">
            <v>23425.41</v>
          </cell>
          <cell r="AE21">
            <v>0</v>
          </cell>
          <cell r="AH21">
            <v>30418.727999999996</v>
          </cell>
          <cell r="AI21">
            <v>3870217.8209999944</v>
          </cell>
          <cell r="AJ21">
            <v>21691.171000000009</v>
          </cell>
          <cell r="AK21">
            <v>85058.035999999978</v>
          </cell>
          <cell r="AL21">
            <v>44142.378000000062</v>
          </cell>
          <cell r="AN21">
            <v>150891.58500000017</v>
          </cell>
          <cell r="AO21">
            <v>-1565.118999999564</v>
          </cell>
          <cell r="AP21">
            <v>-855.83600000000001</v>
          </cell>
          <cell r="AS21">
            <v>-2420.9549999995643</v>
          </cell>
          <cell r="AT21">
            <v>3815.1459999999997</v>
          </cell>
          <cell r="AU21">
            <v>10366.362000000001</v>
          </cell>
          <cell r="AV21">
            <v>-2204.4369999999999</v>
          </cell>
          <cell r="AW21">
            <v>81075.364000000001</v>
          </cell>
          <cell r="AX21">
            <v>6164.4559999999992</v>
          </cell>
          <cell r="BA21">
            <v>99216.890999999989</v>
          </cell>
          <cell r="BB21">
            <v>0</v>
          </cell>
          <cell r="BC21">
            <v>-4788.4279999999999</v>
          </cell>
          <cell r="BD21">
            <v>0</v>
          </cell>
          <cell r="BE21">
            <v>0</v>
          </cell>
          <cell r="BF21">
            <v>-43327.926999999996</v>
          </cell>
          <cell r="BG21">
            <v>-11599.347</v>
          </cell>
          <cell r="BJ21">
            <v>-59715.70199999999</v>
          </cell>
        </row>
        <row r="22">
          <cell r="F22">
            <v>1993487.0349999999</v>
          </cell>
          <cell r="G22">
            <v>178452.70945910999</v>
          </cell>
          <cell r="H22">
            <v>138409.6067047356</v>
          </cell>
          <cell r="I22">
            <v>110442.1032920198</v>
          </cell>
          <cell r="J22">
            <v>63150.117265243898</v>
          </cell>
          <cell r="K22">
            <v>83437.620700227824</v>
          </cell>
          <cell r="L22">
            <v>95602.954635702379</v>
          </cell>
          <cell r="M22">
            <v>48245.04606513679</v>
          </cell>
          <cell r="N22">
            <v>76461.693625181913</v>
          </cell>
          <cell r="O22">
            <v>49194.285711504534</v>
          </cell>
          <cell r="P22">
            <v>78251.301897275902</v>
          </cell>
          <cell r="Q22">
            <v>64521.431574232236</v>
          </cell>
          <cell r="R22">
            <v>28505.960812469119</v>
          </cell>
          <cell r="S22">
            <v>87368.503011316134</v>
          </cell>
          <cell r="T22">
            <v>19296.389094417304</v>
          </cell>
          <cell r="U22">
            <v>30898.244202672191</v>
          </cell>
          <cell r="V22">
            <v>39241.577769129071</v>
          </cell>
          <cell r="W22">
            <v>25854.6491796255</v>
          </cell>
          <cell r="Z22">
            <v>1217334.1950000001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H22">
            <v>0</v>
          </cell>
          <cell r="AI22">
            <v>1217334.1950000001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776152.84</v>
          </cell>
          <cell r="BF22">
            <v>0</v>
          </cell>
          <cell r="BG22">
            <v>0</v>
          </cell>
          <cell r="BJ22">
            <v>776152.84</v>
          </cell>
        </row>
        <row r="23">
          <cell r="F23">
            <v>231110.92600000004</v>
          </cell>
          <cell r="G23">
            <v>34167.09059167323</v>
          </cell>
          <cell r="H23">
            <v>26500.318125582518</v>
          </cell>
          <cell r="I23">
            <v>21145.576101090333</v>
          </cell>
          <cell r="J23">
            <v>12090.910718118143</v>
          </cell>
          <cell r="K23">
            <v>16576.337862757762</v>
          </cell>
          <cell r="L23">
            <v>18993.193518939581</v>
          </cell>
          <cell r="M23">
            <v>9584.7194235469833</v>
          </cell>
          <cell r="N23">
            <v>15190.448342760879</v>
          </cell>
          <cell r="O23">
            <v>9773.3024267398505</v>
          </cell>
          <cell r="P23">
            <v>15545.985223022557</v>
          </cell>
          <cell r="Q23">
            <v>12818.307139963301</v>
          </cell>
          <cell r="R23">
            <v>5663.206040206881</v>
          </cell>
          <cell r="S23">
            <v>14253.16047265156</v>
          </cell>
          <cell r="T23">
            <v>3147.9826347697676</v>
          </cell>
          <cell r="U23">
            <v>5040.6910701768729</v>
          </cell>
          <cell r="V23">
            <v>6401.8094148985128</v>
          </cell>
          <cell r="W23">
            <v>4217.8868931012939</v>
          </cell>
          <cell r="Z23">
            <v>231110.92600000004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H23">
            <v>0</v>
          </cell>
          <cell r="AI23">
            <v>231110.92600000004</v>
          </cell>
          <cell r="AJ23">
            <v>0</v>
          </cell>
          <cell r="AK23">
            <v>0</v>
          </cell>
          <cell r="AL23">
            <v>0</v>
          </cell>
          <cell r="AN23">
            <v>0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361670.01600000006</v>
          </cell>
          <cell r="G24">
            <v>52912.746762980467</v>
          </cell>
          <cell r="H24">
            <v>41039.626079813082</v>
          </cell>
          <cell r="I24">
            <v>32747.023349626423</v>
          </cell>
          <cell r="J24">
            <v>18724.547097302646</v>
          </cell>
          <cell r="K24">
            <v>24519.520065804012</v>
          </cell>
          <cell r="L24">
            <v>28094.503952386243</v>
          </cell>
          <cell r="M24">
            <v>14177.6019635053</v>
          </cell>
          <cell r="N24">
            <v>22469.528917222437</v>
          </cell>
          <cell r="O24">
            <v>14456.551679005839</v>
          </cell>
          <cell r="P24">
            <v>22995.434804390399</v>
          </cell>
          <cell r="Q24">
            <v>18960.686113553907</v>
          </cell>
          <cell r="R24">
            <v>8376.9464214174423</v>
          </cell>
          <cell r="S24">
            <v>26813.022909728468</v>
          </cell>
          <cell r="T24">
            <v>5921.9799473573648</v>
          </cell>
          <cell r="U24">
            <v>9482.5400587363674</v>
          </cell>
          <cell r="V24">
            <v>12043.073733348368</v>
          </cell>
          <cell r="W24">
            <v>7934.6821438213365</v>
          </cell>
          <cell r="Z24">
            <v>361670.01600000006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H24">
            <v>0</v>
          </cell>
          <cell r="AI24">
            <v>361670.01600000006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1400706.0929999999</v>
          </cell>
          <cell r="G25">
            <v>91372.872104456314</v>
          </cell>
          <cell r="H25">
            <v>70869.662499340004</v>
          </cell>
          <cell r="I25">
            <v>56549.503841303049</v>
          </cell>
          <cell r="J25">
            <v>32334.659449823106</v>
          </cell>
          <cell r="K25">
            <v>42341.762771666057</v>
          </cell>
          <cell r="L25">
            <v>48515.257164376555</v>
          </cell>
          <cell r="M25">
            <v>24482.724678084513</v>
          </cell>
          <cell r="N25">
            <v>38801.716365198597</v>
          </cell>
          <cell r="O25">
            <v>24964.431605758848</v>
          </cell>
          <cell r="P25">
            <v>39709.88186986294</v>
          </cell>
          <cell r="Q25">
            <v>32742.438320715031</v>
          </cell>
          <cell r="R25">
            <v>14465.808350844796</v>
          </cell>
          <cell r="S25">
            <v>46302.319628936108</v>
          </cell>
          <cell r="T25">
            <v>10226.426512290171</v>
          </cell>
          <cell r="U25">
            <v>16375.013073758952</v>
          </cell>
          <cell r="V25">
            <v>20796.694620882194</v>
          </cell>
          <cell r="W25">
            <v>13702.080142702869</v>
          </cell>
          <cell r="Z25">
            <v>624553.25300000003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H25">
            <v>0</v>
          </cell>
          <cell r="AI25">
            <v>624553.25300000003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776152.84</v>
          </cell>
          <cell r="BF25">
            <v>0</v>
          </cell>
          <cell r="BG25">
            <v>0</v>
          </cell>
          <cell r="BJ25">
            <v>776152.84</v>
          </cell>
        </row>
        <row r="26">
          <cell r="F26">
            <v>2064702.6049999979</v>
          </cell>
          <cell r="G26">
            <v>477451.7885408898</v>
          </cell>
          <cell r="H26">
            <v>235075.77229526429</v>
          </cell>
          <cell r="I26">
            <v>258612.76370798005</v>
          </cell>
          <cell r="J26">
            <v>126890.35373475606</v>
          </cell>
          <cell r="K26">
            <v>113811.96629977191</v>
          </cell>
          <cell r="L26">
            <v>257814.79436429741</v>
          </cell>
          <cell r="M26">
            <v>22955.57793486325</v>
          </cell>
          <cell r="N26">
            <v>142924.03337481822</v>
          </cell>
          <cell r="O26">
            <v>33386.759288495567</v>
          </cell>
          <cell r="P26">
            <v>246197.17210272391</v>
          </cell>
          <cell r="Q26">
            <v>153862.74842576787</v>
          </cell>
          <cell r="R26">
            <v>-53781.542812469081</v>
          </cell>
          <cell r="S26">
            <v>214499.8659886836</v>
          </cell>
          <cell r="T26">
            <v>72349.301905582717</v>
          </cell>
          <cell r="U26">
            <v>154681.22179732783</v>
          </cell>
          <cell r="V26">
            <v>114498.41623087082</v>
          </cell>
          <cell r="W26">
            <v>51233.904820374533</v>
          </cell>
          <cell r="Z26">
            <v>2622464.8979999982</v>
          </cell>
          <cell r="AA26">
            <v>11474.866999999998</v>
          </cell>
          <cell r="AB26">
            <v>-866.34999999999991</v>
          </cell>
          <cell r="AC26">
            <v>-3615.1990000000005</v>
          </cell>
          <cell r="AD26">
            <v>23425.41</v>
          </cell>
          <cell r="AE26">
            <v>0</v>
          </cell>
          <cell r="AH26">
            <v>30418.727999999996</v>
          </cell>
          <cell r="AI26">
            <v>2652883.6259999946</v>
          </cell>
          <cell r="AJ26">
            <v>21691.171000000009</v>
          </cell>
          <cell r="AK26">
            <v>85058.035999999978</v>
          </cell>
          <cell r="AL26">
            <v>44142.378000000062</v>
          </cell>
          <cell r="AN26">
            <v>150891.58500000017</v>
          </cell>
          <cell r="AO26">
            <v>-1565.118999999564</v>
          </cell>
          <cell r="AP26">
            <v>-855.83600000000001</v>
          </cell>
          <cell r="AS26">
            <v>-2420.9549999995643</v>
          </cell>
          <cell r="AT26">
            <v>3815.1459999999997</v>
          </cell>
          <cell r="AU26">
            <v>10366.362000000001</v>
          </cell>
          <cell r="AV26">
            <v>-2204.4369999999999</v>
          </cell>
          <cell r="AW26">
            <v>81075.364000000001</v>
          </cell>
          <cell r="AX26">
            <v>6164.4559999999992</v>
          </cell>
          <cell r="BA26">
            <v>99216.890999999989</v>
          </cell>
          <cell r="BB26">
            <v>0</v>
          </cell>
          <cell r="BC26">
            <v>-4788.4279999999999</v>
          </cell>
          <cell r="BD26">
            <v>0</v>
          </cell>
          <cell r="BE26">
            <v>-776152.84</v>
          </cell>
          <cell r="BF26">
            <v>-43327.926999999996</v>
          </cell>
          <cell r="BG26">
            <v>-11599.347</v>
          </cell>
          <cell r="BJ26">
            <v>-835868.5419999999</v>
          </cell>
        </row>
        <row r="27">
          <cell r="F27">
            <v>2064702.6050000002</v>
          </cell>
          <cell r="G27">
            <v>477451.78854088992</v>
          </cell>
          <cell r="H27">
            <v>235075.77229526435</v>
          </cell>
          <cell r="I27">
            <v>258612.76370798002</v>
          </cell>
          <cell r="J27">
            <v>126890.35373475605</v>
          </cell>
          <cell r="K27">
            <v>113811.96629977188</v>
          </cell>
          <cell r="L27">
            <v>257814.79436429738</v>
          </cell>
          <cell r="M27">
            <v>22955.577934863239</v>
          </cell>
          <cell r="N27">
            <v>142924.03337481825</v>
          </cell>
          <cell r="O27">
            <v>33386.759288495574</v>
          </cell>
          <cell r="P27">
            <v>246197.17210272385</v>
          </cell>
          <cell r="Q27">
            <v>153862.74842576787</v>
          </cell>
          <cell r="R27">
            <v>-53781.542812469088</v>
          </cell>
          <cell r="S27">
            <v>214499.86598868362</v>
          </cell>
          <cell r="T27">
            <v>72349.301905582732</v>
          </cell>
          <cell r="U27">
            <v>154681.2217973278</v>
          </cell>
          <cell r="V27">
            <v>114498.41623087083</v>
          </cell>
          <cell r="W27">
            <v>51233.904820374533</v>
          </cell>
          <cell r="Z27">
            <v>2622464.8979999991</v>
          </cell>
          <cell r="AA27">
            <v>11474.866999999998</v>
          </cell>
          <cell r="AB27">
            <v>-866.34999999999991</v>
          </cell>
          <cell r="AC27">
            <v>-3615.1990000000005</v>
          </cell>
          <cell r="AD27">
            <v>23425.41</v>
          </cell>
          <cell r="AE27">
            <v>0</v>
          </cell>
          <cell r="AH27">
            <v>30418.727999999996</v>
          </cell>
          <cell r="AI27">
            <v>2652883.6259999992</v>
          </cell>
          <cell r="AJ27">
            <v>21691.171000000017</v>
          </cell>
          <cell r="AK27">
            <v>85058.035999999978</v>
          </cell>
          <cell r="AL27">
            <v>44142.378000000062</v>
          </cell>
          <cell r="AN27">
            <v>150891.58500000005</v>
          </cell>
          <cell r="AO27">
            <v>-1565.1189999995568</v>
          </cell>
          <cell r="AP27">
            <v>-855.83600000000001</v>
          </cell>
          <cell r="AS27">
            <v>-2420.954999999557</v>
          </cell>
          <cell r="AT27">
            <v>3815.1459999999997</v>
          </cell>
          <cell r="AU27">
            <v>10366.362000000001</v>
          </cell>
          <cell r="AV27">
            <v>-2204.4369999999999</v>
          </cell>
          <cell r="AW27">
            <v>81075.364000000001</v>
          </cell>
          <cell r="AX27">
            <v>6164.4559999999992</v>
          </cell>
          <cell r="BA27">
            <v>99216.891000000003</v>
          </cell>
          <cell r="BB27">
            <v>0</v>
          </cell>
          <cell r="BC27">
            <v>-4788.4279999999999</v>
          </cell>
          <cell r="BD27">
            <v>0</v>
          </cell>
          <cell r="BE27">
            <v>-776152.84</v>
          </cell>
          <cell r="BF27">
            <v>-43327.926999999996</v>
          </cell>
          <cell r="BG27">
            <v>-11599.347</v>
          </cell>
          <cell r="BJ27">
            <v>-835868.5419999999</v>
          </cell>
        </row>
        <row r="28">
          <cell r="F28">
            <v>-2.3283064365386963E-9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H28">
            <v>0</v>
          </cell>
          <cell r="AI28">
            <v>-4.6566128730773926E-9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-7.2759576141834259E-12</v>
          </cell>
          <cell r="AP28">
            <v>0</v>
          </cell>
          <cell r="AS28">
            <v>-7.2759576141834259E-12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48184</v>
          </cell>
          <cell r="H31">
            <v>34957</v>
          </cell>
          <cell r="I31">
            <v>29377</v>
          </cell>
          <cell r="J31">
            <v>17310.5</v>
          </cell>
          <cell r="K31">
            <v>19603</v>
          </cell>
          <cell r="L31">
            <v>23901</v>
          </cell>
          <cell r="M31">
            <v>12034</v>
          </cell>
          <cell r="N31">
            <v>18982</v>
          </cell>
          <cell r="O31">
            <v>13622</v>
          </cell>
          <cell r="P31">
            <v>20125</v>
          </cell>
          <cell r="Q31">
            <v>17334</v>
          </cell>
          <cell r="R31">
            <v>7286</v>
          </cell>
          <cell r="S31">
            <v>24188</v>
          </cell>
          <cell r="T31">
            <v>4984.5</v>
          </cell>
          <cell r="U31">
            <v>7779</v>
          </cell>
          <cell r="V31">
            <v>9857.5</v>
          </cell>
          <cell r="W31">
            <v>5666</v>
          </cell>
          <cell r="X31">
            <v>0</v>
          </cell>
          <cell r="Y31">
            <v>0</v>
          </cell>
          <cell r="Z31">
            <v>315190.5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H31">
            <v>0</v>
          </cell>
          <cell r="AI31">
            <v>315190.5</v>
          </cell>
          <cell r="AJ31">
            <v>27469</v>
          </cell>
          <cell r="AK31">
            <v>33128</v>
          </cell>
          <cell r="AL31">
            <v>21312</v>
          </cell>
          <cell r="AN31">
            <v>81909</v>
          </cell>
          <cell r="AO31">
            <v>6990.5029999999997</v>
          </cell>
          <cell r="AP31">
            <v>0</v>
          </cell>
          <cell r="AS31">
            <v>6990.5029999999997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42187033.673999995</v>
          </cell>
          <cell r="G32">
            <v>4539943.341</v>
          </cell>
          <cell r="H32">
            <v>3521222.929</v>
          </cell>
          <cell r="I32">
            <v>2809712.9649999999</v>
          </cell>
          <cell r="J32">
            <v>1606576.64</v>
          </cell>
          <cell r="K32">
            <v>2103788.5699999998</v>
          </cell>
          <cell r="L32">
            <v>2410524.1919999998</v>
          </cell>
          <cell r="M32">
            <v>1216446.1980000001</v>
          </cell>
          <cell r="N32">
            <v>1927898.18</v>
          </cell>
          <cell r="O32">
            <v>1240380.24</v>
          </cell>
          <cell r="P32">
            <v>1973021.2</v>
          </cell>
          <cell r="Q32">
            <v>1626837.5</v>
          </cell>
          <cell r="R32">
            <v>718746.7</v>
          </cell>
          <cell r="S32">
            <v>2300572.4</v>
          </cell>
          <cell r="T32">
            <v>508109.2</v>
          </cell>
          <cell r="U32">
            <v>813607.25399999996</v>
          </cell>
          <cell r="V32">
            <v>1033302.4789999999</v>
          </cell>
          <cell r="W32">
            <v>680800.17700000003</v>
          </cell>
          <cell r="X32">
            <v>0</v>
          </cell>
          <cell r="Y32">
            <v>0</v>
          </cell>
          <cell r="Z32">
            <v>31031490.164999995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H32">
            <v>90840</v>
          </cell>
          <cell r="AI32">
            <v>31122330.164999995</v>
          </cell>
          <cell r="AJ32">
            <v>783537</v>
          </cell>
          <cell r="AK32">
            <v>413920</v>
          </cell>
          <cell r="AL32">
            <v>377489</v>
          </cell>
          <cell r="AN32">
            <v>1574946</v>
          </cell>
          <cell r="AO32">
            <v>9395220.5449999999</v>
          </cell>
          <cell r="AP32">
            <v>0</v>
          </cell>
          <cell r="AS32">
            <v>9395220.5449999999</v>
          </cell>
          <cell r="AT32">
            <v>5250</v>
          </cell>
          <cell r="AU32">
            <v>6437.5</v>
          </cell>
          <cell r="AV32">
            <v>0</v>
          </cell>
          <cell r="AW32">
            <v>81075.364000000001</v>
          </cell>
          <cell r="AX32">
            <v>0</v>
          </cell>
          <cell r="BA32">
            <v>92762.864000000001</v>
          </cell>
          <cell r="BB32">
            <v>0</v>
          </cell>
          <cell r="BC32">
            <v>1774.1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1774.1</v>
          </cell>
        </row>
        <row r="33">
          <cell r="F33">
            <v>37031421.196999997</v>
          </cell>
          <cell r="G33">
            <v>3786329.625</v>
          </cell>
          <cell r="H33">
            <v>3045780.8560000001</v>
          </cell>
          <cell r="I33">
            <v>2367338.9369999999</v>
          </cell>
          <cell r="J33">
            <v>1369229.226</v>
          </cell>
          <cell r="K33">
            <v>1832331.5550000002</v>
          </cell>
          <cell r="L33">
            <v>1994729.341</v>
          </cell>
          <cell r="M33">
            <v>1100352.0290000001</v>
          </cell>
          <cell r="N33">
            <v>1651427.9809999997</v>
          </cell>
          <cell r="O33">
            <v>1107187.3239999998</v>
          </cell>
          <cell r="P33">
            <v>1599516.2550000001</v>
          </cell>
          <cell r="Q33">
            <v>1359942.8439999998</v>
          </cell>
          <cell r="R33">
            <v>706953.97699999996</v>
          </cell>
          <cell r="S33">
            <v>1944047.3790000002</v>
          </cell>
          <cell r="T33">
            <v>403791.79</v>
          </cell>
          <cell r="U33">
            <v>614188.29399999999</v>
          </cell>
          <cell r="V33">
            <v>845415.50300000003</v>
          </cell>
          <cell r="W33">
            <v>583727.00199999998</v>
          </cell>
          <cell r="X33">
            <v>0</v>
          </cell>
          <cell r="Y33">
            <v>0</v>
          </cell>
          <cell r="Z33">
            <v>26312289.918000001</v>
          </cell>
          <cell r="AA33">
            <v>38525.133000000002</v>
          </cell>
          <cell r="AB33">
            <v>0</v>
          </cell>
          <cell r="AC33">
            <v>16115.199000000001</v>
          </cell>
          <cell r="AD33">
            <v>4914.59</v>
          </cell>
          <cell r="AE33">
            <v>0</v>
          </cell>
          <cell r="AH33">
            <v>59554.922000000006</v>
          </cell>
          <cell r="AI33">
            <v>26371844.84</v>
          </cell>
          <cell r="AJ33">
            <v>748936.71199999994</v>
          </cell>
          <cell r="AK33">
            <v>328861.96400000004</v>
          </cell>
          <cell r="AL33">
            <v>333100.22199999995</v>
          </cell>
          <cell r="AN33">
            <v>1410898.898</v>
          </cell>
          <cell r="AO33">
            <v>9237961.4399999995</v>
          </cell>
          <cell r="AP33">
            <v>0</v>
          </cell>
          <cell r="AS33">
            <v>9237961.4399999995</v>
          </cell>
          <cell r="AT33">
            <v>1434.854</v>
          </cell>
          <cell r="AU33">
            <v>-3928.8620000000001</v>
          </cell>
          <cell r="AV33">
            <v>1610.68</v>
          </cell>
          <cell r="AW33">
            <v>0</v>
          </cell>
          <cell r="AX33">
            <v>0</v>
          </cell>
          <cell r="BA33">
            <v>-883.32799999999975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11599.347</v>
          </cell>
          <cell r="BJ33">
            <v>11599.347</v>
          </cell>
        </row>
        <row r="34">
          <cell r="F34">
            <v>5155612.4769999981</v>
          </cell>
          <cell r="G34">
            <v>753613.71600000001</v>
          </cell>
          <cell r="H34">
            <v>475442.07299999986</v>
          </cell>
          <cell r="I34">
            <v>442374.02799999993</v>
          </cell>
          <cell r="J34">
            <v>237347.41399999987</v>
          </cell>
          <cell r="K34">
            <v>271457.01499999966</v>
          </cell>
          <cell r="L34">
            <v>415794.85099999979</v>
          </cell>
          <cell r="M34">
            <v>116094.16899999999</v>
          </cell>
          <cell r="N34">
            <v>276470.19900000026</v>
          </cell>
          <cell r="O34">
            <v>133192.9160000002</v>
          </cell>
          <cell r="P34">
            <v>373504.94499999983</v>
          </cell>
          <cell r="Q34">
            <v>266894.65600000019</v>
          </cell>
          <cell r="R34">
            <v>11792.722999999998</v>
          </cell>
          <cell r="S34">
            <v>356525.02099999972</v>
          </cell>
          <cell r="T34">
            <v>104317.41000000003</v>
          </cell>
          <cell r="U34">
            <v>199418.95999999996</v>
          </cell>
          <cell r="V34">
            <v>187886.97599999991</v>
          </cell>
          <cell r="W34">
            <v>97073.175000000047</v>
          </cell>
          <cell r="X34">
            <v>0</v>
          </cell>
          <cell r="Y34">
            <v>0</v>
          </cell>
          <cell r="Z34">
            <v>4719200.2469999939</v>
          </cell>
          <cell r="AA34">
            <v>11474.866999999998</v>
          </cell>
          <cell r="AB34">
            <v>0</v>
          </cell>
          <cell r="AC34">
            <v>-3615.1990000000005</v>
          </cell>
          <cell r="AD34">
            <v>23425.41</v>
          </cell>
          <cell r="AE34">
            <v>0</v>
          </cell>
          <cell r="AH34">
            <v>31285.077999999994</v>
          </cell>
          <cell r="AI34">
            <v>4750485.3249999955</v>
          </cell>
          <cell r="AJ34">
            <v>34600.288000000059</v>
          </cell>
          <cell r="AK34">
            <v>85058.035999999964</v>
          </cell>
          <cell r="AL34">
            <v>44388.778000000049</v>
          </cell>
          <cell r="AN34">
            <v>164047.10199999996</v>
          </cell>
          <cell r="AO34">
            <v>157259.10500000045</v>
          </cell>
          <cell r="AP34">
            <v>0</v>
          </cell>
          <cell r="AS34">
            <v>157259.10500000045</v>
          </cell>
          <cell r="AT34">
            <v>3815.1459999999997</v>
          </cell>
          <cell r="AU34">
            <v>10366.362000000001</v>
          </cell>
          <cell r="AV34">
            <v>-1610.68</v>
          </cell>
          <cell r="AW34">
            <v>81075.364000000001</v>
          </cell>
          <cell r="AX34">
            <v>0</v>
          </cell>
          <cell r="BA34">
            <v>93646.191999999995</v>
          </cell>
          <cell r="BB34">
            <v>0</v>
          </cell>
          <cell r="BC34">
            <v>1774.1</v>
          </cell>
          <cell r="BD34">
            <v>0</v>
          </cell>
          <cell r="BE34">
            <v>0</v>
          </cell>
          <cell r="BF34">
            <v>0</v>
          </cell>
          <cell r="BG34">
            <v>-11599.347</v>
          </cell>
          <cell r="BJ34">
            <v>-9825.2469999999994</v>
          </cell>
        </row>
        <row r="35">
          <cell r="F35">
            <v>3090909.8720000004</v>
          </cell>
          <cell r="G35">
            <v>276161.92745910992</v>
          </cell>
          <cell r="H35">
            <v>240366.30070473562</v>
          </cell>
          <cell r="I35">
            <v>183761.26429201983</v>
          </cell>
          <cell r="J35">
            <v>110457.0602652439</v>
          </cell>
          <cell r="K35">
            <v>157645.04870022781</v>
          </cell>
          <cell r="L35">
            <v>157980.05663570238</v>
          </cell>
          <cell r="M35">
            <v>93138.591065136789</v>
          </cell>
          <cell r="N35">
            <v>133546.16562518192</v>
          </cell>
          <cell r="O35">
            <v>99806.156711504518</v>
          </cell>
          <cell r="P35">
            <v>127307.77289727591</v>
          </cell>
          <cell r="Q35">
            <v>113031.90757423225</v>
          </cell>
          <cell r="R35">
            <v>65574.265812469108</v>
          </cell>
          <cell r="S35">
            <v>142025.15501131612</v>
          </cell>
          <cell r="T35">
            <v>31968.108094417305</v>
          </cell>
          <cell r="U35">
            <v>44737.73820267219</v>
          </cell>
          <cell r="V35">
            <v>73388.55976912906</v>
          </cell>
          <cell r="W35">
            <v>45839.270179625506</v>
          </cell>
          <cell r="X35">
            <v>0</v>
          </cell>
          <cell r="Y35">
            <v>0</v>
          </cell>
          <cell r="Z35">
            <v>2096735.3490000004</v>
          </cell>
          <cell r="AA35">
            <v>0</v>
          </cell>
          <cell r="AB35">
            <v>866.34999999999991</v>
          </cell>
          <cell r="AC35">
            <v>0</v>
          </cell>
          <cell r="AD35">
            <v>0</v>
          </cell>
          <cell r="AE35">
            <v>0</v>
          </cell>
          <cell r="AH35">
            <v>866.34999999999991</v>
          </cell>
          <cell r="AI35">
            <v>2097601.6990000005</v>
          </cell>
          <cell r="AJ35">
            <v>12909.117</v>
          </cell>
          <cell r="AK35">
            <v>0</v>
          </cell>
          <cell r="AL35">
            <v>246.4</v>
          </cell>
          <cell r="AN35">
            <v>13155.517</v>
          </cell>
          <cell r="AO35">
            <v>158824.22400000002</v>
          </cell>
          <cell r="AP35">
            <v>855.83600000000001</v>
          </cell>
          <cell r="AS35">
            <v>159680.06000000003</v>
          </cell>
          <cell r="AT35">
            <v>0</v>
          </cell>
          <cell r="AU35">
            <v>0</v>
          </cell>
          <cell r="AV35">
            <v>593.75700000000006</v>
          </cell>
          <cell r="AW35">
            <v>0</v>
          </cell>
          <cell r="AX35">
            <v>-6164.4559999999992</v>
          </cell>
          <cell r="BA35">
            <v>-5570.6989999999987</v>
          </cell>
          <cell r="BB35">
            <v>0</v>
          </cell>
          <cell r="BC35">
            <v>6562.5279999999993</v>
          </cell>
          <cell r="BD35">
            <v>0</v>
          </cell>
          <cell r="BE35">
            <v>776152.84</v>
          </cell>
          <cell r="BF35">
            <v>43327.926999999996</v>
          </cell>
          <cell r="BG35">
            <v>0</v>
          </cell>
          <cell r="BJ35">
            <v>826043.29500000004</v>
          </cell>
        </row>
        <row r="36">
          <cell r="F36">
            <v>2064702.6049999977</v>
          </cell>
          <cell r="G36">
            <v>477451.78854089009</v>
          </cell>
          <cell r="H36">
            <v>235075.77229526424</v>
          </cell>
          <cell r="I36">
            <v>258612.76370798011</v>
          </cell>
          <cell r="J36">
            <v>126890.35373475598</v>
          </cell>
          <cell r="K36">
            <v>113811.96629977186</v>
          </cell>
          <cell r="L36">
            <v>257814.79436429741</v>
          </cell>
          <cell r="M36">
            <v>22955.577934863206</v>
          </cell>
          <cell r="N36">
            <v>142924.03337481833</v>
          </cell>
          <cell r="O36">
            <v>33386.759288495683</v>
          </cell>
          <cell r="P36">
            <v>246197.17210272391</v>
          </cell>
          <cell r="Q36">
            <v>153862.74842576793</v>
          </cell>
          <cell r="R36">
            <v>-53781.54281246911</v>
          </cell>
          <cell r="S36">
            <v>214499.8659886836</v>
          </cell>
          <cell r="T36">
            <v>72349.301905582732</v>
          </cell>
          <cell r="U36">
            <v>154681.22179732777</v>
          </cell>
          <cell r="V36">
            <v>114498.41623087085</v>
          </cell>
          <cell r="W36">
            <v>51233.904820374541</v>
          </cell>
          <cell r="X36">
            <v>0</v>
          </cell>
          <cell r="Y36">
            <v>0</v>
          </cell>
          <cell r="Z36">
            <v>2622464.8979999935</v>
          </cell>
          <cell r="AA36">
            <v>11474.866999999998</v>
          </cell>
          <cell r="AB36">
            <v>-866.34999999999991</v>
          </cell>
          <cell r="AC36">
            <v>-3615.1990000000005</v>
          </cell>
          <cell r="AD36">
            <v>23425.41</v>
          </cell>
          <cell r="AE36">
            <v>0</v>
          </cell>
          <cell r="AH36">
            <v>30418.727999999996</v>
          </cell>
          <cell r="AI36">
            <v>2652883.625999995</v>
          </cell>
          <cell r="AJ36">
            <v>21691.17100000006</v>
          </cell>
          <cell r="AK36">
            <v>85058.035999999964</v>
          </cell>
          <cell r="AL36">
            <v>44142.378000000048</v>
          </cell>
          <cell r="AN36">
            <v>150891.58499999996</v>
          </cell>
          <cell r="AO36">
            <v>-1565.1189999995695</v>
          </cell>
          <cell r="AP36">
            <v>-855.83600000000001</v>
          </cell>
          <cell r="AS36">
            <v>-2420.9549999995797</v>
          </cell>
          <cell r="AT36">
            <v>3815.1459999999997</v>
          </cell>
          <cell r="AU36">
            <v>10366.362000000001</v>
          </cell>
          <cell r="AV36">
            <v>-2204.4369999999999</v>
          </cell>
          <cell r="AW36">
            <v>81075.364000000001</v>
          </cell>
          <cell r="AX36">
            <v>6164.4559999999992</v>
          </cell>
          <cell r="BA36">
            <v>99216.890999999989</v>
          </cell>
          <cell r="BB36">
            <v>0</v>
          </cell>
          <cell r="BC36">
            <v>-4788.4279999999999</v>
          </cell>
          <cell r="BD36">
            <v>0</v>
          </cell>
          <cell r="BE36">
            <v>-776152.84</v>
          </cell>
          <cell r="BF36">
            <v>-43327.926999999996</v>
          </cell>
          <cell r="BG36">
            <v>-11599.347</v>
          </cell>
          <cell r="BJ36">
            <v>-835868.54200000002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-15670</v>
          </cell>
          <cell r="AK38">
            <v>-20232</v>
          </cell>
          <cell r="AL38">
            <v>-16000</v>
          </cell>
          <cell r="AN38">
            <v>-51902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-1023776</v>
          </cell>
          <cell r="Z39">
            <v>0</v>
          </cell>
          <cell r="AH39">
            <v>0</v>
          </cell>
          <cell r="AI39">
            <v>0</v>
          </cell>
          <cell r="AJ39">
            <v>-448927</v>
          </cell>
          <cell r="AK39">
            <v>-275728</v>
          </cell>
          <cell r="AL39">
            <v>-299121</v>
          </cell>
          <cell r="AN39">
            <v>-1023776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-1023776</v>
          </cell>
          <cell r="K40">
            <v>-62821.85</v>
          </cell>
          <cell r="L40">
            <v>-74554.952999999994</v>
          </cell>
          <cell r="M40">
            <v>-1217.1679999999999</v>
          </cell>
          <cell r="N40">
            <v>-857.96400000000006</v>
          </cell>
          <cell r="O40">
            <v>-654.12199999999996</v>
          </cell>
          <cell r="P40">
            <v>-3251.53</v>
          </cell>
          <cell r="Z40">
            <v>-143357.587</v>
          </cell>
          <cell r="AH40">
            <v>0</v>
          </cell>
          <cell r="AI40">
            <v>-143357.587</v>
          </cell>
          <cell r="AJ40">
            <v>-427239.46</v>
          </cell>
          <cell r="AK40">
            <v>-203604.56299999999</v>
          </cell>
          <cell r="AL40">
            <v>-249574.39</v>
          </cell>
          <cell r="AN40">
            <v>-880418.41300000006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62821.85</v>
          </cell>
          <cell r="L41">
            <v>74554.952999999994</v>
          </cell>
          <cell r="M41">
            <v>1217.1679999999999</v>
          </cell>
          <cell r="N41">
            <v>857.96400000000006</v>
          </cell>
          <cell r="O41">
            <v>654.12199999999996</v>
          </cell>
          <cell r="P41">
            <v>3251.53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143357.587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H41">
            <v>0</v>
          </cell>
          <cell r="AI41">
            <v>143357.587</v>
          </cell>
          <cell r="AJ41">
            <v>-21687.539999999979</v>
          </cell>
          <cell r="AK41">
            <v>-72123.437000000005</v>
          </cell>
          <cell r="AL41">
            <v>-49546.609999999986</v>
          </cell>
          <cell r="AN41">
            <v>-143357.58699999994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62821.85</v>
          </cell>
          <cell r="L43">
            <v>74554.952999999994</v>
          </cell>
          <cell r="M43">
            <v>1217.1679999999999</v>
          </cell>
          <cell r="N43">
            <v>857.96400000000006</v>
          </cell>
          <cell r="O43">
            <v>654.12199999999996</v>
          </cell>
          <cell r="P43">
            <v>3251.53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143357.587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H43">
            <v>0</v>
          </cell>
          <cell r="AI43">
            <v>143357.587</v>
          </cell>
          <cell r="AJ43">
            <v>-21687.539999999979</v>
          </cell>
          <cell r="AK43">
            <v>-72123.437000000005</v>
          </cell>
          <cell r="AL43">
            <v>-49546.609999999986</v>
          </cell>
          <cell r="AN43">
            <v>-143357.58699999994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48184</v>
          </cell>
          <cell r="H45">
            <v>34957</v>
          </cell>
          <cell r="I45">
            <v>29377</v>
          </cell>
          <cell r="J45">
            <v>17310.5</v>
          </cell>
          <cell r="K45">
            <v>19603</v>
          </cell>
          <cell r="L45">
            <v>23901</v>
          </cell>
          <cell r="M45">
            <v>12034</v>
          </cell>
          <cell r="N45">
            <v>18982</v>
          </cell>
          <cell r="O45">
            <v>13622</v>
          </cell>
          <cell r="P45">
            <v>20125</v>
          </cell>
          <cell r="Q45">
            <v>17334</v>
          </cell>
          <cell r="R45">
            <v>7286</v>
          </cell>
          <cell r="S45">
            <v>24188</v>
          </cell>
          <cell r="T45">
            <v>4984.5</v>
          </cell>
          <cell r="U45">
            <v>7779</v>
          </cell>
          <cell r="V45">
            <v>9857.5</v>
          </cell>
          <cell r="W45">
            <v>5666</v>
          </cell>
          <cell r="X45">
            <v>0</v>
          </cell>
          <cell r="Y45">
            <v>0</v>
          </cell>
          <cell r="Z45">
            <v>315190.5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H45">
            <v>0</v>
          </cell>
          <cell r="AI45">
            <v>315190.5</v>
          </cell>
          <cell r="AJ45">
            <v>11799</v>
          </cell>
          <cell r="AK45">
            <v>12896</v>
          </cell>
          <cell r="AL45">
            <v>5312</v>
          </cell>
          <cell r="AN45">
            <v>30007</v>
          </cell>
          <cell r="AO45">
            <v>6990.5029999999997</v>
          </cell>
          <cell r="AP45">
            <v>0</v>
          </cell>
          <cell r="AS45">
            <v>6990.5029999999997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41163257.673999995</v>
          </cell>
          <cell r="G46">
            <v>4539943.341</v>
          </cell>
          <cell r="H46">
            <v>3521222.929</v>
          </cell>
          <cell r="I46">
            <v>2809712.9649999999</v>
          </cell>
          <cell r="J46">
            <v>1606576.64</v>
          </cell>
          <cell r="K46">
            <v>2103788.5699999998</v>
          </cell>
          <cell r="L46">
            <v>2410524.1919999998</v>
          </cell>
          <cell r="M46">
            <v>1216446.1980000001</v>
          </cell>
          <cell r="N46">
            <v>1927898.18</v>
          </cell>
          <cell r="O46">
            <v>1240380.24</v>
          </cell>
          <cell r="P46">
            <v>1973021.2</v>
          </cell>
          <cell r="Q46">
            <v>1626837.5</v>
          </cell>
          <cell r="R46">
            <v>718746.7</v>
          </cell>
          <cell r="S46">
            <v>2300572.4</v>
          </cell>
          <cell r="T46">
            <v>508109.2</v>
          </cell>
          <cell r="U46">
            <v>813607.25399999996</v>
          </cell>
          <cell r="V46">
            <v>1033302.4789999999</v>
          </cell>
          <cell r="W46">
            <v>680800.17700000003</v>
          </cell>
          <cell r="X46">
            <v>0</v>
          </cell>
          <cell r="Y46">
            <v>0</v>
          </cell>
          <cell r="Z46">
            <v>31031490.164999995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H46">
            <v>90840</v>
          </cell>
          <cell r="AI46">
            <v>31122330.164999995</v>
          </cell>
          <cell r="AJ46">
            <v>334610</v>
          </cell>
          <cell r="AK46">
            <v>138192</v>
          </cell>
          <cell r="AL46">
            <v>78368</v>
          </cell>
          <cell r="AN46">
            <v>551170</v>
          </cell>
          <cell r="AO46">
            <v>9395220.5449999999</v>
          </cell>
          <cell r="AP46">
            <v>0</v>
          </cell>
          <cell r="AS46">
            <v>9395220.5449999999</v>
          </cell>
          <cell r="AT46">
            <v>5250</v>
          </cell>
          <cell r="AU46">
            <v>6437.5</v>
          </cell>
          <cell r="AV46">
            <v>0</v>
          </cell>
          <cell r="AW46">
            <v>81075.364000000001</v>
          </cell>
          <cell r="AX46">
            <v>0</v>
          </cell>
          <cell r="BA46">
            <v>92762.864000000001</v>
          </cell>
          <cell r="BB46">
            <v>0</v>
          </cell>
          <cell r="BC46">
            <v>1774.1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1774.1</v>
          </cell>
        </row>
        <row r="47">
          <cell r="F47">
            <v>36007645.197000004</v>
          </cell>
          <cell r="G47">
            <v>3786329.625</v>
          </cell>
          <cell r="H47">
            <v>3045780.8560000001</v>
          </cell>
          <cell r="I47">
            <v>2367338.9369999999</v>
          </cell>
          <cell r="J47">
            <v>1369229.226</v>
          </cell>
          <cell r="K47">
            <v>1769509.7050000001</v>
          </cell>
          <cell r="L47">
            <v>1920174.388</v>
          </cell>
          <cell r="M47">
            <v>1099134.861</v>
          </cell>
          <cell r="N47">
            <v>1650570.0169999998</v>
          </cell>
          <cell r="O47">
            <v>1106533.2019999998</v>
          </cell>
          <cell r="P47">
            <v>1596264.7250000001</v>
          </cell>
          <cell r="Q47">
            <v>1359942.8439999998</v>
          </cell>
          <cell r="R47">
            <v>706953.97699999996</v>
          </cell>
          <cell r="S47">
            <v>1944047.3790000002</v>
          </cell>
          <cell r="T47">
            <v>403791.79</v>
          </cell>
          <cell r="U47">
            <v>614188.29399999999</v>
          </cell>
          <cell r="V47">
            <v>845415.50300000003</v>
          </cell>
          <cell r="W47">
            <v>583727.00199999998</v>
          </cell>
          <cell r="X47">
            <v>0</v>
          </cell>
          <cell r="Y47">
            <v>0</v>
          </cell>
          <cell r="Z47">
            <v>26168932.331000004</v>
          </cell>
          <cell r="AA47">
            <v>38525.133000000002</v>
          </cell>
          <cell r="AB47">
            <v>0</v>
          </cell>
          <cell r="AC47">
            <v>16115.199000000001</v>
          </cell>
          <cell r="AD47">
            <v>4914.59</v>
          </cell>
          <cell r="AE47">
            <v>0</v>
          </cell>
          <cell r="AH47">
            <v>59554.922000000006</v>
          </cell>
          <cell r="AI47">
            <v>26228487.253000002</v>
          </cell>
          <cell r="AJ47">
            <v>321697.25199999992</v>
          </cell>
          <cell r="AK47">
            <v>125257.40100000004</v>
          </cell>
          <cell r="AL47">
            <v>83525.831999999937</v>
          </cell>
          <cell r="AN47">
            <v>530480.48499999987</v>
          </cell>
          <cell r="AO47">
            <v>9237961.4399999995</v>
          </cell>
          <cell r="AP47">
            <v>0</v>
          </cell>
          <cell r="AS47">
            <v>9237961.4399999995</v>
          </cell>
          <cell r="AT47">
            <v>1434.854</v>
          </cell>
          <cell r="AU47">
            <v>-3928.8620000000001</v>
          </cell>
          <cell r="AV47">
            <v>1610.68</v>
          </cell>
          <cell r="AW47">
            <v>0</v>
          </cell>
          <cell r="AX47">
            <v>0</v>
          </cell>
          <cell r="BA47">
            <v>-883.32799999999975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11599.347</v>
          </cell>
          <cell r="BJ47">
            <v>11599.347</v>
          </cell>
        </row>
        <row r="48">
          <cell r="F48">
            <v>5155612.4769999906</v>
          </cell>
          <cell r="G48">
            <v>753613.71600000001</v>
          </cell>
          <cell r="H48">
            <v>475442.07299999986</v>
          </cell>
          <cell r="I48">
            <v>442374.02799999993</v>
          </cell>
          <cell r="J48">
            <v>237347.41399999987</v>
          </cell>
          <cell r="K48">
            <v>334278.86499999976</v>
          </cell>
          <cell r="L48">
            <v>490349.80399999977</v>
          </cell>
          <cell r="M48">
            <v>117311.33700000006</v>
          </cell>
          <cell r="N48">
            <v>277328.16300000018</v>
          </cell>
          <cell r="O48">
            <v>133847.03800000018</v>
          </cell>
          <cell r="P48">
            <v>376756.47499999986</v>
          </cell>
          <cell r="Q48">
            <v>266894.65600000019</v>
          </cell>
          <cell r="R48">
            <v>11792.722999999998</v>
          </cell>
          <cell r="S48">
            <v>356525.02099999972</v>
          </cell>
          <cell r="T48">
            <v>104317.41000000003</v>
          </cell>
          <cell r="U48">
            <v>199418.95999999996</v>
          </cell>
          <cell r="V48">
            <v>187886.97599999991</v>
          </cell>
          <cell r="W48">
            <v>97073.175000000047</v>
          </cell>
          <cell r="X48">
            <v>0</v>
          </cell>
          <cell r="Y48">
            <v>0</v>
          </cell>
          <cell r="Z48">
            <v>4862557.8339999914</v>
          </cell>
          <cell r="AA48">
            <v>11474.866999999998</v>
          </cell>
          <cell r="AB48">
            <v>0</v>
          </cell>
          <cell r="AC48">
            <v>-3615.1990000000005</v>
          </cell>
          <cell r="AD48">
            <v>23425.41</v>
          </cell>
          <cell r="AE48">
            <v>0</v>
          </cell>
          <cell r="AH48">
            <v>31285.077999999994</v>
          </cell>
          <cell r="AI48">
            <v>4893842.911999993</v>
          </cell>
          <cell r="AJ48">
            <v>12912.74800000008</v>
          </cell>
          <cell r="AK48">
            <v>12934.598999999958</v>
          </cell>
          <cell r="AL48">
            <v>-5157.8319999999367</v>
          </cell>
          <cell r="AN48">
            <v>20689.51500000013</v>
          </cell>
          <cell r="AO48">
            <v>157259.10500000045</v>
          </cell>
          <cell r="AP48">
            <v>0</v>
          </cell>
          <cell r="AS48">
            <v>157259.10500000045</v>
          </cell>
          <cell r="AT48">
            <v>3815.1459999999997</v>
          </cell>
          <cell r="AU48">
            <v>10366.362000000001</v>
          </cell>
          <cell r="AV48">
            <v>-1610.68</v>
          </cell>
          <cell r="AW48">
            <v>81075.364000000001</v>
          </cell>
          <cell r="AX48">
            <v>0</v>
          </cell>
          <cell r="BA48">
            <v>93646.191999999995</v>
          </cell>
          <cell r="BB48">
            <v>0</v>
          </cell>
          <cell r="BC48">
            <v>1774.1</v>
          </cell>
          <cell r="BD48">
            <v>0</v>
          </cell>
          <cell r="BE48">
            <v>0</v>
          </cell>
          <cell r="BF48">
            <v>0</v>
          </cell>
          <cell r="BG48">
            <v>-11599.347</v>
          </cell>
          <cell r="BJ48">
            <v>-9825.2469999999994</v>
          </cell>
        </row>
        <row r="49">
          <cell r="F49">
            <v>3090909.8720000004</v>
          </cell>
          <cell r="G49">
            <v>276161.92745910992</v>
          </cell>
          <cell r="H49">
            <v>240366.30070473562</v>
          </cell>
          <cell r="I49">
            <v>183761.26429201983</v>
          </cell>
          <cell r="J49">
            <v>110457.0602652439</v>
          </cell>
          <cell r="K49">
            <v>157645.04870022781</v>
          </cell>
          <cell r="L49">
            <v>157980.05663570238</v>
          </cell>
          <cell r="M49">
            <v>93138.591065136789</v>
          </cell>
          <cell r="N49">
            <v>133546.16562518192</v>
          </cell>
          <cell r="O49">
            <v>99806.156711504518</v>
          </cell>
          <cell r="P49">
            <v>127307.77289727591</v>
          </cell>
          <cell r="Q49">
            <v>113031.90757423225</v>
          </cell>
          <cell r="R49">
            <v>65574.265812469108</v>
          </cell>
          <cell r="S49">
            <v>142025.15501131612</v>
          </cell>
          <cell r="T49">
            <v>31968.108094417305</v>
          </cell>
          <cell r="U49">
            <v>44737.73820267219</v>
          </cell>
          <cell r="V49">
            <v>73388.55976912906</v>
          </cell>
          <cell r="W49">
            <v>45839.270179625506</v>
          </cell>
          <cell r="X49">
            <v>0</v>
          </cell>
          <cell r="Y49">
            <v>0</v>
          </cell>
          <cell r="Z49">
            <v>2096735.3490000004</v>
          </cell>
          <cell r="AA49">
            <v>0</v>
          </cell>
          <cell r="AB49">
            <v>866.34999999999991</v>
          </cell>
          <cell r="AC49">
            <v>0</v>
          </cell>
          <cell r="AD49">
            <v>0</v>
          </cell>
          <cell r="AE49">
            <v>0</v>
          </cell>
          <cell r="AH49">
            <v>866.34999999999991</v>
          </cell>
          <cell r="AI49">
            <v>2097601.6990000005</v>
          </cell>
          <cell r="AJ49">
            <v>12909.117</v>
          </cell>
          <cell r="AK49">
            <v>0</v>
          </cell>
          <cell r="AL49">
            <v>246.4</v>
          </cell>
          <cell r="AN49">
            <v>13155.517</v>
          </cell>
          <cell r="AO49">
            <v>158824.22400000002</v>
          </cell>
          <cell r="AP49">
            <v>855.83600000000001</v>
          </cell>
          <cell r="AS49">
            <v>159680.06000000003</v>
          </cell>
          <cell r="AT49">
            <v>0</v>
          </cell>
          <cell r="AU49">
            <v>0</v>
          </cell>
          <cell r="AV49">
            <v>593.75700000000006</v>
          </cell>
          <cell r="AW49">
            <v>0</v>
          </cell>
          <cell r="AX49">
            <v>-6164.4559999999992</v>
          </cell>
          <cell r="BA49">
            <v>-5570.6989999999987</v>
          </cell>
          <cell r="BB49">
            <v>0</v>
          </cell>
          <cell r="BC49">
            <v>6562.5279999999993</v>
          </cell>
          <cell r="BD49">
            <v>0</v>
          </cell>
          <cell r="BE49">
            <v>776152.84</v>
          </cell>
          <cell r="BF49">
            <v>43327.926999999996</v>
          </cell>
          <cell r="BG49">
            <v>0</v>
          </cell>
          <cell r="BJ49">
            <v>826043.29500000004</v>
          </cell>
        </row>
        <row r="50">
          <cell r="F50">
            <v>2064702.6049999902</v>
          </cell>
          <cell r="G50">
            <v>477451.78854089009</v>
          </cell>
          <cell r="H50">
            <v>235075.77229526424</v>
          </cell>
          <cell r="I50">
            <v>258612.76370798011</v>
          </cell>
          <cell r="J50">
            <v>126890.35373475598</v>
          </cell>
          <cell r="K50">
            <v>176633.81629977195</v>
          </cell>
          <cell r="L50">
            <v>332369.74736429739</v>
          </cell>
          <cell r="M50">
            <v>24172.745934863269</v>
          </cell>
          <cell r="N50">
            <v>143781.99737481825</v>
          </cell>
          <cell r="O50">
            <v>34040.881288495657</v>
          </cell>
          <cell r="P50">
            <v>249448.70210272394</v>
          </cell>
          <cell r="Q50">
            <v>153862.74842576793</v>
          </cell>
          <cell r="R50">
            <v>-53781.54281246911</v>
          </cell>
          <cell r="S50">
            <v>214499.8659886836</v>
          </cell>
          <cell r="T50">
            <v>72349.301905582732</v>
          </cell>
          <cell r="U50">
            <v>154681.22179732777</v>
          </cell>
          <cell r="V50">
            <v>114498.41623087085</v>
          </cell>
          <cell r="W50">
            <v>51233.904820374541</v>
          </cell>
          <cell r="X50">
            <v>0</v>
          </cell>
          <cell r="Y50">
            <v>0</v>
          </cell>
          <cell r="Z50">
            <v>2765822.484999991</v>
          </cell>
          <cell r="AA50">
            <v>11474.866999999998</v>
          </cell>
          <cell r="AB50">
            <v>-866.34999999999991</v>
          </cell>
          <cell r="AC50">
            <v>-3615.1990000000005</v>
          </cell>
          <cell r="AD50">
            <v>23425.41</v>
          </cell>
          <cell r="AE50">
            <v>0</v>
          </cell>
          <cell r="AH50">
            <v>30418.727999999996</v>
          </cell>
          <cell r="AI50">
            <v>2796241.2129999925</v>
          </cell>
          <cell r="AJ50">
            <v>3.6310000000794389</v>
          </cell>
          <cell r="AK50">
            <v>12934.598999999958</v>
          </cell>
          <cell r="AL50">
            <v>-5404.2319999999363</v>
          </cell>
          <cell r="AN50">
            <v>7533.9980000001306</v>
          </cell>
          <cell r="AO50">
            <v>-1565.1189999995695</v>
          </cell>
          <cell r="AP50">
            <v>-855.83600000000001</v>
          </cell>
          <cell r="AS50">
            <v>-2420.9549999995797</v>
          </cell>
          <cell r="AT50">
            <v>3815.1459999999997</v>
          </cell>
          <cell r="AU50">
            <v>10366.362000000001</v>
          </cell>
          <cell r="AV50">
            <v>-2204.4369999999999</v>
          </cell>
          <cell r="AW50">
            <v>81075.364000000001</v>
          </cell>
          <cell r="AX50">
            <v>6164.4559999999992</v>
          </cell>
          <cell r="BA50">
            <v>99216.890999999989</v>
          </cell>
          <cell r="BB50">
            <v>0</v>
          </cell>
          <cell r="BC50">
            <v>-4788.4279999999999</v>
          </cell>
          <cell r="BD50">
            <v>0</v>
          </cell>
          <cell r="BE50">
            <v>-776152.84</v>
          </cell>
          <cell r="BF50">
            <v>-43327.926999999996</v>
          </cell>
          <cell r="BG50">
            <v>-11599.347</v>
          </cell>
          <cell r="BJ50">
            <v>-835868.54200000002</v>
          </cell>
        </row>
      </sheetData>
      <sheetData sheetId="20"/>
      <sheetData sheetId="21">
        <row r="6">
          <cell r="F6" t="str">
            <v>합계</v>
          </cell>
        </row>
      </sheetData>
      <sheetData sheetId="22">
        <row r="6">
          <cell r="F6" t="str">
            <v>합계</v>
          </cell>
        </row>
      </sheetData>
      <sheetData sheetId="23">
        <row r="6">
          <cell r="F6" t="str">
            <v>합계</v>
          </cell>
        </row>
      </sheetData>
      <sheetData sheetId="24">
        <row r="6">
          <cell r="F6" t="str">
            <v>합계</v>
          </cell>
        </row>
      </sheetData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2263</v>
          </cell>
          <cell r="K7">
            <v>2292.4292</v>
          </cell>
          <cell r="M7">
            <v>2534.8145</v>
          </cell>
        </row>
        <row r="8">
          <cell r="J8">
            <v>56800</v>
          </cell>
          <cell r="K8">
            <v>70612.716</v>
          </cell>
          <cell r="M8">
            <v>62565.216000000008</v>
          </cell>
        </row>
        <row r="9">
          <cell r="J9">
            <v>741.98901357998125</v>
          </cell>
          <cell r="K9">
            <v>607.26400000000001</v>
          </cell>
          <cell r="M9">
            <v>491.97300000000007</v>
          </cell>
        </row>
        <row r="10">
          <cell r="J10">
            <v>230232.48357085782</v>
          </cell>
          <cell r="K10">
            <v>232174.936506</v>
          </cell>
          <cell r="M10">
            <v>244007.924088</v>
          </cell>
        </row>
        <row r="11">
          <cell r="J11">
            <v>69466.623157894748</v>
          </cell>
          <cell r="K11">
            <v>70211.565195999996</v>
          </cell>
          <cell r="M11">
            <v>75631.463227999993</v>
          </cell>
        </row>
        <row r="12">
          <cell r="J12">
            <v>14282.495852132097</v>
          </cell>
          <cell r="K12">
            <v>12244.040080000001</v>
          </cell>
          <cell r="M12">
            <v>9430.9839000000011</v>
          </cell>
        </row>
        <row r="13">
          <cell r="J13">
            <v>1319.2600026666514</v>
          </cell>
          <cell r="K13">
            <v>1323.9009599999949</v>
          </cell>
          <cell r="M13">
            <v>1584.3326510000145</v>
          </cell>
        </row>
        <row r="15">
          <cell r="J15">
            <v>192690.82221093119</v>
          </cell>
          <cell r="K15">
            <v>200504.98884199004</v>
          </cell>
          <cell r="M15">
            <v>200705.71832001</v>
          </cell>
        </row>
        <row r="16">
          <cell r="J16">
            <v>67689.611204463145</v>
          </cell>
          <cell r="K16">
            <v>68656.788912000004</v>
          </cell>
          <cell r="M16">
            <v>74022.951770999993</v>
          </cell>
        </row>
        <row r="17">
          <cell r="J17">
            <v>12734.900327566591</v>
          </cell>
          <cell r="K17">
            <v>11343.438962999999</v>
          </cell>
          <cell r="M17">
            <v>8691.6396279699984</v>
          </cell>
        </row>
        <row r="18">
          <cell r="J18">
            <v>-850.07619900000896</v>
          </cell>
          <cell r="K18">
            <v>129.61519500000236</v>
          </cell>
          <cell r="M18">
            <v>457.96089300002291</v>
          </cell>
        </row>
        <row r="25">
          <cell r="J25">
            <v>5242.2977980000005</v>
          </cell>
          <cell r="K25">
            <v>5270.8177520000008</v>
          </cell>
          <cell r="M25">
            <v>5182.9402370000007</v>
          </cell>
        </row>
        <row r="26">
          <cell r="J26">
            <v>998.0328300000001</v>
          </cell>
          <cell r="K26">
            <v>1099.6987119999999</v>
          </cell>
          <cell r="M26">
            <v>922.17749199999992</v>
          </cell>
        </row>
        <row r="27">
          <cell r="J27">
            <v>473.44468511111114</v>
          </cell>
          <cell r="K27">
            <v>441.6580214458732</v>
          </cell>
          <cell r="M27">
            <v>268.46177399999993</v>
          </cell>
        </row>
        <row r="28">
          <cell r="J28">
            <v>11950.517676493393</v>
          </cell>
          <cell r="K28">
            <v>12964.238356549888</v>
          </cell>
          <cell r="M28">
            <v>11001.693374999999</v>
          </cell>
        </row>
        <row r="38">
          <cell r="J38">
            <v>24371.312049985856</v>
          </cell>
          <cell r="K38">
            <v>15543.19798801423</v>
          </cell>
          <cell r="M38">
            <v>29401.160377020009</v>
          </cell>
        </row>
      </sheetData>
      <sheetData sheetId="2"/>
      <sheetData sheetId="3">
        <row r="7">
          <cell r="J7">
            <v>326</v>
          </cell>
          <cell r="K7">
            <v>306.21600000000007</v>
          </cell>
          <cell r="M7">
            <v>351.70400000000006</v>
          </cell>
          <cell r="O7">
            <v>32616.483900000003</v>
          </cell>
          <cell r="P7">
            <v>30507.054102000002</v>
          </cell>
          <cell r="R7">
            <v>32625.168858000001</v>
          </cell>
          <cell r="T7">
            <v>4391.1924541133612</v>
          </cell>
          <cell r="U7">
            <v>3141.6975189999994</v>
          </cell>
          <cell r="W7">
            <v>4693.6795009800007</v>
          </cell>
        </row>
        <row r="8">
          <cell r="J8">
            <v>243</v>
          </cell>
          <cell r="K8">
            <v>222.28699999999998</v>
          </cell>
          <cell r="M8">
            <v>300.03399999999999</v>
          </cell>
          <cell r="O8">
            <v>24617.091120000001</v>
          </cell>
          <cell r="P8">
            <v>22256.215973999999</v>
          </cell>
          <cell r="R8">
            <v>28581.883325000003</v>
          </cell>
          <cell r="T8">
            <v>2493.1044794385357</v>
          </cell>
          <cell r="U8">
            <v>1666.8650450099985</v>
          </cell>
          <cell r="W8">
            <v>3546.3436669999996</v>
          </cell>
        </row>
        <row r="9">
          <cell r="J9">
            <v>197</v>
          </cell>
          <cell r="K9">
            <v>198.32220000000001</v>
          </cell>
          <cell r="M9">
            <v>204.76499999999999</v>
          </cell>
          <cell r="O9">
            <v>19390.187546607816</v>
          </cell>
          <cell r="P9">
            <v>19428.776545000001</v>
          </cell>
          <cell r="R9">
            <v>18759.069859999996</v>
          </cell>
          <cell r="T9">
            <v>2585.0066992128559</v>
          </cell>
          <cell r="U9">
            <v>1514.270156</v>
          </cell>
          <cell r="W9">
            <v>2066.377555009999</v>
          </cell>
        </row>
        <row r="10">
          <cell r="J10">
            <v>118</v>
          </cell>
          <cell r="K10">
            <v>92.797499999999985</v>
          </cell>
          <cell r="M10">
            <v>127.76350000000001</v>
          </cell>
          <cell r="O10">
            <v>11256.302</v>
          </cell>
          <cell r="P10">
            <v>9103.976098000001</v>
          </cell>
          <cell r="R10">
            <v>11407.258436000002</v>
          </cell>
          <cell r="T10">
            <v>1473.5413183775881</v>
          </cell>
          <cell r="U10">
            <v>832.09533600000009</v>
          </cell>
          <cell r="W10">
            <v>1432.0162050000004</v>
          </cell>
        </row>
        <row r="11">
          <cell r="J11">
            <v>157</v>
          </cell>
          <cell r="K11">
            <v>164.9735</v>
          </cell>
          <cell r="M11">
            <v>190.57749999999999</v>
          </cell>
          <cell r="O11">
            <v>16893.205804249999</v>
          </cell>
          <cell r="P11">
            <v>17745.131840999999</v>
          </cell>
          <cell r="R11">
            <v>19570.340649999998</v>
          </cell>
          <cell r="T11">
            <v>2421.9338412719289</v>
          </cell>
          <cell r="U11">
            <v>1826.0327639999991</v>
          </cell>
          <cell r="W11">
            <v>3611.5276999999996</v>
          </cell>
        </row>
        <row r="12">
          <cell r="J12">
            <v>193</v>
          </cell>
          <cell r="K12">
            <v>174.50500000000002</v>
          </cell>
          <cell r="M12">
            <v>168.21999999999997</v>
          </cell>
          <cell r="O12">
            <v>20019.345440000001</v>
          </cell>
          <cell r="P12">
            <v>17650.711531000001</v>
          </cell>
          <cell r="R12">
            <v>16936.419000000002</v>
          </cell>
          <cell r="T12">
            <v>3439.1450378521372</v>
          </cell>
          <cell r="U12">
            <v>2073.3245339999994</v>
          </cell>
          <cell r="W12">
            <v>2902.8580000000002</v>
          </cell>
        </row>
        <row r="13">
          <cell r="J13">
            <v>92</v>
          </cell>
          <cell r="K13">
            <v>107.923</v>
          </cell>
          <cell r="M13">
            <v>105.116</v>
          </cell>
          <cell r="O13">
            <v>9291.9961999999978</v>
          </cell>
          <cell r="P13">
            <v>10408.446199999998</v>
          </cell>
          <cell r="R13">
            <v>10252.610199999999</v>
          </cell>
          <cell r="T13">
            <v>1103.2998101660473</v>
          </cell>
          <cell r="U13">
            <v>712.38713399999983</v>
          </cell>
          <cell r="W13">
            <v>1442.836094</v>
          </cell>
        </row>
        <row r="14">
          <cell r="J14">
            <v>138</v>
          </cell>
          <cell r="K14">
            <v>158.45750000000001</v>
          </cell>
          <cell r="M14">
            <v>148.48299999999998</v>
          </cell>
          <cell r="O14">
            <v>14352</v>
          </cell>
          <cell r="P14">
            <v>16072.158649999999</v>
          </cell>
          <cell r="R14">
            <v>14954.496740000001</v>
          </cell>
          <cell r="T14">
            <v>1949.418386219887</v>
          </cell>
          <cell r="U14">
            <v>1496.705551999999</v>
          </cell>
          <cell r="W14">
            <v>2358.2205470000004</v>
          </cell>
        </row>
        <row r="15">
          <cell r="J15">
            <v>82</v>
          </cell>
          <cell r="K15">
            <v>100.26300000000002</v>
          </cell>
          <cell r="M15">
            <v>110.99400000000001</v>
          </cell>
          <cell r="O15">
            <v>7919.6893340000006</v>
          </cell>
          <cell r="P15">
            <v>9311.655318000001</v>
          </cell>
          <cell r="R15">
            <v>10426.252671999999</v>
          </cell>
          <cell r="T15">
            <v>1013.2265303474408</v>
          </cell>
          <cell r="U15">
            <v>864.19810400000017</v>
          </cell>
          <cell r="W15">
            <v>1715.5422469999999</v>
          </cell>
        </row>
        <row r="16">
          <cell r="J16">
            <v>128</v>
          </cell>
          <cell r="K16">
            <v>141.1165</v>
          </cell>
          <cell r="M16">
            <v>156.53100000000001</v>
          </cell>
          <cell r="O16">
            <v>12884.621500000001</v>
          </cell>
          <cell r="P16">
            <v>14326.785599999999</v>
          </cell>
          <cell r="R16">
            <v>14905.569319999999</v>
          </cell>
          <cell r="T16">
            <v>2073.9599765547723</v>
          </cell>
          <cell r="U16">
            <v>2209.9365250000001</v>
          </cell>
          <cell r="W16">
            <v>2956.852335999999</v>
          </cell>
        </row>
        <row r="17">
          <cell r="J17">
            <v>125</v>
          </cell>
          <cell r="K17">
            <v>126.05199999999999</v>
          </cell>
          <cell r="M17">
            <v>158.75699999999998</v>
          </cell>
          <cell r="O17">
            <v>12222.380000000001</v>
          </cell>
          <cell r="P17">
            <v>12757.315702</v>
          </cell>
          <cell r="R17">
            <v>14794.4195</v>
          </cell>
          <cell r="T17">
            <v>2116.0415979926156</v>
          </cell>
          <cell r="U17">
            <v>1978.4149759999998</v>
          </cell>
          <cell r="W17">
            <v>2852.3597740000005</v>
          </cell>
        </row>
        <row r="18">
          <cell r="J18">
            <v>64</v>
          </cell>
          <cell r="K18">
            <v>82.527000000000001</v>
          </cell>
          <cell r="M18">
            <v>71.655500000000004</v>
          </cell>
          <cell r="O18">
            <v>6400.7602400000005</v>
          </cell>
          <cell r="P18">
            <v>8651.6029920000001</v>
          </cell>
          <cell r="R18">
            <v>6784.4069499999996</v>
          </cell>
          <cell r="T18">
            <v>314.66875534556635</v>
          </cell>
          <cell r="U18">
            <v>1001.9594010000003</v>
          </cell>
          <cell r="W18">
            <v>541.41678600000012</v>
          </cell>
        </row>
        <row r="19">
          <cell r="J19">
            <v>172</v>
          </cell>
          <cell r="K19">
            <v>208.56699999999998</v>
          </cell>
          <cell r="M19">
            <v>199.46300000000002</v>
          </cell>
          <cell r="O19">
            <v>17371.9899</v>
          </cell>
          <cell r="P19">
            <v>21181.423341000002</v>
          </cell>
          <cell r="R19">
            <v>19091.195283000001</v>
          </cell>
          <cell r="T19">
            <v>2499.5151598237271</v>
          </cell>
          <cell r="U19">
            <v>3107.8736519999998</v>
          </cell>
          <cell r="W19">
            <v>3275.832218</v>
          </cell>
        </row>
        <row r="20">
          <cell r="J20">
            <v>92</v>
          </cell>
          <cell r="K20">
            <v>65.377499999999984</v>
          </cell>
          <cell r="M20">
            <v>84.590500000000006</v>
          </cell>
          <cell r="O20">
            <v>9452.3902170000001</v>
          </cell>
          <cell r="P20">
            <v>6264.3745409999992</v>
          </cell>
          <cell r="R20">
            <v>8280.0261220000011</v>
          </cell>
          <cell r="T20">
            <v>1497.4550527107306</v>
          </cell>
          <cell r="U20">
            <v>415.81929500000007</v>
          </cell>
          <cell r="W20">
            <v>1309.7125320000002</v>
          </cell>
        </row>
        <row r="21">
          <cell r="J21">
            <v>52</v>
          </cell>
          <cell r="K21">
            <v>68.680499999999995</v>
          </cell>
          <cell r="M21">
            <v>62.908999999999999</v>
          </cell>
          <cell r="O21">
            <v>5669.5403689999994</v>
          </cell>
          <cell r="P21">
            <v>7767.1513359999999</v>
          </cell>
          <cell r="R21">
            <v>6150.4851660000004</v>
          </cell>
          <cell r="T21">
            <v>1401.1828744716763</v>
          </cell>
          <cell r="U21">
            <v>2170.0630970000002</v>
          </cell>
          <cell r="W21">
            <v>1420.807462</v>
          </cell>
        </row>
        <row r="22">
          <cell r="J22">
            <v>41</v>
          </cell>
          <cell r="K22">
            <v>45.013999999999996</v>
          </cell>
          <cell r="M22">
            <v>35.439</v>
          </cell>
          <cell r="O22">
            <v>4423.8999999999996</v>
          </cell>
          <cell r="P22">
            <v>5058.3483900000001</v>
          </cell>
          <cell r="R22">
            <v>3591.2763180000002</v>
          </cell>
          <cell r="T22">
            <v>722.39339103056386</v>
          </cell>
          <cell r="U22">
            <v>1021.564077</v>
          </cell>
          <cell r="W22">
            <v>566.404045</v>
          </cell>
        </row>
        <row r="23">
          <cell r="J23">
            <v>43</v>
          </cell>
          <cell r="K23">
            <v>29.35</v>
          </cell>
          <cell r="M23">
            <v>57.8125</v>
          </cell>
          <cell r="O23">
            <v>5450.6000000000013</v>
          </cell>
          <cell r="P23">
            <v>3683.8083449999999</v>
          </cell>
          <cell r="R23">
            <v>6897.0456880000002</v>
          </cell>
          <cell r="T23">
            <v>804.27819699719066</v>
          </cell>
          <cell r="U23">
            <v>365.92274499999996</v>
          </cell>
          <cell r="W23">
            <v>1426.4788620000002</v>
          </cell>
        </row>
        <row r="28">
          <cell r="J28">
            <v>56800</v>
          </cell>
          <cell r="K28">
            <v>70612.716</v>
          </cell>
          <cell r="M28">
            <v>62565.216000000008</v>
          </cell>
          <cell r="O28">
            <v>69466.623157894748</v>
          </cell>
          <cell r="P28">
            <v>70211.565195999996</v>
          </cell>
          <cell r="R28">
            <v>75631.463227999993</v>
          </cell>
          <cell r="T28">
            <v>778.9791234315876</v>
          </cell>
          <cell r="U28">
            <v>455.077572000001</v>
          </cell>
          <cell r="W28">
            <v>686.33396500000231</v>
          </cell>
        </row>
        <row r="29">
          <cell r="J29">
            <v>185.93305222793387</v>
          </cell>
          <cell r="K29">
            <v>160.56399999999999</v>
          </cell>
          <cell r="M29">
            <v>195.773</v>
          </cell>
          <cell r="O29">
            <v>5478.1131649196868</v>
          </cell>
          <cell r="P29">
            <v>4760.6780799999997</v>
          </cell>
          <cell r="R29">
            <v>5765.3928999999998</v>
          </cell>
          <cell r="T29">
            <v>257.82530182756386</v>
          </cell>
          <cell r="U29">
            <v>308.88633444818709</v>
          </cell>
          <cell r="W29">
            <v>261.71088301999998</v>
          </cell>
        </row>
        <row r="30">
          <cell r="J30">
            <v>226.16146354666668</v>
          </cell>
          <cell r="K30">
            <v>167.48</v>
          </cell>
          <cell r="M30">
            <v>268.572</v>
          </cell>
          <cell r="O30">
            <v>2874.5269532000002</v>
          </cell>
          <cell r="P30">
            <v>2360.0240000000003</v>
          </cell>
          <cell r="R30">
            <v>3185.0439999999999</v>
          </cell>
          <cell r="T30">
            <v>591.43535447112242</v>
          </cell>
          <cell r="U30">
            <v>114.95376736593956</v>
          </cell>
          <cell r="W30">
            <v>572.07305900000017</v>
          </cell>
        </row>
        <row r="31">
          <cell r="J31">
            <v>329.89449780538064</v>
          </cell>
          <cell r="K31">
            <v>279.22000000000003</v>
          </cell>
          <cell r="M31">
            <v>27.628</v>
          </cell>
          <cell r="O31">
            <v>5929.8557340124125</v>
          </cell>
          <cell r="P31">
            <v>5123.3379999999997</v>
          </cell>
          <cell r="R31">
            <v>480.54700000000003</v>
          </cell>
          <cell r="T31">
            <v>224.89018315570968</v>
          </cell>
          <cell r="U31">
            <v>35.102993740000144</v>
          </cell>
          <cell r="W31">
            <v>-362.90144399000008</v>
          </cell>
        </row>
        <row r="33">
          <cell r="O33">
            <v>726.72000000000014</v>
          </cell>
          <cell r="P33">
            <v>726.72000000000014</v>
          </cell>
          <cell r="R33">
            <v>657.97000000000014</v>
          </cell>
          <cell r="T33">
            <v>522.43357000000003</v>
          </cell>
          <cell r="U33">
            <v>480.78375799999998</v>
          </cell>
          <cell r="W33">
            <v>444.643708</v>
          </cell>
        </row>
        <row r="34">
          <cell r="O34">
            <v>578.38000266666666</v>
          </cell>
          <cell r="P34">
            <v>583.33096</v>
          </cell>
          <cell r="R34">
            <v>757.78065100000003</v>
          </cell>
          <cell r="T34">
            <v>521.48961166666663</v>
          </cell>
          <cell r="U34">
            <v>527.61157600000001</v>
          </cell>
          <cell r="W34">
            <v>488.22142200000002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-11401.250283937716</v>
          </cell>
          <cell r="U35">
            <v>-11523.192570549889</v>
          </cell>
          <cell r="W35">
            <v>-9295.3503529999998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250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-975.50771499999996</v>
          </cell>
          <cell r="W37">
            <v>-1247.069137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-268.27846655567708</v>
          </cell>
          <cell r="U38">
            <v>-336.47023799999999</v>
          </cell>
          <cell r="W38">
            <v>-73.835493</v>
          </cell>
        </row>
        <row r="39">
          <cell r="O39">
            <v>14.159999999999998</v>
          </cell>
          <cell r="P39">
            <v>13.850000000000003</v>
          </cell>
          <cell r="R39">
            <v>-20.043999999992554</v>
          </cell>
          <cell r="T39">
            <v>-485.27590600000838</v>
          </cell>
          <cell r="U39">
            <v>-193.17740200000233</v>
          </cell>
          <cell r="W39">
            <v>-191.93176399999066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2263</v>
          </cell>
          <cell r="K46">
            <v>2292.4292</v>
          </cell>
          <cell r="M46">
            <v>2534.8145</v>
          </cell>
          <cell r="O46">
            <v>315300.86258355132</v>
          </cell>
          <cell r="P46">
            <v>315954.44274199998</v>
          </cell>
          <cell r="R46">
            <v>330654.70386700006</v>
          </cell>
          <cell r="T46">
            <v>24371.312049985856</v>
          </cell>
          <cell r="U46">
            <v>15543.19798801423</v>
          </cell>
          <cell r="W46">
            <v>29401.160377020009</v>
          </cell>
        </row>
      </sheetData>
      <sheetData sheetId="4"/>
      <sheetData sheetId="5"/>
      <sheetData sheetId="6"/>
      <sheetData sheetId="7"/>
      <sheetData sheetId="8">
        <row r="10">
          <cell r="K10">
            <v>56800</v>
          </cell>
          <cell r="L10">
            <v>70612.716</v>
          </cell>
          <cell r="N10">
            <v>62565.216000000008</v>
          </cell>
        </row>
        <row r="12">
          <cell r="K12">
            <v>55490000</v>
          </cell>
          <cell r="L12">
            <v>58726088.56000001</v>
          </cell>
          <cell r="N12">
            <v>64904795.441</v>
          </cell>
        </row>
        <row r="13">
          <cell r="K13">
            <v>13976623.157894742</v>
          </cell>
          <cell r="L13">
            <v>11485476.635999998</v>
          </cell>
          <cell r="N13">
            <v>10726667.786999999</v>
          </cell>
        </row>
        <row r="15">
          <cell r="K15">
            <v>54199095</v>
          </cell>
          <cell r="L15">
            <v>57456801.966000006</v>
          </cell>
          <cell r="N15">
            <v>63562261.761</v>
          </cell>
        </row>
        <row r="16">
          <cell r="K16">
            <v>13490516.204463154</v>
          </cell>
          <cell r="L16">
            <v>11199986.946000002</v>
          </cell>
          <cell r="N16">
            <v>10460690.009999998</v>
          </cell>
        </row>
        <row r="24">
          <cell r="K24">
            <v>665460.93999999994</v>
          </cell>
          <cell r="L24">
            <v>709046.68099999998</v>
          </cell>
          <cell r="N24">
            <v>634307.17100000009</v>
          </cell>
        </row>
        <row r="25">
          <cell r="K25">
            <v>332571.89</v>
          </cell>
          <cell r="L25">
            <v>390652.03099999996</v>
          </cell>
          <cell r="N25">
            <v>287870.321</v>
          </cell>
        </row>
        <row r="36">
          <cell r="K36">
            <v>778979.12343158759</v>
          </cell>
          <cell r="L36">
            <v>455077.57200000098</v>
          </cell>
          <cell r="N36">
            <v>686333.9650000023</v>
          </cell>
        </row>
      </sheetData>
      <sheetData sheetId="9"/>
      <sheetData sheetId="10">
        <row r="8">
          <cell r="G8">
            <v>86874.133333333331</v>
          </cell>
          <cell r="H8">
            <v>98732</v>
          </cell>
          <cell r="J8">
            <v>10087.330213333333</v>
          </cell>
          <cell r="K8">
            <v>2096</v>
          </cell>
          <cell r="M8">
            <v>0</v>
          </cell>
          <cell r="N8">
            <v>0</v>
          </cell>
          <cell r="S8">
            <v>85190.963967058196</v>
          </cell>
          <cell r="T8">
            <v>90724</v>
          </cell>
          <cell r="V8">
            <v>77703.533838322503</v>
          </cell>
          <cell r="W8">
            <v>96007</v>
          </cell>
          <cell r="Y8">
            <v>0</v>
          </cell>
          <cell r="Z8">
            <v>0</v>
          </cell>
          <cell r="AE8">
            <v>120933.05222793388</v>
          </cell>
          <cell r="AF8">
            <v>99529</v>
          </cell>
        </row>
        <row r="10">
          <cell r="G10">
            <v>13200</v>
          </cell>
          <cell r="H10">
            <v>52844</v>
          </cell>
          <cell r="J10">
            <v>28000</v>
          </cell>
          <cell r="K10">
            <v>13808</v>
          </cell>
          <cell r="M10">
            <v>88000</v>
          </cell>
          <cell r="N10">
            <v>0</v>
          </cell>
          <cell r="S10">
            <v>46000</v>
          </cell>
          <cell r="T10">
            <v>45056</v>
          </cell>
          <cell r="V10">
            <v>121000</v>
          </cell>
          <cell r="W10">
            <v>46192</v>
          </cell>
          <cell r="Y10">
            <v>0</v>
          </cell>
          <cell r="Z10">
            <v>1241</v>
          </cell>
          <cell r="AE10">
            <v>65000</v>
          </cell>
          <cell r="AF10">
            <v>61035</v>
          </cell>
        </row>
        <row r="12">
          <cell r="P12">
            <v>226161.46354666667</v>
          </cell>
          <cell r="Q12">
            <v>167480</v>
          </cell>
          <cell r="S12">
            <v>131190.9639670582</v>
          </cell>
          <cell r="T12">
            <v>135780</v>
          </cell>
          <cell r="V12">
            <v>198703.5338383225</v>
          </cell>
          <cell r="W12">
            <v>142199</v>
          </cell>
          <cell r="Y12">
            <v>0</v>
          </cell>
          <cell r="Z12">
            <v>1241</v>
          </cell>
          <cell r="AE12">
            <v>185933.05222793389</v>
          </cell>
          <cell r="AF12">
            <v>160564</v>
          </cell>
          <cell r="AL12">
            <v>741989.01357998117</v>
          </cell>
          <cell r="AM12">
            <v>607264</v>
          </cell>
        </row>
        <row r="13">
          <cell r="G13">
            <v>1337354.1333333333</v>
          </cell>
          <cell r="H13">
            <v>1603364</v>
          </cell>
          <cell r="J13">
            <v>173372.81986666666</v>
          </cell>
          <cell r="K13">
            <v>19824</v>
          </cell>
          <cell r="M13">
            <v>0</v>
          </cell>
          <cell r="N13">
            <v>0</v>
          </cell>
          <cell r="S13">
            <v>1363055.4234729311</v>
          </cell>
          <cell r="T13">
            <v>1538830</v>
          </cell>
          <cell r="V13">
            <v>1715800.3105394819</v>
          </cell>
          <cell r="W13">
            <v>2113004.5</v>
          </cell>
          <cell r="Y13">
            <v>0</v>
          </cell>
          <cell r="Z13">
            <v>0</v>
          </cell>
          <cell r="AE13">
            <v>3547613.1649196865</v>
          </cell>
          <cell r="AF13">
            <v>2950410.08</v>
          </cell>
        </row>
        <row r="15">
          <cell r="G15">
            <v>151800</v>
          </cell>
          <cell r="H15">
            <v>619732</v>
          </cell>
          <cell r="J15">
            <v>420000</v>
          </cell>
          <cell r="K15">
            <v>117104</v>
          </cell>
          <cell r="M15">
            <v>792000</v>
          </cell>
          <cell r="N15">
            <v>0</v>
          </cell>
          <cell r="S15">
            <v>552000</v>
          </cell>
          <cell r="T15">
            <v>585728</v>
          </cell>
          <cell r="V15">
            <v>2299000</v>
          </cell>
          <cell r="W15">
            <v>851648</v>
          </cell>
          <cell r="Y15">
            <v>0</v>
          </cell>
          <cell r="Z15">
            <v>34127.5</v>
          </cell>
          <cell r="AE15">
            <v>1930500</v>
          </cell>
          <cell r="AF15">
            <v>1810268</v>
          </cell>
        </row>
        <row r="17">
          <cell r="AL17">
            <v>14282495.852132099</v>
          </cell>
          <cell r="AM17">
            <v>12244040.08</v>
          </cell>
        </row>
        <row r="18">
          <cell r="G18">
            <v>251052.30533270081</v>
          </cell>
          <cell r="H18">
            <v>152007.26137924445</v>
          </cell>
          <cell r="J18">
            <v>67935.159485843702</v>
          </cell>
          <cell r="K18">
            <v>8957.9034389485114</v>
          </cell>
          <cell r="M18">
            <v>0</v>
          </cell>
          <cell r="N18">
            <v>0</v>
          </cell>
          <cell r="S18">
            <v>-104357.92846912914</v>
          </cell>
          <cell r="T18">
            <v>-119406.69906164418</v>
          </cell>
          <cell r="V18">
            <v>368113.05121414969</v>
          </cell>
          <cell r="W18">
            <v>354949.1252420235</v>
          </cell>
          <cell r="Y18">
            <v>0</v>
          </cell>
          <cell r="Z18">
            <v>0</v>
          </cell>
          <cell r="AE18">
            <v>164408.19513330929</v>
          </cell>
          <cell r="AF18">
            <v>304485.65600000002</v>
          </cell>
        </row>
        <row r="19">
          <cell r="G19">
            <v>12228.466905836787</v>
          </cell>
          <cell r="H19">
            <v>-84060.435527423484</v>
          </cell>
          <cell r="J19">
            <v>122367.04512587372</v>
          </cell>
          <cell r="K19">
            <v>38049.038075170065</v>
          </cell>
          <cell r="M19">
            <v>137852.37762086728</v>
          </cell>
          <cell r="N19">
            <v>0</v>
          </cell>
          <cell r="S19">
            <v>-240102.66311453021</v>
          </cell>
          <cell r="T19">
            <v>-224502.25036843476</v>
          </cell>
          <cell r="V19">
            <v>201237.72352521948</v>
          </cell>
          <cell r="W19">
            <v>19249.441865488763</v>
          </cell>
          <cell r="Y19">
            <v>0</v>
          </cell>
          <cell r="Z19">
            <v>4813.3760625666546</v>
          </cell>
          <cell r="AE19">
            <v>93417.106694254748</v>
          </cell>
          <cell r="AF19">
            <v>4400.6784481871073</v>
          </cell>
        </row>
        <row r="20">
          <cell r="AL20">
            <v>1074150.8394543959</v>
          </cell>
          <cell r="AM20">
            <v>458943.09555412683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85190.963967058196</v>
          </cell>
          <cell r="T21">
            <v>81844</v>
          </cell>
          <cell r="V21">
            <v>59858.291902838617</v>
          </cell>
          <cell r="W21">
            <v>58583</v>
          </cell>
          <cell r="Y21">
            <v>0</v>
          </cell>
          <cell r="Z21">
            <v>0</v>
          </cell>
          <cell r="AE21">
            <v>33786.849430731061</v>
          </cell>
          <cell r="AF21">
            <v>35593</v>
          </cell>
        </row>
        <row r="22">
          <cell r="G22">
            <v>78102.133333333331</v>
          </cell>
          <cell r="H22">
            <v>84316</v>
          </cell>
          <cell r="J22">
            <v>6029.4666666666662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8880</v>
          </cell>
          <cell r="V22">
            <v>17845.241935483875</v>
          </cell>
          <cell r="W22">
            <v>33616</v>
          </cell>
          <cell r="Y22">
            <v>0</v>
          </cell>
          <cell r="Z22">
            <v>0</v>
          </cell>
          <cell r="AE22">
            <v>28422.601398601397</v>
          </cell>
          <cell r="AF22">
            <v>19424</v>
          </cell>
        </row>
        <row r="23">
          <cell r="G23">
            <v>5201.333333333333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E23">
            <v>18202.797202797203</v>
          </cell>
          <cell r="AF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3568</v>
          </cell>
          <cell r="Y24">
            <v>0</v>
          </cell>
          <cell r="Z24">
            <v>0</v>
          </cell>
          <cell r="AE24">
            <v>31961.958041958045</v>
          </cell>
          <cell r="AF24">
            <v>0</v>
          </cell>
        </row>
        <row r="25">
          <cell r="G25">
            <v>0</v>
          </cell>
          <cell r="H25">
            <v>0</v>
          </cell>
          <cell r="J25">
            <v>1992.7968799999999</v>
          </cell>
          <cell r="K25">
            <v>1216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Y25">
            <v>0</v>
          </cell>
          <cell r="Z25">
            <v>0</v>
          </cell>
          <cell r="AE25">
            <v>8558.8461538461524</v>
          </cell>
          <cell r="AF25">
            <v>16080</v>
          </cell>
        </row>
        <row r="26">
          <cell r="G26">
            <v>3570.6666666666665</v>
          </cell>
          <cell r="H26">
            <v>3504</v>
          </cell>
          <cell r="J26">
            <v>2065.0666666666666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E26">
            <v>0</v>
          </cell>
          <cell r="AF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1363055.4234729311</v>
          </cell>
          <cell r="T35">
            <v>1432270</v>
          </cell>
          <cell r="V35">
            <v>1376740.7137652885</v>
          </cell>
          <cell r="W35">
            <v>1376700.5</v>
          </cell>
          <cell r="AE35">
            <v>1067693.874709896</v>
          </cell>
          <cell r="AF35">
            <v>1151786.3999999999</v>
          </cell>
        </row>
        <row r="36">
          <cell r="G36">
            <v>1249634.1333333333</v>
          </cell>
          <cell r="H36">
            <v>1433372</v>
          </cell>
          <cell r="J36">
            <v>112504.86666666664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106560</v>
          </cell>
          <cell r="V36">
            <v>339059.59677419357</v>
          </cell>
          <cell r="W36">
            <v>664960</v>
          </cell>
          <cell r="AE36">
            <v>795832.83916083921</v>
          </cell>
          <cell r="AF36">
            <v>543967.34400000004</v>
          </cell>
        </row>
        <row r="37">
          <cell r="G37">
            <v>52013.333333333328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500576.92307692306</v>
          </cell>
          <cell r="AF37">
            <v>453743.93599999999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66784</v>
          </cell>
          <cell r="AE38">
            <v>935697.90209790214</v>
          </cell>
          <cell r="AF38">
            <v>768584.4</v>
          </cell>
        </row>
        <row r="39">
          <cell r="G39">
            <v>0</v>
          </cell>
          <cell r="H39">
            <v>0</v>
          </cell>
          <cell r="J39">
            <v>29891.9532</v>
          </cell>
          <cell r="K39">
            <v>10944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E39">
            <v>247811.62587412586</v>
          </cell>
          <cell r="AF39">
            <v>32328</v>
          </cell>
        </row>
        <row r="40">
          <cell r="G40">
            <v>35706.666666666664</v>
          </cell>
          <cell r="H40">
            <v>40296</v>
          </cell>
          <cell r="J40">
            <v>30976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288500</v>
          </cell>
          <cell r="U5">
            <v>236284.3</v>
          </cell>
        </row>
        <row r="9">
          <cell r="E9">
            <v>232.8790696127289</v>
          </cell>
          <cell r="F9">
            <v>248.12832251635439</v>
          </cell>
          <cell r="G9">
            <v>100523.77286104456</v>
          </cell>
          <cell r="H9">
            <v>100097.1537636783</v>
          </cell>
        </row>
        <row r="10">
          <cell r="E10">
            <v>25.770159394813419</v>
          </cell>
          <cell r="F10">
            <v>33.009507864453134</v>
          </cell>
          <cell r="G10">
            <v>91582.423142057291</v>
          </cell>
          <cell r="H10">
            <v>93858.718675121039</v>
          </cell>
        </row>
        <row r="11">
          <cell r="E11">
            <v>0</v>
          </cell>
          <cell r="F11">
            <v>0</v>
          </cell>
        </row>
        <row r="12">
          <cell r="E12">
            <v>55.616931648141041</v>
          </cell>
          <cell r="F12">
            <v>51.449180746496289</v>
          </cell>
          <cell r="G12">
            <v>64040.088292082699</v>
          </cell>
          <cell r="H12">
            <v>63274.935009161178</v>
          </cell>
        </row>
        <row r="13">
          <cell r="E13">
            <v>38.36380686265079</v>
          </cell>
          <cell r="F13">
            <v>33.396611116818718</v>
          </cell>
          <cell r="G13">
            <v>40522.440611377489</v>
          </cell>
          <cell r="H13">
            <v>36166.644330584088</v>
          </cell>
        </row>
        <row r="14">
          <cell r="E14">
            <v>0</v>
          </cell>
          <cell r="F14">
            <v>0</v>
          </cell>
        </row>
        <row r="15">
          <cell r="E15">
            <v>352.62996751833413</v>
          </cell>
          <cell r="F15">
            <v>365.98362224412256</v>
          </cell>
        </row>
        <row r="16">
          <cell r="E16">
            <v>821.25085957725378</v>
          </cell>
          <cell r="F16">
            <v>824.97165022663467</v>
          </cell>
          <cell r="G16">
            <v>12798.143626475945</v>
          </cell>
          <cell r="H16">
            <v>12939.586132603978</v>
          </cell>
        </row>
        <row r="17">
          <cell r="E17">
            <v>905.12531693433039</v>
          </cell>
          <cell r="F17">
            <v>894.80819892333329</v>
          </cell>
          <cell r="G17">
            <v>15821.666910870123</v>
          </cell>
          <cell r="H17">
            <v>15711.374391481071</v>
          </cell>
        </row>
        <row r="19">
          <cell r="E19">
            <v>3.1741358505268575</v>
          </cell>
          <cell r="F19">
            <v>3.0116393821744127</v>
          </cell>
        </row>
        <row r="20">
          <cell r="Q20">
            <v>58235.896077228346</v>
          </cell>
          <cell r="R20">
            <v>59729.41461478069</v>
          </cell>
        </row>
        <row r="21">
          <cell r="Q21">
            <v>17980.538883622947</v>
          </cell>
          <cell r="R21">
            <v>17738.439898649747</v>
          </cell>
        </row>
        <row r="22">
          <cell r="Q22">
            <v>197.89428076256499</v>
          </cell>
          <cell r="R22">
            <v>189.64988248664105</v>
          </cell>
        </row>
        <row r="50">
          <cell r="Q50">
            <v>83367.320635033626</v>
          </cell>
          <cell r="R50">
            <v>87503.481853814985</v>
          </cell>
        </row>
        <row r="56">
          <cell r="L56">
            <v>-911502.15355772467</v>
          </cell>
        </row>
        <row r="61">
          <cell r="T61">
            <v>102401.42200366962</v>
          </cell>
          <cell r="U61">
            <v>99989.728432119533</v>
          </cell>
        </row>
        <row r="80">
          <cell r="H80">
            <v>708541.64</v>
          </cell>
          <cell r="I80">
            <v>865034.22699999996</v>
          </cell>
          <cell r="L80">
            <v>-156492.587</v>
          </cell>
        </row>
        <row r="85">
          <cell r="H85">
            <v>327386.56033415708</v>
          </cell>
          <cell r="I85">
            <v>404173.37221000006</v>
          </cell>
          <cell r="L85">
            <v>-76786.811875842963</v>
          </cell>
          <cell r="Q85">
            <v>102401.42200366962</v>
          </cell>
          <cell r="R85">
            <v>99989.728432119533</v>
          </cell>
        </row>
        <row r="86">
          <cell r="H86">
            <v>4455410.044517328</v>
          </cell>
          <cell r="I86">
            <v>1732735.390000002</v>
          </cell>
          <cell r="K86">
            <v>-566912.70798520744</v>
          </cell>
          <cell r="M86">
            <v>-1010980.3940985464</v>
          </cell>
        </row>
        <row r="89">
          <cell r="Q89">
            <v>76414.329241613872</v>
          </cell>
          <cell r="R89">
            <v>77657.504395917087</v>
          </cell>
        </row>
        <row r="90">
          <cell r="Q90">
            <v>25987.092762055749</v>
          </cell>
          <cell r="R90">
            <v>22332.224036202446</v>
          </cell>
        </row>
      </sheetData>
      <sheetData sheetId="1">
        <row r="5">
          <cell r="T5">
            <v>114500</v>
          </cell>
          <cell r="U5">
            <v>75634.8</v>
          </cell>
        </row>
        <row r="9">
          <cell r="E9">
            <v>256.0952838427948</v>
          </cell>
          <cell r="F9">
            <v>270.25872844314375</v>
          </cell>
          <cell r="G9">
            <v>99999.999999999985</v>
          </cell>
          <cell r="H9">
            <v>99833.067074643943</v>
          </cell>
        </row>
        <row r="10">
          <cell r="E10">
            <v>7.4981659388646289</v>
          </cell>
          <cell r="F10">
            <v>12.118521698407745</v>
          </cell>
          <cell r="G10">
            <v>91874.030330561189</v>
          </cell>
          <cell r="H10">
            <v>96735.836384253547</v>
          </cell>
        </row>
        <row r="11">
          <cell r="E11">
            <v>0</v>
          </cell>
          <cell r="F11">
            <v>0</v>
          </cell>
        </row>
        <row r="12">
          <cell r="E12">
            <v>49.607641921397374</v>
          </cell>
          <cell r="F12">
            <v>56.197745360546548</v>
          </cell>
          <cell r="G12">
            <v>64287.942940894267</v>
          </cell>
          <cell r="H12">
            <v>63584.369727036865</v>
          </cell>
        </row>
        <row r="13">
          <cell r="E13">
            <v>42.927816593886469</v>
          </cell>
          <cell r="F13">
            <v>34.403380437831046</v>
          </cell>
          <cell r="G13">
            <v>45161.131665118752</v>
          </cell>
          <cell r="H13">
            <v>34884.32047470352</v>
          </cell>
        </row>
        <row r="14">
          <cell r="E14">
            <v>0</v>
          </cell>
          <cell r="F14">
            <v>0</v>
          </cell>
        </row>
        <row r="15">
          <cell r="E15">
            <v>356.12890829694328</v>
          </cell>
          <cell r="F15">
            <v>372.97837593992909</v>
          </cell>
        </row>
        <row r="16">
          <cell r="E16">
            <v>846.25624454148476</v>
          </cell>
          <cell r="F16">
            <v>870.02235477068655</v>
          </cell>
          <cell r="G16">
            <v>15343.188800182408</v>
          </cell>
          <cell r="H16">
            <v>16042.516092174044</v>
          </cell>
        </row>
        <row r="17">
          <cell r="E17">
            <v>887.42519650655015</v>
          </cell>
          <cell r="F17">
            <v>845.2858068045316</v>
          </cell>
          <cell r="G17">
            <v>14762.227057173797</v>
          </cell>
          <cell r="H17">
            <v>14376.139941412594</v>
          </cell>
        </row>
        <row r="19">
          <cell r="E19">
            <v>3.07576384279476</v>
          </cell>
          <cell r="F19">
            <v>2.8388232430401574</v>
          </cell>
        </row>
        <row r="20">
          <cell r="Q20">
            <v>59952.693927144988</v>
          </cell>
          <cell r="R20">
            <v>61466.513715954854</v>
          </cell>
        </row>
        <row r="21">
          <cell r="Q21">
            <v>17719.580164578827</v>
          </cell>
          <cell r="R21">
            <v>17808.79994655434</v>
          </cell>
        </row>
        <row r="22">
          <cell r="Q22">
            <v>223.51528384279476</v>
          </cell>
          <cell r="R22">
            <v>204.57785868121519</v>
          </cell>
        </row>
        <row r="50">
          <cell r="Q50">
            <v>83666.023580955109</v>
          </cell>
          <cell r="R50">
            <v>89183.680183302728</v>
          </cell>
        </row>
        <row r="56">
          <cell r="L56">
            <v>-416043.23879902356</v>
          </cell>
        </row>
        <row r="61">
          <cell r="T61">
            <v>100857.86676033787</v>
          </cell>
          <cell r="U61">
            <v>97749.491475587041</v>
          </cell>
        </row>
        <row r="80">
          <cell r="H80">
            <v>245627.64</v>
          </cell>
          <cell r="I80">
            <v>278746.94500000001</v>
          </cell>
          <cell r="L80">
            <v>-33119.305000000008</v>
          </cell>
        </row>
        <row r="85">
          <cell r="H85">
            <v>101205.0454616889</v>
          </cell>
          <cell r="I85">
            <v>99974.061020000008</v>
          </cell>
          <cell r="L85">
            <v>1230.9844416888891</v>
          </cell>
          <cell r="Q85">
            <v>100857.86676033787</v>
          </cell>
          <cell r="R85">
            <v>97749.491475587041</v>
          </cell>
        </row>
        <row r="86">
          <cell r="H86">
            <v>1621633.3585776349</v>
          </cell>
          <cell r="I86">
            <v>268927.04800000152</v>
          </cell>
          <cell r="K86">
            <v>-234684.82069891543</v>
          </cell>
          <cell r="M86">
            <v>-670089.93052138388</v>
          </cell>
        </row>
        <row r="89">
          <cell r="Q89">
            <v>77895.789375566601</v>
          </cell>
          <cell r="R89">
            <v>79479.89152119041</v>
          </cell>
        </row>
        <row r="90">
          <cell r="Q90">
            <v>22962.07738477127</v>
          </cell>
          <cell r="R90">
            <v>18269.599954396632</v>
          </cell>
        </row>
      </sheetData>
      <sheetData sheetId="2">
        <row r="5">
          <cell r="T5">
            <v>120000</v>
          </cell>
          <cell r="U5">
            <v>111844</v>
          </cell>
        </row>
        <row r="9">
          <cell r="E9">
            <v>202.04601319393566</v>
          </cell>
          <cell r="F9">
            <v>225.6383221428699</v>
          </cell>
          <cell r="G9">
            <v>100000</v>
          </cell>
          <cell r="H9">
            <v>99991.049907417808</v>
          </cell>
        </row>
        <row r="10">
          <cell r="E10">
            <v>45.820091545030593</v>
          </cell>
          <cell r="F10">
            <v>49.689743717608522</v>
          </cell>
          <cell r="G10">
            <v>92100</v>
          </cell>
          <cell r="H10">
            <v>92627.637238319847</v>
          </cell>
        </row>
        <row r="11">
          <cell r="E11">
            <v>0</v>
          </cell>
          <cell r="F11">
            <v>0</v>
          </cell>
        </row>
        <row r="12">
          <cell r="E12">
            <v>63.070581504072422</v>
          </cell>
          <cell r="F12">
            <v>52.391375180323777</v>
          </cell>
          <cell r="G12">
            <v>63615.154515511167</v>
          </cell>
          <cell r="H12">
            <v>62551.462075380587</v>
          </cell>
        </row>
        <row r="13">
          <cell r="E13">
            <v>38.808860665622944</v>
          </cell>
          <cell r="F13">
            <v>34.432229336230385</v>
          </cell>
          <cell r="G13">
            <v>35533.441815263235</v>
          </cell>
          <cell r="H13">
            <v>35518.630913905472</v>
          </cell>
        </row>
        <row r="14">
          <cell r="E14">
            <v>0</v>
          </cell>
          <cell r="F14">
            <v>0</v>
          </cell>
        </row>
        <row r="15">
          <cell r="E15">
            <v>349.74554690866165</v>
          </cell>
          <cell r="F15">
            <v>362.15167037703259</v>
          </cell>
        </row>
        <row r="16">
          <cell r="E16">
            <v>803.94060823364782</v>
          </cell>
          <cell r="F16">
            <v>797.53941493169953</v>
          </cell>
          <cell r="G16">
            <v>10365.25852717749</v>
          </cell>
          <cell r="H16">
            <v>10811.886803333753</v>
          </cell>
        </row>
        <row r="17">
          <cell r="E17">
            <v>913.55874112961953</v>
          </cell>
          <cell r="F17">
            <v>910.49940458423134</v>
          </cell>
          <cell r="G17">
            <v>17359.129974509036</v>
          </cell>
          <cell r="H17">
            <v>17171.564463649567</v>
          </cell>
        </row>
        <row r="19">
          <cell r="E19">
            <v>3.3694569406416535</v>
          </cell>
          <cell r="F19">
            <v>3.144307823825891</v>
          </cell>
        </row>
        <row r="20">
          <cell r="Q20">
            <v>56672.36513046371</v>
          </cell>
          <cell r="R20">
            <v>58635.439642736288</v>
          </cell>
        </row>
        <row r="21">
          <cell r="Q21">
            <v>18140.350133232314</v>
          </cell>
          <cell r="R21">
            <v>18665.584462768707</v>
          </cell>
        </row>
        <row r="22">
          <cell r="Q22">
            <v>179.58333333333334</v>
          </cell>
          <cell r="R22">
            <v>182.81278384298921</v>
          </cell>
        </row>
        <row r="50">
          <cell r="Q50">
            <v>82665.36374504058</v>
          </cell>
          <cell r="R50">
            <v>87103.660385759329</v>
          </cell>
        </row>
        <row r="56">
          <cell r="L56">
            <v>-432043.81935794605</v>
          </cell>
        </row>
        <row r="61">
          <cell r="T61">
            <v>102384.24345833332</v>
          </cell>
          <cell r="U61">
            <v>99624.761690242362</v>
          </cell>
        </row>
        <row r="80">
          <cell r="H80">
            <v>348987.49</v>
          </cell>
          <cell r="I80">
            <v>434589.33600000001</v>
          </cell>
          <cell r="L80">
            <v>-85601.845999999976</v>
          </cell>
        </row>
        <row r="85">
          <cell r="H85">
            <v>153867.7304746763</v>
          </cell>
          <cell r="I85">
            <v>229366.95258000001</v>
          </cell>
          <cell r="L85">
            <v>-75499.222105323715</v>
          </cell>
          <cell r="Q85">
            <v>102384.24345833332</v>
          </cell>
          <cell r="R85">
            <v>99624.761690242362</v>
          </cell>
        </row>
        <row r="86">
          <cell r="H86">
            <v>1863410.3451204551</v>
          </cell>
          <cell r="I86">
            <v>790682.47000000102</v>
          </cell>
          <cell r="K86">
            <v>-306274.88144041586</v>
          </cell>
          <cell r="M86">
            <v>-173308.10621676769</v>
          </cell>
        </row>
        <row r="89">
          <cell r="Q89">
            <v>74992.298597029352</v>
          </cell>
          <cell r="R89">
            <v>77483.836889347993</v>
          </cell>
        </row>
        <row r="90">
          <cell r="Q90">
            <v>27391.944861303971</v>
          </cell>
          <cell r="R90">
            <v>22140.924800894369</v>
          </cell>
        </row>
      </sheetData>
      <sheetData sheetId="3">
        <row r="5">
          <cell r="T5">
            <v>54000</v>
          </cell>
          <cell r="U5">
            <v>48805.5</v>
          </cell>
        </row>
        <row r="9">
          <cell r="E9">
            <v>252.17000000000002</v>
          </cell>
          <cell r="F9">
            <v>265.66061701362133</v>
          </cell>
          <cell r="G9">
            <v>102584.23550250492</v>
          </cell>
          <cell r="H9">
            <v>100722.76640074023</v>
          </cell>
        </row>
        <row r="10">
          <cell r="E10">
            <v>19.958148148148148</v>
          </cell>
          <cell r="F10">
            <v>26.964979079928035</v>
          </cell>
          <cell r="G10">
            <v>88709.553324549517</v>
          </cell>
          <cell r="H10">
            <v>97087.004736688221</v>
          </cell>
        </row>
        <row r="11">
          <cell r="E11">
            <v>0</v>
          </cell>
          <cell r="F11">
            <v>0</v>
          </cell>
        </row>
        <row r="12">
          <cell r="E12">
            <v>51.795185185185183</v>
          </cell>
          <cell r="F12">
            <v>41.893707118992552</v>
          </cell>
          <cell r="G12">
            <v>64686.603931439364</v>
          </cell>
          <cell r="H12">
            <v>64718.799448674334</v>
          </cell>
        </row>
        <row r="13">
          <cell r="E13">
            <v>27.697407407407411</v>
          </cell>
          <cell r="F13">
            <v>29.440808429709588</v>
          </cell>
          <cell r="G13">
            <v>40812.497492745671</v>
          </cell>
          <cell r="H13">
            <v>40245.370135126694</v>
          </cell>
        </row>
        <row r="14">
          <cell r="E14">
            <v>0</v>
          </cell>
          <cell r="F14">
            <v>0</v>
          </cell>
        </row>
        <row r="15">
          <cell r="E15">
            <v>351.62074074074076</v>
          </cell>
          <cell r="F15">
            <v>363.96011164225149</v>
          </cell>
        </row>
        <row r="16">
          <cell r="E16">
            <v>806.69740740740735</v>
          </cell>
          <cell r="F16">
            <v>818.29298380878947</v>
          </cell>
          <cell r="G16">
            <v>12525.010158015102</v>
          </cell>
          <cell r="H16">
            <v>12600.258745506409</v>
          </cell>
        </row>
        <row r="17">
          <cell r="E17">
            <v>923.91518518518535</v>
          </cell>
          <cell r="F17">
            <v>935.5452068876898</v>
          </cell>
          <cell r="G17">
            <v>14601.063067890824</v>
          </cell>
          <cell r="H17">
            <v>14305.200869928691</v>
          </cell>
        </row>
        <row r="19">
          <cell r="E19">
            <v>2.948674074074074</v>
          </cell>
          <cell r="F19">
            <v>2.9739094320226154</v>
          </cell>
        </row>
        <row r="20">
          <cell r="Q20">
            <v>58070.161999382035</v>
          </cell>
          <cell r="R20">
            <v>59555.525962477514</v>
          </cell>
        </row>
        <row r="21">
          <cell r="Q21">
            <v>18178.731909130882</v>
          </cell>
          <cell r="R21">
            <v>15488.425967617579</v>
          </cell>
        </row>
        <row r="22">
          <cell r="Q22">
            <v>184.25925925925927</v>
          </cell>
          <cell r="R22">
            <v>182.23533281932669</v>
          </cell>
        </row>
        <row r="50">
          <cell r="Q50">
            <v>84293.863958943926</v>
          </cell>
          <cell r="R50">
            <v>85815.31151888975</v>
          </cell>
        </row>
        <row r="56">
          <cell r="L56">
            <v>-73763.820924400745</v>
          </cell>
        </row>
        <row r="61">
          <cell r="T61">
            <v>105712.50535185185</v>
          </cell>
          <cell r="U61">
            <v>104305.45775307498</v>
          </cell>
        </row>
        <row r="80">
          <cell r="H80">
            <v>113926.51000000001</v>
          </cell>
          <cell r="I80">
            <v>151697.946</v>
          </cell>
          <cell r="L80">
            <v>-37771.436000000002</v>
          </cell>
        </row>
        <row r="85">
          <cell r="H85">
            <v>72313.784397791867</v>
          </cell>
          <cell r="I85">
            <v>74832.358609999996</v>
          </cell>
          <cell r="L85">
            <v>-2518.5742122081379</v>
          </cell>
          <cell r="Q85">
            <v>105712.50535185185</v>
          </cell>
          <cell r="R85">
            <v>104305.45775307498</v>
          </cell>
        </row>
        <row r="86">
          <cell r="H86">
            <v>970366.34081923682</v>
          </cell>
          <cell r="I86">
            <v>673125.87200000044</v>
          </cell>
          <cell r="K86">
            <v>-68350.85472958356</v>
          </cell>
          <cell r="M86">
            <v>-114835.78295304341</v>
          </cell>
        </row>
        <row r="89">
          <cell r="Q89">
            <v>76433.15316777218</v>
          </cell>
          <cell r="R89">
            <v>75226.18726291442</v>
          </cell>
        </row>
        <row r="90">
          <cell r="Q90">
            <v>29279.352184079675</v>
          </cell>
          <cell r="R90">
            <v>29079.270490160561</v>
          </cell>
        </row>
      </sheetData>
      <sheetData sheetId="4" refreshError="1">
        <row r="2">
          <cell r="N2">
            <v>44000</v>
          </cell>
        </row>
        <row r="5">
          <cell r="T5">
            <v>44000</v>
          </cell>
          <cell r="U5">
            <v>28400</v>
          </cell>
        </row>
        <row r="9">
          <cell r="E9">
            <v>263.3</v>
          </cell>
          <cell r="F9">
            <v>285.04951544795546</v>
          </cell>
          <cell r="G9">
            <v>100000</v>
          </cell>
          <cell r="H9">
            <v>99732.752906966824</v>
          </cell>
        </row>
        <row r="10">
          <cell r="E10">
            <v>12</v>
          </cell>
          <cell r="F10">
            <v>10.499568935181928</v>
          </cell>
          <cell r="G10">
            <v>87100.000000000015</v>
          </cell>
          <cell r="H10">
            <v>102199.93682483638</v>
          </cell>
        </row>
        <row r="11">
          <cell r="E11">
            <v>0</v>
          </cell>
          <cell r="F11">
            <v>0</v>
          </cell>
        </row>
        <row r="12">
          <cell r="E12">
            <v>45</v>
          </cell>
          <cell r="F12">
            <v>57.082782743331713</v>
          </cell>
          <cell r="G12">
            <v>64000</v>
          </cell>
          <cell r="H12">
            <v>64150.691626714404</v>
          </cell>
        </row>
        <row r="13">
          <cell r="E13">
            <v>47.4</v>
          </cell>
          <cell r="F13">
            <v>36.704047786614119</v>
          </cell>
          <cell r="G13">
            <v>45000</v>
          </cell>
          <cell r="H13">
            <v>30260.373552655095</v>
          </cell>
        </row>
        <row r="14">
          <cell r="E14">
            <v>0</v>
          </cell>
          <cell r="F14">
            <v>0</v>
          </cell>
        </row>
        <row r="15">
          <cell r="E15">
            <v>367.7</v>
          </cell>
          <cell r="F15">
            <v>389.33591491308323</v>
          </cell>
        </row>
        <row r="16">
          <cell r="E16">
            <v>845</v>
          </cell>
          <cell r="F16">
            <v>904.38102611021168</v>
          </cell>
          <cell r="G16">
            <v>15333.333333333334</v>
          </cell>
          <cell r="H16">
            <v>16107.113308197835</v>
          </cell>
        </row>
        <row r="17">
          <cell r="E17">
            <v>880</v>
          </cell>
          <cell r="F17">
            <v>810.2957632486449</v>
          </cell>
          <cell r="G17">
            <v>15161.290322580648</v>
          </cell>
          <cell r="H17">
            <v>15469.316586604808</v>
          </cell>
        </row>
        <row r="19">
          <cell r="E19">
            <v>3.29</v>
          </cell>
          <cell r="F19">
            <v>2.980076008163838</v>
          </cell>
        </row>
        <row r="20">
          <cell r="Q20">
            <v>61468.497150537638</v>
          </cell>
          <cell r="R20">
            <v>64109.314026321343</v>
          </cell>
        </row>
        <row r="21">
          <cell r="Q21">
            <v>17102.218157894735</v>
          </cell>
          <cell r="R21">
            <v>17348.461925540149</v>
          </cell>
        </row>
        <row r="22">
          <cell r="Q22">
            <v>181.81818181818181</v>
          </cell>
          <cell r="R22">
            <v>192.73098036455769</v>
          </cell>
        </row>
        <row r="50">
          <cell r="Q50">
            <v>83310.669725732543</v>
          </cell>
          <cell r="R50">
            <v>89075.63438665634</v>
          </cell>
        </row>
        <row r="56">
          <cell r="L56">
            <v>-163741.52039919526</v>
          </cell>
        </row>
        <row r="80">
          <cell r="H80">
            <v>78571.28</v>
          </cell>
          <cell r="I80">
            <v>88953.674999999988</v>
          </cell>
          <cell r="L80">
            <v>-10382.395000000002</v>
          </cell>
        </row>
        <row r="85">
          <cell r="H85">
            <v>30236.577444444443</v>
          </cell>
          <cell r="I85">
            <v>29633.301390000001</v>
          </cell>
          <cell r="L85">
            <v>603.27605444444271</v>
          </cell>
          <cell r="Q85">
            <v>101215.30454545456</v>
          </cell>
          <cell r="R85">
            <v>100365.63091549296</v>
          </cell>
        </row>
        <row r="86">
          <cell r="H86">
            <v>678996.07462332374</v>
          </cell>
          <cell r="I86">
            <v>202032.40100000004</v>
          </cell>
          <cell r="K86">
            <v>-24130.731090909503</v>
          </cell>
          <cell r="M86">
            <v>-279312.3031876632</v>
          </cell>
        </row>
        <row r="89">
          <cell r="Q89">
            <v>78752.533490250556</v>
          </cell>
          <cell r="R89">
            <v>81650.506932226053</v>
          </cell>
        </row>
      </sheetData>
      <sheetData sheetId="5" refreshError="1">
        <row r="2">
          <cell r="N2">
            <v>30000</v>
          </cell>
        </row>
        <row r="5">
          <cell r="T5">
            <v>30000</v>
          </cell>
          <cell r="U5">
            <v>18327</v>
          </cell>
        </row>
        <row r="9">
          <cell r="E9">
            <v>265.97500000000002</v>
          </cell>
          <cell r="F9">
            <v>273.87700853307217</v>
          </cell>
          <cell r="G9">
            <v>100000</v>
          </cell>
          <cell r="H9">
            <v>99752.843736975105</v>
          </cell>
        </row>
        <row r="10">
          <cell r="E10">
            <v>11.018000000000001</v>
          </cell>
          <cell r="F10">
            <v>33.570954943203446</v>
          </cell>
          <cell r="G10">
            <v>99500</v>
          </cell>
          <cell r="H10">
            <v>94096.311634653975</v>
          </cell>
        </row>
        <row r="11">
          <cell r="E11">
            <v>0</v>
          </cell>
          <cell r="F11">
            <v>0</v>
          </cell>
        </row>
        <row r="12">
          <cell r="E12">
            <v>55.53</v>
          </cell>
          <cell r="F12">
            <v>58.924726343823068</v>
          </cell>
          <cell r="G12">
            <v>64500</v>
          </cell>
          <cell r="H12">
            <v>64489.360775041161</v>
          </cell>
        </row>
        <row r="13">
          <cell r="E13">
            <v>37.130000000000003</v>
          </cell>
          <cell r="F13">
            <v>27.403347464536097</v>
          </cell>
          <cell r="G13">
            <v>45000</v>
          </cell>
          <cell r="H13">
            <v>23300.706816950838</v>
          </cell>
        </row>
        <row r="14">
          <cell r="E14">
            <v>0</v>
          </cell>
          <cell r="F14">
            <v>0</v>
          </cell>
        </row>
        <row r="15">
          <cell r="E15">
            <v>369.65300000000002</v>
          </cell>
          <cell r="F15">
            <v>393.77603728463475</v>
          </cell>
        </row>
        <row r="16">
          <cell r="E16">
            <v>882.9319999999999</v>
          </cell>
          <cell r="F16">
            <v>895.35264498070603</v>
          </cell>
          <cell r="G16">
            <v>15733.333333333332</v>
          </cell>
          <cell r="H16">
            <v>16233.866581888471</v>
          </cell>
        </row>
        <row r="17">
          <cell r="E17">
            <v>847.25</v>
          </cell>
          <cell r="F17">
            <v>839.12159736942192</v>
          </cell>
          <cell r="G17">
            <v>15504.281856730095</v>
          </cell>
          <cell r="H17">
            <v>14760.637964628781</v>
          </cell>
        </row>
        <row r="19">
          <cell r="E19">
            <v>3.327</v>
          </cell>
          <cell r="F19">
            <v>3.0617968367846071</v>
          </cell>
        </row>
        <row r="20">
          <cell r="Q20">
            <v>62768.472269781247</v>
          </cell>
          <cell r="R20">
            <v>64421.021740311968</v>
          </cell>
        </row>
        <row r="21">
          <cell r="Q21">
            <v>17611.738996563574</v>
          </cell>
          <cell r="R21">
            <v>17896.88667862384</v>
          </cell>
        </row>
        <row r="22">
          <cell r="Q22">
            <v>366.66666666666663</v>
          </cell>
          <cell r="R22">
            <v>335.96809609217894</v>
          </cell>
        </row>
        <row r="50">
          <cell r="Q50">
            <v>87504.801109340609</v>
          </cell>
          <cell r="R50">
            <v>95372.590140768501</v>
          </cell>
        </row>
        <row r="56">
          <cell r="L56">
            <v>-144075.86471911473</v>
          </cell>
        </row>
        <row r="80">
          <cell r="H80">
            <v>76690.14</v>
          </cell>
          <cell r="I80">
            <v>81603.025999999998</v>
          </cell>
          <cell r="L80">
            <v>-4912.8860000000032</v>
          </cell>
        </row>
        <row r="85">
          <cell r="H85">
            <v>34461.201683911124</v>
          </cell>
          <cell r="I85">
            <v>34832.353350000005</v>
          </cell>
          <cell r="L85">
            <v>-371.15166608887671</v>
          </cell>
          <cell r="Q85">
            <v>103512.62768565332</v>
          </cell>
          <cell r="R85">
            <v>97987.378949091493</v>
          </cell>
        </row>
        <row r="86">
          <cell r="H86">
            <v>369083.45560547104</v>
          </cell>
          <cell r="I86">
            <v>-68397.039999999979</v>
          </cell>
          <cell r="K86">
            <v>-101261.23359496865</v>
          </cell>
          <cell r="M86">
            <v>-186859.35962529865</v>
          </cell>
        </row>
        <row r="89">
          <cell r="Q89">
            <v>80746.877933011492</v>
          </cell>
          <cell r="R89">
            <v>82653.876515027994</v>
          </cell>
        </row>
      </sheetData>
      <sheetData sheetId="6" refreshError="1">
        <row r="2">
          <cell r="N2">
            <v>24000</v>
          </cell>
        </row>
        <row r="5">
          <cell r="T5">
            <v>24000</v>
          </cell>
          <cell r="U5">
            <v>19107.8</v>
          </cell>
        </row>
        <row r="9">
          <cell r="E9">
            <v>267.04000000000008</v>
          </cell>
          <cell r="F9">
            <v>267.96335947464388</v>
          </cell>
          <cell r="G9">
            <v>100000</v>
          </cell>
          <cell r="H9">
            <v>99999.999409946351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40.069791666666667</v>
          </cell>
          <cell r="F12">
            <v>44.110030146834077</v>
          </cell>
          <cell r="G12">
            <v>64500</v>
          </cell>
          <cell r="H12">
            <v>61084.320430230815</v>
          </cell>
        </row>
        <row r="13">
          <cell r="E13">
            <v>38.488958333333336</v>
          </cell>
          <cell r="F13">
            <v>40.689643086782787</v>
          </cell>
          <cell r="G13">
            <v>45000</v>
          </cell>
          <cell r="H13">
            <v>46931.584833709159</v>
          </cell>
        </row>
        <row r="14">
          <cell r="E14">
            <v>0</v>
          </cell>
          <cell r="F14">
            <v>0</v>
          </cell>
        </row>
        <row r="15">
          <cell r="E15">
            <v>345.59875000000011</v>
          </cell>
          <cell r="F15">
            <v>352.76303270826077</v>
          </cell>
        </row>
        <row r="16">
          <cell r="E16">
            <v>868.89083333333338</v>
          </cell>
          <cell r="F16">
            <v>827.30436180417303</v>
          </cell>
          <cell r="G16">
            <v>15266.666666666668</v>
          </cell>
          <cell r="H16">
            <v>16382.344900167102</v>
          </cell>
        </row>
        <row r="17">
          <cell r="E17">
            <v>873.86187500000005</v>
          </cell>
          <cell r="F17">
            <v>831.4938017160506</v>
          </cell>
          <cell r="G17">
            <v>13419.354838709676</v>
          </cell>
          <cell r="H17">
            <v>12493.434725696783</v>
          </cell>
        </row>
        <row r="19">
          <cell r="E19">
            <v>2.7647900000000001</v>
          </cell>
          <cell r="F19">
            <v>2.3909902075493581</v>
          </cell>
        </row>
        <row r="20">
          <cell r="Q20">
            <v>58002.882790367388</v>
          </cell>
          <cell r="R20">
            <v>57070.90962274294</v>
          </cell>
        </row>
        <row r="21">
          <cell r="Q21">
            <v>18617.623749999999</v>
          </cell>
          <cell r="R21">
            <v>18595.688422983272</v>
          </cell>
        </row>
        <row r="22">
          <cell r="Q22">
            <v>202.5</v>
          </cell>
          <cell r="R22">
            <v>159.83598435737701</v>
          </cell>
        </row>
        <row r="50">
          <cell r="Q50">
            <v>83099.501854224422</v>
          </cell>
          <cell r="R50">
            <v>84584.170962063479</v>
          </cell>
        </row>
        <row r="56">
          <cell r="L56">
            <v>-28169.802888316899</v>
          </cell>
        </row>
        <row r="80">
          <cell r="H80">
            <v>52198.55</v>
          </cell>
          <cell r="I80">
            <v>61724.567999999999</v>
          </cell>
          <cell r="L80">
            <v>-9526.018</v>
          </cell>
        </row>
        <row r="85">
          <cell r="H85">
            <v>17060.498555555554</v>
          </cell>
          <cell r="I85">
            <v>17983.770830000001</v>
          </cell>
          <cell r="L85">
            <v>-923.27227444444679</v>
          </cell>
          <cell r="Q85">
            <v>99591.438062045214</v>
          </cell>
          <cell r="R85">
            <v>94365.024402070238</v>
          </cell>
        </row>
        <row r="86">
          <cell r="H86">
            <v>326547.42043214338</v>
          </cell>
          <cell r="I86">
            <v>106249.82999999987</v>
          </cell>
          <cell r="K86">
            <v>-99164.927501633196</v>
          </cell>
          <cell r="M86">
            <v>-82513.569767748879</v>
          </cell>
        </row>
        <row r="89">
          <cell r="Q89">
            <v>76823.00654036738</v>
          </cell>
          <cell r="R89">
            <v>75826.43403008359</v>
          </cell>
        </row>
      </sheetData>
      <sheetData sheetId="7" refreshError="1">
        <row r="2">
          <cell r="N2">
            <v>16500</v>
          </cell>
        </row>
        <row r="5">
          <cell r="T5">
            <v>16500</v>
          </cell>
          <cell r="U5">
            <v>9800</v>
          </cell>
        </row>
        <row r="9">
          <cell r="E9">
            <v>203</v>
          </cell>
          <cell r="F9">
            <v>225.01939693877566</v>
          </cell>
          <cell r="G9">
            <v>100000</v>
          </cell>
          <cell r="H9">
            <v>99999.999546524297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65</v>
          </cell>
          <cell r="F12">
            <v>71.914600000000036</v>
          </cell>
          <cell r="G12">
            <v>64300</v>
          </cell>
          <cell r="H12">
            <v>63857.584594244028</v>
          </cell>
        </row>
        <row r="13">
          <cell r="E13">
            <v>48</v>
          </cell>
          <cell r="F13">
            <v>28.703273469387749</v>
          </cell>
          <cell r="G13">
            <v>46000</v>
          </cell>
          <cell r="H13">
            <v>39728.000873682628</v>
          </cell>
        </row>
        <row r="14">
          <cell r="E14">
            <v>0</v>
          </cell>
          <cell r="F14">
            <v>0</v>
          </cell>
        </row>
        <row r="15">
          <cell r="E15">
            <v>316</v>
          </cell>
          <cell r="F15">
            <v>325.63727040816343</v>
          </cell>
        </row>
        <row r="16">
          <cell r="E16">
            <v>750</v>
          </cell>
          <cell r="F16">
            <v>805.53928571428639</v>
          </cell>
          <cell r="G16">
            <v>14666.666666666666</v>
          </cell>
          <cell r="H16">
            <v>14757.187129676709</v>
          </cell>
        </row>
        <row r="17">
          <cell r="E17">
            <v>1000</v>
          </cell>
          <cell r="F17">
            <v>985.02551020408157</v>
          </cell>
          <cell r="G17">
            <v>14389.543937708564</v>
          </cell>
          <cell r="H17">
            <v>14230.47450340559</v>
          </cell>
        </row>
        <row r="19">
          <cell r="E19">
            <v>2.5</v>
          </cell>
          <cell r="F19">
            <v>2.8776479591836721</v>
          </cell>
        </row>
        <row r="20">
          <cell r="Q20">
            <v>53627.043937708564</v>
          </cell>
          <cell r="R20">
            <v>56766.332142857143</v>
          </cell>
        </row>
        <row r="21">
          <cell r="Q21">
            <v>18255.708484848485</v>
          </cell>
          <cell r="R21">
            <v>17454.811530612242</v>
          </cell>
        </row>
        <row r="22">
          <cell r="Q22">
            <v>105</v>
          </cell>
          <cell r="R22">
            <v>78.877755102040808</v>
          </cell>
        </row>
        <row r="50">
          <cell r="Q50">
            <v>78458.069957910586</v>
          </cell>
          <cell r="R50">
            <v>86782.747448979586</v>
          </cell>
        </row>
        <row r="56">
          <cell r="L56">
            <v>-81581.839962476151</v>
          </cell>
        </row>
        <row r="80">
          <cell r="H80">
            <v>38167.67</v>
          </cell>
          <cell r="I80">
            <v>46465.675999999999</v>
          </cell>
          <cell r="L80">
            <v>-8298.0060000000012</v>
          </cell>
        </row>
        <row r="85">
          <cell r="H85">
            <v>19446.767777777775</v>
          </cell>
          <cell r="I85">
            <v>17524.635449999998</v>
          </cell>
          <cell r="L85">
            <v>1922.1323277777756</v>
          </cell>
          <cell r="Q85">
            <v>96919.939393939392</v>
          </cell>
          <cell r="R85">
            <v>96275.825918367351</v>
          </cell>
        </row>
        <row r="86">
          <cell r="H86">
            <v>247006.40791669759</v>
          </cell>
          <cell r="I86">
            <v>29041.857000000116</v>
          </cell>
          <cell r="K86">
            <v>-6312.3120606060056</v>
          </cell>
          <cell r="M86">
            <v>-123694.52522139298</v>
          </cell>
        </row>
        <row r="89">
          <cell r="Q89">
            <v>71987.752422557052</v>
          </cell>
          <cell r="R89">
            <v>74300.021428571432</v>
          </cell>
        </row>
      </sheetData>
      <sheetData sheetId="8" refreshError="1">
        <row r="2">
          <cell r="N2">
            <v>21000</v>
          </cell>
        </row>
        <row r="5">
          <cell r="T5">
            <v>21000</v>
          </cell>
          <cell r="U5">
            <v>15517</v>
          </cell>
        </row>
        <row r="9">
          <cell r="E9">
            <v>203.68740872725141</v>
          </cell>
          <cell r="F9">
            <v>194.99102014628525</v>
          </cell>
          <cell r="G9">
            <v>100000</v>
          </cell>
          <cell r="H9">
            <v>100002.96729652272</v>
          </cell>
        </row>
        <row r="10">
          <cell r="E10">
            <v>50.494853971603348</v>
          </cell>
          <cell r="F10">
            <v>168.92622353394083</v>
          </cell>
          <cell r="G10">
            <v>92100.000000000015</v>
          </cell>
          <cell r="H10">
            <v>93218.259070209242</v>
          </cell>
        </row>
        <row r="11">
          <cell r="E11">
            <v>0</v>
          </cell>
          <cell r="F11">
            <v>0</v>
          </cell>
        </row>
        <row r="12">
          <cell r="E12">
            <v>59.751389547080535</v>
          </cell>
          <cell r="F12">
            <v>0</v>
          </cell>
          <cell r="G12">
            <v>64999.999999999985</v>
          </cell>
          <cell r="H12">
            <v>0</v>
          </cell>
        </row>
        <row r="13">
          <cell r="E13">
            <v>41.105619994035905</v>
          </cell>
          <cell r="F13">
            <v>37.580492749903748</v>
          </cell>
          <cell r="G13">
            <v>36500</v>
          </cell>
          <cell r="H13">
            <v>36499.984736983402</v>
          </cell>
        </row>
        <row r="14">
          <cell r="E14">
            <v>0</v>
          </cell>
          <cell r="F14">
            <v>0</v>
          </cell>
        </row>
        <row r="15">
          <cell r="E15">
            <v>355.03927223997118</v>
          </cell>
          <cell r="F15">
            <v>401.49773643012981</v>
          </cell>
        </row>
        <row r="16">
          <cell r="E16">
            <v>833.65317484685306</v>
          </cell>
          <cell r="F16">
            <v>893.06108045682026</v>
          </cell>
          <cell r="G16">
            <v>10737.957520046899</v>
          </cell>
          <cell r="H16">
            <v>11922.939741724589</v>
          </cell>
        </row>
        <row r="17">
          <cell r="E17">
            <v>894.60063270474586</v>
          </cell>
          <cell r="F17">
            <v>823.73155395868105</v>
          </cell>
          <cell r="G17">
            <v>17412.779627614658</v>
          </cell>
          <cell r="H17">
            <v>16869.179775490935</v>
          </cell>
        </row>
        <row r="19">
          <cell r="E19">
            <v>3.5546531936665913</v>
          </cell>
          <cell r="F19">
            <v>3.5041190812267424</v>
          </cell>
        </row>
        <row r="20">
          <cell r="Q20">
            <v>58188.168720416106</v>
          </cell>
          <cell r="R20">
            <v>64492.531630950849</v>
          </cell>
        </row>
        <row r="21">
          <cell r="Q21">
            <v>19639.689484126986</v>
          </cell>
          <cell r="R21">
            <v>20138.627678686</v>
          </cell>
        </row>
        <row r="22">
          <cell r="Q22">
            <v>47.619047619047613</v>
          </cell>
          <cell r="R22">
            <v>0</v>
          </cell>
        </row>
        <row r="50">
          <cell r="Q50">
            <v>85383.854562349152</v>
          </cell>
          <cell r="R50">
            <v>96644.717246246626</v>
          </cell>
        </row>
        <row r="56">
          <cell r="L56">
            <v>-138882.72801602809</v>
          </cell>
        </row>
        <row r="80">
          <cell r="H80">
            <v>60051.99</v>
          </cell>
          <cell r="I80">
            <v>57035.590000000004</v>
          </cell>
          <cell r="L80">
            <v>3016.3999999999992</v>
          </cell>
        </row>
        <row r="85">
          <cell r="H85">
            <v>46892.19733333333</v>
          </cell>
          <cell r="I85">
            <v>81701.659740000003</v>
          </cell>
          <cell r="L85">
            <v>-34809.462406666673</v>
          </cell>
          <cell r="Q85">
            <v>107600.03738095237</v>
          </cell>
          <cell r="R85">
            <v>114051.86569568861</v>
          </cell>
        </row>
        <row r="86">
          <cell r="H86">
            <v>359595.65185733419</v>
          </cell>
          <cell r="I86">
            <v>167221.55100000009</v>
          </cell>
          <cell r="K86">
            <v>100113.0199597622</v>
          </cell>
          <cell r="M86">
            <v>-121811.33039440145</v>
          </cell>
        </row>
        <row r="89">
          <cell r="Q89">
            <v>77875.477252162149</v>
          </cell>
          <cell r="R89">
            <v>84631.159309636845</v>
          </cell>
        </row>
      </sheetData>
      <sheetData sheetId="9" refreshError="1">
        <row r="2">
          <cell r="N2">
            <v>19000</v>
          </cell>
        </row>
        <row r="5">
          <cell r="T5">
            <v>19000</v>
          </cell>
          <cell r="U5">
            <v>13004</v>
          </cell>
        </row>
        <row r="9">
          <cell r="E9">
            <v>211.9</v>
          </cell>
          <cell r="F9">
            <v>258.39545774896038</v>
          </cell>
          <cell r="G9">
            <v>100000</v>
          </cell>
          <cell r="H9">
            <v>100001.89997027446</v>
          </cell>
        </row>
        <row r="10">
          <cell r="E10">
            <v>49.2</v>
          </cell>
          <cell r="F10">
            <v>26.786950454577479</v>
          </cell>
          <cell r="G10">
            <v>92100.000000000015</v>
          </cell>
          <cell r="H10">
            <v>92099.998200379079</v>
          </cell>
        </row>
        <row r="11">
          <cell r="E11">
            <v>0</v>
          </cell>
          <cell r="F11">
            <v>0</v>
          </cell>
        </row>
        <row r="12">
          <cell r="E12">
            <v>56.5</v>
          </cell>
          <cell r="F12">
            <v>49.42068574247655</v>
          </cell>
          <cell r="G12">
            <v>65000</v>
          </cell>
          <cell r="H12">
            <v>65300.376220296668</v>
          </cell>
        </row>
        <row r="13">
          <cell r="E13">
            <v>41.5</v>
          </cell>
          <cell r="F13">
            <v>33.444819226161087</v>
          </cell>
          <cell r="G13">
            <v>35200</v>
          </cell>
          <cell r="H13">
            <v>35403.579579024758</v>
          </cell>
        </row>
        <row r="14">
          <cell r="E14">
            <v>0</v>
          </cell>
          <cell r="F14">
            <v>0</v>
          </cell>
        </row>
        <row r="15">
          <cell r="E15">
            <v>359.1</v>
          </cell>
          <cell r="F15">
            <v>368.04791317217553</v>
          </cell>
        </row>
        <row r="16">
          <cell r="E16">
            <v>818.19999999999993</v>
          </cell>
          <cell r="F16">
            <v>820.24772711255196</v>
          </cell>
          <cell r="G16">
            <v>10666.666666666668</v>
          </cell>
          <cell r="H16">
            <v>9608.1429772492047</v>
          </cell>
        </row>
        <row r="17">
          <cell r="E17">
            <v>908.10000000000014</v>
          </cell>
          <cell r="F17">
            <v>905.82493480865458</v>
          </cell>
          <cell r="G17">
            <v>17805.120814167974</v>
          </cell>
          <cell r="H17">
            <v>18382.883663029315</v>
          </cell>
        </row>
        <row r="19">
          <cell r="E19">
            <v>4.8689999999999998</v>
          </cell>
          <cell r="F19">
            <v>3.2475473958700385</v>
          </cell>
        </row>
        <row r="20">
          <cell r="Q20">
            <v>60001.816878012607</v>
          </cell>
          <cell r="R20">
            <v>60013.898301501162</v>
          </cell>
        </row>
        <row r="21">
          <cell r="Q21">
            <v>16276.509115572435</v>
          </cell>
          <cell r="R21">
            <v>17662.467968144338</v>
          </cell>
        </row>
        <row r="22">
          <cell r="Q22">
            <v>105.26315789473684</v>
          </cell>
          <cell r="R22">
            <v>324.95947565015155</v>
          </cell>
        </row>
        <row r="50">
          <cell r="Q50">
            <v>83694.751467269263</v>
          </cell>
          <cell r="R50">
            <v>87992.647614349145</v>
          </cell>
        </row>
        <row r="56">
          <cell r="L56">
            <v>-53674.893649630852</v>
          </cell>
        </row>
        <row r="80">
          <cell r="H80">
            <v>49180</v>
          </cell>
          <cell r="I80">
            <v>67538.234999999986</v>
          </cell>
          <cell r="L80">
            <v>-18358.23499999999</v>
          </cell>
        </row>
        <row r="85">
          <cell r="H85">
            <v>1974.0617777777784</v>
          </cell>
          <cell r="I85">
            <v>20717.129269999998</v>
          </cell>
          <cell r="L85">
            <v>-18743.067492222221</v>
          </cell>
          <cell r="Q85">
            <v>104402.20000000001</v>
          </cell>
          <cell r="R85">
            <v>101120.44755459859</v>
          </cell>
        </row>
        <row r="86">
          <cell r="H86">
            <v>342287.46034410683</v>
          </cell>
          <cell r="I86">
            <v>84673.493999999977</v>
          </cell>
          <cell r="K86">
            <v>-42675.908800000063</v>
          </cell>
          <cell r="M86">
            <v>-124161.86140225362</v>
          </cell>
        </row>
        <row r="89">
          <cell r="Q89">
            <v>76383.589151479769</v>
          </cell>
          <cell r="R89">
            <v>78001.325745295646</v>
          </cell>
        </row>
      </sheetData>
      <sheetData sheetId="10" refreshError="1">
        <row r="2">
          <cell r="N2">
            <v>12000</v>
          </cell>
        </row>
        <row r="5">
          <cell r="T5">
            <v>12000</v>
          </cell>
          <cell r="U5">
            <v>12705</v>
          </cell>
        </row>
        <row r="9">
          <cell r="E9">
            <v>172.5</v>
          </cell>
          <cell r="F9">
            <v>182.21653291747447</v>
          </cell>
          <cell r="G9">
            <v>100000</v>
          </cell>
          <cell r="H9">
            <v>100000.00046261286</v>
          </cell>
        </row>
        <row r="10">
          <cell r="E10">
            <v>148.79</v>
          </cell>
          <cell r="F10">
            <v>131.62990474584842</v>
          </cell>
          <cell r="G10">
            <v>92100.000000000015</v>
          </cell>
          <cell r="H10">
            <v>92099.99931093026</v>
          </cell>
        </row>
        <row r="11">
          <cell r="E11">
            <v>0</v>
          </cell>
          <cell r="F11">
            <v>0</v>
          </cell>
        </row>
        <row r="12">
          <cell r="E12">
            <v>6.0600000000000005</v>
          </cell>
          <cell r="F12">
            <v>1.6121588131164128</v>
          </cell>
          <cell r="G12">
            <v>64000</v>
          </cell>
          <cell r="H12">
            <v>63452.364021199413</v>
          </cell>
        </row>
        <row r="13">
          <cell r="E13">
            <v>15.65</v>
          </cell>
          <cell r="F13">
            <v>23.684099300345622</v>
          </cell>
          <cell r="G13">
            <v>35000</v>
          </cell>
          <cell r="H13">
            <v>34999.969925022888</v>
          </cell>
        </row>
        <row r="14">
          <cell r="E14">
            <v>0</v>
          </cell>
          <cell r="F14">
            <v>0</v>
          </cell>
        </row>
        <row r="15">
          <cell r="E15">
            <v>342.99999999999994</v>
          </cell>
          <cell r="F15">
            <v>339.14269577678493</v>
          </cell>
        </row>
        <row r="16">
          <cell r="E16">
            <v>830</v>
          </cell>
          <cell r="F16">
            <v>719.93603793306909</v>
          </cell>
          <cell r="G16">
            <v>9426.6666666666679</v>
          </cell>
          <cell r="H16">
            <v>9249.8476375998871</v>
          </cell>
        </row>
        <row r="17">
          <cell r="E17">
            <v>890</v>
          </cell>
          <cell r="F17">
            <v>985.09610857287362</v>
          </cell>
          <cell r="G17">
            <v>17730.479017177091</v>
          </cell>
          <cell r="H17">
            <v>15644.155336479911</v>
          </cell>
        </row>
        <row r="19">
          <cell r="E19">
            <v>3.3</v>
          </cell>
          <cell r="F19">
            <v>3.1178506280030325</v>
          </cell>
        </row>
        <row r="20">
          <cell r="Q20">
            <v>58126.008658620944</v>
          </cell>
          <cell r="R20">
            <v>56350.574390963506</v>
          </cell>
        </row>
        <row r="21">
          <cell r="Q21">
            <v>18166.289254385967</v>
          </cell>
          <cell r="R21">
            <v>19190.155019809492</v>
          </cell>
        </row>
        <row r="22">
          <cell r="Q22">
            <v>350</v>
          </cell>
          <cell r="R22">
            <v>347.89758071314174</v>
          </cell>
        </row>
        <row r="50">
          <cell r="Q50">
            <v>84350.09235091327</v>
          </cell>
          <cell r="R50">
            <v>84830.825086403114</v>
          </cell>
        </row>
        <row r="56">
          <cell r="L56">
            <v>1000.9744806731924</v>
          </cell>
        </row>
        <row r="80">
          <cell r="H80">
            <v>35627.57</v>
          </cell>
          <cell r="I80">
            <v>47729.662000000004</v>
          </cell>
          <cell r="L80">
            <v>-12102.092000000001</v>
          </cell>
        </row>
        <row r="85">
          <cell r="H85">
            <v>12068.37588888889</v>
          </cell>
          <cell r="I85">
            <v>18864.79103</v>
          </cell>
          <cell r="L85">
            <v>-6796.4151411111125</v>
          </cell>
          <cell r="Q85">
            <v>100999.40000000001</v>
          </cell>
          <cell r="R85">
            <v>89286.80280145134</v>
          </cell>
        </row>
        <row r="86">
          <cell r="H86">
            <v>152095.74590015179</v>
          </cell>
          <cell r="I86">
            <v>-2729.5230000000738</v>
          </cell>
          <cell r="K86">
            <v>-138805.98940000028</v>
          </cell>
          <cell r="M86">
            <v>1878.2531602860763</v>
          </cell>
        </row>
        <row r="89">
          <cell r="Q89">
            <v>76642.297913006914</v>
          </cell>
          <cell r="R89">
            <v>75888.626991486133</v>
          </cell>
        </row>
      </sheetData>
      <sheetData sheetId="11" refreshError="1">
        <row r="2">
          <cell r="N2">
            <v>16000</v>
          </cell>
        </row>
        <row r="5">
          <cell r="T5">
            <v>16000</v>
          </cell>
          <cell r="U5">
            <v>16976</v>
          </cell>
        </row>
        <row r="9">
          <cell r="E9">
            <v>172.5</v>
          </cell>
          <cell r="F9">
            <v>235.26178516864491</v>
          </cell>
          <cell r="G9">
            <v>100000</v>
          </cell>
          <cell r="H9">
            <v>100000.61043762522</v>
          </cell>
        </row>
        <row r="10">
          <cell r="E10">
            <v>102.6</v>
          </cell>
          <cell r="F10">
            <v>59.088560347866945</v>
          </cell>
          <cell r="G10">
            <v>92100</v>
          </cell>
          <cell r="H10">
            <v>92100.002036657635</v>
          </cell>
        </row>
        <row r="11">
          <cell r="E11">
            <v>0</v>
          </cell>
          <cell r="F11">
            <v>0</v>
          </cell>
        </row>
        <row r="12">
          <cell r="E12">
            <v>44</v>
          </cell>
          <cell r="F12">
            <v>41.801570102244646</v>
          </cell>
          <cell r="G12">
            <v>63500</v>
          </cell>
          <cell r="H12">
            <v>62574.015385776351</v>
          </cell>
        </row>
        <row r="13">
          <cell r="E13">
            <v>39.5</v>
          </cell>
          <cell r="F13">
            <v>29.101401457280517</v>
          </cell>
          <cell r="G13">
            <v>35500</v>
          </cell>
          <cell r="H13">
            <v>35500.010954115591</v>
          </cell>
        </row>
        <row r="14">
          <cell r="E14">
            <v>0</v>
          </cell>
          <cell r="F14">
            <v>0</v>
          </cell>
        </row>
        <row r="15">
          <cell r="E15">
            <v>358.6</v>
          </cell>
          <cell r="F15">
            <v>365.25331707603704</v>
          </cell>
        </row>
        <row r="16">
          <cell r="E16">
            <v>795</v>
          </cell>
          <cell r="F16">
            <v>777.05382536138131</v>
          </cell>
          <cell r="G16">
            <v>10733.333333333332</v>
          </cell>
          <cell r="H16">
            <v>11367.168707088131</v>
          </cell>
        </row>
        <row r="17">
          <cell r="E17">
            <v>920</v>
          </cell>
          <cell r="F17">
            <v>935.8059113879425</v>
          </cell>
          <cell r="G17">
            <v>18315.171013635976</v>
          </cell>
          <cell r="H17">
            <v>18466.309755804272</v>
          </cell>
        </row>
        <row r="19">
          <cell r="E19">
            <v>3.0564300000000002</v>
          </cell>
          <cell r="F19">
            <v>3.0523093195440105</v>
          </cell>
        </row>
        <row r="20">
          <cell r="Q20">
            <v>58590.0281325451</v>
          </cell>
          <cell r="R20">
            <v>61532.345281466682</v>
          </cell>
        </row>
        <row r="21">
          <cell r="Q21">
            <v>19054.822569444445</v>
          </cell>
          <cell r="R21">
            <v>19503.462040192739</v>
          </cell>
        </row>
        <row r="22">
          <cell r="Q22">
            <v>281.25</v>
          </cell>
          <cell r="R22">
            <v>242.58291221060051</v>
          </cell>
        </row>
        <row r="50">
          <cell r="Q50">
            <v>85565.102701989555</v>
          </cell>
          <cell r="R50">
            <v>90031.972558467503</v>
          </cell>
        </row>
        <row r="56">
          <cell r="L56">
            <v>-62009.997391025187</v>
          </cell>
        </row>
        <row r="80">
          <cell r="H80">
            <v>49574.36</v>
          </cell>
          <cell r="I80">
            <v>67648.728000000003</v>
          </cell>
          <cell r="L80">
            <v>-18074.368000000002</v>
          </cell>
        </row>
        <row r="85">
          <cell r="H85">
            <v>23561.66377777778</v>
          </cell>
          <cell r="I85">
            <v>37242.390140000003</v>
          </cell>
          <cell r="L85">
            <v>-13680.726362222222</v>
          </cell>
          <cell r="Q85">
            <v>104000</v>
          </cell>
          <cell r="R85">
            <v>101496.21229971724</v>
          </cell>
        </row>
        <row r="86">
          <cell r="H86">
            <v>221822.33299038958</v>
          </cell>
          <cell r="I86">
            <v>103545.40100000022</v>
          </cell>
          <cell r="K86">
            <v>-42504.300000000119</v>
          </cell>
          <cell r="M86">
            <v>17992.459762858212</v>
          </cell>
        </row>
        <row r="89">
          <cell r="Q89">
            <v>77926.100701989548</v>
          </cell>
          <cell r="R89">
            <v>81278.390233870014</v>
          </cell>
        </row>
      </sheetData>
      <sheetData sheetId="12" refreshError="1">
        <row r="2">
          <cell r="N2">
            <v>12000</v>
          </cell>
        </row>
        <row r="5">
          <cell r="T5">
            <v>12000</v>
          </cell>
          <cell r="U5">
            <v>12518</v>
          </cell>
        </row>
        <row r="9">
          <cell r="E9">
            <v>186.14883333333339</v>
          </cell>
          <cell r="F9">
            <v>229.77265457740845</v>
          </cell>
          <cell r="G9">
            <v>100000</v>
          </cell>
          <cell r="H9">
            <v>99911.363375224304</v>
          </cell>
        </row>
        <row r="10">
          <cell r="E10">
            <v>6.3449209999999994</v>
          </cell>
          <cell r="F10">
            <v>0</v>
          </cell>
          <cell r="G10">
            <v>92100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88.222550000000012</v>
          </cell>
          <cell r="F12">
            <v>84.357974117271169</v>
          </cell>
          <cell r="G12">
            <v>63000</v>
          </cell>
          <cell r="H12">
            <v>62765.638094308757</v>
          </cell>
        </row>
        <row r="13">
          <cell r="E13">
            <v>52.412104999999997</v>
          </cell>
          <cell r="F13">
            <v>24.65226713532515</v>
          </cell>
          <cell r="G13">
            <v>36000</v>
          </cell>
          <cell r="H13">
            <v>36000.006869799261</v>
          </cell>
        </row>
        <row r="14">
          <cell r="E14">
            <v>0</v>
          </cell>
          <cell r="F14">
            <v>0</v>
          </cell>
        </row>
        <row r="15">
          <cell r="E15">
            <v>333.12840933333337</v>
          </cell>
          <cell r="F15">
            <v>338.78289583000475</v>
          </cell>
        </row>
        <row r="16">
          <cell r="E16">
            <v>783.08333333333337</v>
          </cell>
          <cell r="F16">
            <v>744.45438568461418</v>
          </cell>
          <cell r="G16">
            <v>9066.6666666666679</v>
          </cell>
          <cell r="H16">
            <v>9563.5666825480621</v>
          </cell>
        </row>
        <row r="17">
          <cell r="E17">
            <v>921.7157533333334</v>
          </cell>
          <cell r="F17">
            <v>917.92179261862952</v>
          </cell>
          <cell r="G17">
            <v>17446.695345461932</v>
          </cell>
          <cell r="H17">
            <v>17206.989920843611</v>
          </cell>
        </row>
        <row r="19">
          <cell r="E19">
            <v>2.4794363174999998</v>
          </cell>
          <cell r="F19">
            <v>3.0667071417159293</v>
          </cell>
        </row>
        <row r="20">
          <cell r="Q20">
            <v>51669.220182538498</v>
          </cell>
          <cell r="R20">
            <v>54595.214571017736</v>
          </cell>
        </row>
        <row r="21">
          <cell r="Q21">
            <v>17632.069078947367</v>
          </cell>
          <cell r="R21">
            <v>17354.007509186769</v>
          </cell>
        </row>
        <row r="22">
          <cell r="Q22">
            <v>79.166666666666657</v>
          </cell>
          <cell r="R22">
            <v>20.162725675027961</v>
          </cell>
        </row>
        <row r="50">
          <cell r="Q50">
            <v>76749.323178152525</v>
          </cell>
          <cell r="R50">
            <v>80863.621105607919</v>
          </cell>
        </row>
        <row r="56">
          <cell r="L56">
            <v>-51502.779595886379</v>
          </cell>
        </row>
        <row r="80">
          <cell r="H80">
            <v>45134.69</v>
          </cell>
          <cell r="I80">
            <v>35509.570999999996</v>
          </cell>
          <cell r="L80">
            <v>9625.1190000000024</v>
          </cell>
        </row>
        <row r="85">
          <cell r="H85">
            <v>10760.140111111112</v>
          </cell>
          <cell r="I85">
            <v>10634.31386</v>
          </cell>
          <cell r="L85">
            <v>125.82625111111145</v>
          </cell>
          <cell r="Q85">
            <v>97210.152500000026</v>
          </cell>
          <cell r="R85">
            <v>90109.993609202749</v>
          </cell>
        </row>
        <row r="86">
          <cell r="H86">
            <v>189635.12175105879</v>
          </cell>
          <cell r="I86">
            <v>69602.207999999984</v>
          </cell>
          <cell r="K86">
            <v>-88879.788995000301</v>
          </cell>
          <cell r="M86">
            <v>10598.709588716993</v>
          </cell>
        </row>
        <row r="89">
          <cell r="Q89">
            <v>69380.455928152529</v>
          </cell>
          <cell r="R89">
            <v>71969.384805879527</v>
          </cell>
        </row>
      </sheetData>
      <sheetData sheetId="13" refreshError="1">
        <row r="2">
          <cell r="N2">
            <v>14000</v>
          </cell>
        </row>
        <row r="5">
          <cell r="T5">
            <v>14000</v>
          </cell>
          <cell r="U5">
            <v>14953</v>
          </cell>
        </row>
        <row r="9">
          <cell r="E9">
            <v>240.79999999999998</v>
          </cell>
          <cell r="F9">
            <v>252.22952718518022</v>
          </cell>
          <cell r="G9">
            <v>100000</v>
          </cell>
          <cell r="H9">
            <v>100000.00821934927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69.5</v>
          </cell>
          <cell r="F12">
            <v>65.793093024811114</v>
          </cell>
          <cell r="G12">
            <v>65000</v>
          </cell>
          <cell r="H12">
            <v>65015.014370950157</v>
          </cell>
        </row>
        <row r="13">
          <cell r="E13">
            <v>35.1</v>
          </cell>
          <cell r="F13">
            <v>36.129510466127222</v>
          </cell>
          <cell r="G13">
            <v>33000</v>
          </cell>
          <cell r="H13">
            <v>32999.985543584429</v>
          </cell>
        </row>
        <row r="14">
          <cell r="E14">
            <v>0</v>
          </cell>
          <cell r="F14">
            <v>0</v>
          </cell>
        </row>
        <row r="15">
          <cell r="E15">
            <v>345.4</v>
          </cell>
          <cell r="F15">
            <v>354.15213067611853</v>
          </cell>
        </row>
        <row r="16">
          <cell r="E16">
            <v>835.9</v>
          </cell>
          <cell r="F16">
            <v>890.01003143182015</v>
          </cell>
          <cell r="G16">
            <v>10400</v>
          </cell>
          <cell r="H16">
            <v>11290.188994553777</v>
          </cell>
        </row>
        <row r="17">
          <cell r="E17">
            <v>880.19999999999993</v>
          </cell>
          <cell r="F17">
            <v>855.01257272788087</v>
          </cell>
          <cell r="G17">
            <v>17019.516244032919</v>
          </cell>
          <cell r="H17">
            <v>17316.77075085551</v>
          </cell>
        </row>
        <row r="19">
          <cell r="E19">
            <v>3.1</v>
          </cell>
          <cell r="F19">
            <v>3.04064254664616</v>
          </cell>
        </row>
        <row r="20">
          <cell r="Q20">
            <v>55903.538197997783</v>
          </cell>
          <cell r="R20">
            <v>58161.511536146594</v>
          </cell>
        </row>
        <row r="21">
          <cell r="Q21">
            <v>16721.852568389062</v>
          </cell>
          <cell r="R21">
            <v>16491.993446131211</v>
          </cell>
        </row>
        <row r="22">
          <cell r="Q22">
            <v>85.714285714285708</v>
          </cell>
          <cell r="R22">
            <v>83.288503979134617</v>
          </cell>
        </row>
        <row r="50">
          <cell r="Q50">
            <v>80501.717707358956</v>
          </cell>
          <cell r="R50">
            <v>84468.484986290379</v>
          </cell>
        </row>
        <row r="56">
          <cell r="L56">
            <v>-59144.594351861597</v>
          </cell>
        </row>
        <row r="80">
          <cell r="H80">
            <v>41906.69</v>
          </cell>
          <cell r="I80">
            <v>60703.040999999997</v>
          </cell>
          <cell r="L80">
            <v>-18796.351000000002</v>
          </cell>
        </row>
        <row r="85">
          <cell r="H85">
            <v>32560.991888888886</v>
          </cell>
          <cell r="I85">
            <v>31500.912769999999</v>
          </cell>
          <cell r="L85">
            <v>1060.079118888887</v>
          </cell>
          <cell r="Q85">
            <v>101695</v>
          </cell>
          <cell r="R85">
            <v>100805.5507256069</v>
          </cell>
        </row>
        <row r="86">
          <cell r="H86">
            <v>222238.27020808583</v>
          </cell>
          <cell r="I86">
            <v>152254.66699999993</v>
          </cell>
          <cell r="K86">
            <v>-13299.935000000085</v>
          </cell>
          <cell r="M86">
            <v>20197.198024886922</v>
          </cell>
        </row>
        <row r="89">
          <cell r="Q89">
            <v>72711.105052101135</v>
          </cell>
          <cell r="R89">
            <v>74736.793486256938</v>
          </cell>
        </row>
      </sheetData>
      <sheetData sheetId="14" refreshError="1">
        <row r="2">
          <cell r="N2">
            <v>16000</v>
          </cell>
        </row>
        <row r="5">
          <cell r="T5">
            <v>16000</v>
          </cell>
          <cell r="U5">
            <v>14191</v>
          </cell>
        </row>
        <row r="9">
          <cell r="E9">
            <v>204</v>
          </cell>
          <cell r="F9">
            <v>222.42929109999287</v>
          </cell>
          <cell r="G9">
            <v>100000</v>
          </cell>
          <cell r="H9">
            <v>100000.00000000004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91.800000000000011</v>
          </cell>
          <cell r="F12">
            <v>88.804244943978603</v>
          </cell>
          <cell r="G12">
            <v>62500</v>
          </cell>
          <cell r="H12">
            <v>60896.004402529245</v>
          </cell>
        </row>
        <row r="13">
          <cell r="E13">
            <v>44.2</v>
          </cell>
          <cell r="F13">
            <v>41.851812416320222</v>
          </cell>
          <cell r="G13">
            <v>35499.999999999993</v>
          </cell>
          <cell r="H13">
            <v>35479.386105585043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353.0853484602917</v>
          </cell>
        </row>
        <row r="16">
          <cell r="E16">
            <v>771.29726976586358</v>
          </cell>
          <cell r="F16">
            <v>722.14185046860712</v>
          </cell>
          <cell r="G16">
            <v>10466.666666666666</v>
          </cell>
          <cell r="H16">
            <v>11110.623282882414</v>
          </cell>
        </row>
        <row r="17">
          <cell r="E17">
            <v>942.69666304716668</v>
          </cell>
          <cell r="F17">
            <v>972.57064336551355</v>
          </cell>
          <cell r="G17">
            <v>14718.131256952169</v>
          </cell>
          <cell r="H17">
            <v>14260.297281141879</v>
          </cell>
        </row>
        <row r="19">
          <cell r="E19">
            <v>2.72</v>
          </cell>
          <cell r="F19">
            <v>3.2132196462546685</v>
          </cell>
        </row>
        <row r="20">
          <cell r="Q20">
            <v>51286.244645768384</v>
          </cell>
          <cell r="R20">
            <v>53250.292791205698</v>
          </cell>
        </row>
        <row r="21">
          <cell r="Q21">
            <v>17358.298750000002</v>
          </cell>
          <cell r="R21">
            <v>19215.16277922627</v>
          </cell>
        </row>
        <row r="22">
          <cell r="Q22">
            <v>318.75</v>
          </cell>
          <cell r="R22">
            <v>244.41667253893311</v>
          </cell>
        </row>
        <row r="50">
          <cell r="Q50">
            <v>76431.586645768388</v>
          </cell>
          <cell r="R50">
            <v>82430.457754915085</v>
          </cell>
        </row>
        <row r="56">
          <cell r="L56">
            <v>-85129.993729900831</v>
          </cell>
        </row>
        <row r="80">
          <cell r="H80">
            <v>40076.769999999997</v>
          </cell>
          <cell r="I80">
            <v>57870.334999999999</v>
          </cell>
          <cell r="L80">
            <v>-17793.565000000002</v>
          </cell>
        </row>
        <row r="85">
          <cell r="H85">
            <v>14030.872474676307</v>
          </cell>
          <cell r="I85">
            <v>14677.051179999999</v>
          </cell>
          <cell r="L85">
            <v>-646.17870532369307</v>
          </cell>
          <cell r="Q85">
            <v>97760</v>
          </cell>
          <cell r="R85">
            <v>97242.812345853017</v>
          </cell>
        </row>
        <row r="86">
          <cell r="H86">
            <v>287146.97119302949</v>
          </cell>
          <cell r="I86">
            <v>137654.72400000007</v>
          </cell>
          <cell r="K86">
            <v>-7339.4099999998334</v>
          </cell>
          <cell r="M86">
            <v>-38583.099757804972</v>
          </cell>
        </row>
        <row r="89">
          <cell r="Q89">
            <v>68963.293395768385</v>
          </cell>
          <cell r="R89">
            <v>72709.872242970901</v>
          </cell>
        </row>
      </sheetData>
      <sheetData sheetId="15" refreshError="1">
        <row r="2">
          <cell r="N2">
            <v>10000</v>
          </cell>
        </row>
        <row r="5">
          <cell r="T5">
            <v>10000</v>
          </cell>
          <cell r="U5">
            <v>11980</v>
          </cell>
        </row>
        <row r="9">
          <cell r="E9">
            <v>224.3</v>
          </cell>
          <cell r="F9">
            <v>222.33163939899842</v>
          </cell>
          <cell r="G9">
            <v>100000</v>
          </cell>
          <cell r="H9">
            <v>100003.64215493263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96.3</v>
          </cell>
          <cell r="F12">
            <v>96.134732888146857</v>
          </cell>
          <cell r="G12">
            <v>61300.000000000007</v>
          </cell>
          <cell r="H12">
            <v>60359.496501718677</v>
          </cell>
        </row>
        <row r="13">
          <cell r="E13">
            <v>35.799999999999997</v>
          </cell>
          <cell r="F13">
            <v>49.033351419031696</v>
          </cell>
          <cell r="G13">
            <v>37000</v>
          </cell>
          <cell r="H13">
            <v>36999.987487648323</v>
          </cell>
        </row>
        <row r="14">
          <cell r="E14">
            <v>0</v>
          </cell>
          <cell r="F14">
            <v>0</v>
          </cell>
        </row>
        <row r="15">
          <cell r="E15">
            <v>356.40000000000003</v>
          </cell>
          <cell r="F15">
            <v>367.49972370617701</v>
          </cell>
        </row>
        <row r="16">
          <cell r="E16">
            <v>730</v>
          </cell>
          <cell r="F16">
            <v>781.67929883138572</v>
          </cell>
          <cell r="G16">
            <v>10913.333333333334</v>
          </cell>
          <cell r="H16">
            <v>11532.572418569753</v>
          </cell>
        </row>
        <row r="17">
          <cell r="E17">
            <v>972</v>
          </cell>
          <cell r="F17">
            <v>907.07796327212054</v>
          </cell>
          <cell r="G17">
            <v>19037.023990991358</v>
          </cell>
          <cell r="H17">
            <v>19330.487814529286</v>
          </cell>
        </row>
        <row r="19">
          <cell r="E19">
            <v>3.2</v>
          </cell>
          <cell r="F19">
            <v>2.8396494156928216</v>
          </cell>
        </row>
        <row r="20">
          <cell r="Q20">
            <v>58048.510652576937</v>
          </cell>
          <cell r="R20">
            <v>58722.337312186981</v>
          </cell>
        </row>
        <row r="21">
          <cell r="Q21">
            <v>20885.868655677659</v>
          </cell>
          <cell r="R21">
            <v>19660.020868113519</v>
          </cell>
        </row>
        <row r="22">
          <cell r="Q22">
            <v>260</v>
          </cell>
          <cell r="R22">
            <v>225.12086811352253</v>
          </cell>
        </row>
        <row r="50">
          <cell r="Q50">
            <v>88441.836190147951</v>
          </cell>
          <cell r="R50">
            <v>87073.767612687807</v>
          </cell>
        </row>
        <row r="56">
          <cell r="L56">
            <v>16389.474147972251</v>
          </cell>
        </row>
        <row r="80">
          <cell r="H80">
            <v>27435.420000000002</v>
          </cell>
          <cell r="I80">
            <v>40554.173999999999</v>
          </cell>
          <cell r="L80">
            <v>-13118.753999999995</v>
          </cell>
        </row>
        <row r="85">
          <cell r="H85">
            <v>12019.427222222223</v>
          </cell>
          <cell r="I85">
            <v>14028.704590000001</v>
          </cell>
          <cell r="L85">
            <v>-2009.2773677777786</v>
          </cell>
          <cell r="Q85">
            <v>101246.2</v>
          </cell>
          <cell r="R85">
            <v>98179.177796327203</v>
          </cell>
        </row>
        <row r="86">
          <cell r="H86">
            <v>88588.790876298357</v>
          </cell>
          <cell r="I86">
            <v>78459.948000000062</v>
          </cell>
          <cell r="K86">
            <v>-36742.926000000065</v>
          </cell>
          <cell r="M86">
            <v>25352.640343507082</v>
          </cell>
        </row>
        <row r="89">
          <cell r="Q89">
            <v>79194.379308254604</v>
          </cell>
          <cell r="R89">
            <v>78607.479048414025</v>
          </cell>
        </row>
      </sheetData>
      <sheetData sheetId="16" refreshError="1">
        <row r="2">
          <cell r="N2">
            <v>25000</v>
          </cell>
        </row>
        <row r="5">
          <cell r="T5">
            <v>25000</v>
          </cell>
          <cell r="U5">
            <v>23352</v>
          </cell>
        </row>
        <row r="9">
          <cell r="E9">
            <v>247.352</v>
          </cell>
          <cell r="F9">
            <v>300.9945658553429</v>
          </cell>
          <cell r="G9">
            <v>100000</v>
          </cell>
          <cell r="H9">
            <v>100290.32068104585</v>
          </cell>
        </row>
        <row r="10">
          <cell r="E10">
            <v>32.7864</v>
          </cell>
          <cell r="F10">
            <v>12.996251078888303</v>
          </cell>
          <cell r="G10">
            <v>87100.000000000015</v>
          </cell>
          <cell r="H10">
            <v>86600.037662403425</v>
          </cell>
        </row>
        <row r="11">
          <cell r="E11">
            <v>0</v>
          </cell>
          <cell r="F11">
            <v>0</v>
          </cell>
        </row>
        <row r="12">
          <cell r="E12">
            <v>50.903999999999996</v>
          </cell>
          <cell r="F12">
            <v>28.973162437424477</v>
          </cell>
          <cell r="G12">
            <v>64500</v>
          </cell>
          <cell r="H12">
            <v>64580.56000800278</v>
          </cell>
        </row>
        <row r="13">
          <cell r="E13">
            <v>32.7864</v>
          </cell>
          <cell r="F13">
            <v>40.681131106507856</v>
          </cell>
          <cell r="G13">
            <v>42000</v>
          </cell>
          <cell r="H13">
            <v>39238.238192757657</v>
          </cell>
        </row>
        <row r="14">
          <cell r="E14">
            <v>0</v>
          </cell>
          <cell r="F14">
            <v>0</v>
          </cell>
        </row>
        <row r="15">
          <cell r="E15">
            <v>363.8288</v>
          </cell>
          <cell r="F15">
            <v>383.64511047816353</v>
          </cell>
        </row>
        <row r="16">
          <cell r="E16">
            <v>854.6167999999999</v>
          </cell>
          <cell r="F16">
            <v>907.28357500431582</v>
          </cell>
          <cell r="G16">
            <v>10933.333333333336</v>
          </cell>
          <cell r="H16">
            <v>11374.13099342048</v>
          </cell>
        </row>
        <row r="17">
          <cell r="E17">
            <v>862.32240000000002</v>
          </cell>
          <cell r="F17">
            <v>870.68940963231546</v>
          </cell>
          <cell r="G17">
            <v>13742.312149395395</v>
          </cell>
          <cell r="H17">
            <v>13188.163979140158</v>
          </cell>
        </row>
        <row r="19">
          <cell r="E19">
            <v>3.0217759999999996</v>
          </cell>
          <cell r="F19">
            <v>3.0430994303469712</v>
          </cell>
        </row>
        <row r="20">
          <cell r="Q20">
            <v>56013.855780882463</v>
          </cell>
          <cell r="R20">
            <v>59683.505480752632</v>
          </cell>
        </row>
        <row r="21">
          <cell r="Q21">
            <v>20777.59685106383</v>
          </cell>
          <cell r="R21">
            <v>16566.485586052131</v>
          </cell>
        </row>
        <row r="22">
          <cell r="Q22">
            <v>200</v>
          </cell>
          <cell r="R22">
            <v>190.34485586052133</v>
          </cell>
        </row>
        <row r="50">
          <cell r="Q50">
            <v>82854.142406219573</v>
          </cell>
          <cell r="R50">
            <v>84564.275202830991</v>
          </cell>
        </row>
        <row r="56">
          <cell r="L56">
            <v>-39376.976965266687</v>
          </cell>
        </row>
        <row r="80">
          <cell r="H80">
            <v>45995.039999999994</v>
          </cell>
          <cell r="I80">
            <v>54539.885999999999</v>
          </cell>
          <cell r="L80">
            <v>-8544.8460000000032</v>
          </cell>
        </row>
        <row r="85">
          <cell r="H85">
            <v>22868.705999999998</v>
          </cell>
          <cell r="I85">
            <v>24945.14847</v>
          </cell>
          <cell r="L85">
            <v>-2076.4424700000018</v>
          </cell>
          <cell r="Q85">
            <v>101000.14</v>
          </cell>
          <cell r="R85">
            <v>99026.218995765259</v>
          </cell>
        </row>
        <row r="86">
          <cell r="H86">
            <v>384786.19384451077</v>
          </cell>
          <cell r="I86">
            <v>256652.18499999988</v>
          </cell>
          <cell r="K86">
            <v>-45680.479880000363</v>
          </cell>
          <cell r="M86">
            <v>-32455.263529244025</v>
          </cell>
        </row>
        <row r="89">
          <cell r="Q89">
            <v>76991.452631946289</v>
          </cell>
          <cell r="R89">
            <v>76440.335922665283</v>
          </cell>
        </row>
      </sheetData>
      <sheetData sheetId="17" refreshError="1">
        <row r="2">
          <cell r="N2">
            <v>4000</v>
          </cell>
        </row>
        <row r="5">
          <cell r="T5">
            <v>4000</v>
          </cell>
          <cell r="U5">
            <v>5359</v>
          </cell>
        </row>
        <row r="9">
          <cell r="E9">
            <v>259.89999999999998</v>
          </cell>
          <cell r="F9">
            <v>270.28774771412583</v>
          </cell>
          <cell r="G9">
            <v>100000</v>
          </cell>
          <cell r="H9">
            <v>100000.00069038264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44.4</v>
          </cell>
          <cell r="F12">
            <v>46.220746407911932</v>
          </cell>
          <cell r="G12">
            <v>64000</v>
          </cell>
          <cell r="H12">
            <v>63998.503332579989</v>
          </cell>
        </row>
        <row r="13">
          <cell r="E13">
            <v>39.200000000000003</v>
          </cell>
          <cell r="F13">
            <v>39.760412390371329</v>
          </cell>
          <cell r="G13">
            <v>49000</v>
          </cell>
          <cell r="H13">
            <v>48999.993194917974</v>
          </cell>
        </row>
        <row r="14">
          <cell r="E14">
            <v>0</v>
          </cell>
          <cell r="F14">
            <v>0</v>
          </cell>
        </row>
        <row r="15">
          <cell r="E15">
            <v>343.49999999999994</v>
          </cell>
          <cell r="F15">
            <v>356.2689065124091</v>
          </cell>
        </row>
        <row r="16">
          <cell r="E16">
            <v>816</v>
          </cell>
          <cell r="F16">
            <v>932.7710393730174</v>
          </cell>
          <cell r="G16">
            <v>13666.666666666666</v>
          </cell>
          <cell r="H16">
            <v>13878.903799372638</v>
          </cell>
        </row>
        <row r="17">
          <cell r="E17">
            <v>953.3</v>
          </cell>
          <cell r="F17">
            <v>844.44485911550623</v>
          </cell>
          <cell r="G17">
            <v>13419.35483870968</v>
          </cell>
          <cell r="H17">
            <v>13862.535300902913</v>
          </cell>
        </row>
        <row r="19">
          <cell r="E19">
            <v>2.871</v>
          </cell>
          <cell r="F19">
            <v>3.0483765627915638</v>
          </cell>
        </row>
        <row r="20">
          <cell r="Q20">
            <v>56419.670967741928</v>
          </cell>
          <cell r="R20">
            <v>58618.037880201526</v>
          </cell>
        </row>
        <row r="21">
          <cell r="Q21">
            <v>16191.590712446836</v>
          </cell>
          <cell r="R21">
            <v>14638.829259190148</v>
          </cell>
        </row>
        <row r="22">
          <cell r="Q22">
            <v>375</v>
          </cell>
          <cell r="R22">
            <v>277.60944206008588</v>
          </cell>
        </row>
        <row r="50">
          <cell r="Q50">
            <v>90487.08359140197</v>
          </cell>
          <cell r="R50">
            <v>88930.950923679789</v>
          </cell>
        </row>
        <row r="56">
          <cell r="L56">
            <v>8339.3239263230898</v>
          </cell>
        </row>
        <row r="80">
          <cell r="H80">
            <v>11076.630000000001</v>
          </cell>
          <cell r="I80">
            <v>17304.272999999997</v>
          </cell>
          <cell r="L80">
            <v>-6227.6429999999982</v>
          </cell>
        </row>
        <row r="85">
          <cell r="H85">
            <v>5428.9927777777775</v>
          </cell>
          <cell r="I85">
            <v>5937.0669599999992</v>
          </cell>
          <cell r="L85">
            <v>-508.07418222222168</v>
          </cell>
          <cell r="Q85">
            <v>107900</v>
          </cell>
          <cell r="R85">
            <v>113260.12315730547</v>
          </cell>
        </row>
        <row r="86">
          <cell r="H86">
            <v>53146.042856614338</v>
          </cell>
          <cell r="I86">
            <v>107138.70299999999</v>
          </cell>
          <cell r="K86">
            <v>28724.900000000005</v>
          </cell>
          <cell r="M86">
            <v>23664.153399284725</v>
          </cell>
        </row>
        <row r="89">
          <cell r="Q89">
            <v>72986.261680188763</v>
          </cell>
          <cell r="R89">
            <v>73534.47658145176</v>
          </cell>
        </row>
      </sheetData>
      <sheetData sheetId="18" refreshError="1">
        <row r="2">
          <cell r="N2">
            <v>7000</v>
          </cell>
        </row>
        <row r="5">
          <cell r="T5">
            <v>7000</v>
          </cell>
          <cell r="U5">
            <v>7883</v>
          </cell>
        </row>
        <row r="9">
          <cell r="E9">
            <v>214.5</v>
          </cell>
          <cell r="F9">
            <v>241.29561220597594</v>
          </cell>
          <cell r="G9">
            <v>100000</v>
          </cell>
          <cell r="H9">
            <v>99999.999999999956</v>
          </cell>
        </row>
        <row r="10">
          <cell r="E10">
            <v>14</v>
          </cell>
          <cell r="F10">
            <v>37.516848061029876</v>
          </cell>
          <cell r="G10">
            <v>95000</v>
          </cell>
          <cell r="H10">
            <v>93237.421857951616</v>
          </cell>
        </row>
        <row r="11">
          <cell r="E11">
            <v>0</v>
          </cell>
          <cell r="F11">
            <v>0</v>
          </cell>
        </row>
        <row r="12">
          <cell r="E12">
            <v>89.5</v>
          </cell>
          <cell r="F12">
            <v>61.042595041322294</v>
          </cell>
          <cell r="G12">
            <v>64899.999999999993</v>
          </cell>
          <cell r="H12">
            <v>64909.807021249617</v>
          </cell>
        </row>
        <row r="13">
          <cell r="E13">
            <v>23</v>
          </cell>
          <cell r="F13">
            <v>13.952962492053409</v>
          </cell>
          <cell r="G13">
            <v>37500</v>
          </cell>
          <cell r="H13">
            <v>38337.407354926465</v>
          </cell>
        </row>
        <row r="14">
          <cell r="E14">
            <v>0</v>
          </cell>
          <cell r="F14">
            <v>0</v>
          </cell>
        </row>
        <row r="15">
          <cell r="E15">
            <v>341</v>
          </cell>
          <cell r="F15">
            <v>353.80801780038149</v>
          </cell>
        </row>
        <row r="16">
          <cell r="E16">
            <v>785</v>
          </cell>
          <cell r="F16">
            <v>796.18308963763479</v>
          </cell>
          <cell r="G16">
            <v>13666.666666666666</v>
          </cell>
          <cell r="H16">
            <v>14174.637894084624</v>
          </cell>
        </row>
        <row r="17">
          <cell r="E17">
            <v>935</v>
          </cell>
          <cell r="F17">
            <v>911.92434837889391</v>
          </cell>
          <cell r="G17">
            <v>14837.329653268933</v>
          </cell>
          <cell r="H17">
            <v>15221.886888209265</v>
          </cell>
        </row>
        <row r="19">
          <cell r="E19">
            <v>2.84</v>
          </cell>
          <cell r="F19">
            <v>2.9259376986649706</v>
          </cell>
        </row>
        <row r="20">
          <cell r="Q20">
            <v>56608.286559139786</v>
          </cell>
          <cell r="R20">
            <v>59486.835346471715</v>
          </cell>
        </row>
        <row r="21">
          <cell r="Q21">
            <v>13161.557351497297</v>
          </cell>
          <cell r="R21">
            <v>13421.294342021614</v>
          </cell>
        </row>
        <row r="22">
          <cell r="Q22">
            <v>64.285714285714278</v>
          </cell>
          <cell r="R22">
            <v>32.498156389065478</v>
          </cell>
        </row>
        <row r="50">
          <cell r="Q50">
            <v>77355.495468361201</v>
          </cell>
          <cell r="R50">
            <v>80909.965034965047</v>
          </cell>
        </row>
        <row r="56">
          <cell r="L56">
            <v>-27955.90051133899</v>
          </cell>
        </row>
        <row r="80">
          <cell r="H80">
            <v>10953.150000000001</v>
          </cell>
          <cell r="I80">
            <v>16511.871999999999</v>
          </cell>
          <cell r="L80">
            <v>-5558.7219999999998</v>
          </cell>
        </row>
        <row r="85">
          <cell r="H85">
            <v>10301.92511111111</v>
          </cell>
          <cell r="I85">
            <v>10763.841630000001</v>
          </cell>
          <cell r="L85">
            <v>-461.91651888889101</v>
          </cell>
          <cell r="Q85">
            <v>108999.86128571429</v>
          </cell>
          <cell r="R85">
            <v>116414.49459631278</v>
          </cell>
        </row>
        <row r="86">
          <cell r="H86">
            <v>200255.48561036034</v>
          </cell>
          <cell r="I86">
            <v>252014.21399999995</v>
          </cell>
          <cell r="K86">
            <v>58316.090987857169</v>
          </cell>
          <cell r="M86">
            <v>27419.176432010398</v>
          </cell>
        </row>
        <row r="89">
          <cell r="Q89">
            <v>69834.129624922789</v>
          </cell>
          <cell r="R89">
            <v>72940.627844882387</v>
          </cell>
        </row>
      </sheetData>
      <sheetData sheetId="19" refreshError="1">
        <row r="2">
          <cell r="N2">
            <v>12000</v>
          </cell>
        </row>
        <row r="5">
          <cell r="T5">
            <v>12000</v>
          </cell>
          <cell r="U5">
            <v>10103</v>
          </cell>
        </row>
        <row r="9">
          <cell r="E9">
            <v>235.19</v>
          </cell>
          <cell r="F9">
            <v>213.01658936149212</v>
          </cell>
          <cell r="G9">
            <v>100000</v>
          </cell>
          <cell r="H9">
            <v>99910.008681503459</v>
          </cell>
        </row>
        <row r="10">
          <cell r="E10">
            <v>13.340000000000002</v>
          </cell>
          <cell r="F10">
            <v>49.905952827395652</v>
          </cell>
          <cell r="G10">
            <v>93100.000000000015</v>
          </cell>
          <cell r="H10">
            <v>97325.119693210756</v>
          </cell>
        </row>
        <row r="11">
          <cell r="E11">
            <v>0</v>
          </cell>
          <cell r="F11">
            <v>0</v>
          </cell>
        </row>
        <row r="12">
          <cell r="E12">
            <v>60.02</v>
          </cell>
          <cell r="F12">
            <v>63.006224217901945</v>
          </cell>
          <cell r="G12">
            <v>65000</v>
          </cell>
          <cell r="H12">
            <v>64999.986608025341</v>
          </cell>
        </row>
        <row r="13">
          <cell r="E13">
            <v>29.849999999999998</v>
          </cell>
          <cell r="F13">
            <v>16.426334747853552</v>
          </cell>
          <cell r="G13">
            <v>36000</v>
          </cell>
          <cell r="H13">
            <v>35999.995193695569</v>
          </cell>
        </row>
        <row r="14">
          <cell r="E14">
            <v>0</v>
          </cell>
          <cell r="F14">
            <v>0</v>
          </cell>
        </row>
        <row r="15">
          <cell r="E15">
            <v>338.40000000000003</v>
          </cell>
          <cell r="F15">
            <v>342.35510115464325</v>
          </cell>
        </row>
        <row r="16">
          <cell r="E16">
            <v>764.82</v>
          </cell>
          <cell r="F16">
            <v>601.69199644725154</v>
          </cell>
          <cell r="G16">
            <v>12533.333333333334</v>
          </cell>
          <cell r="H16">
            <v>12968.478967745323</v>
          </cell>
        </row>
        <row r="17">
          <cell r="E17">
            <v>979.78000000000009</v>
          </cell>
          <cell r="F17">
            <v>1137.7795322214549</v>
          </cell>
          <cell r="G17">
            <v>14400.152984333205</v>
          </cell>
          <cell r="H17">
            <v>15377.716599358835</v>
          </cell>
        </row>
        <row r="19">
          <cell r="E19">
            <v>2.83</v>
          </cell>
          <cell r="F19">
            <v>2.7977894009671358</v>
          </cell>
        </row>
        <row r="20">
          <cell r="Q20">
            <v>55440.879890989992</v>
          </cell>
          <cell r="R20">
            <v>58208.806276522257</v>
          </cell>
        </row>
        <row r="21">
          <cell r="Q21">
            <v>17129.656330645161</v>
          </cell>
          <cell r="R21">
            <v>14447.567058126911</v>
          </cell>
        </row>
        <row r="22">
          <cell r="Q22">
            <v>250</v>
          </cell>
          <cell r="R22">
            <v>202.79117734135991</v>
          </cell>
        </row>
        <row r="50">
          <cell r="Q50">
            <v>80419.105789761874</v>
          </cell>
          <cell r="R50">
            <v>83406.677588078557</v>
          </cell>
        </row>
        <row r="56">
          <cell r="L56">
            <v>-30128.287826035685</v>
          </cell>
        </row>
        <row r="80">
          <cell r="H80">
            <v>30120.300000000003</v>
          </cell>
          <cell r="I80">
            <v>45519.494000000006</v>
          </cell>
          <cell r="L80">
            <v>-15399.194</v>
          </cell>
        </row>
        <row r="85">
          <cell r="H85">
            <v>23608.662666666667</v>
          </cell>
          <cell r="I85">
            <v>21050.289380000002</v>
          </cell>
          <cell r="L85">
            <v>2558.3732866666669</v>
          </cell>
          <cell r="Q85">
            <v>102339.39666666668</v>
          </cell>
          <cell r="R85">
            <v>99690.626150648313</v>
          </cell>
        </row>
        <row r="86">
          <cell r="H86">
            <v>209314.5278561911</v>
          </cell>
          <cell r="I86">
            <v>98002.098999999958</v>
          </cell>
          <cell r="K86">
            <v>-26760.528523333578</v>
          </cell>
          <cell r="M86">
            <v>-41582.791793488403</v>
          </cell>
        </row>
        <row r="89">
          <cell r="Q89">
            <v>72820.53622163515</v>
          </cell>
          <cell r="R89">
            <v>72859.16451199053</v>
          </cell>
        </row>
      </sheetData>
      <sheetData sheetId="20" refreshError="1">
        <row r="2">
          <cell r="N2">
            <v>6000</v>
          </cell>
        </row>
        <row r="5">
          <cell r="T5">
            <v>6000</v>
          </cell>
          <cell r="U5">
            <v>2108.5</v>
          </cell>
        </row>
        <row r="9">
          <cell r="E9">
            <v>345</v>
          </cell>
          <cell r="F9">
            <v>209.46789186625563</v>
          </cell>
          <cell r="G9">
            <v>117000</v>
          </cell>
          <cell r="H9">
            <v>117000.00713213388</v>
          </cell>
        </row>
        <row r="10">
          <cell r="E10">
            <v>0</v>
          </cell>
          <cell r="F10">
            <v>99.403846336257971</v>
          </cell>
          <cell r="G10">
            <v>0</v>
          </cell>
          <cell r="H10">
            <v>116999.99441775282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308.8717382025136</v>
          </cell>
        </row>
        <row r="16">
          <cell r="E16">
            <v>709.9</v>
          </cell>
          <cell r="F16">
            <v>672.75551339815047</v>
          </cell>
          <cell r="G16">
            <v>18143.333333333339</v>
          </cell>
          <cell r="H16">
            <v>17734.009397217491</v>
          </cell>
        </row>
        <row r="17">
          <cell r="E17">
            <v>1036.3</v>
          </cell>
          <cell r="F17">
            <v>996.05406687218385</v>
          </cell>
          <cell r="G17">
            <v>18434.396565946467</v>
          </cell>
          <cell r="H17">
            <v>16971.753373520369</v>
          </cell>
        </row>
        <row r="19">
          <cell r="E19">
            <v>3.06</v>
          </cell>
          <cell r="F19">
            <v>3.0495944984586187</v>
          </cell>
        </row>
        <row r="20">
          <cell r="Q20">
            <v>74702.517494623666</v>
          </cell>
          <cell r="R20">
            <v>67260.064500829962</v>
          </cell>
        </row>
        <row r="21">
          <cell r="Q21">
            <v>16626.410256410258</v>
          </cell>
          <cell r="R21">
            <v>18512.948067346453</v>
          </cell>
        </row>
        <row r="22">
          <cell r="Q22">
            <v>0</v>
          </cell>
          <cell r="R22">
            <v>310.46241403841594</v>
          </cell>
        </row>
        <row r="50">
          <cell r="Q50">
            <v>102008.17025103391</v>
          </cell>
          <cell r="R50">
            <v>121518.19966801042</v>
          </cell>
        </row>
        <row r="56">
          <cell r="L56">
            <v>-41136.886855695011</v>
          </cell>
        </row>
        <row r="80">
          <cell r="H80">
            <v>15781.390000000001</v>
          </cell>
          <cell r="I80">
            <v>17822.421000000002</v>
          </cell>
          <cell r="L80">
            <v>-2041.0309999999999</v>
          </cell>
        </row>
        <row r="85">
          <cell r="H85">
            <v>10105.497842236317</v>
          </cell>
          <cell r="I85">
            <v>12136.01217</v>
          </cell>
          <cell r="L85">
            <v>-2030.5143277636835</v>
          </cell>
          <cell r="Q85">
            <v>126800</v>
          </cell>
          <cell r="R85">
            <v>116432.63836850841</v>
          </cell>
        </row>
        <row r="86">
          <cell r="H86">
            <v>122864.09065156021</v>
          </cell>
          <cell r="I86">
            <v>-40681.329000000027</v>
          </cell>
          <cell r="K86">
            <v>-21859.582000000006</v>
          </cell>
          <cell r="M86">
            <v>-96477.405468101555</v>
          </cell>
        </row>
        <row r="89">
          <cell r="Q89">
            <v>91328.927751033916</v>
          </cell>
          <cell r="R89">
            <v>86083.47498221483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98458.403249077324</v>
          </cell>
        </row>
        <row r="89">
          <cell r="Q89">
            <v>75642.93710700846</v>
          </cell>
        </row>
        <row r="90">
          <cell r="Q90">
            <v>22815.466142068864</v>
          </cell>
        </row>
      </sheetData>
      <sheetData sheetId="1">
        <row r="5">
          <cell r="T5">
            <v>129828.5</v>
          </cell>
        </row>
        <row r="85">
          <cell r="Q85">
            <v>96078.533356158267</v>
          </cell>
        </row>
        <row r="89">
          <cell r="Q89">
            <v>75077.479179387461</v>
          </cell>
        </row>
        <row r="90">
          <cell r="Q90">
            <v>21001.054176770805</v>
          </cell>
        </row>
      </sheetData>
      <sheetData sheetId="2">
        <row r="5">
          <cell r="T5">
            <v>132887</v>
          </cell>
        </row>
        <row r="85">
          <cell r="Q85">
            <v>99478.729682684381</v>
          </cell>
        </row>
        <row r="89">
          <cell r="Q89">
            <v>76717.351486976229</v>
          </cell>
        </row>
        <row r="90">
          <cell r="Q90">
            <v>22761.378195708152</v>
          </cell>
        </row>
      </sheetData>
      <sheetData sheetId="3">
        <row r="5">
          <cell r="T5">
            <v>52475</v>
          </cell>
        </row>
        <row r="85">
          <cell r="Q85">
            <v>101710.76613364882</v>
          </cell>
        </row>
        <row r="89">
          <cell r="Q89">
            <v>74309.454004349653</v>
          </cell>
        </row>
        <row r="90">
          <cell r="Q90">
            <v>27401.312129299171</v>
          </cell>
        </row>
      </sheetData>
      <sheetData sheetId="4">
        <row r="85">
          <cell r="Q85">
            <v>94220.972542752774</v>
          </cell>
        </row>
        <row r="89">
          <cell r="Q89">
            <v>74023.093970453978</v>
          </cell>
        </row>
      </sheetData>
      <sheetData sheetId="5">
        <row r="85">
          <cell r="Q85">
            <v>100716.90576159132</v>
          </cell>
        </row>
        <row r="89">
          <cell r="Q89">
            <v>79628.744877553981</v>
          </cell>
        </row>
      </sheetData>
      <sheetData sheetId="6">
        <row r="85">
          <cell r="Q85">
            <v>95605.395566295425</v>
          </cell>
        </row>
        <row r="89">
          <cell r="Q89">
            <v>74000.888456958754</v>
          </cell>
        </row>
      </sheetData>
      <sheetData sheetId="7">
        <row r="85">
          <cell r="Q85">
            <v>92784.692443390493</v>
          </cell>
        </row>
        <row r="89">
          <cell r="Q89">
            <v>70716.173277480862</v>
          </cell>
        </row>
      </sheetData>
      <sheetData sheetId="8">
        <row r="85">
          <cell r="Q85">
            <v>107319.72504208538</v>
          </cell>
        </row>
        <row r="89">
          <cell r="Q89">
            <v>82938.800642758768</v>
          </cell>
        </row>
      </sheetData>
      <sheetData sheetId="9">
        <row r="85">
          <cell r="Q85">
            <v>100854.5329484122</v>
          </cell>
        </row>
        <row r="89">
          <cell r="Q89">
            <v>77345.656293135908</v>
          </cell>
        </row>
      </sheetData>
      <sheetData sheetId="10">
        <row r="85">
          <cell r="Q85">
            <v>101199.27980576023</v>
          </cell>
        </row>
        <row r="89">
          <cell r="Q89">
            <v>81202.894172806424</v>
          </cell>
        </row>
      </sheetData>
      <sheetData sheetId="11">
        <row r="85">
          <cell r="Q85">
            <v>101564.54430513117</v>
          </cell>
        </row>
        <row r="89">
          <cell r="Q89">
            <v>78824.168738150416</v>
          </cell>
        </row>
      </sheetData>
      <sheetData sheetId="12">
        <row r="85">
          <cell r="Q85">
            <v>91057.131111437382</v>
          </cell>
        </row>
        <row r="89">
          <cell r="Q89">
            <v>72000.401115842018</v>
          </cell>
        </row>
      </sheetData>
      <sheetData sheetId="13">
        <row r="85">
          <cell r="Q85">
            <v>98038.320496894419</v>
          </cell>
        </row>
        <row r="89">
          <cell r="Q89">
            <v>71948.623304347828</v>
          </cell>
        </row>
      </sheetData>
      <sheetData sheetId="14">
        <row r="85">
          <cell r="Q85">
            <v>93852.399907695857</v>
          </cell>
        </row>
        <row r="89">
          <cell r="Q89">
            <v>70301.483500634597</v>
          </cell>
        </row>
      </sheetData>
      <sheetData sheetId="15">
        <row r="85">
          <cell r="Q85">
            <v>98714.521956642566</v>
          </cell>
        </row>
        <row r="89">
          <cell r="Q89">
            <v>82398.019872151213</v>
          </cell>
        </row>
      </sheetData>
      <sheetData sheetId="16">
        <row r="85">
          <cell r="Q85">
            <v>95112.138250372082</v>
          </cell>
        </row>
        <row r="89">
          <cell r="Q89">
            <v>74003.769090909074</v>
          </cell>
        </row>
      </sheetData>
      <sheetData sheetId="17">
        <row r="85">
          <cell r="Q85">
            <v>101937.84732671281</v>
          </cell>
        </row>
        <row r="89">
          <cell r="Q89">
            <v>65834.361119470355</v>
          </cell>
        </row>
      </sheetData>
      <sheetData sheetId="18">
        <row r="85">
          <cell r="Q85">
            <v>104590.21133821827</v>
          </cell>
        </row>
        <row r="89">
          <cell r="Q89">
            <v>70455.437202725298</v>
          </cell>
        </row>
      </sheetData>
      <sheetData sheetId="19">
        <row r="85">
          <cell r="Q85">
            <v>104935.93288042089</v>
          </cell>
        </row>
        <row r="89">
          <cell r="Q89">
            <v>73694.536139347183</v>
          </cell>
        </row>
      </sheetData>
      <sheetData sheetId="20">
        <row r="85">
          <cell r="Q85">
            <v>120155.3436286622</v>
          </cell>
        </row>
        <row r="89">
          <cell r="Q89">
            <v>89424.38439816449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/>
          <cell r="O3"/>
          <cell r="P3"/>
          <cell r="Q3">
            <v>77967.343999999997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/>
          <cell r="O4"/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/>
          <cell r="O5"/>
          <cell r="P5"/>
          <cell r="Q5">
            <v>77967.343999999997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/>
          <cell r="O6"/>
          <cell r="P6"/>
          <cell r="Q6">
            <v>65195016.577000007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/>
          <cell r="O7"/>
          <cell r="P7"/>
          <cell r="Q7">
            <v>12737374.479999997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/>
          <cell r="O8"/>
          <cell r="P8"/>
          <cell r="Q8">
            <v>77932391.057000011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9672935.4979999997</v>
          </cell>
          <cell r="L9">
            <v>7922980.0959999999</v>
          </cell>
          <cell r="M9">
            <v>6356016.352</v>
          </cell>
          <cell r="N9"/>
          <cell r="O9"/>
          <cell r="P9"/>
          <cell r="Q9">
            <v>63812818.318000004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1520077.4580000006</v>
          </cell>
          <cell r="L10">
            <v>1369739.6770000001</v>
          </cell>
          <cell r="M10">
            <v>1219178.892</v>
          </cell>
          <cell r="N10"/>
          <cell r="O10"/>
          <cell r="P10"/>
          <cell r="Q10">
            <v>12419165.838000003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/>
          <cell r="O11"/>
          <cell r="P11"/>
          <cell r="Q11">
            <v>76231984.156000003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80872.994000000879</v>
          </cell>
          <cell r="L12">
            <v>152869.85000000056</v>
          </cell>
          <cell r="M12">
            <v>112911.66500000004</v>
          </cell>
          <cell r="N12"/>
          <cell r="O12"/>
          <cell r="P12"/>
          <cell r="Q12">
            <v>1382198.2590000033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40762.702999997884</v>
          </cell>
          <cell r="L13">
            <v>47588.837000000291</v>
          </cell>
          <cell r="M13">
            <v>32718.951999999583</v>
          </cell>
          <cell r="N13"/>
          <cell r="O13"/>
          <cell r="P13"/>
          <cell r="Q13">
            <v>318208.64199999347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/>
          <cell r="O14"/>
          <cell r="P14"/>
          <cell r="Q14">
            <v>1700406.901000008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/>
          <cell r="O15"/>
          <cell r="P15"/>
          <cell r="Q15">
            <v>608490.01</v>
          </cell>
          <cell r="S15">
            <v>14656.359999999993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/>
          <cell r="O16"/>
          <cell r="P16"/>
          <cell r="Q16">
            <v>142448.43600000002</v>
          </cell>
          <cell r="S16">
            <v>8553.369999999999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/>
          <cell r="O17"/>
          <cell r="P17"/>
          <cell r="Q17">
            <v>64957.88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/>
          <cell r="O18"/>
          <cell r="P18"/>
          <cell r="Q18">
            <v>815896.326</v>
          </cell>
          <cell r="S18">
            <v>23209.729999999996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/>
          <cell r="O19"/>
          <cell r="P19"/>
          <cell r="Q19">
            <v>115552.712</v>
          </cell>
          <cell r="S19">
            <v>11695.410000000002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/>
          <cell r="O20"/>
          <cell r="P20"/>
          <cell r="Q20">
            <v>16849.352999999996</v>
          </cell>
          <cell r="S20">
            <v>-143.03899999999999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/>
          <cell r="O21"/>
          <cell r="P21"/>
          <cell r="Q21">
            <v>28581.781999999996</v>
          </cell>
          <cell r="S21">
            <v>1248.7800000000002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/>
          <cell r="O22"/>
          <cell r="P22"/>
          <cell r="Q22">
            <v>1300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/>
          <cell r="O23"/>
          <cell r="P23"/>
          <cell r="Q23">
            <v>14401.778</v>
          </cell>
          <cell r="S23">
            <v>-120.30799999999999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/>
          <cell r="O24"/>
          <cell r="P24"/>
          <cell r="Q24">
            <v>3685.0869999999995</v>
          </cell>
          <cell r="S24">
            <v>-228.10000000000002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/>
          <cell r="O25"/>
          <cell r="P25"/>
          <cell r="Q25">
            <v>2257.2190000000001</v>
          </cell>
          <cell r="S25">
            <v>82.09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/>
          <cell r="O26"/>
          <cell r="P26"/>
          <cell r="Q26">
            <v>29242.21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/>
          <cell r="O27"/>
          <cell r="P27"/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/>
          <cell r="O28"/>
          <cell r="P28"/>
          <cell r="Q28">
            <v>65778.929999999993</v>
          </cell>
          <cell r="S28">
            <v>-242.3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/>
          <cell r="O29"/>
          <cell r="P29"/>
          <cell r="Q29">
            <v>1098.3389999999999</v>
          </cell>
          <cell r="S29">
            <v>-143.34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/>
          <cell r="O30"/>
          <cell r="P30"/>
          <cell r="Q30">
            <v>54849.385000000009</v>
          </cell>
          <cell r="S30">
            <v>-746.7489999999998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/>
          <cell r="O31"/>
          <cell r="P31"/>
          <cell r="Q31">
            <v>68463.695999999996</v>
          </cell>
          <cell r="S31">
            <v>5543.79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/>
          <cell r="O32"/>
          <cell r="P32"/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/>
          <cell r="O33"/>
          <cell r="P33"/>
          <cell r="Q33">
            <v>-6066.5280000000002</v>
          </cell>
          <cell r="S33">
            <v>194.53100000000001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/>
          <cell r="O34"/>
          <cell r="P34"/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/>
          <cell r="O35"/>
          <cell r="P35"/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/>
          <cell r="O36"/>
          <cell r="P36"/>
          <cell r="Q36">
            <v>395993.96299999999</v>
          </cell>
          <cell r="S36">
            <v>17140.765000000007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/>
          <cell r="O37"/>
          <cell r="P37"/>
          <cell r="Q37">
            <v>1211890.2889999999</v>
          </cell>
          <cell r="S37">
            <v>40350.494999999995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/>
          <cell r="O38"/>
          <cell r="P38"/>
          <cell r="Q38">
            <v>488516.61200000811</v>
          </cell>
          <cell r="S38">
            <v>-95178.565000001225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/>
          <cell r="O39"/>
          <cell r="P39"/>
          <cell r="Q39">
            <v>49018.241999999998</v>
          </cell>
          <cell r="S39">
            <v>-74.609999999999673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/>
          <cell r="O40"/>
          <cell r="P40"/>
          <cell r="Q40">
            <v>439498.37000000814</v>
          </cell>
          <cell r="S40">
            <v>-95103.955000001224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/>
          <cell r="O41"/>
          <cell r="P41"/>
          <cell r="Q41">
            <v>5.639482685428676E-3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/>
          <cell r="O43"/>
          <cell r="P43"/>
          <cell r="Q43">
            <v>836183.62807126029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I44">
            <v>2.607951153265552E-2</v>
          </cell>
          <cell r="J44">
            <v>3.568968550509475E-2</v>
          </cell>
          <cell r="K44">
            <v>1.0750284938609023E-2</v>
          </cell>
          <cell r="L44">
            <v>2.1116076964595568E-2</v>
          </cell>
          <cell r="M44">
            <v>1.8862051757392903E-2</v>
          </cell>
          <cell r="N44"/>
          <cell r="O44"/>
          <cell r="P44"/>
          <cell r="Q44">
            <v>2.181900077666454E-2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/>
          <cell r="O46"/>
          <cell r="P46"/>
          <cell r="Q46"/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/>
          <cell r="O47"/>
          <cell r="P47"/>
          <cell r="Q47"/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  <cell r="I49">
            <v>132554.527</v>
          </cell>
          <cell r="J49">
            <v>130827.359</v>
          </cell>
          <cell r="K49">
            <v>161205.31300000002</v>
          </cell>
          <cell r="L49">
            <v>120933.93399999998</v>
          </cell>
          <cell r="M49">
            <v>161209.81899999999</v>
          </cell>
          <cell r="N49"/>
          <cell r="O49"/>
          <cell r="P49"/>
          <cell r="Q49"/>
          <cell r="R49"/>
          <cell r="S49"/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  <cell r="I50">
            <v>162554.527</v>
          </cell>
          <cell r="J50">
            <v>160827.359</v>
          </cell>
          <cell r="K50">
            <v>191205.31300000002</v>
          </cell>
          <cell r="L50">
            <v>150933.93399999998</v>
          </cell>
          <cell r="M50">
            <v>191209.81899999999</v>
          </cell>
          <cell r="N50"/>
          <cell r="O50"/>
          <cell r="P50"/>
          <cell r="Q50"/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  <cell r="I52">
            <v>0.81243687934850584</v>
          </cell>
          <cell r="J52">
            <v>0.79591306854871746</v>
          </cell>
          <cell r="K52">
            <v>0.86205138057149011</v>
          </cell>
          <cell r="L52">
            <v>0.85070031918477174</v>
          </cell>
          <cell r="M52">
            <v>0.83785441265763061</v>
          </cell>
          <cell r="N52"/>
          <cell r="O52"/>
          <cell r="P52"/>
          <cell r="Q52"/>
          <cell r="R52"/>
          <cell r="S52"/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  <cell r="I53">
            <v>0.18756312065149416</v>
          </cell>
          <cell r="J53">
            <v>0.20408693145128257</v>
          </cell>
          <cell r="K53">
            <v>0.13794861942850986</v>
          </cell>
          <cell r="L53">
            <v>0.14929968081522826</v>
          </cell>
          <cell r="M53">
            <v>0.16214558734236936</v>
          </cell>
          <cell r="N53"/>
          <cell r="O53"/>
          <cell r="P53"/>
          <cell r="Q53"/>
          <cell r="R53"/>
          <cell r="S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  <cell r="I55">
            <v>2.7812889049050216E-2</v>
          </cell>
          <cell r="J55">
            <v>3.0345726629506187E-2</v>
          </cell>
          <cell r="K55">
            <v>2.6115872732209833E-2</v>
          </cell>
          <cell r="L55">
            <v>3.3576433783650161E-2</v>
          </cell>
          <cell r="M55">
            <v>2.6135480747740303E-2</v>
          </cell>
          <cell r="N55"/>
          <cell r="O55"/>
          <cell r="P55"/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2.7823178707229314E-2</v>
          </cell>
          <cell r="F57">
            <v>2.7130154457106714E-2</v>
          </cell>
          <cell r="G57">
            <v>1.8797000201944851E-2</v>
          </cell>
          <cell r="H57">
            <v>1.8146921038230335E-2</v>
          </cell>
          <cell r="I57">
            <v>2.5679335587291203E-2</v>
          </cell>
          <cell r="J57">
            <v>3.7059976070507129E-2</v>
          </cell>
          <cell r="K57">
            <v>8.2914272990219449E-3</v>
          </cell>
          <cell r="L57">
            <v>1.8929258347069412E-2</v>
          </cell>
          <cell r="M57">
            <v>1.7454463042914401E-2</v>
          </cell>
          <cell r="N57"/>
          <cell r="O57"/>
          <cell r="P57"/>
          <cell r="Q57"/>
          <cell r="R57"/>
          <cell r="S57"/>
        </row>
        <row r="58">
          <cell r="E58">
            <v>2.2005694548837322E-2</v>
          </cell>
          <cell r="F58">
            <v>1.5188168703492945E-2</v>
          </cell>
          <cell r="G58">
            <v>1.7650951996336726E-2</v>
          </cell>
          <cell r="H58">
            <v>2.0045029420160815E-2</v>
          </cell>
          <cell r="I58">
            <v>2.7812889049050205E-2</v>
          </cell>
          <cell r="J58">
            <v>3.0345726629506131E-2</v>
          </cell>
          <cell r="K58">
            <v>2.6115872732209847E-2</v>
          </cell>
          <cell r="L58">
            <v>3.3576433783650161E-2</v>
          </cell>
          <cell r="M58">
            <v>2.6135480747740303E-2</v>
          </cell>
          <cell r="N58"/>
          <cell r="O58"/>
          <cell r="P58"/>
          <cell r="Q58"/>
          <cell r="R58"/>
          <cell r="S58"/>
        </row>
        <row r="59">
          <cell r="E59">
            <v>2.6651369945751794E-2</v>
          </cell>
          <cell r="F59">
            <v>2.5582238806566245E-2</v>
          </cell>
          <cell r="G59">
            <v>1.8641220384622476E-2</v>
          </cell>
          <cell r="H59">
            <v>1.847120545626342E-2</v>
          </cell>
          <cell r="I59">
            <v>2.607951153265552E-2</v>
          </cell>
          <cell r="J59">
            <v>3.568968550509475E-2</v>
          </cell>
          <cell r="K59">
            <v>1.0750284938609023E-2</v>
          </cell>
          <cell r="L59">
            <v>2.1116076964595568E-2</v>
          </cell>
          <cell r="M59">
            <v>1.8862051757392903E-2</v>
          </cell>
          <cell r="N59"/>
          <cell r="O59"/>
          <cell r="P59"/>
        </row>
      </sheetData>
      <sheetData sheetId="1">
        <row r="8">
          <cell r="G8">
            <v>6425.0929999999998</v>
          </cell>
        </row>
      </sheetData>
      <sheetData sheetId="2">
        <row r="8">
          <cell r="G8">
            <v>6645.402</v>
          </cell>
        </row>
      </sheetData>
      <sheetData sheetId="3">
        <row r="8">
          <cell r="G8">
            <v>8665.0679999999993</v>
          </cell>
        </row>
      </sheetData>
      <sheetData sheetId="4">
        <row r="8">
          <cell r="G8">
            <v>8574.9830000000002</v>
          </cell>
        </row>
      </sheetData>
      <sheetData sheetId="5">
        <row r="8">
          <cell r="G8">
            <v>9787.4410000000007</v>
          </cell>
        </row>
      </sheetData>
      <sheetData sheetId="6">
        <row r="8">
          <cell r="G8">
            <v>7982.0609999999997</v>
          </cell>
        </row>
      </sheetData>
      <sheetData sheetId="7">
        <row r="8">
          <cell r="G8">
            <v>12986.909999999998</v>
          </cell>
        </row>
      </sheetData>
      <sheetData sheetId="8">
        <row r="8">
          <cell r="G8">
            <v>9545.7580000000016</v>
          </cell>
        </row>
      </sheetData>
      <sheetData sheetId="9">
        <row r="8">
          <cell r="G8">
            <v>7354.6280000000006</v>
          </cell>
        </row>
        <row r="9">
          <cell r="G9">
            <v>6468928.017</v>
          </cell>
          <cell r="J9">
            <v>1251897.8439999996</v>
          </cell>
        </row>
        <row r="10">
          <cell r="F10">
            <v>977692.30769230775</v>
          </cell>
          <cell r="G10">
            <v>879572.42936012533</v>
          </cell>
        </row>
        <row r="11">
          <cell r="G11">
            <v>6356016.352</v>
          </cell>
          <cell r="J11">
            <v>1219178.892</v>
          </cell>
        </row>
        <row r="15">
          <cell r="F15">
            <v>2.3298190401258852E-2</v>
          </cell>
          <cell r="G15">
            <v>1.7454463042914401E-2</v>
          </cell>
        </row>
        <row r="19">
          <cell r="M19">
            <v>106849.64499999999</v>
          </cell>
        </row>
        <row r="37">
          <cell r="M37">
            <v>48884.406000000003</v>
          </cell>
        </row>
        <row r="40">
          <cell r="M40">
            <v>5475.768</v>
          </cell>
        </row>
        <row r="41">
          <cell r="M41">
            <v>-15579.202000000358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  <row r="10">
          <cell r="G10">
            <v>1007624.1816933632</v>
          </cell>
        </row>
        <row r="15">
          <cell r="G15">
            <v>1.4432643168234078E-2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187</v>
          </cell>
        </row>
        <row r="48">
          <cell r="Q48">
            <v>17011.795321480207</v>
          </cell>
          <cell r="R48">
            <v>8956</v>
          </cell>
        </row>
        <row r="53">
          <cell r="R53">
            <v>5397.5</v>
          </cell>
        </row>
        <row r="54">
          <cell r="R54">
            <v>245688</v>
          </cell>
        </row>
        <row r="64">
          <cell r="R64">
            <v>3276</v>
          </cell>
        </row>
        <row r="65">
          <cell r="R65">
            <v>1312</v>
          </cell>
        </row>
        <row r="66">
          <cell r="R66">
            <v>1632</v>
          </cell>
        </row>
        <row r="76">
          <cell r="R76">
            <v>88832</v>
          </cell>
        </row>
        <row r="77">
          <cell r="R77">
            <v>36736</v>
          </cell>
        </row>
        <row r="78">
          <cell r="R78">
            <v>44880</v>
          </cell>
        </row>
        <row r="79">
          <cell r="R79">
            <v>75240</v>
          </cell>
        </row>
        <row r="80">
          <cell r="R80">
            <v>0</v>
          </cell>
        </row>
        <row r="81">
          <cell r="I81">
            <v>-3665.9721609149383</v>
          </cell>
        </row>
        <row r="82">
          <cell r="R82">
            <v>12637.243</v>
          </cell>
        </row>
      </sheetData>
      <sheetData sheetId="1">
        <row r="59">
          <cell r="F59">
            <v>1050</v>
          </cell>
          <cell r="I59">
            <v>0</v>
          </cell>
          <cell r="N59">
            <v>32300</v>
          </cell>
          <cell r="O59">
            <v>1050</v>
          </cell>
        </row>
        <row r="60">
          <cell r="F60">
            <v>0</v>
          </cell>
          <cell r="I60">
            <v>0</v>
          </cell>
        </row>
        <row r="61">
          <cell r="F61">
            <v>0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0</v>
          </cell>
          <cell r="I66">
            <v>0</v>
          </cell>
          <cell r="N66">
            <v>14369.63</v>
          </cell>
          <cell r="O66">
            <v>0</v>
          </cell>
        </row>
        <row r="71">
          <cell r="F71">
            <v>12075</v>
          </cell>
          <cell r="I71">
            <v>0</v>
          </cell>
        </row>
        <row r="72">
          <cell r="F72">
            <v>0</v>
          </cell>
          <cell r="I72">
            <v>0</v>
          </cell>
        </row>
        <row r="86">
          <cell r="F86">
            <v>-87578.77742416448</v>
          </cell>
          <cell r="I86">
            <v>0</v>
          </cell>
        </row>
        <row r="87">
          <cell r="F87">
            <v>0</v>
          </cell>
          <cell r="I87">
            <v>0</v>
          </cell>
        </row>
      </sheetData>
      <sheetData sheetId="2">
        <row r="59">
          <cell r="F59">
            <v>6704</v>
          </cell>
          <cell r="I59">
            <v>6832</v>
          </cell>
          <cell r="L59">
            <v>0</v>
          </cell>
          <cell r="N59">
            <v>20000</v>
          </cell>
          <cell r="O59">
            <v>13536</v>
          </cell>
        </row>
        <row r="60">
          <cell r="F60">
            <v>6970</v>
          </cell>
          <cell r="I60">
            <v>5436</v>
          </cell>
          <cell r="L60">
            <v>0</v>
          </cell>
        </row>
        <row r="61">
          <cell r="F61">
            <v>6464</v>
          </cell>
          <cell r="I61">
            <v>3152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1200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13434</v>
          </cell>
          <cell r="I66">
            <v>9788</v>
          </cell>
          <cell r="L66">
            <v>0</v>
          </cell>
          <cell r="N66">
            <v>21116.309768000385</v>
          </cell>
          <cell r="O66">
            <v>23222</v>
          </cell>
        </row>
        <row r="71">
          <cell r="F71">
            <v>87152</v>
          </cell>
          <cell r="I71">
            <v>129808</v>
          </cell>
          <cell r="L71">
            <v>0</v>
          </cell>
        </row>
        <row r="72">
          <cell r="F72">
            <v>199543</v>
          </cell>
          <cell r="I72">
            <v>206082</v>
          </cell>
          <cell r="L72">
            <v>0</v>
          </cell>
        </row>
        <row r="86">
          <cell r="F86">
            <v>-65768.337883860338</v>
          </cell>
          <cell r="I86">
            <v>-27301.435751794386</v>
          </cell>
          <cell r="L86">
            <v>0</v>
          </cell>
        </row>
        <row r="87">
          <cell r="F87">
            <v>-108423.86041681981</v>
          </cell>
          <cell r="I87">
            <v>-20242.113557525481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11799</v>
          </cell>
        </row>
        <row r="48">
          <cell r="R48">
            <v>15670</v>
          </cell>
        </row>
      </sheetData>
      <sheetData sheetId="1"/>
      <sheetData sheetId="2">
        <row r="59">
          <cell r="O59">
            <v>12896</v>
          </cell>
        </row>
        <row r="66">
          <cell r="O66">
            <v>20232</v>
          </cell>
        </row>
      </sheetData>
      <sheetData sheetId="3"/>
      <sheetData sheetId="4">
        <row r="59">
          <cell r="O59">
            <v>5312</v>
          </cell>
        </row>
        <row r="66">
          <cell r="O66">
            <v>16000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101812.77437543269</v>
          </cell>
          <cell r="R85">
            <v>101167.04881691915</v>
          </cell>
        </row>
        <row r="89">
          <cell r="Q89">
            <v>76513.657451871724</v>
          </cell>
          <cell r="R89">
            <v>78862.46728159608</v>
          </cell>
        </row>
      </sheetData>
      <sheetData sheetId="1">
        <row r="85">
          <cell r="Q85">
            <v>99577.656795860297</v>
          </cell>
          <cell r="R85">
            <v>99076.406132854987</v>
          </cell>
        </row>
        <row r="89">
          <cell r="Q89">
            <v>78010.102557085222</v>
          </cell>
          <cell r="R89">
            <v>80800.204799494124</v>
          </cell>
        </row>
      </sheetData>
      <sheetData sheetId="2">
        <row r="85">
          <cell r="Q85">
            <v>102156.60394290263</v>
          </cell>
          <cell r="R85">
            <v>101125.79342513959</v>
          </cell>
        </row>
        <row r="89">
          <cell r="Q89">
            <v>75290.791507460774</v>
          </cell>
          <cell r="R89">
            <v>78591.615110637038</v>
          </cell>
        </row>
      </sheetData>
      <sheetData sheetId="3">
        <row r="85">
          <cell r="Q85">
            <v>105896.24620044052</v>
          </cell>
          <cell r="R85">
            <v>105285.08994136998</v>
          </cell>
        </row>
        <row r="89">
          <cell r="Q89">
            <v>76182.664578197626</v>
          </cell>
          <cell r="R89">
            <v>75825.962706816747</v>
          </cell>
        </row>
      </sheetData>
      <sheetData sheetId="4">
        <row r="85">
          <cell r="Q85">
            <v>100189.0737837838</v>
          </cell>
          <cell r="R85">
            <v>99684.171921484201</v>
          </cell>
        </row>
        <row r="89">
          <cell r="Q89">
            <v>79028.932605439069</v>
          </cell>
          <cell r="R89">
            <v>81441.595387351845</v>
          </cell>
        </row>
      </sheetData>
      <sheetData sheetId="5">
        <row r="85">
          <cell r="Q85">
            <v>101547.50897644542</v>
          </cell>
          <cell r="R85">
            <v>99965.701191674088</v>
          </cell>
        </row>
        <row r="89">
          <cell r="Q89">
            <v>81151.822719110205</v>
          </cell>
          <cell r="R89">
            <v>82345.503357963928</v>
          </cell>
        </row>
      </sheetData>
      <sheetData sheetId="6">
        <row r="85">
          <cell r="Q85">
            <v>98553.764977814062</v>
          </cell>
          <cell r="R85">
            <v>97669.561846317039</v>
          </cell>
        </row>
        <row r="89">
          <cell r="Q89">
            <v>76286.031415248392</v>
          </cell>
          <cell r="R89">
            <v>80630.911460417003</v>
          </cell>
        </row>
      </sheetData>
      <sheetData sheetId="7">
        <row r="85">
          <cell r="Q85">
            <v>95579.784386617102</v>
          </cell>
          <cell r="R85">
            <v>97948.633763579288</v>
          </cell>
        </row>
        <row r="89">
          <cell r="Q89">
            <v>71663.359064313438</v>
          </cell>
          <cell r="R89">
            <v>75397.686317268075</v>
          </cell>
        </row>
      </sheetData>
      <sheetData sheetId="8">
        <row r="85">
          <cell r="Q85">
            <v>107600.03701825842</v>
          </cell>
          <cell r="R85">
            <v>108121.3395774293</v>
          </cell>
        </row>
        <row r="89">
          <cell r="Q89">
            <v>78337.483773070227</v>
          </cell>
          <cell r="R89">
            <v>83970.264187235967</v>
          </cell>
        </row>
      </sheetData>
      <sheetData sheetId="9">
        <row r="85">
          <cell r="Q85">
            <v>103787.67566037734</v>
          </cell>
          <cell r="R85">
            <v>101146.83903888524</v>
          </cell>
        </row>
        <row r="89">
          <cell r="Q89">
            <v>76948.079010604721</v>
          </cell>
          <cell r="R89">
            <v>78909.296380007829</v>
          </cell>
        </row>
      </sheetData>
      <sheetData sheetId="10">
        <row r="85">
          <cell r="Q85">
            <v>100999.89423076925</v>
          </cell>
          <cell r="R85">
            <v>95792.183456542436</v>
          </cell>
        </row>
        <row r="89">
          <cell r="Q89">
            <v>76387.787490127375</v>
          </cell>
          <cell r="R89">
            <v>78786.82704707318</v>
          </cell>
        </row>
      </sheetData>
      <sheetData sheetId="11">
        <row r="85">
          <cell r="Q85">
            <v>104000</v>
          </cell>
          <cell r="R85">
            <v>101435.34929189694</v>
          </cell>
        </row>
        <row r="89">
          <cell r="Q89">
            <v>78232.248989976564</v>
          </cell>
          <cell r="R89">
            <v>81822.96916236823</v>
          </cell>
        </row>
      </sheetData>
      <sheetData sheetId="12">
        <row r="85">
          <cell r="Q85">
            <v>96661.820893617027</v>
          </cell>
          <cell r="R85">
            <v>92565.700055860478</v>
          </cell>
        </row>
        <row r="89">
          <cell r="Q89">
            <v>70320.794082876484</v>
          </cell>
          <cell r="R89">
            <v>73029.102760069858</v>
          </cell>
        </row>
      </sheetData>
      <sheetData sheetId="13">
        <row r="85">
          <cell r="Q85">
            <v>100763.03873239436</v>
          </cell>
          <cell r="R85">
            <v>101455.63995527635</v>
          </cell>
        </row>
        <row r="89">
          <cell r="Q89">
            <v>72293.279815392714</v>
          </cell>
          <cell r="R89">
            <v>74911.761469241828</v>
          </cell>
        </row>
      </sheetData>
      <sheetData sheetId="14">
        <row r="85">
          <cell r="Q85">
            <v>97776.879432624119</v>
          </cell>
          <cell r="R85">
            <v>100805.66197243356</v>
          </cell>
        </row>
        <row r="89">
          <cell r="Q89">
            <v>69644.426858849823</v>
          </cell>
          <cell r="R89">
            <v>74446.444647210621</v>
          </cell>
        </row>
      </sheetData>
      <sheetData sheetId="15">
        <row r="85">
          <cell r="Q85">
            <v>100178.6789189189</v>
          </cell>
          <cell r="R85">
            <v>103990.06996307154</v>
          </cell>
        </row>
        <row r="89">
          <cell r="Q89">
            <v>78375.056712717138</v>
          </cell>
          <cell r="R89">
            <v>80241.74110145295</v>
          </cell>
        </row>
      </sheetData>
      <sheetData sheetId="16">
        <row r="85">
          <cell r="Q85">
            <v>100999.96649746192</v>
          </cell>
          <cell r="R85">
            <v>101260.30661874369</v>
          </cell>
        </row>
        <row r="89">
          <cell r="Q89">
            <v>76543.439518941042</v>
          </cell>
          <cell r="R89">
            <v>76950.847480163531</v>
          </cell>
        </row>
      </sheetData>
      <sheetData sheetId="17">
        <row r="85">
          <cell r="Q85">
            <v>107900</v>
          </cell>
          <cell r="R85">
            <v>112473.27552642034</v>
          </cell>
        </row>
        <row r="89">
          <cell r="Q89">
            <v>73368.015794524239</v>
          </cell>
          <cell r="R89">
            <v>73811.46791815653</v>
          </cell>
        </row>
      </sheetData>
      <sheetData sheetId="18">
        <row r="85">
          <cell r="Q85">
            <v>109026.09149152541</v>
          </cell>
          <cell r="R85">
            <v>113449.09707499853</v>
          </cell>
        </row>
        <row r="89">
          <cell r="Q89">
            <v>69679.927312678148</v>
          </cell>
          <cell r="R89">
            <v>72317.710525111324</v>
          </cell>
        </row>
      </sheetData>
      <sheetData sheetId="19">
        <row r="85">
          <cell r="Q85">
            <v>102696.75939423077</v>
          </cell>
          <cell r="R85">
            <v>96338.475793464051</v>
          </cell>
        </row>
        <row r="89">
          <cell r="Q89">
            <v>73585.157283844586</v>
          </cell>
          <cell r="R89">
            <v>71733.330078888277</v>
          </cell>
        </row>
      </sheetData>
      <sheetData sheetId="20">
        <row r="85">
          <cell r="Q85">
            <v>126763.26530612246</v>
          </cell>
          <cell r="R85">
            <v>124904.44754199976</v>
          </cell>
        </row>
        <row r="89">
          <cell r="Q89">
            <v>90659.986807120411</v>
          </cell>
          <cell r="R89">
            <v>89107.933447477728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96518.388715415713</v>
          </cell>
        </row>
        <row r="89">
          <cell r="Q89">
            <v>72237.319898098111</v>
          </cell>
        </row>
      </sheetData>
      <sheetData sheetId="1">
        <row r="85">
          <cell r="Q85">
            <v>93201.231543459784</v>
          </cell>
        </row>
        <row r="89">
          <cell r="Q89">
            <v>73255.308550502785</v>
          </cell>
        </row>
      </sheetData>
      <sheetData sheetId="2">
        <row r="85">
          <cell r="Q85">
            <v>98010.53911424824</v>
          </cell>
        </row>
        <row r="89">
          <cell r="Q89">
            <v>71816.43757288855</v>
          </cell>
        </row>
      </sheetData>
      <sheetData sheetId="3">
        <row r="85">
          <cell r="Q85">
            <v>100295.67705482144</v>
          </cell>
        </row>
        <row r="89">
          <cell r="Q89">
            <v>70984.621550441341</v>
          </cell>
        </row>
      </sheetData>
      <sheetData sheetId="4">
        <row r="85">
          <cell r="Q85">
            <v>92912.316817369821</v>
          </cell>
        </row>
        <row r="89">
          <cell r="Q89">
            <v>72942.374620313873</v>
          </cell>
        </row>
      </sheetData>
      <sheetData sheetId="5">
        <row r="85">
          <cell r="Q85">
            <v>95811.617161933769</v>
          </cell>
        </row>
        <row r="89">
          <cell r="Q89">
            <v>75972.432056782651</v>
          </cell>
        </row>
      </sheetData>
      <sheetData sheetId="6">
        <row r="85">
          <cell r="Q85">
            <v>92102.674808206255</v>
          </cell>
        </row>
        <row r="89">
          <cell r="Q89">
            <v>73131.663015495331</v>
          </cell>
        </row>
      </sheetData>
      <sheetData sheetId="7">
        <row r="85">
          <cell r="Q85">
            <v>89668.989428587331</v>
          </cell>
        </row>
        <row r="89">
          <cell r="Q89">
            <v>68014.937227210801</v>
          </cell>
        </row>
      </sheetData>
      <sheetData sheetId="8">
        <row r="85">
          <cell r="Q85">
            <v>103121.5037551057</v>
          </cell>
        </row>
        <row r="89">
          <cell r="Q89">
            <v>74328.83429961295</v>
          </cell>
        </row>
      </sheetData>
      <sheetData sheetId="9">
        <row r="85">
          <cell r="Q85">
            <v>100701.86596988357</v>
          </cell>
        </row>
        <row r="89">
          <cell r="Q89">
            <v>74211.611439277636</v>
          </cell>
        </row>
      </sheetData>
      <sheetData sheetId="10">
        <row r="85">
          <cell r="Q85">
            <v>97918.474469286171</v>
          </cell>
        </row>
        <row r="89">
          <cell r="Q89">
            <v>74094.354444995639</v>
          </cell>
        </row>
      </sheetData>
      <sheetData sheetId="11">
        <row r="85">
          <cell r="Q85">
            <v>100811.48251873527</v>
          </cell>
        </row>
        <row r="89">
          <cell r="Q89">
            <v>75189.007282103921</v>
          </cell>
        </row>
      </sheetData>
      <sheetData sheetId="12">
        <row r="85">
          <cell r="Q85">
            <v>93622.357438132618</v>
          </cell>
        </row>
        <row r="89">
          <cell r="Q89">
            <v>68603.93705710044</v>
          </cell>
        </row>
      </sheetData>
      <sheetData sheetId="13">
        <row r="85">
          <cell r="Q85">
            <v>95544.960374966045</v>
          </cell>
        </row>
        <row r="89">
          <cell r="Q89">
            <v>67516.206037517972</v>
          </cell>
        </row>
      </sheetData>
      <sheetData sheetId="14">
        <row r="85">
          <cell r="Q85">
            <v>93250.300855361944</v>
          </cell>
        </row>
        <row r="89">
          <cell r="Q89">
            <v>67049.12255180729</v>
          </cell>
        </row>
      </sheetData>
      <sheetData sheetId="15">
        <row r="85">
          <cell r="Q85">
            <v>95068.358933418494</v>
          </cell>
        </row>
        <row r="89">
          <cell r="Q89">
            <v>73979.251994362858</v>
          </cell>
        </row>
      </sheetData>
      <sheetData sheetId="16">
        <row r="85">
          <cell r="Q85">
            <v>95730.927920194314</v>
          </cell>
        </row>
        <row r="89">
          <cell r="Q89">
            <v>70461.690545682577</v>
          </cell>
        </row>
      </sheetData>
      <sheetData sheetId="17">
        <row r="85">
          <cell r="Q85">
            <v>101414.71192509978</v>
          </cell>
        </row>
        <row r="89">
          <cell r="Q89">
            <v>67339.715361951283</v>
          </cell>
        </row>
      </sheetData>
      <sheetData sheetId="18">
        <row r="85">
          <cell r="Q85">
            <v>98351.434687636516</v>
          </cell>
        </row>
        <row r="89">
          <cell r="Q89">
            <v>64869.079999417649</v>
          </cell>
        </row>
      </sheetData>
      <sheetData sheetId="19">
        <row r="85">
          <cell r="Q85">
            <v>98723.219702399438</v>
          </cell>
        </row>
        <row r="89">
          <cell r="Q89">
            <v>69567.779990800846</v>
          </cell>
        </row>
      </sheetData>
      <sheetData sheetId="20">
        <row r="85">
          <cell r="Q85">
            <v>119412.98935544859</v>
          </cell>
        </row>
        <row r="89">
          <cell r="Q89">
            <v>83843.537075548069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</row>
        <row r="23">
          <cell r="R23">
            <v>304775.57553683931</v>
          </cell>
          <cell r="S23">
            <v>1.4014710369451358E-2</v>
          </cell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  <row r="39">
          <cell r="R39">
            <v>17800</v>
          </cell>
        </row>
        <row r="40">
          <cell r="G40">
            <v>70540000</v>
          </cell>
          <cell r="H40">
            <v>17746960.000000007</v>
          </cell>
          <cell r="I40">
            <v>88286960</v>
          </cell>
          <cell r="R40">
            <v>17390000</v>
          </cell>
          <cell r="S40">
            <v>4356833.684210524</v>
          </cell>
          <cell r="T40">
            <v>21746833.684210524</v>
          </cell>
        </row>
        <row r="41">
          <cell r="G41">
            <v>0.79898549004292363</v>
          </cell>
          <cell r="H41">
            <v>0.20101450995707643</v>
          </cell>
          <cell r="R41">
            <v>976966.29213483143</v>
          </cell>
        </row>
        <row r="42">
          <cell r="R42">
            <v>0.79965664208974752</v>
          </cell>
          <cell r="S42">
            <v>0.20034335791025251</v>
          </cell>
        </row>
        <row r="43">
          <cell r="G43">
            <v>665131.35501777369</v>
          </cell>
          <cell r="H43">
            <v>167338.5249822262</v>
          </cell>
          <cell r="I43">
            <v>832469.87999999989</v>
          </cell>
          <cell r="Q43">
            <v>167008.94</v>
          </cell>
          <cell r="R43">
            <v>133549.80815936811</v>
          </cell>
          <cell r="S43">
            <v>33459.13184063189</v>
          </cell>
        </row>
        <row r="44">
          <cell r="G44">
            <v>343858.81807007489</v>
          </cell>
          <cell r="H44">
            <v>86510.471929924868</v>
          </cell>
          <cell r="I44">
            <v>430369.28999999975</v>
          </cell>
          <cell r="Q44">
            <v>84326.16</v>
          </cell>
          <cell r="R44">
            <v>67431.973945922786</v>
          </cell>
          <cell r="S44">
            <v>16894.186054077221</v>
          </cell>
        </row>
      </sheetData>
      <sheetData sheetId="2">
        <row r="5">
          <cell r="G5" t="str">
            <v>1월</v>
          </cell>
        </row>
      </sheetData>
      <sheetData sheetId="3">
        <row r="5">
          <cell r="G5" t="str">
            <v>1월</v>
          </cell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</row>
        <row r="13">
          <cell r="S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</row>
        <row r="25"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</row>
        <row r="37">
          <cell r="S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</row>
        <row r="65">
          <cell r="S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I151">
            <v>41897.1</v>
          </cell>
          <cell r="J151">
            <v>44590.06</v>
          </cell>
          <cell r="S151">
            <v>86487.16</v>
          </cell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 refreshError="1"/>
      <sheetData sheetId="3">
        <row r="4">
          <cell r="G4" t="str">
            <v>1월</v>
          </cell>
        </row>
      </sheetData>
      <sheetData sheetId="4">
        <row r="25">
          <cell r="G25">
            <v>5000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S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 refreshError="1"/>
      <sheetData sheetId="3">
        <row r="4">
          <cell r="G4" t="str">
            <v>1월</v>
          </cell>
        </row>
      </sheetData>
      <sheetData sheetId="4">
        <row r="25">
          <cell r="G25">
            <v>50000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 refreshError="1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  <sheetName val="Sheet1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285778625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0</v>
          </cell>
          <cell r="P22">
            <v>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121975000</v>
          </cell>
          <cell r="O16">
            <v>127746000</v>
          </cell>
          <cell r="P16">
            <v>249721000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77568000</v>
          </cell>
          <cell r="O17">
            <v>56736000</v>
          </cell>
          <cell r="P17">
            <v>134304000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21600000</v>
          </cell>
          <cell r="P19">
            <v>21600000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199543000</v>
          </cell>
          <cell r="O22">
            <v>206082000</v>
          </cell>
          <cell r="P22">
            <v>405625000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 x14ac:dyDescent="0.3"/>
  <cols>
    <col min="13" max="13" width="15.75" customWidth="1"/>
  </cols>
  <sheetData>
    <row r="6" spans="1:13" x14ac:dyDescent="0.3">
      <c r="A6" s="804" t="s">
        <v>235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</row>
    <row r="7" spans="1:13" x14ac:dyDescent="0.3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</row>
    <row r="8" spans="1:13" x14ac:dyDescent="0.3">
      <c r="A8" s="805"/>
      <c r="B8" s="805"/>
      <c r="C8" s="805"/>
      <c r="D8" s="805"/>
      <c r="E8" s="805"/>
      <c r="F8" s="805"/>
      <c r="G8" s="805"/>
      <c r="H8" s="805"/>
      <c r="I8" s="805"/>
      <c r="J8" s="805"/>
      <c r="K8" s="805"/>
      <c r="L8" s="805"/>
      <c r="M8" s="805"/>
    </row>
    <row r="9" spans="1:13" x14ac:dyDescent="0.3">
      <c r="A9" s="805"/>
      <c r="B9" s="805"/>
      <c r="C9" s="805"/>
      <c r="D9" s="805"/>
      <c r="E9" s="805"/>
      <c r="F9" s="805"/>
      <c r="G9" s="805"/>
      <c r="H9" s="805"/>
      <c r="I9" s="805"/>
      <c r="J9" s="805"/>
      <c r="K9" s="805"/>
      <c r="L9" s="805"/>
      <c r="M9" s="805"/>
    </row>
    <row r="10" spans="1:13" x14ac:dyDescent="0.3">
      <c r="A10" s="805"/>
      <c r="B10" s="805"/>
      <c r="C10" s="805"/>
      <c r="D10" s="805"/>
      <c r="E10" s="805"/>
      <c r="F10" s="805"/>
      <c r="G10" s="805"/>
      <c r="H10" s="805"/>
      <c r="I10" s="805"/>
      <c r="J10" s="805"/>
      <c r="K10" s="805"/>
      <c r="L10" s="805"/>
      <c r="M10" s="805"/>
    </row>
    <row r="11" spans="1:13" x14ac:dyDescent="0.3">
      <c r="A11" s="805"/>
      <c r="B11" s="805"/>
      <c r="C11" s="805"/>
      <c r="D11" s="805"/>
      <c r="E11" s="805"/>
      <c r="F11" s="805"/>
      <c r="G11" s="805"/>
      <c r="H11" s="805"/>
      <c r="I11" s="805"/>
      <c r="J11" s="805"/>
      <c r="K11" s="805"/>
      <c r="L11" s="805"/>
      <c r="M11" s="805"/>
    </row>
    <row r="12" spans="1:13" x14ac:dyDescent="0.3">
      <c r="A12" s="805"/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5"/>
    </row>
    <row r="13" spans="1:13" x14ac:dyDescent="0.3">
      <c r="A13" s="805"/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5"/>
    </row>
    <row r="14" spans="1:13" x14ac:dyDescent="0.3">
      <c r="A14" s="805"/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5"/>
    </row>
    <row r="24" spans="1:13" x14ac:dyDescent="0.3">
      <c r="A24" s="806" t="s">
        <v>120</v>
      </c>
      <c r="B24" s="806"/>
      <c r="C24" s="806"/>
      <c r="D24" s="806"/>
      <c r="E24" s="806"/>
      <c r="F24" s="806"/>
      <c r="G24" s="806"/>
      <c r="H24" s="806"/>
      <c r="I24" s="806"/>
      <c r="J24" s="806"/>
      <c r="K24" s="806"/>
      <c r="L24" s="806"/>
      <c r="M24" s="806"/>
    </row>
    <row r="25" spans="1:13" x14ac:dyDescent="0.3">
      <c r="A25" s="806"/>
      <c r="B25" s="806"/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view="pageBreakPreview" zoomScale="70" zoomScaleNormal="70" zoomScaleSheetLayoutView="70" workbookViewId="0">
      <selection activeCell="J34" sqref="J3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236</v>
      </c>
      <c r="Z3" s="672" t="s">
        <v>237</v>
      </c>
    </row>
    <row r="4" spans="1:38" ht="20.100000000000001" customHeight="1" x14ac:dyDescent="0.3">
      <c r="H4" s="597"/>
      <c r="X4" s="5" t="s">
        <v>142</v>
      </c>
      <c r="AK4" s="5" t="s">
        <v>208</v>
      </c>
    </row>
    <row r="5" spans="1:38" ht="27" customHeight="1" thickBot="1" x14ac:dyDescent="0.35">
      <c r="C5" s="809" t="s">
        <v>78</v>
      </c>
      <c r="D5" s="810"/>
      <c r="E5" s="132" t="s">
        <v>238</v>
      </c>
      <c r="F5" s="133"/>
      <c r="G5" s="133"/>
      <c r="H5" s="133"/>
      <c r="I5" s="134"/>
      <c r="J5" s="133" t="s">
        <v>239</v>
      </c>
      <c r="K5" s="133"/>
      <c r="L5" s="133"/>
      <c r="M5" s="133"/>
      <c r="N5" s="134"/>
      <c r="O5" s="135"/>
      <c r="P5" s="809" t="s">
        <v>240</v>
      </c>
      <c r="Q5" s="810"/>
      <c r="R5" s="810"/>
      <c r="S5" s="810"/>
      <c r="T5" s="810"/>
      <c r="U5" s="810"/>
      <c r="V5" s="810"/>
      <c r="W5" s="810"/>
      <c r="X5" s="813"/>
      <c r="Z5" s="825" t="s">
        <v>203</v>
      </c>
      <c r="AA5" s="822"/>
      <c r="AB5" s="822" t="str">
        <f>+E5</f>
        <v>9월</v>
      </c>
      <c r="AC5" s="823"/>
      <c r="AD5" s="822"/>
      <c r="AE5" s="822"/>
      <c r="AF5" s="824"/>
      <c r="AG5" s="825" t="str">
        <f>+J5</f>
        <v>9월 누계</v>
      </c>
      <c r="AH5" s="823"/>
      <c r="AI5" s="822"/>
      <c r="AJ5" s="822"/>
      <c r="AK5" s="826"/>
    </row>
    <row r="6" spans="1:38" ht="27" customHeight="1" thickTop="1" thickBot="1" x14ac:dyDescent="0.35">
      <c r="C6" s="811"/>
      <c r="D6" s="812"/>
      <c r="E6" s="208" t="s">
        <v>79</v>
      </c>
      <c r="F6" s="327" t="s">
        <v>80</v>
      </c>
      <c r="G6" s="324" t="s">
        <v>81</v>
      </c>
      <c r="H6" s="136" t="s">
        <v>82</v>
      </c>
      <c r="I6" s="137" t="s">
        <v>83</v>
      </c>
      <c r="J6" s="208" t="s">
        <v>79</v>
      </c>
      <c r="K6" s="327" t="s">
        <v>80</v>
      </c>
      <c r="L6" s="324" t="s">
        <v>81</v>
      </c>
      <c r="M6" s="136" t="s">
        <v>82</v>
      </c>
      <c r="N6" s="137" t="s">
        <v>83</v>
      </c>
      <c r="O6" s="135"/>
      <c r="P6" s="811"/>
      <c r="Q6" s="812"/>
      <c r="R6" s="812"/>
      <c r="S6" s="812"/>
      <c r="T6" s="812"/>
      <c r="U6" s="812"/>
      <c r="V6" s="812"/>
      <c r="W6" s="812"/>
      <c r="X6" s="814"/>
      <c r="Z6" s="828"/>
      <c r="AA6" s="829"/>
      <c r="AB6" s="688" t="str">
        <f>+E6</f>
        <v>계획</v>
      </c>
      <c r="AC6" s="689" t="str">
        <f>+F6</f>
        <v>실적</v>
      </c>
      <c r="AD6" s="690" t="str">
        <f>+G6</f>
        <v>계획대비</v>
      </c>
      <c r="AE6" s="691" t="str">
        <f t="shared" ref="AE6:AK7" si="0">+H6</f>
        <v>전년</v>
      </c>
      <c r="AF6" s="692" t="str">
        <f t="shared" si="0"/>
        <v>전년대비</v>
      </c>
      <c r="AG6" s="693" t="str">
        <f t="shared" si="0"/>
        <v>계획</v>
      </c>
      <c r="AH6" s="689" t="str">
        <f t="shared" si="0"/>
        <v>실적</v>
      </c>
      <c r="AI6" s="690" t="str">
        <f t="shared" si="0"/>
        <v>계획대비</v>
      </c>
      <c r="AJ6" s="691" t="str">
        <f t="shared" si="0"/>
        <v>전년</v>
      </c>
      <c r="AK6" s="688" t="str">
        <f t="shared" si="0"/>
        <v>전년대비</v>
      </c>
    </row>
    <row r="7" spans="1:38" ht="21.75" customHeight="1" x14ac:dyDescent="0.3">
      <c r="A7" s="597">
        <f>+F7/E7</f>
        <v>0.81900970537261697</v>
      </c>
      <c r="B7" s="597">
        <f>+K7/J7</f>
        <v>0.99106937095825975</v>
      </c>
      <c r="C7" s="100" t="s">
        <v>0</v>
      </c>
      <c r="D7" s="101" t="s">
        <v>53</v>
      </c>
      <c r="E7" s="769">
        <f>+'[1]9월'!$Z$7/1000</f>
        <v>288.5</v>
      </c>
      <c r="F7" s="770">
        <f>+'[2]9월'!$Z$7/1000</f>
        <v>236.2843</v>
      </c>
      <c r="G7" s="745">
        <f>+F7-E7</f>
        <v>-52.215699999999998</v>
      </c>
      <c r="H7" s="746">
        <f>+'[3]9월'!$Z$7/1000</f>
        <v>315.19049999999999</v>
      </c>
      <c r="I7" s="747">
        <f>+F7-H7</f>
        <v>-78.906199999999984</v>
      </c>
      <c r="J7" s="769">
        <f>+[4]손익총괄!J7+E7</f>
        <v>2551.5</v>
      </c>
      <c r="K7" s="770">
        <f>+[4]손익총괄!K7+F7</f>
        <v>2528.7134999999998</v>
      </c>
      <c r="L7" s="745">
        <f t="shared" ref="L7:L36" si="1">+K7-J7</f>
        <v>-22.78650000000016</v>
      </c>
      <c r="M7" s="746">
        <f>+[4]손익총괄!M7+H7</f>
        <v>2850.0050000000001</v>
      </c>
      <c r="N7" s="747">
        <f t="shared" ref="N7:N36" si="2">+K7-M7</f>
        <v>-321.29150000000027</v>
      </c>
      <c r="O7" s="99"/>
      <c r="P7" s="102"/>
      <c r="Q7" s="103" t="s">
        <v>105</v>
      </c>
      <c r="R7" s="103"/>
      <c r="S7" s="99"/>
      <c r="T7" s="99"/>
      <c r="U7" s="99"/>
      <c r="V7" s="99"/>
      <c r="W7" s="99"/>
      <c r="X7" s="104"/>
      <c r="Y7" s="597"/>
      <c r="Z7" s="821" t="s">
        <v>204</v>
      </c>
      <c r="AA7" s="731" t="str">
        <f>+D7</f>
        <v>레미콘</v>
      </c>
      <c r="AB7" s="732">
        <f>+E7</f>
        <v>288.5</v>
      </c>
      <c r="AC7" s="733">
        <f t="shared" ref="AC7" si="3">+F7</f>
        <v>236.2843</v>
      </c>
      <c r="AD7" s="734">
        <f>+AC7-AB7</f>
        <v>-52.215699999999998</v>
      </c>
      <c r="AE7" s="735">
        <f t="shared" si="0"/>
        <v>315.19049999999999</v>
      </c>
      <c r="AF7" s="736">
        <f>+AC7-AE7</f>
        <v>-78.906199999999984</v>
      </c>
      <c r="AG7" s="737">
        <f t="shared" ref="AG7" si="4">+J7</f>
        <v>2551.5</v>
      </c>
      <c r="AH7" s="733">
        <f t="shared" ref="AH7" si="5">+K7</f>
        <v>2528.7134999999998</v>
      </c>
      <c r="AI7" s="734">
        <f>+AH7-AG7</f>
        <v>-22.78650000000016</v>
      </c>
      <c r="AJ7" s="735">
        <f t="shared" ref="AJ7" si="6">+M7</f>
        <v>2850.0050000000001</v>
      </c>
      <c r="AK7" s="732">
        <f>+AH7-AJ7</f>
        <v>-321.29150000000027</v>
      </c>
    </row>
    <row r="8" spans="1:38" ht="21.75" customHeight="1" x14ac:dyDescent="0.3">
      <c r="B8" s="597"/>
      <c r="C8" s="100"/>
      <c r="D8" s="105" t="s">
        <v>86</v>
      </c>
      <c r="E8" s="771">
        <f>+'[1]9월'!$AA$7</f>
        <v>6500</v>
      </c>
      <c r="F8" s="772">
        <f>+'[2]9월'!$AO$7</f>
        <v>7354.6280000000006</v>
      </c>
      <c r="G8" s="748">
        <f>+F8-E8</f>
        <v>854.62800000000061</v>
      </c>
      <c r="H8" s="749">
        <f>+'[3]9월'!$AO$7</f>
        <v>6990.5029999999997</v>
      </c>
      <c r="I8" s="750">
        <f>+F8-H8</f>
        <v>364.12500000000091</v>
      </c>
      <c r="J8" s="771">
        <f>+[4]손익총괄!J8+E8</f>
        <v>63300</v>
      </c>
      <c r="K8" s="772">
        <f>+[4]손익총괄!K8+F8</f>
        <v>77967.343999999997</v>
      </c>
      <c r="L8" s="748">
        <f t="shared" si="1"/>
        <v>14667.343999999997</v>
      </c>
      <c r="M8" s="749">
        <f>+[4]손익총괄!M8+H8</f>
        <v>69555.719000000012</v>
      </c>
      <c r="N8" s="750">
        <f t="shared" si="2"/>
        <v>8411.6249999999854</v>
      </c>
      <c r="O8" s="99"/>
      <c r="P8" s="102"/>
      <c r="Q8" s="338" t="s">
        <v>70</v>
      </c>
      <c r="R8" s="339"/>
      <c r="S8" s="340" t="s">
        <v>15</v>
      </c>
      <c r="T8" s="341" t="s">
        <v>84</v>
      </c>
      <c r="U8" s="342" t="s">
        <v>71</v>
      </c>
      <c r="V8" s="341" t="s">
        <v>52</v>
      </c>
      <c r="W8" s="343" t="s">
        <v>72</v>
      </c>
      <c r="X8" s="104"/>
      <c r="Y8" s="597"/>
      <c r="Z8" s="821"/>
      <c r="AA8" s="666" t="str">
        <f t="shared" ref="AA8:AA9" si="7">+D8</f>
        <v>철강재</v>
      </c>
      <c r="AB8" s="725">
        <f>+E8/1000</f>
        <v>6.5</v>
      </c>
      <c r="AC8" s="726">
        <f>+F8/1000</f>
        <v>7.3546280000000008</v>
      </c>
      <c r="AD8" s="727">
        <f t="shared" ref="AD8:AD18" si="8">+AC8-AB8</f>
        <v>0.85462800000000083</v>
      </c>
      <c r="AE8" s="728">
        <f>+H8/1000</f>
        <v>6.9905029999999995</v>
      </c>
      <c r="AF8" s="729">
        <f t="shared" ref="AF8:AF21" si="9">+AC8-AE8</f>
        <v>0.36412500000000136</v>
      </c>
      <c r="AG8" s="730">
        <f>+J8/1000</f>
        <v>63.3</v>
      </c>
      <c r="AH8" s="726">
        <f>+K8/1000</f>
        <v>77.967343999999997</v>
      </c>
      <c r="AI8" s="727">
        <f t="shared" ref="AI8:AI22" si="10">+AH8-AG8</f>
        <v>14.667344</v>
      </c>
      <c r="AJ8" s="728">
        <f>+M8/1000</f>
        <v>69.555719000000011</v>
      </c>
      <c r="AK8" s="725">
        <f t="shared" ref="AK8:AK22" si="11">+AH8-AJ8</f>
        <v>8.4116249999999866</v>
      </c>
    </row>
    <row r="9" spans="1:38" ht="21.75" customHeight="1" x14ac:dyDescent="0.3">
      <c r="B9" s="597"/>
      <c r="C9" s="100"/>
      <c r="D9" s="105" t="s">
        <v>1</v>
      </c>
      <c r="E9" s="771">
        <f>+'[1]9월'!$AE$7/1000</f>
        <v>114.2977350894806</v>
      </c>
      <c r="F9" s="772">
        <f>+'[2]9월'!$AN$7/1000</f>
        <v>46.951000000000001</v>
      </c>
      <c r="G9" s="748">
        <f t="shared" ref="G9:G36" si="12">+F9-E9</f>
        <v>-67.346735089480603</v>
      </c>
      <c r="H9" s="749">
        <f>+'[3]9월'!$AN$7/1000</f>
        <v>81.909000000000006</v>
      </c>
      <c r="I9" s="750">
        <f t="shared" ref="I9:I36" si="13">+F9-H9</f>
        <v>-34.958000000000006</v>
      </c>
      <c r="J9" s="771">
        <f>+[4]손익총괄!J9+E9</f>
        <v>856.28674866946187</v>
      </c>
      <c r="K9" s="772">
        <f>+[4]손익총괄!K9+F9</f>
        <v>654.21500000000003</v>
      </c>
      <c r="L9" s="748">
        <f t="shared" si="1"/>
        <v>-202.07174866946184</v>
      </c>
      <c r="M9" s="749">
        <f>+[4]손익총괄!M9+H9</f>
        <v>573.88200000000006</v>
      </c>
      <c r="N9" s="750">
        <f t="shared" si="2"/>
        <v>80.33299999999997</v>
      </c>
      <c r="O9" s="99"/>
      <c r="P9" s="102"/>
      <c r="Q9" s="106" t="s">
        <v>66</v>
      </c>
      <c r="R9" s="301" t="s">
        <v>19</v>
      </c>
      <c r="S9" s="314">
        <f>+[5]수도권!$T$5/1000</f>
        <v>114.5</v>
      </c>
      <c r="T9" s="107">
        <f>+[5]수도권!$U$5/1000</f>
        <v>75.634799999999998</v>
      </c>
      <c r="U9" s="745">
        <f>+T9-S9</f>
        <v>-38.865200000000002</v>
      </c>
      <c r="V9" s="746">
        <f>+[6]수도권!$T$5/1000</f>
        <v>129.82849999999999</v>
      </c>
      <c r="W9" s="747">
        <f>+T9-V9</f>
        <v>-54.193699999999993</v>
      </c>
      <c r="X9" s="104"/>
      <c r="Y9" s="597"/>
      <c r="Z9" s="827"/>
      <c r="AA9" s="668" t="str">
        <f t="shared" si="7"/>
        <v>골재</v>
      </c>
      <c r="AB9" s="674">
        <f t="shared" ref="AB9" si="14">+E9</f>
        <v>114.2977350894806</v>
      </c>
      <c r="AC9" s="680">
        <f t="shared" ref="AC9" si="15">+F9</f>
        <v>46.951000000000001</v>
      </c>
      <c r="AD9" s="677">
        <f t="shared" si="8"/>
        <v>-67.346735089480603</v>
      </c>
      <c r="AE9" s="670">
        <f t="shared" ref="AE9" si="16">+H9</f>
        <v>81.909000000000006</v>
      </c>
      <c r="AF9" s="686">
        <f t="shared" si="9"/>
        <v>-34.958000000000006</v>
      </c>
      <c r="AG9" s="683">
        <f t="shared" ref="AG9" si="17">+J9</f>
        <v>856.28674866946187</v>
      </c>
      <c r="AH9" s="680">
        <f t="shared" ref="AH9" si="18">+K9</f>
        <v>654.21500000000003</v>
      </c>
      <c r="AI9" s="677">
        <f t="shared" si="10"/>
        <v>-202.07174866946184</v>
      </c>
      <c r="AJ9" s="670">
        <f t="shared" ref="AJ9" si="19">+M9</f>
        <v>573.88200000000006</v>
      </c>
      <c r="AK9" s="674">
        <f t="shared" si="11"/>
        <v>80.33299999999997</v>
      </c>
    </row>
    <row r="10" spans="1:38" ht="21.75" customHeight="1" x14ac:dyDescent="0.3">
      <c r="B10" s="597"/>
      <c r="C10" s="108" t="s">
        <v>2</v>
      </c>
      <c r="D10" s="109" t="s">
        <v>53</v>
      </c>
      <c r="E10" s="773">
        <f>+'[1]9월'!$Z$8/1000</f>
        <v>29542.810248058689</v>
      </c>
      <c r="F10" s="774">
        <f>+'[2]9월'!$Z$8/1000</f>
        <v>23619.372680000004</v>
      </c>
      <c r="G10" s="775">
        <f t="shared" si="12"/>
        <v>-5923.4375680586854</v>
      </c>
      <c r="H10" s="776">
        <f>+'[3]9월'!$Z$8/1000</f>
        <v>31031.490164999996</v>
      </c>
      <c r="I10" s="777">
        <f t="shared" si="13"/>
        <v>-7412.1174849999916</v>
      </c>
      <c r="J10" s="773">
        <f>+[4]손익총괄!J10+E10</f>
        <v>259775.29381891651</v>
      </c>
      <c r="K10" s="774">
        <f>+[4]손익총괄!K10+F10</f>
        <v>255794.309186</v>
      </c>
      <c r="L10" s="775">
        <f t="shared" si="1"/>
        <v>-3980.9846329165157</v>
      </c>
      <c r="M10" s="776">
        <f>+[4]손익총괄!M10+H10</f>
        <v>275039.414253</v>
      </c>
      <c r="N10" s="777">
        <f t="shared" si="2"/>
        <v>-19245.105066999997</v>
      </c>
      <c r="O10" s="99"/>
      <c r="P10" s="102"/>
      <c r="Q10" s="110"/>
      <c r="R10" s="302" t="s">
        <v>20</v>
      </c>
      <c r="S10" s="315">
        <f>+[5]영남권!$T$5/1000</f>
        <v>120</v>
      </c>
      <c r="T10" s="111">
        <f>+[5]영남권!$U$5/1000</f>
        <v>111.84399999999999</v>
      </c>
      <c r="U10" s="748">
        <f t="shared" ref="U10:U20" si="20">+T10-S10</f>
        <v>-8.1560000000000059</v>
      </c>
      <c r="V10" s="749">
        <f>+[6]영남권!$T$5/1000</f>
        <v>132.887</v>
      </c>
      <c r="W10" s="750">
        <f t="shared" ref="W10:W20" si="21">+T10-V10</f>
        <v>-21.043000000000006</v>
      </c>
      <c r="X10" s="104"/>
      <c r="Y10" s="597"/>
      <c r="Z10" s="821" t="s">
        <v>205</v>
      </c>
      <c r="AA10" s="731" t="str">
        <f>+D10</f>
        <v>레미콘</v>
      </c>
      <c r="AB10" s="732">
        <f>+E10/100</f>
        <v>295.42810248058692</v>
      </c>
      <c r="AC10" s="733">
        <f t="shared" ref="AC10:AC13" si="22">+F10/100</f>
        <v>236.19372680000004</v>
      </c>
      <c r="AD10" s="734">
        <f t="shared" si="8"/>
        <v>-59.234375680586879</v>
      </c>
      <c r="AE10" s="735">
        <f t="shared" ref="AE10:AE13" si="23">+H10/100</f>
        <v>310.31490164999997</v>
      </c>
      <c r="AF10" s="736">
        <f t="shared" si="9"/>
        <v>-74.121174849999932</v>
      </c>
      <c r="AG10" s="737">
        <f t="shared" ref="AG10:AG13" si="24">+J10/100</f>
        <v>2597.752938189165</v>
      </c>
      <c r="AH10" s="733">
        <f t="shared" ref="AH10:AH13" si="25">+K10/100</f>
        <v>2557.9430918600001</v>
      </c>
      <c r="AI10" s="734">
        <f t="shared" si="10"/>
        <v>-39.809846329164884</v>
      </c>
      <c r="AJ10" s="735">
        <f t="shared" ref="AJ10:AJ13" si="26">+M10/100</f>
        <v>2750.39414253</v>
      </c>
      <c r="AK10" s="732">
        <f t="shared" si="11"/>
        <v>-192.45105066999986</v>
      </c>
    </row>
    <row r="11" spans="1:38" ht="21.75" customHeight="1" x14ac:dyDescent="0.3">
      <c r="B11" s="597"/>
      <c r="C11" s="100"/>
      <c r="D11" s="105" t="s">
        <v>3</v>
      </c>
      <c r="E11" s="771">
        <f>+'[1]9월'!$AA$8/1000</f>
        <v>7946.920000000001</v>
      </c>
      <c r="F11" s="772">
        <f>+'[2]9월'!$AO$8/1000</f>
        <v>7720.8258609999993</v>
      </c>
      <c r="G11" s="748">
        <f>+F11-E11</f>
        <v>-226.09413900000163</v>
      </c>
      <c r="H11" s="749">
        <f>+'[3]9월'!$AO$8/1000</f>
        <v>9395.2205450000001</v>
      </c>
      <c r="I11" s="750">
        <f>+F11-H11</f>
        <v>-1674.3946840000008</v>
      </c>
      <c r="J11" s="771">
        <f>+[4]손익총괄!J11+E11</f>
        <v>77413.543157894746</v>
      </c>
      <c r="K11" s="772">
        <f>+[4]손익총괄!K11+F11</f>
        <v>77932.391057000001</v>
      </c>
      <c r="L11" s="748">
        <f t="shared" si="1"/>
        <v>518.84789910525433</v>
      </c>
      <c r="M11" s="749">
        <f>+[4]손익총괄!M11+H11</f>
        <v>85026.683772999997</v>
      </c>
      <c r="N11" s="750">
        <f t="shared" si="2"/>
        <v>-7094.2927159999963</v>
      </c>
      <c r="O11" s="99"/>
      <c r="P11" s="102"/>
      <c r="Q11" s="110"/>
      <c r="R11" s="303" t="s">
        <v>170</v>
      </c>
      <c r="S11" s="316">
        <f>+[5]중부권!$T$5/1000</f>
        <v>54</v>
      </c>
      <c r="T11" s="112">
        <f>+[5]중부권!$U$5/1000</f>
        <v>48.805500000000002</v>
      </c>
      <c r="U11" s="751">
        <f t="shared" si="20"/>
        <v>-5.1944999999999979</v>
      </c>
      <c r="V11" s="752">
        <f>+[6]중부권!$T$5/1000</f>
        <v>52.475000000000001</v>
      </c>
      <c r="W11" s="753">
        <f t="shared" si="21"/>
        <v>-3.6694999999999993</v>
      </c>
      <c r="X11" s="104"/>
      <c r="Y11" s="597"/>
      <c r="Z11" s="821"/>
      <c r="AA11" s="666" t="str">
        <f t="shared" ref="AA11:AA13" si="27">+D11</f>
        <v>건자재</v>
      </c>
      <c r="AB11" s="673">
        <f t="shared" ref="AB11:AB13" si="28">+E11/100</f>
        <v>79.469200000000015</v>
      </c>
      <c r="AC11" s="679">
        <f t="shared" si="22"/>
        <v>77.208258609999987</v>
      </c>
      <c r="AD11" s="676">
        <f t="shared" si="8"/>
        <v>-2.2609413900000277</v>
      </c>
      <c r="AE11" s="669">
        <f t="shared" si="23"/>
        <v>93.952205450000008</v>
      </c>
      <c r="AF11" s="685">
        <f t="shared" si="9"/>
        <v>-16.743946840000021</v>
      </c>
      <c r="AG11" s="682">
        <f t="shared" si="24"/>
        <v>774.13543157894742</v>
      </c>
      <c r="AH11" s="679">
        <f t="shared" si="25"/>
        <v>779.32391056999995</v>
      </c>
      <c r="AI11" s="676">
        <f t="shared" si="10"/>
        <v>5.1884789910525342</v>
      </c>
      <c r="AJ11" s="669">
        <f t="shared" si="26"/>
        <v>850.26683773000002</v>
      </c>
      <c r="AK11" s="673">
        <f t="shared" si="11"/>
        <v>-70.942927160000067</v>
      </c>
    </row>
    <row r="12" spans="1:38" ht="21.75" customHeight="1" x14ac:dyDescent="0.3">
      <c r="B12" s="597"/>
      <c r="C12" s="100"/>
      <c r="D12" s="105" t="s">
        <v>1</v>
      </c>
      <c r="E12" s="771">
        <f>+'[1]9월'!$AE$8/1000</f>
        <v>2060.2702217215624</v>
      </c>
      <c r="F12" s="772">
        <f>+'[2]9월'!$AN$8/1000</f>
        <v>885.74549999999999</v>
      </c>
      <c r="G12" s="748">
        <f t="shared" si="12"/>
        <v>-1174.5247217215624</v>
      </c>
      <c r="H12" s="749">
        <f>+'[3]9월'!$AN$8/1000</f>
        <v>1574.9459999999999</v>
      </c>
      <c r="I12" s="750">
        <f t="shared" si="13"/>
        <v>-689.20049999999992</v>
      </c>
      <c r="J12" s="771">
        <f>+[4]손익총괄!J12+E12</f>
        <v>16342.76607385366</v>
      </c>
      <c r="K12" s="772">
        <f>+[4]손익총괄!K12+F12</f>
        <v>13129.78558</v>
      </c>
      <c r="L12" s="748">
        <f t="shared" si="1"/>
        <v>-3212.9804938536599</v>
      </c>
      <c r="M12" s="749">
        <f>+[4]손익총괄!M12+H12</f>
        <v>11005.929900000001</v>
      </c>
      <c r="N12" s="750">
        <f t="shared" si="2"/>
        <v>2123.8556799999988</v>
      </c>
      <c r="O12" s="99"/>
      <c r="P12" s="102"/>
      <c r="Q12" s="113" t="s">
        <v>73</v>
      </c>
      <c r="R12" s="304"/>
      <c r="S12" s="317">
        <f>SUM(S9:S11)</f>
        <v>288.5</v>
      </c>
      <c r="T12" s="114">
        <f>SUM(T9:T11)</f>
        <v>236.28429999999997</v>
      </c>
      <c r="U12" s="754">
        <f t="shared" si="20"/>
        <v>-52.215700000000027</v>
      </c>
      <c r="V12" s="755">
        <f>SUM(V9:V11)</f>
        <v>315.19050000000004</v>
      </c>
      <c r="W12" s="756">
        <f t="shared" si="21"/>
        <v>-78.906200000000069</v>
      </c>
      <c r="X12" s="104"/>
      <c r="Z12" s="821"/>
      <c r="AA12" s="666" t="str">
        <f t="shared" si="27"/>
        <v>골재</v>
      </c>
      <c r="AB12" s="673">
        <f t="shared" si="28"/>
        <v>20.602702217215622</v>
      </c>
      <c r="AC12" s="679">
        <f t="shared" si="22"/>
        <v>8.8574549999999999</v>
      </c>
      <c r="AD12" s="676">
        <f t="shared" si="8"/>
        <v>-11.745247217215622</v>
      </c>
      <c r="AE12" s="669">
        <f t="shared" si="23"/>
        <v>15.749459999999999</v>
      </c>
      <c r="AF12" s="685">
        <f t="shared" si="9"/>
        <v>-6.8920049999999993</v>
      </c>
      <c r="AG12" s="682">
        <f t="shared" si="24"/>
        <v>163.42766073853659</v>
      </c>
      <c r="AH12" s="679">
        <f t="shared" si="25"/>
        <v>131.29785580000001</v>
      </c>
      <c r="AI12" s="676">
        <f t="shared" si="10"/>
        <v>-32.12980493853658</v>
      </c>
      <c r="AJ12" s="669">
        <f t="shared" si="26"/>
        <v>110.05929900000001</v>
      </c>
      <c r="AK12" s="673">
        <f t="shared" si="11"/>
        <v>21.238556799999998</v>
      </c>
    </row>
    <row r="13" spans="1:38" ht="21.75" customHeight="1" x14ac:dyDescent="0.3">
      <c r="B13" s="597"/>
      <c r="C13" s="100"/>
      <c r="D13" s="115" t="s">
        <v>4</v>
      </c>
      <c r="E13" s="778">
        <f>+'[1]9월'!$E$8/1000-E10-E11-E12</f>
        <v>165.50750033333088</v>
      </c>
      <c r="F13" s="779">
        <f>+'[2]9월'!$F$8/1000-F10-F11-F12</f>
        <v>165.97438099999908</v>
      </c>
      <c r="G13" s="751">
        <f t="shared" si="12"/>
        <v>0.46688066666820305</v>
      </c>
      <c r="H13" s="752">
        <f>+'[3]9월'!$F$8/1000-H10-H11-H12</f>
        <v>185.37696400000277</v>
      </c>
      <c r="I13" s="753">
        <f t="shared" si="13"/>
        <v>-19.402583000003688</v>
      </c>
      <c r="J13" s="778">
        <f>+[4]손익총괄!J13+E13</f>
        <v>1484.7675029999823</v>
      </c>
      <c r="K13" s="779">
        <f>+[4]손익총괄!K13+F13</f>
        <v>1489.875340999994</v>
      </c>
      <c r="L13" s="751">
        <f t="shared" si="1"/>
        <v>5.1078380000117249</v>
      </c>
      <c r="M13" s="752">
        <f>+[4]손익총괄!M13+H13</f>
        <v>1769.7096150000173</v>
      </c>
      <c r="N13" s="753">
        <f t="shared" si="2"/>
        <v>-279.83427400002324</v>
      </c>
      <c r="O13" s="99"/>
      <c r="P13" s="102"/>
      <c r="Q13" s="106" t="s">
        <v>74</v>
      </c>
      <c r="R13" s="301" t="s">
        <v>19</v>
      </c>
      <c r="S13" s="314">
        <f>+[5]수도권!$T$61</f>
        <v>100857.86676033787</v>
      </c>
      <c r="T13" s="107">
        <f>+[5]수도권!$U$61</f>
        <v>97749.491475587041</v>
      </c>
      <c r="U13" s="745">
        <f t="shared" si="20"/>
        <v>-3108.3752847508295</v>
      </c>
      <c r="V13" s="746">
        <f>+[6]수도권!$Q$85</f>
        <v>96078.533356158267</v>
      </c>
      <c r="W13" s="747">
        <f t="shared" si="21"/>
        <v>1670.9581194287748</v>
      </c>
      <c r="X13" s="104"/>
      <c r="Z13" s="821"/>
      <c r="AA13" s="666" t="str">
        <f t="shared" si="27"/>
        <v>기타</v>
      </c>
      <c r="AB13" s="673">
        <f t="shared" si="28"/>
        <v>1.6550750033333088</v>
      </c>
      <c r="AC13" s="679">
        <f t="shared" si="22"/>
        <v>1.6597438099999908</v>
      </c>
      <c r="AD13" s="676">
        <f t="shared" si="8"/>
        <v>4.6688066666820127E-3</v>
      </c>
      <c r="AE13" s="669">
        <f t="shared" si="23"/>
        <v>1.8537696400000276</v>
      </c>
      <c r="AF13" s="685">
        <f t="shared" si="9"/>
        <v>-0.19402583000003681</v>
      </c>
      <c r="AG13" s="682">
        <f t="shared" si="24"/>
        <v>14.847675029999824</v>
      </c>
      <c r="AH13" s="679">
        <f t="shared" si="25"/>
        <v>14.898753409999941</v>
      </c>
      <c r="AI13" s="676">
        <f t="shared" si="10"/>
        <v>5.1078380000117107E-2</v>
      </c>
      <c r="AJ13" s="669">
        <f t="shared" si="26"/>
        <v>17.697096150000174</v>
      </c>
      <c r="AK13" s="673">
        <f t="shared" si="11"/>
        <v>-2.7983427400002334</v>
      </c>
    </row>
    <row r="14" spans="1:38" ht="21.75" customHeight="1" x14ac:dyDescent="0.3">
      <c r="A14" s="597">
        <f>+F14/E14</f>
        <v>0.8155987441070961</v>
      </c>
      <c r="B14" s="597">
        <f>+K14/J14</f>
        <v>0.98121210754517396</v>
      </c>
      <c r="C14" s="116" t="s">
        <v>8</v>
      </c>
      <c r="D14" s="117"/>
      <c r="E14" s="778">
        <f>SUM(E10:E13)</f>
        <v>39715.507970113584</v>
      </c>
      <c r="F14" s="779">
        <f>SUM(F10:F13)</f>
        <v>32391.918422000006</v>
      </c>
      <c r="G14" s="751">
        <f t="shared" si="12"/>
        <v>-7323.5895481135776</v>
      </c>
      <c r="H14" s="752">
        <f>SUM(H10:H13)</f>
        <v>42187.033673999998</v>
      </c>
      <c r="I14" s="753">
        <f t="shared" si="13"/>
        <v>-9795.1152519999923</v>
      </c>
      <c r="J14" s="778">
        <f>SUM(J10:J13)</f>
        <v>355016.37055366492</v>
      </c>
      <c r="K14" s="779">
        <f>SUM(K10:K13)</f>
        <v>348346.361164</v>
      </c>
      <c r="L14" s="751">
        <f t="shared" si="1"/>
        <v>-6670.0093896649196</v>
      </c>
      <c r="M14" s="752">
        <f>SUM(M10:M13)</f>
        <v>372841.73754099995</v>
      </c>
      <c r="N14" s="753">
        <f t="shared" si="2"/>
        <v>-24495.37637699995</v>
      </c>
      <c r="O14" s="99"/>
      <c r="P14" s="102"/>
      <c r="Q14" s="110"/>
      <c r="R14" s="302" t="s">
        <v>20</v>
      </c>
      <c r="S14" s="315">
        <f>+[5]영남권!$T$61</f>
        <v>102384.24345833332</v>
      </c>
      <c r="T14" s="111">
        <f>+[5]영남권!$U$61</f>
        <v>99624.761690242362</v>
      </c>
      <c r="U14" s="748">
        <f t="shared" si="20"/>
        <v>-2759.4817680909619</v>
      </c>
      <c r="V14" s="749">
        <f>+[6]영남권!$Q$85</f>
        <v>99478.729682684381</v>
      </c>
      <c r="W14" s="750">
        <f t="shared" si="21"/>
        <v>146.03200755798025</v>
      </c>
      <c r="X14" s="104"/>
      <c r="Y14" s="597"/>
      <c r="Z14" s="694"/>
      <c r="AA14" s="704" t="s">
        <v>207</v>
      </c>
      <c r="AB14" s="705">
        <f>SUM(AB10:AB13)</f>
        <v>397.15507970113583</v>
      </c>
      <c r="AC14" s="722">
        <f t="shared" ref="AC14:AJ14" si="29">SUM(AC10:AC13)</f>
        <v>323.91918422000003</v>
      </c>
      <c r="AD14" s="706">
        <f t="shared" si="8"/>
        <v>-73.235895481135799</v>
      </c>
      <c r="AE14" s="707">
        <f t="shared" si="29"/>
        <v>421.87033674000003</v>
      </c>
      <c r="AF14" s="708">
        <f t="shared" si="9"/>
        <v>-97.951152519999994</v>
      </c>
      <c r="AG14" s="709">
        <f t="shared" si="29"/>
        <v>3550.1637055366482</v>
      </c>
      <c r="AH14" s="722">
        <f t="shared" si="29"/>
        <v>3483.4636116400002</v>
      </c>
      <c r="AI14" s="706">
        <f t="shared" si="10"/>
        <v>-66.700093896648013</v>
      </c>
      <c r="AJ14" s="707">
        <f t="shared" si="29"/>
        <v>3728.4173754100002</v>
      </c>
      <c r="AK14" s="705">
        <f t="shared" si="11"/>
        <v>-244.95376377000002</v>
      </c>
    </row>
    <row r="15" spans="1:38" ht="21.75" customHeight="1" x14ac:dyDescent="0.3">
      <c r="C15" s="100" t="s">
        <v>5</v>
      </c>
      <c r="D15" s="109" t="s">
        <v>53</v>
      </c>
      <c r="E15" s="773">
        <f>+('[1]9월'!$Z$10+'[1]9월'!$Z$19)/1000</f>
        <v>24354.330749541361</v>
      </c>
      <c r="F15" s="774">
        <f>+('[2]9월'!$Z$10+'[2]9월'!$Z$19)/1000</f>
        <v>21000.008435000003</v>
      </c>
      <c r="G15" s="775">
        <f t="shared" si="12"/>
        <v>-3354.3223145413576</v>
      </c>
      <c r="H15" s="776">
        <f>+('[3]9월'!$Z$10+'[3]9월'!$Z$19)/1000</f>
        <v>26312.289918000002</v>
      </c>
      <c r="I15" s="777">
        <f t="shared" si="13"/>
        <v>-5312.2814829999988</v>
      </c>
      <c r="J15" s="773">
        <f>+[4]손익총괄!J15+E15</f>
        <v>217045.15296047257</v>
      </c>
      <c r="K15" s="774">
        <f>+[4]손익총괄!K15+F15</f>
        <v>221504.99727699003</v>
      </c>
      <c r="L15" s="775">
        <f t="shared" si="1"/>
        <v>4459.8443165174685</v>
      </c>
      <c r="M15" s="776">
        <f>+[4]손익총괄!M15+H15</f>
        <v>227018.00823800999</v>
      </c>
      <c r="N15" s="777">
        <f t="shared" si="2"/>
        <v>-5513.0109610199579</v>
      </c>
      <c r="O15" s="99"/>
      <c r="P15" s="102"/>
      <c r="Q15" s="110"/>
      <c r="R15" s="303" t="s">
        <v>169</v>
      </c>
      <c r="S15" s="316">
        <f>+[5]중부권!$T$61</f>
        <v>105712.50535185185</v>
      </c>
      <c r="T15" s="112">
        <f>+[5]중부권!$U$61</f>
        <v>104305.45775307498</v>
      </c>
      <c r="U15" s="751">
        <f t="shared" si="20"/>
        <v>-1407.0475987768732</v>
      </c>
      <c r="V15" s="752">
        <f>+[6]중부권!$Q$85</f>
        <v>101710.76613364882</v>
      </c>
      <c r="W15" s="753">
        <f t="shared" si="21"/>
        <v>2594.6916194261576</v>
      </c>
      <c r="X15" s="104"/>
      <c r="Z15" s="789" t="s">
        <v>206</v>
      </c>
      <c r="AA15" s="738" t="str">
        <f>+D30</f>
        <v>레미콘</v>
      </c>
      <c r="AB15" s="739">
        <f>+E30/100</f>
        <v>44.554100445173283</v>
      </c>
      <c r="AC15" s="740">
        <f t="shared" ref="AC15:AC18" si="30">+F30/100</f>
        <v>17.327353900000006</v>
      </c>
      <c r="AD15" s="741">
        <f t="shared" si="8"/>
        <v>-27.226746545173278</v>
      </c>
      <c r="AE15" s="742">
        <f t="shared" ref="AE15:AE18" si="31">+H30/100</f>
        <v>38.397990929999935</v>
      </c>
      <c r="AF15" s="743">
        <f t="shared" si="9"/>
        <v>-21.070637029999929</v>
      </c>
      <c r="AG15" s="744">
        <f t="shared" ref="AG15:AH15" si="32">+J30/100</f>
        <v>367.54773606443945</v>
      </c>
      <c r="AH15" s="740">
        <f t="shared" si="32"/>
        <v>281.31865302009965</v>
      </c>
      <c r="AI15" s="741">
        <f t="shared" si="10"/>
        <v>-86.229083044339802</v>
      </c>
      <c r="AJ15" s="742">
        <f t="shared" ref="AJ15:AJ18" si="33">+M30/100</f>
        <v>419.59064623990002</v>
      </c>
      <c r="AK15" s="739">
        <f t="shared" si="11"/>
        <v>-138.27199321980038</v>
      </c>
    </row>
    <row r="16" spans="1:38" ht="21.75" customHeight="1" x14ac:dyDescent="0.3">
      <c r="C16" s="100"/>
      <c r="D16" s="105" t="s">
        <v>3</v>
      </c>
      <c r="E16" s="771">
        <f>+('[1]9월'!$AA$10+'[1]9월'!$AA$19)/1000</f>
        <v>7743.4930223999991</v>
      </c>
      <c r="F16" s="772">
        <f>+('[2]9월'!$AO$10+'[2]9월'!$AO$19)/1000</f>
        <v>7575.1952439999995</v>
      </c>
      <c r="G16" s="748">
        <f>+F16-E16</f>
        <v>-168.29777839999952</v>
      </c>
      <c r="H16" s="749">
        <f>+('[3]9월'!$AO$10+'[3]9월'!$AO$19)/1000</f>
        <v>9237.9614399999991</v>
      </c>
      <c r="I16" s="750">
        <f>+F16-H16</f>
        <v>-1662.7661959999996</v>
      </c>
      <c r="J16" s="771">
        <f>+[4]손익총괄!J16+E16</f>
        <v>75433.104226863143</v>
      </c>
      <c r="K16" s="772">
        <f>+[4]손익총괄!K16+F16</f>
        <v>76231.984156000006</v>
      </c>
      <c r="L16" s="748">
        <f t="shared" si="1"/>
        <v>798.87992913686321</v>
      </c>
      <c r="M16" s="749">
        <f>+[4]손익총괄!M16+H16</f>
        <v>83260.913210999992</v>
      </c>
      <c r="N16" s="750">
        <f t="shared" si="2"/>
        <v>-7028.929054999986</v>
      </c>
      <c r="O16" s="99"/>
      <c r="P16" s="102"/>
      <c r="Q16" s="113" t="s">
        <v>73</v>
      </c>
      <c r="R16" s="304"/>
      <c r="S16" s="317">
        <f>+[5]합계!$T$61</f>
        <v>102401.42200366962</v>
      </c>
      <c r="T16" s="114">
        <f>+[5]합계!$U$61</f>
        <v>99989.728432119533</v>
      </c>
      <c r="U16" s="754">
        <f>+T16-S16</f>
        <v>-2411.6935715500877</v>
      </c>
      <c r="V16" s="755">
        <f>+[6]합계!$Q$85</f>
        <v>98458.403249077324</v>
      </c>
      <c r="W16" s="756">
        <f>+T16-V16</f>
        <v>1531.3251830422087</v>
      </c>
      <c r="X16" s="104"/>
      <c r="Z16" s="790"/>
      <c r="AA16" s="696" t="str">
        <f t="shared" ref="AA16" si="34">+D31</f>
        <v>%</v>
      </c>
      <c r="AB16" s="697">
        <f>+E31</f>
        <v>0.15081199138156132</v>
      </c>
      <c r="AC16" s="698">
        <f>+F31</f>
        <v>7.3360770985556947E-2</v>
      </c>
      <c r="AD16" s="699">
        <f t="shared" si="8"/>
        <v>-7.7451220396004369E-2</v>
      </c>
      <c r="AE16" s="700">
        <f>+H31</f>
        <v>0.12373879154958699</v>
      </c>
      <c r="AF16" s="701">
        <f t="shared" si="9"/>
        <v>-5.037802056403004E-2</v>
      </c>
      <c r="AG16" s="702">
        <f>+J31</f>
        <v>0.14148679447578594</v>
      </c>
      <c r="AH16" s="698">
        <f>+K31</f>
        <v>0.10997846430412167</v>
      </c>
      <c r="AI16" s="699">
        <f t="shared" si="10"/>
        <v>-3.1508330171664267E-2</v>
      </c>
      <c r="AJ16" s="700">
        <f>+M31</f>
        <v>0.15255655171441426</v>
      </c>
      <c r="AK16" s="697">
        <f t="shared" si="11"/>
        <v>-4.2578087410292592E-2</v>
      </c>
      <c r="AL16" s="703"/>
    </row>
    <row r="17" spans="2:37" ht="21.75" customHeight="1" x14ac:dyDescent="0.3">
      <c r="C17" s="100"/>
      <c r="D17" s="105" t="s">
        <v>1</v>
      </c>
      <c r="E17" s="771">
        <f>+('[1]9월'!$AE$10+'[1]9월'!$AE$19)/1000</f>
        <v>1882.0209074014535</v>
      </c>
      <c r="F17" s="772">
        <f>+('[2]9월'!$AN$10+'[2]9월'!$AN$19)/1000</f>
        <v>1111.2439340000001</v>
      </c>
      <c r="G17" s="748">
        <f t="shared" si="12"/>
        <v>-770.77697340145346</v>
      </c>
      <c r="H17" s="749">
        <f>+('[3]9월'!$AN$10+'[3]9월'!$AN$19)/1000</f>
        <v>1410.8988979999999</v>
      </c>
      <c r="I17" s="750">
        <f t="shared" si="13"/>
        <v>-299.65496399999984</v>
      </c>
      <c r="J17" s="771">
        <f>+[4]손익총괄!J17+E17</f>
        <v>14616.921234968044</v>
      </c>
      <c r="K17" s="772">
        <f>+[4]손익총괄!K17+F17</f>
        <v>12454.682896999999</v>
      </c>
      <c r="L17" s="748">
        <f t="shared" si="1"/>
        <v>-2162.238337968045</v>
      </c>
      <c r="M17" s="749">
        <f>+[4]손익총괄!M17+H17</f>
        <v>10102.538525969998</v>
      </c>
      <c r="N17" s="750">
        <f t="shared" si="2"/>
        <v>2352.1443710300009</v>
      </c>
      <c r="O17" s="99"/>
      <c r="P17" s="102"/>
      <c r="Q17" s="296" t="s">
        <v>75</v>
      </c>
      <c r="R17" s="305" t="s">
        <v>19</v>
      </c>
      <c r="S17" s="318">
        <f>+[5]수도권!$Q$90</f>
        <v>22962.07738477127</v>
      </c>
      <c r="T17" s="118">
        <f>+[5]수도권!$R$90</f>
        <v>18269.599954396632</v>
      </c>
      <c r="U17" s="757">
        <f t="shared" si="20"/>
        <v>-4692.4774303746381</v>
      </c>
      <c r="V17" s="758">
        <f>+[6]수도권!$Q$90</f>
        <v>21001.054176770805</v>
      </c>
      <c r="W17" s="759">
        <f t="shared" si="21"/>
        <v>-2731.4542223741737</v>
      </c>
      <c r="X17" s="104"/>
      <c r="Z17" s="790"/>
      <c r="AA17" s="667" t="str">
        <f t="shared" ref="AA17" si="35">+D32</f>
        <v>건자재</v>
      </c>
      <c r="AB17" s="675">
        <f t="shared" ref="AB17:AB18" si="36">+E32/100</f>
        <v>0.60891697600001915</v>
      </c>
      <c r="AC17" s="681">
        <f t="shared" si="30"/>
        <v>-0.15579202000000181</v>
      </c>
      <c r="AD17" s="678">
        <f t="shared" si="8"/>
        <v>-0.76470899600002096</v>
      </c>
      <c r="AE17" s="671">
        <f t="shared" si="31"/>
        <v>-1.5651189999990153E-2</v>
      </c>
      <c r="AF17" s="687">
        <f t="shared" si="9"/>
        <v>-0.14014083000001165</v>
      </c>
      <c r="AG17" s="684">
        <f t="shared" ref="AG17:AH17" si="37">+J32/100</f>
        <v>8.3987082103160358</v>
      </c>
      <c r="AH17" s="681">
        <f t="shared" si="37"/>
        <v>4.3949836999999503</v>
      </c>
      <c r="AI17" s="678">
        <f t="shared" si="10"/>
        <v>-4.0037245103160854</v>
      </c>
      <c r="AJ17" s="671">
        <f t="shared" si="33"/>
        <v>6.847688460000052</v>
      </c>
      <c r="AK17" s="675">
        <f t="shared" si="11"/>
        <v>-2.4527047600001017</v>
      </c>
    </row>
    <row r="18" spans="2:37" ht="21.75" customHeight="1" x14ac:dyDescent="0.3">
      <c r="C18" s="100"/>
      <c r="D18" s="115" t="s">
        <v>4</v>
      </c>
      <c r="E18" s="778">
        <f>+('[1]9월'!$E$10+'[1]9월'!$E$19)/1000-E15-E16-E17</f>
        <v>49.502086999995527</v>
      </c>
      <c r="F18" s="779">
        <f>+('[2]9월'!$F$10+'[2]9월'!$F$19)/1000-F15-F16-F17</f>
        <v>-238.70688400000563</v>
      </c>
      <c r="G18" s="751">
        <f t="shared" si="12"/>
        <v>-288.20897100000116</v>
      </c>
      <c r="H18" s="752">
        <f>+('[3]9월'!$F$10+'[3]9월'!$F$19)/1000-H15-H16-H17</f>
        <v>70.270940999994764</v>
      </c>
      <c r="I18" s="753">
        <f t="shared" si="13"/>
        <v>-308.97782500000039</v>
      </c>
      <c r="J18" s="778">
        <f>+[4]손익총괄!J18+E18</f>
        <v>-800.57411200001343</v>
      </c>
      <c r="K18" s="779">
        <f>+[4]손익총괄!K18+F18</f>
        <v>-109.09168900000327</v>
      </c>
      <c r="L18" s="751">
        <f t="shared" si="1"/>
        <v>691.48242300001016</v>
      </c>
      <c r="M18" s="752">
        <f>+[4]손익총괄!M18+H18</f>
        <v>528.23183400001767</v>
      </c>
      <c r="N18" s="753">
        <f t="shared" si="2"/>
        <v>-637.32352300002094</v>
      </c>
      <c r="O18" s="99"/>
      <c r="P18" s="102"/>
      <c r="Q18" s="297"/>
      <c r="R18" s="306" t="s">
        <v>20</v>
      </c>
      <c r="S18" s="319">
        <f>+[5]영남권!$Q$90</f>
        <v>27391.944861303971</v>
      </c>
      <c r="T18" s="119">
        <f>+[5]영남권!$R$90</f>
        <v>22140.924800894369</v>
      </c>
      <c r="U18" s="760">
        <f t="shared" si="20"/>
        <v>-5251.0200604096026</v>
      </c>
      <c r="V18" s="761">
        <f>+[6]영남권!$Q$90</f>
        <v>22761.378195708152</v>
      </c>
      <c r="W18" s="762">
        <f t="shared" si="21"/>
        <v>-620.45339481378323</v>
      </c>
      <c r="X18" s="104"/>
      <c r="Z18" s="790"/>
      <c r="AA18" s="667" t="str">
        <f t="shared" ref="AA18" si="38">+D33</f>
        <v>골재</v>
      </c>
      <c r="AB18" s="675">
        <f t="shared" si="36"/>
        <v>1.3976456432010886</v>
      </c>
      <c r="AC18" s="681">
        <f t="shared" si="30"/>
        <v>-3.1298049719507945</v>
      </c>
      <c r="AD18" s="678">
        <f t="shared" si="8"/>
        <v>-4.5274506151518832</v>
      </c>
      <c r="AE18" s="671">
        <f t="shared" si="31"/>
        <v>1.5089158499999999</v>
      </c>
      <c r="AF18" s="687">
        <f t="shared" si="9"/>
        <v>-4.6387208219507947</v>
      </c>
      <c r="AG18" s="684">
        <f t="shared" ref="AG18:AH18" si="39">+J33/100</f>
        <v>12.139154037745048</v>
      </c>
      <c r="AH18" s="681">
        <f t="shared" si="39"/>
        <v>1.4596259835904835</v>
      </c>
      <c r="AI18" s="678">
        <f t="shared" si="10"/>
        <v>-10.679528054154565</v>
      </c>
      <c r="AJ18" s="671">
        <f t="shared" si="33"/>
        <v>6.2177408303000323</v>
      </c>
      <c r="AK18" s="675">
        <f t="shared" si="11"/>
        <v>-4.7581148467095487</v>
      </c>
    </row>
    <row r="19" spans="2:37" ht="21.75" customHeight="1" x14ac:dyDescent="0.3">
      <c r="C19" s="100" t="s">
        <v>8</v>
      </c>
      <c r="D19" s="120"/>
      <c r="E19" s="771">
        <f>SUM(E15:E18)</f>
        <v>34029.346766342809</v>
      </c>
      <c r="F19" s="772">
        <f>SUM(F15:F18)</f>
        <v>29447.740728999997</v>
      </c>
      <c r="G19" s="748">
        <f t="shared" si="12"/>
        <v>-4581.6060373428118</v>
      </c>
      <c r="H19" s="749">
        <f>SUM(H15:H18)</f>
        <v>37031.421196999996</v>
      </c>
      <c r="I19" s="750">
        <f t="shared" si="13"/>
        <v>-7583.6804679999987</v>
      </c>
      <c r="J19" s="771">
        <f>SUM(J15:J18)</f>
        <v>306294.60431030375</v>
      </c>
      <c r="K19" s="772">
        <f>SUM(K15:K18)</f>
        <v>310082.57264099002</v>
      </c>
      <c r="L19" s="748">
        <f t="shared" si="1"/>
        <v>3787.9683306862717</v>
      </c>
      <c r="M19" s="749">
        <f>SUM(M15:M18)</f>
        <v>320909.69180898002</v>
      </c>
      <c r="N19" s="750">
        <f t="shared" si="2"/>
        <v>-10827.119167989993</v>
      </c>
      <c r="O19" s="99"/>
      <c r="P19" s="102"/>
      <c r="Q19" s="297"/>
      <c r="R19" s="307" t="s">
        <v>169</v>
      </c>
      <c r="S19" s="320">
        <f>+[5]중부권!$Q$90</f>
        <v>29279.352184079675</v>
      </c>
      <c r="T19" s="121">
        <f>+[5]중부권!$R$90</f>
        <v>29079.270490160561</v>
      </c>
      <c r="U19" s="763">
        <f t="shared" si="20"/>
        <v>-200.0816939191136</v>
      </c>
      <c r="V19" s="764">
        <f>+[6]중부권!$Q$90</f>
        <v>27401.312129299171</v>
      </c>
      <c r="W19" s="765">
        <f t="shared" si="21"/>
        <v>1677.9583608613902</v>
      </c>
      <c r="X19" s="104"/>
      <c r="AA19" s="667" t="s">
        <v>226</v>
      </c>
      <c r="AB19" s="675">
        <f>+'사업장별(당월)'!T35/100</f>
        <v>-11.572821192690105</v>
      </c>
      <c r="AC19" s="681">
        <f>+'사업장별(당월)'!U35/100</f>
        <v>-13.686460828075965</v>
      </c>
      <c r="AD19" s="678">
        <f>+AC19-AB19</f>
        <v>-2.1136396353858604</v>
      </c>
      <c r="AE19" s="671">
        <f>+'사업장별(당월)'!W35/100</f>
        <v>-12.173341950000001</v>
      </c>
      <c r="AF19" s="687">
        <f t="shared" si="9"/>
        <v>-1.5131188780759643</v>
      </c>
      <c r="AG19" s="684">
        <f>+'사업장별(누계)'!T35/100</f>
        <v>-125.58532403206726</v>
      </c>
      <c r="AH19" s="681">
        <f>+'사업장별(누계)'!U35/100</f>
        <v>-128.91838653357485</v>
      </c>
      <c r="AI19" s="678">
        <f t="shared" si="10"/>
        <v>-3.3330625015075839</v>
      </c>
      <c r="AJ19" s="671">
        <f>+'사업장별(누계)'!W35/100</f>
        <v>-105.12684547999999</v>
      </c>
      <c r="AK19" s="675">
        <f t="shared" si="11"/>
        <v>-23.791541053574861</v>
      </c>
    </row>
    <row r="20" spans="2:37" ht="21.75" customHeight="1" x14ac:dyDescent="0.3">
      <c r="C20" s="108" t="s">
        <v>18</v>
      </c>
      <c r="D20" s="109" t="s">
        <v>53</v>
      </c>
      <c r="E20" s="773">
        <f t="shared" ref="E20:F23" si="40">+E10-E15</f>
        <v>5188.4794985173285</v>
      </c>
      <c r="F20" s="774">
        <f t="shared" si="40"/>
        <v>2619.3642450000007</v>
      </c>
      <c r="G20" s="775">
        <f t="shared" si="12"/>
        <v>-2569.1152535173278</v>
      </c>
      <c r="H20" s="776">
        <f t="shared" ref="H20" si="41">+H10-H15</f>
        <v>4719.2002469999934</v>
      </c>
      <c r="I20" s="777">
        <f t="shared" si="13"/>
        <v>-2099.8360019999927</v>
      </c>
      <c r="J20" s="773">
        <f t="shared" ref="J20:K20" si="42">+J10-J15</f>
        <v>42730.140858443949</v>
      </c>
      <c r="K20" s="774">
        <f t="shared" si="42"/>
        <v>34289.311909009964</v>
      </c>
      <c r="L20" s="775">
        <f t="shared" si="1"/>
        <v>-8440.8289494339842</v>
      </c>
      <c r="M20" s="776">
        <f t="shared" ref="M20" si="43">+M10-M15</f>
        <v>48021.406014990003</v>
      </c>
      <c r="N20" s="777">
        <f t="shared" si="2"/>
        <v>-13732.094105980039</v>
      </c>
      <c r="O20" s="99"/>
      <c r="P20" s="102"/>
      <c r="Q20" s="298" t="s">
        <v>73</v>
      </c>
      <c r="R20" s="308"/>
      <c r="S20" s="321">
        <f>+[5]합계!$Q$90</f>
        <v>25987.092762055749</v>
      </c>
      <c r="T20" s="122">
        <f>+[5]합계!$R$90</f>
        <v>22332.224036202446</v>
      </c>
      <c r="U20" s="766">
        <f t="shared" si="20"/>
        <v>-3654.8687258533027</v>
      </c>
      <c r="V20" s="767">
        <f>+[6]합계!$Q$90</f>
        <v>22815.466142068864</v>
      </c>
      <c r="W20" s="768">
        <f t="shared" si="21"/>
        <v>-483.24210586641857</v>
      </c>
      <c r="X20" s="104"/>
      <c r="AA20" s="667" t="str">
        <f>+'사업장별(누계)'!I34</f>
        <v>임대</v>
      </c>
      <c r="AB20" s="675">
        <f>+('사업장별(당월)'!T33+'사업장별(당월)'!T34)/100</f>
        <v>1.5064324333333332</v>
      </c>
      <c r="AC20" s="681">
        <f>+('사업장별(당월)'!U33+'사업장별(당월)'!U34)/100</f>
        <v>1.51794217</v>
      </c>
      <c r="AD20" s="678">
        <f t="shared" ref="AD20:AD21" si="44">+AC20-AB20</f>
        <v>1.150973666666677E-2</v>
      </c>
      <c r="AE20" s="671">
        <f>+('사업장별(당월)'!W33+'사업장별(당월)'!W34)/100</f>
        <v>1.29635619</v>
      </c>
      <c r="AF20" s="687">
        <f t="shared" si="9"/>
        <v>0.22158597999999996</v>
      </c>
      <c r="AG20" s="684">
        <f>+('사업장별(누계)'!T33+'사업장별(누계)'!T34)/100</f>
        <v>11.94566425</v>
      </c>
      <c r="AH20" s="681">
        <f>+('사업장별(누계)'!U33+'사업장별(누계)'!U34)/100</f>
        <v>11.601895509999999</v>
      </c>
      <c r="AI20" s="678">
        <f t="shared" si="10"/>
        <v>-0.34376874000000157</v>
      </c>
      <c r="AJ20" s="671">
        <f>+('사업장별(누계)'!W33+'사업장별(누계)'!W34)/100</f>
        <v>10.62500749</v>
      </c>
      <c r="AK20" s="675">
        <f t="shared" si="11"/>
        <v>0.97688801999999875</v>
      </c>
    </row>
    <row r="21" spans="2:37" ht="21.75" customHeight="1" x14ac:dyDescent="0.3">
      <c r="C21" s="100"/>
      <c r="D21" s="105" t="s">
        <v>3</v>
      </c>
      <c r="E21" s="771">
        <f t="shared" si="40"/>
        <v>203.42697760000192</v>
      </c>
      <c r="F21" s="772">
        <f t="shared" si="40"/>
        <v>145.6306169999998</v>
      </c>
      <c r="G21" s="748">
        <f>+F21-E21</f>
        <v>-57.796360600002117</v>
      </c>
      <c r="H21" s="749">
        <f t="shared" ref="H21" si="45">+H11-H16</f>
        <v>157.259105000001</v>
      </c>
      <c r="I21" s="750">
        <f>+F21-H21</f>
        <v>-11.628488000001198</v>
      </c>
      <c r="J21" s="771">
        <f t="shared" ref="J21:K21" si="46">+J11-J16</f>
        <v>1980.4389310316037</v>
      </c>
      <c r="K21" s="772">
        <f t="shared" si="46"/>
        <v>1700.4069009999948</v>
      </c>
      <c r="L21" s="748">
        <f t="shared" si="1"/>
        <v>-280.03203003160888</v>
      </c>
      <c r="M21" s="749">
        <f t="shared" ref="M21" si="47">+M11-M16</f>
        <v>1765.7705620000052</v>
      </c>
      <c r="N21" s="750">
        <f t="shared" si="2"/>
        <v>-65.363661000010325</v>
      </c>
      <c r="O21" s="99"/>
      <c r="P21" s="102"/>
      <c r="Q21" s="156" t="s">
        <v>106</v>
      </c>
      <c r="R21" s="157"/>
      <c r="S21" s="158"/>
      <c r="T21" s="164"/>
      <c r="U21" s="158"/>
      <c r="X21" s="104"/>
      <c r="AA21" s="667" t="str">
        <f>+'사업장별(누계)'!I37</f>
        <v>대손</v>
      </c>
      <c r="AB21" s="675">
        <f>+'사업장별(당월)'!T37/100</f>
        <v>0</v>
      </c>
      <c r="AC21" s="681">
        <f>+'사업장별(당월)'!U37/100</f>
        <v>4.0164838199999995</v>
      </c>
      <c r="AD21" s="678">
        <f t="shared" si="44"/>
        <v>4.0164838199999995</v>
      </c>
      <c r="AE21" s="671">
        <f>+'사업장별(당월)'!W37/100</f>
        <v>-7.7615283999999996</v>
      </c>
      <c r="AF21" s="687">
        <f t="shared" si="9"/>
        <v>11.778012219999999</v>
      </c>
      <c r="AG21" s="684">
        <f>+'사업장별(누계)'!T37/100</f>
        <v>0</v>
      </c>
      <c r="AH21" s="681">
        <f>+'사업장별(누계)'!U37/100</f>
        <v>-5.7385933299999996</v>
      </c>
      <c r="AI21" s="678">
        <f t="shared" si="10"/>
        <v>-5.7385933299999996</v>
      </c>
      <c r="AJ21" s="671">
        <f>+'사업장별(누계)'!W37/100</f>
        <v>-20.23221977</v>
      </c>
      <c r="AK21" s="675">
        <f t="shared" si="11"/>
        <v>14.49362644</v>
      </c>
    </row>
    <row r="22" spans="2:37" ht="21.75" customHeight="1" x14ac:dyDescent="0.3">
      <c r="C22" s="100"/>
      <c r="D22" s="105" t="s">
        <v>1</v>
      </c>
      <c r="E22" s="771">
        <f t="shared" si="40"/>
        <v>178.24931432010885</v>
      </c>
      <c r="F22" s="772">
        <f t="shared" si="40"/>
        <v>-225.49843400000009</v>
      </c>
      <c r="G22" s="748">
        <f t="shared" si="12"/>
        <v>-403.74774832010894</v>
      </c>
      <c r="H22" s="749">
        <f t="shared" ref="H22" si="48">+H12-H17</f>
        <v>164.047102</v>
      </c>
      <c r="I22" s="750">
        <f t="shared" si="13"/>
        <v>-389.54553600000008</v>
      </c>
      <c r="J22" s="771">
        <f t="shared" ref="J22:K22" si="49">+J12-J17</f>
        <v>1725.8448388856159</v>
      </c>
      <c r="K22" s="772">
        <f t="shared" si="49"/>
        <v>675.10268300000098</v>
      </c>
      <c r="L22" s="748">
        <f t="shared" si="1"/>
        <v>-1050.7421558856149</v>
      </c>
      <c r="M22" s="749">
        <f t="shared" ref="M22" si="50">+M12-M17</f>
        <v>903.39137403000313</v>
      </c>
      <c r="N22" s="750">
        <f t="shared" si="2"/>
        <v>-228.28869103000216</v>
      </c>
      <c r="O22" s="99"/>
      <c r="P22" s="102"/>
      <c r="Q22" s="344" t="s">
        <v>11</v>
      </c>
      <c r="R22" s="345"/>
      <c r="S22" s="346" t="s">
        <v>15</v>
      </c>
      <c r="T22" s="347" t="s">
        <v>16</v>
      </c>
      <c r="U22" s="348" t="s">
        <v>113</v>
      </c>
      <c r="V22" s="347" t="s">
        <v>17</v>
      </c>
      <c r="W22" s="349" t="s">
        <v>114</v>
      </c>
      <c r="X22" s="104"/>
      <c r="Z22" s="790"/>
      <c r="AA22" s="667" t="str">
        <f>+D34</f>
        <v>기타</v>
      </c>
      <c r="AB22" s="675">
        <f>+AB26-AB19-AB20-AB21</f>
        <v>-0.71446467444457551</v>
      </c>
      <c r="AC22" s="681">
        <f>+AC26-AC19-AC20-AC21</f>
        <v>2.4069495600000277</v>
      </c>
      <c r="AD22" s="678">
        <f>+AC22-AB22</f>
        <v>3.121414234444603</v>
      </c>
      <c r="AE22" s="671">
        <f>+AE26-AE19-AE20-AE21</f>
        <v>-0.60571538000001368</v>
      </c>
      <c r="AF22" s="687">
        <f>+AC22-AE22</f>
        <v>3.0126649400000414</v>
      </c>
      <c r="AG22" s="684">
        <f>+AG26-AG19-AG20-AG21</f>
        <v>5.0469915999985986</v>
      </c>
      <c r="AH22" s="681">
        <f>+AH26-AH19-AH20-AH21</f>
        <v>-0.38952684000001003</v>
      </c>
      <c r="AI22" s="678">
        <f t="shared" si="10"/>
        <v>-5.4365184399986086</v>
      </c>
      <c r="AJ22" s="671">
        <f>+AJ26-AJ19-AJ20-AJ21</f>
        <v>-3.2633879499999239</v>
      </c>
      <c r="AK22" s="675">
        <f t="shared" si="11"/>
        <v>2.8738611099999138</v>
      </c>
    </row>
    <row r="23" spans="2:37" ht="21.75" customHeight="1" x14ac:dyDescent="0.3">
      <c r="C23" s="100"/>
      <c r="D23" s="115" t="s">
        <v>4</v>
      </c>
      <c r="E23" s="778">
        <f t="shared" si="40"/>
        <v>116.00541333333535</v>
      </c>
      <c r="F23" s="779">
        <f t="shared" si="40"/>
        <v>404.68126500000471</v>
      </c>
      <c r="G23" s="751">
        <f t="shared" si="12"/>
        <v>288.67585166666936</v>
      </c>
      <c r="H23" s="752">
        <f t="shared" ref="H23" si="51">+H13-H18</f>
        <v>115.10602300000801</v>
      </c>
      <c r="I23" s="753">
        <f t="shared" si="13"/>
        <v>289.57524199999671</v>
      </c>
      <c r="J23" s="778">
        <f t="shared" ref="J23:K23" si="52">+J13-J18</f>
        <v>2285.3416149999957</v>
      </c>
      <c r="K23" s="779">
        <f t="shared" si="52"/>
        <v>1598.9670299999973</v>
      </c>
      <c r="L23" s="751">
        <f t="shared" si="1"/>
        <v>-686.37458499999843</v>
      </c>
      <c r="M23" s="752">
        <f t="shared" ref="M23" si="53">+M13-M18</f>
        <v>1241.4777809999996</v>
      </c>
      <c r="N23" s="753">
        <f t="shared" si="2"/>
        <v>357.4892489999977</v>
      </c>
      <c r="O23" s="99"/>
      <c r="P23" s="102"/>
      <c r="Q23" s="159" t="s">
        <v>107</v>
      </c>
      <c r="R23" s="160"/>
      <c r="S23" s="330">
        <f>+'[7]9월'!$F$10</f>
        <v>977692.30769230775</v>
      </c>
      <c r="T23" s="336">
        <f>+'[7]9월'!$G$10</f>
        <v>879572.42936012533</v>
      </c>
      <c r="U23" s="333">
        <f>+T23-S23</f>
        <v>-98119.878332182416</v>
      </c>
      <c r="V23" s="312">
        <f>+'[8]9월'!$G$10</f>
        <v>1007624.1816933632</v>
      </c>
      <c r="W23" s="309">
        <f>+T23-V23</f>
        <v>-128051.75233323791</v>
      </c>
      <c r="X23" s="104"/>
      <c r="Z23" s="790"/>
      <c r="AA23" s="710" t="s">
        <v>207</v>
      </c>
      <c r="AB23" s="711">
        <f>SUM(AB15,AB17:AB22)</f>
        <v>35.779809630573034</v>
      </c>
      <c r="AC23" s="723">
        <f>SUM(AC15,AC17:AC22)</f>
        <v>8.2966716299732699</v>
      </c>
      <c r="AD23" s="712">
        <f>+AC23-AB23</f>
        <v>-27.483138000599766</v>
      </c>
      <c r="AE23" s="713">
        <f>SUM(AE15,AE17:AE22)</f>
        <v>20.64702604999993</v>
      </c>
      <c r="AF23" s="714">
        <f>+AC23-AE23</f>
        <v>-12.35035442002666</v>
      </c>
      <c r="AG23" s="715">
        <f>SUM(AG15,AG17:AG22)</f>
        <v>279.49293013043189</v>
      </c>
      <c r="AH23" s="723">
        <f>SUM(AH15,AH17:AH22)</f>
        <v>163.72865151011521</v>
      </c>
      <c r="AI23" s="712">
        <f>+AH23-AG23</f>
        <v>-115.76427862031667</v>
      </c>
      <c r="AJ23" s="713">
        <f>SUM(AJ15,AJ17:AJ22)</f>
        <v>314.65862982020019</v>
      </c>
      <c r="AK23" s="711">
        <f>+AH23-AJ23</f>
        <v>-150.92997831008498</v>
      </c>
    </row>
    <row r="24" spans="2:37" ht="21.75" customHeight="1" thickBot="1" x14ac:dyDescent="0.35">
      <c r="C24" s="116" t="s">
        <v>8</v>
      </c>
      <c r="D24" s="117"/>
      <c r="E24" s="778">
        <f>SUM(E20:E23)</f>
        <v>5686.1612037707746</v>
      </c>
      <c r="F24" s="779">
        <f>SUM(F20:F23)</f>
        <v>2944.1776930000051</v>
      </c>
      <c r="G24" s="751">
        <f t="shared" si="12"/>
        <v>-2741.9835107707695</v>
      </c>
      <c r="H24" s="752">
        <f>SUM(H20:H23)</f>
        <v>5155.6124770000024</v>
      </c>
      <c r="I24" s="753">
        <f t="shared" si="13"/>
        <v>-2211.4347839999973</v>
      </c>
      <c r="J24" s="778">
        <f>SUM(J20:J23)</f>
        <v>48721.766243361169</v>
      </c>
      <c r="K24" s="779">
        <f>SUM(K20:K23)</f>
        <v>38263.788523009964</v>
      </c>
      <c r="L24" s="751">
        <f t="shared" si="1"/>
        <v>-10457.977720351206</v>
      </c>
      <c r="M24" s="752">
        <f>SUM(M20:M23)</f>
        <v>51932.045732020015</v>
      </c>
      <c r="N24" s="753">
        <f t="shared" si="2"/>
        <v>-13668.257209010051</v>
      </c>
      <c r="O24" s="99"/>
      <c r="P24" s="102"/>
      <c r="Q24" s="161" t="s">
        <v>108</v>
      </c>
      <c r="R24" s="162"/>
      <c r="S24" s="331">
        <f>+'[7]9월'!$F$15</f>
        <v>2.3298190401258852E-2</v>
      </c>
      <c r="T24" s="337">
        <f>+'[7]9월'!$G$15</f>
        <v>1.7454463042914401E-2</v>
      </c>
      <c r="U24" s="334">
        <f>+T24-S24</f>
        <v>-5.8437273583444513E-3</v>
      </c>
      <c r="V24" s="313">
        <f>+'[8]9월'!$G$15</f>
        <v>1.4432643168234078E-2</v>
      </c>
      <c r="W24" s="310">
        <f>+T24-V24</f>
        <v>3.0218198746803232E-3</v>
      </c>
      <c r="X24" s="104"/>
      <c r="Z24" s="695"/>
      <c r="AA24" s="716" t="str">
        <f t="shared" ref="AA24:AK24" si="54">+D36</f>
        <v>%</v>
      </c>
      <c r="AB24" s="717">
        <f t="shared" si="54"/>
        <v>9.0090273193780601E-2</v>
      </c>
      <c r="AC24" s="724">
        <f t="shared" si="54"/>
        <v>2.5613399990345564E-2</v>
      </c>
      <c r="AD24" s="718">
        <f t="shared" si="54"/>
        <v>-6.4476873203435037E-2</v>
      </c>
      <c r="AE24" s="719">
        <f t="shared" si="54"/>
        <v>4.894163976910481E-2</v>
      </c>
      <c r="AF24" s="720">
        <f t="shared" si="54"/>
        <v>-2.3328239778759245E-2</v>
      </c>
      <c r="AG24" s="721">
        <f t="shared" si="54"/>
        <v>7.8726772428705002E-2</v>
      </c>
      <c r="AH24" s="724">
        <f t="shared" si="54"/>
        <v>4.7001682739849962E-2</v>
      </c>
      <c r="AI24" s="718">
        <f t="shared" si="54"/>
        <v>-3.172508968885504E-2</v>
      </c>
      <c r="AJ24" s="719">
        <f t="shared" si="54"/>
        <v>8.439469033039744E-2</v>
      </c>
      <c r="AK24" s="717">
        <f t="shared" si="54"/>
        <v>-3.7393007590547478E-2</v>
      </c>
    </row>
    <row r="25" spans="2:37" ht="21.75" customHeight="1" x14ac:dyDescent="0.3">
      <c r="C25" s="108" t="s">
        <v>6</v>
      </c>
      <c r="D25" s="109" t="s">
        <v>53</v>
      </c>
      <c r="E25" s="773">
        <f>+('[1]9월'!$Z$13+'[1]9월'!$Z$20)/1000</f>
        <v>733.06945400000006</v>
      </c>
      <c r="F25" s="774">
        <f>+('[2]9월'!$Z$13+'[2]9월'!$Z$20)/1000</f>
        <v>886.62885500000004</v>
      </c>
      <c r="G25" s="775">
        <f t="shared" si="12"/>
        <v>153.55940099999998</v>
      </c>
      <c r="H25" s="776">
        <f>+('[3]9월'!$Z$13+'[3]9월'!$Z$20)/1000</f>
        <v>879.40115399999991</v>
      </c>
      <c r="I25" s="777">
        <f t="shared" si="13"/>
        <v>7.2277010000001383</v>
      </c>
      <c r="J25" s="773">
        <f>+[4]손익총괄!J25+E25</f>
        <v>5975.3672520000009</v>
      </c>
      <c r="K25" s="774">
        <f>+[4]손익총괄!K25+F25</f>
        <v>6157.4466070000008</v>
      </c>
      <c r="L25" s="775">
        <f t="shared" si="1"/>
        <v>182.07935499999985</v>
      </c>
      <c r="M25" s="776">
        <f>+[4]손익총괄!M25+H25</f>
        <v>6062.3413910000008</v>
      </c>
      <c r="N25" s="777">
        <f t="shared" si="2"/>
        <v>95.105215999999928</v>
      </c>
      <c r="O25" s="99"/>
      <c r="P25" s="102"/>
      <c r="Q25" s="156" t="s">
        <v>109</v>
      </c>
      <c r="R25" s="163"/>
      <c r="S25" s="75"/>
      <c r="T25" s="164"/>
      <c r="U25" s="75"/>
      <c r="X25" s="104"/>
    </row>
    <row r="26" spans="2:37" ht="21.75" customHeight="1" x14ac:dyDescent="0.3">
      <c r="C26" s="100"/>
      <c r="D26" s="105" t="s">
        <v>85</v>
      </c>
      <c r="E26" s="771">
        <f>+('[1]9월'!$AA$13+'[1]9월'!$AA$20)/1000</f>
        <v>142.53528</v>
      </c>
      <c r="F26" s="772">
        <f>+('[2]9월'!$AO$13+'[2]9월'!$AO$20)/1000</f>
        <v>161.20981899999998</v>
      </c>
      <c r="G26" s="748">
        <f>+F26-E26</f>
        <v>18.674538999999982</v>
      </c>
      <c r="H26" s="749">
        <f>+('[3]9월'!$AO$13+'[3]9월'!$AO$20)/1000</f>
        <v>158.82422400000002</v>
      </c>
      <c r="I26" s="750">
        <f>+F26-H26</f>
        <v>2.3855949999999666</v>
      </c>
      <c r="J26" s="771">
        <f>+[4]손익총괄!J26+E26</f>
        <v>1140.5681100000002</v>
      </c>
      <c r="K26" s="772">
        <f>+[4]손익총괄!K26+F26</f>
        <v>1260.9085309999998</v>
      </c>
      <c r="L26" s="748">
        <f t="shared" si="1"/>
        <v>120.34042099999965</v>
      </c>
      <c r="M26" s="749">
        <f>+[4]손익총괄!M26+H26</f>
        <v>1081.001716</v>
      </c>
      <c r="N26" s="750">
        <f t="shared" si="2"/>
        <v>179.90681499999982</v>
      </c>
      <c r="O26" s="99"/>
      <c r="P26" s="102"/>
      <c r="Q26" s="344" t="s">
        <v>11</v>
      </c>
      <c r="R26" s="345"/>
      <c r="S26" s="346" t="s">
        <v>15</v>
      </c>
      <c r="T26" s="347" t="s">
        <v>16</v>
      </c>
      <c r="U26" s="348" t="s">
        <v>113</v>
      </c>
      <c r="V26" s="347" t="s">
        <v>17</v>
      </c>
      <c r="W26" s="349" t="s">
        <v>114</v>
      </c>
      <c r="X26" s="104"/>
      <c r="AB26" s="659">
        <f>+'사업장별(당월)'!T41/100</f>
        <v>-10.780853433801347</v>
      </c>
      <c r="AC26" s="659">
        <f>+'사업장별(당월)'!U41/100</f>
        <v>-5.7450852780759387</v>
      </c>
      <c r="AD26" s="659">
        <f>+AC26-AB26</f>
        <v>5.0357681557254086</v>
      </c>
      <c r="AE26" s="659">
        <f>+'사업장별(당월)'!W41/100</f>
        <v>-19.244229540000013</v>
      </c>
      <c r="AF26" s="659">
        <f>+AE26-AD26</f>
        <v>-24.27999769572542</v>
      </c>
      <c r="AG26">
        <f>+'사업장별(누계)'!T41/100</f>
        <v>-108.59266818206866</v>
      </c>
      <c r="AH26">
        <f>+'사업장별(누계)'!U41/100</f>
        <v>-123.44461119357486</v>
      </c>
      <c r="AJ26">
        <f>+'사업장별(누계)'!W41/100</f>
        <v>-117.99744570999991</v>
      </c>
    </row>
    <row r="27" spans="2:37" ht="21.75" customHeight="1" x14ac:dyDescent="0.3">
      <c r="C27" s="100"/>
      <c r="D27" s="105" t="s">
        <v>1</v>
      </c>
      <c r="E27" s="771">
        <f>+('[1]9월'!$AE$13+'[1]9월'!$AE$20+'[1]9월'!$AE$22)/1000</f>
        <v>38.484749999999991</v>
      </c>
      <c r="F27" s="772">
        <f>+('[2]9월'!$AN$13+'[2]9월'!$AN$20+'[2]9월'!$AN$22)/1000</f>
        <v>87.482063195079391</v>
      </c>
      <c r="G27" s="748">
        <f t="shared" si="12"/>
        <v>48.9973131950794</v>
      </c>
      <c r="H27" s="749">
        <f>+('[3]9월'!$AN$13+'[3]9월'!$AN$20+'[3]9월'!$AN$22)/1000</f>
        <v>13.155517</v>
      </c>
      <c r="I27" s="750">
        <f t="shared" si="13"/>
        <v>74.326546195079388</v>
      </c>
      <c r="J27" s="771">
        <f>+[4]손익총괄!J27+E27</f>
        <v>511.92943511111116</v>
      </c>
      <c r="K27" s="772">
        <f>+[4]손익총괄!K27+F27</f>
        <v>529.14008464095264</v>
      </c>
      <c r="L27" s="748">
        <f t="shared" si="1"/>
        <v>17.210649529841476</v>
      </c>
      <c r="M27" s="749">
        <f>+[4]손익총괄!M27+H27</f>
        <v>281.61729099999991</v>
      </c>
      <c r="N27" s="750">
        <f t="shared" si="2"/>
        <v>247.52279364095273</v>
      </c>
      <c r="O27" s="99"/>
      <c r="P27" s="102"/>
      <c r="Q27" s="1" t="s">
        <v>110</v>
      </c>
      <c r="R27" s="299" t="s">
        <v>111</v>
      </c>
      <c r="S27" s="330">
        <f>(+'[9]서부산크라샤(당월)'!$N$66+'[9]부산모래장(당월)'!$Q$48+'[9]부산크라샤(당월)'!$N$66)/1000</f>
        <v>52.497735089480592</v>
      </c>
      <c r="T27" s="336">
        <f>(+'[9]서부산크라샤(당월)'!$O$66+'[9]부산모래장(당월)'!$R$48+'[9]부산크라샤(당월)'!$O$66)/1000</f>
        <v>32.177999999999997</v>
      </c>
      <c r="U27" s="333">
        <f>+T27-S27</f>
        <v>-20.319735089480595</v>
      </c>
      <c r="V27" s="312">
        <f>('[10]부산골재(당월)'!$R$48+'[10]서부산골재(당월)'!$O$66+'[10]부산크라샤(당월)'!$O$66)/1000</f>
        <v>51.902000000000001</v>
      </c>
      <c r="W27" s="309">
        <f>+T27-V27</f>
        <v>-19.724000000000004</v>
      </c>
      <c r="X27" s="104"/>
    </row>
    <row r="28" spans="2:37" ht="21.75" customHeight="1" x14ac:dyDescent="0.3">
      <c r="B28" s="97"/>
      <c r="C28" s="100"/>
      <c r="D28" s="115" t="s">
        <v>4</v>
      </c>
      <c r="E28" s="778">
        <f>+('[1]9월'!$E$13+'[1]9월'!$E$20)/1000-E25-E26-E27+('[1]9월'!$E$22/1000)</f>
        <v>1194.0907567134702</v>
      </c>
      <c r="F28" s="779">
        <f>+('[2]9월'!$F$13+'[2]9월'!$F$20)/1000-F25-F26-F27+'[2]9월'!$F$22/1000</f>
        <v>979.18979280759652</v>
      </c>
      <c r="G28" s="751">
        <f t="shared" si="12"/>
        <v>-214.90096390587371</v>
      </c>
      <c r="H28" s="752">
        <f>+('[3]9월'!$F$13+'[3]9월'!$F$20)/1000-H25-H26-H27+'[3]9월'!$F$22/1000</f>
        <v>2039.5289769999997</v>
      </c>
      <c r="I28" s="753">
        <f t="shared" si="13"/>
        <v>-1060.3391841924031</v>
      </c>
      <c r="J28" s="778">
        <f>+[4]손익총괄!J28+E28</f>
        <v>13144.608433206864</v>
      </c>
      <c r="K28" s="779">
        <f>+[4]손익총괄!K28+F28</f>
        <v>13943.428149357484</v>
      </c>
      <c r="L28" s="751">
        <f t="shared" si="1"/>
        <v>798.81971615061957</v>
      </c>
      <c r="M28" s="752">
        <f>+[4]손익총괄!M28+H28</f>
        <v>13041.222351999999</v>
      </c>
      <c r="N28" s="753">
        <f t="shared" si="2"/>
        <v>902.2057973574847</v>
      </c>
      <c r="O28" s="99"/>
      <c r="P28" s="102"/>
      <c r="Q28" s="2"/>
      <c r="R28" s="300" t="s">
        <v>112</v>
      </c>
      <c r="S28" s="332">
        <f>(+'[9]서부산크라샤(당월)'!$N$59+'[9]부산모래장(당월)'!$Q$47+'[9]부산크라샤(당월)'!$N$59)/1000</f>
        <v>61.8</v>
      </c>
      <c r="T28" s="153">
        <f>(+'[9]서부산크라샤(당월)'!$O$59+'[9]부산모래장(당월)'!$R$47+'[9]부산크라샤(당월)'!$O$59)/1000</f>
        <v>14.773</v>
      </c>
      <c r="U28" s="335">
        <f>+T28-S28</f>
        <v>-47.027000000000001</v>
      </c>
      <c r="V28" s="73">
        <f>+('[10]부산골재(당월)'!$R$47+'[10]서부산골재(당월)'!$O$59+'[10]부산크라샤(당월)'!$O$59)/1000</f>
        <v>30.007000000000001</v>
      </c>
      <c r="W28" s="311">
        <f>+T28-V28</f>
        <v>-15.234000000000002</v>
      </c>
      <c r="X28" s="104"/>
    </row>
    <row r="29" spans="2:37" ht="21.75" customHeight="1" x14ac:dyDescent="0.3">
      <c r="C29" s="116" t="s">
        <v>8</v>
      </c>
      <c r="D29" s="117"/>
      <c r="E29" s="778">
        <f>SUM(E25:E28)</f>
        <v>2108.1802407134701</v>
      </c>
      <c r="F29" s="779">
        <f>SUM(F25:F28)</f>
        <v>2114.5105300026762</v>
      </c>
      <c r="G29" s="751">
        <f t="shared" si="12"/>
        <v>6.3302892892061209</v>
      </c>
      <c r="H29" s="752">
        <f>SUM(H25:H28)</f>
        <v>3090.9098719999993</v>
      </c>
      <c r="I29" s="753">
        <f t="shared" si="13"/>
        <v>-976.39934199732306</v>
      </c>
      <c r="J29" s="778">
        <f>SUM(J25:J28)</f>
        <v>20772.473230317977</v>
      </c>
      <c r="K29" s="779">
        <f>SUM(K25:K28)</f>
        <v>21890.923371998437</v>
      </c>
      <c r="L29" s="751">
        <f t="shared" si="1"/>
        <v>1118.4501416804596</v>
      </c>
      <c r="M29" s="752">
        <f>SUM(M25:M28)</f>
        <v>20466.18275</v>
      </c>
      <c r="N29" s="753">
        <f t="shared" si="2"/>
        <v>1424.7406219984368</v>
      </c>
      <c r="O29" s="99"/>
      <c r="P29" s="102"/>
      <c r="Q29" s="815" t="s">
        <v>141</v>
      </c>
      <c r="R29" s="816"/>
      <c r="S29" s="332">
        <f>SUM(S27:S28)</f>
        <v>114.2977350894806</v>
      </c>
      <c r="T29" s="153">
        <f>SUM(T27:T28)</f>
        <v>46.950999999999993</v>
      </c>
      <c r="U29" s="335">
        <f>+T29-S29</f>
        <v>-67.346735089480603</v>
      </c>
      <c r="V29" s="73">
        <f>SUM(V27:V28)</f>
        <v>81.909000000000006</v>
      </c>
      <c r="W29" s="311">
        <f>+T29-V29</f>
        <v>-34.958000000000013</v>
      </c>
      <c r="X29" s="104"/>
    </row>
    <row r="30" spans="2:37" ht="21.75" customHeight="1" x14ac:dyDescent="0.3">
      <c r="B30" s="597"/>
      <c r="C30" s="100" t="s">
        <v>7</v>
      </c>
      <c r="D30" s="109" t="s">
        <v>53</v>
      </c>
      <c r="E30" s="773">
        <f>+E20-E25</f>
        <v>4455.4100445173281</v>
      </c>
      <c r="F30" s="780">
        <f>+F20-F25</f>
        <v>1732.7353900000007</v>
      </c>
      <c r="G30" s="775">
        <f t="shared" si="12"/>
        <v>-2722.6746545173273</v>
      </c>
      <c r="H30" s="776">
        <f>+H20-H25</f>
        <v>3839.7990929999933</v>
      </c>
      <c r="I30" s="777">
        <f t="shared" si="13"/>
        <v>-2107.0637029999925</v>
      </c>
      <c r="J30" s="773">
        <f>+J20-J25</f>
        <v>36754.773606443945</v>
      </c>
      <c r="K30" s="780">
        <f>+K20-K25</f>
        <v>28131.865302009963</v>
      </c>
      <c r="L30" s="775">
        <f t="shared" si="1"/>
        <v>-8622.9083044339823</v>
      </c>
      <c r="M30" s="776">
        <f>+M20-M25</f>
        <v>41959.064623990002</v>
      </c>
      <c r="N30" s="777">
        <f t="shared" si="2"/>
        <v>-13827.199321980039</v>
      </c>
      <c r="O30" s="99"/>
      <c r="P30" s="102"/>
      <c r="Q30" s="156" t="s">
        <v>183</v>
      </c>
      <c r="X30" s="104"/>
      <c r="Z30" s="597"/>
      <c r="AA30" s="597"/>
    </row>
    <row r="31" spans="2:37" ht="21.75" customHeight="1" x14ac:dyDescent="0.3">
      <c r="B31" s="597"/>
      <c r="C31" s="100"/>
      <c r="D31" s="123" t="s">
        <v>10</v>
      </c>
      <c r="E31" s="322">
        <f>+E30/E10</f>
        <v>0.15081199138156132</v>
      </c>
      <c r="F31" s="328">
        <f>+F30/F10</f>
        <v>7.3360770985556947E-2</v>
      </c>
      <c r="G31" s="325">
        <f t="shared" si="12"/>
        <v>-7.7451220396004369E-2</v>
      </c>
      <c r="H31" s="124">
        <f>+H30/H10</f>
        <v>0.12373879154958699</v>
      </c>
      <c r="I31" s="125">
        <f t="shared" si="13"/>
        <v>-5.037802056403004E-2</v>
      </c>
      <c r="J31" s="322">
        <f>+J30/J10</f>
        <v>0.14148679447578594</v>
      </c>
      <c r="K31" s="328">
        <f>+K30/K10</f>
        <v>0.10997846430412167</v>
      </c>
      <c r="L31" s="325">
        <f t="shared" si="1"/>
        <v>-3.1508330171664267E-2</v>
      </c>
      <c r="M31" s="124">
        <f>+M30/M10</f>
        <v>0.15255655171441426</v>
      </c>
      <c r="N31" s="125">
        <f t="shared" si="2"/>
        <v>-4.2578087410292592E-2</v>
      </c>
      <c r="O31" s="99"/>
      <c r="P31" s="102"/>
      <c r="Q31" s="344" t="s">
        <v>11</v>
      </c>
      <c r="R31" s="345"/>
      <c r="S31" s="346" t="s">
        <v>15</v>
      </c>
      <c r="T31" s="347" t="s">
        <v>16</v>
      </c>
      <c r="U31" s="348" t="s">
        <v>113</v>
      </c>
      <c r="V31" s="347" t="s">
        <v>17</v>
      </c>
      <c r="W31" s="349" t="s">
        <v>114</v>
      </c>
      <c r="X31" s="104"/>
    </row>
    <row r="32" spans="2:37" ht="21.75" customHeight="1" x14ac:dyDescent="0.3">
      <c r="B32" s="597"/>
      <c r="C32" s="100"/>
      <c r="D32" s="105" t="s">
        <v>3</v>
      </c>
      <c r="E32" s="771">
        <f t="shared" ref="E32:F34" si="55">+E21-E26</f>
        <v>60.891697600001919</v>
      </c>
      <c r="F32" s="772">
        <f t="shared" si="55"/>
        <v>-15.57920200000018</v>
      </c>
      <c r="G32" s="748">
        <f>+F32-E32</f>
        <v>-76.470899600002099</v>
      </c>
      <c r="H32" s="749">
        <f t="shared" ref="H32" si="56">+H21-H26</f>
        <v>-1.5651189999990152</v>
      </c>
      <c r="I32" s="750">
        <f>+F32-H32</f>
        <v>-14.014083000001165</v>
      </c>
      <c r="J32" s="771">
        <f t="shared" ref="J32:J34" si="57">+J21-J26</f>
        <v>839.87082103160355</v>
      </c>
      <c r="K32" s="772">
        <f t="shared" ref="K32" si="58">+K21-K26</f>
        <v>439.49836999999502</v>
      </c>
      <c r="L32" s="748">
        <f t="shared" si="1"/>
        <v>-400.37245103160853</v>
      </c>
      <c r="M32" s="749">
        <f t="shared" ref="M32" si="59">+M21-M26</f>
        <v>684.76884600000517</v>
      </c>
      <c r="N32" s="750">
        <f t="shared" si="2"/>
        <v>-245.27047600001015</v>
      </c>
      <c r="O32" s="99"/>
      <c r="P32" s="102"/>
      <c r="Q32" s="817" t="s">
        <v>168</v>
      </c>
      <c r="R32" s="818"/>
      <c r="S32" s="602">
        <f>+'사업장별(당월)'!T33</f>
        <v>75.404842000000002</v>
      </c>
      <c r="T32" s="603">
        <f>+'사업장별(당월)'!U33</f>
        <v>76.004227</v>
      </c>
      <c r="U32" s="604">
        <f>+T32-S32</f>
        <v>0.59938499999999806</v>
      </c>
      <c r="V32" s="605">
        <f>+'사업장별(당월)'!W33</f>
        <v>30.418727999999994</v>
      </c>
      <c r="W32" s="606">
        <f>+T32-V32</f>
        <v>45.585499000000006</v>
      </c>
      <c r="X32" s="104"/>
      <c r="Z32" s="597"/>
      <c r="AA32" s="597"/>
    </row>
    <row r="33" spans="2:31" ht="21.75" customHeight="1" x14ac:dyDescent="0.3">
      <c r="B33" s="597"/>
      <c r="C33" s="100"/>
      <c r="D33" s="105" t="s">
        <v>1</v>
      </c>
      <c r="E33" s="771">
        <f t="shared" si="55"/>
        <v>139.76456432010886</v>
      </c>
      <c r="F33" s="772">
        <f t="shared" si="55"/>
        <v>-312.98049719507947</v>
      </c>
      <c r="G33" s="748">
        <f t="shared" si="12"/>
        <v>-452.74506151518835</v>
      </c>
      <c r="H33" s="749">
        <f t="shared" ref="H33" si="60">+H22-H27</f>
        <v>150.89158499999999</v>
      </c>
      <c r="I33" s="750">
        <f t="shared" si="13"/>
        <v>-463.87208219507943</v>
      </c>
      <c r="J33" s="771">
        <f t="shared" si="57"/>
        <v>1213.9154037745047</v>
      </c>
      <c r="K33" s="772">
        <f t="shared" ref="K33" si="61">+K22-K27</f>
        <v>145.96259835904834</v>
      </c>
      <c r="L33" s="748">
        <f t="shared" si="1"/>
        <v>-1067.9528054154564</v>
      </c>
      <c r="M33" s="749">
        <f t="shared" ref="M33" si="62">+M22-M27</f>
        <v>621.77408303000323</v>
      </c>
      <c r="N33" s="750">
        <f t="shared" si="2"/>
        <v>-475.81148467095488</v>
      </c>
      <c r="O33" s="99"/>
      <c r="P33" s="102"/>
      <c r="Q33" s="819" t="s">
        <v>59</v>
      </c>
      <c r="R33" s="820"/>
      <c r="S33" s="191">
        <f>+'사업장별(당월)'!T34</f>
        <v>75.238401333333314</v>
      </c>
      <c r="T33" s="612">
        <f>+'사업장별(당월)'!U34</f>
        <v>75.789990000000003</v>
      </c>
      <c r="U33" s="204">
        <f>+T33-S33</f>
        <v>0.55158866666668871</v>
      </c>
      <c r="V33" s="613">
        <f>+'사업장별(당월)'!W34</f>
        <v>99.21689099999999</v>
      </c>
      <c r="W33" s="221">
        <f>+T33-V33</f>
        <v>-23.426900999999987</v>
      </c>
      <c r="X33" s="104"/>
      <c r="Z33" s="597"/>
      <c r="AA33" s="597"/>
    </row>
    <row r="34" spans="2:31" ht="21.75" customHeight="1" x14ac:dyDescent="0.3">
      <c r="B34" s="597"/>
      <c r="C34" s="100"/>
      <c r="D34" s="115" t="s">
        <v>4</v>
      </c>
      <c r="E34" s="778">
        <f t="shared" si="55"/>
        <v>-1078.0853433801349</v>
      </c>
      <c r="F34" s="779">
        <f t="shared" si="55"/>
        <v>-574.5085278075918</v>
      </c>
      <c r="G34" s="751">
        <f t="shared" si="12"/>
        <v>503.57681557254307</v>
      </c>
      <c r="H34" s="752">
        <f t="shared" ref="H34" si="63">+H23-H28</f>
        <v>-1924.4229539999917</v>
      </c>
      <c r="I34" s="753">
        <f t="shared" si="13"/>
        <v>1349.9144261923998</v>
      </c>
      <c r="J34" s="778">
        <f t="shared" si="57"/>
        <v>-10859.266818206868</v>
      </c>
      <c r="K34" s="779">
        <f t="shared" ref="K34" si="64">+K23-K28</f>
        <v>-12344.461119357486</v>
      </c>
      <c r="L34" s="751">
        <f t="shared" si="1"/>
        <v>-1485.1943011506173</v>
      </c>
      <c r="M34" s="752">
        <f t="shared" ref="M34" si="65">+M23-M28</f>
        <v>-11799.744570999999</v>
      </c>
      <c r="N34" s="753">
        <f t="shared" si="2"/>
        <v>-544.71654835748632</v>
      </c>
      <c r="O34" s="99"/>
      <c r="P34" s="102"/>
      <c r="Q34" s="624" t="s">
        <v>38</v>
      </c>
      <c r="R34" s="625"/>
      <c r="S34" s="619">
        <f>+'사업장별(당월)'!T35</f>
        <v>-1157.2821192690105</v>
      </c>
      <c r="T34" s="620">
        <f>+'사업장별(당월)'!U35</f>
        <v>-1368.6460828075965</v>
      </c>
      <c r="U34" s="621">
        <f>+T34-S34</f>
        <v>-211.36396353858595</v>
      </c>
      <c r="V34" s="622">
        <f>+'사업장별(당월)'!W35</f>
        <v>-1217.3341950000001</v>
      </c>
      <c r="W34" s="623">
        <f>+T34-V34</f>
        <v>-151.31188780759635</v>
      </c>
      <c r="X34" s="104"/>
      <c r="Z34" s="597"/>
      <c r="AA34" s="597"/>
    </row>
    <row r="35" spans="2:31" ht="21.75" customHeight="1" x14ac:dyDescent="0.3">
      <c r="B35" s="597"/>
      <c r="C35" s="100" t="s">
        <v>8</v>
      </c>
      <c r="D35" s="120"/>
      <c r="E35" s="771">
        <f>SUM(E30,E32:E34)</f>
        <v>3577.9809630573036</v>
      </c>
      <c r="F35" s="781">
        <f>SUM(F30,F32:F34)</f>
        <v>829.66716299732923</v>
      </c>
      <c r="G35" s="748">
        <f t="shared" si="12"/>
        <v>-2748.3138000599743</v>
      </c>
      <c r="H35" s="749">
        <f>SUM(H30,H32:H34)</f>
        <v>2064.7026050000022</v>
      </c>
      <c r="I35" s="750">
        <f t="shared" si="13"/>
        <v>-1235.0354420026729</v>
      </c>
      <c r="J35" s="771">
        <f>SUM(J30,J32:J34)</f>
        <v>27949.293013043185</v>
      </c>
      <c r="K35" s="781">
        <f>SUM(K30,K32:K34)</f>
        <v>16372.86515101152</v>
      </c>
      <c r="L35" s="748">
        <f t="shared" si="1"/>
        <v>-11576.427862031665</v>
      </c>
      <c r="M35" s="749">
        <f>SUM(M30,M32:M34)</f>
        <v>31465.862982020011</v>
      </c>
      <c r="N35" s="750">
        <f t="shared" si="2"/>
        <v>-15092.997831008492</v>
      </c>
      <c r="O35" s="99"/>
      <c r="P35" s="102"/>
      <c r="Q35" s="626" t="s">
        <v>166</v>
      </c>
      <c r="R35" s="627"/>
      <c r="S35" s="614">
        <f>+S36-S32-S33-S34</f>
        <v>-71.446467444457312</v>
      </c>
      <c r="T35" s="615">
        <f>+T36-T32-T33-T34</f>
        <v>642.34333800000263</v>
      </c>
      <c r="U35" s="616">
        <f>+T35-S35</f>
        <v>713.78980544445994</v>
      </c>
      <c r="V35" s="617">
        <f>+V36-V32-V33-V34</f>
        <v>-836.72437800000102</v>
      </c>
      <c r="W35" s="618">
        <f>+T35-V35</f>
        <v>1479.0677160000037</v>
      </c>
      <c r="X35" s="104"/>
      <c r="Z35" s="597"/>
      <c r="AA35" s="597"/>
      <c r="AD35" s="98"/>
      <c r="AE35" s="597"/>
    </row>
    <row r="36" spans="2:31" ht="21.75" customHeight="1" thickBot="1" x14ac:dyDescent="0.35">
      <c r="C36" s="126"/>
      <c r="D36" s="127" t="s">
        <v>9</v>
      </c>
      <c r="E36" s="323">
        <f>+E35/E14</f>
        <v>9.0090273193780601E-2</v>
      </c>
      <c r="F36" s="329">
        <f>+F35/F14</f>
        <v>2.5613399990345564E-2</v>
      </c>
      <c r="G36" s="326">
        <f t="shared" si="12"/>
        <v>-6.4476873203435037E-2</v>
      </c>
      <c r="H36" s="128">
        <f>+H35/H14</f>
        <v>4.894163976910481E-2</v>
      </c>
      <c r="I36" s="129">
        <f t="shared" si="13"/>
        <v>-2.3328239778759245E-2</v>
      </c>
      <c r="J36" s="323">
        <f>+J35/J14</f>
        <v>7.8726772428705002E-2</v>
      </c>
      <c r="K36" s="329">
        <f>+K35/K14</f>
        <v>4.7001682739849962E-2</v>
      </c>
      <c r="L36" s="326">
        <f t="shared" si="1"/>
        <v>-3.172508968885504E-2</v>
      </c>
      <c r="M36" s="128">
        <f>+M35/M14</f>
        <v>8.439469033039744E-2</v>
      </c>
      <c r="N36" s="129">
        <f t="shared" si="2"/>
        <v>-3.7393007590547478E-2</v>
      </c>
      <c r="O36" s="99"/>
      <c r="P36" s="130"/>
      <c r="Q36" s="807" t="s">
        <v>165</v>
      </c>
      <c r="R36" s="808"/>
      <c r="S36" s="607">
        <f>+'사업장별(당월)'!T41</f>
        <v>-1078.0853433801346</v>
      </c>
      <c r="T36" s="608">
        <f>+'사업장별(당월)'!U41</f>
        <v>-574.50852780759385</v>
      </c>
      <c r="U36" s="609">
        <f>+T36-S36</f>
        <v>503.5768155725408</v>
      </c>
      <c r="V36" s="610">
        <f>+'사업장별(당월)'!W41</f>
        <v>-1924.4229540000013</v>
      </c>
      <c r="W36" s="611">
        <f>+T36-V36</f>
        <v>1349.9144261924075</v>
      </c>
      <c r="X36" s="131"/>
      <c r="AA36" s="597"/>
    </row>
    <row r="37" spans="2:31" ht="20.100000000000001" customHeight="1" thickTop="1" x14ac:dyDescent="0.3">
      <c r="F37" s="597"/>
    </row>
    <row r="38" spans="2:31" x14ac:dyDescent="0.3">
      <c r="E38" s="98">
        <f>+'[1]9월'!$E$26/1000</f>
        <v>3577.9809630573041</v>
      </c>
      <c r="F38" s="350">
        <f>+'[2]9월'!$F$26/1000</f>
        <v>829.66716299732582</v>
      </c>
      <c r="H38" s="350">
        <f>+'[3]9월'!$F$26/1000</f>
        <v>2064.7026049999977</v>
      </c>
      <c r="J38" s="599">
        <f>+[4]손익총괄!J38+E38</f>
        <v>27949.29301304316</v>
      </c>
      <c r="K38" s="599">
        <f>+[4]손익총괄!K38+F38</f>
        <v>16372.865151011556</v>
      </c>
      <c r="L38" s="600"/>
      <c r="M38" s="599">
        <f>+[4]손익총괄!M38+H38</f>
        <v>31465.862982020008</v>
      </c>
      <c r="N38" s="600"/>
      <c r="O38" s="600"/>
    </row>
    <row r="39" spans="2:31" x14ac:dyDescent="0.3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 x14ac:dyDescent="0.3">
      <c r="E40" s="601">
        <f>+E35-E38</f>
        <v>0</v>
      </c>
      <c r="F40" s="601">
        <f>+F35-F38</f>
        <v>3.4106051316484809E-12</v>
      </c>
      <c r="G40" s="598"/>
      <c r="H40" s="601">
        <f>+H35-H38</f>
        <v>4.5474735088646412E-12</v>
      </c>
      <c r="I40" s="598"/>
      <c r="J40" s="601">
        <f>+J35-J38</f>
        <v>0</v>
      </c>
      <c r="K40" s="601">
        <f>+K35-K38</f>
        <v>-3.637978807091713E-11</v>
      </c>
      <c r="L40" s="598"/>
      <c r="M40" s="601">
        <f>+M35-M38</f>
        <v>0</v>
      </c>
      <c r="N40" s="598"/>
      <c r="O40" s="98"/>
      <c r="P40" s="98"/>
    </row>
    <row r="42" spans="2:31" x14ac:dyDescent="0.3">
      <c r="E42" s="97"/>
      <c r="F42" s="97"/>
      <c r="G42" s="97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6"/>
  <sheetViews>
    <sheetView showGridLines="0" showZeros="0" topLeftCell="E22" zoomScale="85" zoomScaleNormal="85" zoomScaleSheetLayoutView="85" workbookViewId="0">
      <selection activeCell="U36" sqref="U3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241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48</v>
      </c>
      <c r="I5" s="831"/>
      <c r="J5" s="172" t="s">
        <v>66</v>
      </c>
      <c r="K5" s="173"/>
      <c r="L5" s="173"/>
      <c r="M5" s="173"/>
      <c r="N5" s="174"/>
      <c r="O5" s="172" t="s">
        <v>67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68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49</v>
      </c>
      <c r="K6" s="176" t="s">
        <v>50</v>
      </c>
      <c r="L6" s="177" t="s">
        <v>51</v>
      </c>
      <c r="M6" s="176" t="s">
        <v>52</v>
      </c>
      <c r="N6" s="178" t="s">
        <v>51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+IFERROR(HLOOKUP($B7,'[1]9월'!$D$6:$BN$259,2,),)/1000</f>
        <v>44</v>
      </c>
      <c r="K7" s="37">
        <f>+IFERROR(HLOOKUP($B7,'[2]9월'!$F$6:$CP$99,2,),)/1000</f>
        <v>28.4</v>
      </c>
      <c r="L7" s="38">
        <f t="shared" ref="L7:L26" si="0">+K7-J7</f>
        <v>-15.600000000000001</v>
      </c>
      <c r="M7" s="39">
        <f>+IFERROR(HLOOKUP($B7,'[3]9월'!$F$6:$CC$57,2,),)/1000</f>
        <v>48.183999999999997</v>
      </c>
      <c r="N7" s="40">
        <f>+K7-M7</f>
        <v>-19.783999999999999</v>
      </c>
      <c r="O7" s="36">
        <f>+IFERROR(HLOOKUP($B7,'[1]9월'!$D$6:$BN$259,3,),)/1000</f>
        <v>4453.4734000000008</v>
      </c>
      <c r="P7" s="37">
        <f>+IFERROR(HLOOKUP($B7,'[2]9월'!$F$6:$CP$99,3,),)/1000</f>
        <v>2850.383918</v>
      </c>
      <c r="Q7" s="38">
        <f>+P7-O7</f>
        <v>-1603.0894820000008</v>
      </c>
      <c r="R7" s="39">
        <f>+IFERROR(HLOOKUP($B7,'[3]9월'!$F$6:$CC$57,3,),)/1000</f>
        <v>4539.9433410000001</v>
      </c>
      <c r="S7" s="40">
        <f>+P7-R7</f>
        <v>-1689.5594230000002</v>
      </c>
      <c r="T7" s="36">
        <f>+IFERROR(HLOOKUP($B7,'[1]9월'!$D$6:$BN$259,16,),)/1000</f>
        <v>678.99607462332369</v>
      </c>
      <c r="U7" s="37">
        <f>+IFERROR(HLOOKUP($B7,'[2]9월'!$F$6:$CP$99,16,),)/1000</f>
        <v>202.03240100000005</v>
      </c>
      <c r="V7" s="41">
        <f>+U7-T7</f>
        <v>-476.96367362332364</v>
      </c>
      <c r="W7" s="42">
        <f>+IFERROR(HLOOKUP($B7,'[3]9월'!$F$6:$CC$57,16,),)/1000</f>
        <v>655.90449799999976</v>
      </c>
      <c r="X7" s="40">
        <f>+U7-W7</f>
        <v>-453.87209699999971</v>
      </c>
      <c r="Y7" s="36">
        <f>+[5]안양!$Q$85</f>
        <v>101215.30454545456</v>
      </c>
      <c r="Z7" s="37">
        <f>+[5]안양!$R$85</f>
        <v>100365.63091549296</v>
      </c>
      <c r="AA7" s="43">
        <f>+[6]안양!$Q$85</f>
        <v>94220.972542752774</v>
      </c>
      <c r="AB7" s="44">
        <f>+[5]안양!$Q$89</f>
        <v>78752.533490250556</v>
      </c>
      <c r="AC7" s="37">
        <f>+[5]안양!$R$89</f>
        <v>81650.506932226053</v>
      </c>
      <c r="AD7" s="45">
        <f>+[6]안양!$Q$89</f>
        <v>74023.093970453978</v>
      </c>
      <c r="AE7" s="44">
        <f>+Y7-AB7</f>
        <v>22462.771055204008</v>
      </c>
      <c r="AF7" s="37">
        <f>+Z7-AC7</f>
        <v>18715.123983266909</v>
      </c>
      <c r="AG7" s="45">
        <f>+AA7-AD7</f>
        <v>20197.878572298796</v>
      </c>
      <c r="AH7" s="18"/>
      <c r="AI7" s="19"/>
    </row>
    <row r="8" spans="2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+IFERROR(HLOOKUP($B8,'[1]9월'!$D$6:$BN$259,2,),)/1000</f>
        <v>30</v>
      </c>
      <c r="K8" s="47">
        <f>+IFERROR(HLOOKUP($B8,'[2]9월'!$F$6:$CP$99,2,),)/1000</f>
        <v>18.327000000000002</v>
      </c>
      <c r="L8" s="48">
        <f t="shared" si="0"/>
        <v>-11.672999999999998</v>
      </c>
      <c r="M8" s="49">
        <f>+IFERROR(HLOOKUP($B8,'[3]9월'!$F$6:$CC$57,2,),)/1000</f>
        <v>34.957000000000001</v>
      </c>
      <c r="N8" s="50">
        <f t="shared" ref="N8:N26" si="2">+K8-M8</f>
        <v>-16.63</v>
      </c>
      <c r="O8" s="46">
        <f>+IFERROR(HLOOKUP($B8,'[1]9월'!$D$6:$BN$259,3,),)/1000</f>
        <v>3105.3788305695998</v>
      </c>
      <c r="P8" s="47">
        <f>+IFERROR(HLOOKUP($B8,'[2]9월'!$F$6:$CP$99,3,),)/1000</f>
        <v>1795.8146939999999</v>
      </c>
      <c r="Q8" s="48">
        <f t="shared" ref="Q8:Q26" si="3">+P8-O8</f>
        <v>-1309.5641365695999</v>
      </c>
      <c r="R8" s="49">
        <f>+IFERROR(HLOOKUP($B8,'[3]9월'!$F$6:$CC$57,3,),)/1000</f>
        <v>3521.222929</v>
      </c>
      <c r="S8" s="50">
        <f t="shared" ref="S8:S26" si="4">+P8-R8</f>
        <v>-1725.4082350000001</v>
      </c>
      <c r="T8" s="46">
        <f>+IFERROR(HLOOKUP($B8,'[1]9월'!$D$6:$BN$259,16,),)/1000</f>
        <v>369.08345560547104</v>
      </c>
      <c r="U8" s="47">
        <f>+IFERROR(HLOOKUP($B8,'[2]9월'!$F$6:$CP$99,16,),)/1000</f>
        <v>-68.397039999999976</v>
      </c>
      <c r="V8" s="48">
        <f t="shared" ref="V8:V26" si="5">+U8-T8</f>
        <v>-437.48049560547099</v>
      </c>
      <c r="W8" s="49">
        <f>+IFERROR(HLOOKUP($B8,'[3]9월'!$F$6:$CC$57,16,),)/1000</f>
        <v>373.48537899999991</v>
      </c>
      <c r="X8" s="50">
        <f t="shared" ref="X8:X26" si="6">+U8-W8</f>
        <v>-441.88241899999991</v>
      </c>
      <c r="Y8" s="46">
        <f>+[5]인천!$Q$85</f>
        <v>103512.62768565332</v>
      </c>
      <c r="Z8" s="47">
        <f>+[5]인천!$R$85</f>
        <v>97987.378949091493</v>
      </c>
      <c r="AA8" s="51">
        <f>+[6]인천!$Q$85</f>
        <v>100716.90576159132</v>
      </c>
      <c r="AB8" s="52">
        <f>+[5]인천!$Q$89</f>
        <v>80746.877933011492</v>
      </c>
      <c r="AC8" s="47">
        <f>+[5]인천!$R$89</f>
        <v>82653.876515027994</v>
      </c>
      <c r="AD8" s="53">
        <f>+[6]인천!$Q$89</f>
        <v>79628.744877553981</v>
      </c>
      <c r="AE8" s="52">
        <f t="shared" ref="AE8:AE27" si="7">+Y8-AB8</f>
        <v>22765.74975264183</v>
      </c>
      <c r="AF8" s="47">
        <f t="shared" ref="AF8:AF27" si="8">+Z8-AC8</f>
        <v>15333.502434063499</v>
      </c>
      <c r="AG8" s="53">
        <f t="shared" ref="AG8:AG27" si="9">+AA8-AD8</f>
        <v>21088.160884037337</v>
      </c>
      <c r="AH8" s="18"/>
      <c r="AI8" s="19"/>
      <c r="AJ8" s="96"/>
    </row>
    <row r="9" spans="2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+IFERROR(HLOOKUP($B9,'[1]9월'!$D$6:$BN$259,2,),)/1000</f>
        <v>24</v>
      </c>
      <c r="K9" s="47">
        <f>+IFERROR(HLOOKUP($B9,'[2]9월'!$F$6:$CP$99,2,),)/1000</f>
        <v>19.107800000000001</v>
      </c>
      <c r="L9" s="48">
        <f t="shared" si="0"/>
        <v>-4.892199999999999</v>
      </c>
      <c r="M9" s="49">
        <f>+IFERROR(HLOOKUP($B9,'[3]9월'!$F$6:$CC$57,2,),)/1000</f>
        <v>29.376999999999999</v>
      </c>
      <c r="N9" s="50">
        <f t="shared" si="2"/>
        <v>-10.269199999999998</v>
      </c>
      <c r="O9" s="46">
        <f>+IFERROR(HLOOKUP($B9,'[1]9월'!$D$6:$BN$259,3,),)/1000</f>
        <v>2390.1945134890852</v>
      </c>
      <c r="P9" s="47">
        <f>+IFERROR(HLOOKUP($B9,'[2]9월'!$F$6:$CP$99,3,),)/1000</f>
        <v>1803.3963000000001</v>
      </c>
      <c r="Q9" s="48">
        <f t="shared" si="3"/>
        <v>-586.79821348908513</v>
      </c>
      <c r="R9" s="49">
        <f>+IFERROR(HLOOKUP($B9,'[3]9월'!$F$6:$CC$57,3,),)/1000</f>
        <v>2809.7129649999997</v>
      </c>
      <c r="S9" s="50">
        <f t="shared" si="4"/>
        <v>-1006.3166649999996</v>
      </c>
      <c r="T9" s="46">
        <f>+IFERROR(HLOOKUP($B9,'[1]9월'!$D$6:$BN$259,16,),)/1000</f>
        <v>326.54742043214338</v>
      </c>
      <c r="U9" s="47">
        <f>+IFERROR(HLOOKUP($B9,'[2]9월'!$F$6:$CP$99,16,),)/1000</f>
        <v>106.24982999999987</v>
      </c>
      <c r="V9" s="48">
        <f t="shared" si="5"/>
        <v>-220.29759043214352</v>
      </c>
      <c r="W9" s="49">
        <f>+IFERROR(HLOOKUP($B9,'[3]9월'!$F$6:$CC$57,16,),)/1000</f>
        <v>369.05486699999983</v>
      </c>
      <c r="X9" s="50">
        <f t="shared" si="6"/>
        <v>-262.80503699999997</v>
      </c>
      <c r="Y9" s="46">
        <f>+[5]파주!$Q$85</f>
        <v>99591.438062045214</v>
      </c>
      <c r="Z9" s="47">
        <f>+[5]파주!$R$85</f>
        <v>94365.024402070238</v>
      </c>
      <c r="AA9" s="51">
        <f>+[6]파주!$Q$85</f>
        <v>95605.395566295425</v>
      </c>
      <c r="AB9" s="52">
        <f>+[5]파주!$Q$89</f>
        <v>76823.00654036738</v>
      </c>
      <c r="AC9" s="47">
        <f>+[5]파주!$R$89</f>
        <v>75826.43403008359</v>
      </c>
      <c r="AD9" s="53">
        <f>+[6]파주!$Q$89</f>
        <v>74000.888456958754</v>
      </c>
      <c r="AE9" s="52">
        <f t="shared" si="7"/>
        <v>22768.431521677834</v>
      </c>
      <c r="AF9" s="47">
        <f t="shared" si="8"/>
        <v>18538.590371986647</v>
      </c>
      <c r="AG9" s="53">
        <f t="shared" si="9"/>
        <v>21604.507109336671</v>
      </c>
      <c r="AH9" s="18"/>
      <c r="AI9" s="19"/>
      <c r="AJ9" s="96"/>
    </row>
    <row r="10" spans="2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+IFERROR(HLOOKUP($B10,'[1]9월'!$D$6:$BN$259,2,),)/1000</f>
        <v>16.5</v>
      </c>
      <c r="K10" s="47">
        <f>+IFERROR(HLOOKUP($B10,'[2]9월'!$F$6:$CP$99,2,),)/1000</f>
        <v>9.8000000000000007</v>
      </c>
      <c r="L10" s="48">
        <f t="shared" si="0"/>
        <v>-6.6999999999999993</v>
      </c>
      <c r="M10" s="49">
        <f>+IFERROR(HLOOKUP($B10,'[3]9월'!$F$6:$CC$57,2,),)/1000</f>
        <v>17.310500000000001</v>
      </c>
      <c r="N10" s="50">
        <f t="shared" si="2"/>
        <v>-7.5105000000000004</v>
      </c>
      <c r="O10" s="46">
        <f>+IFERROR(HLOOKUP($B10,'[1]9월'!$D$6:$BN$259,3,),)/1000</f>
        <v>1599.1790000000001</v>
      </c>
      <c r="P10" s="47">
        <f>+IFERROR(HLOOKUP($B10,'[2]9월'!$F$6:$CP$99,3,),)/1000</f>
        <v>943.50309400000003</v>
      </c>
      <c r="Q10" s="48">
        <f t="shared" si="3"/>
        <v>-655.67590600000005</v>
      </c>
      <c r="R10" s="49">
        <f>+IFERROR(HLOOKUP($B10,'[3]9월'!$F$6:$CC$57,3,),)/1000</f>
        <v>1606.57664</v>
      </c>
      <c r="S10" s="50">
        <f t="shared" si="4"/>
        <v>-663.07354599999996</v>
      </c>
      <c r="T10" s="46">
        <f>+IFERROR(HLOOKUP($B10,'[1]9월'!$D$6:$BN$259,16,),)/1000</f>
        <v>247.00640791669758</v>
      </c>
      <c r="U10" s="47">
        <f>+IFERROR(HLOOKUP($B10,'[2]9월'!$F$6:$CP$99,16,),)/1000</f>
        <v>29.041857000000117</v>
      </c>
      <c r="V10" s="48">
        <f t="shared" si="5"/>
        <v>-217.96455091669748</v>
      </c>
      <c r="W10" s="49">
        <f>+IFERROR(HLOOKUP($B10,'[3]9월'!$F$6:$CC$57,16,),)/1000</f>
        <v>190.04047099999997</v>
      </c>
      <c r="X10" s="50">
        <f t="shared" si="6"/>
        <v>-160.99861399999986</v>
      </c>
      <c r="Y10" s="46">
        <f>+[5]김포!$Q$85</f>
        <v>96919.939393939392</v>
      </c>
      <c r="Z10" s="47">
        <f>+[5]김포!$R$85</f>
        <v>96275.825918367351</v>
      </c>
      <c r="AA10" s="51">
        <f>+[6]김포!$Q$85</f>
        <v>92784.692443390493</v>
      </c>
      <c r="AB10" s="52">
        <f>+[5]김포!$Q$89</f>
        <v>71987.752422557052</v>
      </c>
      <c r="AC10" s="47">
        <f>+[5]김포!$R$89</f>
        <v>74300.021428571432</v>
      </c>
      <c r="AD10" s="53">
        <f>+[6]김포!$Q$89</f>
        <v>70716.173277480862</v>
      </c>
      <c r="AE10" s="52">
        <f t="shared" si="7"/>
        <v>24932.18697138234</v>
      </c>
      <c r="AF10" s="47">
        <f t="shared" si="8"/>
        <v>21975.804489795919</v>
      </c>
      <c r="AG10" s="53">
        <f t="shared" si="9"/>
        <v>22068.519165909631</v>
      </c>
      <c r="AH10" s="18"/>
      <c r="AI10" s="19"/>
      <c r="AJ10" s="96"/>
    </row>
    <row r="11" spans="2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+IFERROR(HLOOKUP($B11,'[1]9월'!$D$6:$BN$259,2,),)/1000</f>
        <v>21</v>
      </c>
      <c r="K11" s="64">
        <f>+IFERROR(HLOOKUP($B11,'[2]9월'!$F$6:$CP$99,2,),)/1000</f>
        <v>15.516999999999999</v>
      </c>
      <c r="L11" s="65">
        <f t="shared" si="0"/>
        <v>-5.4830000000000005</v>
      </c>
      <c r="M11" s="66">
        <f>+IFERROR(HLOOKUP($B11,'[3]9월'!$F$6:$CC$57,2,),)/1000</f>
        <v>19.603000000000002</v>
      </c>
      <c r="N11" s="67">
        <f t="shared" si="2"/>
        <v>-4.0860000000000021</v>
      </c>
      <c r="O11" s="63">
        <f>+IFERROR(HLOOKUP($B11,'[1]9월'!$D$6:$BN$259,3,),)/1000</f>
        <v>2259.6007849999996</v>
      </c>
      <c r="P11" s="64">
        <f>+IFERROR(HLOOKUP($B11,'[2]9월'!$F$6:$CP$99,3,),)/1000</f>
        <v>1769.7428</v>
      </c>
      <c r="Q11" s="65">
        <f t="shared" si="3"/>
        <v>-489.85798499999964</v>
      </c>
      <c r="R11" s="66">
        <f>+IFERROR(HLOOKUP($B11,'[3]9월'!$F$6:$CC$57,3,),)/1000</f>
        <v>2103.7885699999997</v>
      </c>
      <c r="S11" s="67">
        <f t="shared" si="4"/>
        <v>-334.04576999999972</v>
      </c>
      <c r="T11" s="63">
        <f>+IFERROR(HLOOKUP($B11,'[1]9월'!$D$6:$BN$259,16,),)/1000</f>
        <v>359.59565185733419</v>
      </c>
      <c r="U11" s="64">
        <f>+IFERROR(HLOOKUP($B11,'[2]9월'!$F$6:$CP$99,16,),)/1000</f>
        <v>167.22155100000009</v>
      </c>
      <c r="V11" s="65">
        <f t="shared" si="5"/>
        <v>-192.3741008573341</v>
      </c>
      <c r="W11" s="66">
        <f>+IFERROR(HLOOKUP($B11,'[3]9월'!$F$6:$CC$57,16,),)/1000</f>
        <v>197.24958699999974</v>
      </c>
      <c r="X11" s="67">
        <f t="shared" si="6"/>
        <v>-30.028035999999645</v>
      </c>
      <c r="Y11" s="63">
        <f>+[5]부산!$Q$85</f>
        <v>107600.03738095237</v>
      </c>
      <c r="Z11" s="64">
        <f>+[5]부산!$R$85</f>
        <v>114051.86569568861</v>
      </c>
      <c r="AA11" s="68">
        <f>+[6]부산!$Q$85</f>
        <v>107319.72504208538</v>
      </c>
      <c r="AB11" s="69">
        <f>+[5]부산!$Q$89</f>
        <v>77875.477252162149</v>
      </c>
      <c r="AC11" s="64">
        <f>+[5]부산!$R$89</f>
        <v>84631.159309636845</v>
      </c>
      <c r="AD11" s="70">
        <f>+[6]부산!$Q$89</f>
        <v>82938.800642758768</v>
      </c>
      <c r="AE11" s="69">
        <f t="shared" si="7"/>
        <v>29724.560128790225</v>
      </c>
      <c r="AF11" s="64">
        <f t="shared" si="8"/>
        <v>29420.706386051766</v>
      </c>
      <c r="AG11" s="70">
        <f t="shared" si="9"/>
        <v>24380.924399326614</v>
      </c>
      <c r="AH11" s="18"/>
      <c r="AI11" s="19"/>
      <c r="AJ11" s="96"/>
    </row>
    <row r="12" spans="2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+IFERROR(HLOOKUP($B12,'[1]9월'!$D$6:$BN$259,2,),)/1000</f>
        <v>19</v>
      </c>
      <c r="K12" s="47">
        <f>+IFERROR(HLOOKUP($B12,'[2]9월'!$F$6:$CP$99,2,),)/1000</f>
        <v>13.004</v>
      </c>
      <c r="L12" s="48">
        <f t="shared" si="0"/>
        <v>-5.9960000000000004</v>
      </c>
      <c r="M12" s="49">
        <f>+IFERROR(HLOOKUP($B12,'[3]9월'!$F$6:$CC$57,2,),)/1000</f>
        <v>23.901</v>
      </c>
      <c r="N12" s="50">
        <f t="shared" si="2"/>
        <v>-10.897</v>
      </c>
      <c r="O12" s="46">
        <f>+IFERROR(HLOOKUP($B12,'[1]9월'!$D$6:$BN$259,3,),)/1000</f>
        <v>1983.6418000000003</v>
      </c>
      <c r="P12" s="47">
        <f>+IFERROR(HLOOKUP($B12,'[2]9월'!$F$6:$CP$99,3,),)/1000</f>
        <v>1314.9703</v>
      </c>
      <c r="Q12" s="48">
        <f t="shared" si="3"/>
        <v>-668.67150000000038</v>
      </c>
      <c r="R12" s="49">
        <f>+IFERROR(HLOOKUP($B12,'[3]9월'!$F$6:$CC$57,3,),)/1000</f>
        <v>2410.5241919999999</v>
      </c>
      <c r="S12" s="50">
        <f t="shared" si="4"/>
        <v>-1095.5538919999999</v>
      </c>
      <c r="T12" s="46">
        <f>+IFERROR(HLOOKUP($B12,'[1]9월'!$D$6:$BN$259,16,),)/1000</f>
        <v>342.28746034410682</v>
      </c>
      <c r="U12" s="47">
        <f>+IFERROR(HLOOKUP($B12,'[2]9월'!$F$6:$CP$99,16,),)/1000</f>
        <v>84.673493999999977</v>
      </c>
      <c r="V12" s="48">
        <f t="shared" si="5"/>
        <v>-257.61396634410687</v>
      </c>
      <c r="W12" s="49">
        <f>+IFERROR(HLOOKUP($B12,'[3]9월'!$F$6:$CC$57,16,),)/1000</f>
        <v>353.41774899999979</v>
      </c>
      <c r="X12" s="50">
        <f t="shared" si="6"/>
        <v>-268.74425499999984</v>
      </c>
      <c r="Y12" s="46">
        <f>+[5]서부산!$Q$85</f>
        <v>104402.20000000001</v>
      </c>
      <c r="Z12" s="47">
        <f>+[5]서부산!$R$85</f>
        <v>101120.44755459859</v>
      </c>
      <c r="AA12" s="51">
        <f>+[6]서부산!$Q$85</f>
        <v>100854.5329484122</v>
      </c>
      <c r="AB12" s="52">
        <f>+[5]서부산!$Q$89</f>
        <v>76383.589151479769</v>
      </c>
      <c r="AC12" s="47">
        <f>+[5]서부산!$R$89</f>
        <v>78001.325745295646</v>
      </c>
      <c r="AD12" s="53">
        <f>+[6]서부산!$Q$89</f>
        <v>77345.656293135908</v>
      </c>
      <c r="AE12" s="52">
        <f t="shared" si="7"/>
        <v>28018.610848520242</v>
      </c>
      <c r="AF12" s="47">
        <f t="shared" si="8"/>
        <v>23119.121809302946</v>
      </c>
      <c r="AG12" s="53">
        <f t="shared" si="9"/>
        <v>23508.876655276297</v>
      </c>
      <c r="AH12" s="18"/>
      <c r="AI12" s="19"/>
      <c r="AJ12" s="96"/>
    </row>
    <row r="13" spans="2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+IFERROR(HLOOKUP($B13,'[1]9월'!$D$6:$BN$259,2,),)/1000</f>
        <v>12</v>
      </c>
      <c r="K13" s="47">
        <f>+IFERROR(HLOOKUP($B13,'[2]9월'!$F$6:$CP$99,2,),)/1000</f>
        <v>12.705</v>
      </c>
      <c r="L13" s="48">
        <f t="shared" si="0"/>
        <v>0.70500000000000007</v>
      </c>
      <c r="M13" s="49">
        <f>+IFERROR(HLOOKUP($B13,'[3]9월'!$F$6:$CC$57,2,),)/1000</f>
        <v>12.034000000000001</v>
      </c>
      <c r="N13" s="50">
        <f t="shared" si="2"/>
        <v>0.67099999999999937</v>
      </c>
      <c r="O13" s="46">
        <f>+IFERROR(HLOOKUP($B13,'[1]9월'!$D$6:$BN$259,3,),)/1000</f>
        <v>1211.9928</v>
      </c>
      <c r="P13" s="47">
        <f>+IFERROR(HLOOKUP($B13,'[2]9월'!$F$6:$CP$99,3,),)/1000</f>
        <v>1134.8287</v>
      </c>
      <c r="Q13" s="48">
        <f t="shared" si="3"/>
        <v>-77.164099999999962</v>
      </c>
      <c r="R13" s="49">
        <f>+IFERROR(HLOOKUP($B13,'[3]9월'!$F$6:$CC$57,3,),)/1000</f>
        <v>1216.4461980000001</v>
      </c>
      <c r="S13" s="50">
        <f t="shared" si="4"/>
        <v>-81.617498000000069</v>
      </c>
      <c r="T13" s="46">
        <f>+IFERROR(HLOOKUP($B13,'[1]9월'!$D$6:$BN$259,16,),)/1000</f>
        <v>152.0957459001518</v>
      </c>
      <c r="U13" s="47">
        <f>+IFERROR(HLOOKUP($B13,'[2]9월'!$F$6:$CP$99,16,),)/1000</f>
        <v>-2.7295230000000736</v>
      </c>
      <c r="V13" s="48">
        <f t="shared" si="5"/>
        <v>-154.82526890015188</v>
      </c>
      <c r="W13" s="49">
        <f>+IFERROR(HLOOKUP($B13,'[3]9월'!$F$6:$CC$57,16,),)/1000</f>
        <v>71.200624000000033</v>
      </c>
      <c r="X13" s="50">
        <f t="shared" si="6"/>
        <v>-73.930147000000105</v>
      </c>
      <c r="Y13" s="46">
        <f>+[5]김해!$Q$85</f>
        <v>100999.40000000001</v>
      </c>
      <c r="Z13" s="47">
        <f>+[5]김해!$R$85</f>
        <v>89286.80280145134</v>
      </c>
      <c r="AA13" s="51">
        <f>+[6]김해!$Q$85</f>
        <v>101199.27980576023</v>
      </c>
      <c r="AB13" s="52">
        <f>+[5]김해!$Q$89</f>
        <v>76642.297913006914</v>
      </c>
      <c r="AC13" s="47">
        <f>+[5]김해!$R$89</f>
        <v>75888.626991486133</v>
      </c>
      <c r="AD13" s="53">
        <f>+[6]김해!$Q$89</f>
        <v>81202.894172806424</v>
      </c>
      <c r="AE13" s="52">
        <f t="shared" si="7"/>
        <v>24357.102086993094</v>
      </c>
      <c r="AF13" s="47">
        <f t="shared" si="8"/>
        <v>13398.175809965207</v>
      </c>
      <c r="AG13" s="53">
        <f t="shared" si="9"/>
        <v>19996.38563295381</v>
      </c>
      <c r="AH13" s="18"/>
      <c r="AI13" s="19"/>
      <c r="AJ13" s="96"/>
    </row>
    <row r="14" spans="2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+IFERROR(HLOOKUP($B14,'[1]9월'!$D$6:$BN$259,2,),)/1000</f>
        <v>16</v>
      </c>
      <c r="K14" s="47">
        <f>+IFERROR(HLOOKUP($B14,'[2]9월'!$F$6:$CP$99,2,),)/1000</f>
        <v>16.975999999999999</v>
      </c>
      <c r="L14" s="48">
        <f t="shared" si="0"/>
        <v>0.97599999999999909</v>
      </c>
      <c r="M14" s="49">
        <f>+IFERROR(HLOOKUP($B14,'[3]9월'!$F$6:$CC$57,2,),)/1000</f>
        <v>18.981999999999999</v>
      </c>
      <c r="N14" s="50">
        <f t="shared" si="2"/>
        <v>-2.0060000000000002</v>
      </c>
      <c r="O14" s="46">
        <f>+IFERROR(HLOOKUP($B14,'[1]9월'!$D$6:$BN$259,3,),)/1000</f>
        <v>1664</v>
      </c>
      <c r="P14" s="47">
        <f>+IFERROR(HLOOKUP($B14,'[2]9월'!$F$6:$CP$99,3,),)/1000</f>
        <v>1722.9996999999998</v>
      </c>
      <c r="Q14" s="48">
        <f t="shared" si="3"/>
        <v>58.999699999999848</v>
      </c>
      <c r="R14" s="49">
        <f>+IFERROR(HLOOKUP($B14,'[3]9월'!$F$6:$CC$57,3,),)/1000</f>
        <v>1927.8981799999999</v>
      </c>
      <c r="S14" s="50">
        <f t="shared" si="4"/>
        <v>-204.89848000000006</v>
      </c>
      <c r="T14" s="46">
        <f>+IFERROR(HLOOKUP($B14,'[1]9월'!$D$6:$BN$259,16,),)/1000</f>
        <v>221.82233299038958</v>
      </c>
      <c r="U14" s="47">
        <f>+IFERROR(HLOOKUP($B14,'[2]9월'!$F$6:$CP$99,16,),)/1000</f>
        <v>103.54540100000021</v>
      </c>
      <c r="V14" s="48">
        <f t="shared" si="5"/>
        <v>-118.27693199038937</v>
      </c>
      <c r="W14" s="49">
        <f>+IFERROR(HLOOKUP($B14,'[3]9월'!$F$6:$CC$57,16,),)/1000</f>
        <v>219.38572700000012</v>
      </c>
      <c r="X14" s="50">
        <f t="shared" si="6"/>
        <v>-115.84032599999991</v>
      </c>
      <c r="Y14" s="46">
        <f>+[5]정관!$Q$85</f>
        <v>104000</v>
      </c>
      <c r="Z14" s="47">
        <f>+[5]정관!$R$85</f>
        <v>101496.21229971724</v>
      </c>
      <c r="AA14" s="51">
        <f>+[6]정관!$Q$85</f>
        <v>101564.54430513117</v>
      </c>
      <c r="AB14" s="52">
        <f>+[5]정관!$Q$89</f>
        <v>77926.100701989548</v>
      </c>
      <c r="AC14" s="47">
        <f>+[5]정관!$R$89</f>
        <v>81278.390233870014</v>
      </c>
      <c r="AD14" s="53">
        <f>+[6]정관!$Q$89</f>
        <v>78824.168738150416</v>
      </c>
      <c r="AE14" s="52">
        <f t="shared" si="7"/>
        <v>26073.899298010452</v>
      </c>
      <c r="AF14" s="47">
        <f t="shared" si="8"/>
        <v>20217.822065847227</v>
      </c>
      <c r="AG14" s="53">
        <f t="shared" si="9"/>
        <v>22740.375566980758</v>
      </c>
      <c r="AH14" s="18"/>
      <c r="AI14" s="19"/>
      <c r="AJ14" s="96"/>
    </row>
    <row r="15" spans="2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+IFERROR(HLOOKUP($B15,'[1]9월'!$D$6:$BN$259,2,),)/1000</f>
        <v>12</v>
      </c>
      <c r="K15" s="47">
        <f>+IFERROR(HLOOKUP($B15,'[2]9월'!$F$6:$CP$99,2,),)/1000</f>
        <v>12.518000000000001</v>
      </c>
      <c r="L15" s="48">
        <f t="shared" si="0"/>
        <v>0.51800000000000068</v>
      </c>
      <c r="M15" s="49">
        <f>+IFERROR(HLOOKUP($B15,'[3]9월'!$F$6:$CC$57,2,),)/1000</f>
        <v>13.622</v>
      </c>
      <c r="N15" s="50">
        <f t="shared" si="2"/>
        <v>-1.1039999999999992</v>
      </c>
      <c r="O15" s="46">
        <f>+IFERROR(HLOOKUP($B15,'[1]9월'!$D$6:$BN$259,3,),)/1000</f>
        <v>1166.5218300000004</v>
      </c>
      <c r="P15" s="47">
        <f>+IFERROR(HLOOKUP($B15,'[2]9월'!$F$6:$CP$99,3,),)/1000</f>
        <v>1127.9968999999999</v>
      </c>
      <c r="Q15" s="48">
        <f t="shared" si="3"/>
        <v>-38.524930000000495</v>
      </c>
      <c r="R15" s="49">
        <f>+IFERROR(HLOOKUP($B15,'[3]9월'!$F$6:$CC$57,3,),)/1000</f>
        <v>1240.38024</v>
      </c>
      <c r="S15" s="50">
        <f t="shared" si="4"/>
        <v>-112.38334000000009</v>
      </c>
      <c r="T15" s="46">
        <f>+IFERROR(HLOOKUP($B15,'[1]9월'!$D$6:$BN$259,16,),)/1000</f>
        <v>189.63512175105879</v>
      </c>
      <c r="U15" s="47">
        <f>+IFERROR(HLOOKUP($B15,'[2]9월'!$F$6:$CP$99,16,),)/1000</f>
        <v>69.60220799999999</v>
      </c>
      <c r="V15" s="48">
        <f t="shared" si="5"/>
        <v>-120.0329137510588</v>
      </c>
      <c r="W15" s="49">
        <f>+IFERROR(HLOOKUP($B15,'[3]9월'!$F$6:$CC$57,16,),)/1000</f>
        <v>82.581045000000103</v>
      </c>
      <c r="X15" s="50">
        <f t="shared" si="6"/>
        <v>-12.978837000000112</v>
      </c>
      <c r="Y15" s="46">
        <f>+[5]양산!$Q$85</f>
        <v>97210.152500000026</v>
      </c>
      <c r="Z15" s="47">
        <f>+[5]양산!$R$85</f>
        <v>90109.993609202749</v>
      </c>
      <c r="AA15" s="51">
        <f>+[6]양산!$Q$85</f>
        <v>91057.131111437382</v>
      </c>
      <c r="AB15" s="52">
        <f>+[5]양산!$Q$89</f>
        <v>69380.455928152529</v>
      </c>
      <c r="AC15" s="47">
        <f>+[5]양산!$R$89</f>
        <v>71969.384805879527</v>
      </c>
      <c r="AD15" s="53">
        <f>+[6]양산!$Q$89</f>
        <v>72000.401115842018</v>
      </c>
      <c r="AE15" s="52">
        <f t="shared" si="7"/>
        <v>27829.696571847497</v>
      </c>
      <c r="AF15" s="47">
        <f t="shared" si="8"/>
        <v>18140.608803323223</v>
      </c>
      <c r="AG15" s="53">
        <f t="shared" si="9"/>
        <v>19056.729995595364</v>
      </c>
      <c r="AH15" s="18"/>
      <c r="AI15" s="19"/>
      <c r="AJ15" s="96"/>
    </row>
    <row r="16" spans="2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+IFERROR(HLOOKUP($B16,'[1]9월'!$D$6:$BN$259,2,),)/1000</f>
        <v>14</v>
      </c>
      <c r="K16" s="47">
        <f>+IFERROR(HLOOKUP($B16,'[2]9월'!$F$6:$CP$99,2,),)/1000</f>
        <v>14.952999999999999</v>
      </c>
      <c r="L16" s="48">
        <f t="shared" si="0"/>
        <v>0.9529999999999994</v>
      </c>
      <c r="M16" s="49">
        <f>+IFERROR(HLOOKUP($B16,'[3]9월'!$F$6:$CC$57,2,),)/1000</f>
        <v>20.125</v>
      </c>
      <c r="N16" s="50">
        <f t="shared" si="2"/>
        <v>-5.1720000000000006</v>
      </c>
      <c r="O16" s="46">
        <f>+IFERROR(HLOOKUP($B16,'[1]9월'!$D$6:$BN$259,3,),)/1000</f>
        <v>1423.73</v>
      </c>
      <c r="P16" s="47">
        <f>+IFERROR(HLOOKUP($B16,'[2]9월'!$F$6:$CP$99,3,),)/1000</f>
        <v>1507.3453999999999</v>
      </c>
      <c r="Q16" s="48">
        <f t="shared" si="3"/>
        <v>83.615399999999909</v>
      </c>
      <c r="R16" s="49">
        <f>+IFERROR(HLOOKUP($B16,'[3]9월'!$F$6:$CC$57,3,),)/1000</f>
        <v>1973.0211999999999</v>
      </c>
      <c r="S16" s="50">
        <f t="shared" si="4"/>
        <v>-465.67579999999998</v>
      </c>
      <c r="T16" s="46">
        <f>+IFERROR(HLOOKUP($B16,'[1]9월'!$D$6:$BN$259,16,),)/1000</f>
        <v>222.23827020808582</v>
      </c>
      <c r="U16" s="47">
        <f>+IFERROR(HLOOKUP($B16,'[2]9월'!$F$6:$CP$99,16,),)/1000</f>
        <v>152.25466699999993</v>
      </c>
      <c r="V16" s="48">
        <f t="shared" si="5"/>
        <v>-69.983603208085896</v>
      </c>
      <c r="W16" s="49">
        <f>+IFERROR(HLOOKUP($B16,'[3]9월'!$F$6:$CC$57,16,),)/1000</f>
        <v>324.44847399999981</v>
      </c>
      <c r="X16" s="50">
        <f t="shared" si="6"/>
        <v>-172.19380699999988</v>
      </c>
      <c r="Y16" s="46">
        <f>+[5]창원!$Q$85</f>
        <v>101695</v>
      </c>
      <c r="Z16" s="47">
        <f>+[5]창원!$R$85</f>
        <v>100805.5507256069</v>
      </c>
      <c r="AA16" s="51">
        <f>+[6]창원!$Q$85</f>
        <v>98038.320496894419</v>
      </c>
      <c r="AB16" s="52">
        <f>+[5]창원!$Q$89</f>
        <v>72711.105052101135</v>
      </c>
      <c r="AC16" s="47">
        <f>+[5]창원!$R$89</f>
        <v>74736.793486256938</v>
      </c>
      <c r="AD16" s="53">
        <f>+[6]창원!$Q$89</f>
        <v>71948.623304347828</v>
      </c>
      <c r="AE16" s="52">
        <f t="shared" si="7"/>
        <v>28983.894947898865</v>
      </c>
      <c r="AF16" s="47">
        <f t="shared" si="8"/>
        <v>26068.757239349958</v>
      </c>
      <c r="AG16" s="53">
        <f t="shared" si="9"/>
        <v>26089.697192546591</v>
      </c>
      <c r="AH16" s="18"/>
      <c r="AI16" s="19"/>
      <c r="AJ16" s="96"/>
    </row>
    <row r="17" spans="2:38" s="8" customFormat="1" ht="19.5" customHeight="1" x14ac:dyDescent="0.3">
      <c r="B17" s="8" t="s">
        <v>96</v>
      </c>
      <c r="G17" s="792" t="str">
        <f t="shared" si="1"/>
        <v>대구</v>
      </c>
      <c r="H17" s="80"/>
      <c r="I17" s="81" t="s">
        <v>87</v>
      </c>
      <c r="J17" s="46">
        <f>+IFERROR(HLOOKUP($B17,'[1]9월'!$D$6:$BN$259,2,),)/1000</f>
        <v>16</v>
      </c>
      <c r="K17" s="47">
        <f>+IFERROR(HLOOKUP($B17,'[2]9월'!$F$6:$CP$99,2,),)/1000</f>
        <v>14.191000000000001</v>
      </c>
      <c r="L17" s="48">
        <f t="shared" si="0"/>
        <v>-1.8089999999999993</v>
      </c>
      <c r="M17" s="49">
        <f>+IFERROR(HLOOKUP($B17,'[3]9월'!$F$6:$CC$57,2,),)/1000</f>
        <v>17.334</v>
      </c>
      <c r="N17" s="50">
        <f t="shared" si="2"/>
        <v>-3.1429999999999989</v>
      </c>
      <c r="O17" s="46">
        <f>+IFERROR(HLOOKUP($B17,'[1]9월'!$D$6:$BN$259,3,),)/1000</f>
        <v>1564.16</v>
      </c>
      <c r="P17" s="47">
        <f>+IFERROR(HLOOKUP($B17,'[2]9월'!$F$6:$CP$99,3,),)/1000</f>
        <v>1379.9727499999999</v>
      </c>
      <c r="Q17" s="48">
        <f t="shared" si="3"/>
        <v>-184.18725000000018</v>
      </c>
      <c r="R17" s="49">
        <f>+IFERROR(HLOOKUP($B17,'[3]9월'!$F$6:$CC$57,3,),)/1000</f>
        <v>1626.8375000000001</v>
      </c>
      <c r="S17" s="50">
        <f t="shared" si="4"/>
        <v>-246.86475000000019</v>
      </c>
      <c r="T17" s="46">
        <f>+IFERROR(HLOOKUP($B17,'[1]9월'!$D$6:$BN$259,16,),)/1000</f>
        <v>287.14697119302951</v>
      </c>
      <c r="U17" s="47">
        <f>+IFERROR(HLOOKUP($B17,'[2]9월'!$F$6:$CP$99,16,),)/1000</f>
        <v>137.65472400000007</v>
      </c>
      <c r="V17" s="48">
        <f t="shared" si="5"/>
        <v>-149.49224719302944</v>
      </c>
      <c r="W17" s="49">
        <f>+IFERROR(HLOOKUP($B17,'[3]9월'!$F$6:$CC$57,16,),)/1000</f>
        <v>218.3841800000001</v>
      </c>
      <c r="X17" s="50">
        <f t="shared" si="6"/>
        <v>-80.729456000000027</v>
      </c>
      <c r="Y17" s="46">
        <f>+[5]대구!$Q$85</f>
        <v>97760</v>
      </c>
      <c r="Z17" s="47">
        <f>+[5]대구!$R$85</f>
        <v>97242.812345853017</v>
      </c>
      <c r="AA17" s="51">
        <f>+[6]대구!$Q$85</f>
        <v>93852.399907695857</v>
      </c>
      <c r="AB17" s="52">
        <f>+[5]대구!$Q$89</f>
        <v>68963.293395768385</v>
      </c>
      <c r="AC17" s="47">
        <f>+[5]대구!$R$89</f>
        <v>72709.872242970901</v>
      </c>
      <c r="AD17" s="53">
        <f>+[6]대구!$Q$89</f>
        <v>70301.483500634597</v>
      </c>
      <c r="AE17" s="52">
        <f t="shared" si="7"/>
        <v>28796.706604231615</v>
      </c>
      <c r="AF17" s="47">
        <f t="shared" si="8"/>
        <v>24532.940102882116</v>
      </c>
      <c r="AG17" s="53">
        <f t="shared" si="9"/>
        <v>23550.916407061261</v>
      </c>
      <c r="AH17" s="18"/>
      <c r="AI17" s="19"/>
      <c r="AJ17" s="96"/>
    </row>
    <row r="18" spans="2:38" s="8" customFormat="1" ht="19.5" customHeight="1" x14ac:dyDescent="0.3">
      <c r="B18" s="8" t="s">
        <v>98</v>
      </c>
      <c r="G18" s="794" t="str">
        <f t="shared" si="1"/>
        <v>울산</v>
      </c>
      <c r="H18" s="80"/>
      <c r="I18" s="83" t="s">
        <v>88</v>
      </c>
      <c r="J18" s="10">
        <f>+IFERROR(HLOOKUP($B18,'[1]9월'!$D$6:$BN$259,2,),)/1000</f>
        <v>10</v>
      </c>
      <c r="K18" s="11">
        <f>+IFERROR(HLOOKUP($B18,'[2]9월'!$F$6:$CP$99,2,),)/1000</f>
        <v>11.98</v>
      </c>
      <c r="L18" s="12">
        <f t="shared" si="0"/>
        <v>1.9800000000000004</v>
      </c>
      <c r="M18" s="13">
        <f>+IFERROR(HLOOKUP($B18,'[3]9월'!$F$6:$CC$57,2,),)/1000</f>
        <v>7.2859999999999996</v>
      </c>
      <c r="N18" s="14">
        <f t="shared" si="2"/>
        <v>4.6940000000000008</v>
      </c>
      <c r="O18" s="10">
        <f>+IFERROR(HLOOKUP($B18,'[1]9월'!$D$6:$BN$259,3,),)/1000</f>
        <v>1012.462</v>
      </c>
      <c r="P18" s="11">
        <f>+IFERROR(HLOOKUP($B18,'[2]9월'!$F$6:$CP$99,3,),)/1000</f>
        <v>1176.1865500000001</v>
      </c>
      <c r="Q18" s="12">
        <f t="shared" si="3"/>
        <v>163.72455000000014</v>
      </c>
      <c r="R18" s="13">
        <f>+IFERROR(HLOOKUP($B18,'[3]9월'!$F$6:$CC$57,3,),)/1000</f>
        <v>718.74669999999992</v>
      </c>
      <c r="S18" s="14">
        <f t="shared" si="4"/>
        <v>457.43985000000021</v>
      </c>
      <c r="T18" s="10">
        <f>+IFERROR(HLOOKUP($B18,'[1]9월'!$D$6:$BN$259,16,),)/1000</f>
        <v>88.588790876298361</v>
      </c>
      <c r="U18" s="11">
        <f>+IFERROR(HLOOKUP($B18,'[2]9월'!$F$6:$CP$99,16,),)/1000</f>
        <v>78.459948000000068</v>
      </c>
      <c r="V18" s="12">
        <f t="shared" si="5"/>
        <v>-10.128842876298293</v>
      </c>
      <c r="W18" s="13">
        <f>+IFERROR(HLOOKUP($B18,'[3]9월'!$F$6:$CC$57,16,),)/1000</f>
        <v>-25.275581999999964</v>
      </c>
      <c r="X18" s="14">
        <f t="shared" si="6"/>
        <v>103.73553000000004</v>
      </c>
      <c r="Y18" s="10">
        <f>+[5]울산!$Q$85</f>
        <v>101246.2</v>
      </c>
      <c r="Z18" s="11">
        <f>+[5]울산!$R$85</f>
        <v>98179.177796327203</v>
      </c>
      <c r="AA18" s="15">
        <f>+[6]울산!$Q$85</f>
        <v>98714.521956642566</v>
      </c>
      <c r="AB18" s="16">
        <f>+[5]울산!$Q$89</f>
        <v>79194.379308254604</v>
      </c>
      <c r="AC18" s="11">
        <f>+[5]울산!$R$89</f>
        <v>78607.479048414025</v>
      </c>
      <c r="AD18" s="17">
        <f>+[6]울산!$Q$89</f>
        <v>82398.019872151213</v>
      </c>
      <c r="AE18" s="16">
        <f t="shared" si="7"/>
        <v>22051.820691745394</v>
      </c>
      <c r="AF18" s="11">
        <f t="shared" si="8"/>
        <v>19571.698747913179</v>
      </c>
      <c r="AG18" s="17">
        <f t="shared" si="9"/>
        <v>16316.502084491352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+IFERROR(HLOOKUP($B19,'[1]9월'!$D$6:$BN$259,2,),)/1000</f>
        <v>25</v>
      </c>
      <c r="K19" s="47">
        <f>+IFERROR(HLOOKUP($B19,'[2]9월'!$F$6:$CP$99,2,),)/1000</f>
        <v>23.352</v>
      </c>
      <c r="L19" s="48">
        <f t="shared" si="0"/>
        <v>-1.6479999999999997</v>
      </c>
      <c r="M19" s="49">
        <f>+IFERROR(HLOOKUP($B19,'[3]9월'!$F$6:$CC$57,2,),)/1000</f>
        <v>24.187999999999999</v>
      </c>
      <c r="N19" s="50">
        <f t="shared" si="2"/>
        <v>-0.83599999999999852</v>
      </c>
      <c r="O19" s="46">
        <f>+IFERROR(HLOOKUP($B19,'[1]9월'!$D$6:$BN$259,3,),)/1000</f>
        <v>2525.0034999999998</v>
      </c>
      <c r="P19" s="47">
        <f>+IFERROR(HLOOKUP($B19,'[2]9월'!$F$6:$CP$99,3,),)/1000</f>
        <v>2315.0377599999997</v>
      </c>
      <c r="Q19" s="48">
        <f t="shared" si="3"/>
        <v>-209.9657400000001</v>
      </c>
      <c r="R19" s="49">
        <f>+IFERROR(HLOOKUP($B19,'[3]9월'!$F$6:$CC$57,3,),)/1000</f>
        <v>2300.5724</v>
      </c>
      <c r="S19" s="50">
        <f t="shared" si="4"/>
        <v>14.465359999999691</v>
      </c>
      <c r="T19" s="46">
        <f>+IFERROR(HLOOKUP($B19,'[1]9월'!$D$6:$BN$259,16,),)/1000</f>
        <v>384.78619384451076</v>
      </c>
      <c r="U19" s="47">
        <f>+IFERROR(HLOOKUP($B19,'[2]9월'!$F$6:$CP$99,16,),)/1000</f>
        <v>256.65218499999986</v>
      </c>
      <c r="V19" s="48">
        <f t="shared" si="5"/>
        <v>-128.1340088445109</v>
      </c>
      <c r="W19" s="49">
        <f>+IFERROR(HLOOKUP($B19,'[3]9월'!$F$6:$CC$57,16,),)/1000</f>
        <v>301.86836899999969</v>
      </c>
      <c r="X19" s="50">
        <f t="shared" si="6"/>
        <v>-45.216183999999828</v>
      </c>
      <c r="Y19" s="46">
        <f>+[5]아산!$Q$85</f>
        <v>101000.14</v>
      </c>
      <c r="Z19" s="47">
        <f>+[5]아산!$R$85</f>
        <v>99026.218995765259</v>
      </c>
      <c r="AA19" s="51">
        <f>+[6]아산!$Q$85</f>
        <v>95112.138250372082</v>
      </c>
      <c r="AB19" s="52">
        <f>+[5]아산!$Q$89</f>
        <v>76991.452631946289</v>
      </c>
      <c r="AC19" s="47">
        <f>+[5]아산!$R$89</f>
        <v>76440.335922665283</v>
      </c>
      <c r="AD19" s="53">
        <f>+[6]아산!$Q$89</f>
        <v>74003.769090909074</v>
      </c>
      <c r="AE19" s="52">
        <f t="shared" si="7"/>
        <v>24008.68736805371</v>
      </c>
      <c r="AF19" s="47">
        <f t="shared" si="8"/>
        <v>22585.883073099976</v>
      </c>
      <c r="AG19" s="53">
        <f t="shared" si="9"/>
        <v>21108.369159463007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+IFERROR(HLOOKUP($B20,'[1]9월'!$D$6:$BN$259,2,),)/1000</f>
        <v>12</v>
      </c>
      <c r="K20" s="47">
        <f>+IFERROR(HLOOKUP($B20,'[2]9월'!$F$6:$CP$99,2,),)/1000</f>
        <v>10.103</v>
      </c>
      <c r="L20" s="48">
        <f t="shared" si="0"/>
        <v>-1.8970000000000002</v>
      </c>
      <c r="M20" s="49">
        <f>+IFERROR(HLOOKUP($B20,'[3]9월'!$F$6:$CC$57,2,),)/1000</f>
        <v>9.8574999999999999</v>
      </c>
      <c r="N20" s="50">
        <f t="shared" si="2"/>
        <v>0.24549999999999983</v>
      </c>
      <c r="O20" s="46">
        <f>+IFERROR(HLOOKUP($B20,'[1]9월'!$D$6:$BN$259,3,),)/1000</f>
        <v>1228.0727600000002</v>
      </c>
      <c r="P20" s="47">
        <f>+IFERROR(HLOOKUP($B20,'[2]9월'!$F$6:$CP$99,3,),)/1000</f>
        <v>1007.174396</v>
      </c>
      <c r="Q20" s="48">
        <f t="shared" si="3"/>
        <v>-220.89836400000024</v>
      </c>
      <c r="R20" s="49">
        <f>+IFERROR(HLOOKUP($B20,'[3]9월'!$F$6:$CC$57,3,),)/1000</f>
        <v>1033.3024789999999</v>
      </c>
      <c r="S20" s="50">
        <f t="shared" si="4"/>
        <v>-26.128082999999947</v>
      </c>
      <c r="T20" s="46">
        <f>+IFERROR(HLOOKUP($B20,'[1]9월'!$D$6:$BN$259,16,),)/1000</f>
        <v>209.31452785619109</v>
      </c>
      <c r="U20" s="47">
        <f>+IFERROR(HLOOKUP($B20,'[2]9월'!$F$6:$CP$99,16,),)/1000</f>
        <v>98.002098999999959</v>
      </c>
      <c r="V20" s="48">
        <f t="shared" si="5"/>
        <v>-111.31242885619113</v>
      </c>
      <c r="W20" s="49">
        <f>+IFERROR(HLOOKUP($B20,'[3]9월'!$F$6:$CC$57,16,),)/1000</f>
        <v>153.73999399999988</v>
      </c>
      <c r="X20" s="50">
        <f t="shared" si="6"/>
        <v>-55.737894999999924</v>
      </c>
      <c r="Y20" s="46">
        <f>+[5]전주!$Q$85</f>
        <v>102339.39666666668</v>
      </c>
      <c r="Z20" s="47">
        <f>+[5]전주!$R$85</f>
        <v>99690.626150648313</v>
      </c>
      <c r="AA20" s="51">
        <f>+[6]전주!$Q$85</f>
        <v>104935.93288042089</v>
      </c>
      <c r="AB20" s="52">
        <f>+[5]전주!$Q$89</f>
        <v>72820.53622163515</v>
      </c>
      <c r="AC20" s="47">
        <f>+[5]전주!$R$89</f>
        <v>72859.16451199053</v>
      </c>
      <c r="AD20" s="53">
        <f>+[6]전주!$Q$89</f>
        <v>73694.536139347183</v>
      </c>
      <c r="AE20" s="52">
        <f t="shared" si="7"/>
        <v>29518.860445031532</v>
      </c>
      <c r="AF20" s="47">
        <f t="shared" si="8"/>
        <v>26831.461638657784</v>
      </c>
      <c r="AG20" s="53">
        <f t="shared" si="9"/>
        <v>31241.39674107371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+IFERROR(HLOOKUP($B21,'[1]9월'!$D$6:$BN$259,2,),)/1000</f>
        <v>7</v>
      </c>
      <c r="K21" s="47">
        <f>+IFERROR(HLOOKUP($B21,'[2]9월'!$F$6:$CP$99,2,),)/1000</f>
        <v>7.883</v>
      </c>
      <c r="L21" s="48">
        <f t="shared" si="0"/>
        <v>0.88300000000000001</v>
      </c>
      <c r="M21" s="49">
        <f>+IFERROR(HLOOKUP($B21,'[3]9월'!$F$6:$CC$57,2,),)/1000</f>
        <v>7.7789999999999999</v>
      </c>
      <c r="N21" s="50">
        <f t="shared" si="2"/>
        <v>0.10400000000000009</v>
      </c>
      <c r="O21" s="46">
        <f>+IFERROR(HLOOKUP($B21,'[1]9월'!$D$6:$BN$259,3,),)/1000</f>
        <v>762.99902899999995</v>
      </c>
      <c r="P21" s="47">
        <f>+IFERROR(HLOOKUP($B21,'[2]9월'!$F$6:$CP$99,3,),)/1000</f>
        <v>917.56020000000001</v>
      </c>
      <c r="Q21" s="48">
        <f t="shared" si="3"/>
        <v>154.56117100000006</v>
      </c>
      <c r="R21" s="49">
        <f>+IFERROR(HLOOKUP($B21,'[3]9월'!$F$6:$CC$57,3,),)/1000</f>
        <v>813.60725400000001</v>
      </c>
      <c r="S21" s="50">
        <f t="shared" si="4"/>
        <v>103.952946</v>
      </c>
      <c r="T21" s="46">
        <f>+IFERROR(HLOOKUP($B21,'[1]9월'!$D$6:$BN$259,16,),)/1000</f>
        <v>200.25548561036032</v>
      </c>
      <c r="U21" s="47">
        <f>+IFERROR(HLOOKUP($B21,'[2]9월'!$F$6:$CP$99,16,),)/1000</f>
        <v>252.01421399999995</v>
      </c>
      <c r="V21" s="48">
        <f t="shared" si="5"/>
        <v>51.758728389639629</v>
      </c>
      <c r="W21" s="49">
        <f>+IFERROR(HLOOKUP($B21,'[3]9월'!$F$6:$CC$57,16,),)/1000</f>
        <v>185.57946600000002</v>
      </c>
      <c r="X21" s="50">
        <f t="shared" si="6"/>
        <v>66.434747999999928</v>
      </c>
      <c r="Y21" s="46">
        <f>+[5]군산!$Q$85</f>
        <v>108999.86128571429</v>
      </c>
      <c r="Z21" s="47">
        <f>+[5]군산!$R$85</f>
        <v>116414.49459631278</v>
      </c>
      <c r="AA21" s="51">
        <f>+[6]군산!$Q$85</f>
        <v>104590.21133821827</v>
      </c>
      <c r="AB21" s="52">
        <f>+[5]군산!$Q$89</f>
        <v>69834.129624922789</v>
      </c>
      <c r="AC21" s="47">
        <f>+[5]군산!$R$89</f>
        <v>72940.627844882387</v>
      </c>
      <c r="AD21" s="53">
        <f>+[6]군산!$Q$89</f>
        <v>70455.437202725298</v>
      </c>
      <c r="AE21" s="52">
        <f t="shared" si="7"/>
        <v>39165.731660791498</v>
      </c>
      <c r="AF21" s="47">
        <f t="shared" si="8"/>
        <v>43473.866751430396</v>
      </c>
      <c r="AG21" s="53">
        <f t="shared" si="9"/>
        <v>34134.774135492975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+IFERROR(HLOOKUP($B22,'[1]9월'!$D$6:$BN$259,2,),)/1000</f>
        <v>4</v>
      </c>
      <c r="K22" s="47">
        <f>+IFERROR(HLOOKUP($B22,'[2]9월'!$F$6:$CP$99,2,),)/1000</f>
        <v>5.359</v>
      </c>
      <c r="L22" s="48">
        <f t="shared" si="0"/>
        <v>1.359</v>
      </c>
      <c r="M22" s="49">
        <f>+IFERROR(HLOOKUP($B22,'[3]9월'!$F$6:$CC$57,2,),)/1000</f>
        <v>4.9844999999999997</v>
      </c>
      <c r="N22" s="50">
        <f t="shared" si="2"/>
        <v>0.37450000000000028</v>
      </c>
      <c r="O22" s="46">
        <f>+IFERROR(HLOOKUP($B22,'[1]9월'!$D$6:$BN$259,3,),)/1000</f>
        <v>431.6</v>
      </c>
      <c r="P22" s="47">
        <f>+IFERROR(HLOOKUP($B22,'[2]9월'!$F$6:$CP$99,3,),)/1000</f>
        <v>606.96100000000001</v>
      </c>
      <c r="Q22" s="48">
        <f t="shared" si="3"/>
        <v>175.36099999999999</v>
      </c>
      <c r="R22" s="49">
        <f>+IFERROR(HLOOKUP($B22,'[3]9월'!$F$6:$CC$57,3,),)/1000</f>
        <v>508.10919999999999</v>
      </c>
      <c r="S22" s="50">
        <f t="shared" si="4"/>
        <v>98.851800000000026</v>
      </c>
      <c r="T22" s="46">
        <f>+IFERROR(HLOOKUP($B22,'[1]9월'!$D$6:$BN$259,16,),)/1000</f>
        <v>53.146042856614336</v>
      </c>
      <c r="U22" s="47">
        <f>+IFERROR(HLOOKUP($B22,'[2]9월'!$F$6:$CP$99,16,),)/1000</f>
        <v>107.13870299999999</v>
      </c>
      <c r="V22" s="48">
        <f t="shared" si="5"/>
        <v>53.992660143385656</v>
      </c>
      <c r="W22" s="49">
        <f>+IFERROR(HLOOKUP($B22,'[3]9월'!$F$6:$CC$57,16,),)/1000</f>
        <v>91.645691000000028</v>
      </c>
      <c r="X22" s="50">
        <f t="shared" si="6"/>
        <v>15.493011999999965</v>
      </c>
      <c r="Y22" s="46">
        <f>+[5]원주!$Q$85</f>
        <v>107900</v>
      </c>
      <c r="Z22" s="47">
        <f>+[5]원주!$R$85</f>
        <v>113260.12315730547</v>
      </c>
      <c r="AA22" s="51">
        <f>+[6]원주!$Q$85</f>
        <v>101937.84732671281</v>
      </c>
      <c r="AB22" s="52">
        <f>+[5]원주!$Q$89</f>
        <v>72986.261680188763</v>
      </c>
      <c r="AC22" s="47">
        <f>+[5]원주!$R$89</f>
        <v>73534.47658145176</v>
      </c>
      <c r="AD22" s="53">
        <f>+[6]원주!$Q$89</f>
        <v>65834.361119470355</v>
      </c>
      <c r="AE22" s="52">
        <f t="shared" si="7"/>
        <v>34913.738319811237</v>
      </c>
      <c r="AF22" s="47">
        <f t="shared" si="8"/>
        <v>39725.646575853709</v>
      </c>
      <c r="AG22" s="53">
        <f t="shared" si="9"/>
        <v>36103.486207242458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+IFERROR(HLOOKUP($B23,'[1]9월'!$D$6:$BN$259,2,),)/1000</f>
        <v>6</v>
      </c>
      <c r="K23" s="47">
        <f>+IFERROR(HLOOKUP($B23,'[2]9월'!$F$6:$CP$99,2,),)/1000</f>
        <v>2.1084999999999998</v>
      </c>
      <c r="L23" s="48">
        <f t="shared" si="0"/>
        <v>-3.8915000000000002</v>
      </c>
      <c r="M23" s="49">
        <f>+IFERROR(HLOOKUP($B23,'[3]9월'!$F$6:$CC$57,2,),)/1000</f>
        <v>5.6660000000000004</v>
      </c>
      <c r="N23" s="50">
        <f t="shared" si="2"/>
        <v>-3.5575000000000006</v>
      </c>
      <c r="O23" s="46">
        <f>+IFERROR(HLOOKUP($B23,'[1]9월'!$D$6:$BN$259,3,),)/1000</f>
        <v>760.8</v>
      </c>
      <c r="P23" s="47">
        <f>+IFERROR(HLOOKUP($B23,'[2]9월'!$F$6:$CP$99,3,),)/1000</f>
        <v>245.49821799999998</v>
      </c>
      <c r="Q23" s="48">
        <f t="shared" si="3"/>
        <v>-515.301782</v>
      </c>
      <c r="R23" s="49">
        <f>+IFERROR(HLOOKUP($B23,'[3]9월'!$F$6:$CC$57,3,),)/1000</f>
        <v>680.80017700000008</v>
      </c>
      <c r="S23" s="50">
        <f t="shared" si="4"/>
        <v>-435.30195900000012</v>
      </c>
      <c r="T23" s="46">
        <f>+IFERROR(HLOOKUP($B23,'[1]9월'!$D$6:$BN$259,16,),)/1000</f>
        <v>122.8640906515602</v>
      </c>
      <c r="U23" s="47">
        <f>+IFERROR(HLOOKUP($B23,'[2]9월'!$F$6:$CP$99,16,),)/1000</f>
        <v>-40.681329000000026</v>
      </c>
      <c r="V23" s="48">
        <f t="shared" si="5"/>
        <v>-163.54541965156022</v>
      </c>
      <c r="W23" s="49">
        <f>+IFERROR(HLOOKUP($B23,'[3]9월'!$F$6:$CC$57,16,),)/1000</f>
        <v>77.08855400000003</v>
      </c>
      <c r="X23" s="50">
        <f t="shared" si="6"/>
        <v>-117.76988300000005</v>
      </c>
      <c r="Y23" s="46">
        <f>+[5]제주!$Q$85</f>
        <v>126800</v>
      </c>
      <c r="Z23" s="47">
        <f>+[5]제주!$R$85</f>
        <v>116432.63836850841</v>
      </c>
      <c r="AA23" s="51">
        <f>+[6]제주!$Q$85</f>
        <v>120155.3436286622</v>
      </c>
      <c r="AB23" s="52">
        <f>+[5]제주!$Q$89</f>
        <v>91328.927751033916</v>
      </c>
      <c r="AC23" s="47">
        <f>+[5]제주!$R$89</f>
        <v>86083.47498221483</v>
      </c>
      <c r="AD23" s="53">
        <f>+[6]제주!$Q$89</f>
        <v>89424.38439816449</v>
      </c>
      <c r="AE23" s="52">
        <f t="shared" si="7"/>
        <v>35471.072248966084</v>
      </c>
      <c r="AF23" s="47">
        <f t="shared" si="8"/>
        <v>30349.163386293585</v>
      </c>
      <c r="AG23" s="53">
        <f t="shared" si="9"/>
        <v>30730.959230497712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114.5</v>
      </c>
      <c r="K24" s="20">
        <f>SUM(K7:K10)</f>
        <v>75.634799999999998</v>
      </c>
      <c r="L24" s="21">
        <f t="shared" si="0"/>
        <v>-38.865200000000002</v>
      </c>
      <c r="M24" s="25">
        <f>SUM(M7:M10)</f>
        <v>129.82849999999999</v>
      </c>
      <c r="N24" s="22">
        <f t="shared" si="2"/>
        <v>-54.193699999999993</v>
      </c>
      <c r="O24" s="23">
        <f>SUM(O7:O10)</f>
        <v>11548.225744058685</v>
      </c>
      <c r="P24" s="20">
        <f>SUM(P7:P10)</f>
        <v>7393.0980060000002</v>
      </c>
      <c r="Q24" s="21">
        <f t="shared" si="3"/>
        <v>-4155.1277380586853</v>
      </c>
      <c r="R24" s="25">
        <f>SUM(R7:R10)</f>
        <v>12477.455875</v>
      </c>
      <c r="S24" s="22">
        <f t="shared" si="4"/>
        <v>-5084.3578689999995</v>
      </c>
      <c r="T24" s="23">
        <f>SUM(T7:T10)</f>
        <v>1621.6333585776356</v>
      </c>
      <c r="U24" s="20">
        <f>SUM(U7:U10)</f>
        <v>268.92704800000007</v>
      </c>
      <c r="V24" s="21">
        <f t="shared" si="5"/>
        <v>-1352.7063105776356</v>
      </c>
      <c r="W24" s="25">
        <f>SUM(W7:W10)</f>
        <v>1588.4852149999995</v>
      </c>
      <c r="X24" s="22">
        <f t="shared" si="6"/>
        <v>-1319.5581669999995</v>
      </c>
      <c r="Y24" s="23">
        <f>+[5]수도권!$Q$85</f>
        <v>100857.86676033787</v>
      </c>
      <c r="Z24" s="20">
        <f>+[5]수도권!$R$85</f>
        <v>97749.491475587041</v>
      </c>
      <c r="AA24" s="24">
        <f>+[6]수도권!$Q$85</f>
        <v>96078.533356158267</v>
      </c>
      <c r="AB24" s="29">
        <f>+[5]수도권!$Q$89</f>
        <v>77895.789375566601</v>
      </c>
      <c r="AC24" s="20">
        <f>+[5]수도권!$R$89</f>
        <v>79479.89152119041</v>
      </c>
      <c r="AD24" s="30">
        <f>+[6]수도권!$Q$89</f>
        <v>75077.479179387461</v>
      </c>
      <c r="AE24" s="29">
        <f t="shared" si="7"/>
        <v>22962.07738477127</v>
      </c>
      <c r="AF24" s="20">
        <f t="shared" si="8"/>
        <v>18269.599954396632</v>
      </c>
      <c r="AG24" s="30">
        <f t="shared" si="9"/>
        <v>21001.054176770805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120</v>
      </c>
      <c r="K25" s="20">
        <f>SUM(K11:K18)</f>
        <v>111.84400000000001</v>
      </c>
      <c r="L25" s="21">
        <f t="shared" si="0"/>
        <v>-8.1559999999999917</v>
      </c>
      <c r="M25" s="25">
        <f>SUM(M11:M18)</f>
        <v>132.887</v>
      </c>
      <c r="N25" s="22">
        <f t="shared" si="2"/>
        <v>-21.042999999999992</v>
      </c>
      <c r="O25" s="23">
        <f>SUM(O11:O18)</f>
        <v>12286.109214999999</v>
      </c>
      <c r="P25" s="20">
        <f>SUM(P11:P18)</f>
        <v>11134.043100000001</v>
      </c>
      <c r="Q25" s="21">
        <f t="shared" si="3"/>
        <v>-1152.0661149999978</v>
      </c>
      <c r="R25" s="25">
        <f>SUM(R11:R18)</f>
        <v>13217.642779999998</v>
      </c>
      <c r="S25" s="22">
        <f t="shared" si="4"/>
        <v>-2083.5996799999975</v>
      </c>
      <c r="T25" s="23">
        <f>SUM(T11:T18)</f>
        <v>1863.4103451204548</v>
      </c>
      <c r="U25" s="20">
        <f>SUM(U11:U18)</f>
        <v>790.68247000000031</v>
      </c>
      <c r="V25" s="21">
        <f t="shared" si="5"/>
        <v>-1072.7278751204544</v>
      </c>
      <c r="W25" s="25">
        <f>SUM(W11:W18)</f>
        <v>1441.3918039999996</v>
      </c>
      <c r="X25" s="22">
        <f t="shared" si="6"/>
        <v>-650.70933399999933</v>
      </c>
      <c r="Y25" s="23">
        <f>+[5]영남권!$Q$85</f>
        <v>102384.24345833332</v>
      </c>
      <c r="Z25" s="20">
        <f>+[5]영남권!$R$85</f>
        <v>99624.761690242362</v>
      </c>
      <c r="AA25" s="24">
        <f>+[6]영남권!$Q$85</f>
        <v>99478.729682684381</v>
      </c>
      <c r="AB25" s="29">
        <f>+[5]영남권!$Q$89</f>
        <v>74992.298597029352</v>
      </c>
      <c r="AC25" s="20">
        <f>+[5]영남권!$R$89</f>
        <v>77483.836889347993</v>
      </c>
      <c r="AD25" s="30">
        <f>+[6]영남권!$Q$89</f>
        <v>76717.351486976229</v>
      </c>
      <c r="AE25" s="29">
        <f t="shared" si="7"/>
        <v>27391.944861303971</v>
      </c>
      <c r="AF25" s="20">
        <f t="shared" si="8"/>
        <v>22140.924800894369</v>
      </c>
      <c r="AG25" s="30">
        <f t="shared" si="9"/>
        <v>22761.378195708152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171</v>
      </c>
      <c r="J26" s="23">
        <f>SUM(J19:J23)</f>
        <v>54</v>
      </c>
      <c r="K26" s="20">
        <f>SUM(K19:K23)</f>
        <v>48.805500000000002</v>
      </c>
      <c r="L26" s="21">
        <f t="shared" si="0"/>
        <v>-5.1944999999999979</v>
      </c>
      <c r="M26" s="25">
        <f>SUM(M19:M23)</f>
        <v>52.474999999999994</v>
      </c>
      <c r="N26" s="22">
        <f t="shared" si="2"/>
        <v>-3.6694999999999922</v>
      </c>
      <c r="O26" s="23">
        <f>SUM(O19:O23)</f>
        <v>5708.475289</v>
      </c>
      <c r="P26" s="20">
        <f>SUM(P19:P23)</f>
        <v>5092.2315739999995</v>
      </c>
      <c r="Q26" s="21">
        <f t="shared" si="3"/>
        <v>-616.24371500000052</v>
      </c>
      <c r="R26" s="25">
        <f>SUM(R19:R23)</f>
        <v>5336.3915099999995</v>
      </c>
      <c r="S26" s="22">
        <f t="shared" si="4"/>
        <v>-244.15993600000002</v>
      </c>
      <c r="T26" s="23">
        <f>SUM(T19:T23)</f>
        <v>970.36634081923671</v>
      </c>
      <c r="U26" s="20">
        <f>SUM(U19:U23)</f>
        <v>673.12587199999973</v>
      </c>
      <c r="V26" s="21">
        <f t="shared" si="5"/>
        <v>-297.24046881923698</v>
      </c>
      <c r="W26" s="25">
        <f>SUM(W19:W23)</f>
        <v>809.92207399999972</v>
      </c>
      <c r="X26" s="22">
        <f t="shared" si="6"/>
        <v>-136.79620199999999</v>
      </c>
      <c r="Y26" s="23">
        <f>+[5]중부권!$Q$85</f>
        <v>105712.50535185185</v>
      </c>
      <c r="Z26" s="20">
        <f>+[5]중부권!$R$85</f>
        <v>104305.45775307498</v>
      </c>
      <c r="AA26" s="24">
        <f>+[6]중부권!$Q$85</f>
        <v>101710.76613364882</v>
      </c>
      <c r="AB26" s="29">
        <f>+[5]중부권!$Q$89</f>
        <v>76433.15316777218</v>
      </c>
      <c r="AC26" s="20">
        <f>+[5]중부권!$R$89</f>
        <v>75226.18726291442</v>
      </c>
      <c r="AD26" s="30">
        <f>+[6]중부권!$Q$89</f>
        <v>74309.454004349653</v>
      </c>
      <c r="AE26" s="29">
        <f t="shared" si="7"/>
        <v>29279.352184079675</v>
      </c>
      <c r="AF26" s="20">
        <f t="shared" si="8"/>
        <v>29079.270490160561</v>
      </c>
      <c r="AG26" s="30">
        <f t="shared" si="9"/>
        <v>27401.312129299171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0.81900970537261697</v>
      </c>
      <c r="H27" s="629" t="s">
        <v>115</v>
      </c>
      <c r="I27" s="630"/>
      <c r="J27" s="631">
        <f>SUM(J24:J26)</f>
        <v>288.5</v>
      </c>
      <c r="K27" s="632">
        <f>SUM(K24:K26)</f>
        <v>236.2843</v>
      </c>
      <c r="L27" s="633">
        <f t="shared" ref="L27:L32" si="10">+K27-J27</f>
        <v>-52.215699999999998</v>
      </c>
      <c r="M27" s="634">
        <f>SUM(M24:M26)</f>
        <v>315.19050000000004</v>
      </c>
      <c r="N27" s="635">
        <f t="shared" ref="N27:N32" si="11">+K27-M27</f>
        <v>-78.906200000000041</v>
      </c>
      <c r="O27" s="631">
        <f>SUM(O24:O26)</f>
        <v>29542.810248058682</v>
      </c>
      <c r="P27" s="632">
        <f>SUM(P24:P26)</f>
        <v>23619.37268</v>
      </c>
      <c r="Q27" s="633">
        <f t="shared" ref="Q27:Q43" si="12">+P27-O27</f>
        <v>-5923.4375680586818</v>
      </c>
      <c r="R27" s="634">
        <f>SUM(R24:R26)</f>
        <v>31031.490164999996</v>
      </c>
      <c r="S27" s="635">
        <f t="shared" ref="S27:S34" si="13">+P27-R27</f>
        <v>-7412.1174849999952</v>
      </c>
      <c r="T27" s="631">
        <f>SUM(T24:T26)</f>
        <v>4455.4100445173272</v>
      </c>
      <c r="U27" s="632">
        <f>SUM(U24:U26)</f>
        <v>1732.7353900000003</v>
      </c>
      <c r="V27" s="633">
        <f t="shared" ref="V27:V32" si="14">+U27-T27</f>
        <v>-2722.6746545173269</v>
      </c>
      <c r="W27" s="634">
        <f>SUM(W24:W26)</f>
        <v>3839.7990929999987</v>
      </c>
      <c r="X27" s="635">
        <f t="shared" ref="X27:X32" si="15">+U27-W27</f>
        <v>-2107.0637029999984</v>
      </c>
      <c r="Y27" s="631">
        <f>+[5]합계!$Q$85</f>
        <v>102401.42200366962</v>
      </c>
      <c r="Z27" s="632">
        <f>+[5]합계!$R$85</f>
        <v>99989.728432119533</v>
      </c>
      <c r="AA27" s="636">
        <f>+[6]합계!$Q$85</f>
        <v>98458.403249077324</v>
      </c>
      <c r="AB27" s="637">
        <f>+[5]합계!$Q$89</f>
        <v>76414.329241613872</v>
      </c>
      <c r="AC27" s="632">
        <f>+[5]합계!$R$89</f>
        <v>77657.504395917087</v>
      </c>
      <c r="AD27" s="638">
        <f>+[6]합계!$Q$89</f>
        <v>75642.93710700846</v>
      </c>
      <c r="AE27" s="637">
        <f t="shared" si="7"/>
        <v>25987.092762055749</v>
      </c>
      <c r="AF27" s="632">
        <f t="shared" si="8"/>
        <v>22332.224036202446</v>
      </c>
      <c r="AG27" s="638">
        <f t="shared" si="9"/>
        <v>22815.466142068864</v>
      </c>
      <c r="AH27" s="27"/>
      <c r="AI27" s="28"/>
      <c r="AJ27" s="96"/>
      <c r="AL27" s="26"/>
    </row>
    <row r="28" spans="2:38" s="8" customFormat="1" ht="19.5" customHeight="1" x14ac:dyDescent="0.3">
      <c r="B28" s="8" t="s">
        <v>192</v>
      </c>
      <c r="E28" s="8" t="s">
        <v>201</v>
      </c>
      <c r="G28" s="792" t="s">
        <v>3</v>
      </c>
      <c r="H28" s="835" t="s">
        <v>63</v>
      </c>
      <c r="I28" s="836"/>
      <c r="J28" s="167">
        <f>+IFERROR(HLOOKUP($B28,'[1]9월'!$D$6:$BN$259,2,),)</f>
        <v>6500</v>
      </c>
      <c r="K28" s="168">
        <f>+IFERROR(HLOOKUP($E28,'[2]9월'!$F$6:$CP$99,2,),)</f>
        <v>7354.6280000000006</v>
      </c>
      <c r="L28" s="169">
        <f>+K28-J28</f>
        <v>854.62800000000061</v>
      </c>
      <c r="M28" s="170">
        <f>+IFERROR(HLOOKUP($E28,'[3]9월'!$F$6:$CC$57,2,),)</f>
        <v>6990.5029999999997</v>
      </c>
      <c r="N28" s="171">
        <f>+K28-M28</f>
        <v>364.12500000000091</v>
      </c>
      <c r="O28" s="167">
        <f>+IFERROR(HLOOKUP($B28,'[1]9월'!$D$6:$BN$259,3,),)/1000</f>
        <v>7946.920000000001</v>
      </c>
      <c r="P28" s="168">
        <f>+IFERROR(HLOOKUP($E28,'[2]9월'!$F$6:$CP$99,3,),)/1000</f>
        <v>7720.8258609999993</v>
      </c>
      <c r="Q28" s="169">
        <f>+P28-O28</f>
        <v>-226.09413900000163</v>
      </c>
      <c r="R28" s="170">
        <f>+IFERROR(HLOOKUP($E28,'[3]9월'!$F$6:$CC$57,3,),)/1000</f>
        <v>9395.2205450000001</v>
      </c>
      <c r="S28" s="171">
        <f t="shared" si="13"/>
        <v>-1674.3946840000008</v>
      </c>
      <c r="T28" s="167">
        <f>+IFERROR(HLOOKUP($B28,'[1]9월'!$D$6:$BN$259,16,),)/1000</f>
        <v>60.891697600001741</v>
      </c>
      <c r="U28" s="168">
        <f>+IFERROR(HLOOKUP($E28,'[2]9월'!$F$6:$CP$99,16,),)/1000</f>
        <v>-15.579202000000357</v>
      </c>
      <c r="V28" s="169">
        <f t="shared" si="14"/>
        <v>-76.470899600002099</v>
      </c>
      <c r="W28" s="170">
        <f>+IFERROR(HLOOKUP($E28,'[3]9월'!$F$6:$CC$57,16,),)/1000</f>
        <v>-1.5651189999995641</v>
      </c>
      <c r="X28" s="171">
        <f t="shared" si="15"/>
        <v>-14.014083000000793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60</v>
      </c>
      <c r="I29" s="81" t="s">
        <v>193</v>
      </c>
      <c r="J29" s="56">
        <f>+IFERROR(HLOOKUP($B29,'[1]9월'!$D$6:$BN$259,2,),)/1000</f>
        <v>26.511795321480207</v>
      </c>
      <c r="K29" s="57">
        <f>+IFERROR(HLOOKUP($C29,'[2]9월'!$F$6:$CP$99,2,),)/1000</f>
        <v>9.1430000000000007</v>
      </c>
      <c r="L29" s="38">
        <f t="shared" si="10"/>
        <v>-17.368795321480206</v>
      </c>
      <c r="M29" s="38">
        <f>+IFERROR(HLOOKUP($C29,'[3]9월'!$F$6:$CC$57,2,),)/1000</f>
        <v>27.469000000000001</v>
      </c>
      <c r="N29" s="58">
        <f t="shared" si="11"/>
        <v>-18.326000000000001</v>
      </c>
      <c r="O29" s="56">
        <f>+IFERROR(HLOOKUP($B29,'[1]9월'!$D$6:$BN$259,3,),)/1000</f>
        <v>754.20299506738411</v>
      </c>
      <c r="P29" s="57">
        <f>+IFERROR(HLOOKUP($C29,'[2]9월'!$F$6:$CP$99,3,),)/1000</f>
        <v>251.0855</v>
      </c>
      <c r="Q29" s="38">
        <f t="shared" si="12"/>
        <v>-503.11749506738408</v>
      </c>
      <c r="R29" s="38">
        <f>+IFERROR(HLOOKUP($C29,'[3]9월'!$F$6:$CC$57,3,),)/1000</f>
        <v>783.53700000000003</v>
      </c>
      <c r="S29" s="58">
        <f t="shared" si="13"/>
        <v>-532.45150000000001</v>
      </c>
      <c r="T29" s="56">
        <f>+IFERROR(HLOOKUP($B29,'[1]9월'!$D$6:$BN$259,21,),)/1000</f>
        <v>54.760473805416773</v>
      </c>
      <c r="U29" s="57">
        <f>+IFERROR(HLOOKUP($C29,'[2]9월'!$F$6:$CP$99,21,),)/1000</f>
        <v>-3.6659721609149383</v>
      </c>
      <c r="V29" s="38">
        <f t="shared" si="14"/>
        <v>-58.426445966331713</v>
      </c>
      <c r="W29" s="38">
        <f>+IFERROR(HLOOKUP($C29,'[3]9월'!$F$6:$CC$57,16,),)/1000</f>
        <v>21.691171000000008</v>
      </c>
      <c r="X29" s="58">
        <f t="shared" si="15"/>
        <v>-25.357143160914944</v>
      </c>
      <c r="Y29" s="628" t="s">
        <v>252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 t="shared" ref="G30:G31" si="16">+I30</f>
        <v>서부산CR</v>
      </c>
      <c r="H30" s="85"/>
      <c r="I30" s="81" t="s">
        <v>220</v>
      </c>
      <c r="J30" s="54">
        <f>+IFERROR(HLOOKUP($B30,'[1]9월'!$D$6:$BN$259,2,),)/1000</f>
        <v>46.669629999999998</v>
      </c>
      <c r="K30" s="59">
        <f>+IFERROR(HLOOKUP($C30,'[2]9월'!$F$6:$CP$99,2,),)/1000</f>
        <v>1.05</v>
      </c>
      <c r="L30" s="48">
        <f t="shared" si="10"/>
        <v>-45.619630000000001</v>
      </c>
      <c r="M30" s="48">
        <f>+IFERROR(HLOOKUP($C30,'[3]9월'!$F$6:$CC$57,2,),)/1000</f>
        <v>33.128</v>
      </c>
      <c r="N30" s="60">
        <f t="shared" si="11"/>
        <v>-32.078000000000003</v>
      </c>
      <c r="O30" s="54">
        <f>+IFERROR(HLOOKUP($B30,'[1]9월'!$D$6:$BN$259,3,),)/1000</f>
        <v>561.62811666666664</v>
      </c>
      <c r="P30" s="59">
        <f>+IFERROR(HLOOKUP($C30,'[2]9월'!$F$6:$CP$99,3,),)/1000</f>
        <v>12.074999999999999</v>
      </c>
      <c r="Q30" s="48">
        <f t="shared" si="12"/>
        <v>-549.5531166666666</v>
      </c>
      <c r="R30" s="48">
        <f>+IFERROR(HLOOKUP($C30,'[3]9월'!$F$6:$CC$57,3,),)/1000</f>
        <v>413.92</v>
      </c>
      <c r="S30" s="60">
        <f t="shared" si="13"/>
        <v>-401.84500000000003</v>
      </c>
      <c r="T30" s="54">
        <f>+IFERROR(HLOOKUP($B30,'[1]9월'!$D$6:$BN$259,21,),)/1000</f>
        <v>67.872077564121355</v>
      </c>
      <c r="U30" s="59">
        <f>+IFERROR(HLOOKUP($C30,'[2]9월'!$F$6:$CP$99,21,),)/1000</f>
        <v>-87.578777424164457</v>
      </c>
      <c r="V30" s="48">
        <f t="shared" si="14"/>
        <v>-155.45085498828581</v>
      </c>
      <c r="W30" s="48">
        <f>+IFERROR(HLOOKUP($C30,'[3]9월'!$F$6:$CC$57,16,),)/1000</f>
        <v>85.058035999999973</v>
      </c>
      <c r="X30" s="60">
        <f t="shared" si="15"/>
        <v>-172.63681342416442</v>
      </c>
      <c r="Y30" s="628" t="s">
        <v>253</v>
      </c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 t="shared" si="16"/>
        <v>부산CR</v>
      </c>
      <c r="H31" s="85"/>
      <c r="I31" s="83" t="s">
        <v>222</v>
      </c>
      <c r="J31" s="54">
        <f>+IFERROR(HLOOKUP($B31,'[1]9월'!$D$6:$BN$259,2,),)/1000</f>
        <v>41.116309768000384</v>
      </c>
      <c r="K31" s="59">
        <f>+IFERROR(HLOOKUP($C31,'[2]9월'!$F$6:$CP$99,2,),)/1000</f>
        <v>36.758000000000003</v>
      </c>
      <c r="L31" s="48">
        <f t="shared" si="10"/>
        <v>-4.3583097680003817</v>
      </c>
      <c r="M31" s="48">
        <f>+IFERROR(HLOOKUP($C31,'[3]9월'!$F$6:$CC$57,2,),)/1000</f>
        <v>21.312000000000001</v>
      </c>
      <c r="N31" s="60">
        <f t="shared" si="11"/>
        <v>15.446000000000002</v>
      </c>
      <c r="O31" s="54">
        <f>+IFERROR(HLOOKUP($B31,'[1]9월'!$D$6:$BN$259,3,),)/1000</f>
        <v>744.43910998751164</v>
      </c>
      <c r="P31" s="59">
        <f>+IFERROR(HLOOKUP($C31,'[2]9월'!$F$6:$CP$99,3,),)/1000</f>
        <v>622.58500000000004</v>
      </c>
      <c r="Q31" s="48">
        <f t="shared" si="12"/>
        <v>-121.85410998751161</v>
      </c>
      <c r="R31" s="48">
        <f>+IFERROR(HLOOKUP($C31,'[3]9월'!$F$6:$CC$57,3,),)/1000</f>
        <v>377.48899999999998</v>
      </c>
      <c r="S31" s="60">
        <f t="shared" si="13"/>
        <v>245.09600000000006</v>
      </c>
      <c r="T31" s="54">
        <f>+IFERROR(HLOOKUP($B31,'[1]9월'!$D$6:$BN$259,21,),)/1000</f>
        <v>17.132012950570875</v>
      </c>
      <c r="U31" s="59">
        <f>+IFERROR(HLOOKUP($C31,'[2]9월'!$F$6:$CP$99,21,),)/1000</f>
        <v>-221.73574761</v>
      </c>
      <c r="V31" s="48">
        <f t="shared" si="14"/>
        <v>-238.86776056057087</v>
      </c>
      <c r="W31" s="48">
        <f>+IFERROR(HLOOKUP($C31,'[3]9월'!$F$6:$CC$57,16,),)/1000</f>
        <v>44.142378000000065</v>
      </c>
      <c r="X31" s="60">
        <f t="shared" si="15"/>
        <v>-265.8781256100001</v>
      </c>
      <c r="Y31" s="586" t="s">
        <v>254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114.2977350894806</v>
      </c>
      <c r="K32" s="152">
        <f>SUM(K29:K31)</f>
        <v>46.951000000000008</v>
      </c>
      <c r="L32" s="150">
        <f t="shared" si="10"/>
        <v>-67.346735089480589</v>
      </c>
      <c r="M32" s="150">
        <f>SUM(M29:M31)</f>
        <v>81.909000000000006</v>
      </c>
      <c r="N32" s="151">
        <f t="shared" si="11"/>
        <v>-34.957999999999998</v>
      </c>
      <c r="O32" s="148">
        <f>SUM(O29:O31)</f>
        <v>2060.2702217215624</v>
      </c>
      <c r="P32" s="152">
        <f>SUM(P29:P31)</f>
        <v>885.74549999999999</v>
      </c>
      <c r="Q32" s="150">
        <f t="shared" si="12"/>
        <v>-1174.5247217215624</v>
      </c>
      <c r="R32" s="150">
        <f>SUM(R29:R31)</f>
        <v>1574.9460000000001</v>
      </c>
      <c r="S32" s="151">
        <f t="shared" si="13"/>
        <v>-689.20050000000015</v>
      </c>
      <c r="T32" s="148">
        <f>SUM(T29:T31)</f>
        <v>139.764564320109</v>
      </c>
      <c r="U32" s="152">
        <f>SUM(U29:U31)</f>
        <v>-312.98049719507941</v>
      </c>
      <c r="V32" s="150">
        <f t="shared" si="14"/>
        <v>-452.74506151518841</v>
      </c>
      <c r="W32" s="150">
        <f>SUM(W29:W31)</f>
        <v>150.89158500000005</v>
      </c>
      <c r="X32" s="151">
        <f t="shared" si="15"/>
        <v>-463.87208219507943</v>
      </c>
      <c r="Y32" s="586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(IFERROR(HLOOKUP($B33,'[1]9월'!$D$6:$BN$259,3,),)++IFERROR(HLOOKUP($C33,'[1]9월'!$D$6:$BN$259,3,),)+IFERROR(HLOOKUP($D33,'[1]9월'!$D$6:$BN$259,3,),))/1000</f>
        <v>90.84</v>
      </c>
      <c r="P33" s="47">
        <f>+IFERROR(HLOOKUP($E33,'[2]9월'!$F$6:$CP$99,3,),)/1000</f>
        <v>90.84</v>
      </c>
      <c r="Q33" s="49">
        <f t="shared" si="12"/>
        <v>0</v>
      </c>
      <c r="R33" s="48">
        <f>+IFERROR(HLOOKUP($E33,'[3]9월'!$F$6:$CC$57,3,),)/1000</f>
        <v>90.84</v>
      </c>
      <c r="S33" s="60">
        <f t="shared" si="13"/>
        <v>0</v>
      </c>
      <c r="T33" s="46">
        <f>(IFERROR(HLOOKUP($B33,'[1]9월'!$D$6:$BN$259,21,),)++IFERROR(HLOOKUP($C33,'[1]9월'!$D$6:$BN$259,21,),)+IFERROR(HLOOKUP($D33,'[1]9월'!$D$6:$BN$259,21,),))/1000</f>
        <v>75.404842000000002</v>
      </c>
      <c r="U33" s="47">
        <f>+IFERROR(HLOOKUP($E33,'[2]9월'!$F$6:$CP$99,16,),)/1000</f>
        <v>76.004227</v>
      </c>
      <c r="V33" s="49">
        <f t="shared" ref="V33:V40" si="17">+U33-T33</f>
        <v>0.59938499999999806</v>
      </c>
      <c r="W33" s="48">
        <f>+IFERROR(HLOOKUP($E33,'[3]9월'!$F$6:$CC$57,16,),)/1000</f>
        <v>30.418727999999994</v>
      </c>
      <c r="X33" s="60">
        <f t="shared" ref="X33:X39" si="18">+U33-W33</f>
        <v>45.585499000000006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(+IFERROR(HLOOKUP($B34,'[1]9월'!$D$6:$BN$259,3,),)+IFERROR(HLOOKUP($C34,'[1]9월'!$D$6:$BN$259,3,),))/1000</f>
        <v>72.897500333333326</v>
      </c>
      <c r="P34" s="47">
        <f>+IFERROR(HLOOKUP($E34,'[2]9월'!$F$6:$CP$99,3,),)/1000</f>
        <v>73.318180999999996</v>
      </c>
      <c r="Q34" s="49">
        <f>+P34-O34</f>
        <v>0.42068066666666937</v>
      </c>
      <c r="R34" s="48">
        <f>+IFERROR(HLOOKUP($E34,'[3]9월'!$F$6:$CC$57,3,),)/1000</f>
        <v>92.762864000000008</v>
      </c>
      <c r="S34" s="60">
        <f t="shared" si="13"/>
        <v>-19.444683000000012</v>
      </c>
      <c r="T34" s="46">
        <f>(+IFERROR(HLOOKUP($B34,'[1]9월'!$D$6:$BN$259,21,),)+IFERROR(HLOOKUP($C34,'[1]9월'!$D$6:$BN$259,21,),))/1000</f>
        <v>75.238401333333314</v>
      </c>
      <c r="U34" s="47">
        <f>+IFERROR(HLOOKUP($E34,'[2]9월'!$F$6:$CP$99,16,),)/1000</f>
        <v>75.789990000000003</v>
      </c>
      <c r="V34" s="49">
        <f t="shared" si="17"/>
        <v>0.55158866666668871</v>
      </c>
      <c r="W34" s="48">
        <f>+IFERROR(HLOOKUP($E34,'[3]9월'!$F$6:$CC$57,16,),)/1000</f>
        <v>99.21689099999999</v>
      </c>
      <c r="X34" s="60">
        <f t="shared" si="18"/>
        <v>-23.426900999999987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-'[1]9월'!$Z$22/1000</f>
        <v>-1157.2821192690105</v>
      </c>
      <c r="U35" s="47">
        <f>+-'[2]9월'!$Z$22/1000</f>
        <v>-1368.6460828075965</v>
      </c>
      <c r="V35" s="49">
        <f t="shared" si="17"/>
        <v>-211.36396353858595</v>
      </c>
      <c r="W35" s="48">
        <f>+-'[3]9월'!$Z$22/1000</f>
        <v>-1217.3341950000001</v>
      </c>
      <c r="X35" s="60">
        <f t="shared" si="18"/>
        <v>-151.31188780759635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+'[1]9월'!$AS$26/1000</f>
        <v>0</v>
      </c>
      <c r="U36" s="47">
        <f>'[2]9월'!$BD$26/1000</f>
        <v>250</v>
      </c>
      <c r="V36" s="49">
        <f t="shared" si="17"/>
        <v>250</v>
      </c>
      <c r="W36" s="48">
        <f>-'[3]9월'!$BD$26/1000</f>
        <v>0</v>
      </c>
      <c r="X36" s="60">
        <f t="shared" si="18"/>
        <v>250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'[2]9월'!$BE$26/1000</f>
        <v>401.64838199999997</v>
      </c>
      <c r="V37" s="49">
        <f t="shared" si="17"/>
        <v>401.64838199999997</v>
      </c>
      <c r="W37" s="48">
        <f>'[3]9월'!$BE$26/1000</f>
        <v>-776.15283999999997</v>
      </c>
      <c r="X37" s="60">
        <f t="shared" si="18"/>
        <v>1177.8012220000001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J37" s="96"/>
      <c r="AK37" s="98"/>
      <c r="AL37" s="98"/>
    </row>
    <row r="38" spans="2:38" s="8" customFormat="1" ht="19.5" customHeight="1" x14ac:dyDescent="0.3">
      <c r="D38"/>
      <c r="E38"/>
      <c r="F38"/>
      <c r="G38" s="792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+IFERROR(HLOOKUP($I$38,'[3]9월'!$F$6:$BJ$50,3,),)/1000</f>
        <v>0</v>
      </c>
      <c r="S38" s="60">
        <f t="shared" si="22"/>
        <v>0</v>
      </c>
      <c r="T38" s="46">
        <f>SUM('[1]9월'!$AM$26:$AQ$26)/1000</f>
        <v>-3.3575384444596401</v>
      </c>
      <c r="U38" s="47">
        <f>+'[2]9월'!$BF$26/1000</f>
        <v>-3.0501649999999989</v>
      </c>
      <c r="V38" s="49">
        <f t="shared" si="17"/>
        <v>0.30737344445964121</v>
      </c>
      <c r="W38" s="48">
        <f>+'[3]9월'!$BF$26/1000</f>
        <v>-43.327926999999995</v>
      </c>
      <c r="X38" s="60">
        <f>+U38-W38</f>
        <v>40.277761999999996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8" s="8" customFormat="1" ht="19.5" customHeight="1" x14ac:dyDescent="0.3">
      <c r="B39" t="s">
        <v>39</v>
      </c>
      <c r="D39"/>
      <c r="G39" s="792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IFERROR(HLOOKUP($B39,'[1]9월'!$D$6:$BN$259,3,),)/1000</f>
        <v>1.77</v>
      </c>
      <c r="P39" s="47">
        <f>+('[2]9월'!$F$8-SUM('[2]9월'!$Z$8,'[2]9월'!$AH$8,'[2]9월'!$AN$8,'[2]9월'!$AO$8,'[2]9월'!$BA$8,'[2]9월'!$BD$8,'[2]9월'!$BE$8,'[2]9월'!$BF$8))/1000</f>
        <v>1.8161999999992549</v>
      </c>
      <c r="Q39" s="55">
        <f t="shared" si="21"/>
        <v>4.6199999999254837E-2</v>
      </c>
      <c r="R39" s="61">
        <f>+('[3]9월'!$F$8-SUM('[3]9월'!$Z$8,'[3]9월'!$AH$8,'[3]9월'!$AN$8,'[3]9월'!$AO$8,'[3]9월'!$BA$8,'[3]9월'!$BD$8,'[3]9월'!$BE$8,'[3]9월'!$BF$8))/1000</f>
        <v>1.7741000000014902</v>
      </c>
      <c r="S39" s="62">
        <f t="shared" si="22"/>
        <v>4.2099999997764703E-2</v>
      </c>
      <c r="T39" s="46">
        <f>+('[1]9월'!$E$26-'[1]9월'!$Z$26-'[1]9월'!$AA$26-'[1]9월'!$AE$26-'[1]9월'!$AL$26-'[1]9월'!$AM$26-'[1]9월'!$AN$26-'[1]9월'!$AO$26-'[1]9월'!$AP$26-'[1]9월'!$AQ$26-'[1]9월'!$AS$26)/1000</f>
        <v>-68.088928999997762</v>
      </c>
      <c r="U39" s="47">
        <f>+('[2]9월'!$F$26-SUM('[2]9월'!$Z$26,'[2]9월'!$AH$26,'[2]9월'!$AN$26,'[2]9월'!$AO$26,'[2]9월'!$BA$26,'[2]9월'!$BD$26,'[2]9월'!$BE$26,'[2]9월'!$BF$26))/1000</f>
        <v>-6.2548789999975121</v>
      </c>
      <c r="V39" s="49">
        <f t="shared" si="17"/>
        <v>61.834050000000246</v>
      </c>
      <c r="W39" s="61">
        <f>+('[3]9월'!$F$26-SUM('[3]9월'!$Z$26,'[3]9월'!$AH$26,'[3]9월'!$AN$26,'[3]9월'!$AO$26,'[3]9월'!$BA$26,'[3]9월'!$BD$26,'[3]9월'!$BE$26,'[3]9월'!$BF$26))/1000</f>
        <v>-17.243611000000964</v>
      </c>
      <c r="X39" s="60">
        <f t="shared" si="18"/>
        <v>10.988732000003452</v>
      </c>
      <c r="Y39" s="595"/>
      <c r="Z39" s="587"/>
      <c r="AA39" s="587"/>
      <c r="AB39" s="587"/>
      <c r="AC39" s="587"/>
      <c r="AD39" s="587"/>
      <c r="AE39" s="587"/>
      <c r="AF39" s="587"/>
      <c r="AG39" s="51"/>
      <c r="AH39" s="18"/>
      <c r="AI39" s="19"/>
    </row>
    <row r="40" spans="2:38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6"/>
      <c r="Z40" s="587"/>
      <c r="AA40" s="587"/>
      <c r="AB40" s="587"/>
      <c r="AC40" s="587"/>
      <c r="AD40" s="587"/>
      <c r="AE40" s="587"/>
      <c r="AF40" s="587"/>
      <c r="AG40" s="51"/>
      <c r="AH40" s="31"/>
    </row>
    <row r="41" spans="2:38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20"/>
        <v>0</v>
      </c>
      <c r="O41" s="148">
        <f>SUM(O33:O40)</f>
        <v>165.50750033333335</v>
      </c>
      <c r="P41" s="149">
        <f>SUM(P33:P40)</f>
        <v>165.97438099999925</v>
      </c>
      <c r="Q41" s="153">
        <f t="shared" si="12"/>
        <v>0.46688066666590089</v>
      </c>
      <c r="R41" s="154">
        <f>SUM(R33:R40)</f>
        <v>185.37696400000149</v>
      </c>
      <c r="S41" s="155">
        <f>+P41-R41</f>
        <v>-19.402583000002238</v>
      </c>
      <c r="T41" s="148">
        <f>SUM(T33:T40)</f>
        <v>-1078.0853433801346</v>
      </c>
      <c r="U41" s="149">
        <f>SUM(U33:U40)</f>
        <v>-574.50852780759385</v>
      </c>
      <c r="V41" s="153">
        <f>+U41-T41</f>
        <v>503.5768155725408</v>
      </c>
      <c r="W41" s="154">
        <f>SUM(W33:W40)</f>
        <v>-1924.4229540000013</v>
      </c>
      <c r="X41" s="155">
        <f>+U41-W41</f>
        <v>1349.9144261924075</v>
      </c>
      <c r="Y41" s="588"/>
      <c r="Z41" s="589"/>
      <c r="AA41" s="589"/>
      <c r="AB41" s="589"/>
      <c r="AC41" s="589"/>
      <c r="AD41" s="589"/>
      <c r="AE41" s="589"/>
      <c r="AF41" s="589"/>
      <c r="AG41" s="590"/>
      <c r="AH41" s="26"/>
    </row>
    <row r="42" spans="2:38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797">
        <f>+P43/O43</f>
        <v>0.81559874410709621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39715.507970113576</v>
      </c>
      <c r="P43" s="642">
        <f>+P27+P32+P28+P41</f>
        <v>32391.918422000002</v>
      </c>
      <c r="Q43" s="643">
        <f t="shared" si="12"/>
        <v>-7323.589548113574</v>
      </c>
      <c r="R43" s="644">
        <f>+R27+R32+R28+R41</f>
        <v>42187.033673999998</v>
      </c>
      <c r="S43" s="645">
        <f>+P43-R43</f>
        <v>-9795.115251999996</v>
      </c>
      <c r="T43" s="641">
        <f>+T27+T32+T28+T41</f>
        <v>3577.9809630573036</v>
      </c>
      <c r="U43" s="642">
        <f>+U27+U32+U28+U41</f>
        <v>829.66716299732673</v>
      </c>
      <c r="V43" s="643">
        <f>+U43-T43</f>
        <v>-2748.313800059977</v>
      </c>
      <c r="W43" s="644">
        <f>+W27+W32+W28+W41</f>
        <v>2064.7026049999977</v>
      </c>
      <c r="X43" s="645">
        <f>+U43-W43</f>
        <v>-1235.0354420026711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</row>
    <row r="44" spans="2:38" s="34" customFormat="1" x14ac:dyDescent="0.3">
      <c r="G44" s="794">
        <f>+U43/T43</f>
        <v>0.23188137990773292</v>
      </c>
      <c r="P44" s="661">
        <f>+P43/O43</f>
        <v>0.81559874410709621</v>
      </c>
      <c r="T44" s="661">
        <f>+T43/O43</f>
        <v>9.0090273193780615E-2</v>
      </c>
      <c r="U44" s="661">
        <f>+U43/P43</f>
        <v>2.5613399990345488E-2</v>
      </c>
      <c r="AC44" s="35"/>
      <c r="AF44" s="35"/>
    </row>
    <row r="45" spans="2:38" s="34" customFormat="1" ht="17.25" thickBot="1" x14ac:dyDescent="0.35">
      <c r="G45" s="798"/>
      <c r="AC45" s="35"/>
      <c r="AF45" s="35"/>
    </row>
    <row r="46" spans="2:38" s="34" customFormat="1" x14ac:dyDescent="0.3">
      <c r="G46" s="798"/>
      <c r="I46" s="834" t="s">
        <v>101</v>
      </c>
      <c r="J46" s="138">
        <f>+'[1]9월'!$Z$7/1000</f>
        <v>288.5</v>
      </c>
      <c r="K46" s="139">
        <f>+'[2]9월'!$AI$7/1000</f>
        <v>236.2843</v>
      </c>
      <c r="L46" s="139"/>
      <c r="M46" s="139">
        <f>+'[3]9월'!$Z$7/1000</f>
        <v>315.19049999999999</v>
      </c>
      <c r="N46" s="139"/>
      <c r="O46" s="139">
        <f>+'[1]9월'!$E$8/1000</f>
        <v>39715.507970113584</v>
      </c>
      <c r="P46" s="139">
        <f>+'[2]9월'!$F$8/1000</f>
        <v>32391.918422000002</v>
      </c>
      <c r="Q46" s="139"/>
      <c r="R46" s="139">
        <f>+'[3]9월'!$F$8/1000</f>
        <v>42187.033673999998</v>
      </c>
      <c r="S46" s="139"/>
      <c r="T46" s="144">
        <f>+'[1]9월'!$E$26/1000</f>
        <v>3577.9809630573041</v>
      </c>
      <c r="U46" s="139">
        <f>+'[2]9월'!$F$26/1000</f>
        <v>829.66716299732582</v>
      </c>
      <c r="V46" s="139"/>
      <c r="W46" s="139">
        <f>+'[3]9월'!$F$26/1000</f>
        <v>2064.7026049999977</v>
      </c>
      <c r="X46" s="140"/>
      <c r="AC46" s="35"/>
      <c r="AF46" s="35"/>
    </row>
    <row r="47" spans="2:38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-9.0949470177292824E-13</v>
      </c>
      <c r="V47" s="141"/>
      <c r="W47" s="141">
        <f>+W46-W43</f>
        <v>0</v>
      </c>
      <c r="X47" s="142"/>
      <c r="AC47" s="35"/>
      <c r="AF47" s="35"/>
      <c r="AG47" s="34" t="s">
        <v>102</v>
      </c>
    </row>
    <row r="48" spans="2:38" x14ac:dyDescent="0.3">
      <c r="T48" s="658"/>
      <c r="U48" s="658"/>
      <c r="V48" s="658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S50" t="s">
        <v>53</v>
      </c>
      <c r="T50" s="598">
        <f>(+T27+T35)/100</f>
        <v>32.981279252483162</v>
      </c>
      <c r="U50" s="598">
        <f>(+U27+U35)/100</f>
        <v>3.640893071924038</v>
      </c>
      <c r="V50" s="598">
        <f>+U50-T50</f>
        <v>-29.340386180559126</v>
      </c>
      <c r="W50" s="597">
        <f>+U50/T50-1</f>
        <v>-0.8896072816323547</v>
      </c>
      <c r="AC50" s="35"/>
      <c r="AD50" s="34"/>
      <c r="AE50" s="34"/>
      <c r="AF50" s="35"/>
    </row>
    <row r="51" spans="10:33" x14ac:dyDescent="0.3">
      <c r="S51" t="s">
        <v>3</v>
      </c>
      <c r="T51" s="6">
        <f>+T28/100</f>
        <v>0.60891697600001737</v>
      </c>
      <c r="U51" s="659">
        <f>+U28/100</f>
        <v>-0.15579202000000358</v>
      </c>
      <c r="V51" s="658">
        <f t="shared" ref="V51:V54" si="23">+U51-T51</f>
        <v>-0.76470899600002096</v>
      </c>
      <c r="Y51" s="586" t="s">
        <v>234</v>
      </c>
      <c r="AC51" s="35"/>
      <c r="AD51" s="34"/>
      <c r="AE51" s="34"/>
      <c r="AF51" s="35"/>
    </row>
    <row r="52" spans="10:33" x14ac:dyDescent="0.3">
      <c r="S52" t="s">
        <v>1</v>
      </c>
      <c r="T52" s="659">
        <f>+T32/100</f>
        <v>1.39764564320109</v>
      </c>
      <c r="U52" s="659">
        <f>+U32/100</f>
        <v>-3.1298049719507941</v>
      </c>
      <c r="V52" s="658">
        <f t="shared" si="23"/>
        <v>-4.5274506151518841</v>
      </c>
      <c r="AC52" s="35"/>
      <c r="AD52" s="34"/>
      <c r="AE52" s="34"/>
      <c r="AF52" s="35"/>
    </row>
    <row r="53" spans="10:33" x14ac:dyDescent="0.3">
      <c r="S53" t="s">
        <v>59</v>
      </c>
      <c r="T53" s="6">
        <f>(T33+T34)/100</f>
        <v>1.5064324333333332</v>
      </c>
      <c r="U53" s="6">
        <f>(U33+U34)/100</f>
        <v>1.51794217</v>
      </c>
      <c r="V53" s="598">
        <f t="shared" si="23"/>
        <v>1.150973666666677E-2</v>
      </c>
      <c r="AC53" s="35"/>
      <c r="AD53" s="34"/>
      <c r="AE53" s="34"/>
      <c r="AF53" s="35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4</v>
      </c>
      <c r="T54" s="598">
        <f>(T46/100)-T50-T51-T52-T53</f>
        <v>-0.71446467444456174</v>
      </c>
      <c r="U54" s="598">
        <f>(U46/100)-U50-U51-U52-U53</f>
        <v>6.4234333800000165</v>
      </c>
      <c r="V54" s="598">
        <f t="shared" si="23"/>
        <v>7.1378980544445785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>
        <f>SUM(T53:T54)</f>
        <v>0.79196775888877147</v>
      </c>
      <c r="U55" s="598">
        <f>SUM(U53:U54)</f>
        <v>7.941375550000016</v>
      </c>
      <c r="V55" s="598">
        <f>SUM(V53:V54)</f>
        <v>7.149407791111245</v>
      </c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 t="s">
        <v>59</v>
      </c>
      <c r="T56" s="658">
        <f>+(T33+T34)/100</f>
        <v>1.5064324333333332</v>
      </c>
      <c r="U56" s="658">
        <f>+(U33+U34)/100</f>
        <v>1.51794217</v>
      </c>
      <c r="V56" s="598">
        <f>+U56-T56</f>
        <v>1.150973666666677E-2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 t="str">
        <f>+I36</f>
        <v>OPC 소급분</v>
      </c>
      <c r="T57" s="598">
        <f>+T36/100</f>
        <v>0</v>
      </c>
      <c r="U57" s="598">
        <f>+U36/100</f>
        <v>2.5</v>
      </c>
      <c r="V57" s="598">
        <f>+U57-T57</f>
        <v>2.5</v>
      </c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tr">
        <f t="shared" ref="S58:S60" si="24">+I37</f>
        <v>대손</v>
      </c>
      <c r="T58" s="598">
        <f t="shared" ref="T58:U60" si="25">+T37/100</f>
        <v>0</v>
      </c>
      <c r="U58" s="598">
        <f t="shared" si="25"/>
        <v>4.0164838199999995</v>
      </c>
      <c r="V58" s="598">
        <f t="shared" ref="V58:V60" si="26">+U58-T58</f>
        <v>4.0164838199999995</v>
      </c>
      <c r="AC58" s="598"/>
      <c r="AD58" s="598"/>
      <c r="AE58" s="598"/>
      <c r="AF58" s="598"/>
    </row>
    <row r="59" spans="10:33" x14ac:dyDescent="0.3">
      <c r="S59" s="598" t="str">
        <f t="shared" si="24"/>
        <v>미운영 공장</v>
      </c>
      <c r="T59" s="598">
        <f t="shared" si="25"/>
        <v>-3.3575384444596401E-2</v>
      </c>
      <c r="U59" s="598">
        <f t="shared" si="25"/>
        <v>-3.0501649999999988E-2</v>
      </c>
      <c r="V59" s="598">
        <f t="shared" si="26"/>
        <v>3.0737344445964133E-3</v>
      </c>
      <c r="AC59" s="598"/>
      <c r="AD59" s="598"/>
      <c r="AE59" s="598"/>
    </row>
    <row r="60" spans="10:33" x14ac:dyDescent="0.3">
      <c r="S60" s="598" t="str">
        <f t="shared" si="24"/>
        <v>기타</v>
      </c>
      <c r="T60" s="598">
        <f t="shared" si="25"/>
        <v>-0.68088928999997766</v>
      </c>
      <c r="U60" s="598">
        <f t="shared" si="25"/>
        <v>-6.2548789999975124E-2</v>
      </c>
      <c r="V60" s="598">
        <f t="shared" si="26"/>
        <v>0.61834050000000251</v>
      </c>
      <c r="AC60" s="598"/>
      <c r="AD60" s="598"/>
      <c r="AE60" s="598"/>
    </row>
    <row r="61" spans="10:33" x14ac:dyDescent="0.3">
      <c r="T61" s="6">
        <f>SUM(T56:T60)</f>
        <v>0.79196775888875925</v>
      </c>
      <c r="U61" s="6">
        <f t="shared" ref="U61:V61" si="27">SUM(U56:U60)</f>
        <v>7.941375550000024</v>
      </c>
      <c r="V61" s="6">
        <f t="shared" si="27"/>
        <v>7.1494077911112646</v>
      </c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  <c r="AE75" s="598"/>
    </row>
    <row r="76" spans="29:31" x14ac:dyDescent="0.3">
      <c r="AC76" s="598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 codeName="Sheet4">
    <tabColor theme="1" tint="0.249977111117893"/>
    <pageSetUpPr fitToPage="1"/>
  </sheetPr>
  <dimension ref="A1:AM61"/>
  <sheetViews>
    <sheetView showGridLines="0" showZeros="0" tabSelected="1" topLeftCell="F31" zoomScale="85" zoomScaleNormal="85" zoomScaleSheetLayoutView="85" workbookViewId="0">
      <selection activeCell="W43" sqref="W43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9" ht="18" customHeight="1" x14ac:dyDescent="0.3">
      <c r="H1" s="4"/>
      <c r="K1" s="6"/>
      <c r="L1" s="6"/>
      <c r="P1" s="6"/>
      <c r="Q1" s="6"/>
    </row>
    <row r="2" spans="2:39" ht="18" customHeight="1" x14ac:dyDescent="0.3">
      <c r="H2" s="7"/>
      <c r="AD2" s="5"/>
      <c r="AG2" s="5"/>
    </row>
    <row r="3" spans="2:39" ht="26.25" x14ac:dyDescent="0.3">
      <c r="H3" s="4" t="s">
        <v>242</v>
      </c>
      <c r="AD3" s="5"/>
      <c r="AG3" s="5"/>
    </row>
    <row r="4" spans="2:39" ht="18" customHeight="1" x14ac:dyDescent="0.3">
      <c r="H4" s="7"/>
      <c r="AD4" s="5"/>
      <c r="AG4" s="5" t="s">
        <v>94</v>
      </c>
    </row>
    <row r="5" spans="2:39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9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9" s="8" customFormat="1" ht="19.5" customHeight="1" x14ac:dyDescent="0.3">
      <c r="B7" s="8" t="s">
        <v>22</v>
      </c>
      <c r="F7" s="9">
        <f>+U7/T7</f>
        <v>0.65948828155964856</v>
      </c>
      <c r="G7" s="794">
        <f t="shared" ref="G7:G22" si="0">+K7/J7</f>
        <v>0.90436756756756764</v>
      </c>
      <c r="H7" s="78" t="s">
        <v>53</v>
      </c>
      <c r="I7" s="79" t="s">
        <v>22</v>
      </c>
      <c r="J7" s="36">
        <f>+'사업장별(당월)'!J7+'[4]사업장별(누계)'!J7</f>
        <v>370</v>
      </c>
      <c r="K7" s="37">
        <f>+'사업장별(당월)'!K7+'[4]사업장별(누계)'!K7</f>
        <v>334.61600000000004</v>
      </c>
      <c r="L7" s="38">
        <f t="shared" ref="L7:L32" si="1">+K7-J7</f>
        <v>-35.383999999999958</v>
      </c>
      <c r="M7" s="39">
        <f>+'사업장별(당월)'!M7+'[4]사업장별(누계)'!M7</f>
        <v>399.88800000000003</v>
      </c>
      <c r="N7" s="40">
        <f>+K7-M7</f>
        <v>-65.271999999999991</v>
      </c>
      <c r="O7" s="36">
        <f>+'사업장별(당월)'!O7+'[4]사업장별(누계)'!O7</f>
        <v>37069.957300000002</v>
      </c>
      <c r="P7" s="37">
        <f>+'사업장별(당월)'!P7+'[4]사업장별(누계)'!P7</f>
        <v>33357.438020000001</v>
      </c>
      <c r="Q7" s="38">
        <f>+P7-O7</f>
        <v>-3712.5192800000004</v>
      </c>
      <c r="R7" s="39">
        <f>+'사업장별(당월)'!R7+'[4]사업장별(누계)'!R7</f>
        <v>37165.112199000003</v>
      </c>
      <c r="S7" s="40">
        <f>+P7-R7</f>
        <v>-3807.6741790000015</v>
      </c>
      <c r="T7" s="36">
        <f>+'사업장별(당월)'!T7+'[4]사업장별(누계)'!T7</f>
        <v>5070.1885287366849</v>
      </c>
      <c r="U7" s="37">
        <f>+'사업장별(당월)'!U7+'[4]사업장별(누계)'!U7</f>
        <v>3343.7299199999993</v>
      </c>
      <c r="V7" s="41">
        <f>+U7-T7</f>
        <v>-1726.4586087366856</v>
      </c>
      <c r="W7" s="42">
        <f>+'사업장별(당월)'!W7+'[4]사업장별(누계)'!W7</f>
        <v>5349.5839989800006</v>
      </c>
      <c r="X7" s="40">
        <f>+U7-W7</f>
        <v>-2005.8540789800013</v>
      </c>
      <c r="Y7" s="36">
        <f>+[11]안양!$Q$85</f>
        <v>100189.0737837838</v>
      </c>
      <c r="Z7" s="37">
        <f>+[11]안양!$R$85</f>
        <v>99684.171921484201</v>
      </c>
      <c r="AA7" s="43">
        <f>+[12]안양!$Q$85</f>
        <v>92912.316817369821</v>
      </c>
      <c r="AB7" s="44">
        <f>+[11]안양!$Q$89</f>
        <v>79028.932605439069</v>
      </c>
      <c r="AC7" s="37">
        <f>+[11]안양!$R$89</f>
        <v>81441.595387351845</v>
      </c>
      <c r="AD7" s="45">
        <f>+[12]안양!$Q$89</f>
        <v>72942.374620313873</v>
      </c>
      <c r="AE7" s="44">
        <f>+Y7-AB7</f>
        <v>21160.141178344726</v>
      </c>
      <c r="AF7" s="37">
        <f>+Z7-AC7</f>
        <v>18242.576534132357</v>
      </c>
      <c r="AG7" s="45">
        <f>+AA7-AD7</f>
        <v>19969.942197055949</v>
      </c>
      <c r="AH7" s="18"/>
      <c r="AI7" s="791">
        <f>+U7/T7-1</f>
        <v>-0.34051171844035144</v>
      </c>
      <c r="AJ7" s="9">
        <f>+U7/T7</f>
        <v>0.65948828155964856</v>
      </c>
      <c r="AK7" s="801">
        <f>+Z7-Y7</f>
        <v>-504.90186229959363</v>
      </c>
      <c r="AL7" s="801">
        <f>+AC7-AB7</f>
        <v>2412.6627819127752</v>
      </c>
      <c r="AM7" s="801">
        <f>+AF7-AE7</f>
        <v>-2917.5646442123689</v>
      </c>
    </row>
    <row r="8" spans="2:39" s="8" customFormat="1" ht="19.5" customHeight="1" x14ac:dyDescent="0.3">
      <c r="B8" s="8" t="s">
        <v>23</v>
      </c>
      <c r="F8" s="9">
        <f t="shared" ref="F8:F27" si="2">+U8/T8</f>
        <v>0.55847765460775789</v>
      </c>
      <c r="G8" s="794">
        <f t="shared" si="0"/>
        <v>0.88136996336996332</v>
      </c>
      <c r="H8" s="80" t="s">
        <v>54</v>
      </c>
      <c r="I8" s="81" t="s">
        <v>23</v>
      </c>
      <c r="J8" s="46">
        <f>+'사업장별(당월)'!J8+'[4]사업장별(누계)'!J8</f>
        <v>273</v>
      </c>
      <c r="K8" s="47">
        <f>+'사업장별(당월)'!K8+'[4]사업장별(누계)'!K8</f>
        <v>240.61399999999998</v>
      </c>
      <c r="L8" s="48">
        <f t="shared" si="1"/>
        <v>-32.386000000000024</v>
      </c>
      <c r="M8" s="49">
        <f>+'사업장별(당월)'!M8+'[4]사업장별(누계)'!M8</f>
        <v>334.99099999999999</v>
      </c>
      <c r="N8" s="50">
        <f t="shared" ref="N8:N32" si="3">+K8-M8</f>
        <v>-94.37700000000001</v>
      </c>
      <c r="O8" s="46">
        <f>+'사업장별(당월)'!O8+'[4]사업장별(누계)'!O8</f>
        <v>27722.469950569601</v>
      </c>
      <c r="P8" s="47">
        <f>+'사업장별(당월)'!P8+'[4]사업장별(누계)'!P8</f>
        <v>24052.030667999999</v>
      </c>
      <c r="Q8" s="48">
        <f t="shared" ref="Q8:Q43" si="4">+P8-O8</f>
        <v>-3670.4392825696013</v>
      </c>
      <c r="R8" s="49">
        <f>+'사업장별(당월)'!R8+'[4]사업장별(누계)'!R8</f>
        <v>32103.106254000002</v>
      </c>
      <c r="S8" s="50">
        <f t="shared" ref="S8:S40" si="5">+P8-R8</f>
        <v>-8051.0755860000027</v>
      </c>
      <c r="T8" s="46">
        <f>+'사업장별(당월)'!T8+'[4]사업장별(누계)'!T8</f>
        <v>2862.1879350440067</v>
      </c>
      <c r="U8" s="47">
        <f>+'사업장별(당월)'!U8+'[4]사업장별(누계)'!U8</f>
        <v>1598.4680050099985</v>
      </c>
      <c r="V8" s="48">
        <f t="shared" ref="V8:V40" si="6">+U8-T8</f>
        <v>-1263.7199300340083</v>
      </c>
      <c r="W8" s="49">
        <f>+'사업장별(당월)'!W8+'[4]사업장별(누계)'!W8</f>
        <v>3919.8290459999994</v>
      </c>
      <c r="X8" s="50">
        <f t="shared" ref="X8:X39" si="7">+U8-W8</f>
        <v>-2321.3610409900011</v>
      </c>
      <c r="Y8" s="46">
        <f>+[11]인천!$Q$85</f>
        <v>101547.50897644542</v>
      </c>
      <c r="Z8" s="47">
        <f>+[11]인천!$R$85</f>
        <v>99965.701191674088</v>
      </c>
      <c r="AA8" s="51">
        <f>+[12]인천!$Q$85</f>
        <v>95811.617161933769</v>
      </c>
      <c r="AB8" s="52">
        <f>+[11]인천!$Q$89</f>
        <v>81151.822719110205</v>
      </c>
      <c r="AC8" s="47">
        <f>+[11]인천!$R$89</f>
        <v>82345.503357963928</v>
      </c>
      <c r="AD8" s="53">
        <f>+[12]인천!$Q$89</f>
        <v>75972.432056782651</v>
      </c>
      <c r="AE8" s="52">
        <f t="shared" ref="AE8:AG27" si="8">+Y8-AB8</f>
        <v>20395.686257335212</v>
      </c>
      <c r="AF8" s="47">
        <f t="shared" si="8"/>
        <v>17620.197833710161</v>
      </c>
      <c r="AG8" s="53">
        <f t="shared" si="8"/>
        <v>19839.185105151118</v>
      </c>
      <c r="AH8" s="18"/>
      <c r="AI8" s="791">
        <f t="shared" ref="AI8:AI27" si="9">+U8/T8-1</f>
        <v>-0.44152234539224211</v>
      </c>
      <c r="AJ8" s="96"/>
      <c r="AK8" s="801">
        <f t="shared" ref="AK8:AK18" si="10">+Z8-Y8</f>
        <v>-1581.8077847713284</v>
      </c>
      <c r="AL8" s="801">
        <f t="shared" ref="AL8:AL18" si="11">+AC8-AB8</f>
        <v>1193.6806388537225</v>
      </c>
      <c r="AM8" s="801">
        <f t="shared" ref="AM8:AM18" si="12">+AF8-AE8</f>
        <v>-2775.4884236250509</v>
      </c>
    </row>
    <row r="9" spans="2:39" s="8" customFormat="1" ht="19.5" customHeight="1" x14ac:dyDescent="0.3">
      <c r="B9" s="8" t="s">
        <v>24</v>
      </c>
      <c r="F9" s="9">
        <f t="shared" si="2"/>
        <v>0.55658247087558421</v>
      </c>
      <c r="G9" s="794">
        <f t="shared" si="0"/>
        <v>0.98384615384615393</v>
      </c>
      <c r="H9" s="80"/>
      <c r="I9" s="81" t="s">
        <v>24</v>
      </c>
      <c r="J9" s="46">
        <f>+'사업장별(당월)'!J9+'[4]사업장별(누계)'!J9</f>
        <v>221</v>
      </c>
      <c r="K9" s="47">
        <f>+'사업장별(당월)'!K9+'[4]사업장별(누계)'!K9</f>
        <v>217.43</v>
      </c>
      <c r="L9" s="48">
        <f t="shared" si="1"/>
        <v>-3.5699999999999932</v>
      </c>
      <c r="M9" s="49">
        <f>+'사업장별(당월)'!M9+'[4]사업장별(누계)'!M9</f>
        <v>234.142</v>
      </c>
      <c r="N9" s="50">
        <f t="shared" si="3"/>
        <v>-16.711999999999989</v>
      </c>
      <c r="O9" s="46">
        <f>+'사업장별(당월)'!O9+'[4]사업장별(누계)'!O9</f>
        <v>21780.382060096901</v>
      </c>
      <c r="P9" s="47">
        <f>+'사업장별(당월)'!P9+'[4]사업장별(누계)'!P9</f>
        <v>21232.172845000001</v>
      </c>
      <c r="Q9" s="48">
        <f t="shared" si="4"/>
        <v>-548.20921509690015</v>
      </c>
      <c r="R9" s="49">
        <f>+'사업장별(당월)'!R9+'[4]사업장별(누계)'!R9</f>
        <v>21568.782824999995</v>
      </c>
      <c r="S9" s="50">
        <f t="shared" si="5"/>
        <v>-336.60997999999381</v>
      </c>
      <c r="T9" s="46">
        <f>+'사업장별(당월)'!T9+'[4]사업장별(누계)'!T9</f>
        <v>2911.5541196449994</v>
      </c>
      <c r="U9" s="47">
        <f>+'사업장별(당월)'!U9+'[4]사업장별(누계)'!U9</f>
        <v>1620.519986</v>
      </c>
      <c r="V9" s="48">
        <f t="shared" si="6"/>
        <v>-1291.0341336449994</v>
      </c>
      <c r="W9" s="49">
        <f>+'사업장별(당월)'!W9+'[4]사업장별(누계)'!W9</f>
        <v>2435.4324220099988</v>
      </c>
      <c r="X9" s="50">
        <f t="shared" si="7"/>
        <v>-814.91243600999883</v>
      </c>
      <c r="Y9" s="46">
        <f>+[11]파주!$Q$85</f>
        <v>98553.764977814062</v>
      </c>
      <c r="Z9" s="47">
        <f>+[11]파주!$R$85</f>
        <v>97669.561846317039</v>
      </c>
      <c r="AA9" s="51">
        <f>+[12]파주!$Q$85</f>
        <v>92102.674808206255</v>
      </c>
      <c r="AB9" s="52">
        <f>+[11]파주!$Q$89</f>
        <v>76286.031415248392</v>
      </c>
      <c r="AC9" s="47">
        <f>+[11]파주!$R$89</f>
        <v>80630.911460417003</v>
      </c>
      <c r="AD9" s="53">
        <f>+[12]파주!$Q$89</f>
        <v>73131.663015495331</v>
      </c>
      <c r="AE9" s="52">
        <f t="shared" si="8"/>
        <v>22267.733562565671</v>
      </c>
      <c r="AF9" s="47">
        <f t="shared" si="8"/>
        <v>17038.650385900037</v>
      </c>
      <c r="AG9" s="53">
        <f t="shared" si="8"/>
        <v>18971.011792710924</v>
      </c>
      <c r="AH9" s="18"/>
      <c r="AI9" s="791">
        <f t="shared" si="9"/>
        <v>-0.44341752912441579</v>
      </c>
      <c r="AJ9" s="96"/>
      <c r="AK9" s="801">
        <f t="shared" si="10"/>
        <v>-884.2031314970227</v>
      </c>
      <c r="AL9" s="801">
        <f t="shared" si="11"/>
        <v>4344.8800451686111</v>
      </c>
      <c r="AM9" s="801">
        <f t="shared" si="12"/>
        <v>-5229.0831766656338</v>
      </c>
    </row>
    <row r="10" spans="2:39" s="8" customFormat="1" ht="19.5" customHeight="1" x14ac:dyDescent="0.3">
      <c r="B10" s="8" t="s">
        <v>175</v>
      </c>
      <c r="F10" s="9">
        <f t="shared" si="2"/>
        <v>0.5005017761725894</v>
      </c>
      <c r="G10" s="794">
        <f t="shared" si="0"/>
        <v>0.76280669144981395</v>
      </c>
      <c r="H10" s="80"/>
      <c r="I10" s="81" t="s">
        <v>172</v>
      </c>
      <c r="J10" s="46">
        <f>+'사업장별(당월)'!J10+'[4]사업장별(누계)'!J10</f>
        <v>134.5</v>
      </c>
      <c r="K10" s="47">
        <f>+'사업장별(당월)'!K10+'[4]사업장별(누계)'!K10</f>
        <v>102.59749999999998</v>
      </c>
      <c r="L10" s="48">
        <f t="shared" si="1"/>
        <v>-31.902500000000018</v>
      </c>
      <c r="M10" s="49">
        <f>+'사업장별(당월)'!M10+'[4]사업장별(누계)'!M10</f>
        <v>145.07400000000001</v>
      </c>
      <c r="N10" s="50">
        <f t="shared" si="3"/>
        <v>-42.47650000000003</v>
      </c>
      <c r="O10" s="46">
        <f>+'사업장별(당월)'!O10+'[4]사업장별(누계)'!O10</f>
        <v>12855.481</v>
      </c>
      <c r="P10" s="47">
        <f>+'사업장별(당월)'!P10+'[4]사업장별(누계)'!P10</f>
        <v>10047.479192000001</v>
      </c>
      <c r="Q10" s="48">
        <f t="shared" si="4"/>
        <v>-2808.0018079999991</v>
      </c>
      <c r="R10" s="49">
        <f>+'사업장별(당월)'!R10+'[4]사업장별(누계)'!R10</f>
        <v>13013.835076000001</v>
      </c>
      <c r="S10" s="50">
        <f t="shared" si="5"/>
        <v>-2966.3558840000005</v>
      </c>
      <c r="T10" s="46">
        <f>+'사업장별(당월)'!T10+'[4]사업장별(누계)'!T10</f>
        <v>1720.5477262942857</v>
      </c>
      <c r="U10" s="47">
        <f>+'사업장별(당월)'!U10+'[4]사업장별(누계)'!U10</f>
        <v>861.13719300000025</v>
      </c>
      <c r="V10" s="48">
        <f t="shared" si="6"/>
        <v>-859.41053329428541</v>
      </c>
      <c r="W10" s="49">
        <f>+'사업장별(당월)'!W10+'[4]사업장별(누계)'!W10</f>
        <v>1622.0566760000004</v>
      </c>
      <c r="X10" s="50">
        <f t="shared" si="7"/>
        <v>-760.91948300000013</v>
      </c>
      <c r="Y10" s="46">
        <f>+[11]김포!$Q$85</f>
        <v>95579.784386617102</v>
      </c>
      <c r="Z10" s="47">
        <f>+[11]김포!$R$85</f>
        <v>97948.633763579288</v>
      </c>
      <c r="AA10" s="51">
        <f>+[12]김포!$Q$85</f>
        <v>89668.989428587331</v>
      </c>
      <c r="AB10" s="52">
        <f>+[11]김포!$Q$89</f>
        <v>71663.359064313438</v>
      </c>
      <c r="AC10" s="47">
        <f>+[11]김포!$R$89</f>
        <v>75397.686317268075</v>
      </c>
      <c r="AD10" s="53">
        <f>+[12]김포!$Q$89</f>
        <v>68014.937227210801</v>
      </c>
      <c r="AE10" s="52">
        <f t="shared" si="8"/>
        <v>23916.425322303665</v>
      </c>
      <c r="AF10" s="47">
        <f t="shared" si="8"/>
        <v>22550.947446311213</v>
      </c>
      <c r="AG10" s="53">
        <f t="shared" si="8"/>
        <v>21654.052201376529</v>
      </c>
      <c r="AH10" s="18"/>
      <c r="AI10" s="791">
        <f t="shared" si="9"/>
        <v>-0.4994982238274106</v>
      </c>
      <c r="AJ10" s="96"/>
      <c r="AK10" s="801">
        <f t="shared" si="10"/>
        <v>2368.8493769621855</v>
      </c>
      <c r="AL10" s="801">
        <f t="shared" si="11"/>
        <v>3734.3272529546375</v>
      </c>
      <c r="AM10" s="801">
        <f t="shared" si="12"/>
        <v>-1365.477875992452</v>
      </c>
    </row>
    <row r="11" spans="2:39" s="8" customFormat="1" ht="19.5" customHeight="1" x14ac:dyDescent="0.3">
      <c r="B11" s="8" t="s">
        <v>25</v>
      </c>
      <c r="F11" s="9">
        <f t="shared" si="2"/>
        <v>0.71660369588875272</v>
      </c>
      <c r="G11" s="794">
        <f t="shared" si="0"/>
        <v>1.0139915730337079</v>
      </c>
      <c r="H11" s="80"/>
      <c r="I11" s="82" t="s">
        <v>25</v>
      </c>
      <c r="J11" s="63">
        <f>+'사업장별(당월)'!J11+'[4]사업장별(누계)'!J11</f>
        <v>178</v>
      </c>
      <c r="K11" s="64">
        <f>+'사업장별(당월)'!K11+'[4]사업장별(누계)'!K11</f>
        <v>180.4905</v>
      </c>
      <c r="L11" s="65">
        <f t="shared" si="1"/>
        <v>2.4904999999999973</v>
      </c>
      <c r="M11" s="66">
        <f>+'사업장별(당월)'!M11+'[4]사업장별(누계)'!M11</f>
        <v>210.18049999999999</v>
      </c>
      <c r="N11" s="67">
        <f t="shared" si="3"/>
        <v>-29.689999999999998</v>
      </c>
      <c r="O11" s="63">
        <f>+'사업장별(당월)'!O11+'[4]사업장별(누계)'!O11</f>
        <v>19152.806589249998</v>
      </c>
      <c r="P11" s="64">
        <f>+'사업장별(당월)'!P11+'[4]사업장별(누계)'!P11</f>
        <v>19514.874640999999</v>
      </c>
      <c r="Q11" s="65">
        <f t="shared" si="4"/>
        <v>362.06805175000045</v>
      </c>
      <c r="R11" s="66">
        <f>+'사업장별(당월)'!R11+'[4]사업장별(누계)'!R11</f>
        <v>21674.129219999999</v>
      </c>
      <c r="S11" s="67">
        <f t="shared" si="5"/>
        <v>-2159.2545790000004</v>
      </c>
      <c r="T11" s="63">
        <f>+'사업장별(당월)'!T11+'[4]사업장별(누계)'!T11</f>
        <v>2781.5294931292633</v>
      </c>
      <c r="U11" s="64">
        <f>+'사업장별(당월)'!U11+'[4]사업장별(누계)'!U11</f>
        <v>1993.2543149999992</v>
      </c>
      <c r="V11" s="65">
        <f t="shared" si="6"/>
        <v>-788.27517812926408</v>
      </c>
      <c r="W11" s="66">
        <f>+'사업장별(당월)'!W11+'[4]사업장별(누계)'!W11</f>
        <v>3808.7772869999994</v>
      </c>
      <c r="X11" s="67">
        <f t="shared" si="7"/>
        <v>-1815.5229720000002</v>
      </c>
      <c r="Y11" s="63">
        <f>+[11]부산!$Q$85</f>
        <v>107600.03701825842</v>
      </c>
      <c r="Z11" s="64">
        <f>+[11]부산!$R$85</f>
        <v>108121.3395774293</v>
      </c>
      <c r="AA11" s="68">
        <f>+[12]부산!$Q$85</f>
        <v>103121.5037551057</v>
      </c>
      <c r="AB11" s="69">
        <f>+[11]부산!$Q$89</f>
        <v>78337.483773070227</v>
      </c>
      <c r="AC11" s="64">
        <f>+[11]부산!$R$89</f>
        <v>83970.264187235967</v>
      </c>
      <c r="AD11" s="70">
        <f>+[12]부산!$Q$89</f>
        <v>74328.83429961295</v>
      </c>
      <c r="AE11" s="69">
        <f t="shared" si="8"/>
        <v>29262.553245188188</v>
      </c>
      <c r="AF11" s="64">
        <f t="shared" si="8"/>
        <v>24151.075390193335</v>
      </c>
      <c r="AG11" s="70">
        <f t="shared" si="8"/>
        <v>28792.669455492753</v>
      </c>
      <c r="AH11" s="18"/>
      <c r="AI11" s="791">
        <f t="shared" si="9"/>
        <v>-0.28339630411124728</v>
      </c>
      <c r="AJ11" s="96"/>
      <c r="AK11" s="96">
        <f t="shared" si="10"/>
        <v>521.30255917088652</v>
      </c>
      <c r="AL11" s="96">
        <f t="shared" si="11"/>
        <v>5632.7804141657398</v>
      </c>
      <c r="AM11" s="96">
        <f t="shared" si="12"/>
        <v>-5111.4778549948533</v>
      </c>
    </row>
    <row r="12" spans="2:39" s="8" customFormat="1" ht="19.5" customHeight="1" x14ac:dyDescent="0.3">
      <c r="B12" s="8" t="s">
        <v>26</v>
      </c>
      <c r="F12" s="9">
        <f t="shared" si="2"/>
        <v>0.57068267886029223</v>
      </c>
      <c r="G12" s="794">
        <f t="shared" si="0"/>
        <v>0.88447641509433972</v>
      </c>
      <c r="H12" s="80"/>
      <c r="I12" s="81" t="s">
        <v>26</v>
      </c>
      <c r="J12" s="46">
        <f>+'사업장별(당월)'!J12+'[4]사업장별(누계)'!J12</f>
        <v>212</v>
      </c>
      <c r="K12" s="47">
        <f>+'사업장별(당월)'!K12+'[4]사업장별(누계)'!K12</f>
        <v>187.50900000000001</v>
      </c>
      <c r="L12" s="48">
        <f t="shared" si="1"/>
        <v>-24.490999999999985</v>
      </c>
      <c r="M12" s="49">
        <f>+'사업장별(당월)'!M12+'[4]사업장별(누계)'!M12</f>
        <v>192.12099999999998</v>
      </c>
      <c r="N12" s="50">
        <f t="shared" si="3"/>
        <v>-4.6119999999999663</v>
      </c>
      <c r="O12" s="46">
        <f>+'사업장별(당월)'!O12+'[4]사업장별(누계)'!O12</f>
        <v>22002.987240000002</v>
      </c>
      <c r="P12" s="47">
        <f>+'사업장별(당월)'!P12+'[4]사업장별(누계)'!P12</f>
        <v>18965.681831000002</v>
      </c>
      <c r="Q12" s="48">
        <f t="shared" si="4"/>
        <v>-3037.3054090000005</v>
      </c>
      <c r="R12" s="49">
        <f>+'사업장별(당월)'!R12+'[4]사업장별(누계)'!R12</f>
        <v>19346.943192000002</v>
      </c>
      <c r="S12" s="50">
        <f t="shared" si="5"/>
        <v>-381.26136100000076</v>
      </c>
      <c r="T12" s="46">
        <f>+'사업장별(당월)'!T12+'[4]사업장별(누계)'!T12</f>
        <v>3781.4324981962441</v>
      </c>
      <c r="U12" s="47">
        <f>+'사업장별(당월)'!U12+'[4]사업장별(누계)'!U12</f>
        <v>2157.9980279999995</v>
      </c>
      <c r="V12" s="48">
        <f t="shared" si="6"/>
        <v>-1623.4344701962445</v>
      </c>
      <c r="W12" s="49">
        <f>+'사업장별(당월)'!W12+'[4]사업장별(누계)'!W12</f>
        <v>3256.2757489999999</v>
      </c>
      <c r="X12" s="50">
        <f t="shared" si="7"/>
        <v>-1098.2777210000004</v>
      </c>
      <c r="Y12" s="46">
        <f>+[11]서부산!$Q$85</f>
        <v>103787.67566037734</v>
      </c>
      <c r="Z12" s="47">
        <f>+[11]서부산!$R$85</f>
        <v>101146.83903888524</v>
      </c>
      <c r="AA12" s="51">
        <f>+[12]서부산!$Q$85</f>
        <v>100701.86596988357</v>
      </c>
      <c r="AB12" s="52">
        <f>+[11]서부산!$Q$89</f>
        <v>76948.079010604721</v>
      </c>
      <c r="AC12" s="47">
        <f>+[11]서부산!$R$89</f>
        <v>78909.296380007829</v>
      </c>
      <c r="AD12" s="53">
        <f>+[12]서부산!$Q$89</f>
        <v>74211.611439277636</v>
      </c>
      <c r="AE12" s="52">
        <f t="shared" si="8"/>
        <v>26839.596649772619</v>
      </c>
      <c r="AF12" s="47">
        <f t="shared" si="8"/>
        <v>22237.542658877413</v>
      </c>
      <c r="AG12" s="53">
        <f t="shared" si="8"/>
        <v>26490.254530605933</v>
      </c>
      <c r="AH12" s="18"/>
      <c r="AI12" s="791">
        <f t="shared" si="9"/>
        <v>-0.42931732113970777</v>
      </c>
      <c r="AJ12" s="96"/>
      <c r="AK12" s="96">
        <f t="shared" si="10"/>
        <v>-2640.836621492097</v>
      </c>
      <c r="AL12" s="96">
        <f t="shared" si="11"/>
        <v>1961.217369403108</v>
      </c>
      <c r="AM12" s="96">
        <f t="shared" si="12"/>
        <v>-4602.0539908952051</v>
      </c>
    </row>
    <row r="13" spans="2:39" s="8" customFormat="1" ht="19.5" customHeight="1" x14ac:dyDescent="0.3">
      <c r="B13" s="8" t="s">
        <v>27</v>
      </c>
      <c r="F13" s="9">
        <f t="shared" si="2"/>
        <v>0.56528606268427661</v>
      </c>
      <c r="G13" s="794">
        <f t="shared" si="0"/>
        <v>1.1598846153846154</v>
      </c>
      <c r="H13" s="80"/>
      <c r="I13" s="81" t="s">
        <v>27</v>
      </c>
      <c r="J13" s="46">
        <f>+'사업장별(당월)'!J13+'[4]사업장별(누계)'!J13</f>
        <v>104</v>
      </c>
      <c r="K13" s="47">
        <f>+'사업장별(당월)'!K13+'[4]사업장별(누계)'!K13</f>
        <v>120.628</v>
      </c>
      <c r="L13" s="48">
        <f t="shared" si="1"/>
        <v>16.628</v>
      </c>
      <c r="M13" s="49">
        <f>+'사업장별(당월)'!M13+'[4]사업장별(누계)'!M13</f>
        <v>117.15</v>
      </c>
      <c r="N13" s="50">
        <f t="shared" si="3"/>
        <v>3.4779999999999944</v>
      </c>
      <c r="O13" s="46">
        <f>+'사업장별(당월)'!O13+'[4]사업장별(누계)'!O13</f>
        <v>10503.988999999998</v>
      </c>
      <c r="P13" s="47">
        <f>+'사업장별(당월)'!P13+'[4]사업장별(누계)'!P13</f>
        <v>11543.274899999999</v>
      </c>
      <c r="Q13" s="48">
        <f t="shared" si="4"/>
        <v>1039.2859000000008</v>
      </c>
      <c r="R13" s="49">
        <f>+'사업장별(당월)'!R13+'[4]사업장별(누계)'!R13</f>
        <v>11469.056397999999</v>
      </c>
      <c r="S13" s="50">
        <f t="shared" si="5"/>
        <v>74.218501999999717</v>
      </c>
      <c r="T13" s="46">
        <f>+'사업장별(당월)'!T13+'[4]사업장별(누계)'!T13</f>
        <v>1255.3955560661991</v>
      </c>
      <c r="U13" s="47">
        <f>+'사업장별(당월)'!U13+'[4]사업장별(누계)'!U13</f>
        <v>709.65761099999975</v>
      </c>
      <c r="V13" s="48">
        <f t="shared" si="6"/>
        <v>-545.73794506619936</v>
      </c>
      <c r="W13" s="49">
        <f>+'사업장별(당월)'!W13+'[4]사업장별(누계)'!W13</f>
        <v>1514.0367180000001</v>
      </c>
      <c r="X13" s="50">
        <f t="shared" si="7"/>
        <v>-804.37910700000032</v>
      </c>
      <c r="Y13" s="46">
        <f>+[11]김해!$Q$85</f>
        <v>100999.89423076925</v>
      </c>
      <c r="Z13" s="47">
        <f>+[11]김해!$R$85</f>
        <v>95792.183456542436</v>
      </c>
      <c r="AA13" s="51">
        <f>+[12]김해!$Q$85</f>
        <v>97918.474469286171</v>
      </c>
      <c r="AB13" s="52">
        <f>+[11]김해!$Q$89</f>
        <v>76387.787490127375</v>
      </c>
      <c r="AC13" s="47">
        <f>+[11]김해!$R$89</f>
        <v>78786.82704707318</v>
      </c>
      <c r="AD13" s="53">
        <f>+[12]김해!$Q$89</f>
        <v>74094.354444995639</v>
      </c>
      <c r="AE13" s="52">
        <f t="shared" si="8"/>
        <v>24612.106740641873</v>
      </c>
      <c r="AF13" s="47">
        <f t="shared" si="8"/>
        <v>17005.356409469256</v>
      </c>
      <c r="AG13" s="53">
        <f t="shared" si="8"/>
        <v>23824.120024290532</v>
      </c>
      <c r="AH13" s="18"/>
      <c r="AI13" s="791">
        <f t="shared" si="9"/>
        <v>-0.43471393731572339</v>
      </c>
      <c r="AJ13" s="96"/>
      <c r="AK13" s="96">
        <f t="shared" si="10"/>
        <v>-5207.7107742268126</v>
      </c>
      <c r="AL13" s="96">
        <f t="shared" si="11"/>
        <v>2399.0395569458051</v>
      </c>
      <c r="AM13" s="96">
        <f t="shared" si="12"/>
        <v>-7606.7503311726177</v>
      </c>
    </row>
    <row r="14" spans="2:39" s="8" customFormat="1" ht="19.5" customHeight="1" x14ac:dyDescent="0.3">
      <c r="B14" s="8" t="s">
        <v>28</v>
      </c>
      <c r="F14" s="9">
        <f t="shared" si="2"/>
        <v>0.73702143610407345</v>
      </c>
      <c r="G14" s="794">
        <f t="shared" si="0"/>
        <v>1.1391785714285716</v>
      </c>
      <c r="H14" s="80"/>
      <c r="I14" s="81" t="s">
        <v>28</v>
      </c>
      <c r="J14" s="46">
        <f>+'사업장별(당월)'!J14+'[4]사업장별(누계)'!J14</f>
        <v>154</v>
      </c>
      <c r="K14" s="47">
        <f>+'사업장별(당월)'!K14+'[4]사업장별(누계)'!K14</f>
        <v>175.43350000000001</v>
      </c>
      <c r="L14" s="48">
        <f t="shared" si="1"/>
        <v>21.433500000000009</v>
      </c>
      <c r="M14" s="49">
        <f>+'사업장별(당월)'!M14+'[4]사업장별(누계)'!M14</f>
        <v>167.46499999999997</v>
      </c>
      <c r="N14" s="50">
        <f t="shared" si="3"/>
        <v>7.9685000000000343</v>
      </c>
      <c r="O14" s="46">
        <f>+'사업장별(당월)'!O14+'[4]사업장별(누계)'!O14</f>
        <v>16016</v>
      </c>
      <c r="P14" s="47">
        <f>+'사업장별(당월)'!P14+'[4]사업장별(누계)'!P14</f>
        <v>17795.158349999998</v>
      </c>
      <c r="Q14" s="48">
        <f t="shared" si="4"/>
        <v>1779.1583499999979</v>
      </c>
      <c r="R14" s="49">
        <f>+'사업장별(당월)'!R14+'[4]사업장별(누계)'!R14</f>
        <v>16882.394919999999</v>
      </c>
      <c r="S14" s="50">
        <f t="shared" si="5"/>
        <v>912.76342999999906</v>
      </c>
      <c r="T14" s="46">
        <f>+'사업장별(당월)'!T14+'[4]사업장별(누계)'!T14</f>
        <v>2171.2407192102764</v>
      </c>
      <c r="U14" s="47">
        <f>+'사업장별(당월)'!U14+'[4]사업장별(누계)'!U14</f>
        <v>1600.2509529999993</v>
      </c>
      <c r="V14" s="48">
        <f t="shared" si="6"/>
        <v>-570.98976621027714</v>
      </c>
      <c r="W14" s="49">
        <f>+'사업장별(당월)'!W14+'[4]사업장별(누계)'!W14</f>
        <v>2577.6062740000007</v>
      </c>
      <c r="X14" s="50">
        <f t="shared" si="7"/>
        <v>-977.35532100000137</v>
      </c>
      <c r="Y14" s="46">
        <f>+[11]정관!$Q$85</f>
        <v>104000</v>
      </c>
      <c r="Z14" s="47">
        <f>+[11]정관!$R$85</f>
        <v>101435.34929189694</v>
      </c>
      <c r="AA14" s="51">
        <f>+[12]정관!$Q$85</f>
        <v>100811.48251873527</v>
      </c>
      <c r="AB14" s="52">
        <f>+[11]정관!$Q$89</f>
        <v>78232.248989976564</v>
      </c>
      <c r="AC14" s="47">
        <f>+[11]정관!$R$89</f>
        <v>81822.96916236823</v>
      </c>
      <c r="AD14" s="53">
        <f>+[12]정관!$Q$89</f>
        <v>75189.007282103921</v>
      </c>
      <c r="AE14" s="52">
        <f t="shared" si="8"/>
        <v>25767.751010023436</v>
      </c>
      <c r="AF14" s="47">
        <f t="shared" si="8"/>
        <v>19612.380129528712</v>
      </c>
      <c r="AG14" s="53">
        <f t="shared" si="8"/>
        <v>25622.475236631348</v>
      </c>
      <c r="AH14" s="18"/>
      <c r="AI14" s="791">
        <f t="shared" si="9"/>
        <v>-0.26297856389592655</v>
      </c>
      <c r="AJ14" s="96"/>
      <c r="AK14" s="96">
        <f t="shared" si="10"/>
        <v>-2564.6507081030577</v>
      </c>
      <c r="AL14" s="96">
        <f t="shared" si="11"/>
        <v>3590.720172391666</v>
      </c>
      <c r="AM14" s="96">
        <f t="shared" si="12"/>
        <v>-6155.3708804947237</v>
      </c>
    </row>
    <row r="15" spans="2:39" s="8" customFormat="1" ht="19.5" customHeight="1" x14ac:dyDescent="0.3">
      <c r="B15" s="8" t="s">
        <v>29</v>
      </c>
      <c r="F15" s="9">
        <f t="shared" si="2"/>
        <v>0.77631563893561839</v>
      </c>
      <c r="G15" s="794">
        <f t="shared" si="0"/>
        <v>1.1997978723404257</v>
      </c>
      <c r="H15" s="80"/>
      <c r="I15" s="81" t="s">
        <v>214</v>
      </c>
      <c r="J15" s="46">
        <f>+'사업장별(당월)'!J15+'[4]사업장별(누계)'!J15</f>
        <v>94</v>
      </c>
      <c r="K15" s="47">
        <f>+'사업장별(당월)'!K15+'[4]사업장별(누계)'!K15</f>
        <v>112.78100000000002</v>
      </c>
      <c r="L15" s="48">
        <f t="shared" si="1"/>
        <v>18.78100000000002</v>
      </c>
      <c r="M15" s="49">
        <f>+'사업장별(당월)'!M15+'[4]사업장별(누계)'!M15</f>
        <v>124.61600000000001</v>
      </c>
      <c r="N15" s="50">
        <f t="shared" si="3"/>
        <v>-11.834999999999994</v>
      </c>
      <c r="O15" s="46">
        <f>+'사업장별(당월)'!O15+'[4]사업장별(누계)'!O15</f>
        <v>9086.2111640000003</v>
      </c>
      <c r="P15" s="47">
        <f>+'사업장별(당월)'!P15+'[4]사업장별(누계)'!P15</f>
        <v>10439.652218000001</v>
      </c>
      <c r="Q15" s="48">
        <f t="shared" si="4"/>
        <v>1353.4410540000008</v>
      </c>
      <c r="R15" s="49">
        <f>+'사업장별(당월)'!R15+'[4]사업장별(누계)'!R15</f>
        <v>11666.632911999999</v>
      </c>
      <c r="S15" s="50">
        <f t="shared" si="5"/>
        <v>-1226.980693999998</v>
      </c>
      <c r="T15" s="46">
        <f>+'사업장별(당월)'!T15+'[4]사업장별(누계)'!T15</f>
        <v>1202.8616520984995</v>
      </c>
      <c r="U15" s="47">
        <f>+'사업장별(당월)'!U15+'[4]사업장별(누계)'!U15</f>
        <v>933.80031200000019</v>
      </c>
      <c r="V15" s="48">
        <f t="shared" si="6"/>
        <v>-269.06134009849927</v>
      </c>
      <c r="W15" s="49">
        <f>+'사업장별(당월)'!W15+'[4]사업장별(누계)'!W15</f>
        <v>1798.123292</v>
      </c>
      <c r="X15" s="50">
        <f t="shared" si="7"/>
        <v>-864.3229799999998</v>
      </c>
      <c r="Y15" s="46">
        <f>+[11]양산!$Q$85</f>
        <v>96661.820893617027</v>
      </c>
      <c r="Z15" s="47">
        <f>+[11]양산!$R$85</f>
        <v>92565.700055860478</v>
      </c>
      <c r="AA15" s="51">
        <f>+[12]양산!$Q$85</f>
        <v>93622.357438132618</v>
      </c>
      <c r="AB15" s="52">
        <f>+[11]양산!$Q$89</f>
        <v>70320.794082876484</v>
      </c>
      <c r="AC15" s="47">
        <f>+[11]양산!$R$89</f>
        <v>73029.102760069858</v>
      </c>
      <c r="AD15" s="53">
        <f>+[12]양산!$Q$89</f>
        <v>68603.93705710044</v>
      </c>
      <c r="AE15" s="52">
        <f t="shared" si="8"/>
        <v>26341.026810740543</v>
      </c>
      <c r="AF15" s="47">
        <f t="shared" si="8"/>
        <v>19536.59729579062</v>
      </c>
      <c r="AG15" s="53">
        <f t="shared" si="8"/>
        <v>25018.420381032178</v>
      </c>
      <c r="AH15" s="18"/>
      <c r="AI15" s="791">
        <f t="shared" si="9"/>
        <v>-0.22368436106438161</v>
      </c>
      <c r="AJ15" s="96"/>
      <c r="AK15" s="96">
        <f t="shared" si="10"/>
        <v>-4096.120837756549</v>
      </c>
      <c r="AL15" s="96">
        <f t="shared" si="11"/>
        <v>2708.308677193374</v>
      </c>
      <c r="AM15" s="96">
        <f t="shared" si="12"/>
        <v>-6804.429514949923</v>
      </c>
    </row>
    <row r="16" spans="2:39" s="8" customFormat="1" ht="19.5" customHeight="1" x14ac:dyDescent="0.3">
      <c r="B16" s="8" t="s">
        <v>30</v>
      </c>
      <c r="F16" s="9">
        <f t="shared" si="2"/>
        <v>1.0287400904212769</v>
      </c>
      <c r="G16" s="794">
        <f t="shared" si="0"/>
        <v>1.0990809859154931</v>
      </c>
      <c r="H16" s="80"/>
      <c r="I16" s="81" t="s">
        <v>30</v>
      </c>
      <c r="J16" s="46">
        <f>+'사업장별(당월)'!J16+'[4]사업장별(누계)'!J16</f>
        <v>142</v>
      </c>
      <c r="K16" s="47">
        <f>+'사업장별(당월)'!K16+'[4]사업장별(누계)'!K16</f>
        <v>156.06950000000001</v>
      </c>
      <c r="L16" s="48">
        <f t="shared" si="1"/>
        <v>14.069500000000005</v>
      </c>
      <c r="M16" s="49">
        <f>+'사업장별(당월)'!M16+'[4]사업장별(누계)'!M16</f>
        <v>176.65600000000001</v>
      </c>
      <c r="N16" s="50">
        <f t="shared" si="3"/>
        <v>-20.586500000000001</v>
      </c>
      <c r="O16" s="46">
        <f>+'사업장별(당월)'!O16+'[4]사업장별(누계)'!O16</f>
        <v>14308.351500000001</v>
      </c>
      <c r="P16" s="47">
        <f>+'사업장별(당월)'!P16+'[4]사업장별(누계)'!P16</f>
        <v>15834.130999999999</v>
      </c>
      <c r="Q16" s="48">
        <f t="shared" si="4"/>
        <v>1525.7794999999987</v>
      </c>
      <c r="R16" s="49">
        <f>+'사업장별(당월)'!R16+'[4]사업장별(누계)'!R16</f>
        <v>16878.590519999998</v>
      </c>
      <c r="S16" s="50">
        <f t="shared" si="5"/>
        <v>-1044.4595199999985</v>
      </c>
      <c r="T16" s="46">
        <f>+'사업장별(당월)'!T16+'[4]사업장별(누계)'!T16</f>
        <v>2296.1982467628582</v>
      </c>
      <c r="U16" s="47">
        <f>+'사업장별(당월)'!U16+'[4]사업장별(누계)'!U16</f>
        <v>2362.1911920000002</v>
      </c>
      <c r="V16" s="48">
        <f t="shared" si="6"/>
        <v>65.992945237142067</v>
      </c>
      <c r="W16" s="49">
        <f>+'사업장별(당월)'!W16+'[4]사업장별(누계)'!W16</f>
        <v>3281.3008099999988</v>
      </c>
      <c r="X16" s="50">
        <f t="shared" si="7"/>
        <v>-919.10961799999859</v>
      </c>
      <c r="Y16" s="46">
        <f>+[11]창원!$Q$85</f>
        <v>100763.03873239436</v>
      </c>
      <c r="Z16" s="47">
        <f>+[11]창원!$R$85</f>
        <v>101455.63995527635</v>
      </c>
      <c r="AA16" s="51">
        <f>+[12]창원!$Q$85</f>
        <v>95544.960374966045</v>
      </c>
      <c r="AB16" s="52">
        <f>+[11]창원!$Q$89</f>
        <v>72293.279815392714</v>
      </c>
      <c r="AC16" s="47">
        <f>+[11]창원!$R$89</f>
        <v>74911.761469241828</v>
      </c>
      <c r="AD16" s="53">
        <f>+[12]창원!$Q$89</f>
        <v>67516.206037517972</v>
      </c>
      <c r="AE16" s="52">
        <f t="shared" si="8"/>
        <v>28469.758917001644</v>
      </c>
      <c r="AF16" s="47">
        <f t="shared" si="8"/>
        <v>26543.878486034519</v>
      </c>
      <c r="AG16" s="53">
        <f t="shared" si="8"/>
        <v>28028.754337448074</v>
      </c>
      <c r="AH16" s="18"/>
      <c r="AI16" s="791">
        <f t="shared" si="9"/>
        <v>2.8740090421276898E-2</v>
      </c>
      <c r="AJ16" s="96"/>
      <c r="AK16" s="96">
        <f t="shared" si="10"/>
        <v>692.60122288198909</v>
      </c>
      <c r="AL16" s="96">
        <f t="shared" si="11"/>
        <v>2618.4816538491141</v>
      </c>
      <c r="AM16" s="96">
        <f t="shared" si="12"/>
        <v>-1925.880430967125</v>
      </c>
    </row>
    <row r="17" spans="2:39" s="8" customFormat="1" ht="19.5" customHeight="1" x14ac:dyDescent="0.3">
      <c r="B17" s="8" t="s">
        <v>87</v>
      </c>
      <c r="F17" s="9">
        <f t="shared" si="2"/>
        <v>0.8805258676463581</v>
      </c>
      <c r="G17" s="794">
        <f t="shared" si="0"/>
        <v>0.99463120567375884</v>
      </c>
      <c r="H17" s="80"/>
      <c r="I17" s="81" t="s">
        <v>87</v>
      </c>
      <c r="J17" s="46">
        <f>+'사업장별(당월)'!J17+'[4]사업장별(누계)'!J17</f>
        <v>141</v>
      </c>
      <c r="K17" s="47">
        <f>+'사업장별(당월)'!K17+'[4]사업장별(누계)'!K17</f>
        <v>140.24299999999999</v>
      </c>
      <c r="L17" s="48">
        <f t="shared" si="1"/>
        <v>-0.757000000000005</v>
      </c>
      <c r="M17" s="49">
        <f>+'사업장별(당월)'!M17+'[4]사업장별(누계)'!M17</f>
        <v>176.09099999999998</v>
      </c>
      <c r="N17" s="50">
        <f t="shared" si="3"/>
        <v>-35.847999999999985</v>
      </c>
      <c r="O17" s="46">
        <f>+'사업장별(당월)'!O17+'[4]사업장별(누계)'!O17</f>
        <v>13786.54</v>
      </c>
      <c r="P17" s="47">
        <f>+'사업장별(당월)'!P17+'[4]사업장별(누계)'!P17</f>
        <v>14137.288452000001</v>
      </c>
      <c r="Q17" s="48">
        <f t="shared" si="4"/>
        <v>350.74845199999982</v>
      </c>
      <c r="R17" s="49">
        <f>+'사업장별(당월)'!R17+'[4]사업장별(누계)'!R17</f>
        <v>16421.257000000001</v>
      </c>
      <c r="S17" s="50">
        <f t="shared" si="5"/>
        <v>-2283.9685480000007</v>
      </c>
      <c r="T17" s="46">
        <f>+'사업장별(당월)'!T17+'[4]사업장별(누계)'!T17</f>
        <v>2403.1885691856451</v>
      </c>
      <c r="U17" s="47">
        <f>+'사업장별(당월)'!U17+'[4]사업장별(누계)'!U17</f>
        <v>2116.0697</v>
      </c>
      <c r="V17" s="48">
        <f t="shared" si="6"/>
        <v>-287.11886918564505</v>
      </c>
      <c r="W17" s="49">
        <f>+'사업장별(당월)'!W17+'[4]사업장별(누계)'!W17</f>
        <v>3070.7439540000005</v>
      </c>
      <c r="X17" s="50">
        <f t="shared" si="7"/>
        <v>-954.67425400000047</v>
      </c>
      <c r="Y17" s="46">
        <f>+[11]대구!$Q$85</f>
        <v>97776.879432624119</v>
      </c>
      <c r="Z17" s="47">
        <f>+[11]대구!$R$85</f>
        <v>100805.66197243356</v>
      </c>
      <c r="AA17" s="51">
        <f>+[12]대구!$Q$85</f>
        <v>93250.300855361944</v>
      </c>
      <c r="AB17" s="52">
        <f>+[11]대구!$Q$89</f>
        <v>69644.426858849823</v>
      </c>
      <c r="AC17" s="47">
        <f>+[11]대구!$R$89</f>
        <v>74446.444647210621</v>
      </c>
      <c r="AD17" s="53">
        <f>+[12]대구!$Q$89</f>
        <v>67049.12255180729</v>
      </c>
      <c r="AE17" s="52">
        <f t="shared" si="8"/>
        <v>28132.452573774295</v>
      </c>
      <c r="AF17" s="47">
        <f t="shared" si="8"/>
        <v>26359.21732522294</v>
      </c>
      <c r="AG17" s="53">
        <f t="shared" si="8"/>
        <v>26201.178303554654</v>
      </c>
      <c r="AH17" s="18"/>
      <c r="AI17" s="791">
        <f t="shared" si="9"/>
        <v>-0.1194741323536419</v>
      </c>
      <c r="AJ17" s="96"/>
      <c r="AK17" s="96">
        <f t="shared" si="10"/>
        <v>3028.7825398094428</v>
      </c>
      <c r="AL17" s="96">
        <f t="shared" si="11"/>
        <v>4802.0177883607976</v>
      </c>
      <c r="AM17" s="96">
        <f t="shared" si="12"/>
        <v>-1773.2352485513547</v>
      </c>
    </row>
    <row r="18" spans="2:39" s="8" customFormat="1" ht="19.5" customHeight="1" x14ac:dyDescent="0.3">
      <c r="B18" s="8" t="s">
        <v>88</v>
      </c>
      <c r="F18" s="9">
        <f t="shared" si="2"/>
        <v>2.6792290909928171</v>
      </c>
      <c r="G18" s="794">
        <f t="shared" si="0"/>
        <v>1.2771216216216217</v>
      </c>
      <c r="H18" s="80"/>
      <c r="I18" s="83" t="s">
        <v>88</v>
      </c>
      <c r="J18" s="10">
        <f>+'사업장별(당월)'!J18+'[4]사업장별(누계)'!J18</f>
        <v>74</v>
      </c>
      <c r="K18" s="11">
        <f>+'사업장별(당월)'!K18+'[4]사업장별(누계)'!K18</f>
        <v>94.507000000000005</v>
      </c>
      <c r="L18" s="12">
        <f t="shared" si="1"/>
        <v>20.507000000000005</v>
      </c>
      <c r="M18" s="13">
        <f>+'사업장별(당월)'!M18+'[4]사업장별(누계)'!M18</f>
        <v>78.941500000000005</v>
      </c>
      <c r="N18" s="14">
        <f t="shared" si="3"/>
        <v>15.5655</v>
      </c>
      <c r="O18" s="10">
        <f>+'사업장별(당월)'!O18+'[4]사업장별(누계)'!O18</f>
        <v>7413.222240000001</v>
      </c>
      <c r="P18" s="11">
        <f>+'사업장별(당월)'!P18+'[4]사업장별(누계)'!P18</f>
        <v>9827.7895420000004</v>
      </c>
      <c r="Q18" s="12">
        <f t="shared" si="4"/>
        <v>2414.5673019999995</v>
      </c>
      <c r="R18" s="13">
        <f>+'사업장별(당월)'!R18+'[4]사업장별(누계)'!R18</f>
        <v>7503.1536499999993</v>
      </c>
      <c r="S18" s="14">
        <f t="shared" si="5"/>
        <v>2324.6358920000011</v>
      </c>
      <c r="T18" s="10">
        <f>+'사업장별(당월)'!T18+'[4]사업장별(누계)'!T18</f>
        <v>403.25754622186469</v>
      </c>
      <c r="U18" s="11">
        <f>+'사업장별(당월)'!U18+'[4]사업장별(누계)'!U18</f>
        <v>1080.4193490000005</v>
      </c>
      <c r="V18" s="12">
        <f t="shared" si="6"/>
        <v>677.16180277813578</v>
      </c>
      <c r="W18" s="13">
        <f>+'사업장별(당월)'!W18+'[4]사업장별(누계)'!W18</f>
        <v>516.14120400000013</v>
      </c>
      <c r="X18" s="14">
        <f t="shared" si="7"/>
        <v>564.27814500000034</v>
      </c>
      <c r="Y18" s="10">
        <f>+[11]울산!$Q$85</f>
        <v>100178.6789189189</v>
      </c>
      <c r="Z18" s="11">
        <f>+[11]울산!$R$85</f>
        <v>103990.06996307154</v>
      </c>
      <c r="AA18" s="15">
        <f>+[12]울산!$Q$85</f>
        <v>95068.358933418494</v>
      </c>
      <c r="AB18" s="16">
        <f>+[11]울산!$Q$89</f>
        <v>78375.056712717138</v>
      </c>
      <c r="AC18" s="11">
        <f>+[11]울산!$R$89</f>
        <v>80241.74110145295</v>
      </c>
      <c r="AD18" s="17">
        <f>+[12]울산!$Q$89</f>
        <v>73979.251994362858</v>
      </c>
      <c r="AE18" s="16">
        <f t="shared" si="8"/>
        <v>21803.622206201762</v>
      </c>
      <c r="AF18" s="11">
        <f t="shared" si="8"/>
        <v>23748.328861618589</v>
      </c>
      <c r="AG18" s="17">
        <f t="shared" si="8"/>
        <v>21089.106939055637</v>
      </c>
      <c r="AH18" s="18"/>
      <c r="AI18" s="791">
        <f t="shared" si="9"/>
        <v>1.6792290909928171</v>
      </c>
      <c r="AJ18" s="9">
        <f>+U18/T18</f>
        <v>2.6792290909928171</v>
      </c>
      <c r="AK18" s="96">
        <f t="shared" si="10"/>
        <v>3811.3910441526386</v>
      </c>
      <c r="AL18" s="96">
        <f t="shared" si="11"/>
        <v>1866.6843887358118</v>
      </c>
      <c r="AM18" s="96">
        <f t="shared" si="12"/>
        <v>1944.7066554168268</v>
      </c>
    </row>
    <row r="19" spans="2:39" s="8" customFormat="1" ht="19.5" customHeight="1" x14ac:dyDescent="0.3">
      <c r="B19" s="8" t="s">
        <v>93</v>
      </c>
      <c r="F19" s="9">
        <f t="shared" si="2"/>
        <v>1.1664959463133127</v>
      </c>
      <c r="G19" s="794">
        <f t="shared" si="0"/>
        <v>1.177253807106599</v>
      </c>
      <c r="H19" s="80"/>
      <c r="I19" s="81" t="s">
        <v>31</v>
      </c>
      <c r="J19" s="46">
        <f>+'사업장별(당월)'!J19+'[4]사업장별(누계)'!J19</f>
        <v>197</v>
      </c>
      <c r="K19" s="47">
        <f>+'사업장별(당월)'!K19+'[4]사업장별(누계)'!K19</f>
        <v>231.91899999999998</v>
      </c>
      <c r="L19" s="48">
        <f t="shared" si="1"/>
        <v>34.918999999999983</v>
      </c>
      <c r="M19" s="49">
        <f>+'사업장별(당월)'!M19+'[4]사업장별(누계)'!M19</f>
        <v>223.65100000000001</v>
      </c>
      <c r="N19" s="50">
        <f t="shared" si="3"/>
        <v>8.2679999999999723</v>
      </c>
      <c r="O19" s="46">
        <f>+'사업장별(당월)'!O19+'[4]사업장별(누계)'!O19</f>
        <v>19896.993399999999</v>
      </c>
      <c r="P19" s="47">
        <f>+'사업장별(당월)'!P19+'[4]사업장별(누계)'!P19</f>
        <v>23496.461101000001</v>
      </c>
      <c r="Q19" s="48">
        <f t="shared" si="4"/>
        <v>3599.4677010000014</v>
      </c>
      <c r="R19" s="49">
        <f>+'사업장별(당월)'!R19+'[4]사업장별(누계)'!R19</f>
        <v>21391.767683000002</v>
      </c>
      <c r="S19" s="50">
        <f t="shared" si="5"/>
        <v>2104.6934179999989</v>
      </c>
      <c r="T19" s="46">
        <f>+'사업장별(당월)'!T19+'[4]사업장별(누계)'!T19</f>
        <v>2884.3013536682379</v>
      </c>
      <c r="U19" s="47">
        <f>+'사업장별(당월)'!U19+'[4]사업장별(누계)'!U19</f>
        <v>3364.5258369999997</v>
      </c>
      <c r="V19" s="48">
        <f t="shared" si="6"/>
        <v>480.2244833317618</v>
      </c>
      <c r="W19" s="49">
        <f>+'사업장별(당월)'!W19+'[4]사업장별(누계)'!W19</f>
        <v>3577.7005869999998</v>
      </c>
      <c r="X19" s="50">
        <f t="shared" si="7"/>
        <v>-213.17475000000013</v>
      </c>
      <c r="Y19" s="46">
        <f>+[11]아산!$Q$85</f>
        <v>100999.96649746192</v>
      </c>
      <c r="Z19" s="47">
        <f>+[11]아산!$R$85</f>
        <v>101260.30661874369</v>
      </c>
      <c r="AA19" s="51">
        <f>+[12]아산!$Q$85</f>
        <v>95730.927920194314</v>
      </c>
      <c r="AB19" s="52">
        <f>+[11]아산!$Q$89</f>
        <v>76543.439518941042</v>
      </c>
      <c r="AC19" s="47">
        <f>+[11]아산!$R$89</f>
        <v>76950.847480163531</v>
      </c>
      <c r="AD19" s="53">
        <f>+[12]아산!$Q$89</f>
        <v>70461.690545682577</v>
      </c>
      <c r="AE19" s="52">
        <f t="shared" si="8"/>
        <v>24456.52697852088</v>
      </c>
      <c r="AF19" s="47">
        <f t="shared" si="8"/>
        <v>24309.459138580161</v>
      </c>
      <c r="AG19" s="53">
        <f t="shared" si="8"/>
        <v>25269.237374511737</v>
      </c>
      <c r="AH19" s="18"/>
      <c r="AI19" s="791">
        <f t="shared" si="9"/>
        <v>0.16649594631331266</v>
      </c>
      <c r="AJ19" s="9">
        <f>+U19/T19</f>
        <v>1.1664959463133127</v>
      </c>
    </row>
    <row r="20" spans="2:39" s="8" customFormat="1" ht="19.5" customHeight="1" x14ac:dyDescent="0.3">
      <c r="B20" s="8" t="s">
        <v>89</v>
      </c>
      <c r="F20" s="9">
        <f t="shared" si="2"/>
        <v>0.30104906945278975</v>
      </c>
      <c r="G20" s="794">
        <f t="shared" si="0"/>
        <v>0.72577403846153821</v>
      </c>
      <c r="H20" s="80"/>
      <c r="I20" s="81" t="s">
        <v>89</v>
      </c>
      <c r="J20" s="46">
        <f>+'사업장별(당월)'!J20+'[4]사업장별(누계)'!J20</f>
        <v>104</v>
      </c>
      <c r="K20" s="47">
        <f>+'사업장별(당월)'!K20+'[4]사업장별(누계)'!K20</f>
        <v>75.480499999999978</v>
      </c>
      <c r="L20" s="48">
        <f t="shared" si="1"/>
        <v>-28.519500000000022</v>
      </c>
      <c r="M20" s="49">
        <f>+'사업장별(당월)'!M20+'[4]사업장별(누계)'!M20</f>
        <v>94.448000000000008</v>
      </c>
      <c r="N20" s="50">
        <f t="shared" si="3"/>
        <v>-18.96750000000003</v>
      </c>
      <c r="O20" s="46">
        <f>+'사업장별(당월)'!O20+'[4]사업장별(누계)'!O20</f>
        <v>10680.462977000001</v>
      </c>
      <c r="P20" s="47">
        <f>+'사업장별(당월)'!P20+'[4]사업장별(누계)'!P20</f>
        <v>7271.5489369999996</v>
      </c>
      <c r="Q20" s="48">
        <f t="shared" si="4"/>
        <v>-3408.9140400000015</v>
      </c>
      <c r="R20" s="49">
        <f>+'사업장별(당월)'!R20+'[4]사업장별(누계)'!R20</f>
        <v>9313.3286010000011</v>
      </c>
      <c r="S20" s="50">
        <f t="shared" si="5"/>
        <v>-2041.7796640000015</v>
      </c>
      <c r="T20" s="46">
        <f>+'사업장별(당월)'!T20+'[4]사업장별(누계)'!T20</f>
        <v>1706.7695805669216</v>
      </c>
      <c r="U20" s="47">
        <f>+'사업장별(당월)'!U20+'[4]사업장별(누계)'!U20</f>
        <v>513.82139400000005</v>
      </c>
      <c r="V20" s="48">
        <f t="shared" si="6"/>
        <v>-1192.9481865669215</v>
      </c>
      <c r="W20" s="49">
        <f>+'사업장별(당월)'!W20+'[4]사업장별(누계)'!W20</f>
        <v>1463.452526</v>
      </c>
      <c r="X20" s="50">
        <f t="shared" si="7"/>
        <v>-949.63113199999998</v>
      </c>
      <c r="Y20" s="46">
        <f>+[11]전주!$Q$85</f>
        <v>102696.75939423077</v>
      </c>
      <c r="Z20" s="47">
        <f>+[11]전주!$R$85</f>
        <v>96338.475793464051</v>
      </c>
      <c r="AA20" s="51">
        <f>+[12]전주!$Q$85</f>
        <v>98723.219702399438</v>
      </c>
      <c r="AB20" s="52">
        <f>+[11]전주!$Q$89</f>
        <v>73585.157283844586</v>
      </c>
      <c r="AC20" s="47">
        <f>+[11]전주!$R$89</f>
        <v>71733.330078888277</v>
      </c>
      <c r="AD20" s="53">
        <f>+[12]전주!$Q$89</f>
        <v>69567.779990800846</v>
      </c>
      <c r="AE20" s="52">
        <f t="shared" si="8"/>
        <v>29111.602110386186</v>
      </c>
      <c r="AF20" s="47">
        <f t="shared" si="8"/>
        <v>24605.145714575774</v>
      </c>
      <c r="AG20" s="53">
        <f t="shared" si="8"/>
        <v>29155.439711598592</v>
      </c>
      <c r="AH20" s="18"/>
      <c r="AI20" s="791">
        <f t="shared" si="9"/>
        <v>-0.69895093054721025</v>
      </c>
      <c r="AJ20" s="9"/>
    </row>
    <row r="21" spans="2:39" s="8" customFormat="1" ht="19.5" customHeight="1" x14ac:dyDescent="0.3">
      <c r="B21" s="8" t="s">
        <v>90</v>
      </c>
      <c r="F21" s="9">
        <f t="shared" si="2"/>
        <v>1.5124386747398288</v>
      </c>
      <c r="G21" s="794">
        <f t="shared" si="0"/>
        <v>1.297686440677966</v>
      </c>
      <c r="H21" s="80"/>
      <c r="I21" s="81" t="s">
        <v>90</v>
      </c>
      <c r="J21" s="46">
        <f>+'사업장별(당월)'!J21+'[4]사업장별(누계)'!J21</f>
        <v>59</v>
      </c>
      <c r="K21" s="47">
        <f>+'사업장별(당월)'!K21+'[4]사업장별(누계)'!K21</f>
        <v>76.563499999999991</v>
      </c>
      <c r="L21" s="48">
        <f t="shared" si="1"/>
        <v>17.563499999999991</v>
      </c>
      <c r="M21" s="49">
        <f>+'사업장별(당월)'!M21+'[4]사업장별(누계)'!M21</f>
        <v>70.688000000000002</v>
      </c>
      <c r="N21" s="50">
        <f t="shared" si="3"/>
        <v>5.8754999999999882</v>
      </c>
      <c r="O21" s="46">
        <f>+'사업장별(당월)'!O21+'[4]사업장별(누계)'!O21</f>
        <v>6432.539397999999</v>
      </c>
      <c r="P21" s="47">
        <f>+'사업장별(당월)'!P21+'[4]사업장별(누계)'!P21</f>
        <v>8684.7115360000007</v>
      </c>
      <c r="Q21" s="48">
        <f t="shared" si="4"/>
        <v>2252.1721380000017</v>
      </c>
      <c r="R21" s="49">
        <f>+'사업장별(당월)'!R21+'[4]사업장별(누계)'!R21</f>
        <v>6964.0924200000009</v>
      </c>
      <c r="S21" s="50">
        <f t="shared" si="5"/>
        <v>1720.6191159999998</v>
      </c>
      <c r="T21" s="46">
        <f>+'사업장별(당월)'!T21+'[4]사업장별(누계)'!T21</f>
        <v>1601.4383600820365</v>
      </c>
      <c r="U21" s="47">
        <f>+'사업장별(당월)'!U21+'[4]사업장별(누계)'!U21</f>
        <v>2422.077311</v>
      </c>
      <c r="V21" s="48">
        <f t="shared" si="6"/>
        <v>820.63895091796348</v>
      </c>
      <c r="W21" s="49">
        <f>+'사업장별(당월)'!W21+'[4]사업장별(누계)'!W21</f>
        <v>1606.3869279999999</v>
      </c>
      <c r="X21" s="50">
        <f t="shared" si="7"/>
        <v>815.69038300000011</v>
      </c>
      <c r="Y21" s="46">
        <f>+[11]군산!$Q$85</f>
        <v>109026.09149152541</v>
      </c>
      <c r="Z21" s="47">
        <f>+[11]군산!$R$85</f>
        <v>113449.09707499853</v>
      </c>
      <c r="AA21" s="51">
        <f>+[12]군산!$Q$85</f>
        <v>98351.434687636516</v>
      </c>
      <c r="AB21" s="52">
        <f>+[11]군산!$Q$89</f>
        <v>69679.927312678148</v>
      </c>
      <c r="AC21" s="47">
        <f>+[11]군산!$R$89</f>
        <v>72317.710525111324</v>
      </c>
      <c r="AD21" s="53">
        <f>+[12]군산!$Q$89</f>
        <v>64869.079999417649</v>
      </c>
      <c r="AE21" s="52">
        <f t="shared" si="8"/>
        <v>39346.164178847263</v>
      </c>
      <c r="AF21" s="47">
        <f t="shared" si="8"/>
        <v>41131.386549887204</v>
      </c>
      <c r="AG21" s="53">
        <f t="shared" si="8"/>
        <v>33482.354688218868</v>
      </c>
      <c r="AH21" s="18"/>
      <c r="AI21" s="791">
        <f t="shared" si="9"/>
        <v>0.51243867473982885</v>
      </c>
      <c r="AJ21" s="9">
        <f>+U21/T21</f>
        <v>1.5124386747398288</v>
      </c>
    </row>
    <row r="22" spans="2:39" s="8" customFormat="1" ht="19.5" customHeight="1" x14ac:dyDescent="0.3">
      <c r="B22" s="8" t="s">
        <v>91</v>
      </c>
      <c r="F22" s="9">
        <f t="shared" si="2"/>
        <v>1.4553776773705596</v>
      </c>
      <c r="G22" s="794">
        <f t="shared" si="0"/>
        <v>1.1194</v>
      </c>
      <c r="H22" s="80"/>
      <c r="I22" s="81" t="s">
        <v>91</v>
      </c>
      <c r="J22" s="46">
        <f>+'사업장별(당월)'!J22+'[4]사업장별(누계)'!J22</f>
        <v>45</v>
      </c>
      <c r="K22" s="47">
        <f>+'사업장별(당월)'!K22+'[4]사업장별(누계)'!K22</f>
        <v>50.372999999999998</v>
      </c>
      <c r="L22" s="48">
        <f t="shared" si="1"/>
        <v>5.3729999999999976</v>
      </c>
      <c r="M22" s="49">
        <f>+'사업장별(당월)'!M22+'[4]사업장별(누계)'!M22</f>
        <v>40.423499999999997</v>
      </c>
      <c r="N22" s="50">
        <f t="shared" si="3"/>
        <v>9.9495000000000005</v>
      </c>
      <c r="O22" s="46">
        <f>+'사업장별(당월)'!O22+'[4]사업장별(누계)'!O22</f>
        <v>4855.5</v>
      </c>
      <c r="P22" s="47">
        <f>+'사업장별(당월)'!P22+'[4]사업장별(누계)'!P22</f>
        <v>5665.3093900000003</v>
      </c>
      <c r="Q22" s="48">
        <f t="shared" si="4"/>
        <v>809.80939000000035</v>
      </c>
      <c r="R22" s="49">
        <f>+'사업장별(당월)'!R22+'[4]사업장별(누계)'!R22</f>
        <v>4099.385518</v>
      </c>
      <c r="S22" s="50">
        <f t="shared" si="5"/>
        <v>1565.9238720000003</v>
      </c>
      <c r="T22" s="46">
        <f>+'사업장별(당월)'!T22+'[4]사업장별(누계)'!T22</f>
        <v>775.53943388717823</v>
      </c>
      <c r="U22" s="47">
        <f>+'사업장별(당월)'!U22+'[4]사업장별(누계)'!U22</f>
        <v>1128.7027800000001</v>
      </c>
      <c r="V22" s="48">
        <f t="shared" si="6"/>
        <v>353.16334611282184</v>
      </c>
      <c r="W22" s="49">
        <f>+'사업장별(당월)'!W22+'[4]사업장별(누계)'!W22</f>
        <v>658.04973600000005</v>
      </c>
      <c r="X22" s="50">
        <f t="shared" si="7"/>
        <v>470.65304400000002</v>
      </c>
      <c r="Y22" s="46">
        <f>+[11]원주!$Q$85</f>
        <v>107900</v>
      </c>
      <c r="Z22" s="47">
        <f>+[11]원주!$R$85</f>
        <v>112473.27552642034</v>
      </c>
      <c r="AA22" s="51">
        <f>+[12]원주!$Q$85</f>
        <v>101414.71192509978</v>
      </c>
      <c r="AB22" s="52">
        <f>+[11]원주!$Q$89</f>
        <v>73368.015794524239</v>
      </c>
      <c r="AC22" s="47">
        <f>+[11]원주!$R$89</f>
        <v>73811.46791815653</v>
      </c>
      <c r="AD22" s="53">
        <f>+[12]원주!$Q$89</f>
        <v>67339.715361951283</v>
      </c>
      <c r="AE22" s="52">
        <f t="shared" si="8"/>
        <v>34531.984205475761</v>
      </c>
      <c r="AF22" s="47">
        <f t="shared" si="8"/>
        <v>38661.807608263814</v>
      </c>
      <c r="AG22" s="53">
        <f t="shared" si="8"/>
        <v>34074.996563148496</v>
      </c>
      <c r="AH22" s="18"/>
      <c r="AI22" s="791">
        <f t="shared" si="9"/>
        <v>0.45537767737055956</v>
      </c>
      <c r="AJ22" s="9">
        <f>+U22/T22</f>
        <v>1.4553776773705596</v>
      </c>
    </row>
    <row r="23" spans="2:39" s="8" customFormat="1" ht="19.5" customHeight="1" x14ac:dyDescent="0.3">
      <c r="B23" s="8" t="s">
        <v>92</v>
      </c>
      <c r="F23" s="9">
        <f t="shared" si="2"/>
        <v>0.35079989375181875</v>
      </c>
      <c r="G23" s="794">
        <f>+K23/J23</f>
        <v>0.64201020408163267</v>
      </c>
      <c r="H23" s="80"/>
      <c r="I23" s="81" t="s">
        <v>92</v>
      </c>
      <c r="J23" s="46">
        <f>+'사업장별(당월)'!J23+'[4]사업장별(누계)'!J23</f>
        <v>49</v>
      </c>
      <c r="K23" s="47">
        <f>+'사업장별(당월)'!K23+'[4]사업장별(누계)'!K23</f>
        <v>31.458500000000001</v>
      </c>
      <c r="L23" s="48">
        <f t="shared" si="1"/>
        <v>-17.541499999999999</v>
      </c>
      <c r="M23" s="49">
        <f>+'사업장별(당월)'!M23+'[4]사업장별(누계)'!M23</f>
        <v>63.478499999999997</v>
      </c>
      <c r="N23" s="50">
        <f t="shared" si="3"/>
        <v>-32.019999999999996</v>
      </c>
      <c r="O23" s="46">
        <f>+'사업장별(당월)'!O23+'[4]사업장별(누계)'!O23</f>
        <v>6211.4000000000015</v>
      </c>
      <c r="P23" s="47">
        <f>+'사업장별(당월)'!P23+'[4]사업장별(누계)'!P23</f>
        <v>3929.3065630000001</v>
      </c>
      <c r="Q23" s="48">
        <f t="shared" si="4"/>
        <v>-2282.0934370000014</v>
      </c>
      <c r="R23" s="49">
        <f>+'사업장별(당월)'!R23+'[4]사업장별(누계)'!R23</f>
        <v>7577.8458650000002</v>
      </c>
      <c r="S23" s="50">
        <f t="shared" si="5"/>
        <v>-3648.5393020000001</v>
      </c>
      <c r="T23" s="46">
        <f>+'사업장별(당월)'!T23+'[4]사업장별(누계)'!T23</f>
        <v>927.14228764875088</v>
      </c>
      <c r="U23" s="47">
        <f>+'사업장별(당월)'!U23+'[4]사업장별(누계)'!U23</f>
        <v>325.24141599999996</v>
      </c>
      <c r="V23" s="48">
        <f t="shared" si="6"/>
        <v>-601.90087164875092</v>
      </c>
      <c r="W23" s="49">
        <f>+'사업장별(당월)'!W23+'[4]사업장별(누계)'!W23</f>
        <v>1503.5674160000001</v>
      </c>
      <c r="X23" s="50">
        <f t="shared" si="7"/>
        <v>-1178.326</v>
      </c>
      <c r="Y23" s="46">
        <f>+[11]제주!$Q$85</f>
        <v>126763.26530612246</v>
      </c>
      <c r="Z23" s="47">
        <f>+[11]제주!$R$85</f>
        <v>124904.44754199976</v>
      </c>
      <c r="AA23" s="51">
        <f>+[12]제주!$Q$85</f>
        <v>119412.98935544859</v>
      </c>
      <c r="AB23" s="52">
        <f>+[11]제주!$Q$89</f>
        <v>90659.986807120411</v>
      </c>
      <c r="AC23" s="47">
        <f>+[11]제주!$R$89</f>
        <v>89107.933447477728</v>
      </c>
      <c r="AD23" s="53">
        <f>+[12]제주!$Q$89</f>
        <v>83843.537075548069</v>
      </c>
      <c r="AE23" s="52">
        <f t="shared" si="8"/>
        <v>36103.278499002045</v>
      </c>
      <c r="AF23" s="47">
        <f t="shared" si="8"/>
        <v>35796.514094522034</v>
      </c>
      <c r="AG23" s="53">
        <f t="shared" si="8"/>
        <v>35569.452279900521</v>
      </c>
      <c r="AH23" s="18"/>
      <c r="AI23" s="791">
        <f t="shared" si="9"/>
        <v>-0.64920010624818125</v>
      </c>
      <c r="AJ23" s="9">
        <f>+U23/T23</f>
        <v>0.35079989375181875</v>
      </c>
    </row>
    <row r="24" spans="2:39" s="8" customFormat="1" ht="19.5" customHeight="1" x14ac:dyDescent="0.3">
      <c r="F24" s="9">
        <f t="shared" si="2"/>
        <v>0.59086059293578841</v>
      </c>
      <c r="G24" s="794">
        <f t="shared" ref="G24:G26" si="13">+K24/J24</f>
        <v>0.89660240360540822</v>
      </c>
      <c r="H24" s="80"/>
      <c r="I24" s="84" t="s">
        <v>55</v>
      </c>
      <c r="J24" s="23">
        <f>SUM(J7:J10)</f>
        <v>998.5</v>
      </c>
      <c r="K24" s="20">
        <f>SUM(K7:K10)</f>
        <v>895.25750000000005</v>
      </c>
      <c r="L24" s="21">
        <f t="shared" si="1"/>
        <v>-103.24249999999995</v>
      </c>
      <c r="M24" s="25">
        <f>SUM(M7:M10)</f>
        <v>1114.095</v>
      </c>
      <c r="N24" s="22">
        <f t="shared" si="3"/>
        <v>-218.83749999999998</v>
      </c>
      <c r="O24" s="23">
        <f>SUM(O7:O10)</f>
        <v>99428.290310666504</v>
      </c>
      <c r="P24" s="20">
        <f>SUM(P7:P10)</f>
        <v>88689.120725000001</v>
      </c>
      <c r="Q24" s="21">
        <f t="shared" si="4"/>
        <v>-10739.169585666503</v>
      </c>
      <c r="R24" s="25">
        <f>SUM(R7:R10)</f>
        <v>103850.83635400001</v>
      </c>
      <c r="S24" s="22">
        <f t="shared" si="5"/>
        <v>-15161.715629000013</v>
      </c>
      <c r="T24" s="23">
        <f>SUM(T7:T10)</f>
        <v>12564.478309719978</v>
      </c>
      <c r="U24" s="20">
        <f>SUM(U7:U10)</f>
        <v>7423.8551040099983</v>
      </c>
      <c r="V24" s="21">
        <f t="shared" si="6"/>
        <v>-5140.6232057099796</v>
      </c>
      <c r="W24" s="25">
        <f>SUM(W7:W10)</f>
        <v>13326.902142989999</v>
      </c>
      <c r="X24" s="22">
        <f t="shared" si="7"/>
        <v>-5903.0470389800003</v>
      </c>
      <c r="Y24" s="23">
        <f>+[11]수도권!$Q$85</f>
        <v>99577.656795860297</v>
      </c>
      <c r="Z24" s="20">
        <f>+[11]수도권!$R$85</f>
        <v>99076.406132854987</v>
      </c>
      <c r="AA24" s="24">
        <f>+[12]수도권!$Q$85</f>
        <v>93201.231543459784</v>
      </c>
      <c r="AB24" s="29">
        <f>+[11]수도권!$Q$89</f>
        <v>78010.102557085222</v>
      </c>
      <c r="AC24" s="20">
        <f>+[11]수도권!$R$89</f>
        <v>80800.204799494124</v>
      </c>
      <c r="AD24" s="30">
        <f>+[12]수도권!$Q$89</f>
        <v>73255.308550502785</v>
      </c>
      <c r="AE24" s="29">
        <f t="shared" si="8"/>
        <v>21567.554238775076</v>
      </c>
      <c r="AF24" s="20">
        <f t="shared" si="8"/>
        <v>18276.201333360863</v>
      </c>
      <c r="AG24" s="30">
        <f t="shared" si="8"/>
        <v>19945.922992956999</v>
      </c>
      <c r="AH24" s="18"/>
      <c r="AI24" s="791">
        <f t="shared" si="9"/>
        <v>-0.40913940706421159</v>
      </c>
      <c r="AJ24" s="96"/>
      <c r="AK24" s="96">
        <f t="shared" ref="AK24:AK27" si="14">+Z24-Y24</f>
        <v>-501.25066300531034</v>
      </c>
      <c r="AL24" s="96">
        <f t="shared" ref="AL24:AL27" si="15">+AC24-AB24</f>
        <v>2790.1022424089024</v>
      </c>
      <c r="AM24" s="96">
        <f t="shared" ref="AM24:AM27" si="16">+AF24-AE24</f>
        <v>-3291.3529054142127</v>
      </c>
    </row>
    <row r="25" spans="2:39" s="8" customFormat="1" ht="19.5" customHeight="1" x14ac:dyDescent="0.3">
      <c r="F25" s="9">
        <f t="shared" si="2"/>
        <v>0.79494069118701738</v>
      </c>
      <c r="G25" s="794">
        <f t="shared" si="13"/>
        <v>1.0624763421292085</v>
      </c>
      <c r="H25" s="80"/>
      <c r="I25" s="84" t="s">
        <v>56</v>
      </c>
      <c r="J25" s="23">
        <f>SUM(J11:J18)</f>
        <v>1099</v>
      </c>
      <c r="K25" s="20">
        <f>SUM(K11:K18)</f>
        <v>1167.6615000000002</v>
      </c>
      <c r="L25" s="21">
        <f t="shared" si="1"/>
        <v>68.66150000000016</v>
      </c>
      <c r="M25" s="25">
        <f>SUM(M11:M18)</f>
        <v>1243.2209999999998</v>
      </c>
      <c r="N25" s="22">
        <f t="shared" si="3"/>
        <v>-75.559499999999616</v>
      </c>
      <c r="O25" s="23">
        <f>SUM(O11:O18)</f>
        <v>112270.10773325001</v>
      </c>
      <c r="P25" s="20">
        <f>SUM(P11:P18)</f>
        <v>118057.850934</v>
      </c>
      <c r="Q25" s="21">
        <f t="shared" si="4"/>
        <v>5787.7432007499883</v>
      </c>
      <c r="R25" s="25">
        <f>SUM(R11:R18)</f>
        <v>121842.15781199999</v>
      </c>
      <c r="S25" s="22">
        <f t="shared" si="5"/>
        <v>-3784.3068779999885</v>
      </c>
      <c r="T25" s="23">
        <f>SUM(T11:T18)</f>
        <v>16295.10428087085</v>
      </c>
      <c r="U25" s="20">
        <f>SUM(U11:U18)</f>
        <v>12953.641459999999</v>
      </c>
      <c r="V25" s="21">
        <f t="shared" si="6"/>
        <v>-3341.4628208708509</v>
      </c>
      <c r="W25" s="25">
        <f>SUM(W11:W18)</f>
        <v>19823.005287999997</v>
      </c>
      <c r="X25" s="22">
        <f t="shared" si="7"/>
        <v>-6869.3638279999977</v>
      </c>
      <c r="Y25" s="23">
        <f>+[11]영남권!$Q$85</f>
        <v>102156.60394290263</v>
      </c>
      <c r="Z25" s="20">
        <f>+[11]영남권!$R$85</f>
        <v>101125.79342513959</v>
      </c>
      <c r="AA25" s="24">
        <f>+[12]영남권!$Q$85</f>
        <v>98010.53911424824</v>
      </c>
      <c r="AB25" s="29">
        <f>+[11]영남권!$Q$89</f>
        <v>75290.791507460774</v>
      </c>
      <c r="AC25" s="20">
        <f>+[11]영남권!$R$89</f>
        <v>78591.615110637038</v>
      </c>
      <c r="AD25" s="30">
        <f>+[12]영남권!$Q$89</f>
        <v>71816.43757288855</v>
      </c>
      <c r="AE25" s="29">
        <f t="shared" si="8"/>
        <v>26865.812435441854</v>
      </c>
      <c r="AF25" s="20">
        <f t="shared" si="8"/>
        <v>22534.178314502555</v>
      </c>
      <c r="AG25" s="30">
        <f t="shared" si="8"/>
        <v>26194.101541359691</v>
      </c>
      <c r="AH25" s="18"/>
      <c r="AI25" s="791">
        <f t="shared" si="9"/>
        <v>-0.20505930881298262</v>
      </c>
      <c r="AJ25" s="96"/>
      <c r="AK25" s="96">
        <f t="shared" si="14"/>
        <v>-1030.810517763035</v>
      </c>
      <c r="AL25" s="96">
        <f t="shared" si="15"/>
        <v>3300.8236031762644</v>
      </c>
      <c r="AM25" s="96">
        <f t="shared" si="16"/>
        <v>-4331.6341209392995</v>
      </c>
    </row>
    <row r="26" spans="2:39" s="8" customFormat="1" ht="19.5" customHeight="1" x14ac:dyDescent="0.3">
      <c r="F26" s="9">
        <f t="shared" si="2"/>
        <v>0.98216353757998243</v>
      </c>
      <c r="G26" s="794">
        <f t="shared" si="13"/>
        <v>1.0259790748898678</v>
      </c>
      <c r="H26" s="80"/>
      <c r="I26" s="84" t="s">
        <v>170</v>
      </c>
      <c r="J26" s="23">
        <f>SUM(J19:J23)</f>
        <v>454</v>
      </c>
      <c r="K26" s="20">
        <f>SUM(K19:K23)</f>
        <v>465.79449999999997</v>
      </c>
      <c r="L26" s="21">
        <f t="shared" si="1"/>
        <v>11.794499999999971</v>
      </c>
      <c r="M26" s="25">
        <f>SUM(M19:M23)</f>
        <v>492.68900000000002</v>
      </c>
      <c r="N26" s="22">
        <f t="shared" si="3"/>
        <v>-26.89450000000005</v>
      </c>
      <c r="O26" s="23">
        <f>SUM(O19:O23)</f>
        <v>48076.895775000005</v>
      </c>
      <c r="P26" s="20">
        <f>SUM(P19:P23)</f>
        <v>49047.337527000003</v>
      </c>
      <c r="Q26" s="21">
        <f t="shared" si="4"/>
        <v>970.44175199999881</v>
      </c>
      <c r="R26" s="25">
        <f>SUM(R19:R23)</f>
        <v>49346.420087000006</v>
      </c>
      <c r="S26" s="22">
        <f t="shared" si="5"/>
        <v>-299.08256000000256</v>
      </c>
      <c r="T26" s="23">
        <f>SUM(T19:T23)</f>
        <v>7895.1910158531246</v>
      </c>
      <c r="U26" s="20">
        <f>SUM(U19:U23)</f>
        <v>7754.3687380000001</v>
      </c>
      <c r="V26" s="21">
        <f t="shared" si="6"/>
        <v>-140.82227785312443</v>
      </c>
      <c r="W26" s="25">
        <f>SUM(W19:W23)</f>
        <v>8809.1571930000009</v>
      </c>
      <c r="X26" s="22">
        <f t="shared" si="7"/>
        <v>-1054.7884550000008</v>
      </c>
      <c r="Y26" s="23">
        <f>+[11]중부권!$Q$85</f>
        <v>105896.24620044052</v>
      </c>
      <c r="Z26" s="20">
        <f>+[11]중부권!$R$85</f>
        <v>105285.08994136998</v>
      </c>
      <c r="AA26" s="24">
        <f>+[12]중부권!$Q$85</f>
        <v>100295.67705482144</v>
      </c>
      <c r="AB26" s="29">
        <f>+[11]중부권!$Q$89</f>
        <v>76182.664578197626</v>
      </c>
      <c r="AC26" s="20">
        <f>+[11]중부권!$R$89</f>
        <v>75825.962706816747</v>
      </c>
      <c r="AD26" s="30">
        <f>+[12]중부권!$Q$89</f>
        <v>70984.621550441341</v>
      </c>
      <c r="AE26" s="29">
        <f t="shared" si="8"/>
        <v>29713.581622242898</v>
      </c>
      <c r="AF26" s="20">
        <f t="shared" si="8"/>
        <v>29459.127234553234</v>
      </c>
      <c r="AG26" s="30">
        <f t="shared" si="8"/>
        <v>29311.0555043801</v>
      </c>
      <c r="AH26" s="18"/>
      <c r="AI26" s="791">
        <f t="shared" si="9"/>
        <v>-1.7836462420017574E-2</v>
      </c>
      <c r="AJ26" s="96"/>
      <c r="AK26" s="96">
        <f t="shared" si="14"/>
        <v>-611.15625907054346</v>
      </c>
      <c r="AL26" s="96">
        <f t="shared" si="15"/>
        <v>-356.70187138087931</v>
      </c>
      <c r="AM26" s="96">
        <f t="shared" si="16"/>
        <v>-254.45438768966415</v>
      </c>
    </row>
    <row r="27" spans="2:39" s="3" customFormat="1" ht="19.5" customHeight="1" x14ac:dyDescent="0.3">
      <c r="B27" s="26"/>
      <c r="F27" s="9">
        <f t="shared" si="2"/>
        <v>0.76539351332252092</v>
      </c>
      <c r="G27" s="794">
        <f>+K27/J27</f>
        <v>0.99106937095825998</v>
      </c>
      <c r="H27" s="629" t="s">
        <v>115</v>
      </c>
      <c r="I27" s="630"/>
      <c r="J27" s="631">
        <f>SUM(J24:J26)</f>
        <v>2551.5</v>
      </c>
      <c r="K27" s="632">
        <f>SUM(K24:K26)</f>
        <v>2528.7135000000003</v>
      </c>
      <c r="L27" s="633">
        <f t="shared" si="1"/>
        <v>-22.786499999999705</v>
      </c>
      <c r="M27" s="634">
        <f>SUM(M24:M26)</f>
        <v>2850.0049999999997</v>
      </c>
      <c r="N27" s="635">
        <f t="shared" si="3"/>
        <v>-321.29149999999936</v>
      </c>
      <c r="O27" s="631">
        <f>SUM(O24:O26)</f>
        <v>259775.29381891651</v>
      </c>
      <c r="P27" s="632">
        <f>SUM(P24:P26)</f>
        <v>255794.309186</v>
      </c>
      <c r="Q27" s="633">
        <f t="shared" si="4"/>
        <v>-3980.9846329165157</v>
      </c>
      <c r="R27" s="634">
        <f>SUM(R24:R26)</f>
        <v>275039.414253</v>
      </c>
      <c r="S27" s="635">
        <f t="shared" si="5"/>
        <v>-19245.105066999997</v>
      </c>
      <c r="T27" s="631">
        <f>SUM(T24:T26)</f>
        <v>36754.773606443952</v>
      </c>
      <c r="U27" s="632">
        <f>SUM(U24:U26)</f>
        <v>28131.865302009999</v>
      </c>
      <c r="V27" s="633">
        <f t="shared" si="6"/>
        <v>-8622.9083044339532</v>
      </c>
      <c r="W27" s="634">
        <f>SUM(W24:W26)</f>
        <v>41959.064623989994</v>
      </c>
      <c r="X27" s="635">
        <f t="shared" si="7"/>
        <v>-13827.199321979995</v>
      </c>
      <c r="Y27" s="631">
        <f>+[11]합계!$Q$85</f>
        <v>101812.77437543269</v>
      </c>
      <c r="Z27" s="632">
        <f>+[11]합계!$R$85</f>
        <v>101167.04881691915</v>
      </c>
      <c r="AA27" s="636">
        <f>+[12]합계!$Q$85</f>
        <v>96518.388715415713</v>
      </c>
      <c r="AB27" s="637">
        <f>+[11]합계!$Q$89</f>
        <v>76513.657451871724</v>
      </c>
      <c r="AC27" s="632">
        <f>+[11]합계!$R$89</f>
        <v>78862.46728159608</v>
      </c>
      <c r="AD27" s="638">
        <f>+[12]합계!$Q$89</f>
        <v>72237.319898098111</v>
      </c>
      <c r="AE27" s="637">
        <f t="shared" si="8"/>
        <v>25299.11692356097</v>
      </c>
      <c r="AF27" s="632">
        <f t="shared" si="8"/>
        <v>22304.581535323072</v>
      </c>
      <c r="AG27" s="638">
        <f t="shared" si="8"/>
        <v>24281.068817317602</v>
      </c>
      <c r="AH27" s="27"/>
      <c r="AI27" s="791">
        <f t="shared" si="9"/>
        <v>-0.23460648667747908</v>
      </c>
      <c r="AJ27" s="96"/>
      <c r="AK27" s="96">
        <f t="shared" si="14"/>
        <v>-645.72555851354264</v>
      </c>
      <c r="AL27" s="96">
        <f t="shared" si="15"/>
        <v>2348.809829724356</v>
      </c>
      <c r="AM27" s="96">
        <f t="shared" si="16"/>
        <v>-2994.5353882378986</v>
      </c>
    </row>
    <row r="28" spans="2:39" s="8" customFormat="1" ht="19.5" customHeight="1" x14ac:dyDescent="0.3">
      <c r="B28" s="8" t="s">
        <v>3</v>
      </c>
      <c r="E28" s="8" t="s">
        <v>201</v>
      </c>
      <c r="G28" s="794">
        <f>+K28/J28</f>
        <v>1.2317115955766191</v>
      </c>
      <c r="H28" s="835" t="s">
        <v>3</v>
      </c>
      <c r="I28" s="836"/>
      <c r="J28" s="167">
        <f>+'사업장별(당월)'!J28+'[4]사업장별(누계)'!J28</f>
        <v>63300</v>
      </c>
      <c r="K28" s="168">
        <f>+'사업장별(당월)'!K28+'[4]사업장별(누계)'!K28</f>
        <v>77967.343999999997</v>
      </c>
      <c r="L28" s="169">
        <f>+K28-J28</f>
        <v>14667.343999999997</v>
      </c>
      <c r="M28" s="170">
        <f>+'사업장별(당월)'!M28+'[4]사업장별(누계)'!M28</f>
        <v>69555.719000000012</v>
      </c>
      <c r="N28" s="171">
        <f>+K28-M28</f>
        <v>8411.6249999999854</v>
      </c>
      <c r="O28" s="167">
        <f>+'사업장별(당월)'!O28+'[4]사업장별(누계)'!O28</f>
        <v>77413.543157894746</v>
      </c>
      <c r="P28" s="168">
        <f>+'사업장별(당월)'!P28+'[4]사업장별(누계)'!P28</f>
        <v>77932.391057000001</v>
      </c>
      <c r="Q28" s="169">
        <f>+P28-O28</f>
        <v>518.84789910525433</v>
      </c>
      <c r="R28" s="170">
        <f>+'사업장별(당월)'!R28+'[4]사업장별(누계)'!R28</f>
        <v>85026.683772999997</v>
      </c>
      <c r="S28" s="171">
        <f t="shared" si="5"/>
        <v>-7094.2927159999963</v>
      </c>
      <c r="T28" s="167">
        <f>+'사업장별(당월)'!T28+'[4]사업장별(누계)'!T28</f>
        <v>839.87082103158934</v>
      </c>
      <c r="U28" s="168">
        <f>+'사업장별(당월)'!U28+'[4]사업장별(누계)'!U28</f>
        <v>439.49837000000065</v>
      </c>
      <c r="V28" s="169">
        <f t="shared" si="6"/>
        <v>-400.3724510315887</v>
      </c>
      <c r="W28" s="170">
        <f>+'사업장별(당월)'!W28+'[4]사업장별(누계)'!W28</f>
        <v>684.76884600000278</v>
      </c>
      <c r="X28" s="171">
        <f t="shared" si="7"/>
        <v>-245.27047600000213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9" s="8" customFormat="1" ht="19.5" customHeight="1" x14ac:dyDescent="0.3">
      <c r="B29" s="8" t="s">
        <v>193</v>
      </c>
      <c r="C29" s="79" t="s">
        <v>61</v>
      </c>
      <c r="G29" s="794">
        <f>+P28/O28</f>
        <v>1.0067022884877779</v>
      </c>
      <c r="H29" s="86" t="s">
        <v>1</v>
      </c>
      <c r="I29" s="79" t="s">
        <v>223</v>
      </c>
      <c r="J29" s="56">
        <f>+'사업장별(당월)'!J29+'[4]사업장별(누계)'!J29</f>
        <v>212.44484754941408</v>
      </c>
      <c r="K29" s="57">
        <f>+'사업장별(당월)'!K29+'[4]사업장별(누계)'!K29</f>
        <v>169.70699999999999</v>
      </c>
      <c r="L29" s="38">
        <f t="shared" si="1"/>
        <v>-42.737847549414084</v>
      </c>
      <c r="M29" s="38">
        <f>+'사업장별(당월)'!M29+'[4]사업장별(누계)'!M29</f>
        <v>223.24199999999999</v>
      </c>
      <c r="N29" s="58">
        <f t="shared" si="3"/>
        <v>-53.534999999999997</v>
      </c>
      <c r="O29" s="56">
        <f>+'사업장별(당월)'!O29+'[4]사업장별(누계)'!O29</f>
        <v>6232.3161599870709</v>
      </c>
      <c r="P29" s="57">
        <f>+'사업장별(당월)'!P29+'[4]사업장별(누계)'!P29</f>
        <v>5011.7635799999998</v>
      </c>
      <c r="Q29" s="38">
        <f t="shared" si="4"/>
        <v>-1220.5525799870711</v>
      </c>
      <c r="R29" s="38">
        <f>+'사업장별(당월)'!R29+'[4]사업장별(누계)'!R29</f>
        <v>6548.9299000000001</v>
      </c>
      <c r="S29" s="58">
        <f t="shared" si="5"/>
        <v>-1537.1663200000003</v>
      </c>
      <c r="T29" s="56">
        <f>+'사업장별(당월)'!T29+'[4]사업장별(누계)'!T29</f>
        <v>312.58577563298064</v>
      </c>
      <c r="U29" s="57">
        <f>+'사업장별(당월)'!U29+'[4]사업장별(누계)'!U29</f>
        <v>305.22036228727217</v>
      </c>
      <c r="V29" s="38">
        <f t="shared" si="6"/>
        <v>-7.3654133457084754</v>
      </c>
      <c r="W29" s="38">
        <f>+'사업장별(당월)'!W29+'[4]사업장별(누계)'!W29</f>
        <v>283.40205401999998</v>
      </c>
      <c r="X29" s="58">
        <f t="shared" si="7"/>
        <v>21.818308267272187</v>
      </c>
      <c r="Y29" s="800" t="s">
        <v>255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>
        <f>+T29/100</f>
        <v>3.1258577563298062</v>
      </c>
      <c r="AJ29" s="782">
        <f t="shared" ref="AJ29:AJ31" si="17">+U29/100</f>
        <v>3.0522036228727218</v>
      </c>
      <c r="AK29" s="782">
        <f t="shared" ref="AK29:AK31" si="18">+V29/100</f>
        <v>-7.3654133457084756E-2</v>
      </c>
    </row>
    <row r="30" spans="2:39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219</v>
      </c>
      <c r="J30" s="54">
        <f>+'사업장별(당월)'!J30+'[4]사업장별(누계)'!J30</f>
        <v>272.83109354666669</v>
      </c>
      <c r="K30" s="59">
        <f>+'사업장별(당월)'!K30+'[4]사업장별(누계)'!K30</f>
        <v>168.53</v>
      </c>
      <c r="L30" s="48">
        <f t="shared" si="1"/>
        <v>-104.30109354666669</v>
      </c>
      <c r="M30" s="48">
        <f>+'사업장별(당월)'!M30+'[4]사업장별(누계)'!M30</f>
        <v>301.7</v>
      </c>
      <c r="N30" s="60">
        <f t="shared" si="3"/>
        <v>-133.16999999999999</v>
      </c>
      <c r="O30" s="54">
        <f>+'사업장별(당월)'!O30+'[4]사업장별(누계)'!O30</f>
        <v>3436.155069866667</v>
      </c>
      <c r="P30" s="59">
        <f>+'사업장별(당월)'!P30+'[4]사업장별(누계)'!P30</f>
        <v>2372.0990000000002</v>
      </c>
      <c r="Q30" s="48">
        <f t="shared" si="4"/>
        <v>-1064.0560698666668</v>
      </c>
      <c r="R30" s="48">
        <f>+'사업장별(당월)'!R30+'[4]사업장별(누계)'!R30</f>
        <v>3598.9639999999999</v>
      </c>
      <c r="S30" s="60">
        <f t="shared" si="5"/>
        <v>-1226.8649999999998</v>
      </c>
      <c r="T30" s="54">
        <f>+'사업장별(당월)'!T30+'[4]사업장별(누계)'!T30</f>
        <v>659.30743203524378</v>
      </c>
      <c r="U30" s="59">
        <f>+'사업장별(당월)'!U30+'[4]사업장별(누계)'!U30</f>
        <v>27.374989941775098</v>
      </c>
      <c r="V30" s="48">
        <f t="shared" si="6"/>
        <v>-631.93244209346869</v>
      </c>
      <c r="W30" s="48">
        <f>+'사업장별(당월)'!W30+'[4]사업장별(누계)'!W30</f>
        <v>657.13109500000019</v>
      </c>
      <c r="X30" s="60">
        <f t="shared" si="7"/>
        <v>-629.7561050582251</v>
      </c>
      <c r="Y30" s="628" t="s">
        <v>256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>
        <f t="shared" ref="AI30:AI31" si="19">+T30/100</f>
        <v>6.5930743203524376</v>
      </c>
      <c r="AJ30" s="782">
        <f t="shared" si="17"/>
        <v>0.27374989941775096</v>
      </c>
      <c r="AK30" s="782">
        <f t="shared" si="18"/>
        <v>-6.319324420934687</v>
      </c>
      <c r="AL30" s="98"/>
    </row>
    <row r="31" spans="2:39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221</v>
      </c>
      <c r="J31" s="54">
        <f>+'사업장별(당월)'!J31+'[4]사업장별(누계)'!J31</f>
        <v>371.01080757338104</v>
      </c>
      <c r="K31" s="59">
        <f>+'사업장별(당월)'!K31+'[4]사업장별(누계)'!K31</f>
        <v>315.97800000000001</v>
      </c>
      <c r="L31" s="48">
        <f t="shared" si="1"/>
        <v>-55.032807573381035</v>
      </c>
      <c r="M31" s="48">
        <f>+'사업장별(당월)'!M31+'[4]사업장별(누계)'!M31</f>
        <v>48.94</v>
      </c>
      <c r="N31" s="60">
        <f t="shared" si="3"/>
        <v>267.03800000000001</v>
      </c>
      <c r="O31" s="54">
        <f>+'사업장별(당월)'!O31+'[4]사업장별(누계)'!O31</f>
        <v>6674.2948439999245</v>
      </c>
      <c r="P31" s="59">
        <f>+'사업장별(당월)'!P31+'[4]사업장별(누계)'!P31</f>
        <v>5745.9229999999998</v>
      </c>
      <c r="Q31" s="48">
        <f t="shared" si="4"/>
        <v>-928.37184399992475</v>
      </c>
      <c r="R31" s="48">
        <f>+'사업장별(당월)'!R31+'[4]사업장별(누계)'!R31</f>
        <v>858.03600000000006</v>
      </c>
      <c r="S31" s="60">
        <f t="shared" si="5"/>
        <v>4887.8869999999997</v>
      </c>
      <c r="T31" s="54">
        <f>+'사업장별(당월)'!T31+'[4]사업장별(누계)'!T31</f>
        <v>242.02219610628055</v>
      </c>
      <c r="U31" s="59">
        <f>+'사업장별(당월)'!U31+'[4]사업장별(누계)'!U31</f>
        <v>-186.63275386999987</v>
      </c>
      <c r="V31" s="48">
        <f t="shared" si="6"/>
        <v>-428.65494997628042</v>
      </c>
      <c r="W31" s="48">
        <f>+'사업장별(당월)'!W31+'[4]사업장별(누계)'!W31</f>
        <v>-318.75906599000001</v>
      </c>
      <c r="X31" s="60">
        <f t="shared" si="7"/>
        <v>132.12631212000014</v>
      </c>
      <c r="Y31" s="586" t="s">
        <v>257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>
        <f t="shared" si="19"/>
        <v>2.4202219610628055</v>
      </c>
      <c r="AJ31" s="782">
        <f t="shared" si="17"/>
        <v>-1.8663275386999987</v>
      </c>
      <c r="AK31" s="782">
        <f t="shared" si="18"/>
        <v>-4.2865494997628044</v>
      </c>
      <c r="AL31" s="98"/>
    </row>
    <row r="32" spans="2:39" s="3" customFormat="1" ht="19.5" customHeight="1" x14ac:dyDescent="0.3">
      <c r="G32" s="794">
        <f>+K32/J32</f>
        <v>0.76401392526107603</v>
      </c>
      <c r="H32" s="146" t="s">
        <v>42</v>
      </c>
      <c r="I32" s="147"/>
      <c r="J32" s="148">
        <f>SUM(J29:J31)</f>
        <v>856.28674866946176</v>
      </c>
      <c r="K32" s="152">
        <f>SUM(K29:K31)</f>
        <v>654.21499999999992</v>
      </c>
      <c r="L32" s="150">
        <f t="shared" si="1"/>
        <v>-202.07174866946184</v>
      </c>
      <c r="M32" s="150">
        <f>SUM(M29:M31)</f>
        <v>573.88200000000006</v>
      </c>
      <c r="N32" s="151">
        <f t="shared" si="3"/>
        <v>80.332999999999856</v>
      </c>
      <c r="O32" s="148">
        <f>SUM(O29:O31)</f>
        <v>16342.766073853662</v>
      </c>
      <c r="P32" s="152">
        <f>SUM(P29:P31)</f>
        <v>13129.78558</v>
      </c>
      <c r="Q32" s="150">
        <f t="shared" si="4"/>
        <v>-3212.9804938536618</v>
      </c>
      <c r="R32" s="150">
        <f>SUM(R29:R31)</f>
        <v>11005.929899999999</v>
      </c>
      <c r="S32" s="151">
        <f t="shared" si="5"/>
        <v>2123.8556800000006</v>
      </c>
      <c r="T32" s="148">
        <f>SUM(T29:T31)</f>
        <v>1213.915403774505</v>
      </c>
      <c r="U32" s="152">
        <f>SUM(U29:U31)</f>
        <v>145.96259835904738</v>
      </c>
      <c r="V32" s="150">
        <f t="shared" si="6"/>
        <v>-1067.9528054154575</v>
      </c>
      <c r="W32" s="150">
        <f>SUM(W29:W31)</f>
        <v>621.77408303000016</v>
      </c>
      <c r="X32" s="151">
        <f t="shared" si="7"/>
        <v>-475.81148467095278</v>
      </c>
      <c r="Y32" s="586" t="s">
        <v>258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>
        <f>SUM(AI29:AI31)</f>
        <v>12.139154037745049</v>
      </c>
      <c r="AJ32" s="783">
        <f t="shared" ref="AJ32:AK32" si="20">SUM(AJ29:AJ31)</f>
        <v>1.4596259835904741</v>
      </c>
      <c r="AK32" s="783">
        <f t="shared" si="20"/>
        <v>-10.679528054154577</v>
      </c>
    </row>
    <row r="33" spans="2:39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817.56000000000017</v>
      </c>
      <c r="P33" s="47">
        <f>+'사업장별(당월)'!P33+'[4]사업장별(누계)'!P33</f>
        <v>817.56000000000017</v>
      </c>
      <c r="Q33" s="49">
        <f t="shared" si="4"/>
        <v>0</v>
      </c>
      <c r="R33" s="48">
        <f>+'사업장별(당월)'!R33+'[4]사업장별(누계)'!R33</f>
        <v>748.81000000000017</v>
      </c>
      <c r="S33" s="60">
        <f t="shared" si="5"/>
        <v>68.75</v>
      </c>
      <c r="T33" s="46">
        <f>+'사업장별(당월)'!T33+'[4]사업장별(누계)'!T33</f>
        <v>597.83841200000006</v>
      </c>
      <c r="U33" s="47">
        <f>+'사업장별(당월)'!U33+'[4]사업장별(누계)'!U33</f>
        <v>556.78798499999994</v>
      </c>
      <c r="V33" s="49">
        <f t="shared" si="6"/>
        <v>-41.050427000000127</v>
      </c>
      <c r="W33" s="48">
        <f>+'사업장별(당월)'!W33+'[4]사업장별(누계)'!W33</f>
        <v>475.06243599999999</v>
      </c>
      <c r="X33" s="60">
        <f t="shared" si="7"/>
        <v>81.725548999999944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9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1">+K34-M34</f>
        <v>0</v>
      </c>
      <c r="O34" s="46">
        <f>+'사업장별(당월)'!O34+'[4]사업장별(누계)'!O34</f>
        <v>651.27750300000002</v>
      </c>
      <c r="P34" s="47">
        <f>+'사업장별(당월)'!P34+'[4]사업장별(누계)'!P34</f>
        <v>656.64914099999999</v>
      </c>
      <c r="Q34" s="49">
        <f>+P34-O34</f>
        <v>5.3716379999999617</v>
      </c>
      <c r="R34" s="48">
        <f>+'사업장별(당월)'!R34+'[4]사업장별(누계)'!R34</f>
        <v>850.54351500000007</v>
      </c>
      <c r="S34" s="60">
        <f t="shared" si="5"/>
        <v>-193.89437400000008</v>
      </c>
      <c r="T34" s="46">
        <f>+'사업장별(당월)'!T34+'[4]사업장별(누계)'!T34</f>
        <v>596.72801299999992</v>
      </c>
      <c r="U34" s="47">
        <f>+'사업장별(당월)'!U34+'[4]사업장별(누계)'!U34</f>
        <v>603.401566</v>
      </c>
      <c r="V34" s="49">
        <f t="shared" si="6"/>
        <v>6.6735530000000836</v>
      </c>
      <c r="W34" s="48">
        <f>+'사업장별(당월)'!W34+'[4]사업장별(누계)'!W34</f>
        <v>587.43831299999999</v>
      </c>
      <c r="X34" s="60">
        <f t="shared" si="7"/>
        <v>15.963253000000009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  <c r="AM34" s="8">
        <v>16</v>
      </c>
    </row>
    <row r="35" spans="2:39" s="8" customFormat="1" ht="19.5" customHeight="1" x14ac:dyDescent="0.3">
      <c r="B35" s="8" t="s">
        <v>200</v>
      </c>
      <c r="D35"/>
      <c r="E35"/>
      <c r="F35"/>
      <c r="G35" s="5" t="s">
        <v>224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21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22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-12558.532403206726</v>
      </c>
      <c r="U35" s="47">
        <f>+'사업장별(당월)'!U35+'[4]사업장별(누계)'!U35</f>
        <v>-12891.838653357485</v>
      </c>
      <c r="V35" s="49">
        <f t="shared" si="6"/>
        <v>-333.3062501507593</v>
      </c>
      <c r="W35" s="48">
        <f>+'사업장별(당월)'!W35+'[4]사업장별(누계)'!W35</f>
        <v>-10512.684547999999</v>
      </c>
      <c r="X35" s="60">
        <f t="shared" si="7"/>
        <v>-2379.1541053574856</v>
      </c>
      <c r="Y35" s="628"/>
      <c r="Z35" s="802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  <c r="AM35" s="8">
        <v>1</v>
      </c>
    </row>
    <row r="36" spans="2:39" s="8" customFormat="1" ht="19.5" customHeight="1" x14ac:dyDescent="0.3">
      <c r="D36"/>
      <c r="E36"/>
      <c r="F36"/>
      <c r="G36" s="5"/>
      <c r="H36" s="87"/>
      <c r="I36" s="88" t="s">
        <v>116</v>
      </c>
      <c r="J36" s="46"/>
      <c r="K36" s="47"/>
      <c r="L36" s="49"/>
      <c r="M36" s="48"/>
      <c r="N36" s="60">
        <f t="shared" si="21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22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500</v>
      </c>
      <c r="V36" s="49">
        <f t="shared" si="6"/>
        <v>-829.7</v>
      </c>
      <c r="W36" s="48">
        <f>+'사업장별(당월)'!W36+'[4]사업장별(누계)'!W36</f>
        <v>0</v>
      </c>
      <c r="X36" s="60">
        <f t="shared" si="7"/>
        <v>500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  <c r="AM36" s="8">
        <f>SUM(AM34:AM35)</f>
        <v>17</v>
      </c>
    </row>
    <row r="37" spans="2:39" s="8" customFormat="1" ht="19.5" customHeight="1" x14ac:dyDescent="0.3">
      <c r="D37"/>
      <c r="E37"/>
      <c r="F37"/>
      <c r="G37" s="5"/>
      <c r="H37" s="87"/>
      <c r="I37" s="88" t="s">
        <v>117</v>
      </c>
      <c r="J37" s="46"/>
      <c r="K37" s="47"/>
      <c r="L37" s="49"/>
      <c r="M37" s="48"/>
      <c r="N37" s="60">
        <f t="shared" si="21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22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-573.85933299999999</v>
      </c>
      <c r="V37" s="49">
        <f t="shared" si="6"/>
        <v>-573.85933299999999</v>
      </c>
      <c r="W37" s="48">
        <f>+'사업장별(당월)'!W37+'[4]사업장별(누계)'!W37</f>
        <v>-2023.2219769999999</v>
      </c>
      <c r="X37" s="60">
        <f t="shared" si="7"/>
        <v>1449.3626439999998</v>
      </c>
      <c r="Y37" s="586"/>
      <c r="Z37" s="799"/>
      <c r="AA37" s="587"/>
      <c r="AB37" s="799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9" s="8" customFormat="1" ht="19.5" customHeight="1" x14ac:dyDescent="0.3">
      <c r="D38"/>
      <c r="E38"/>
      <c r="F38"/>
      <c r="G38" s="5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1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22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-271.63600500013672</v>
      </c>
      <c r="U38" s="47">
        <f>+'사업장별(당월)'!U38+'[4]사업장별(누계)'!U38</f>
        <v>-339.52040299999999</v>
      </c>
      <c r="V38" s="49">
        <f t="shared" si="6"/>
        <v>-67.884397999863268</v>
      </c>
      <c r="W38" s="48">
        <f>+'사업장별(당월)'!W38+'[4]사업장별(누계)'!W38</f>
        <v>-117.16342</v>
      </c>
      <c r="X38" s="60">
        <f>+U38-W38</f>
        <v>-222.35698299999999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9" s="8" customFormat="1" ht="19.5" customHeight="1" x14ac:dyDescent="0.3">
      <c r="B39" t="s">
        <v>39</v>
      </c>
      <c r="D39"/>
      <c r="G39" s="792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1"/>
        <v>0</v>
      </c>
      <c r="O39" s="46">
        <f>+'사업장별(당월)'!O39+'[4]사업장별(누계)'!O39</f>
        <v>15.929999999999998</v>
      </c>
      <c r="P39" s="47">
        <f>+'사업장별(당월)'!P39+'[4]사업장별(누계)'!P39</f>
        <v>15.666199999999257</v>
      </c>
      <c r="Q39" s="55">
        <f t="shared" si="22"/>
        <v>-0.26380000000074055</v>
      </c>
      <c r="R39" s="61">
        <f>+'사업장별(당월)'!R39+'[4]사업장별(누계)'!R39</f>
        <v>-18.269899999991065</v>
      </c>
      <c r="S39" s="62">
        <f t="shared" si="5"/>
        <v>33.936099999990319</v>
      </c>
      <c r="T39" s="46">
        <f>+'사업장별(당월)'!T39+'[4]사업장별(누계)'!T39</f>
        <v>-553.36483500000611</v>
      </c>
      <c r="U39" s="47">
        <f>+'사업장별(당월)'!U39+'[4]사업장별(누계)'!U39</f>
        <v>-199.43228099999985</v>
      </c>
      <c r="V39" s="49">
        <f t="shared" si="6"/>
        <v>353.93255400000623</v>
      </c>
      <c r="W39" s="61">
        <f>+'사업장별(당월)'!W39+'[4]사업장별(누계)'!W39</f>
        <v>-209.17537499999162</v>
      </c>
      <c r="X39" s="60">
        <f t="shared" si="7"/>
        <v>9.7430939999917712</v>
      </c>
      <c r="Y39" s="595"/>
      <c r="Z39" s="799"/>
      <c r="AA39" s="587"/>
      <c r="AB39" s="587"/>
      <c r="AC39" s="587"/>
      <c r="AD39" s="587"/>
      <c r="AE39" s="587"/>
      <c r="AF39" s="587"/>
      <c r="AG39" s="51"/>
      <c r="AH39" s="18"/>
      <c r="AI39" s="19">
        <v>118774940</v>
      </c>
      <c r="AJ39" s="8">
        <v>-63907430</v>
      </c>
    </row>
    <row r="40" spans="2:39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21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22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6"/>
      <c r="Z40" s="587"/>
      <c r="AA40" s="587"/>
      <c r="AB40" s="587"/>
      <c r="AC40" s="587"/>
      <c r="AD40" s="587"/>
      <c r="AE40" s="587"/>
      <c r="AF40" s="587"/>
      <c r="AG40" s="51"/>
      <c r="AH40" s="31"/>
      <c r="AI40" s="8">
        <v>173503008</v>
      </c>
      <c r="AJ40" s="8">
        <v>-310726527</v>
      </c>
    </row>
    <row r="41" spans="2:39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21"/>
        <v>0</v>
      </c>
      <c r="O41" s="148">
        <f>SUM(O33:O40)</f>
        <v>1484.7675030000003</v>
      </c>
      <c r="P41" s="149">
        <f>SUM(P33:P40)</f>
        <v>1489.8753409999995</v>
      </c>
      <c r="Q41" s="153">
        <f t="shared" si="4"/>
        <v>5.1078379999992194</v>
      </c>
      <c r="R41" s="154">
        <f>SUM(R33:R40)</f>
        <v>1769.7096150000091</v>
      </c>
      <c r="S41" s="155">
        <f>+P41-R41</f>
        <v>-279.8342740000096</v>
      </c>
      <c r="T41" s="148">
        <f>SUM(T33:T40)</f>
        <v>-10859.266818206866</v>
      </c>
      <c r="U41" s="149">
        <f>SUM(U33:U40)</f>
        <v>-12344.461119357486</v>
      </c>
      <c r="V41" s="153">
        <f>+U41-T41</f>
        <v>-1485.1943011506191</v>
      </c>
      <c r="W41" s="154">
        <f>SUM(W33:W40)</f>
        <v>-11799.74457099999</v>
      </c>
      <c r="X41" s="155">
        <f>+U41-W41</f>
        <v>-544.71654835749541</v>
      </c>
      <c r="Y41" s="787"/>
      <c r="Z41" s="589"/>
      <c r="AA41" s="589"/>
      <c r="AB41" s="589"/>
      <c r="AC41" s="589"/>
      <c r="AD41" s="589"/>
      <c r="AE41" s="589"/>
      <c r="AF41" s="589"/>
      <c r="AG41" s="590"/>
      <c r="AH41" s="26"/>
      <c r="AI41" s="3">
        <v>786272300</v>
      </c>
    </row>
    <row r="42" spans="2:39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 x14ac:dyDescent="0.3">
      <c r="G43" s="797">
        <f>+P43/O43</f>
        <v>0.98121210754517385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355016.37055366492</v>
      </c>
      <c r="P43" s="642">
        <f>+P27+P32+P28+P41</f>
        <v>348346.36116399994</v>
      </c>
      <c r="Q43" s="643">
        <f t="shared" si="4"/>
        <v>-6670.0093896649778</v>
      </c>
      <c r="R43" s="644">
        <f>+R27+R32+R28+R41</f>
        <v>372841.73754099995</v>
      </c>
      <c r="S43" s="645">
        <f>+P43-R43</f>
        <v>-24495.376377000008</v>
      </c>
      <c r="T43" s="641">
        <f>+T27+T32+T28+T41</f>
        <v>27949.293013043178</v>
      </c>
      <c r="U43" s="642">
        <f>+U27+U32+U28+U41</f>
        <v>16372.865151011563</v>
      </c>
      <c r="V43" s="643">
        <f>+U43-T43</f>
        <v>-11576.427862031614</v>
      </c>
      <c r="W43" s="644">
        <f>+W27+W32+W28+W41</f>
        <v>31465.862982020015</v>
      </c>
      <c r="X43" s="645">
        <f>+U43-W43</f>
        <v>-15092.997831008452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  <c r="AI43" s="785">
        <f>SUM(AI39:AI42)</f>
        <v>1173607738</v>
      </c>
      <c r="AJ43" s="3">
        <f>SUM(AJ39:AJ42)</f>
        <v>-374633957</v>
      </c>
      <c r="AK43" s="785">
        <f>SUM(AI43:AJ43)</f>
        <v>798973781</v>
      </c>
    </row>
    <row r="44" spans="2:39" s="34" customFormat="1" x14ac:dyDescent="0.3">
      <c r="G44" s="794">
        <f>+U43/T43</f>
        <v>0.58580605754037463</v>
      </c>
      <c r="P44" s="661">
        <f>+P43/O43</f>
        <v>0.98121210754517385</v>
      </c>
      <c r="T44" s="788">
        <f>+T43/O43</f>
        <v>7.8726772428704975E-2</v>
      </c>
      <c r="U44" s="788">
        <f>+U43/P43</f>
        <v>4.7001682739850094E-2</v>
      </c>
      <c r="AC44" s="35"/>
      <c r="AF44" s="35"/>
    </row>
    <row r="45" spans="2:39" s="34" customFormat="1" ht="17.25" thickBot="1" x14ac:dyDescent="0.35">
      <c r="G45" s="798"/>
      <c r="AC45" s="35"/>
      <c r="AF45" s="35"/>
    </row>
    <row r="46" spans="2:39" s="34" customFormat="1" x14ac:dyDescent="0.3">
      <c r="G46" s="798"/>
      <c r="I46" s="834" t="s">
        <v>101</v>
      </c>
      <c r="J46" s="138">
        <f>+'사업장별(당월)'!J46+'[4]사업장별(누계)'!J46</f>
        <v>2551.5</v>
      </c>
      <c r="K46" s="139">
        <f>+'사업장별(당월)'!K46+'[4]사업장별(누계)'!K46</f>
        <v>2528.7134999999998</v>
      </c>
      <c r="L46" s="139"/>
      <c r="M46" s="139">
        <f>+'사업장별(당월)'!M46+'[4]사업장별(누계)'!M46</f>
        <v>2850.0050000000001</v>
      </c>
      <c r="N46" s="139"/>
      <c r="O46" s="139">
        <f>+'사업장별(당월)'!O46+'[4]사업장별(누계)'!O46</f>
        <v>355016.37055366492</v>
      </c>
      <c r="P46" s="139">
        <f>+'사업장별(당월)'!P46+'[4]사업장별(누계)'!P46</f>
        <v>348346.361164</v>
      </c>
      <c r="Q46" s="139"/>
      <c r="R46" s="139">
        <f>+'사업장별(당월)'!R46+'[4]사업장별(누계)'!R46</f>
        <v>372841.73754100007</v>
      </c>
      <c r="S46" s="139"/>
      <c r="T46" s="144">
        <f>+'사업장별(당월)'!T46+'[4]사업장별(누계)'!T46</f>
        <v>27949.29301304316</v>
      </c>
      <c r="U46" s="139">
        <f>+'사업장별(당월)'!U46+'[4]사업장별(누계)'!U46</f>
        <v>16372.865151011556</v>
      </c>
      <c r="V46" s="139"/>
      <c r="W46" s="139">
        <f>+'사업장별(당월)'!W46+'[4]사업장별(누계)'!W46</f>
        <v>31465.862982020008</v>
      </c>
      <c r="X46" s="140"/>
      <c r="AC46" s="35"/>
      <c r="AF46" s="35"/>
    </row>
    <row r="47" spans="2:39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Z47" s="34" t="s">
        <v>216</v>
      </c>
      <c r="AC47" s="35"/>
      <c r="AF47" s="35"/>
      <c r="AG47" s="34" t="s">
        <v>102</v>
      </c>
    </row>
    <row r="48" spans="2:39" x14ac:dyDescent="0.3">
      <c r="T48" s="658"/>
      <c r="U48" s="658"/>
      <c r="V48" s="658"/>
      <c r="Z48" t="s">
        <v>217</v>
      </c>
    </row>
    <row r="49" spans="10:33" x14ac:dyDescent="0.3">
      <c r="P49" s="803"/>
      <c r="T49" s="658"/>
      <c r="U49" s="658"/>
      <c r="V49" s="658"/>
      <c r="Z49" t="s">
        <v>218</v>
      </c>
    </row>
    <row r="50" spans="10:33" x14ac:dyDescent="0.3">
      <c r="S50" t="s">
        <v>229</v>
      </c>
      <c r="T50" s="598">
        <f>(+T27+T35)/100</f>
        <v>241.96241203237227</v>
      </c>
      <c r="U50" s="598">
        <f>(+U27+U35)/100</f>
        <v>152.40026648652514</v>
      </c>
      <c r="V50" s="598">
        <f>+U50-T50</f>
        <v>-89.56214554584713</v>
      </c>
      <c r="W50" s="597">
        <f>+U50/T50-1</f>
        <v>-0.37014900287018371</v>
      </c>
    </row>
    <row r="51" spans="10:33" x14ac:dyDescent="0.3">
      <c r="S51" t="s">
        <v>230</v>
      </c>
      <c r="T51" s="6">
        <f>+T28/100</f>
        <v>8.3987082103158937</v>
      </c>
      <c r="U51" s="6">
        <f>+U28/100</f>
        <v>4.3949837000000063</v>
      </c>
      <c r="V51" s="598">
        <f t="shared" ref="V51:V54" si="23">+U51-T51</f>
        <v>-4.0037245103158874</v>
      </c>
    </row>
    <row r="52" spans="10:33" x14ac:dyDescent="0.3">
      <c r="S52" t="s">
        <v>231</v>
      </c>
      <c r="T52" s="6">
        <f>+T32/100</f>
        <v>12.139154037745049</v>
      </c>
      <c r="U52" s="6">
        <f>+U32/100</f>
        <v>1.4596259835904737</v>
      </c>
      <c r="V52" s="598">
        <f t="shared" si="23"/>
        <v>-10.679528054154575</v>
      </c>
    </row>
    <row r="53" spans="10:33" x14ac:dyDescent="0.3">
      <c r="S53" t="s">
        <v>232</v>
      </c>
      <c r="T53" s="6">
        <f>(T33+T34)/100</f>
        <v>11.94566425</v>
      </c>
      <c r="U53" s="6">
        <f>(U33+U34)/100</f>
        <v>11.601895509999999</v>
      </c>
      <c r="V53" s="598">
        <f t="shared" si="23"/>
        <v>-0.34376874000000157</v>
      </c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233</v>
      </c>
      <c r="T54" s="598">
        <f>(T46/100)-T50-T51-T52-T53</f>
        <v>5.0469915999983854</v>
      </c>
      <c r="U54" s="598">
        <f>(U46/100)-U50-U51-U52-U53</f>
        <v>-6.1281201700000647</v>
      </c>
      <c r="V54" s="598">
        <f t="shared" si="23"/>
        <v>-11.17511176999845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 t="s">
        <v>215</v>
      </c>
      <c r="T56" s="658">
        <f>+(T33+T34)/100</f>
        <v>11.94566425</v>
      </c>
      <c r="U56" s="658">
        <f>+(U33+U34)/100</f>
        <v>11.601895509999999</v>
      </c>
      <c r="V56" s="598">
        <f>+U56-T56</f>
        <v>-0.34376874000000157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 t="str">
        <f>+I36</f>
        <v>OPC 소급분</v>
      </c>
      <c r="T57" s="598">
        <f>+T36/100</f>
        <v>13.297000000000001</v>
      </c>
      <c r="U57" s="598">
        <f>+U36/100</f>
        <v>5</v>
      </c>
      <c r="V57" s="598">
        <f>+U57-T57</f>
        <v>-8.2970000000000006</v>
      </c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tr">
        <f t="shared" ref="S58:S60" si="24">+I37</f>
        <v>대손</v>
      </c>
      <c r="T58" s="598">
        <f t="shared" ref="T58:U58" si="25">+T37/100</f>
        <v>0</v>
      </c>
      <c r="U58" s="598">
        <f t="shared" si="25"/>
        <v>-5.7385933299999996</v>
      </c>
      <c r="V58" s="598">
        <f t="shared" ref="V58:V60" si="26">+U58-T58</f>
        <v>-5.7385933299999996</v>
      </c>
    </row>
    <row r="59" spans="10:33" x14ac:dyDescent="0.3">
      <c r="S59" s="598" t="str">
        <f t="shared" si="24"/>
        <v>미운영 공장</v>
      </c>
      <c r="T59" s="598">
        <f t="shared" ref="T59:U59" si="27">+T38/100</f>
        <v>-2.7163600500013674</v>
      </c>
      <c r="U59" s="598">
        <f t="shared" si="27"/>
        <v>-3.3952040299999999</v>
      </c>
      <c r="V59" s="598">
        <f t="shared" si="26"/>
        <v>-0.67884397999863255</v>
      </c>
    </row>
    <row r="60" spans="10:33" x14ac:dyDescent="0.3">
      <c r="S60" s="598" t="str">
        <f t="shared" si="24"/>
        <v>기타</v>
      </c>
      <c r="T60" s="598">
        <f t="shared" ref="T60:U60" si="28">+T39/100</f>
        <v>-5.5336483500000613</v>
      </c>
      <c r="U60" s="598">
        <f t="shared" si="28"/>
        <v>-1.9943228099999986</v>
      </c>
      <c r="V60" s="598">
        <f t="shared" si="26"/>
        <v>3.5393255400000627</v>
      </c>
    </row>
    <row r="61" spans="10:33" x14ac:dyDescent="0.3">
      <c r="T61" s="6">
        <f>SUM(T56:T60)</f>
        <v>16.992655849998574</v>
      </c>
      <c r="U61" s="6">
        <f t="shared" ref="U61:V61" si="29">SUM(U56:U60)</f>
        <v>5.4737753399999995</v>
      </c>
      <c r="V61" s="6">
        <f t="shared" si="29"/>
        <v>-11.518880509998572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0AB-6E4F-4ABC-909D-7025C62FF76C}">
  <sheetPr>
    <tabColor rgb="FF008000"/>
    <pageSetUpPr fitToPage="1"/>
  </sheetPr>
  <dimension ref="A1:AL75"/>
  <sheetViews>
    <sheetView showGridLines="0" showZeros="0" view="pageBreakPreview" topLeftCell="E16" zoomScale="85" zoomScaleNormal="85" zoomScaleSheetLayoutView="85" workbookViewId="0">
      <selection activeCell="T39" sqref="A39:XFD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241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+IFERROR(HLOOKUP($B7,'[1]9월'!$D$6:$BN$259,2,),)/1000</f>
        <v>44</v>
      </c>
      <c r="K7" s="37">
        <f>+IFERROR(HLOOKUP($B7,'[2]9월'!$F$6:$CP$99,2,),)/1000</f>
        <v>28.4</v>
      </c>
      <c r="L7" s="38">
        <f t="shared" ref="L7:L32" si="0">+K7-J7</f>
        <v>-15.600000000000001</v>
      </c>
      <c r="M7" s="39">
        <f>+IFERROR(HLOOKUP($B7,'[3]9월'!$F$6:$CC$57,2,),)/1000</f>
        <v>48.183999999999997</v>
      </c>
      <c r="N7" s="40">
        <f>+K7-M7</f>
        <v>-19.783999999999999</v>
      </c>
      <c r="O7" s="36">
        <f>+IFERROR(HLOOKUP($B7,'[1]9월'!$D$6:$BN$259,3,),)/1000</f>
        <v>4453.4734000000008</v>
      </c>
      <c r="P7" s="37">
        <f>+IFERROR(HLOOKUP($B7,'[2]9월'!$F$6:$CP$99,3,),)/1000</f>
        <v>2850.383918</v>
      </c>
      <c r="Q7" s="38">
        <f>+P7-O7</f>
        <v>-1603.0894820000008</v>
      </c>
      <c r="R7" s="39">
        <f>+IFERROR(HLOOKUP($B7,'[3]9월'!$F$6:$CC$57,3,),)/1000</f>
        <v>4539.9433410000001</v>
      </c>
      <c r="S7" s="40">
        <f>+P7-R7</f>
        <v>-1689.5594230000002</v>
      </c>
      <c r="T7" s="36">
        <f>+IFERROR(HLOOKUP($B7,'[1]9월'!$D$6:$BN$259,16,),)/1000</f>
        <v>678.99607462332369</v>
      </c>
      <c r="U7" s="37">
        <f>+IFERROR(HLOOKUP($B7,'[2]9월'!$F$6:$CP$99,16,),)/1000</f>
        <v>202.03240100000005</v>
      </c>
      <c r="V7" s="41">
        <f>+U7-T7</f>
        <v>-476.96367362332364</v>
      </c>
      <c r="W7" s="42">
        <f>+IFERROR(HLOOKUP($B7,'[3]9월'!$F$6:$CC$57,16,),)/1000</f>
        <v>655.90449799999976</v>
      </c>
      <c r="X7" s="40">
        <f>+U7-W7</f>
        <v>-453.87209699999971</v>
      </c>
      <c r="Y7" s="36">
        <f>+[5]안양!$Q$85</f>
        <v>101215.30454545456</v>
      </c>
      <c r="Z7" s="37">
        <f>+[5]안양!$R$85</f>
        <v>100365.63091549296</v>
      </c>
      <c r="AA7" s="43">
        <f>+[6]안양!$Q$85</f>
        <v>94220.972542752774</v>
      </c>
      <c r="AB7" s="44">
        <f>+[5]안양!$Q$89</f>
        <v>78752.533490250556</v>
      </c>
      <c r="AC7" s="37">
        <f>+[5]안양!$R$89</f>
        <v>81650.506932226053</v>
      </c>
      <c r="AD7" s="45">
        <f>+[6]안양!$Q$89</f>
        <v>74023.093970453978</v>
      </c>
      <c r="AE7" s="44">
        <f>+Y7-AB7</f>
        <v>22462.771055204008</v>
      </c>
      <c r="AF7" s="37">
        <f>+Z7-AC7</f>
        <v>18715.123983266909</v>
      </c>
      <c r="AG7" s="45">
        <f>+AA7-AD7</f>
        <v>20197.878572298796</v>
      </c>
      <c r="AH7" s="18"/>
      <c r="AI7" s="19"/>
    </row>
    <row r="8" spans="2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+IFERROR(HLOOKUP($B8,'[1]9월'!$D$6:$BN$259,2,),)/1000</f>
        <v>30</v>
      </c>
      <c r="K8" s="47">
        <f>+IFERROR(HLOOKUP($B8,'[2]9월'!$F$6:$CP$99,2,),)/1000</f>
        <v>18.327000000000002</v>
      </c>
      <c r="L8" s="48">
        <f t="shared" si="0"/>
        <v>-11.672999999999998</v>
      </c>
      <c r="M8" s="49">
        <f>+IFERROR(HLOOKUP($B8,'[3]9월'!$F$6:$CC$57,2,),)/1000</f>
        <v>34.957000000000001</v>
      </c>
      <c r="N8" s="50">
        <f t="shared" ref="N8:N32" si="2">+K8-M8</f>
        <v>-16.63</v>
      </c>
      <c r="O8" s="46">
        <f>+IFERROR(HLOOKUP($B8,'[1]9월'!$D$6:$BN$259,3,),)/1000</f>
        <v>3105.3788305695998</v>
      </c>
      <c r="P8" s="47">
        <f>+IFERROR(HLOOKUP($B8,'[2]9월'!$F$6:$CP$99,3,),)/1000</f>
        <v>1795.8146939999999</v>
      </c>
      <c r="Q8" s="48">
        <f t="shared" ref="Q8:Q42" si="3">+P8-O8</f>
        <v>-1309.5641365695999</v>
      </c>
      <c r="R8" s="49">
        <f>+IFERROR(HLOOKUP($B8,'[3]9월'!$F$6:$CC$57,3,),)/1000</f>
        <v>3521.222929</v>
      </c>
      <c r="S8" s="50">
        <f t="shared" ref="S8:S39" si="4">+P8-R8</f>
        <v>-1725.4082350000001</v>
      </c>
      <c r="T8" s="46">
        <f>+IFERROR(HLOOKUP($B8,'[1]9월'!$D$6:$BN$259,16,),)/1000</f>
        <v>369.08345560547104</v>
      </c>
      <c r="U8" s="47">
        <f>+IFERROR(HLOOKUP($B8,'[2]9월'!$F$6:$CP$99,16,),)/1000</f>
        <v>-68.397039999999976</v>
      </c>
      <c r="V8" s="48">
        <f t="shared" ref="V8:V39" si="5">+U8-T8</f>
        <v>-437.48049560547099</v>
      </c>
      <c r="W8" s="49">
        <f>+IFERROR(HLOOKUP($B8,'[3]9월'!$F$6:$CC$57,16,),)/1000</f>
        <v>373.48537899999991</v>
      </c>
      <c r="X8" s="50">
        <f t="shared" ref="X8:X38" si="6">+U8-W8</f>
        <v>-441.88241899999991</v>
      </c>
      <c r="Y8" s="46">
        <f>+[5]인천!$Q$85</f>
        <v>103512.62768565332</v>
      </c>
      <c r="Z8" s="47">
        <f>+[5]인천!$R$85</f>
        <v>97987.378949091493</v>
      </c>
      <c r="AA8" s="51">
        <f>+[6]인천!$Q$85</f>
        <v>100716.90576159132</v>
      </c>
      <c r="AB8" s="52">
        <f>+[5]인천!$Q$89</f>
        <v>80746.877933011492</v>
      </c>
      <c r="AC8" s="47">
        <f>+[5]인천!$R$89</f>
        <v>82653.876515027994</v>
      </c>
      <c r="AD8" s="53">
        <f>+[6]인천!$Q$89</f>
        <v>79628.744877553981</v>
      </c>
      <c r="AE8" s="52">
        <f t="shared" ref="AE8:AG27" si="7">+Y8-AB8</f>
        <v>22765.74975264183</v>
      </c>
      <c r="AF8" s="47">
        <f t="shared" si="7"/>
        <v>15333.502434063499</v>
      </c>
      <c r="AG8" s="53">
        <f t="shared" si="7"/>
        <v>21088.160884037337</v>
      </c>
      <c r="AH8" s="18"/>
      <c r="AI8" s="19"/>
      <c r="AJ8" s="96"/>
    </row>
    <row r="9" spans="2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+IFERROR(HLOOKUP($B9,'[1]9월'!$D$6:$BN$259,2,),)/1000</f>
        <v>24</v>
      </c>
      <c r="K9" s="47">
        <f>+IFERROR(HLOOKUP($B9,'[2]9월'!$F$6:$CP$99,2,),)/1000</f>
        <v>19.107800000000001</v>
      </c>
      <c r="L9" s="48">
        <f t="shared" si="0"/>
        <v>-4.892199999999999</v>
      </c>
      <c r="M9" s="49">
        <f>+IFERROR(HLOOKUP($B9,'[3]9월'!$F$6:$CC$57,2,),)/1000</f>
        <v>29.376999999999999</v>
      </c>
      <c r="N9" s="50">
        <f t="shared" si="2"/>
        <v>-10.269199999999998</v>
      </c>
      <c r="O9" s="46">
        <f>+IFERROR(HLOOKUP($B9,'[1]9월'!$D$6:$BN$259,3,),)/1000</f>
        <v>2390.1945134890852</v>
      </c>
      <c r="P9" s="47">
        <f>+IFERROR(HLOOKUP($B9,'[2]9월'!$F$6:$CP$99,3,),)/1000</f>
        <v>1803.3963000000001</v>
      </c>
      <c r="Q9" s="48">
        <f t="shared" si="3"/>
        <v>-586.79821348908513</v>
      </c>
      <c r="R9" s="49">
        <f>+IFERROR(HLOOKUP($B9,'[3]9월'!$F$6:$CC$57,3,),)/1000</f>
        <v>2809.7129649999997</v>
      </c>
      <c r="S9" s="50">
        <f t="shared" si="4"/>
        <v>-1006.3166649999996</v>
      </c>
      <c r="T9" s="46">
        <f>+IFERROR(HLOOKUP($B9,'[1]9월'!$D$6:$BN$259,16,),)/1000</f>
        <v>326.54742043214338</v>
      </c>
      <c r="U9" s="47">
        <f>+IFERROR(HLOOKUP($B9,'[2]9월'!$F$6:$CP$99,16,),)/1000</f>
        <v>106.24982999999987</v>
      </c>
      <c r="V9" s="48">
        <f t="shared" si="5"/>
        <v>-220.29759043214352</v>
      </c>
      <c r="W9" s="49">
        <f>+IFERROR(HLOOKUP($B9,'[3]9월'!$F$6:$CC$57,16,),)/1000</f>
        <v>369.05486699999983</v>
      </c>
      <c r="X9" s="50">
        <f t="shared" si="6"/>
        <v>-262.80503699999997</v>
      </c>
      <c r="Y9" s="46">
        <f>+[5]파주!$Q$85</f>
        <v>99591.438062045214</v>
      </c>
      <c r="Z9" s="47">
        <f>+[5]파주!$R$85</f>
        <v>94365.024402070238</v>
      </c>
      <c r="AA9" s="51">
        <f>+[6]파주!$Q$85</f>
        <v>95605.395566295425</v>
      </c>
      <c r="AB9" s="52">
        <f>+[5]파주!$Q$89</f>
        <v>76823.00654036738</v>
      </c>
      <c r="AC9" s="47">
        <f>+[5]파주!$R$89</f>
        <v>75826.43403008359</v>
      </c>
      <c r="AD9" s="53">
        <f>+[6]파주!$Q$89</f>
        <v>74000.888456958754</v>
      </c>
      <c r="AE9" s="52">
        <f t="shared" si="7"/>
        <v>22768.431521677834</v>
      </c>
      <c r="AF9" s="47">
        <f t="shared" si="7"/>
        <v>18538.590371986647</v>
      </c>
      <c r="AG9" s="53">
        <f t="shared" si="7"/>
        <v>21604.507109336671</v>
      </c>
      <c r="AH9" s="18"/>
      <c r="AI9" s="19"/>
      <c r="AJ9" s="96"/>
    </row>
    <row r="10" spans="2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+IFERROR(HLOOKUP($B10,'[1]9월'!$D$6:$BN$259,2,),)/1000</f>
        <v>16.5</v>
      </c>
      <c r="K10" s="47">
        <f>+IFERROR(HLOOKUP($B10,'[2]9월'!$F$6:$CP$99,2,),)/1000</f>
        <v>9.8000000000000007</v>
      </c>
      <c r="L10" s="48">
        <f t="shared" si="0"/>
        <v>-6.6999999999999993</v>
      </c>
      <c r="M10" s="49">
        <f>+IFERROR(HLOOKUP($B10,'[3]9월'!$F$6:$CC$57,2,),)/1000</f>
        <v>17.310500000000001</v>
      </c>
      <c r="N10" s="50">
        <f t="shared" si="2"/>
        <v>-7.5105000000000004</v>
      </c>
      <c r="O10" s="46">
        <f>+IFERROR(HLOOKUP($B10,'[1]9월'!$D$6:$BN$259,3,),)/1000</f>
        <v>1599.1790000000001</v>
      </c>
      <c r="P10" s="47">
        <f>+IFERROR(HLOOKUP($B10,'[2]9월'!$F$6:$CP$99,3,),)/1000</f>
        <v>943.50309400000003</v>
      </c>
      <c r="Q10" s="48">
        <f t="shared" si="3"/>
        <v>-655.67590600000005</v>
      </c>
      <c r="R10" s="49">
        <f>+IFERROR(HLOOKUP($B10,'[3]9월'!$F$6:$CC$57,3,),)/1000</f>
        <v>1606.57664</v>
      </c>
      <c r="S10" s="50">
        <f t="shared" si="4"/>
        <v>-663.07354599999996</v>
      </c>
      <c r="T10" s="46">
        <f>+IFERROR(HLOOKUP($B10,'[1]9월'!$D$6:$BN$259,16,),)/1000</f>
        <v>247.00640791669758</v>
      </c>
      <c r="U10" s="47">
        <f>+IFERROR(HLOOKUP($B10,'[2]9월'!$F$6:$CP$99,16,),)/1000</f>
        <v>29.041857000000117</v>
      </c>
      <c r="V10" s="48">
        <f t="shared" si="5"/>
        <v>-217.96455091669748</v>
      </c>
      <c r="W10" s="49">
        <f>+IFERROR(HLOOKUP($B10,'[3]9월'!$F$6:$CC$57,16,),)/1000</f>
        <v>190.04047099999997</v>
      </c>
      <c r="X10" s="50">
        <f t="shared" si="6"/>
        <v>-160.99861399999986</v>
      </c>
      <c r="Y10" s="46">
        <f>+[5]김포!$Q$85</f>
        <v>96919.939393939392</v>
      </c>
      <c r="Z10" s="47">
        <f>+[5]김포!$R$85</f>
        <v>96275.825918367351</v>
      </c>
      <c r="AA10" s="51">
        <f>+[6]김포!$Q$85</f>
        <v>92784.692443390493</v>
      </c>
      <c r="AB10" s="52">
        <f>+[5]김포!$Q$89</f>
        <v>71987.752422557052</v>
      </c>
      <c r="AC10" s="47">
        <f>+[5]김포!$R$89</f>
        <v>74300.021428571432</v>
      </c>
      <c r="AD10" s="53">
        <f>+[6]김포!$Q$89</f>
        <v>70716.173277480862</v>
      </c>
      <c r="AE10" s="52">
        <f t="shared" si="7"/>
        <v>24932.18697138234</v>
      </c>
      <c r="AF10" s="47">
        <f t="shared" si="7"/>
        <v>21975.804489795919</v>
      </c>
      <c r="AG10" s="53">
        <f t="shared" si="7"/>
        <v>22068.519165909631</v>
      </c>
      <c r="AH10" s="18"/>
      <c r="AI10" s="19"/>
      <c r="AJ10" s="96"/>
    </row>
    <row r="11" spans="2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+IFERROR(HLOOKUP($B11,'[1]9월'!$D$6:$BN$259,2,),)/1000</f>
        <v>21</v>
      </c>
      <c r="K11" s="64">
        <f>+IFERROR(HLOOKUP($B11,'[2]9월'!$F$6:$CP$99,2,),)/1000</f>
        <v>15.516999999999999</v>
      </c>
      <c r="L11" s="65">
        <f t="shared" si="0"/>
        <v>-5.4830000000000005</v>
      </c>
      <c r="M11" s="66">
        <f>+IFERROR(HLOOKUP($B11,'[3]9월'!$F$6:$CC$57,2,),)/1000</f>
        <v>19.603000000000002</v>
      </c>
      <c r="N11" s="67">
        <f t="shared" si="2"/>
        <v>-4.0860000000000021</v>
      </c>
      <c r="O11" s="63">
        <f>+IFERROR(HLOOKUP($B11,'[1]9월'!$D$6:$BN$259,3,),)/1000</f>
        <v>2259.6007849999996</v>
      </c>
      <c r="P11" s="64">
        <f>+IFERROR(HLOOKUP($B11,'[2]9월'!$F$6:$CP$99,3,),)/1000</f>
        <v>1769.7428</v>
      </c>
      <c r="Q11" s="65">
        <f t="shared" si="3"/>
        <v>-489.85798499999964</v>
      </c>
      <c r="R11" s="66">
        <f>+IFERROR(HLOOKUP($B11,'[3]9월'!$F$6:$CC$57,3,),)/1000</f>
        <v>2103.7885699999997</v>
      </c>
      <c r="S11" s="67">
        <f t="shared" si="4"/>
        <v>-334.04576999999972</v>
      </c>
      <c r="T11" s="63">
        <f>+IFERROR(HLOOKUP($B11,'[1]9월'!$D$6:$BN$259,16,),)/1000</f>
        <v>359.59565185733419</v>
      </c>
      <c r="U11" s="64">
        <f>+IFERROR(HLOOKUP($B11,'[2]9월'!$F$6:$CP$99,16,),)/1000</f>
        <v>167.22155100000009</v>
      </c>
      <c r="V11" s="65">
        <f t="shared" si="5"/>
        <v>-192.3741008573341</v>
      </c>
      <c r="W11" s="66">
        <f>+IFERROR(HLOOKUP($B11,'[3]9월'!$F$6:$CC$57,16,),)/1000</f>
        <v>197.24958699999974</v>
      </c>
      <c r="X11" s="67">
        <f t="shared" si="6"/>
        <v>-30.028035999999645</v>
      </c>
      <c r="Y11" s="63">
        <f>+[5]부산!$Q$85</f>
        <v>107600.03738095237</v>
      </c>
      <c r="Z11" s="64">
        <f>+[5]부산!$R$85</f>
        <v>114051.86569568861</v>
      </c>
      <c r="AA11" s="68">
        <f>+[6]부산!$Q$85</f>
        <v>107319.72504208538</v>
      </c>
      <c r="AB11" s="69">
        <f>+[5]부산!$Q$89</f>
        <v>77875.477252162149</v>
      </c>
      <c r="AC11" s="64">
        <f>+[5]부산!$R$89</f>
        <v>84631.159309636845</v>
      </c>
      <c r="AD11" s="70">
        <f>+[6]부산!$Q$89</f>
        <v>82938.800642758768</v>
      </c>
      <c r="AE11" s="69">
        <f t="shared" si="7"/>
        <v>29724.560128790225</v>
      </c>
      <c r="AF11" s="64">
        <f t="shared" si="7"/>
        <v>29420.706386051766</v>
      </c>
      <c r="AG11" s="70">
        <f t="shared" si="7"/>
        <v>24380.924399326614</v>
      </c>
      <c r="AH11" s="18"/>
      <c r="AI11" s="19"/>
      <c r="AJ11" s="96"/>
    </row>
    <row r="12" spans="2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+IFERROR(HLOOKUP($B12,'[1]9월'!$D$6:$BN$259,2,),)/1000</f>
        <v>19</v>
      </c>
      <c r="K12" s="47">
        <f>+IFERROR(HLOOKUP($B12,'[2]9월'!$F$6:$CP$99,2,),)/1000</f>
        <v>13.004</v>
      </c>
      <c r="L12" s="48">
        <f t="shared" si="0"/>
        <v>-5.9960000000000004</v>
      </c>
      <c r="M12" s="49">
        <f>+IFERROR(HLOOKUP($B12,'[3]9월'!$F$6:$CC$57,2,),)/1000</f>
        <v>23.901</v>
      </c>
      <c r="N12" s="50">
        <f t="shared" si="2"/>
        <v>-10.897</v>
      </c>
      <c r="O12" s="46">
        <f>+IFERROR(HLOOKUP($B12,'[1]9월'!$D$6:$BN$259,3,),)/1000</f>
        <v>1983.6418000000003</v>
      </c>
      <c r="P12" s="47">
        <f>+IFERROR(HLOOKUP($B12,'[2]9월'!$F$6:$CP$99,3,),)/1000</f>
        <v>1314.9703</v>
      </c>
      <c r="Q12" s="48">
        <f t="shared" si="3"/>
        <v>-668.67150000000038</v>
      </c>
      <c r="R12" s="49">
        <f>+IFERROR(HLOOKUP($B12,'[3]9월'!$F$6:$CC$57,3,),)/1000</f>
        <v>2410.5241919999999</v>
      </c>
      <c r="S12" s="50">
        <f t="shared" si="4"/>
        <v>-1095.5538919999999</v>
      </c>
      <c r="T12" s="46">
        <f>+IFERROR(HLOOKUP($B12,'[1]9월'!$D$6:$BN$259,16,),)/1000</f>
        <v>342.28746034410682</v>
      </c>
      <c r="U12" s="47">
        <f>+IFERROR(HLOOKUP($B12,'[2]9월'!$F$6:$CP$99,16,),)/1000</f>
        <v>84.673493999999977</v>
      </c>
      <c r="V12" s="48">
        <f t="shared" si="5"/>
        <v>-257.61396634410687</v>
      </c>
      <c r="W12" s="49">
        <f>+IFERROR(HLOOKUP($B12,'[3]9월'!$F$6:$CC$57,16,),)/1000</f>
        <v>353.41774899999979</v>
      </c>
      <c r="X12" s="50">
        <f t="shared" si="6"/>
        <v>-268.74425499999984</v>
      </c>
      <c r="Y12" s="46">
        <f>+[5]서부산!$Q$85</f>
        <v>104402.20000000001</v>
      </c>
      <c r="Z12" s="47">
        <f>+[5]서부산!$R$85</f>
        <v>101120.44755459859</v>
      </c>
      <c r="AA12" s="51">
        <f>+[6]서부산!$Q$85</f>
        <v>100854.5329484122</v>
      </c>
      <c r="AB12" s="52">
        <f>+[5]서부산!$Q$89</f>
        <v>76383.589151479769</v>
      </c>
      <c r="AC12" s="47">
        <f>+[5]서부산!$R$89</f>
        <v>78001.325745295646</v>
      </c>
      <c r="AD12" s="53">
        <f>+[6]서부산!$Q$89</f>
        <v>77345.656293135908</v>
      </c>
      <c r="AE12" s="52">
        <f t="shared" si="7"/>
        <v>28018.610848520242</v>
      </c>
      <c r="AF12" s="47">
        <f t="shared" si="7"/>
        <v>23119.121809302946</v>
      </c>
      <c r="AG12" s="53">
        <f t="shared" si="7"/>
        <v>23508.876655276297</v>
      </c>
      <c r="AH12" s="18"/>
      <c r="AI12" s="19"/>
      <c r="AJ12" s="96"/>
    </row>
    <row r="13" spans="2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+IFERROR(HLOOKUP($B13,'[1]9월'!$D$6:$BN$259,2,),)/1000</f>
        <v>12</v>
      </c>
      <c r="K13" s="47">
        <f>+IFERROR(HLOOKUP($B13,'[2]9월'!$F$6:$CP$99,2,),)/1000</f>
        <v>12.705</v>
      </c>
      <c r="L13" s="48">
        <f t="shared" si="0"/>
        <v>0.70500000000000007</v>
      </c>
      <c r="M13" s="49">
        <f>+IFERROR(HLOOKUP($B13,'[3]9월'!$F$6:$CC$57,2,),)/1000</f>
        <v>12.034000000000001</v>
      </c>
      <c r="N13" s="50">
        <f t="shared" si="2"/>
        <v>0.67099999999999937</v>
      </c>
      <c r="O13" s="46">
        <f>+IFERROR(HLOOKUP($B13,'[1]9월'!$D$6:$BN$259,3,),)/1000</f>
        <v>1211.9928</v>
      </c>
      <c r="P13" s="47">
        <f>+IFERROR(HLOOKUP($B13,'[2]9월'!$F$6:$CP$99,3,),)/1000</f>
        <v>1134.8287</v>
      </c>
      <c r="Q13" s="48">
        <f t="shared" si="3"/>
        <v>-77.164099999999962</v>
      </c>
      <c r="R13" s="49">
        <f>+IFERROR(HLOOKUP($B13,'[3]9월'!$F$6:$CC$57,3,),)/1000</f>
        <v>1216.4461980000001</v>
      </c>
      <c r="S13" s="50">
        <f t="shared" si="4"/>
        <v>-81.617498000000069</v>
      </c>
      <c r="T13" s="46">
        <f>+IFERROR(HLOOKUP($B13,'[1]9월'!$D$6:$BN$259,16,),)/1000</f>
        <v>152.0957459001518</v>
      </c>
      <c r="U13" s="47">
        <f>+IFERROR(HLOOKUP($B13,'[2]9월'!$F$6:$CP$99,16,),)/1000</f>
        <v>-2.7295230000000736</v>
      </c>
      <c r="V13" s="48">
        <f t="shared" si="5"/>
        <v>-154.82526890015188</v>
      </c>
      <c r="W13" s="49">
        <f>+IFERROR(HLOOKUP($B13,'[3]9월'!$F$6:$CC$57,16,),)/1000</f>
        <v>71.200624000000033</v>
      </c>
      <c r="X13" s="50">
        <f t="shared" si="6"/>
        <v>-73.930147000000105</v>
      </c>
      <c r="Y13" s="46">
        <f>+[5]김해!$Q$85</f>
        <v>100999.40000000001</v>
      </c>
      <c r="Z13" s="47">
        <f>+[5]김해!$R$85</f>
        <v>89286.80280145134</v>
      </c>
      <c r="AA13" s="51">
        <f>+[6]김해!$Q$85</f>
        <v>101199.27980576023</v>
      </c>
      <c r="AB13" s="52">
        <f>+[5]김해!$Q$89</f>
        <v>76642.297913006914</v>
      </c>
      <c r="AC13" s="47">
        <f>+[5]김해!$R$89</f>
        <v>75888.626991486133</v>
      </c>
      <c r="AD13" s="53">
        <f>+[6]김해!$Q$89</f>
        <v>81202.894172806424</v>
      </c>
      <c r="AE13" s="52">
        <f t="shared" si="7"/>
        <v>24357.102086993094</v>
      </c>
      <c r="AF13" s="47">
        <f t="shared" si="7"/>
        <v>13398.175809965207</v>
      </c>
      <c r="AG13" s="53">
        <f t="shared" si="7"/>
        <v>19996.38563295381</v>
      </c>
      <c r="AH13" s="18"/>
      <c r="AI13" s="19"/>
      <c r="AJ13" s="96"/>
    </row>
    <row r="14" spans="2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+IFERROR(HLOOKUP($B14,'[1]9월'!$D$6:$BN$259,2,),)/1000</f>
        <v>16</v>
      </c>
      <c r="K14" s="47">
        <f>+IFERROR(HLOOKUP($B14,'[2]9월'!$F$6:$CP$99,2,),)/1000</f>
        <v>16.975999999999999</v>
      </c>
      <c r="L14" s="48">
        <f t="shared" si="0"/>
        <v>0.97599999999999909</v>
      </c>
      <c r="M14" s="49">
        <f>+IFERROR(HLOOKUP($B14,'[3]9월'!$F$6:$CC$57,2,),)/1000</f>
        <v>18.981999999999999</v>
      </c>
      <c r="N14" s="50">
        <f t="shared" si="2"/>
        <v>-2.0060000000000002</v>
      </c>
      <c r="O14" s="46">
        <f>+IFERROR(HLOOKUP($B14,'[1]9월'!$D$6:$BN$259,3,),)/1000</f>
        <v>1664</v>
      </c>
      <c r="P14" s="47">
        <f>+IFERROR(HLOOKUP($B14,'[2]9월'!$F$6:$CP$99,3,),)/1000</f>
        <v>1722.9996999999998</v>
      </c>
      <c r="Q14" s="48">
        <f t="shared" si="3"/>
        <v>58.999699999999848</v>
      </c>
      <c r="R14" s="49">
        <f>+IFERROR(HLOOKUP($B14,'[3]9월'!$F$6:$CC$57,3,),)/1000</f>
        <v>1927.8981799999999</v>
      </c>
      <c r="S14" s="50">
        <f t="shared" si="4"/>
        <v>-204.89848000000006</v>
      </c>
      <c r="T14" s="46">
        <f>+IFERROR(HLOOKUP($B14,'[1]9월'!$D$6:$BN$259,16,),)/1000</f>
        <v>221.82233299038958</v>
      </c>
      <c r="U14" s="47">
        <f>+IFERROR(HLOOKUP($B14,'[2]9월'!$F$6:$CP$99,16,),)/1000</f>
        <v>103.54540100000021</v>
      </c>
      <c r="V14" s="48">
        <f t="shared" si="5"/>
        <v>-118.27693199038937</v>
      </c>
      <c r="W14" s="49">
        <f>+IFERROR(HLOOKUP($B14,'[3]9월'!$F$6:$CC$57,16,),)/1000</f>
        <v>219.38572700000012</v>
      </c>
      <c r="X14" s="50">
        <f t="shared" si="6"/>
        <v>-115.84032599999991</v>
      </c>
      <c r="Y14" s="46">
        <f>+[5]정관!$Q$85</f>
        <v>104000</v>
      </c>
      <c r="Z14" s="47">
        <f>+[5]정관!$R$85</f>
        <v>101496.21229971724</v>
      </c>
      <c r="AA14" s="51">
        <f>+[6]정관!$Q$85</f>
        <v>101564.54430513117</v>
      </c>
      <c r="AB14" s="52">
        <f>+[5]정관!$Q$89</f>
        <v>77926.100701989548</v>
      </c>
      <c r="AC14" s="47">
        <f>+[5]정관!$R$89</f>
        <v>81278.390233870014</v>
      </c>
      <c r="AD14" s="53">
        <f>+[6]정관!$Q$89</f>
        <v>78824.168738150416</v>
      </c>
      <c r="AE14" s="52">
        <f t="shared" si="7"/>
        <v>26073.899298010452</v>
      </c>
      <c r="AF14" s="47">
        <f t="shared" si="7"/>
        <v>20217.822065847227</v>
      </c>
      <c r="AG14" s="53">
        <f t="shared" si="7"/>
        <v>22740.375566980758</v>
      </c>
      <c r="AH14" s="18"/>
      <c r="AI14" s="19"/>
      <c r="AJ14" s="96"/>
    </row>
    <row r="15" spans="2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+IFERROR(HLOOKUP($B15,'[1]9월'!$D$6:$BN$259,2,),)/1000</f>
        <v>12</v>
      </c>
      <c r="K15" s="47">
        <f>+IFERROR(HLOOKUP($B15,'[2]9월'!$F$6:$CP$99,2,),)/1000</f>
        <v>12.518000000000001</v>
      </c>
      <c r="L15" s="48">
        <f t="shared" si="0"/>
        <v>0.51800000000000068</v>
      </c>
      <c r="M15" s="49">
        <f>+IFERROR(HLOOKUP($B15,'[3]9월'!$F$6:$CC$57,2,),)/1000</f>
        <v>13.622</v>
      </c>
      <c r="N15" s="50">
        <f t="shared" si="2"/>
        <v>-1.1039999999999992</v>
      </c>
      <c r="O15" s="46">
        <f>+IFERROR(HLOOKUP($B15,'[1]9월'!$D$6:$BN$259,3,),)/1000</f>
        <v>1166.5218300000004</v>
      </c>
      <c r="P15" s="47">
        <f>+IFERROR(HLOOKUP($B15,'[2]9월'!$F$6:$CP$99,3,),)/1000</f>
        <v>1127.9968999999999</v>
      </c>
      <c r="Q15" s="48">
        <f t="shared" si="3"/>
        <v>-38.524930000000495</v>
      </c>
      <c r="R15" s="49">
        <f>+IFERROR(HLOOKUP($B15,'[3]9월'!$F$6:$CC$57,3,),)/1000</f>
        <v>1240.38024</v>
      </c>
      <c r="S15" s="50">
        <f t="shared" si="4"/>
        <v>-112.38334000000009</v>
      </c>
      <c r="T15" s="46">
        <f>+IFERROR(HLOOKUP($B15,'[1]9월'!$D$6:$BN$259,16,),)/1000</f>
        <v>189.63512175105879</v>
      </c>
      <c r="U15" s="47">
        <f>+IFERROR(HLOOKUP($B15,'[2]9월'!$F$6:$CP$99,16,),)/1000</f>
        <v>69.60220799999999</v>
      </c>
      <c r="V15" s="48">
        <f t="shared" si="5"/>
        <v>-120.0329137510588</v>
      </c>
      <c r="W15" s="49">
        <f>+IFERROR(HLOOKUP($B15,'[3]9월'!$F$6:$CC$57,16,),)/1000</f>
        <v>82.581045000000103</v>
      </c>
      <c r="X15" s="50">
        <f t="shared" si="6"/>
        <v>-12.978837000000112</v>
      </c>
      <c r="Y15" s="46">
        <f>+[5]양산!$Q$85</f>
        <v>97210.152500000026</v>
      </c>
      <c r="Z15" s="47">
        <f>+[5]양산!$R$85</f>
        <v>90109.993609202749</v>
      </c>
      <c r="AA15" s="51">
        <f>+[6]양산!$Q$85</f>
        <v>91057.131111437382</v>
      </c>
      <c r="AB15" s="52">
        <f>+[5]양산!$Q$89</f>
        <v>69380.455928152529</v>
      </c>
      <c r="AC15" s="47">
        <f>+[5]양산!$R$89</f>
        <v>71969.384805879527</v>
      </c>
      <c r="AD15" s="53">
        <f>+[6]양산!$Q$89</f>
        <v>72000.401115842018</v>
      </c>
      <c r="AE15" s="52">
        <f t="shared" si="7"/>
        <v>27829.696571847497</v>
      </c>
      <c r="AF15" s="47">
        <f t="shared" si="7"/>
        <v>18140.608803323223</v>
      </c>
      <c r="AG15" s="53">
        <f t="shared" si="7"/>
        <v>19056.729995595364</v>
      </c>
      <c r="AH15" s="18"/>
      <c r="AI15" s="19"/>
      <c r="AJ15" s="96"/>
    </row>
    <row r="16" spans="2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+IFERROR(HLOOKUP($B16,'[1]9월'!$D$6:$BN$259,2,),)/1000</f>
        <v>14</v>
      </c>
      <c r="K16" s="47">
        <f>+IFERROR(HLOOKUP($B16,'[2]9월'!$F$6:$CP$99,2,),)/1000</f>
        <v>14.952999999999999</v>
      </c>
      <c r="L16" s="48">
        <f t="shared" si="0"/>
        <v>0.9529999999999994</v>
      </c>
      <c r="M16" s="49">
        <f>+IFERROR(HLOOKUP($B16,'[3]9월'!$F$6:$CC$57,2,),)/1000</f>
        <v>20.125</v>
      </c>
      <c r="N16" s="50">
        <f t="shared" si="2"/>
        <v>-5.1720000000000006</v>
      </c>
      <c r="O16" s="46">
        <f>+IFERROR(HLOOKUP($B16,'[1]9월'!$D$6:$BN$259,3,),)/1000</f>
        <v>1423.73</v>
      </c>
      <c r="P16" s="47">
        <f>+IFERROR(HLOOKUP($B16,'[2]9월'!$F$6:$CP$99,3,),)/1000</f>
        <v>1507.3453999999999</v>
      </c>
      <c r="Q16" s="48">
        <f t="shared" si="3"/>
        <v>83.615399999999909</v>
      </c>
      <c r="R16" s="49">
        <f>+IFERROR(HLOOKUP($B16,'[3]9월'!$F$6:$CC$57,3,),)/1000</f>
        <v>1973.0211999999999</v>
      </c>
      <c r="S16" s="50">
        <f t="shared" si="4"/>
        <v>-465.67579999999998</v>
      </c>
      <c r="T16" s="46">
        <f>+IFERROR(HLOOKUP($B16,'[1]9월'!$D$6:$BN$259,16,),)/1000</f>
        <v>222.23827020808582</v>
      </c>
      <c r="U16" s="47">
        <f>+IFERROR(HLOOKUP($B16,'[2]9월'!$F$6:$CP$99,16,),)/1000</f>
        <v>152.25466699999993</v>
      </c>
      <c r="V16" s="48">
        <f t="shared" si="5"/>
        <v>-69.983603208085896</v>
      </c>
      <c r="W16" s="49">
        <f>+IFERROR(HLOOKUP($B16,'[3]9월'!$F$6:$CC$57,16,),)/1000</f>
        <v>324.44847399999981</v>
      </c>
      <c r="X16" s="50">
        <f t="shared" si="6"/>
        <v>-172.19380699999988</v>
      </c>
      <c r="Y16" s="46">
        <f>+[5]창원!$Q$85</f>
        <v>101695</v>
      </c>
      <c r="Z16" s="47">
        <f>+[5]창원!$R$85</f>
        <v>100805.5507256069</v>
      </c>
      <c r="AA16" s="51">
        <f>+[6]창원!$Q$85</f>
        <v>98038.320496894419</v>
      </c>
      <c r="AB16" s="52">
        <f>+[5]창원!$Q$89</f>
        <v>72711.105052101135</v>
      </c>
      <c r="AC16" s="47">
        <f>+[5]창원!$R$89</f>
        <v>74736.793486256938</v>
      </c>
      <c r="AD16" s="53">
        <f>+[6]창원!$Q$89</f>
        <v>71948.623304347828</v>
      </c>
      <c r="AE16" s="52">
        <f t="shared" si="7"/>
        <v>28983.894947898865</v>
      </c>
      <c r="AF16" s="47">
        <f t="shared" si="7"/>
        <v>26068.757239349958</v>
      </c>
      <c r="AG16" s="53">
        <f t="shared" si="7"/>
        <v>26089.697192546591</v>
      </c>
      <c r="AH16" s="18"/>
      <c r="AI16" s="19"/>
      <c r="AJ16" s="96"/>
    </row>
    <row r="17" spans="2:38" s="8" customFormat="1" ht="19.5" customHeight="1" x14ac:dyDescent="0.3">
      <c r="B17" s="8" t="s">
        <v>87</v>
      </c>
      <c r="G17" s="792" t="str">
        <f t="shared" si="1"/>
        <v>대구</v>
      </c>
      <c r="H17" s="80"/>
      <c r="I17" s="81" t="s">
        <v>87</v>
      </c>
      <c r="J17" s="46">
        <f>+IFERROR(HLOOKUP($B17,'[1]9월'!$D$6:$BN$259,2,),)/1000</f>
        <v>16</v>
      </c>
      <c r="K17" s="47">
        <f>+IFERROR(HLOOKUP($B17,'[2]9월'!$F$6:$CP$99,2,),)/1000</f>
        <v>14.191000000000001</v>
      </c>
      <c r="L17" s="48">
        <f t="shared" si="0"/>
        <v>-1.8089999999999993</v>
      </c>
      <c r="M17" s="49">
        <f>+IFERROR(HLOOKUP($B17,'[3]9월'!$F$6:$CC$57,2,),)/1000</f>
        <v>17.334</v>
      </c>
      <c r="N17" s="50">
        <f t="shared" si="2"/>
        <v>-3.1429999999999989</v>
      </c>
      <c r="O17" s="46">
        <f>+IFERROR(HLOOKUP($B17,'[1]9월'!$D$6:$BN$259,3,),)/1000</f>
        <v>1564.16</v>
      </c>
      <c r="P17" s="47">
        <f>+IFERROR(HLOOKUP($B17,'[2]9월'!$F$6:$CP$99,3,),)/1000</f>
        <v>1379.9727499999999</v>
      </c>
      <c r="Q17" s="48">
        <f t="shared" si="3"/>
        <v>-184.18725000000018</v>
      </c>
      <c r="R17" s="49">
        <f>+IFERROR(HLOOKUP($B17,'[3]9월'!$F$6:$CC$57,3,),)/1000</f>
        <v>1626.8375000000001</v>
      </c>
      <c r="S17" s="50">
        <f t="shared" si="4"/>
        <v>-246.86475000000019</v>
      </c>
      <c r="T17" s="46">
        <f>+IFERROR(HLOOKUP($B17,'[1]9월'!$D$6:$BN$259,16,),)/1000</f>
        <v>287.14697119302951</v>
      </c>
      <c r="U17" s="47">
        <f>+IFERROR(HLOOKUP($B17,'[2]9월'!$F$6:$CP$99,16,),)/1000</f>
        <v>137.65472400000007</v>
      </c>
      <c r="V17" s="48">
        <f t="shared" si="5"/>
        <v>-149.49224719302944</v>
      </c>
      <c r="W17" s="49">
        <f>+IFERROR(HLOOKUP($B17,'[3]9월'!$F$6:$CC$57,16,),)/1000</f>
        <v>218.3841800000001</v>
      </c>
      <c r="X17" s="50">
        <f t="shared" si="6"/>
        <v>-80.729456000000027</v>
      </c>
      <c r="Y17" s="46">
        <f>+[5]대구!$Q$85</f>
        <v>97760</v>
      </c>
      <c r="Z17" s="47">
        <f>+[5]대구!$R$85</f>
        <v>97242.812345853017</v>
      </c>
      <c r="AA17" s="51">
        <f>+[6]대구!$Q$85</f>
        <v>93852.399907695857</v>
      </c>
      <c r="AB17" s="52">
        <f>+[5]대구!$Q$89</f>
        <v>68963.293395768385</v>
      </c>
      <c r="AC17" s="47">
        <f>+[5]대구!$R$89</f>
        <v>72709.872242970901</v>
      </c>
      <c r="AD17" s="53">
        <f>+[6]대구!$Q$89</f>
        <v>70301.483500634597</v>
      </c>
      <c r="AE17" s="52">
        <f t="shared" si="7"/>
        <v>28796.706604231615</v>
      </c>
      <c r="AF17" s="47">
        <f t="shared" si="7"/>
        <v>24532.940102882116</v>
      </c>
      <c r="AG17" s="53">
        <f t="shared" si="7"/>
        <v>23550.916407061261</v>
      </c>
      <c r="AH17" s="18"/>
      <c r="AI17" s="19"/>
      <c r="AJ17" s="96"/>
    </row>
    <row r="18" spans="2:38" s="8" customFormat="1" ht="19.5" customHeight="1" x14ac:dyDescent="0.3">
      <c r="B18" s="8" t="s">
        <v>88</v>
      </c>
      <c r="G18" s="794" t="str">
        <f t="shared" si="1"/>
        <v>울산</v>
      </c>
      <c r="H18" s="80"/>
      <c r="I18" s="83" t="s">
        <v>88</v>
      </c>
      <c r="J18" s="10">
        <f>+IFERROR(HLOOKUP($B18,'[1]9월'!$D$6:$BN$259,2,),)/1000</f>
        <v>10</v>
      </c>
      <c r="K18" s="11">
        <f>+IFERROR(HLOOKUP($B18,'[2]9월'!$F$6:$CP$99,2,),)/1000</f>
        <v>11.98</v>
      </c>
      <c r="L18" s="12">
        <f t="shared" si="0"/>
        <v>1.9800000000000004</v>
      </c>
      <c r="M18" s="13">
        <f>+IFERROR(HLOOKUP($B18,'[3]9월'!$F$6:$CC$57,2,),)/1000</f>
        <v>7.2859999999999996</v>
      </c>
      <c r="N18" s="14">
        <f t="shared" si="2"/>
        <v>4.6940000000000008</v>
      </c>
      <c r="O18" s="10">
        <f>+IFERROR(HLOOKUP($B18,'[1]9월'!$D$6:$BN$259,3,),)/1000</f>
        <v>1012.462</v>
      </c>
      <c r="P18" s="11">
        <f>+IFERROR(HLOOKUP($B18,'[2]9월'!$F$6:$CP$99,3,),)/1000</f>
        <v>1176.1865500000001</v>
      </c>
      <c r="Q18" s="12">
        <f t="shared" si="3"/>
        <v>163.72455000000014</v>
      </c>
      <c r="R18" s="13">
        <f>+IFERROR(HLOOKUP($B18,'[3]9월'!$F$6:$CC$57,3,),)/1000</f>
        <v>718.74669999999992</v>
      </c>
      <c r="S18" s="14">
        <f t="shared" si="4"/>
        <v>457.43985000000021</v>
      </c>
      <c r="T18" s="10">
        <f>+IFERROR(HLOOKUP($B18,'[1]9월'!$D$6:$BN$259,16,),)/1000</f>
        <v>88.588790876298361</v>
      </c>
      <c r="U18" s="11">
        <f>+IFERROR(HLOOKUP($B18,'[2]9월'!$F$6:$CP$99,16,),)/1000</f>
        <v>78.459948000000068</v>
      </c>
      <c r="V18" s="12">
        <f t="shared" si="5"/>
        <v>-10.128842876298293</v>
      </c>
      <c r="W18" s="13">
        <f>+IFERROR(HLOOKUP($B18,'[3]9월'!$F$6:$CC$57,16,),)/1000</f>
        <v>-25.275581999999964</v>
      </c>
      <c r="X18" s="14">
        <f t="shared" si="6"/>
        <v>103.73553000000004</v>
      </c>
      <c r="Y18" s="10">
        <f>+[5]울산!$Q$85</f>
        <v>101246.2</v>
      </c>
      <c r="Z18" s="11">
        <f>+[5]울산!$R$85</f>
        <v>98179.177796327203</v>
      </c>
      <c r="AA18" s="15">
        <f>+[6]울산!$Q$85</f>
        <v>98714.521956642566</v>
      </c>
      <c r="AB18" s="16">
        <f>+[5]울산!$Q$89</f>
        <v>79194.379308254604</v>
      </c>
      <c r="AC18" s="11">
        <f>+[5]울산!$R$89</f>
        <v>78607.479048414025</v>
      </c>
      <c r="AD18" s="17">
        <f>+[6]울산!$Q$89</f>
        <v>82398.019872151213</v>
      </c>
      <c r="AE18" s="16">
        <f t="shared" si="7"/>
        <v>22051.820691745394</v>
      </c>
      <c r="AF18" s="11">
        <f t="shared" si="7"/>
        <v>19571.698747913179</v>
      </c>
      <c r="AG18" s="17">
        <f t="shared" si="7"/>
        <v>16316.502084491352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+IFERROR(HLOOKUP($B19,'[1]9월'!$D$6:$BN$259,2,),)/1000</f>
        <v>25</v>
      </c>
      <c r="K19" s="47">
        <f>+IFERROR(HLOOKUP($B19,'[2]9월'!$F$6:$CP$99,2,),)/1000</f>
        <v>23.352</v>
      </c>
      <c r="L19" s="48">
        <f t="shared" si="0"/>
        <v>-1.6479999999999997</v>
      </c>
      <c r="M19" s="49">
        <f>+IFERROR(HLOOKUP($B19,'[3]9월'!$F$6:$CC$57,2,),)/1000</f>
        <v>24.187999999999999</v>
      </c>
      <c r="N19" s="50">
        <f t="shared" si="2"/>
        <v>-0.83599999999999852</v>
      </c>
      <c r="O19" s="46">
        <f>+IFERROR(HLOOKUP($B19,'[1]9월'!$D$6:$BN$259,3,),)/1000</f>
        <v>2525.0034999999998</v>
      </c>
      <c r="P19" s="47">
        <f>+IFERROR(HLOOKUP($B19,'[2]9월'!$F$6:$CP$99,3,),)/1000</f>
        <v>2315.0377599999997</v>
      </c>
      <c r="Q19" s="48">
        <f t="shared" si="3"/>
        <v>-209.9657400000001</v>
      </c>
      <c r="R19" s="49">
        <f>+IFERROR(HLOOKUP($B19,'[3]9월'!$F$6:$CC$57,3,),)/1000</f>
        <v>2300.5724</v>
      </c>
      <c r="S19" s="50">
        <f t="shared" si="4"/>
        <v>14.465359999999691</v>
      </c>
      <c r="T19" s="46">
        <f>+IFERROR(HLOOKUP($B19,'[1]9월'!$D$6:$BN$259,16,),)/1000</f>
        <v>384.78619384451076</v>
      </c>
      <c r="U19" s="47">
        <f>+IFERROR(HLOOKUP($B19,'[2]9월'!$F$6:$CP$99,16,),)/1000</f>
        <v>256.65218499999986</v>
      </c>
      <c r="V19" s="48">
        <f t="shared" si="5"/>
        <v>-128.1340088445109</v>
      </c>
      <c r="W19" s="49">
        <f>+IFERROR(HLOOKUP($B19,'[3]9월'!$F$6:$CC$57,16,),)/1000</f>
        <v>301.86836899999969</v>
      </c>
      <c r="X19" s="50">
        <f t="shared" si="6"/>
        <v>-45.216183999999828</v>
      </c>
      <c r="Y19" s="46">
        <f>+[5]아산!$Q$85</f>
        <v>101000.14</v>
      </c>
      <c r="Z19" s="47">
        <f>+[5]아산!$R$85</f>
        <v>99026.218995765259</v>
      </c>
      <c r="AA19" s="51">
        <f>+[6]아산!$Q$85</f>
        <v>95112.138250372082</v>
      </c>
      <c r="AB19" s="52">
        <f>+[5]아산!$Q$89</f>
        <v>76991.452631946289</v>
      </c>
      <c r="AC19" s="47">
        <f>+[5]아산!$R$89</f>
        <v>76440.335922665283</v>
      </c>
      <c r="AD19" s="53">
        <f>+[6]아산!$Q$89</f>
        <v>74003.769090909074</v>
      </c>
      <c r="AE19" s="52">
        <f t="shared" si="7"/>
        <v>24008.68736805371</v>
      </c>
      <c r="AF19" s="47">
        <f t="shared" si="7"/>
        <v>22585.883073099976</v>
      </c>
      <c r="AG19" s="53">
        <f t="shared" si="7"/>
        <v>21108.369159463007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+IFERROR(HLOOKUP($B20,'[1]9월'!$D$6:$BN$259,2,),)/1000</f>
        <v>12</v>
      </c>
      <c r="K20" s="47">
        <f>+IFERROR(HLOOKUP($B20,'[2]9월'!$F$6:$CP$99,2,),)/1000</f>
        <v>10.103</v>
      </c>
      <c r="L20" s="48">
        <f t="shared" si="0"/>
        <v>-1.8970000000000002</v>
      </c>
      <c r="M20" s="49">
        <f>+IFERROR(HLOOKUP($B20,'[3]9월'!$F$6:$CC$57,2,),)/1000</f>
        <v>9.8574999999999999</v>
      </c>
      <c r="N20" s="50">
        <f t="shared" si="2"/>
        <v>0.24549999999999983</v>
      </c>
      <c r="O20" s="46">
        <f>+IFERROR(HLOOKUP($B20,'[1]9월'!$D$6:$BN$259,3,),)/1000</f>
        <v>1228.0727600000002</v>
      </c>
      <c r="P20" s="47">
        <f>+IFERROR(HLOOKUP($B20,'[2]9월'!$F$6:$CP$99,3,),)/1000</f>
        <v>1007.174396</v>
      </c>
      <c r="Q20" s="48">
        <f t="shared" si="3"/>
        <v>-220.89836400000024</v>
      </c>
      <c r="R20" s="49">
        <f>+IFERROR(HLOOKUP($B20,'[3]9월'!$F$6:$CC$57,3,),)/1000</f>
        <v>1033.3024789999999</v>
      </c>
      <c r="S20" s="50">
        <f t="shared" si="4"/>
        <v>-26.128082999999947</v>
      </c>
      <c r="T20" s="46">
        <f>+IFERROR(HLOOKUP($B20,'[1]9월'!$D$6:$BN$259,16,),)/1000</f>
        <v>209.31452785619109</v>
      </c>
      <c r="U20" s="47">
        <f>+IFERROR(HLOOKUP($B20,'[2]9월'!$F$6:$CP$99,16,),)/1000</f>
        <v>98.002098999999959</v>
      </c>
      <c r="V20" s="48">
        <f t="shared" si="5"/>
        <v>-111.31242885619113</v>
      </c>
      <c r="W20" s="49">
        <f>+IFERROR(HLOOKUP($B20,'[3]9월'!$F$6:$CC$57,16,),)/1000</f>
        <v>153.73999399999988</v>
      </c>
      <c r="X20" s="50">
        <f t="shared" si="6"/>
        <v>-55.737894999999924</v>
      </c>
      <c r="Y20" s="46">
        <f>+[5]전주!$Q$85</f>
        <v>102339.39666666668</v>
      </c>
      <c r="Z20" s="47">
        <f>+[5]전주!$R$85</f>
        <v>99690.626150648313</v>
      </c>
      <c r="AA20" s="51">
        <f>+[6]전주!$Q$85</f>
        <v>104935.93288042089</v>
      </c>
      <c r="AB20" s="52">
        <f>+[5]전주!$Q$89</f>
        <v>72820.53622163515</v>
      </c>
      <c r="AC20" s="47">
        <f>+[5]전주!$R$89</f>
        <v>72859.16451199053</v>
      </c>
      <c r="AD20" s="53">
        <f>+[6]전주!$Q$89</f>
        <v>73694.536139347183</v>
      </c>
      <c r="AE20" s="52">
        <f t="shared" si="7"/>
        <v>29518.860445031532</v>
      </c>
      <c r="AF20" s="47">
        <f t="shared" si="7"/>
        <v>26831.461638657784</v>
      </c>
      <c r="AG20" s="53">
        <f t="shared" si="7"/>
        <v>31241.39674107371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+IFERROR(HLOOKUP($B21,'[1]9월'!$D$6:$BN$259,2,),)/1000</f>
        <v>7</v>
      </c>
      <c r="K21" s="47">
        <f>+IFERROR(HLOOKUP($B21,'[2]9월'!$F$6:$CP$99,2,),)/1000</f>
        <v>7.883</v>
      </c>
      <c r="L21" s="48">
        <f t="shared" si="0"/>
        <v>0.88300000000000001</v>
      </c>
      <c r="M21" s="49">
        <f>+IFERROR(HLOOKUP($B21,'[3]9월'!$F$6:$CC$57,2,),)/1000</f>
        <v>7.7789999999999999</v>
      </c>
      <c r="N21" s="50">
        <f t="shared" si="2"/>
        <v>0.10400000000000009</v>
      </c>
      <c r="O21" s="46">
        <f>+IFERROR(HLOOKUP($B21,'[1]9월'!$D$6:$BN$259,3,),)/1000</f>
        <v>762.99902899999995</v>
      </c>
      <c r="P21" s="47">
        <f>+IFERROR(HLOOKUP($B21,'[2]9월'!$F$6:$CP$99,3,),)/1000</f>
        <v>917.56020000000001</v>
      </c>
      <c r="Q21" s="48">
        <f t="shared" si="3"/>
        <v>154.56117100000006</v>
      </c>
      <c r="R21" s="49">
        <f>+IFERROR(HLOOKUP($B21,'[3]9월'!$F$6:$CC$57,3,),)/1000</f>
        <v>813.60725400000001</v>
      </c>
      <c r="S21" s="50">
        <f t="shared" si="4"/>
        <v>103.952946</v>
      </c>
      <c r="T21" s="46">
        <f>+IFERROR(HLOOKUP($B21,'[1]9월'!$D$6:$BN$259,16,),)/1000</f>
        <v>200.25548561036032</v>
      </c>
      <c r="U21" s="47">
        <f>+IFERROR(HLOOKUP($B21,'[2]9월'!$F$6:$CP$99,16,),)/1000</f>
        <v>252.01421399999995</v>
      </c>
      <c r="V21" s="48">
        <f t="shared" si="5"/>
        <v>51.758728389639629</v>
      </c>
      <c r="W21" s="49">
        <f>+IFERROR(HLOOKUP($B21,'[3]9월'!$F$6:$CC$57,16,),)/1000</f>
        <v>185.57946600000002</v>
      </c>
      <c r="X21" s="50">
        <f t="shared" si="6"/>
        <v>66.434747999999928</v>
      </c>
      <c r="Y21" s="46">
        <f>+[5]군산!$Q$85</f>
        <v>108999.86128571429</v>
      </c>
      <c r="Z21" s="47">
        <f>+[5]군산!$R$85</f>
        <v>116414.49459631278</v>
      </c>
      <c r="AA21" s="51">
        <f>+[6]군산!$Q$85</f>
        <v>104590.21133821827</v>
      </c>
      <c r="AB21" s="52">
        <f>+[5]군산!$Q$89</f>
        <v>69834.129624922789</v>
      </c>
      <c r="AC21" s="47">
        <f>+[5]군산!$R$89</f>
        <v>72940.627844882387</v>
      </c>
      <c r="AD21" s="53">
        <f>+[6]군산!$Q$89</f>
        <v>70455.437202725298</v>
      </c>
      <c r="AE21" s="52">
        <f t="shared" si="7"/>
        <v>39165.731660791498</v>
      </c>
      <c r="AF21" s="47">
        <f t="shared" si="7"/>
        <v>43473.866751430396</v>
      </c>
      <c r="AG21" s="53">
        <f t="shared" si="7"/>
        <v>34134.774135492975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+IFERROR(HLOOKUP($B22,'[1]9월'!$D$6:$BN$259,2,),)/1000</f>
        <v>4</v>
      </c>
      <c r="K22" s="47">
        <f>+IFERROR(HLOOKUP($B22,'[2]9월'!$F$6:$CP$99,2,),)/1000</f>
        <v>5.359</v>
      </c>
      <c r="L22" s="48">
        <f t="shared" si="0"/>
        <v>1.359</v>
      </c>
      <c r="M22" s="49">
        <f>+IFERROR(HLOOKUP($B22,'[3]9월'!$F$6:$CC$57,2,),)/1000</f>
        <v>4.9844999999999997</v>
      </c>
      <c r="N22" s="50">
        <f t="shared" si="2"/>
        <v>0.37450000000000028</v>
      </c>
      <c r="O22" s="46">
        <f>+IFERROR(HLOOKUP($B22,'[1]9월'!$D$6:$BN$259,3,),)/1000</f>
        <v>431.6</v>
      </c>
      <c r="P22" s="47">
        <f>+IFERROR(HLOOKUP($B22,'[2]9월'!$F$6:$CP$99,3,),)/1000</f>
        <v>606.96100000000001</v>
      </c>
      <c r="Q22" s="48">
        <f t="shared" si="3"/>
        <v>175.36099999999999</v>
      </c>
      <c r="R22" s="49">
        <f>+IFERROR(HLOOKUP($B22,'[3]9월'!$F$6:$CC$57,3,),)/1000</f>
        <v>508.10919999999999</v>
      </c>
      <c r="S22" s="50">
        <f t="shared" si="4"/>
        <v>98.851800000000026</v>
      </c>
      <c r="T22" s="46">
        <f>+IFERROR(HLOOKUP($B22,'[1]9월'!$D$6:$BN$259,16,),)/1000</f>
        <v>53.146042856614336</v>
      </c>
      <c r="U22" s="47">
        <f>+IFERROR(HLOOKUP($B22,'[2]9월'!$F$6:$CP$99,16,),)/1000</f>
        <v>107.13870299999999</v>
      </c>
      <c r="V22" s="48">
        <f t="shared" si="5"/>
        <v>53.992660143385656</v>
      </c>
      <c r="W22" s="49">
        <f>+IFERROR(HLOOKUP($B22,'[3]9월'!$F$6:$CC$57,16,),)/1000</f>
        <v>91.645691000000028</v>
      </c>
      <c r="X22" s="50">
        <f t="shared" si="6"/>
        <v>15.493011999999965</v>
      </c>
      <c r="Y22" s="46">
        <f>+[5]원주!$Q$85</f>
        <v>107900</v>
      </c>
      <c r="Z22" s="47">
        <f>+[5]원주!$R$85</f>
        <v>113260.12315730547</v>
      </c>
      <c r="AA22" s="51">
        <f>+[6]원주!$Q$85</f>
        <v>101937.84732671281</v>
      </c>
      <c r="AB22" s="52">
        <f>+[5]원주!$Q$89</f>
        <v>72986.261680188763</v>
      </c>
      <c r="AC22" s="47">
        <f>+[5]원주!$R$89</f>
        <v>73534.47658145176</v>
      </c>
      <c r="AD22" s="53">
        <f>+[6]원주!$Q$89</f>
        <v>65834.361119470355</v>
      </c>
      <c r="AE22" s="52">
        <f t="shared" si="7"/>
        <v>34913.738319811237</v>
      </c>
      <c r="AF22" s="47">
        <f t="shared" si="7"/>
        <v>39725.646575853709</v>
      </c>
      <c r="AG22" s="53">
        <f t="shared" si="7"/>
        <v>36103.486207242458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+IFERROR(HLOOKUP($B23,'[1]9월'!$D$6:$BN$259,2,),)/1000</f>
        <v>6</v>
      </c>
      <c r="K23" s="47">
        <f>+IFERROR(HLOOKUP($B23,'[2]9월'!$F$6:$CP$99,2,),)/1000</f>
        <v>2.1084999999999998</v>
      </c>
      <c r="L23" s="48">
        <f t="shared" si="0"/>
        <v>-3.8915000000000002</v>
      </c>
      <c r="M23" s="49">
        <f>+IFERROR(HLOOKUP($B23,'[3]9월'!$F$6:$CC$57,2,),)/1000</f>
        <v>5.6660000000000004</v>
      </c>
      <c r="N23" s="50">
        <f t="shared" si="2"/>
        <v>-3.5575000000000006</v>
      </c>
      <c r="O23" s="46">
        <f>+IFERROR(HLOOKUP($B23,'[1]9월'!$D$6:$BN$259,3,),)/1000</f>
        <v>760.8</v>
      </c>
      <c r="P23" s="47">
        <f>+IFERROR(HLOOKUP($B23,'[2]9월'!$F$6:$CP$99,3,),)/1000</f>
        <v>245.49821799999998</v>
      </c>
      <c r="Q23" s="48">
        <f t="shared" si="3"/>
        <v>-515.301782</v>
      </c>
      <c r="R23" s="49">
        <f>+IFERROR(HLOOKUP($B23,'[3]9월'!$F$6:$CC$57,3,),)/1000</f>
        <v>680.80017700000008</v>
      </c>
      <c r="S23" s="50">
        <f t="shared" si="4"/>
        <v>-435.30195900000012</v>
      </c>
      <c r="T23" s="46">
        <f>+IFERROR(HLOOKUP($B23,'[1]9월'!$D$6:$BN$259,16,),)/1000</f>
        <v>122.8640906515602</v>
      </c>
      <c r="U23" s="47">
        <f>+IFERROR(HLOOKUP($B23,'[2]9월'!$F$6:$CP$99,16,),)/1000</f>
        <v>-40.681329000000026</v>
      </c>
      <c r="V23" s="48">
        <f t="shared" si="5"/>
        <v>-163.54541965156022</v>
      </c>
      <c r="W23" s="49">
        <f>+IFERROR(HLOOKUP($B23,'[3]9월'!$F$6:$CC$57,16,),)/1000</f>
        <v>77.08855400000003</v>
      </c>
      <c r="X23" s="50">
        <f t="shared" si="6"/>
        <v>-117.76988300000005</v>
      </c>
      <c r="Y23" s="46">
        <f>+[5]제주!$Q$85</f>
        <v>126800</v>
      </c>
      <c r="Z23" s="47">
        <f>+[5]제주!$R$85</f>
        <v>116432.63836850841</v>
      </c>
      <c r="AA23" s="51">
        <f>+[6]제주!$Q$85</f>
        <v>120155.3436286622</v>
      </c>
      <c r="AB23" s="52">
        <f>+[5]제주!$Q$89</f>
        <v>91328.927751033916</v>
      </c>
      <c r="AC23" s="47">
        <f>+[5]제주!$R$89</f>
        <v>86083.47498221483</v>
      </c>
      <c r="AD23" s="53">
        <f>+[6]제주!$Q$89</f>
        <v>89424.38439816449</v>
      </c>
      <c r="AE23" s="52">
        <f t="shared" si="7"/>
        <v>35471.072248966084</v>
      </c>
      <c r="AF23" s="47">
        <f t="shared" si="7"/>
        <v>30349.163386293585</v>
      </c>
      <c r="AG23" s="53">
        <f t="shared" si="7"/>
        <v>30730.959230497712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114.5</v>
      </c>
      <c r="K24" s="20">
        <f>SUM(K7:K10)</f>
        <v>75.634799999999998</v>
      </c>
      <c r="L24" s="21">
        <f t="shared" si="0"/>
        <v>-38.865200000000002</v>
      </c>
      <c r="M24" s="25">
        <f>SUM(M7:M10)</f>
        <v>129.82849999999999</v>
      </c>
      <c r="N24" s="22">
        <f t="shared" si="2"/>
        <v>-54.193699999999993</v>
      </c>
      <c r="O24" s="23">
        <f>SUM(O7:O10)</f>
        <v>11548.225744058685</v>
      </c>
      <c r="P24" s="20">
        <f>SUM(P7:P10)</f>
        <v>7393.0980060000002</v>
      </c>
      <c r="Q24" s="21">
        <f t="shared" si="3"/>
        <v>-4155.1277380586853</v>
      </c>
      <c r="R24" s="25">
        <f>SUM(R7:R10)</f>
        <v>12477.455875</v>
      </c>
      <c r="S24" s="22">
        <f t="shared" si="4"/>
        <v>-5084.3578689999995</v>
      </c>
      <c r="T24" s="23">
        <f>SUM(T7:T10)</f>
        <v>1621.6333585776356</v>
      </c>
      <c r="U24" s="20">
        <f>SUM(U7:U10)</f>
        <v>268.92704800000007</v>
      </c>
      <c r="V24" s="21">
        <f t="shared" si="5"/>
        <v>-1352.7063105776356</v>
      </c>
      <c r="W24" s="25">
        <f>SUM(W7:W10)</f>
        <v>1588.4852149999995</v>
      </c>
      <c r="X24" s="22">
        <f t="shared" si="6"/>
        <v>-1319.5581669999995</v>
      </c>
      <c r="Y24" s="23">
        <f>+[5]수도권!$Q$85</f>
        <v>100857.86676033787</v>
      </c>
      <c r="Z24" s="20">
        <f>+[5]수도권!$R$85</f>
        <v>97749.491475587041</v>
      </c>
      <c r="AA24" s="24">
        <f>+[6]수도권!$Q$85</f>
        <v>96078.533356158267</v>
      </c>
      <c r="AB24" s="29">
        <f>+[5]수도권!$Q$89</f>
        <v>77895.789375566601</v>
      </c>
      <c r="AC24" s="20">
        <f>+[5]수도권!$R$89</f>
        <v>79479.89152119041</v>
      </c>
      <c r="AD24" s="30">
        <f>+[6]수도권!$Q$89</f>
        <v>75077.479179387461</v>
      </c>
      <c r="AE24" s="29">
        <f t="shared" si="7"/>
        <v>22962.07738477127</v>
      </c>
      <c r="AF24" s="20">
        <f t="shared" si="7"/>
        <v>18269.599954396632</v>
      </c>
      <c r="AG24" s="30">
        <f t="shared" si="7"/>
        <v>21001.054176770805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120</v>
      </c>
      <c r="K25" s="20">
        <f>SUM(K11:K18)</f>
        <v>111.84400000000001</v>
      </c>
      <c r="L25" s="21">
        <f t="shared" si="0"/>
        <v>-8.1559999999999917</v>
      </c>
      <c r="M25" s="25">
        <f>SUM(M11:M18)</f>
        <v>132.887</v>
      </c>
      <c r="N25" s="22">
        <f t="shared" si="2"/>
        <v>-21.042999999999992</v>
      </c>
      <c r="O25" s="23">
        <f>SUM(O11:O18)</f>
        <v>12286.109214999999</v>
      </c>
      <c r="P25" s="20">
        <f>SUM(P11:P18)</f>
        <v>11134.043100000001</v>
      </c>
      <c r="Q25" s="21">
        <f t="shared" si="3"/>
        <v>-1152.0661149999978</v>
      </c>
      <c r="R25" s="25">
        <f>SUM(R11:R18)</f>
        <v>13217.642779999998</v>
      </c>
      <c r="S25" s="22">
        <f t="shared" si="4"/>
        <v>-2083.5996799999975</v>
      </c>
      <c r="T25" s="23">
        <f>SUM(T11:T18)</f>
        <v>1863.4103451204548</v>
      </c>
      <c r="U25" s="20">
        <f>SUM(U11:U18)</f>
        <v>790.68247000000031</v>
      </c>
      <c r="V25" s="21">
        <f t="shared" si="5"/>
        <v>-1072.7278751204544</v>
      </c>
      <c r="W25" s="25">
        <f>SUM(W11:W18)</f>
        <v>1441.3918039999996</v>
      </c>
      <c r="X25" s="22">
        <f t="shared" si="6"/>
        <v>-650.70933399999933</v>
      </c>
      <c r="Y25" s="23">
        <f>+[5]영남권!$Q$85</f>
        <v>102384.24345833332</v>
      </c>
      <c r="Z25" s="20">
        <f>+[5]영남권!$R$85</f>
        <v>99624.761690242362</v>
      </c>
      <c r="AA25" s="24">
        <f>+[6]영남권!$Q$85</f>
        <v>99478.729682684381</v>
      </c>
      <c r="AB25" s="29">
        <f>+[5]영남권!$Q$89</f>
        <v>74992.298597029352</v>
      </c>
      <c r="AC25" s="20">
        <f>+[5]영남권!$R$89</f>
        <v>77483.836889347993</v>
      </c>
      <c r="AD25" s="30">
        <f>+[6]영남권!$Q$89</f>
        <v>76717.351486976229</v>
      </c>
      <c r="AE25" s="29">
        <f t="shared" si="7"/>
        <v>27391.944861303971</v>
      </c>
      <c r="AF25" s="20">
        <f t="shared" si="7"/>
        <v>22140.924800894369</v>
      </c>
      <c r="AG25" s="30">
        <f t="shared" si="7"/>
        <v>22761.378195708152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170</v>
      </c>
      <c r="J26" s="23">
        <f>SUM(J19:J23)</f>
        <v>54</v>
      </c>
      <c r="K26" s="20">
        <f>SUM(K19:K23)</f>
        <v>48.805500000000002</v>
      </c>
      <c r="L26" s="21">
        <f t="shared" si="0"/>
        <v>-5.1944999999999979</v>
      </c>
      <c r="M26" s="25">
        <f>SUM(M19:M23)</f>
        <v>52.474999999999994</v>
      </c>
      <c r="N26" s="22">
        <f t="shared" si="2"/>
        <v>-3.6694999999999922</v>
      </c>
      <c r="O26" s="23">
        <f>SUM(O19:O23)</f>
        <v>5708.475289</v>
      </c>
      <c r="P26" s="20">
        <f>SUM(P19:P23)</f>
        <v>5092.2315739999995</v>
      </c>
      <c r="Q26" s="21">
        <f t="shared" si="3"/>
        <v>-616.24371500000052</v>
      </c>
      <c r="R26" s="25">
        <f>SUM(R19:R23)</f>
        <v>5336.3915099999995</v>
      </c>
      <c r="S26" s="22">
        <f t="shared" si="4"/>
        <v>-244.15993600000002</v>
      </c>
      <c r="T26" s="23">
        <f>SUM(T19:T23)</f>
        <v>970.36634081923671</v>
      </c>
      <c r="U26" s="20">
        <f>SUM(U19:U23)</f>
        <v>673.12587199999973</v>
      </c>
      <c r="V26" s="21">
        <f t="shared" si="5"/>
        <v>-297.24046881923698</v>
      </c>
      <c r="W26" s="25">
        <f>SUM(W19:W23)</f>
        <v>809.92207399999972</v>
      </c>
      <c r="X26" s="22">
        <f t="shared" si="6"/>
        <v>-136.79620199999999</v>
      </c>
      <c r="Y26" s="23">
        <f>+[5]중부권!$Q$85</f>
        <v>105712.50535185185</v>
      </c>
      <c r="Z26" s="20">
        <f>+[5]중부권!$R$85</f>
        <v>104305.45775307498</v>
      </c>
      <c r="AA26" s="24">
        <f>+[6]중부권!$Q$85</f>
        <v>101710.76613364882</v>
      </c>
      <c r="AB26" s="29">
        <f>+[5]중부권!$Q$89</f>
        <v>76433.15316777218</v>
      </c>
      <c r="AC26" s="20">
        <f>+[5]중부권!$R$89</f>
        <v>75226.18726291442</v>
      </c>
      <c r="AD26" s="30">
        <f>+[6]중부권!$Q$89</f>
        <v>74309.454004349653</v>
      </c>
      <c r="AE26" s="29">
        <f t="shared" si="7"/>
        <v>29279.352184079675</v>
      </c>
      <c r="AF26" s="20">
        <f t="shared" si="7"/>
        <v>29079.270490160561</v>
      </c>
      <c r="AG26" s="30">
        <f t="shared" si="7"/>
        <v>27401.312129299171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0.81900970537261697</v>
      </c>
      <c r="H27" s="629" t="s">
        <v>115</v>
      </c>
      <c r="I27" s="630"/>
      <c r="J27" s="631">
        <f>SUM(J24:J26)</f>
        <v>288.5</v>
      </c>
      <c r="K27" s="632">
        <f>SUM(K24:K26)</f>
        <v>236.2843</v>
      </c>
      <c r="L27" s="633">
        <f t="shared" si="0"/>
        <v>-52.215699999999998</v>
      </c>
      <c r="M27" s="634">
        <f>SUM(M24:M26)</f>
        <v>315.19050000000004</v>
      </c>
      <c r="N27" s="635">
        <f t="shared" si="2"/>
        <v>-78.906200000000041</v>
      </c>
      <c r="O27" s="631">
        <f>SUM(O24:O26)</f>
        <v>29542.810248058682</v>
      </c>
      <c r="P27" s="632">
        <f>SUM(P24:P26)</f>
        <v>23619.37268</v>
      </c>
      <c r="Q27" s="633">
        <f t="shared" si="3"/>
        <v>-5923.4375680586818</v>
      </c>
      <c r="R27" s="634">
        <f>SUM(R24:R26)</f>
        <v>31031.490164999996</v>
      </c>
      <c r="S27" s="635">
        <f t="shared" si="4"/>
        <v>-7412.1174849999952</v>
      </c>
      <c r="T27" s="631">
        <f>SUM(T24:T26)</f>
        <v>4455.4100445173272</v>
      </c>
      <c r="U27" s="632">
        <f>SUM(U24:U26)</f>
        <v>1732.7353900000003</v>
      </c>
      <c r="V27" s="633">
        <f t="shared" si="5"/>
        <v>-2722.6746545173269</v>
      </c>
      <c r="W27" s="634">
        <f>SUM(W24:W26)</f>
        <v>3839.7990929999987</v>
      </c>
      <c r="X27" s="635">
        <f t="shared" si="6"/>
        <v>-2107.0637029999984</v>
      </c>
      <c r="Y27" s="631">
        <f>+[5]합계!$Q$85</f>
        <v>102401.42200366962</v>
      </c>
      <c r="Z27" s="632">
        <f>+[5]합계!$R$85</f>
        <v>99989.728432119533</v>
      </c>
      <c r="AA27" s="636">
        <f>+[6]합계!$Q$85</f>
        <v>98458.403249077324</v>
      </c>
      <c r="AB27" s="637">
        <f>+[5]합계!$Q$89</f>
        <v>76414.329241613872</v>
      </c>
      <c r="AC27" s="632">
        <f>+[5]합계!$R$89</f>
        <v>77657.504395917087</v>
      </c>
      <c r="AD27" s="638">
        <f>+[6]합계!$Q$89</f>
        <v>75642.93710700846</v>
      </c>
      <c r="AE27" s="637">
        <f t="shared" si="7"/>
        <v>25987.092762055749</v>
      </c>
      <c r="AF27" s="632">
        <f t="shared" si="7"/>
        <v>22332.224036202446</v>
      </c>
      <c r="AG27" s="638">
        <f t="shared" si="7"/>
        <v>22815.466142068864</v>
      </c>
      <c r="AH27" s="27"/>
      <c r="AI27" s="28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2" t="s">
        <v>3</v>
      </c>
      <c r="H28" s="835" t="s">
        <v>3</v>
      </c>
      <c r="I28" s="836"/>
      <c r="J28" s="167">
        <f>+IFERROR(HLOOKUP($B28,'[1]9월'!$D$6:$BN$259,2,),)</f>
        <v>6500</v>
      </c>
      <c r="K28" s="168">
        <f>+IFERROR(HLOOKUP($E28,'[2]9월'!$F$6:$CP$99,2,),)</f>
        <v>7354.6280000000006</v>
      </c>
      <c r="L28" s="169">
        <f>+K28-J28</f>
        <v>854.62800000000061</v>
      </c>
      <c r="M28" s="170">
        <f>+IFERROR(HLOOKUP($E28,'[3]9월'!$F$6:$CC$57,2,),)</f>
        <v>6990.5029999999997</v>
      </c>
      <c r="N28" s="171">
        <f>+K28-M28</f>
        <v>364.12500000000091</v>
      </c>
      <c r="O28" s="167">
        <f>+IFERROR(HLOOKUP($B28,'[1]9월'!$D$6:$BN$259,3,),)/1000</f>
        <v>7946.920000000001</v>
      </c>
      <c r="P28" s="168">
        <f>+IFERROR(HLOOKUP($E28,'[2]9월'!$F$6:$CP$99,3,),)/1000</f>
        <v>7720.8258609999993</v>
      </c>
      <c r="Q28" s="169">
        <f>+P28-O28</f>
        <v>-226.09413900000163</v>
      </c>
      <c r="R28" s="170">
        <f>+IFERROR(HLOOKUP($E28,'[3]9월'!$F$6:$CC$57,3,),)/1000</f>
        <v>9395.2205450000001</v>
      </c>
      <c r="S28" s="171">
        <f t="shared" si="4"/>
        <v>-1674.3946840000008</v>
      </c>
      <c r="T28" s="167">
        <f>+IFERROR(HLOOKUP($B28,'[1]9월'!$D$6:$BN$259,16,),)/1000</f>
        <v>60.891697600001741</v>
      </c>
      <c r="U28" s="168">
        <f>+IFERROR(HLOOKUP($E28,'[2]9월'!$F$6:$CP$99,16,),)/1000</f>
        <v>-15.579202000000357</v>
      </c>
      <c r="V28" s="169">
        <f t="shared" si="5"/>
        <v>-76.470899600002099</v>
      </c>
      <c r="W28" s="170">
        <f>+IFERROR(HLOOKUP($E28,'[3]9월'!$F$6:$CC$57,16,),)/1000</f>
        <v>-1.5651189999995641</v>
      </c>
      <c r="X28" s="171">
        <f t="shared" si="6"/>
        <v>-14.014083000000793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1</v>
      </c>
      <c r="I29" s="81" t="s">
        <v>193</v>
      </c>
      <c r="J29" s="56">
        <f>+IFERROR(HLOOKUP($B29,'[1]9월'!$D$6:$BN$259,2,),)/1000</f>
        <v>26.511795321480207</v>
      </c>
      <c r="K29" s="57">
        <f>+IFERROR(HLOOKUP($C29,'[2]9월'!$F$6:$CP$99,2,),)/1000</f>
        <v>9.1430000000000007</v>
      </c>
      <c r="L29" s="38">
        <f t="shared" si="0"/>
        <v>-17.368795321480206</v>
      </c>
      <c r="M29" s="38">
        <f>+IFERROR(HLOOKUP($C29,'[3]9월'!$F$6:$CC$57,2,),)/1000</f>
        <v>27.469000000000001</v>
      </c>
      <c r="N29" s="58">
        <f t="shared" si="2"/>
        <v>-18.326000000000001</v>
      </c>
      <c r="O29" s="56">
        <f>+IFERROR(HLOOKUP($B29,'[1]9월'!$D$6:$BN$259,3,),)/1000</f>
        <v>754.20299506738411</v>
      </c>
      <c r="P29" s="57">
        <f>+IFERROR(HLOOKUP($C29,'[2]9월'!$F$6:$CP$99,3,),)/1000</f>
        <v>251.0855</v>
      </c>
      <c r="Q29" s="38">
        <f t="shared" si="3"/>
        <v>-503.11749506738408</v>
      </c>
      <c r="R29" s="38">
        <f>+IFERROR(HLOOKUP($C29,'[3]9월'!$F$6:$CC$57,3,),)/1000</f>
        <v>783.53700000000003</v>
      </c>
      <c r="S29" s="58">
        <f t="shared" si="4"/>
        <v>-532.45150000000001</v>
      </c>
      <c r="T29" s="56">
        <f>+IFERROR(HLOOKUP($B29,'[1]9월'!$D$6:$BN$259,21,),)/1000</f>
        <v>54.760473805416773</v>
      </c>
      <c r="U29" s="57">
        <f>+IFERROR(HLOOKUP($C29,'[2]9월'!$F$6:$CP$99,21,),)/1000</f>
        <v>-3.6659721609149383</v>
      </c>
      <c r="V29" s="38">
        <f t="shared" si="5"/>
        <v>-58.426445966331713</v>
      </c>
      <c r="W29" s="38">
        <f>+IFERROR(HLOOKUP($C29,'[3]9월'!$F$6:$CC$57,16,),)/1000</f>
        <v>21.691171000000008</v>
      </c>
      <c r="X29" s="58">
        <f t="shared" si="6"/>
        <v>-25.357143160914944</v>
      </c>
      <c r="Y29" s="628" t="s">
        <v>252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 t="shared" ref="G30:G31" si="8">+I30</f>
        <v>서부산CR</v>
      </c>
      <c r="H30" s="85"/>
      <c r="I30" s="81" t="s">
        <v>220</v>
      </c>
      <c r="J30" s="54">
        <f>+IFERROR(HLOOKUP($B30,'[1]9월'!$D$6:$BN$259,2,),)/1000</f>
        <v>46.669629999999998</v>
      </c>
      <c r="K30" s="59">
        <f>+IFERROR(HLOOKUP($C30,'[2]9월'!$F$6:$CP$99,2,),)/1000</f>
        <v>1.05</v>
      </c>
      <c r="L30" s="48">
        <f t="shared" si="0"/>
        <v>-45.619630000000001</v>
      </c>
      <c r="M30" s="48">
        <f>+IFERROR(HLOOKUP($C30,'[3]9월'!$F$6:$CC$57,2,),)/1000</f>
        <v>33.128</v>
      </c>
      <c r="N30" s="60">
        <f t="shared" si="2"/>
        <v>-32.078000000000003</v>
      </c>
      <c r="O30" s="54">
        <f>+IFERROR(HLOOKUP($B30,'[1]9월'!$D$6:$BN$259,3,),)/1000</f>
        <v>561.62811666666664</v>
      </c>
      <c r="P30" s="59">
        <f>+IFERROR(HLOOKUP($C30,'[2]9월'!$F$6:$CP$99,3,),)/1000</f>
        <v>12.074999999999999</v>
      </c>
      <c r="Q30" s="48">
        <f t="shared" si="3"/>
        <v>-549.5531166666666</v>
      </c>
      <c r="R30" s="48">
        <f>+IFERROR(HLOOKUP($C30,'[3]9월'!$F$6:$CC$57,3,),)/1000</f>
        <v>413.92</v>
      </c>
      <c r="S30" s="60">
        <f t="shared" si="4"/>
        <v>-401.84500000000003</v>
      </c>
      <c r="T30" s="54">
        <f>+IFERROR(HLOOKUP($B30,'[1]9월'!$D$6:$BN$259,21,),)/1000</f>
        <v>67.872077564121355</v>
      </c>
      <c r="U30" s="59">
        <f>+IFERROR(HLOOKUP($C30,'[2]9월'!$F$6:$CP$99,21,),)/1000</f>
        <v>-87.578777424164457</v>
      </c>
      <c r="V30" s="48">
        <f t="shared" si="5"/>
        <v>-155.45085498828581</v>
      </c>
      <c r="W30" s="48">
        <f>+IFERROR(HLOOKUP($C30,'[3]9월'!$F$6:$CC$57,16,),)/1000</f>
        <v>85.058035999999973</v>
      </c>
      <c r="X30" s="60">
        <f t="shared" si="6"/>
        <v>-172.63681342416442</v>
      </c>
      <c r="Y30" s="628" t="s">
        <v>253</v>
      </c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 t="shared" si="8"/>
        <v>부산CR</v>
      </c>
      <c r="H31" s="85"/>
      <c r="I31" s="83" t="s">
        <v>222</v>
      </c>
      <c r="J31" s="54">
        <f>+IFERROR(HLOOKUP($B31,'[1]9월'!$D$6:$BN$259,2,),)/1000</f>
        <v>41.116309768000384</v>
      </c>
      <c r="K31" s="59">
        <f>+IFERROR(HLOOKUP($C31,'[2]9월'!$F$6:$CP$99,2,),)/1000</f>
        <v>36.758000000000003</v>
      </c>
      <c r="L31" s="48">
        <f t="shared" si="0"/>
        <v>-4.3583097680003817</v>
      </c>
      <c r="M31" s="48">
        <f>+IFERROR(HLOOKUP($C31,'[3]9월'!$F$6:$CC$57,2,),)/1000</f>
        <v>21.312000000000001</v>
      </c>
      <c r="N31" s="60">
        <f t="shared" si="2"/>
        <v>15.446000000000002</v>
      </c>
      <c r="O31" s="54">
        <f>+IFERROR(HLOOKUP($B31,'[1]9월'!$D$6:$BN$259,3,),)/1000</f>
        <v>744.43910998751164</v>
      </c>
      <c r="P31" s="59">
        <f>+IFERROR(HLOOKUP($C31,'[2]9월'!$F$6:$CP$99,3,),)/1000</f>
        <v>622.58500000000004</v>
      </c>
      <c r="Q31" s="48">
        <f t="shared" si="3"/>
        <v>-121.85410998751161</v>
      </c>
      <c r="R31" s="48">
        <f>+IFERROR(HLOOKUP($C31,'[3]9월'!$F$6:$CC$57,3,),)/1000</f>
        <v>377.48899999999998</v>
      </c>
      <c r="S31" s="60">
        <f t="shared" si="4"/>
        <v>245.09600000000006</v>
      </c>
      <c r="T31" s="54">
        <f>+IFERROR(HLOOKUP($B31,'[1]9월'!$D$6:$BN$259,21,),)/1000</f>
        <v>17.132012950570875</v>
      </c>
      <c r="U31" s="59">
        <f>+IFERROR(HLOOKUP($C31,'[2]9월'!$F$6:$CP$99,21,),)/1000</f>
        <v>-221.73574761</v>
      </c>
      <c r="V31" s="48">
        <f t="shared" si="5"/>
        <v>-238.86776056057087</v>
      </c>
      <c r="W31" s="48">
        <f>+IFERROR(HLOOKUP($C31,'[3]9월'!$F$6:$CC$57,16,),)/1000</f>
        <v>44.142378000000065</v>
      </c>
      <c r="X31" s="60">
        <f t="shared" si="6"/>
        <v>-265.8781256100001</v>
      </c>
      <c r="Y31" s="586" t="s">
        <v>254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114.2977350894806</v>
      </c>
      <c r="K32" s="152">
        <f>SUM(K29:K31)</f>
        <v>46.951000000000008</v>
      </c>
      <c r="L32" s="150">
        <f t="shared" si="0"/>
        <v>-67.346735089480589</v>
      </c>
      <c r="M32" s="150">
        <f>SUM(M29:M31)</f>
        <v>81.909000000000006</v>
      </c>
      <c r="N32" s="151">
        <f t="shared" si="2"/>
        <v>-34.957999999999998</v>
      </c>
      <c r="O32" s="148">
        <f>SUM(O29:O31)</f>
        <v>2060.2702217215624</v>
      </c>
      <c r="P32" s="152">
        <f>SUM(P29:P31)</f>
        <v>885.74549999999999</v>
      </c>
      <c r="Q32" s="150">
        <f t="shared" si="3"/>
        <v>-1174.5247217215624</v>
      </c>
      <c r="R32" s="150">
        <f>SUM(R29:R31)</f>
        <v>1574.9460000000001</v>
      </c>
      <c r="S32" s="151">
        <f t="shared" si="4"/>
        <v>-689.20050000000015</v>
      </c>
      <c r="T32" s="148">
        <f>SUM(T29:T31)</f>
        <v>139.764564320109</v>
      </c>
      <c r="U32" s="152">
        <f>SUM(U29:U31)</f>
        <v>-312.98049719507941</v>
      </c>
      <c r="V32" s="150">
        <f t="shared" si="5"/>
        <v>-452.74506151518841</v>
      </c>
      <c r="W32" s="150">
        <f>SUM(W29:W31)</f>
        <v>150.89158500000005</v>
      </c>
      <c r="X32" s="151">
        <f t="shared" si="6"/>
        <v>-463.87208219507943</v>
      </c>
      <c r="Y32" s="586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(IFERROR(HLOOKUP($B33,'[1]9월'!$D$6:$BN$259,3,),)++IFERROR(HLOOKUP($C33,'[1]9월'!$D$6:$BN$259,3,),)+IFERROR(HLOOKUP($D33,'[1]9월'!$D$6:$BN$259,3,),))/1000</f>
        <v>90.84</v>
      </c>
      <c r="P33" s="47">
        <f>+IFERROR(HLOOKUP($E33,'[2]9월'!$F$6:$CP$99,3,),)/1000</f>
        <v>90.84</v>
      </c>
      <c r="Q33" s="49">
        <f t="shared" si="3"/>
        <v>0</v>
      </c>
      <c r="R33" s="48">
        <f>+IFERROR(HLOOKUP($E33,'[3]9월'!$F$6:$CC$57,3,),)/1000</f>
        <v>90.84</v>
      </c>
      <c r="S33" s="60">
        <f t="shared" si="4"/>
        <v>0</v>
      </c>
      <c r="T33" s="46">
        <f>(IFERROR(HLOOKUP($B33,'[1]9월'!$D$6:$BN$259,21,),)++IFERROR(HLOOKUP($C33,'[1]9월'!$D$6:$BN$259,21,),)+IFERROR(HLOOKUP($D33,'[1]9월'!$D$6:$BN$259,21,),))/1000</f>
        <v>75.404842000000002</v>
      </c>
      <c r="U33" s="47">
        <f>+IFERROR(HLOOKUP($E33,'[2]9월'!$F$6:$CP$99,16,),)/1000</f>
        <v>76.004227</v>
      </c>
      <c r="V33" s="49">
        <f t="shared" si="5"/>
        <v>0.59938499999999806</v>
      </c>
      <c r="W33" s="48">
        <f>+IFERROR(HLOOKUP($E33,'[3]9월'!$F$6:$CC$57,16,),)/1000</f>
        <v>30.418727999999994</v>
      </c>
      <c r="X33" s="60">
        <f t="shared" si="6"/>
        <v>45.585499000000006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8" si="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(+IFERROR(HLOOKUP($B34,'[1]9월'!$D$6:$BN$259,3,),)+IFERROR(HLOOKUP($C34,'[1]9월'!$D$6:$BN$259,3,),))/1000</f>
        <v>72.897500333333326</v>
      </c>
      <c r="P34" s="47">
        <f>+IFERROR(HLOOKUP($E34,'[2]9월'!$F$6:$CP$99,3,),)/1000</f>
        <v>73.318180999999996</v>
      </c>
      <c r="Q34" s="49">
        <f>+P34-O34</f>
        <v>0.42068066666666937</v>
      </c>
      <c r="R34" s="48">
        <f>+IFERROR(HLOOKUP($E34,'[3]9월'!$F$6:$CC$57,3,),)/1000</f>
        <v>92.762864000000008</v>
      </c>
      <c r="S34" s="60">
        <f t="shared" si="4"/>
        <v>-19.444683000000012</v>
      </c>
      <c r="T34" s="46">
        <f>(+IFERROR(HLOOKUP($B34,'[1]9월'!$D$6:$BN$259,21,),)+IFERROR(HLOOKUP($C34,'[1]9월'!$D$6:$BN$259,21,),))/1000</f>
        <v>75.238401333333314</v>
      </c>
      <c r="U34" s="47">
        <f>+IFERROR(HLOOKUP($E34,'[2]9월'!$F$6:$CP$99,16,),)/1000</f>
        <v>75.789990000000003</v>
      </c>
      <c r="V34" s="49">
        <f t="shared" si="5"/>
        <v>0.55158866666668871</v>
      </c>
      <c r="W34" s="48">
        <f>+IFERROR(HLOOKUP($E34,'[3]9월'!$F$6:$CC$57,16,),)/1000</f>
        <v>99.21689099999999</v>
      </c>
      <c r="X34" s="60">
        <f t="shared" si="6"/>
        <v>-23.426900999999987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9"/>
        <v>공통비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/>
      <c r="P35" s="47"/>
      <c r="Q35" s="49">
        <f t="shared" ref="Q35:Q39" si="11">+P35-O35</f>
        <v>0</v>
      </c>
      <c r="R35" s="48"/>
      <c r="S35" s="60">
        <f t="shared" si="4"/>
        <v>0</v>
      </c>
      <c r="T35" s="46">
        <f>-'[1]9월'!$Z$22/1000</f>
        <v>-1157.2821192690105</v>
      </c>
      <c r="U35" s="47">
        <f>+-'[2]9월'!$Z$22/1000</f>
        <v>-1368.6460828075965</v>
      </c>
      <c r="V35" s="49">
        <f t="shared" si="5"/>
        <v>-211.36396353858595</v>
      </c>
      <c r="W35" s="48">
        <f>+-'[3]9월'!$Z$22/1000</f>
        <v>-1217.3341950000001</v>
      </c>
      <c r="X35" s="60">
        <f t="shared" si="6"/>
        <v>-151.31188780759635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9"/>
        <v>대손</v>
      </c>
      <c r="H36" s="87"/>
      <c r="I36" s="88" t="s">
        <v>117</v>
      </c>
      <c r="J36" s="46"/>
      <c r="K36" s="47"/>
      <c r="L36" s="49"/>
      <c r="M36" s="48"/>
      <c r="N36" s="60">
        <f t="shared" si="10"/>
        <v>0</v>
      </c>
      <c r="O36" s="46"/>
      <c r="P36" s="47"/>
      <c r="Q36" s="49">
        <f t="shared" si="11"/>
        <v>0</v>
      </c>
      <c r="R36" s="48"/>
      <c r="S36" s="60">
        <f t="shared" si="4"/>
        <v>0</v>
      </c>
      <c r="T36" s="46"/>
      <c r="U36" s="47">
        <f>'[2]9월'!$BE$26/1000</f>
        <v>401.64838199999997</v>
      </c>
      <c r="V36" s="49">
        <f t="shared" si="5"/>
        <v>401.64838199999997</v>
      </c>
      <c r="W36" s="48"/>
      <c r="X36" s="60">
        <f t="shared" si="6"/>
        <v>401.64838199999997</v>
      </c>
      <c r="Y36" s="586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J36" s="96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9"/>
        <v>미운영 공장</v>
      </c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/>
      <c r="P37" s="47"/>
      <c r="Q37" s="49">
        <f t="shared" si="11"/>
        <v>0</v>
      </c>
      <c r="R37" s="48">
        <f>+IFERROR(HLOOKUP($I$37,'[3]9월'!$F$6:$BJ$50,3,),)/1000</f>
        <v>0</v>
      </c>
      <c r="S37" s="60">
        <f t="shared" si="4"/>
        <v>0</v>
      </c>
      <c r="T37" s="46">
        <f>SUM('[1]9월'!$AM$26:$AQ$26)/1000</f>
        <v>-3.3575384444596401</v>
      </c>
      <c r="U37" s="47">
        <f>+'[2]9월'!$BF$26/1000</f>
        <v>-3.0501649999999989</v>
      </c>
      <c r="V37" s="49">
        <f t="shared" si="5"/>
        <v>0.30737344445964121</v>
      </c>
      <c r="W37" s="48">
        <f>+'[3]9월'!$BF$26/1000</f>
        <v>-43.327926999999995</v>
      </c>
      <c r="X37" s="60">
        <f>+U37-W37</f>
        <v>40.277761999999996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 t="str">
        <f t="shared" si="9"/>
        <v>기타</v>
      </c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IFERROR(HLOOKUP($B38,'[1]9월'!$D$6:$BN$259,3,),)/1000</f>
        <v>1.77</v>
      </c>
      <c r="P38" s="47">
        <f>+('[2]9월'!$F$8-SUM('[2]9월'!$Z$8,'[2]9월'!$AH$8,'[2]9월'!$AN$8,'[2]9월'!$AO$8,'[2]9월'!$BA$8,'[2]9월'!$BD$8,'[2]9월'!$BE$8,'[2]9월'!$BF$8))/1000</f>
        <v>1.8161999999992549</v>
      </c>
      <c r="Q38" s="55">
        <f t="shared" si="11"/>
        <v>4.6199999999254837E-2</v>
      </c>
      <c r="R38" s="61">
        <f>+('[3]9월'!$F$8-SUM('[3]9월'!$Z$8,'[3]9월'!$AH$8,'[3]9월'!$AN$8,'[3]9월'!$AO$8,'[3]9월'!$BA$8,'[3]9월'!$BD$8,'[3]9월'!$BE$8,'[3]9월'!$BF$8))/1000</f>
        <v>1.7741000000014902</v>
      </c>
      <c r="S38" s="62">
        <f t="shared" si="4"/>
        <v>4.2099999997764703E-2</v>
      </c>
      <c r="T38" s="46">
        <f>+('[1]9월'!$E$26-'[1]9월'!$Z$26-'[1]9월'!$AA$26-'[1]9월'!$AE$26-'[1]9월'!$AL$26-'[1]9월'!$AM$26-'[1]9월'!$AN$26-'[1]9월'!$AO$26-'[1]9월'!$AP$26-'[1]9월'!$AQ$26-'[1]9월'!$AS$26)/1000</f>
        <v>-68.088928999997762</v>
      </c>
      <c r="U38" s="47">
        <f>+('[2]9월'!$F$26-SUM('[2]9월'!$Z$26,'[2]9월'!$AH$26,'[2]9월'!$AN$26,'[2]9월'!$AO$26,'[2]9월'!$BA$26,'[2]9월'!$BD$26,'[2]9월'!$BE$26,'[2]9월'!$BF$26))/1000+'[2]9월'!$BD$26/1000</f>
        <v>243.74512100000248</v>
      </c>
      <c r="V38" s="49">
        <f t="shared" si="5"/>
        <v>311.83405000000027</v>
      </c>
      <c r="W38" s="61">
        <f>+('[3]9월'!$F$26-SUM('[3]9월'!$Z$26,'[3]9월'!$AH$26,'[3]9월'!$AN$26,'[3]9월'!$AO$26,'[3]9월'!$BA$26,'[3]9월'!$BD$26,'[3]9월'!$BE$26,'[3]9월'!$BF$26))/1000+'[3]9월'!$BE$26/1000</f>
        <v>-793.39645100000098</v>
      </c>
      <c r="X38" s="60">
        <f t="shared" si="6"/>
        <v>1037.1415720000034</v>
      </c>
      <c r="Y38" s="595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10"/>
        <v>0</v>
      </c>
      <c r="O39" s="46"/>
      <c r="P39" s="47"/>
      <c r="Q39" s="55">
        <f t="shared" si="11"/>
        <v>0</v>
      </c>
      <c r="R39" s="61"/>
      <c r="S39" s="62">
        <f t="shared" si="4"/>
        <v>0</v>
      </c>
      <c r="T39" s="46"/>
      <c r="U39" s="47"/>
      <c r="V39" s="49">
        <f t="shared" si="5"/>
        <v>0</v>
      </c>
      <c r="W39" s="61"/>
      <c r="X39" s="60"/>
      <c r="Y39" s="5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10"/>
        <v>0</v>
      </c>
      <c r="O40" s="148">
        <f>SUM(O33:O39)</f>
        <v>165.50750033333335</v>
      </c>
      <c r="P40" s="149">
        <f>SUM(P33:P39)</f>
        <v>165.97438099999925</v>
      </c>
      <c r="Q40" s="153">
        <f t="shared" si="3"/>
        <v>0.46688066666590089</v>
      </c>
      <c r="R40" s="154">
        <f>SUM(R33:R39)</f>
        <v>185.37696400000149</v>
      </c>
      <c r="S40" s="155">
        <f>+P40-R40</f>
        <v>-19.402583000002238</v>
      </c>
      <c r="T40" s="148">
        <f>SUM(T33:T39)</f>
        <v>-1078.0853433801346</v>
      </c>
      <c r="U40" s="149">
        <f>SUM(U33:U39)</f>
        <v>-574.50852780759396</v>
      </c>
      <c r="V40" s="153">
        <f>+U40-T40</f>
        <v>503.57681557254068</v>
      </c>
      <c r="W40" s="154">
        <f>SUM(W33:W39)</f>
        <v>-1924.4229540000013</v>
      </c>
      <c r="X40" s="155">
        <f>+U40-W40</f>
        <v>1349.9144261924073</v>
      </c>
      <c r="Y40" s="588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>
        <v>19</v>
      </c>
      <c r="V41" s="32">
        <v>12.4</v>
      </c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</row>
    <row r="42" spans="2:38" s="3" customFormat="1" ht="19.5" customHeight="1" x14ac:dyDescent="0.3">
      <c r="G42" s="797">
        <f>+P42/O42</f>
        <v>0.81559874410709621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39715.507970113576</v>
      </c>
      <c r="P42" s="642">
        <f>+P27+P32+P28+P40</f>
        <v>32391.918422000002</v>
      </c>
      <c r="Q42" s="643">
        <f t="shared" si="3"/>
        <v>-7323.589548113574</v>
      </c>
      <c r="R42" s="644">
        <f>+R27+R32+R28+R40</f>
        <v>42187.033673999998</v>
      </c>
      <c r="S42" s="645">
        <f>+P42-R42</f>
        <v>-9795.115251999996</v>
      </c>
      <c r="T42" s="641">
        <f>+T27+T32+T28+T40</f>
        <v>3577.9809630573036</v>
      </c>
      <c r="U42" s="642">
        <f>+U27+U32+U28+U40</f>
        <v>829.66716299732661</v>
      </c>
      <c r="V42" s="643">
        <f>+U42-T42</f>
        <v>-2748.313800059977</v>
      </c>
      <c r="W42" s="644">
        <f>+W27+W32+W28+W40</f>
        <v>2064.7026049999977</v>
      </c>
      <c r="X42" s="645">
        <f>+U42-W42</f>
        <v>-1235.0354420026711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</row>
    <row r="43" spans="2:38" s="34" customFormat="1" x14ac:dyDescent="0.3">
      <c r="G43" s="794">
        <f>+U42/T42</f>
        <v>0.23188137990773289</v>
      </c>
      <c r="P43" s="661">
        <f>+P42/O42</f>
        <v>0.81559874410709621</v>
      </c>
      <c r="T43" s="661">
        <f>+T42/O42</f>
        <v>9.0090273193780615E-2</v>
      </c>
      <c r="U43" s="661">
        <f>+U42/P42</f>
        <v>2.5613399990345485E-2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+'[1]9월'!$Z$7/1000</f>
        <v>288.5</v>
      </c>
      <c r="K45" s="139">
        <f>+'[2]9월'!$AI$7/1000</f>
        <v>236.2843</v>
      </c>
      <c r="L45" s="139"/>
      <c r="M45" s="139">
        <f>+'[3]9월'!$Z$7/1000</f>
        <v>315.19049999999999</v>
      </c>
      <c r="N45" s="139"/>
      <c r="O45" s="139">
        <f>+'[1]9월'!$E$8/1000</f>
        <v>39715.507970113584</v>
      </c>
      <c r="P45" s="139">
        <f>+'[2]9월'!$F$8/1000</f>
        <v>32391.918422000002</v>
      </c>
      <c r="Q45" s="139"/>
      <c r="R45" s="139">
        <f>+'[3]9월'!$F$8/1000</f>
        <v>42187.033673999998</v>
      </c>
      <c r="S45" s="139"/>
      <c r="T45" s="144">
        <f>+'[1]9월'!$E$26/1000</f>
        <v>3577.9809630573041</v>
      </c>
      <c r="U45" s="139">
        <f>+'[2]9월'!$F$26/1000</f>
        <v>829.66716299732582</v>
      </c>
      <c r="V45" s="139"/>
      <c r="W45" s="139">
        <f>+'[3]9월'!$F$26/1000</f>
        <v>2064.7026049999977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T48" s="658"/>
      <c r="U48" s="658"/>
      <c r="V48" s="658"/>
      <c r="AC48" s="35"/>
      <c r="AD48" s="34"/>
      <c r="AE48" s="34"/>
      <c r="AF48" s="35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T50" s="659"/>
      <c r="U50" s="659"/>
      <c r="V50" s="658"/>
      <c r="Y50" s="586" t="s">
        <v>234</v>
      </c>
      <c r="AC50" s="35"/>
      <c r="AD50" s="34"/>
      <c r="AE50" s="34"/>
      <c r="AF50" s="35"/>
    </row>
    <row r="51" spans="10:33" x14ac:dyDescent="0.3">
      <c r="T51" s="659"/>
      <c r="U51" s="659"/>
      <c r="V51" s="658"/>
      <c r="AC51" s="35"/>
      <c r="AD51" s="34"/>
      <c r="AE51" s="34"/>
      <c r="AF51" s="35"/>
    </row>
    <row r="52" spans="10:33" x14ac:dyDescent="0.3">
      <c r="AC52" s="35"/>
      <c r="AD52" s="34"/>
      <c r="AE52" s="34"/>
      <c r="AF52" s="35"/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AC57" s="598"/>
      <c r="AD57" s="598"/>
      <c r="AE57" s="598"/>
      <c r="AF57" s="598"/>
    </row>
    <row r="58" spans="10:33" x14ac:dyDescent="0.3">
      <c r="AC58" s="598"/>
      <c r="AD58" s="598"/>
      <c r="AE58" s="598"/>
    </row>
    <row r="59" spans="10:33" x14ac:dyDescent="0.3">
      <c r="AC59" s="598"/>
      <c r="AD59" s="598"/>
      <c r="AE59" s="598"/>
    </row>
    <row r="60" spans="10:33" x14ac:dyDescent="0.3">
      <c r="AC60" s="598"/>
      <c r="AE60" s="598"/>
    </row>
    <row r="61" spans="10:33" x14ac:dyDescent="0.3"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39B-D92B-4405-9B00-FD6FD6AA4685}">
  <sheetPr>
    <tabColor rgb="FF008000"/>
    <pageSetUpPr fitToPage="1"/>
  </sheetPr>
  <dimension ref="A1:AL60"/>
  <sheetViews>
    <sheetView showGridLines="0" showZeros="0" view="pageBreakPreview" topLeftCell="F1" zoomScale="85" zoomScaleNormal="85" zoomScaleSheetLayoutView="85" workbookViewId="0">
      <selection activeCell="T39" sqref="A39:XFD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242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F7" s="9">
        <f>+U7/T7</f>
        <v>0.65948828155964856</v>
      </c>
      <c r="G7" s="794">
        <f t="shared" ref="G7:G22" si="0">+K7/J7</f>
        <v>0.90436756756756764</v>
      </c>
      <c r="H7" s="78" t="s">
        <v>53</v>
      </c>
      <c r="I7" s="79" t="s">
        <v>22</v>
      </c>
      <c r="J7" s="36">
        <f>+'사업장별(당월)'!J7+'[4]사업장별(누계)'!J7</f>
        <v>370</v>
      </c>
      <c r="K7" s="37">
        <f>+'사업장별(당월)'!K7+'[4]사업장별(누계)'!K7</f>
        <v>334.61600000000004</v>
      </c>
      <c r="L7" s="38">
        <f t="shared" ref="L7:L32" si="1">+K7-J7</f>
        <v>-35.383999999999958</v>
      </c>
      <c r="M7" s="39">
        <f>+'사업장별(당월)'!M7+'[4]사업장별(누계)'!M7</f>
        <v>399.88800000000003</v>
      </c>
      <c r="N7" s="40">
        <f>+K7-M7</f>
        <v>-65.271999999999991</v>
      </c>
      <c r="O7" s="36">
        <f>+'사업장별(당월)'!O7+'[4]사업장별(누계)'!O7</f>
        <v>37069.957300000002</v>
      </c>
      <c r="P7" s="37">
        <f>+'사업장별(당월)'!P7+'[4]사업장별(누계)'!P7</f>
        <v>33357.438020000001</v>
      </c>
      <c r="Q7" s="38">
        <f>+P7-O7</f>
        <v>-3712.5192800000004</v>
      </c>
      <c r="R7" s="39">
        <f>+'사업장별(당월)'!R7+'[4]사업장별(누계)'!R7</f>
        <v>37165.112199000003</v>
      </c>
      <c r="S7" s="40">
        <f>+P7-R7</f>
        <v>-3807.6741790000015</v>
      </c>
      <c r="T7" s="36">
        <f>+'사업장별(당월)'!T7+'[4]사업장별(누계)'!T7</f>
        <v>5070.1885287366849</v>
      </c>
      <c r="U7" s="37">
        <f>+'사업장별(당월)'!U7+'[4]사업장별(누계)'!U7</f>
        <v>3343.7299199999993</v>
      </c>
      <c r="V7" s="41">
        <f>+U7-T7</f>
        <v>-1726.4586087366856</v>
      </c>
      <c r="W7" s="42">
        <f>+'사업장별(당월)'!W7+'[4]사업장별(누계)'!W7</f>
        <v>5349.5839989800006</v>
      </c>
      <c r="X7" s="40">
        <f>+U7-W7</f>
        <v>-2005.8540789800013</v>
      </c>
      <c r="Y7" s="36">
        <f>+[11]안양!$Q$85</f>
        <v>100189.0737837838</v>
      </c>
      <c r="Z7" s="37">
        <f>+[11]안양!$R$85</f>
        <v>99684.171921484201</v>
      </c>
      <c r="AA7" s="43">
        <f>+[12]안양!$Q$85</f>
        <v>92912.316817369821</v>
      </c>
      <c r="AB7" s="44">
        <f>+[11]안양!$Q$89</f>
        <v>79028.932605439069</v>
      </c>
      <c r="AC7" s="37">
        <f>+[11]안양!$R$89</f>
        <v>81441.595387351845</v>
      </c>
      <c r="AD7" s="45">
        <f>+[12]안양!$Q$89</f>
        <v>72942.374620313873</v>
      </c>
      <c r="AE7" s="44">
        <f>+Y7-AB7</f>
        <v>21160.141178344726</v>
      </c>
      <c r="AF7" s="37">
        <f>+Z7-AC7</f>
        <v>18242.576534132357</v>
      </c>
      <c r="AG7" s="45">
        <f>+AA7-AD7</f>
        <v>19969.942197055949</v>
      </c>
      <c r="AH7" s="18"/>
      <c r="AI7" s="791"/>
      <c r="AJ7" s="9"/>
    </row>
    <row r="8" spans="2:36" s="8" customFormat="1" ht="19.5" customHeight="1" x14ac:dyDescent="0.3">
      <c r="B8" s="8" t="s">
        <v>23</v>
      </c>
      <c r="F8" s="9">
        <f t="shared" ref="F8:F27" si="2">+U8/T8</f>
        <v>0.55847765460775789</v>
      </c>
      <c r="G8" s="794">
        <f t="shared" si="0"/>
        <v>0.88136996336996332</v>
      </c>
      <c r="H8" s="80" t="s">
        <v>54</v>
      </c>
      <c r="I8" s="81" t="s">
        <v>23</v>
      </c>
      <c r="J8" s="46">
        <f>+'사업장별(당월)'!J8+'[4]사업장별(누계)'!J8</f>
        <v>273</v>
      </c>
      <c r="K8" s="47">
        <f>+'사업장별(당월)'!K8+'[4]사업장별(누계)'!K8</f>
        <v>240.61399999999998</v>
      </c>
      <c r="L8" s="48">
        <f t="shared" si="1"/>
        <v>-32.386000000000024</v>
      </c>
      <c r="M8" s="49">
        <f>+'사업장별(당월)'!M8+'[4]사업장별(누계)'!M8</f>
        <v>334.99099999999999</v>
      </c>
      <c r="N8" s="50">
        <f t="shared" ref="N8:N32" si="3">+K8-M8</f>
        <v>-94.37700000000001</v>
      </c>
      <c r="O8" s="46">
        <f>+'사업장별(당월)'!O8+'[4]사업장별(누계)'!O8</f>
        <v>27722.469950569601</v>
      </c>
      <c r="P8" s="47">
        <f>+'사업장별(당월)'!P8+'[4]사업장별(누계)'!P8</f>
        <v>24052.030667999999</v>
      </c>
      <c r="Q8" s="48">
        <f t="shared" ref="Q8:Q42" si="4">+P8-O8</f>
        <v>-3670.4392825696013</v>
      </c>
      <c r="R8" s="49">
        <f>+'사업장별(당월)'!R8+'[4]사업장별(누계)'!R8</f>
        <v>32103.106254000002</v>
      </c>
      <c r="S8" s="50">
        <f t="shared" ref="S8:S39" si="5">+P8-R8</f>
        <v>-8051.0755860000027</v>
      </c>
      <c r="T8" s="46">
        <f>+'사업장별(당월)'!T8+'[4]사업장별(누계)'!T8</f>
        <v>2862.1879350440067</v>
      </c>
      <c r="U8" s="47">
        <f>+'사업장별(당월)'!U8+'[4]사업장별(누계)'!U8</f>
        <v>1598.4680050099985</v>
      </c>
      <c r="V8" s="48">
        <f t="shared" ref="V8:V39" si="6">+U8-T8</f>
        <v>-1263.7199300340083</v>
      </c>
      <c r="W8" s="49">
        <f>+'사업장별(당월)'!W8+'[4]사업장별(누계)'!W8</f>
        <v>3919.8290459999994</v>
      </c>
      <c r="X8" s="50">
        <f t="shared" ref="X8:X38" si="7">+U8-W8</f>
        <v>-2321.3610409900011</v>
      </c>
      <c r="Y8" s="46">
        <f>+[11]인천!$Q$85</f>
        <v>101547.50897644542</v>
      </c>
      <c r="Z8" s="47">
        <f>+[11]인천!$R$85</f>
        <v>99965.701191674088</v>
      </c>
      <c r="AA8" s="51">
        <f>+[12]인천!$Q$85</f>
        <v>95811.617161933769</v>
      </c>
      <c r="AB8" s="52">
        <f>+[11]인천!$Q$89</f>
        <v>81151.822719110205</v>
      </c>
      <c r="AC8" s="47">
        <f>+[11]인천!$R$89</f>
        <v>82345.503357963928</v>
      </c>
      <c r="AD8" s="53">
        <f>+[12]인천!$Q$89</f>
        <v>75972.432056782651</v>
      </c>
      <c r="AE8" s="52">
        <f t="shared" ref="AE8:AG27" si="8">+Y8-AB8</f>
        <v>20395.686257335212</v>
      </c>
      <c r="AF8" s="47">
        <f t="shared" si="8"/>
        <v>17620.197833710161</v>
      </c>
      <c r="AG8" s="53">
        <f t="shared" si="8"/>
        <v>19839.185105151118</v>
      </c>
      <c r="AH8" s="18"/>
      <c r="AI8" s="791"/>
      <c r="AJ8" s="96"/>
    </row>
    <row r="9" spans="2:36" s="8" customFormat="1" ht="19.5" customHeight="1" x14ac:dyDescent="0.3">
      <c r="B9" s="8" t="s">
        <v>24</v>
      </c>
      <c r="F9" s="9">
        <f t="shared" si="2"/>
        <v>0.55658247087558421</v>
      </c>
      <c r="G9" s="794">
        <f t="shared" si="0"/>
        <v>0.98384615384615393</v>
      </c>
      <c r="H9" s="80"/>
      <c r="I9" s="81" t="s">
        <v>24</v>
      </c>
      <c r="J9" s="46">
        <f>+'사업장별(당월)'!J9+'[4]사업장별(누계)'!J9</f>
        <v>221</v>
      </c>
      <c r="K9" s="47">
        <f>+'사업장별(당월)'!K9+'[4]사업장별(누계)'!K9</f>
        <v>217.43</v>
      </c>
      <c r="L9" s="48">
        <f t="shared" si="1"/>
        <v>-3.5699999999999932</v>
      </c>
      <c r="M9" s="49">
        <f>+'사업장별(당월)'!M9+'[4]사업장별(누계)'!M9</f>
        <v>234.142</v>
      </c>
      <c r="N9" s="50">
        <f t="shared" si="3"/>
        <v>-16.711999999999989</v>
      </c>
      <c r="O9" s="46">
        <f>+'사업장별(당월)'!O9+'[4]사업장별(누계)'!O9</f>
        <v>21780.382060096901</v>
      </c>
      <c r="P9" s="47">
        <f>+'사업장별(당월)'!P9+'[4]사업장별(누계)'!P9</f>
        <v>21232.172845000001</v>
      </c>
      <c r="Q9" s="48">
        <f t="shared" si="4"/>
        <v>-548.20921509690015</v>
      </c>
      <c r="R9" s="49">
        <f>+'사업장별(당월)'!R9+'[4]사업장별(누계)'!R9</f>
        <v>21568.782824999995</v>
      </c>
      <c r="S9" s="50">
        <f t="shared" si="5"/>
        <v>-336.60997999999381</v>
      </c>
      <c r="T9" s="46">
        <f>+'사업장별(당월)'!T9+'[4]사업장별(누계)'!T9</f>
        <v>2911.5541196449994</v>
      </c>
      <c r="U9" s="47">
        <f>+'사업장별(당월)'!U9+'[4]사업장별(누계)'!U9</f>
        <v>1620.519986</v>
      </c>
      <c r="V9" s="48">
        <f t="shared" si="6"/>
        <v>-1291.0341336449994</v>
      </c>
      <c r="W9" s="49">
        <f>+'사업장별(당월)'!W9+'[4]사업장별(누계)'!W9</f>
        <v>2435.4324220099988</v>
      </c>
      <c r="X9" s="50">
        <f t="shared" si="7"/>
        <v>-814.91243600999883</v>
      </c>
      <c r="Y9" s="46">
        <f>+[11]파주!$Q$85</f>
        <v>98553.764977814062</v>
      </c>
      <c r="Z9" s="47">
        <f>+[11]파주!$R$85</f>
        <v>97669.561846317039</v>
      </c>
      <c r="AA9" s="51">
        <f>+[12]파주!$Q$85</f>
        <v>92102.674808206255</v>
      </c>
      <c r="AB9" s="52">
        <f>+[11]파주!$Q$89</f>
        <v>76286.031415248392</v>
      </c>
      <c r="AC9" s="47">
        <f>+[11]파주!$R$89</f>
        <v>80630.911460417003</v>
      </c>
      <c r="AD9" s="53">
        <f>+[12]파주!$Q$89</f>
        <v>73131.663015495331</v>
      </c>
      <c r="AE9" s="52">
        <f t="shared" si="8"/>
        <v>22267.733562565671</v>
      </c>
      <c r="AF9" s="47">
        <f t="shared" si="8"/>
        <v>17038.650385900037</v>
      </c>
      <c r="AG9" s="53">
        <f t="shared" si="8"/>
        <v>18971.011792710924</v>
      </c>
      <c r="AH9" s="18"/>
      <c r="AI9" s="791"/>
      <c r="AJ9" s="96"/>
    </row>
    <row r="10" spans="2:36" s="8" customFormat="1" ht="19.5" customHeight="1" x14ac:dyDescent="0.3">
      <c r="B10" s="8" t="s">
        <v>175</v>
      </c>
      <c r="F10" s="9">
        <f t="shared" si="2"/>
        <v>0.5005017761725894</v>
      </c>
      <c r="G10" s="794">
        <f t="shared" si="0"/>
        <v>0.76280669144981395</v>
      </c>
      <c r="H10" s="80"/>
      <c r="I10" s="81" t="s">
        <v>172</v>
      </c>
      <c r="J10" s="46">
        <f>+'사업장별(당월)'!J10+'[4]사업장별(누계)'!J10</f>
        <v>134.5</v>
      </c>
      <c r="K10" s="47">
        <f>+'사업장별(당월)'!K10+'[4]사업장별(누계)'!K10</f>
        <v>102.59749999999998</v>
      </c>
      <c r="L10" s="48">
        <f t="shared" si="1"/>
        <v>-31.902500000000018</v>
      </c>
      <c r="M10" s="49">
        <f>+'사업장별(당월)'!M10+'[4]사업장별(누계)'!M10</f>
        <v>145.07400000000001</v>
      </c>
      <c r="N10" s="50">
        <f t="shared" si="3"/>
        <v>-42.47650000000003</v>
      </c>
      <c r="O10" s="46">
        <f>+'사업장별(당월)'!O10+'[4]사업장별(누계)'!O10</f>
        <v>12855.481</v>
      </c>
      <c r="P10" s="47">
        <f>+'사업장별(당월)'!P10+'[4]사업장별(누계)'!P10</f>
        <v>10047.479192000001</v>
      </c>
      <c r="Q10" s="48">
        <f t="shared" si="4"/>
        <v>-2808.0018079999991</v>
      </c>
      <c r="R10" s="49">
        <f>+'사업장별(당월)'!R10+'[4]사업장별(누계)'!R10</f>
        <v>13013.835076000001</v>
      </c>
      <c r="S10" s="50">
        <f t="shared" si="5"/>
        <v>-2966.3558840000005</v>
      </c>
      <c r="T10" s="46">
        <f>+'사업장별(당월)'!T10+'[4]사업장별(누계)'!T10</f>
        <v>1720.5477262942857</v>
      </c>
      <c r="U10" s="47">
        <f>+'사업장별(당월)'!U10+'[4]사업장별(누계)'!U10</f>
        <v>861.13719300000025</v>
      </c>
      <c r="V10" s="48">
        <f t="shared" si="6"/>
        <v>-859.41053329428541</v>
      </c>
      <c r="W10" s="49">
        <f>+'사업장별(당월)'!W10+'[4]사업장별(누계)'!W10</f>
        <v>1622.0566760000004</v>
      </c>
      <c r="X10" s="50">
        <f t="shared" si="7"/>
        <v>-760.91948300000013</v>
      </c>
      <c r="Y10" s="46">
        <f>+[11]김포!$Q$85</f>
        <v>95579.784386617102</v>
      </c>
      <c r="Z10" s="47">
        <f>+[11]김포!$R$85</f>
        <v>97948.633763579288</v>
      </c>
      <c r="AA10" s="51">
        <f>+[12]김포!$Q$85</f>
        <v>89668.989428587331</v>
      </c>
      <c r="AB10" s="52">
        <f>+[11]김포!$Q$89</f>
        <v>71663.359064313438</v>
      </c>
      <c r="AC10" s="47">
        <f>+[11]김포!$R$89</f>
        <v>75397.686317268075</v>
      </c>
      <c r="AD10" s="53">
        <f>+[12]김포!$Q$89</f>
        <v>68014.937227210801</v>
      </c>
      <c r="AE10" s="52">
        <f t="shared" si="8"/>
        <v>23916.425322303665</v>
      </c>
      <c r="AF10" s="47">
        <f t="shared" si="8"/>
        <v>22550.947446311213</v>
      </c>
      <c r="AG10" s="53">
        <f t="shared" si="8"/>
        <v>21654.052201376529</v>
      </c>
      <c r="AH10" s="18"/>
      <c r="AI10" s="791"/>
      <c r="AJ10" s="96"/>
    </row>
    <row r="11" spans="2:36" s="8" customFormat="1" ht="19.5" customHeight="1" x14ac:dyDescent="0.3">
      <c r="B11" s="8" t="s">
        <v>25</v>
      </c>
      <c r="F11" s="9">
        <f t="shared" si="2"/>
        <v>0.71660369588875272</v>
      </c>
      <c r="G11" s="794">
        <f t="shared" si="0"/>
        <v>1.0139915730337079</v>
      </c>
      <c r="H11" s="80"/>
      <c r="I11" s="82" t="s">
        <v>25</v>
      </c>
      <c r="J11" s="63">
        <f>+'사업장별(당월)'!J11+'[4]사업장별(누계)'!J11</f>
        <v>178</v>
      </c>
      <c r="K11" s="64">
        <f>+'사업장별(당월)'!K11+'[4]사업장별(누계)'!K11</f>
        <v>180.4905</v>
      </c>
      <c r="L11" s="65">
        <f t="shared" si="1"/>
        <v>2.4904999999999973</v>
      </c>
      <c r="M11" s="66">
        <f>+'사업장별(당월)'!M11+'[4]사업장별(누계)'!M11</f>
        <v>210.18049999999999</v>
      </c>
      <c r="N11" s="67">
        <f t="shared" si="3"/>
        <v>-29.689999999999998</v>
      </c>
      <c r="O11" s="63">
        <f>+'사업장별(당월)'!O11+'[4]사업장별(누계)'!O11</f>
        <v>19152.806589249998</v>
      </c>
      <c r="P11" s="64">
        <f>+'사업장별(당월)'!P11+'[4]사업장별(누계)'!P11</f>
        <v>19514.874640999999</v>
      </c>
      <c r="Q11" s="65">
        <f t="shared" si="4"/>
        <v>362.06805175000045</v>
      </c>
      <c r="R11" s="66">
        <f>+'사업장별(당월)'!R11+'[4]사업장별(누계)'!R11</f>
        <v>21674.129219999999</v>
      </c>
      <c r="S11" s="67">
        <f t="shared" si="5"/>
        <v>-2159.2545790000004</v>
      </c>
      <c r="T11" s="63">
        <f>+'사업장별(당월)'!T11+'[4]사업장별(누계)'!T11</f>
        <v>2781.5294931292633</v>
      </c>
      <c r="U11" s="64">
        <f>+'사업장별(당월)'!U11+'[4]사업장별(누계)'!U11</f>
        <v>1993.2543149999992</v>
      </c>
      <c r="V11" s="65">
        <f t="shared" si="6"/>
        <v>-788.27517812926408</v>
      </c>
      <c r="W11" s="66">
        <f>+'사업장별(당월)'!W11+'[4]사업장별(누계)'!W11</f>
        <v>3808.7772869999994</v>
      </c>
      <c r="X11" s="67">
        <f t="shared" si="7"/>
        <v>-1815.5229720000002</v>
      </c>
      <c r="Y11" s="63">
        <f>+[11]부산!$Q$85</f>
        <v>107600.03701825842</v>
      </c>
      <c r="Z11" s="64">
        <f>+[11]부산!$R$85</f>
        <v>108121.3395774293</v>
      </c>
      <c r="AA11" s="68">
        <f>+[12]부산!$Q$85</f>
        <v>103121.5037551057</v>
      </c>
      <c r="AB11" s="69">
        <f>+[11]부산!$Q$89</f>
        <v>78337.483773070227</v>
      </c>
      <c r="AC11" s="64">
        <f>+[11]부산!$R$89</f>
        <v>83970.264187235967</v>
      </c>
      <c r="AD11" s="70">
        <f>+[12]부산!$Q$89</f>
        <v>74328.83429961295</v>
      </c>
      <c r="AE11" s="69">
        <f t="shared" si="8"/>
        <v>29262.553245188188</v>
      </c>
      <c r="AF11" s="64">
        <f t="shared" si="8"/>
        <v>24151.075390193335</v>
      </c>
      <c r="AG11" s="70">
        <f t="shared" si="8"/>
        <v>28792.669455492753</v>
      </c>
      <c r="AH11" s="18"/>
      <c r="AI11" s="791"/>
      <c r="AJ11" s="96"/>
    </row>
    <row r="12" spans="2:36" s="8" customFormat="1" ht="19.5" customHeight="1" x14ac:dyDescent="0.3">
      <c r="B12" s="8" t="s">
        <v>26</v>
      </c>
      <c r="F12" s="9">
        <f t="shared" si="2"/>
        <v>0.57068267886029223</v>
      </c>
      <c r="G12" s="794">
        <f t="shared" si="0"/>
        <v>0.88447641509433972</v>
      </c>
      <c r="H12" s="80"/>
      <c r="I12" s="81" t="s">
        <v>26</v>
      </c>
      <c r="J12" s="46">
        <f>+'사업장별(당월)'!J12+'[4]사업장별(누계)'!J12</f>
        <v>212</v>
      </c>
      <c r="K12" s="47">
        <f>+'사업장별(당월)'!K12+'[4]사업장별(누계)'!K12</f>
        <v>187.50900000000001</v>
      </c>
      <c r="L12" s="48">
        <f t="shared" si="1"/>
        <v>-24.490999999999985</v>
      </c>
      <c r="M12" s="49">
        <f>+'사업장별(당월)'!M12+'[4]사업장별(누계)'!M12</f>
        <v>192.12099999999998</v>
      </c>
      <c r="N12" s="50">
        <f t="shared" si="3"/>
        <v>-4.6119999999999663</v>
      </c>
      <c r="O12" s="46">
        <f>+'사업장별(당월)'!O12+'[4]사업장별(누계)'!O12</f>
        <v>22002.987240000002</v>
      </c>
      <c r="P12" s="47">
        <f>+'사업장별(당월)'!P12+'[4]사업장별(누계)'!P12</f>
        <v>18965.681831000002</v>
      </c>
      <c r="Q12" s="48">
        <f t="shared" si="4"/>
        <v>-3037.3054090000005</v>
      </c>
      <c r="R12" s="49">
        <f>+'사업장별(당월)'!R12+'[4]사업장별(누계)'!R12</f>
        <v>19346.943192000002</v>
      </c>
      <c r="S12" s="50">
        <f t="shared" si="5"/>
        <v>-381.26136100000076</v>
      </c>
      <c r="T12" s="46">
        <f>+'사업장별(당월)'!T12+'[4]사업장별(누계)'!T12</f>
        <v>3781.4324981962441</v>
      </c>
      <c r="U12" s="47">
        <f>+'사업장별(당월)'!U12+'[4]사업장별(누계)'!U12</f>
        <v>2157.9980279999995</v>
      </c>
      <c r="V12" s="48">
        <f t="shared" si="6"/>
        <v>-1623.4344701962445</v>
      </c>
      <c r="W12" s="49">
        <f>+'사업장별(당월)'!W12+'[4]사업장별(누계)'!W12</f>
        <v>3256.2757489999999</v>
      </c>
      <c r="X12" s="50">
        <f t="shared" si="7"/>
        <v>-1098.2777210000004</v>
      </c>
      <c r="Y12" s="46">
        <f>+[11]서부산!$Q$85</f>
        <v>103787.67566037734</v>
      </c>
      <c r="Z12" s="47">
        <f>+[11]서부산!$R$85</f>
        <v>101146.83903888524</v>
      </c>
      <c r="AA12" s="51">
        <f>+[12]서부산!$Q$85</f>
        <v>100701.86596988357</v>
      </c>
      <c r="AB12" s="52">
        <f>+[11]서부산!$Q$89</f>
        <v>76948.079010604721</v>
      </c>
      <c r="AC12" s="47">
        <f>+[11]서부산!$R$89</f>
        <v>78909.296380007829</v>
      </c>
      <c r="AD12" s="53">
        <f>+[12]서부산!$Q$89</f>
        <v>74211.611439277636</v>
      </c>
      <c r="AE12" s="52">
        <f t="shared" si="8"/>
        <v>26839.596649772619</v>
      </c>
      <c r="AF12" s="47">
        <f t="shared" si="8"/>
        <v>22237.542658877413</v>
      </c>
      <c r="AG12" s="53">
        <f t="shared" si="8"/>
        <v>26490.254530605933</v>
      </c>
      <c r="AH12" s="18"/>
      <c r="AI12" s="791"/>
      <c r="AJ12" s="96"/>
    </row>
    <row r="13" spans="2:36" s="8" customFormat="1" ht="19.5" customHeight="1" x14ac:dyDescent="0.3">
      <c r="B13" s="8" t="s">
        <v>27</v>
      </c>
      <c r="F13" s="9">
        <f t="shared" si="2"/>
        <v>0.56528606268427661</v>
      </c>
      <c r="G13" s="794">
        <f t="shared" si="0"/>
        <v>1.1598846153846154</v>
      </c>
      <c r="H13" s="80"/>
      <c r="I13" s="81" t="s">
        <v>27</v>
      </c>
      <c r="J13" s="46">
        <f>+'사업장별(당월)'!J13+'[4]사업장별(누계)'!J13</f>
        <v>104</v>
      </c>
      <c r="K13" s="47">
        <f>+'사업장별(당월)'!K13+'[4]사업장별(누계)'!K13</f>
        <v>120.628</v>
      </c>
      <c r="L13" s="48">
        <f t="shared" si="1"/>
        <v>16.628</v>
      </c>
      <c r="M13" s="49">
        <f>+'사업장별(당월)'!M13+'[4]사업장별(누계)'!M13</f>
        <v>117.15</v>
      </c>
      <c r="N13" s="50">
        <f t="shared" si="3"/>
        <v>3.4779999999999944</v>
      </c>
      <c r="O13" s="46">
        <f>+'사업장별(당월)'!O13+'[4]사업장별(누계)'!O13</f>
        <v>10503.988999999998</v>
      </c>
      <c r="P13" s="47">
        <f>+'사업장별(당월)'!P13+'[4]사업장별(누계)'!P13</f>
        <v>11543.274899999999</v>
      </c>
      <c r="Q13" s="48">
        <f t="shared" si="4"/>
        <v>1039.2859000000008</v>
      </c>
      <c r="R13" s="49">
        <f>+'사업장별(당월)'!R13+'[4]사업장별(누계)'!R13</f>
        <v>11469.056397999999</v>
      </c>
      <c r="S13" s="50">
        <f t="shared" si="5"/>
        <v>74.218501999999717</v>
      </c>
      <c r="T13" s="46">
        <f>+'사업장별(당월)'!T13+'[4]사업장별(누계)'!T13</f>
        <v>1255.3955560661991</v>
      </c>
      <c r="U13" s="47">
        <f>+'사업장별(당월)'!U13+'[4]사업장별(누계)'!U13</f>
        <v>709.65761099999975</v>
      </c>
      <c r="V13" s="48">
        <f t="shared" si="6"/>
        <v>-545.73794506619936</v>
      </c>
      <c r="W13" s="49">
        <f>+'사업장별(당월)'!W13+'[4]사업장별(누계)'!W13</f>
        <v>1514.0367180000001</v>
      </c>
      <c r="X13" s="50">
        <f t="shared" si="7"/>
        <v>-804.37910700000032</v>
      </c>
      <c r="Y13" s="46">
        <f>+[11]김해!$Q$85</f>
        <v>100999.89423076925</v>
      </c>
      <c r="Z13" s="47">
        <f>+[11]김해!$R$85</f>
        <v>95792.183456542436</v>
      </c>
      <c r="AA13" s="51">
        <f>+[12]김해!$Q$85</f>
        <v>97918.474469286171</v>
      </c>
      <c r="AB13" s="52">
        <f>+[11]김해!$Q$89</f>
        <v>76387.787490127375</v>
      </c>
      <c r="AC13" s="47">
        <f>+[11]김해!$R$89</f>
        <v>78786.82704707318</v>
      </c>
      <c r="AD13" s="53">
        <f>+[12]김해!$Q$89</f>
        <v>74094.354444995639</v>
      </c>
      <c r="AE13" s="52">
        <f t="shared" si="8"/>
        <v>24612.106740641873</v>
      </c>
      <c r="AF13" s="47">
        <f t="shared" si="8"/>
        <v>17005.356409469256</v>
      </c>
      <c r="AG13" s="53">
        <f t="shared" si="8"/>
        <v>23824.120024290532</v>
      </c>
      <c r="AH13" s="18"/>
      <c r="AI13" s="791"/>
      <c r="AJ13" s="96"/>
    </row>
    <row r="14" spans="2:36" s="8" customFormat="1" ht="19.5" customHeight="1" x14ac:dyDescent="0.3">
      <c r="B14" s="8" t="s">
        <v>28</v>
      </c>
      <c r="F14" s="9">
        <f t="shared" si="2"/>
        <v>0.73702143610407345</v>
      </c>
      <c r="G14" s="794">
        <f t="shared" si="0"/>
        <v>1.1391785714285716</v>
      </c>
      <c r="H14" s="80"/>
      <c r="I14" s="81" t="s">
        <v>28</v>
      </c>
      <c r="J14" s="46">
        <f>+'사업장별(당월)'!J14+'[4]사업장별(누계)'!J14</f>
        <v>154</v>
      </c>
      <c r="K14" s="47">
        <f>+'사업장별(당월)'!K14+'[4]사업장별(누계)'!K14</f>
        <v>175.43350000000001</v>
      </c>
      <c r="L14" s="48">
        <f t="shared" si="1"/>
        <v>21.433500000000009</v>
      </c>
      <c r="M14" s="49">
        <f>+'사업장별(당월)'!M14+'[4]사업장별(누계)'!M14</f>
        <v>167.46499999999997</v>
      </c>
      <c r="N14" s="50">
        <f t="shared" si="3"/>
        <v>7.9685000000000343</v>
      </c>
      <c r="O14" s="46">
        <f>+'사업장별(당월)'!O14+'[4]사업장별(누계)'!O14</f>
        <v>16016</v>
      </c>
      <c r="P14" s="47">
        <f>+'사업장별(당월)'!P14+'[4]사업장별(누계)'!P14</f>
        <v>17795.158349999998</v>
      </c>
      <c r="Q14" s="48">
        <f t="shared" si="4"/>
        <v>1779.1583499999979</v>
      </c>
      <c r="R14" s="49">
        <f>+'사업장별(당월)'!R14+'[4]사업장별(누계)'!R14</f>
        <v>16882.394919999999</v>
      </c>
      <c r="S14" s="50">
        <f t="shared" si="5"/>
        <v>912.76342999999906</v>
      </c>
      <c r="T14" s="46">
        <f>+'사업장별(당월)'!T14+'[4]사업장별(누계)'!T14</f>
        <v>2171.2407192102764</v>
      </c>
      <c r="U14" s="47">
        <f>+'사업장별(당월)'!U14+'[4]사업장별(누계)'!U14</f>
        <v>1600.2509529999993</v>
      </c>
      <c r="V14" s="48">
        <f t="shared" si="6"/>
        <v>-570.98976621027714</v>
      </c>
      <c r="W14" s="49">
        <f>+'사업장별(당월)'!W14+'[4]사업장별(누계)'!W14</f>
        <v>2577.6062740000007</v>
      </c>
      <c r="X14" s="50">
        <f t="shared" si="7"/>
        <v>-977.35532100000137</v>
      </c>
      <c r="Y14" s="46">
        <f>+[11]정관!$Q$85</f>
        <v>104000</v>
      </c>
      <c r="Z14" s="47">
        <f>+[11]정관!$R$85</f>
        <v>101435.34929189694</v>
      </c>
      <c r="AA14" s="51">
        <f>+[12]정관!$Q$85</f>
        <v>100811.48251873527</v>
      </c>
      <c r="AB14" s="52">
        <f>+[11]정관!$Q$89</f>
        <v>78232.248989976564</v>
      </c>
      <c r="AC14" s="47">
        <f>+[11]정관!$R$89</f>
        <v>81822.96916236823</v>
      </c>
      <c r="AD14" s="53">
        <f>+[12]정관!$Q$89</f>
        <v>75189.007282103921</v>
      </c>
      <c r="AE14" s="52">
        <f t="shared" si="8"/>
        <v>25767.751010023436</v>
      </c>
      <c r="AF14" s="47">
        <f t="shared" si="8"/>
        <v>19612.380129528712</v>
      </c>
      <c r="AG14" s="53">
        <f t="shared" si="8"/>
        <v>25622.475236631348</v>
      </c>
      <c r="AH14" s="18"/>
      <c r="AI14" s="791"/>
      <c r="AJ14" s="96"/>
    </row>
    <row r="15" spans="2:36" s="8" customFormat="1" ht="19.5" customHeight="1" x14ac:dyDescent="0.3">
      <c r="B15" s="8" t="s">
        <v>29</v>
      </c>
      <c r="F15" s="9">
        <f t="shared" si="2"/>
        <v>0.77631563893561839</v>
      </c>
      <c r="G15" s="794">
        <f t="shared" si="0"/>
        <v>1.1997978723404257</v>
      </c>
      <c r="H15" s="80"/>
      <c r="I15" s="81" t="s">
        <v>214</v>
      </c>
      <c r="J15" s="46">
        <f>+'사업장별(당월)'!J15+'[4]사업장별(누계)'!J15</f>
        <v>94</v>
      </c>
      <c r="K15" s="47">
        <f>+'사업장별(당월)'!K15+'[4]사업장별(누계)'!K15</f>
        <v>112.78100000000002</v>
      </c>
      <c r="L15" s="48">
        <f t="shared" si="1"/>
        <v>18.78100000000002</v>
      </c>
      <c r="M15" s="49">
        <f>+'사업장별(당월)'!M15+'[4]사업장별(누계)'!M15</f>
        <v>124.61600000000001</v>
      </c>
      <c r="N15" s="50">
        <f t="shared" si="3"/>
        <v>-11.834999999999994</v>
      </c>
      <c r="O15" s="46">
        <f>+'사업장별(당월)'!O15+'[4]사업장별(누계)'!O15</f>
        <v>9086.2111640000003</v>
      </c>
      <c r="P15" s="47">
        <f>+'사업장별(당월)'!P15+'[4]사업장별(누계)'!P15</f>
        <v>10439.652218000001</v>
      </c>
      <c r="Q15" s="48">
        <f t="shared" si="4"/>
        <v>1353.4410540000008</v>
      </c>
      <c r="R15" s="49">
        <f>+'사업장별(당월)'!R15+'[4]사업장별(누계)'!R15</f>
        <v>11666.632911999999</v>
      </c>
      <c r="S15" s="50">
        <f t="shared" si="5"/>
        <v>-1226.980693999998</v>
      </c>
      <c r="T15" s="46">
        <f>+'사업장별(당월)'!T15+'[4]사업장별(누계)'!T15</f>
        <v>1202.8616520984995</v>
      </c>
      <c r="U15" s="47">
        <f>+'사업장별(당월)'!U15+'[4]사업장별(누계)'!U15</f>
        <v>933.80031200000019</v>
      </c>
      <c r="V15" s="48">
        <f t="shared" si="6"/>
        <v>-269.06134009849927</v>
      </c>
      <c r="W15" s="49">
        <f>+'사업장별(당월)'!W15+'[4]사업장별(누계)'!W15</f>
        <v>1798.123292</v>
      </c>
      <c r="X15" s="50">
        <f t="shared" si="7"/>
        <v>-864.3229799999998</v>
      </c>
      <c r="Y15" s="46">
        <f>+[11]양산!$Q$85</f>
        <v>96661.820893617027</v>
      </c>
      <c r="Z15" s="47">
        <f>+[11]양산!$R$85</f>
        <v>92565.700055860478</v>
      </c>
      <c r="AA15" s="51">
        <f>+[12]양산!$Q$85</f>
        <v>93622.357438132618</v>
      </c>
      <c r="AB15" s="52">
        <f>+[11]양산!$Q$89</f>
        <v>70320.794082876484</v>
      </c>
      <c r="AC15" s="47">
        <f>+[11]양산!$R$89</f>
        <v>73029.102760069858</v>
      </c>
      <c r="AD15" s="53">
        <f>+[12]양산!$Q$89</f>
        <v>68603.93705710044</v>
      </c>
      <c r="AE15" s="52">
        <f t="shared" si="8"/>
        <v>26341.026810740543</v>
      </c>
      <c r="AF15" s="47">
        <f t="shared" si="8"/>
        <v>19536.59729579062</v>
      </c>
      <c r="AG15" s="53">
        <f t="shared" si="8"/>
        <v>25018.420381032178</v>
      </c>
      <c r="AH15" s="18"/>
      <c r="AI15" s="791"/>
      <c r="AJ15" s="96"/>
    </row>
    <row r="16" spans="2:36" s="8" customFormat="1" ht="19.5" customHeight="1" x14ac:dyDescent="0.3">
      <c r="B16" s="8" t="s">
        <v>30</v>
      </c>
      <c r="F16" s="9">
        <f t="shared" si="2"/>
        <v>1.0287400904212769</v>
      </c>
      <c r="G16" s="794">
        <f t="shared" si="0"/>
        <v>1.0990809859154931</v>
      </c>
      <c r="H16" s="80"/>
      <c r="I16" s="81" t="s">
        <v>30</v>
      </c>
      <c r="J16" s="46">
        <f>+'사업장별(당월)'!J16+'[4]사업장별(누계)'!J16</f>
        <v>142</v>
      </c>
      <c r="K16" s="47">
        <f>+'사업장별(당월)'!K16+'[4]사업장별(누계)'!K16</f>
        <v>156.06950000000001</v>
      </c>
      <c r="L16" s="48">
        <f t="shared" si="1"/>
        <v>14.069500000000005</v>
      </c>
      <c r="M16" s="49">
        <f>+'사업장별(당월)'!M16+'[4]사업장별(누계)'!M16</f>
        <v>176.65600000000001</v>
      </c>
      <c r="N16" s="50">
        <f t="shared" si="3"/>
        <v>-20.586500000000001</v>
      </c>
      <c r="O16" s="46">
        <f>+'사업장별(당월)'!O16+'[4]사업장별(누계)'!O16</f>
        <v>14308.351500000001</v>
      </c>
      <c r="P16" s="47">
        <f>+'사업장별(당월)'!P16+'[4]사업장별(누계)'!P16</f>
        <v>15834.130999999999</v>
      </c>
      <c r="Q16" s="48">
        <f t="shared" si="4"/>
        <v>1525.7794999999987</v>
      </c>
      <c r="R16" s="49">
        <f>+'사업장별(당월)'!R16+'[4]사업장별(누계)'!R16</f>
        <v>16878.590519999998</v>
      </c>
      <c r="S16" s="50">
        <f t="shared" si="5"/>
        <v>-1044.4595199999985</v>
      </c>
      <c r="T16" s="46">
        <f>+'사업장별(당월)'!T16+'[4]사업장별(누계)'!T16</f>
        <v>2296.1982467628582</v>
      </c>
      <c r="U16" s="47">
        <f>+'사업장별(당월)'!U16+'[4]사업장별(누계)'!U16</f>
        <v>2362.1911920000002</v>
      </c>
      <c r="V16" s="48">
        <f t="shared" si="6"/>
        <v>65.992945237142067</v>
      </c>
      <c r="W16" s="49">
        <f>+'사업장별(당월)'!W16+'[4]사업장별(누계)'!W16</f>
        <v>3281.3008099999988</v>
      </c>
      <c r="X16" s="50">
        <f t="shared" si="7"/>
        <v>-919.10961799999859</v>
      </c>
      <c r="Y16" s="46">
        <f>+[11]창원!$Q$85</f>
        <v>100763.03873239436</v>
      </c>
      <c r="Z16" s="47">
        <f>+[11]창원!$R$85</f>
        <v>101455.63995527635</v>
      </c>
      <c r="AA16" s="51">
        <f>+[12]창원!$Q$85</f>
        <v>95544.960374966045</v>
      </c>
      <c r="AB16" s="52">
        <f>+[11]창원!$Q$89</f>
        <v>72293.279815392714</v>
      </c>
      <c r="AC16" s="47">
        <f>+[11]창원!$R$89</f>
        <v>74911.761469241828</v>
      </c>
      <c r="AD16" s="53">
        <f>+[12]창원!$Q$89</f>
        <v>67516.206037517972</v>
      </c>
      <c r="AE16" s="52">
        <f t="shared" si="8"/>
        <v>28469.758917001644</v>
      </c>
      <c r="AF16" s="47">
        <f t="shared" si="8"/>
        <v>26543.878486034519</v>
      </c>
      <c r="AG16" s="53">
        <f t="shared" si="8"/>
        <v>28028.754337448074</v>
      </c>
      <c r="AH16" s="18"/>
      <c r="AI16" s="791"/>
      <c r="AJ16" s="96"/>
    </row>
    <row r="17" spans="2:38" s="8" customFormat="1" ht="19.5" customHeight="1" x14ac:dyDescent="0.3">
      <c r="B17" s="8" t="s">
        <v>87</v>
      </c>
      <c r="F17" s="9">
        <f t="shared" si="2"/>
        <v>0.8805258676463581</v>
      </c>
      <c r="G17" s="794">
        <f t="shared" si="0"/>
        <v>0.99463120567375884</v>
      </c>
      <c r="H17" s="80"/>
      <c r="I17" s="81" t="s">
        <v>87</v>
      </c>
      <c r="J17" s="46">
        <f>+'사업장별(당월)'!J17+'[4]사업장별(누계)'!J17</f>
        <v>141</v>
      </c>
      <c r="K17" s="47">
        <f>+'사업장별(당월)'!K17+'[4]사업장별(누계)'!K17</f>
        <v>140.24299999999999</v>
      </c>
      <c r="L17" s="48">
        <f t="shared" si="1"/>
        <v>-0.757000000000005</v>
      </c>
      <c r="M17" s="49">
        <f>+'사업장별(당월)'!M17+'[4]사업장별(누계)'!M17</f>
        <v>176.09099999999998</v>
      </c>
      <c r="N17" s="50">
        <f t="shared" si="3"/>
        <v>-35.847999999999985</v>
      </c>
      <c r="O17" s="46">
        <f>+'사업장별(당월)'!O17+'[4]사업장별(누계)'!O17</f>
        <v>13786.54</v>
      </c>
      <c r="P17" s="47">
        <f>+'사업장별(당월)'!P17+'[4]사업장별(누계)'!P17</f>
        <v>14137.288452000001</v>
      </c>
      <c r="Q17" s="48">
        <f t="shared" si="4"/>
        <v>350.74845199999982</v>
      </c>
      <c r="R17" s="49">
        <f>+'사업장별(당월)'!R17+'[4]사업장별(누계)'!R17</f>
        <v>16421.257000000001</v>
      </c>
      <c r="S17" s="50">
        <f t="shared" si="5"/>
        <v>-2283.9685480000007</v>
      </c>
      <c r="T17" s="46">
        <f>+'사업장별(당월)'!T17+'[4]사업장별(누계)'!T17</f>
        <v>2403.1885691856451</v>
      </c>
      <c r="U17" s="47">
        <f>+'사업장별(당월)'!U17+'[4]사업장별(누계)'!U17</f>
        <v>2116.0697</v>
      </c>
      <c r="V17" s="48">
        <f t="shared" si="6"/>
        <v>-287.11886918564505</v>
      </c>
      <c r="W17" s="49">
        <f>+'사업장별(당월)'!W17+'[4]사업장별(누계)'!W17</f>
        <v>3070.7439540000005</v>
      </c>
      <c r="X17" s="50">
        <f t="shared" si="7"/>
        <v>-954.67425400000047</v>
      </c>
      <c r="Y17" s="46">
        <f>+[11]대구!$Q$85</f>
        <v>97776.879432624119</v>
      </c>
      <c r="Z17" s="47">
        <f>+[11]대구!$R$85</f>
        <v>100805.66197243356</v>
      </c>
      <c r="AA17" s="51">
        <f>+[12]대구!$Q$85</f>
        <v>93250.300855361944</v>
      </c>
      <c r="AB17" s="52">
        <f>+[11]대구!$Q$89</f>
        <v>69644.426858849823</v>
      </c>
      <c r="AC17" s="47">
        <f>+[11]대구!$R$89</f>
        <v>74446.444647210621</v>
      </c>
      <c r="AD17" s="53">
        <f>+[12]대구!$Q$89</f>
        <v>67049.12255180729</v>
      </c>
      <c r="AE17" s="52">
        <f t="shared" si="8"/>
        <v>28132.452573774295</v>
      </c>
      <c r="AF17" s="47">
        <f t="shared" si="8"/>
        <v>26359.21732522294</v>
      </c>
      <c r="AG17" s="53">
        <f t="shared" si="8"/>
        <v>26201.178303554654</v>
      </c>
      <c r="AH17" s="18"/>
      <c r="AI17" s="791"/>
      <c r="AJ17" s="96"/>
    </row>
    <row r="18" spans="2:38" s="8" customFormat="1" ht="19.5" customHeight="1" x14ac:dyDescent="0.3">
      <c r="B18" s="8" t="s">
        <v>88</v>
      </c>
      <c r="F18" s="9">
        <f t="shared" si="2"/>
        <v>2.6792290909928171</v>
      </c>
      <c r="G18" s="794">
        <f t="shared" si="0"/>
        <v>1.2771216216216217</v>
      </c>
      <c r="H18" s="80"/>
      <c r="I18" s="83" t="s">
        <v>88</v>
      </c>
      <c r="J18" s="10">
        <f>+'사업장별(당월)'!J18+'[4]사업장별(누계)'!J18</f>
        <v>74</v>
      </c>
      <c r="K18" s="11">
        <f>+'사업장별(당월)'!K18+'[4]사업장별(누계)'!K18</f>
        <v>94.507000000000005</v>
      </c>
      <c r="L18" s="12">
        <f t="shared" si="1"/>
        <v>20.507000000000005</v>
      </c>
      <c r="M18" s="13">
        <f>+'사업장별(당월)'!M18+'[4]사업장별(누계)'!M18</f>
        <v>78.941500000000005</v>
      </c>
      <c r="N18" s="14">
        <f t="shared" si="3"/>
        <v>15.5655</v>
      </c>
      <c r="O18" s="10">
        <f>+'사업장별(당월)'!O18+'[4]사업장별(누계)'!O18</f>
        <v>7413.222240000001</v>
      </c>
      <c r="P18" s="11">
        <f>+'사업장별(당월)'!P18+'[4]사업장별(누계)'!P18</f>
        <v>9827.7895420000004</v>
      </c>
      <c r="Q18" s="12">
        <f t="shared" si="4"/>
        <v>2414.5673019999995</v>
      </c>
      <c r="R18" s="13">
        <f>+'사업장별(당월)'!R18+'[4]사업장별(누계)'!R18</f>
        <v>7503.1536499999993</v>
      </c>
      <c r="S18" s="14">
        <f t="shared" si="5"/>
        <v>2324.6358920000011</v>
      </c>
      <c r="T18" s="10">
        <f>+'사업장별(당월)'!T18+'[4]사업장별(누계)'!T18</f>
        <v>403.25754622186469</v>
      </c>
      <c r="U18" s="11">
        <f>+'사업장별(당월)'!U18+'[4]사업장별(누계)'!U18</f>
        <v>1080.4193490000005</v>
      </c>
      <c r="V18" s="12">
        <f t="shared" si="6"/>
        <v>677.16180277813578</v>
      </c>
      <c r="W18" s="13">
        <f>+'사업장별(당월)'!W18+'[4]사업장별(누계)'!W18</f>
        <v>516.14120400000013</v>
      </c>
      <c r="X18" s="14">
        <f t="shared" si="7"/>
        <v>564.27814500000034</v>
      </c>
      <c r="Y18" s="10">
        <f>+[11]울산!$Q$85</f>
        <v>100178.6789189189</v>
      </c>
      <c r="Z18" s="11">
        <f>+[11]울산!$R$85</f>
        <v>103990.06996307154</v>
      </c>
      <c r="AA18" s="15">
        <f>+[12]울산!$Q$85</f>
        <v>95068.358933418494</v>
      </c>
      <c r="AB18" s="16">
        <f>+[11]울산!$Q$89</f>
        <v>78375.056712717138</v>
      </c>
      <c r="AC18" s="11">
        <f>+[11]울산!$R$89</f>
        <v>80241.74110145295</v>
      </c>
      <c r="AD18" s="17">
        <f>+[12]울산!$Q$89</f>
        <v>73979.251994362858</v>
      </c>
      <c r="AE18" s="16">
        <f t="shared" si="8"/>
        <v>21803.622206201762</v>
      </c>
      <c r="AF18" s="11">
        <f t="shared" si="8"/>
        <v>23748.328861618589</v>
      </c>
      <c r="AG18" s="17">
        <f t="shared" si="8"/>
        <v>21089.106939055637</v>
      </c>
      <c r="AH18" s="18"/>
      <c r="AI18" s="791"/>
      <c r="AJ18" s="9"/>
    </row>
    <row r="19" spans="2:38" s="8" customFormat="1" ht="19.5" customHeight="1" x14ac:dyDescent="0.3">
      <c r="B19" s="8" t="s">
        <v>93</v>
      </c>
      <c r="F19" s="9">
        <f t="shared" si="2"/>
        <v>1.1664959463133127</v>
      </c>
      <c r="G19" s="794">
        <f t="shared" si="0"/>
        <v>1.177253807106599</v>
      </c>
      <c r="H19" s="80"/>
      <c r="I19" s="81" t="s">
        <v>31</v>
      </c>
      <c r="J19" s="46">
        <f>+'사업장별(당월)'!J19+'[4]사업장별(누계)'!J19</f>
        <v>197</v>
      </c>
      <c r="K19" s="47">
        <f>+'사업장별(당월)'!K19+'[4]사업장별(누계)'!K19</f>
        <v>231.91899999999998</v>
      </c>
      <c r="L19" s="48">
        <f t="shared" si="1"/>
        <v>34.918999999999983</v>
      </c>
      <c r="M19" s="49">
        <f>+'사업장별(당월)'!M19+'[4]사업장별(누계)'!M19</f>
        <v>223.65100000000001</v>
      </c>
      <c r="N19" s="50">
        <f t="shared" si="3"/>
        <v>8.2679999999999723</v>
      </c>
      <c r="O19" s="46">
        <f>+'사업장별(당월)'!O19+'[4]사업장별(누계)'!O19</f>
        <v>19896.993399999999</v>
      </c>
      <c r="P19" s="47">
        <f>+'사업장별(당월)'!P19+'[4]사업장별(누계)'!P19</f>
        <v>23496.461101000001</v>
      </c>
      <c r="Q19" s="48">
        <f t="shared" si="4"/>
        <v>3599.4677010000014</v>
      </c>
      <c r="R19" s="49">
        <f>+'사업장별(당월)'!R19+'[4]사업장별(누계)'!R19</f>
        <v>21391.767683000002</v>
      </c>
      <c r="S19" s="50">
        <f t="shared" si="5"/>
        <v>2104.6934179999989</v>
      </c>
      <c r="T19" s="46">
        <f>+'사업장별(당월)'!T19+'[4]사업장별(누계)'!T19</f>
        <v>2884.3013536682379</v>
      </c>
      <c r="U19" s="47">
        <f>+'사업장별(당월)'!U19+'[4]사업장별(누계)'!U19</f>
        <v>3364.5258369999997</v>
      </c>
      <c r="V19" s="48">
        <f t="shared" si="6"/>
        <v>480.2244833317618</v>
      </c>
      <c r="W19" s="49">
        <f>+'사업장별(당월)'!W19+'[4]사업장별(누계)'!W19</f>
        <v>3577.7005869999998</v>
      </c>
      <c r="X19" s="50">
        <f t="shared" si="7"/>
        <v>-213.17475000000013</v>
      </c>
      <c r="Y19" s="46">
        <f>+[11]아산!$Q$85</f>
        <v>100999.96649746192</v>
      </c>
      <c r="Z19" s="47">
        <f>+[11]아산!$R$85</f>
        <v>101260.30661874369</v>
      </c>
      <c r="AA19" s="51">
        <f>+[12]아산!$Q$85</f>
        <v>95730.927920194314</v>
      </c>
      <c r="AB19" s="52">
        <f>+[11]아산!$Q$89</f>
        <v>76543.439518941042</v>
      </c>
      <c r="AC19" s="47">
        <f>+[11]아산!$R$89</f>
        <v>76950.847480163531</v>
      </c>
      <c r="AD19" s="53">
        <f>+[12]아산!$Q$89</f>
        <v>70461.690545682577</v>
      </c>
      <c r="AE19" s="52">
        <f t="shared" si="8"/>
        <v>24456.52697852088</v>
      </c>
      <c r="AF19" s="47">
        <f t="shared" si="8"/>
        <v>24309.459138580161</v>
      </c>
      <c r="AG19" s="53">
        <f t="shared" si="8"/>
        <v>25269.237374511737</v>
      </c>
      <c r="AH19" s="18"/>
      <c r="AI19" s="791"/>
      <c r="AJ19" s="9"/>
    </row>
    <row r="20" spans="2:38" s="8" customFormat="1" ht="19.5" customHeight="1" x14ac:dyDescent="0.3">
      <c r="B20" s="8" t="s">
        <v>89</v>
      </c>
      <c r="F20" s="9">
        <f t="shared" si="2"/>
        <v>0.30104906945278975</v>
      </c>
      <c r="G20" s="794">
        <f t="shared" si="0"/>
        <v>0.72577403846153821</v>
      </c>
      <c r="H20" s="80"/>
      <c r="I20" s="81" t="s">
        <v>89</v>
      </c>
      <c r="J20" s="46">
        <f>+'사업장별(당월)'!J20+'[4]사업장별(누계)'!J20</f>
        <v>104</v>
      </c>
      <c r="K20" s="47">
        <f>+'사업장별(당월)'!K20+'[4]사업장별(누계)'!K20</f>
        <v>75.480499999999978</v>
      </c>
      <c r="L20" s="48">
        <f t="shared" si="1"/>
        <v>-28.519500000000022</v>
      </c>
      <c r="M20" s="49">
        <f>+'사업장별(당월)'!M20+'[4]사업장별(누계)'!M20</f>
        <v>94.448000000000008</v>
      </c>
      <c r="N20" s="50">
        <f t="shared" si="3"/>
        <v>-18.96750000000003</v>
      </c>
      <c r="O20" s="46">
        <f>+'사업장별(당월)'!O20+'[4]사업장별(누계)'!O20</f>
        <v>10680.462977000001</v>
      </c>
      <c r="P20" s="47">
        <f>+'사업장별(당월)'!P20+'[4]사업장별(누계)'!P20</f>
        <v>7271.5489369999996</v>
      </c>
      <c r="Q20" s="48">
        <f t="shared" si="4"/>
        <v>-3408.9140400000015</v>
      </c>
      <c r="R20" s="49">
        <f>+'사업장별(당월)'!R20+'[4]사업장별(누계)'!R20</f>
        <v>9313.3286010000011</v>
      </c>
      <c r="S20" s="50">
        <f t="shared" si="5"/>
        <v>-2041.7796640000015</v>
      </c>
      <c r="T20" s="46">
        <f>+'사업장별(당월)'!T20+'[4]사업장별(누계)'!T20</f>
        <v>1706.7695805669216</v>
      </c>
      <c r="U20" s="47">
        <f>+'사업장별(당월)'!U20+'[4]사업장별(누계)'!U20</f>
        <v>513.82139400000005</v>
      </c>
      <c r="V20" s="48">
        <f t="shared" si="6"/>
        <v>-1192.9481865669215</v>
      </c>
      <c r="W20" s="49">
        <f>+'사업장별(당월)'!W20+'[4]사업장별(누계)'!W20</f>
        <v>1463.452526</v>
      </c>
      <c r="X20" s="50">
        <f t="shared" si="7"/>
        <v>-949.63113199999998</v>
      </c>
      <c r="Y20" s="46">
        <f>+[11]전주!$Q$85</f>
        <v>102696.75939423077</v>
      </c>
      <c r="Z20" s="47">
        <f>+[11]전주!$R$85</f>
        <v>96338.475793464051</v>
      </c>
      <c r="AA20" s="51">
        <f>+[12]전주!$Q$85</f>
        <v>98723.219702399438</v>
      </c>
      <c r="AB20" s="52">
        <f>+[11]전주!$Q$89</f>
        <v>73585.157283844586</v>
      </c>
      <c r="AC20" s="47">
        <f>+[11]전주!$R$89</f>
        <v>71733.330078888277</v>
      </c>
      <c r="AD20" s="53">
        <f>+[12]전주!$Q$89</f>
        <v>69567.779990800846</v>
      </c>
      <c r="AE20" s="52">
        <f t="shared" si="8"/>
        <v>29111.602110386186</v>
      </c>
      <c r="AF20" s="47">
        <f t="shared" si="8"/>
        <v>24605.145714575774</v>
      </c>
      <c r="AG20" s="53">
        <f t="shared" si="8"/>
        <v>29155.439711598592</v>
      </c>
      <c r="AH20" s="18"/>
      <c r="AI20" s="791"/>
      <c r="AJ20" s="9"/>
    </row>
    <row r="21" spans="2:38" s="8" customFormat="1" ht="19.5" customHeight="1" x14ac:dyDescent="0.3">
      <c r="B21" s="8" t="s">
        <v>90</v>
      </c>
      <c r="F21" s="9">
        <f t="shared" si="2"/>
        <v>1.5124386747398288</v>
      </c>
      <c r="G21" s="794">
        <f t="shared" si="0"/>
        <v>1.297686440677966</v>
      </c>
      <c r="H21" s="80"/>
      <c r="I21" s="81" t="s">
        <v>90</v>
      </c>
      <c r="J21" s="46">
        <f>+'사업장별(당월)'!J21+'[4]사업장별(누계)'!J21</f>
        <v>59</v>
      </c>
      <c r="K21" s="47">
        <f>+'사업장별(당월)'!K21+'[4]사업장별(누계)'!K21</f>
        <v>76.563499999999991</v>
      </c>
      <c r="L21" s="48">
        <f t="shared" si="1"/>
        <v>17.563499999999991</v>
      </c>
      <c r="M21" s="49">
        <f>+'사업장별(당월)'!M21+'[4]사업장별(누계)'!M21</f>
        <v>70.688000000000002</v>
      </c>
      <c r="N21" s="50">
        <f t="shared" si="3"/>
        <v>5.8754999999999882</v>
      </c>
      <c r="O21" s="46">
        <f>+'사업장별(당월)'!O21+'[4]사업장별(누계)'!O21</f>
        <v>6432.539397999999</v>
      </c>
      <c r="P21" s="47">
        <f>+'사업장별(당월)'!P21+'[4]사업장별(누계)'!P21</f>
        <v>8684.7115360000007</v>
      </c>
      <c r="Q21" s="48">
        <f t="shared" si="4"/>
        <v>2252.1721380000017</v>
      </c>
      <c r="R21" s="49">
        <f>+'사업장별(당월)'!R21+'[4]사업장별(누계)'!R21</f>
        <v>6964.0924200000009</v>
      </c>
      <c r="S21" s="50">
        <f t="shared" si="5"/>
        <v>1720.6191159999998</v>
      </c>
      <c r="T21" s="46">
        <f>+'사업장별(당월)'!T21+'[4]사업장별(누계)'!T21</f>
        <v>1601.4383600820365</v>
      </c>
      <c r="U21" s="47">
        <f>+'사업장별(당월)'!U21+'[4]사업장별(누계)'!U21</f>
        <v>2422.077311</v>
      </c>
      <c r="V21" s="48">
        <f t="shared" si="6"/>
        <v>820.63895091796348</v>
      </c>
      <c r="W21" s="49">
        <f>+'사업장별(당월)'!W21+'[4]사업장별(누계)'!W21</f>
        <v>1606.3869279999999</v>
      </c>
      <c r="X21" s="50">
        <f t="shared" si="7"/>
        <v>815.69038300000011</v>
      </c>
      <c r="Y21" s="46">
        <f>+[11]군산!$Q$85</f>
        <v>109026.09149152541</v>
      </c>
      <c r="Z21" s="47">
        <f>+[11]군산!$R$85</f>
        <v>113449.09707499853</v>
      </c>
      <c r="AA21" s="51">
        <f>+[12]군산!$Q$85</f>
        <v>98351.434687636516</v>
      </c>
      <c r="AB21" s="52">
        <f>+[11]군산!$Q$89</f>
        <v>69679.927312678148</v>
      </c>
      <c r="AC21" s="47">
        <f>+[11]군산!$R$89</f>
        <v>72317.710525111324</v>
      </c>
      <c r="AD21" s="53">
        <f>+[12]군산!$Q$89</f>
        <v>64869.079999417649</v>
      </c>
      <c r="AE21" s="52">
        <f t="shared" si="8"/>
        <v>39346.164178847263</v>
      </c>
      <c r="AF21" s="47">
        <f t="shared" si="8"/>
        <v>41131.386549887204</v>
      </c>
      <c r="AG21" s="53">
        <f t="shared" si="8"/>
        <v>33482.354688218868</v>
      </c>
      <c r="AH21" s="18"/>
      <c r="AI21" s="791"/>
      <c r="AJ21" s="9"/>
    </row>
    <row r="22" spans="2:38" s="8" customFormat="1" ht="19.5" customHeight="1" x14ac:dyDescent="0.3">
      <c r="B22" s="8" t="s">
        <v>91</v>
      </c>
      <c r="F22" s="9">
        <f t="shared" si="2"/>
        <v>1.4553776773705596</v>
      </c>
      <c r="G22" s="794">
        <f t="shared" si="0"/>
        <v>1.1194</v>
      </c>
      <c r="H22" s="80"/>
      <c r="I22" s="81" t="s">
        <v>91</v>
      </c>
      <c r="J22" s="46">
        <f>+'사업장별(당월)'!J22+'[4]사업장별(누계)'!J22</f>
        <v>45</v>
      </c>
      <c r="K22" s="47">
        <f>+'사업장별(당월)'!K22+'[4]사업장별(누계)'!K22</f>
        <v>50.372999999999998</v>
      </c>
      <c r="L22" s="48">
        <f t="shared" si="1"/>
        <v>5.3729999999999976</v>
      </c>
      <c r="M22" s="49">
        <f>+'사업장별(당월)'!M22+'[4]사업장별(누계)'!M22</f>
        <v>40.423499999999997</v>
      </c>
      <c r="N22" s="50">
        <f t="shared" si="3"/>
        <v>9.9495000000000005</v>
      </c>
      <c r="O22" s="46">
        <f>+'사업장별(당월)'!O22+'[4]사업장별(누계)'!O22</f>
        <v>4855.5</v>
      </c>
      <c r="P22" s="47">
        <f>+'사업장별(당월)'!P22+'[4]사업장별(누계)'!P22</f>
        <v>5665.3093900000003</v>
      </c>
      <c r="Q22" s="48">
        <f t="shared" si="4"/>
        <v>809.80939000000035</v>
      </c>
      <c r="R22" s="49">
        <f>+'사업장별(당월)'!R22+'[4]사업장별(누계)'!R22</f>
        <v>4099.385518</v>
      </c>
      <c r="S22" s="50">
        <f t="shared" si="5"/>
        <v>1565.9238720000003</v>
      </c>
      <c r="T22" s="46">
        <f>+'사업장별(당월)'!T22+'[4]사업장별(누계)'!T22</f>
        <v>775.53943388717823</v>
      </c>
      <c r="U22" s="47">
        <f>+'사업장별(당월)'!U22+'[4]사업장별(누계)'!U22</f>
        <v>1128.7027800000001</v>
      </c>
      <c r="V22" s="48">
        <f t="shared" si="6"/>
        <v>353.16334611282184</v>
      </c>
      <c r="W22" s="49">
        <f>+'사업장별(당월)'!W22+'[4]사업장별(누계)'!W22</f>
        <v>658.04973600000005</v>
      </c>
      <c r="X22" s="50">
        <f t="shared" si="7"/>
        <v>470.65304400000002</v>
      </c>
      <c r="Y22" s="46">
        <f>+[11]원주!$Q$85</f>
        <v>107900</v>
      </c>
      <c r="Z22" s="47">
        <f>+[11]원주!$R$85</f>
        <v>112473.27552642034</v>
      </c>
      <c r="AA22" s="51">
        <f>+[12]원주!$Q$85</f>
        <v>101414.71192509978</v>
      </c>
      <c r="AB22" s="52">
        <f>+[11]원주!$Q$89</f>
        <v>73368.015794524239</v>
      </c>
      <c r="AC22" s="47">
        <f>+[11]원주!$R$89</f>
        <v>73811.46791815653</v>
      </c>
      <c r="AD22" s="53">
        <f>+[12]원주!$Q$89</f>
        <v>67339.715361951283</v>
      </c>
      <c r="AE22" s="52">
        <f t="shared" si="8"/>
        <v>34531.984205475761</v>
      </c>
      <c r="AF22" s="47">
        <f t="shared" si="8"/>
        <v>38661.807608263814</v>
      </c>
      <c r="AG22" s="53">
        <f t="shared" si="8"/>
        <v>34074.996563148496</v>
      </c>
      <c r="AH22" s="18"/>
      <c r="AI22" s="791"/>
      <c r="AJ22" s="9"/>
    </row>
    <row r="23" spans="2:38" s="8" customFormat="1" ht="19.5" customHeight="1" x14ac:dyDescent="0.3">
      <c r="B23" s="8" t="s">
        <v>92</v>
      </c>
      <c r="F23" s="9">
        <f t="shared" si="2"/>
        <v>0.35079989375181875</v>
      </c>
      <c r="G23" s="794">
        <f>+K23/J23</f>
        <v>0.64201020408163267</v>
      </c>
      <c r="H23" s="80"/>
      <c r="I23" s="81" t="s">
        <v>92</v>
      </c>
      <c r="J23" s="46">
        <f>+'사업장별(당월)'!J23+'[4]사업장별(누계)'!J23</f>
        <v>49</v>
      </c>
      <c r="K23" s="47">
        <f>+'사업장별(당월)'!K23+'[4]사업장별(누계)'!K23</f>
        <v>31.458500000000001</v>
      </c>
      <c r="L23" s="48">
        <f t="shared" si="1"/>
        <v>-17.541499999999999</v>
      </c>
      <c r="M23" s="49">
        <f>+'사업장별(당월)'!M23+'[4]사업장별(누계)'!M23</f>
        <v>63.478499999999997</v>
      </c>
      <c r="N23" s="50">
        <f t="shared" si="3"/>
        <v>-32.019999999999996</v>
      </c>
      <c r="O23" s="46">
        <f>+'사업장별(당월)'!O23+'[4]사업장별(누계)'!O23</f>
        <v>6211.4000000000015</v>
      </c>
      <c r="P23" s="47">
        <f>+'사업장별(당월)'!P23+'[4]사업장별(누계)'!P23</f>
        <v>3929.3065630000001</v>
      </c>
      <c r="Q23" s="48">
        <f t="shared" si="4"/>
        <v>-2282.0934370000014</v>
      </c>
      <c r="R23" s="49">
        <f>+'사업장별(당월)'!R23+'[4]사업장별(누계)'!R23</f>
        <v>7577.8458650000002</v>
      </c>
      <c r="S23" s="50">
        <f t="shared" si="5"/>
        <v>-3648.5393020000001</v>
      </c>
      <c r="T23" s="46">
        <f>+'사업장별(당월)'!T23+'[4]사업장별(누계)'!T23</f>
        <v>927.14228764875088</v>
      </c>
      <c r="U23" s="47">
        <f>+'사업장별(당월)'!U23+'[4]사업장별(누계)'!U23</f>
        <v>325.24141599999996</v>
      </c>
      <c r="V23" s="48">
        <f t="shared" si="6"/>
        <v>-601.90087164875092</v>
      </c>
      <c r="W23" s="49">
        <f>+'사업장별(당월)'!W23+'[4]사업장별(누계)'!W23</f>
        <v>1503.5674160000001</v>
      </c>
      <c r="X23" s="50">
        <f t="shared" si="7"/>
        <v>-1178.326</v>
      </c>
      <c r="Y23" s="46">
        <f>+[11]제주!$Q$85</f>
        <v>126763.26530612246</v>
      </c>
      <c r="Z23" s="47">
        <f>+[11]제주!$R$85</f>
        <v>124904.44754199976</v>
      </c>
      <c r="AA23" s="51">
        <f>+[12]제주!$Q$85</f>
        <v>119412.98935544859</v>
      </c>
      <c r="AB23" s="52">
        <f>+[11]제주!$Q$89</f>
        <v>90659.986807120411</v>
      </c>
      <c r="AC23" s="47">
        <f>+[11]제주!$R$89</f>
        <v>89107.933447477728</v>
      </c>
      <c r="AD23" s="53">
        <f>+[12]제주!$Q$89</f>
        <v>83843.537075548069</v>
      </c>
      <c r="AE23" s="52">
        <f t="shared" si="8"/>
        <v>36103.278499002045</v>
      </c>
      <c r="AF23" s="47">
        <f t="shared" si="8"/>
        <v>35796.514094522034</v>
      </c>
      <c r="AG23" s="53">
        <f t="shared" si="8"/>
        <v>35569.452279900521</v>
      </c>
      <c r="AH23" s="18"/>
      <c r="AI23" s="791"/>
      <c r="AJ23" s="9"/>
    </row>
    <row r="24" spans="2:38" s="8" customFormat="1" ht="19.5" customHeight="1" x14ac:dyDescent="0.3">
      <c r="F24" s="9">
        <f t="shared" si="2"/>
        <v>0.59086059293578841</v>
      </c>
      <c r="G24" s="794">
        <f t="shared" ref="G24:G26" si="9">+K24/J24</f>
        <v>0.89660240360540822</v>
      </c>
      <c r="H24" s="80"/>
      <c r="I24" s="84" t="s">
        <v>55</v>
      </c>
      <c r="J24" s="23">
        <f>SUM(J7:J10)</f>
        <v>998.5</v>
      </c>
      <c r="K24" s="20">
        <f>SUM(K7:K10)</f>
        <v>895.25750000000005</v>
      </c>
      <c r="L24" s="21">
        <f t="shared" si="1"/>
        <v>-103.24249999999995</v>
      </c>
      <c r="M24" s="25">
        <f>SUM(M7:M10)</f>
        <v>1114.095</v>
      </c>
      <c r="N24" s="22">
        <f t="shared" si="3"/>
        <v>-218.83749999999998</v>
      </c>
      <c r="O24" s="23">
        <f>SUM(O7:O10)</f>
        <v>99428.290310666504</v>
      </c>
      <c r="P24" s="20">
        <f>SUM(P7:P10)</f>
        <v>88689.120725000001</v>
      </c>
      <c r="Q24" s="21">
        <f t="shared" si="4"/>
        <v>-10739.169585666503</v>
      </c>
      <c r="R24" s="25">
        <f>SUM(R7:R10)</f>
        <v>103850.83635400001</v>
      </c>
      <c r="S24" s="22">
        <f t="shared" si="5"/>
        <v>-15161.715629000013</v>
      </c>
      <c r="T24" s="23">
        <f>SUM(T7:T10)</f>
        <v>12564.478309719978</v>
      </c>
      <c r="U24" s="20">
        <f>SUM(U7:U10)</f>
        <v>7423.8551040099983</v>
      </c>
      <c r="V24" s="21">
        <f t="shared" si="6"/>
        <v>-5140.6232057099796</v>
      </c>
      <c r="W24" s="25">
        <f>SUM(W7:W10)</f>
        <v>13326.902142989999</v>
      </c>
      <c r="X24" s="22">
        <f t="shared" si="7"/>
        <v>-5903.0470389800003</v>
      </c>
      <c r="Y24" s="23">
        <f>+[11]수도권!$Q$85</f>
        <v>99577.656795860297</v>
      </c>
      <c r="Z24" s="20">
        <f>+[11]수도권!$R$85</f>
        <v>99076.406132854987</v>
      </c>
      <c r="AA24" s="24">
        <f>+[12]수도권!$Q$85</f>
        <v>93201.231543459784</v>
      </c>
      <c r="AB24" s="29">
        <f>+[11]수도권!$Q$89</f>
        <v>78010.102557085222</v>
      </c>
      <c r="AC24" s="20">
        <f>+[11]수도권!$R$89</f>
        <v>80800.204799494124</v>
      </c>
      <c r="AD24" s="30">
        <f>+[12]수도권!$Q$89</f>
        <v>73255.308550502785</v>
      </c>
      <c r="AE24" s="29">
        <f t="shared" si="8"/>
        <v>21567.554238775076</v>
      </c>
      <c r="AF24" s="20">
        <f t="shared" si="8"/>
        <v>18276.201333360863</v>
      </c>
      <c r="AG24" s="30">
        <f t="shared" si="8"/>
        <v>19945.922992956999</v>
      </c>
      <c r="AH24" s="18"/>
      <c r="AI24" s="791"/>
      <c r="AJ24" s="96"/>
    </row>
    <row r="25" spans="2:38" s="8" customFormat="1" ht="19.5" customHeight="1" x14ac:dyDescent="0.3">
      <c r="F25" s="9">
        <f t="shared" si="2"/>
        <v>0.79494069118701738</v>
      </c>
      <c r="G25" s="794">
        <f t="shared" si="9"/>
        <v>1.0624763421292085</v>
      </c>
      <c r="H25" s="80"/>
      <c r="I25" s="84" t="s">
        <v>56</v>
      </c>
      <c r="J25" s="23">
        <f>SUM(J11:J18)</f>
        <v>1099</v>
      </c>
      <c r="K25" s="20">
        <f>SUM(K11:K18)</f>
        <v>1167.6615000000002</v>
      </c>
      <c r="L25" s="21">
        <f t="shared" si="1"/>
        <v>68.66150000000016</v>
      </c>
      <c r="M25" s="25">
        <f>SUM(M11:M18)</f>
        <v>1243.2209999999998</v>
      </c>
      <c r="N25" s="22">
        <f t="shared" si="3"/>
        <v>-75.559499999999616</v>
      </c>
      <c r="O25" s="23">
        <f>SUM(O11:O18)</f>
        <v>112270.10773325001</v>
      </c>
      <c r="P25" s="20">
        <f>SUM(P11:P18)</f>
        <v>118057.850934</v>
      </c>
      <c r="Q25" s="21">
        <f t="shared" si="4"/>
        <v>5787.7432007499883</v>
      </c>
      <c r="R25" s="25">
        <f>SUM(R11:R18)</f>
        <v>121842.15781199999</v>
      </c>
      <c r="S25" s="22">
        <f t="shared" si="5"/>
        <v>-3784.3068779999885</v>
      </c>
      <c r="T25" s="23">
        <f>SUM(T11:T18)</f>
        <v>16295.10428087085</v>
      </c>
      <c r="U25" s="20">
        <f>SUM(U11:U18)</f>
        <v>12953.641459999999</v>
      </c>
      <c r="V25" s="21">
        <f t="shared" si="6"/>
        <v>-3341.4628208708509</v>
      </c>
      <c r="W25" s="25">
        <f>SUM(W11:W18)</f>
        <v>19823.005287999997</v>
      </c>
      <c r="X25" s="22">
        <f t="shared" si="7"/>
        <v>-6869.3638279999977</v>
      </c>
      <c r="Y25" s="23">
        <f>+[11]영남권!$Q$85</f>
        <v>102156.60394290263</v>
      </c>
      <c r="Z25" s="20">
        <f>+[11]영남권!$R$85</f>
        <v>101125.79342513959</v>
      </c>
      <c r="AA25" s="24">
        <f>+[12]영남권!$Q$85</f>
        <v>98010.53911424824</v>
      </c>
      <c r="AB25" s="29">
        <f>+[11]영남권!$Q$89</f>
        <v>75290.791507460774</v>
      </c>
      <c r="AC25" s="20">
        <f>+[11]영남권!$R$89</f>
        <v>78591.615110637038</v>
      </c>
      <c r="AD25" s="30">
        <f>+[12]영남권!$Q$89</f>
        <v>71816.43757288855</v>
      </c>
      <c r="AE25" s="29">
        <f t="shared" si="8"/>
        <v>26865.812435441854</v>
      </c>
      <c r="AF25" s="20">
        <f t="shared" si="8"/>
        <v>22534.178314502555</v>
      </c>
      <c r="AG25" s="30">
        <f t="shared" si="8"/>
        <v>26194.101541359691</v>
      </c>
      <c r="AH25" s="18"/>
      <c r="AI25" s="791"/>
      <c r="AJ25" s="96"/>
    </row>
    <row r="26" spans="2:38" s="8" customFormat="1" ht="19.5" customHeight="1" x14ac:dyDescent="0.3">
      <c r="F26" s="9">
        <f t="shared" si="2"/>
        <v>0.98216353757998243</v>
      </c>
      <c r="G26" s="794">
        <f t="shared" si="9"/>
        <v>1.0259790748898678</v>
      </c>
      <c r="H26" s="80"/>
      <c r="I26" s="84" t="s">
        <v>170</v>
      </c>
      <c r="J26" s="23">
        <f>SUM(J19:J23)</f>
        <v>454</v>
      </c>
      <c r="K26" s="20">
        <f>SUM(K19:K23)</f>
        <v>465.79449999999997</v>
      </c>
      <c r="L26" s="21">
        <f t="shared" si="1"/>
        <v>11.794499999999971</v>
      </c>
      <c r="M26" s="25">
        <f>SUM(M19:M23)</f>
        <v>492.68900000000002</v>
      </c>
      <c r="N26" s="22">
        <f t="shared" si="3"/>
        <v>-26.89450000000005</v>
      </c>
      <c r="O26" s="23">
        <f>SUM(O19:O23)</f>
        <v>48076.895775000005</v>
      </c>
      <c r="P26" s="20">
        <f>SUM(P19:P23)</f>
        <v>49047.337527000003</v>
      </c>
      <c r="Q26" s="21">
        <f t="shared" si="4"/>
        <v>970.44175199999881</v>
      </c>
      <c r="R26" s="25">
        <f>SUM(R19:R23)</f>
        <v>49346.420087000006</v>
      </c>
      <c r="S26" s="22">
        <f t="shared" si="5"/>
        <v>-299.08256000000256</v>
      </c>
      <c r="T26" s="23">
        <f>SUM(T19:T23)</f>
        <v>7895.1910158531246</v>
      </c>
      <c r="U26" s="20">
        <f>SUM(U19:U23)</f>
        <v>7754.3687380000001</v>
      </c>
      <c r="V26" s="21">
        <f t="shared" si="6"/>
        <v>-140.82227785312443</v>
      </c>
      <c r="W26" s="25">
        <f>SUM(W19:W23)</f>
        <v>8809.1571930000009</v>
      </c>
      <c r="X26" s="22">
        <f t="shared" si="7"/>
        <v>-1054.7884550000008</v>
      </c>
      <c r="Y26" s="23">
        <f>+[11]중부권!$Q$85</f>
        <v>105896.24620044052</v>
      </c>
      <c r="Z26" s="20">
        <f>+[11]중부권!$R$85</f>
        <v>105285.08994136998</v>
      </c>
      <c r="AA26" s="24">
        <f>+[12]중부권!$Q$85</f>
        <v>100295.67705482144</v>
      </c>
      <c r="AB26" s="29">
        <f>+[11]중부권!$Q$89</f>
        <v>76182.664578197626</v>
      </c>
      <c r="AC26" s="20">
        <f>+[11]중부권!$R$89</f>
        <v>75825.962706816747</v>
      </c>
      <c r="AD26" s="30">
        <f>+[12]중부권!$Q$89</f>
        <v>70984.621550441341</v>
      </c>
      <c r="AE26" s="29">
        <f t="shared" si="8"/>
        <v>29713.581622242898</v>
      </c>
      <c r="AF26" s="20">
        <f t="shared" si="8"/>
        <v>29459.127234553234</v>
      </c>
      <c r="AG26" s="30">
        <f t="shared" si="8"/>
        <v>29311.0555043801</v>
      </c>
      <c r="AH26" s="18"/>
      <c r="AI26" s="791"/>
      <c r="AJ26" s="96"/>
    </row>
    <row r="27" spans="2:38" s="3" customFormat="1" ht="19.5" customHeight="1" x14ac:dyDescent="0.3">
      <c r="B27" s="26"/>
      <c r="F27" s="9">
        <f t="shared" si="2"/>
        <v>0.76539351332252092</v>
      </c>
      <c r="G27" s="794">
        <f>+K27/J27</f>
        <v>0.99106937095825998</v>
      </c>
      <c r="H27" s="629" t="s">
        <v>115</v>
      </c>
      <c r="I27" s="630"/>
      <c r="J27" s="631">
        <f>SUM(J24:J26)</f>
        <v>2551.5</v>
      </c>
      <c r="K27" s="632">
        <f>SUM(K24:K26)</f>
        <v>2528.7135000000003</v>
      </c>
      <c r="L27" s="633">
        <f t="shared" si="1"/>
        <v>-22.786499999999705</v>
      </c>
      <c r="M27" s="634">
        <f>SUM(M24:M26)</f>
        <v>2850.0049999999997</v>
      </c>
      <c r="N27" s="635">
        <f t="shared" si="3"/>
        <v>-321.29149999999936</v>
      </c>
      <c r="O27" s="631">
        <f>SUM(O24:O26)</f>
        <v>259775.29381891651</v>
      </c>
      <c r="P27" s="632">
        <f>SUM(P24:P26)</f>
        <v>255794.309186</v>
      </c>
      <c r="Q27" s="633">
        <f t="shared" si="4"/>
        <v>-3980.9846329165157</v>
      </c>
      <c r="R27" s="634">
        <f>SUM(R24:R26)</f>
        <v>275039.414253</v>
      </c>
      <c r="S27" s="635">
        <f t="shared" si="5"/>
        <v>-19245.105066999997</v>
      </c>
      <c r="T27" s="631">
        <f>SUM(T24:T26)</f>
        <v>36754.773606443952</v>
      </c>
      <c r="U27" s="632">
        <f>SUM(U24:U26)</f>
        <v>28131.865302009999</v>
      </c>
      <c r="V27" s="633">
        <f t="shared" si="6"/>
        <v>-8622.9083044339532</v>
      </c>
      <c r="W27" s="634">
        <f>SUM(W24:W26)</f>
        <v>41959.064623989994</v>
      </c>
      <c r="X27" s="635">
        <f t="shared" si="7"/>
        <v>-13827.199321979995</v>
      </c>
      <c r="Y27" s="631">
        <f>+[11]합계!$Q$85</f>
        <v>101812.77437543269</v>
      </c>
      <c r="Z27" s="632">
        <f>+[11]합계!$R$85</f>
        <v>101167.04881691915</v>
      </c>
      <c r="AA27" s="636">
        <f>+[12]합계!$Q$85</f>
        <v>96518.388715415713</v>
      </c>
      <c r="AB27" s="637">
        <f>+[11]합계!$Q$89</f>
        <v>76513.657451871724</v>
      </c>
      <c r="AC27" s="632">
        <f>+[11]합계!$R$89</f>
        <v>78862.46728159608</v>
      </c>
      <c r="AD27" s="638">
        <f>+[12]합계!$Q$89</f>
        <v>72237.319898098111</v>
      </c>
      <c r="AE27" s="637">
        <f t="shared" si="8"/>
        <v>25299.11692356097</v>
      </c>
      <c r="AF27" s="632">
        <f t="shared" si="8"/>
        <v>22304.581535323072</v>
      </c>
      <c r="AG27" s="638">
        <f t="shared" si="8"/>
        <v>24281.068817317602</v>
      </c>
      <c r="AH27" s="27"/>
      <c r="AI27" s="791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4">
        <f>+K28/J28</f>
        <v>1.2317115955766191</v>
      </c>
      <c r="H28" s="835" t="s">
        <v>3</v>
      </c>
      <c r="I28" s="836"/>
      <c r="J28" s="167">
        <f>+'사업장별(당월)'!J28+'[4]사업장별(누계)'!J28</f>
        <v>63300</v>
      </c>
      <c r="K28" s="168">
        <f>+'사업장별(당월)'!K28+'[4]사업장별(누계)'!K28</f>
        <v>77967.343999999997</v>
      </c>
      <c r="L28" s="169">
        <f>+K28-J28</f>
        <v>14667.343999999997</v>
      </c>
      <c r="M28" s="170">
        <f>+'사업장별(당월)'!M28+'[4]사업장별(누계)'!M28</f>
        <v>69555.719000000012</v>
      </c>
      <c r="N28" s="171">
        <f>+K28-M28</f>
        <v>8411.6249999999854</v>
      </c>
      <c r="O28" s="167">
        <f>+'사업장별(당월)'!O28+'[4]사업장별(누계)'!O28</f>
        <v>77413.543157894746</v>
      </c>
      <c r="P28" s="168">
        <f>+'사업장별(당월)'!P28+'[4]사업장별(누계)'!P28</f>
        <v>77932.391057000001</v>
      </c>
      <c r="Q28" s="169">
        <f>+P28-O28</f>
        <v>518.84789910525433</v>
      </c>
      <c r="R28" s="170">
        <f>+'사업장별(당월)'!R28+'[4]사업장별(누계)'!R28</f>
        <v>85026.683772999997</v>
      </c>
      <c r="S28" s="171">
        <f t="shared" si="5"/>
        <v>-7094.2927159999963</v>
      </c>
      <c r="T28" s="167">
        <f>+'사업장별(당월)'!T28+'[4]사업장별(누계)'!T28</f>
        <v>839.87082103158934</v>
      </c>
      <c r="U28" s="168">
        <f>+'사업장별(당월)'!U28+'[4]사업장별(누계)'!U28</f>
        <v>439.49837000000065</v>
      </c>
      <c r="V28" s="169">
        <f t="shared" si="6"/>
        <v>-400.3724510315887</v>
      </c>
      <c r="W28" s="170">
        <f>+'사업장별(당월)'!W28+'[4]사업장별(누계)'!W28</f>
        <v>684.76884600000278</v>
      </c>
      <c r="X28" s="171">
        <f t="shared" si="7"/>
        <v>-245.27047600000213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4">
        <f>+P28/O28</f>
        <v>1.0067022884877779</v>
      </c>
      <c r="H29" s="86" t="s">
        <v>1</v>
      </c>
      <c r="I29" s="79" t="s">
        <v>223</v>
      </c>
      <c r="J29" s="56">
        <f>+'사업장별(당월)'!J29+'[4]사업장별(누계)'!J29</f>
        <v>212.44484754941408</v>
      </c>
      <c r="K29" s="57">
        <f>+'사업장별(당월)'!K29+'[4]사업장별(누계)'!K29</f>
        <v>169.70699999999999</v>
      </c>
      <c r="L29" s="38">
        <f t="shared" si="1"/>
        <v>-42.737847549414084</v>
      </c>
      <c r="M29" s="38">
        <f>+'사업장별(당월)'!M29+'[4]사업장별(누계)'!M29</f>
        <v>223.24199999999999</v>
      </c>
      <c r="N29" s="58">
        <f t="shared" si="3"/>
        <v>-53.534999999999997</v>
      </c>
      <c r="O29" s="56">
        <f>+'사업장별(당월)'!O29+'[4]사업장별(누계)'!O29</f>
        <v>6232.3161599870709</v>
      </c>
      <c r="P29" s="57">
        <f>+'사업장별(당월)'!P29+'[4]사업장별(누계)'!P29</f>
        <v>5011.7635799999998</v>
      </c>
      <c r="Q29" s="38">
        <f t="shared" si="4"/>
        <v>-1220.5525799870711</v>
      </c>
      <c r="R29" s="38">
        <f>+'사업장별(당월)'!R29+'[4]사업장별(누계)'!R29</f>
        <v>6548.9299000000001</v>
      </c>
      <c r="S29" s="58">
        <f t="shared" si="5"/>
        <v>-1537.1663200000003</v>
      </c>
      <c r="T29" s="56">
        <f>+'사업장별(당월)'!T29+'[4]사업장별(누계)'!T29</f>
        <v>312.58577563298064</v>
      </c>
      <c r="U29" s="57">
        <f>+'사업장별(당월)'!U29+'[4]사업장별(누계)'!U29</f>
        <v>305.22036228727217</v>
      </c>
      <c r="V29" s="38">
        <f t="shared" si="6"/>
        <v>-7.3654133457084754</v>
      </c>
      <c r="W29" s="38">
        <f>+'사업장별(당월)'!W29+'[4]사업장별(누계)'!W29</f>
        <v>283.40205401999998</v>
      </c>
      <c r="X29" s="58">
        <f t="shared" si="7"/>
        <v>21.818308267272187</v>
      </c>
      <c r="Y29" s="800" t="s">
        <v>255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/>
      <c r="AJ29" s="782"/>
      <c r="AK29" s="782"/>
    </row>
    <row r="30" spans="2:38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219</v>
      </c>
      <c r="J30" s="54">
        <f>+'사업장별(당월)'!J30+'[4]사업장별(누계)'!J30</f>
        <v>272.83109354666669</v>
      </c>
      <c r="K30" s="59">
        <f>+'사업장별(당월)'!K30+'[4]사업장별(누계)'!K30</f>
        <v>168.53</v>
      </c>
      <c r="L30" s="48">
        <f t="shared" si="1"/>
        <v>-104.30109354666669</v>
      </c>
      <c r="M30" s="48">
        <f>+'사업장별(당월)'!M30+'[4]사업장별(누계)'!M30</f>
        <v>301.7</v>
      </c>
      <c r="N30" s="60">
        <f t="shared" si="3"/>
        <v>-133.16999999999999</v>
      </c>
      <c r="O30" s="54">
        <f>+'사업장별(당월)'!O30+'[4]사업장별(누계)'!O30</f>
        <v>3436.155069866667</v>
      </c>
      <c r="P30" s="59">
        <f>+'사업장별(당월)'!P30+'[4]사업장별(누계)'!P30</f>
        <v>2372.0990000000002</v>
      </c>
      <c r="Q30" s="48">
        <f t="shared" si="4"/>
        <v>-1064.0560698666668</v>
      </c>
      <c r="R30" s="48">
        <f>+'사업장별(당월)'!R30+'[4]사업장별(누계)'!R30</f>
        <v>3598.9639999999999</v>
      </c>
      <c r="S30" s="60">
        <f t="shared" si="5"/>
        <v>-1226.8649999999998</v>
      </c>
      <c r="T30" s="54">
        <f>+'사업장별(당월)'!T30+'[4]사업장별(누계)'!T30</f>
        <v>659.30743203524378</v>
      </c>
      <c r="U30" s="59">
        <f>+'사업장별(당월)'!U30+'[4]사업장별(누계)'!U30</f>
        <v>27.374989941775098</v>
      </c>
      <c r="V30" s="48">
        <f t="shared" si="6"/>
        <v>-631.93244209346869</v>
      </c>
      <c r="W30" s="48">
        <f>+'사업장별(당월)'!W30+'[4]사업장별(누계)'!W30</f>
        <v>657.13109500000019</v>
      </c>
      <c r="X30" s="60">
        <f t="shared" si="7"/>
        <v>-629.7561050582251</v>
      </c>
      <c r="Y30" s="628" t="s">
        <v>256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/>
      <c r="AJ30" s="782"/>
      <c r="AK30" s="782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221</v>
      </c>
      <c r="J31" s="54">
        <f>+'사업장별(당월)'!J31+'[4]사업장별(누계)'!J31</f>
        <v>371.01080757338104</v>
      </c>
      <c r="K31" s="59">
        <f>+'사업장별(당월)'!K31+'[4]사업장별(누계)'!K31</f>
        <v>315.97800000000001</v>
      </c>
      <c r="L31" s="48">
        <f t="shared" si="1"/>
        <v>-55.032807573381035</v>
      </c>
      <c r="M31" s="48">
        <f>+'사업장별(당월)'!M31+'[4]사업장별(누계)'!M31</f>
        <v>48.94</v>
      </c>
      <c r="N31" s="60">
        <f t="shared" si="3"/>
        <v>267.03800000000001</v>
      </c>
      <c r="O31" s="54">
        <f>+'사업장별(당월)'!O31+'[4]사업장별(누계)'!O31</f>
        <v>6674.2948439999245</v>
      </c>
      <c r="P31" s="59">
        <f>+'사업장별(당월)'!P31+'[4]사업장별(누계)'!P31</f>
        <v>5745.9229999999998</v>
      </c>
      <c r="Q31" s="48">
        <f t="shared" si="4"/>
        <v>-928.37184399992475</v>
      </c>
      <c r="R31" s="48">
        <f>+'사업장별(당월)'!R31+'[4]사업장별(누계)'!R31</f>
        <v>858.03600000000006</v>
      </c>
      <c r="S31" s="60">
        <f t="shared" si="5"/>
        <v>4887.8869999999997</v>
      </c>
      <c r="T31" s="54">
        <f>+'사업장별(당월)'!T31+'[4]사업장별(누계)'!T31</f>
        <v>242.02219610628055</v>
      </c>
      <c r="U31" s="59">
        <f>+'사업장별(당월)'!U31+'[4]사업장별(누계)'!U31</f>
        <v>-186.63275386999987</v>
      </c>
      <c r="V31" s="48">
        <f t="shared" si="6"/>
        <v>-428.65494997628042</v>
      </c>
      <c r="W31" s="48">
        <f>+'사업장별(당월)'!W31+'[4]사업장별(누계)'!W31</f>
        <v>-318.75906599000001</v>
      </c>
      <c r="X31" s="60">
        <f t="shared" si="7"/>
        <v>132.12631212000014</v>
      </c>
      <c r="Y31" s="586" t="s">
        <v>257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/>
      <c r="AJ31" s="782"/>
      <c r="AK31" s="782"/>
      <c r="AL31" s="98"/>
    </row>
    <row r="32" spans="2:38" s="3" customFormat="1" ht="19.5" customHeight="1" x14ac:dyDescent="0.3">
      <c r="G32" s="794">
        <f>+K32/J32</f>
        <v>0.76401392526107603</v>
      </c>
      <c r="H32" s="146" t="s">
        <v>42</v>
      </c>
      <c r="I32" s="147"/>
      <c r="J32" s="148">
        <f>SUM(J29:J31)</f>
        <v>856.28674866946176</v>
      </c>
      <c r="K32" s="152">
        <f>SUM(K29:K31)</f>
        <v>654.21499999999992</v>
      </c>
      <c r="L32" s="150">
        <f t="shared" si="1"/>
        <v>-202.07174866946184</v>
      </c>
      <c r="M32" s="150">
        <f>SUM(M29:M31)</f>
        <v>573.88200000000006</v>
      </c>
      <c r="N32" s="151">
        <f t="shared" si="3"/>
        <v>80.332999999999856</v>
      </c>
      <c r="O32" s="148">
        <f>SUM(O29:O31)</f>
        <v>16342.766073853662</v>
      </c>
      <c r="P32" s="152">
        <f>SUM(P29:P31)</f>
        <v>13129.78558</v>
      </c>
      <c r="Q32" s="150">
        <f t="shared" si="4"/>
        <v>-3212.9804938536618</v>
      </c>
      <c r="R32" s="150">
        <f>SUM(R29:R31)</f>
        <v>11005.929899999999</v>
      </c>
      <c r="S32" s="151">
        <f t="shared" si="5"/>
        <v>2123.8556800000006</v>
      </c>
      <c r="T32" s="148">
        <f>SUM(T29:T31)</f>
        <v>1213.915403774505</v>
      </c>
      <c r="U32" s="152">
        <f>SUM(U29:U31)</f>
        <v>145.96259835904738</v>
      </c>
      <c r="V32" s="150">
        <f t="shared" si="6"/>
        <v>-1067.9528054154575</v>
      </c>
      <c r="W32" s="150">
        <f>SUM(W29:W31)</f>
        <v>621.77408303000016</v>
      </c>
      <c r="X32" s="151">
        <f t="shared" si="7"/>
        <v>-475.81148467095278</v>
      </c>
      <c r="Y32" s="586" t="s">
        <v>258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/>
      <c r="AJ32" s="783"/>
      <c r="AK32" s="783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817.56000000000017</v>
      </c>
      <c r="P33" s="47">
        <f>+'사업장별(당월)'!P33+'[4]사업장별(누계)'!P33</f>
        <v>817.56000000000017</v>
      </c>
      <c r="Q33" s="49">
        <f t="shared" si="4"/>
        <v>0</v>
      </c>
      <c r="R33" s="48">
        <f>+'사업장별(당월)'!R33+'[4]사업장별(누계)'!R33</f>
        <v>748.81000000000017</v>
      </c>
      <c r="S33" s="60">
        <f t="shared" si="5"/>
        <v>68.75</v>
      </c>
      <c r="T33" s="46">
        <f>+'사업장별(당월)'!T33+'[4]사업장별(누계)'!T33</f>
        <v>597.83841200000006</v>
      </c>
      <c r="U33" s="47">
        <f>+'사업장별(당월)'!U33+'[4]사업장별(누계)'!U33</f>
        <v>556.78798499999994</v>
      </c>
      <c r="V33" s="49">
        <f t="shared" si="6"/>
        <v>-41.050427000000127</v>
      </c>
      <c r="W33" s="48">
        <f>+'사업장별(당월)'!W33+'[4]사업장별(누계)'!W33</f>
        <v>475.06243599999999</v>
      </c>
      <c r="X33" s="60">
        <f t="shared" si="7"/>
        <v>81.725548999999944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+'사업장별(당월)'!O34+'[4]사업장별(누계)'!O34</f>
        <v>651.27750300000002</v>
      </c>
      <c r="P34" s="47">
        <f>+'사업장별(당월)'!P34+'[4]사업장별(누계)'!P34</f>
        <v>656.64914099999999</v>
      </c>
      <c r="Q34" s="49">
        <f>+P34-O34</f>
        <v>5.3716379999999617</v>
      </c>
      <c r="R34" s="48">
        <f>+'사업장별(당월)'!R34+'[4]사업장별(누계)'!R34</f>
        <v>850.54351500000007</v>
      </c>
      <c r="S34" s="60">
        <f t="shared" si="5"/>
        <v>-193.89437400000008</v>
      </c>
      <c r="T34" s="46">
        <f>+'사업장별(당월)'!T34+'[4]사업장별(누계)'!T34</f>
        <v>596.72801299999992</v>
      </c>
      <c r="U34" s="47">
        <f>+'사업장별(당월)'!U34+'[4]사업장별(누계)'!U34</f>
        <v>603.401566</v>
      </c>
      <c r="V34" s="49">
        <f t="shared" si="6"/>
        <v>6.6735530000000836</v>
      </c>
      <c r="W34" s="48">
        <f>+'사업장별(당월)'!W34+'[4]사업장별(누계)'!W34</f>
        <v>587.43831299999999</v>
      </c>
      <c r="X34" s="60">
        <f t="shared" si="7"/>
        <v>15.963253000000009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5" t="s">
        <v>224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39" si="11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-12558.532403206726</v>
      </c>
      <c r="U35" s="47">
        <f>+'사업장별(당월)'!U35+'[4]사업장별(누계)'!U35</f>
        <v>-12891.838653357485</v>
      </c>
      <c r="V35" s="49">
        <f t="shared" si="6"/>
        <v>-333.3062501507593</v>
      </c>
      <c r="W35" s="48">
        <f>+'사업장별(당월)'!W35+'[4]사업장별(누계)'!W35</f>
        <v>-10512.684547999999</v>
      </c>
      <c r="X35" s="60">
        <f t="shared" si="7"/>
        <v>-2379.1541053574856</v>
      </c>
      <c r="Y35" s="628"/>
      <c r="Z35" s="587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</row>
    <row r="36" spans="2:38" s="8" customFormat="1" ht="19.5" customHeight="1" x14ac:dyDescent="0.3">
      <c r="D36"/>
      <c r="E36"/>
      <c r="F36"/>
      <c r="G36" s="5"/>
      <c r="H36" s="87"/>
      <c r="I36" s="88" t="s">
        <v>117</v>
      </c>
      <c r="J36" s="46"/>
      <c r="K36" s="47"/>
      <c r="L36" s="49"/>
      <c r="M36" s="48"/>
      <c r="N36" s="60">
        <f t="shared" si="10"/>
        <v>0</v>
      </c>
      <c r="O36" s="46">
        <f>+'사업장별(당월)'!O37+'[4]사업장별(누계)'!O37</f>
        <v>0</v>
      </c>
      <c r="P36" s="47">
        <f>+'사업장별(당월)'!P37+'[4]사업장별(누계)'!P37</f>
        <v>0</v>
      </c>
      <c r="Q36" s="49">
        <f t="shared" si="11"/>
        <v>0</v>
      </c>
      <c r="R36" s="48">
        <f>+'사업장별(당월)'!R37+'[4]사업장별(누계)'!R37</f>
        <v>0</v>
      </c>
      <c r="S36" s="60">
        <f t="shared" si="5"/>
        <v>0</v>
      </c>
      <c r="T36" s="46">
        <f>+'사업장별(당월)'!T37+'[4]사업장별(누계)'!T37</f>
        <v>0</v>
      </c>
      <c r="U36" s="47">
        <f>+'사업장별(당월)'!U37+'[4]사업장별(누계)'!U37</f>
        <v>-573.85933299999999</v>
      </c>
      <c r="V36" s="49">
        <f t="shared" si="6"/>
        <v>-573.85933299999999</v>
      </c>
      <c r="W36" s="48">
        <f>+'사업장별(당월)'!W37+'[4]사업장별(누계)'!W37</f>
        <v>-2023.2219769999999</v>
      </c>
      <c r="X36" s="60">
        <f t="shared" si="7"/>
        <v>1449.3626439999998</v>
      </c>
      <c r="Y36" s="586"/>
      <c r="Z36" s="799"/>
      <c r="AA36" s="587"/>
      <c r="AB36" s="799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5"/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>
        <f>+'사업장별(당월)'!O38+'[4]사업장별(누계)'!O38</f>
        <v>0</v>
      </c>
      <c r="P37" s="47">
        <f>+'사업장별(당월)'!P38+'[4]사업장별(누계)'!P38</f>
        <v>0</v>
      </c>
      <c r="Q37" s="49">
        <f t="shared" si="11"/>
        <v>0</v>
      </c>
      <c r="R37" s="48">
        <f>+'사업장별(당월)'!R38+'[4]사업장별(누계)'!R38</f>
        <v>188.626</v>
      </c>
      <c r="S37" s="60">
        <f t="shared" si="5"/>
        <v>-188.626</v>
      </c>
      <c r="T37" s="46">
        <f>+'사업장별(당월)'!T38+'[4]사업장별(누계)'!T38</f>
        <v>-271.63600500013672</v>
      </c>
      <c r="U37" s="47">
        <f>+'사업장별(당월)'!U38+'[4]사업장별(누계)'!U38</f>
        <v>-339.52040299999999</v>
      </c>
      <c r="V37" s="49">
        <f t="shared" si="6"/>
        <v>-67.884397999863268</v>
      </c>
      <c r="W37" s="48">
        <f>+'사업장별(당월)'!W38+'[4]사업장별(누계)'!W38</f>
        <v>-117.16342</v>
      </c>
      <c r="X37" s="60">
        <f>+U37-W37</f>
        <v>-222.35698299999999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/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+'사업장별(당월)'!O39+'[4]사업장별(누계)'!O39</f>
        <v>15.929999999999998</v>
      </c>
      <c r="P38" s="47">
        <f>+'사업장별(당월)'!P39+'[4]사업장별(누계)'!P39</f>
        <v>15.666199999999257</v>
      </c>
      <c r="Q38" s="55">
        <f t="shared" si="11"/>
        <v>-0.26380000000074055</v>
      </c>
      <c r="R38" s="61">
        <f>+'사업장별(당월)'!R39+'[4]사업장별(누계)'!R39</f>
        <v>-18.269899999991065</v>
      </c>
      <c r="S38" s="62">
        <f t="shared" si="5"/>
        <v>33.936099999990319</v>
      </c>
      <c r="T38" s="46">
        <f>+'사업장별(당월)'!T39+'[4]사업장별(누계)'!T39++'사업장별(당월)'!T36+'[4]사업장별(누계)'!T36</f>
        <v>776.33516499999394</v>
      </c>
      <c r="U38" s="47">
        <f>+'사업장별(당월)'!U39+'[4]사업장별(누계)'!U39+'사업장별(당월)'!U36+'[4]사업장별(누계)'!U36</f>
        <v>300.56771900000012</v>
      </c>
      <c r="V38" s="49">
        <f t="shared" si="6"/>
        <v>-475.76744599999381</v>
      </c>
      <c r="W38" s="61">
        <f>+'사업장별(당월)'!W39+'[4]사업장별(누계)'!W39</f>
        <v>-209.17537499999162</v>
      </c>
      <c r="X38" s="60">
        <f t="shared" si="7"/>
        <v>509.74309399999174</v>
      </c>
      <c r="Y38" s="595"/>
      <c r="Z38" s="799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10"/>
        <v>0</v>
      </c>
      <c r="O39" s="46">
        <f>+'사업장별(당월)'!O40+'[4]사업장별(누계)'!O40</f>
        <v>0</v>
      </c>
      <c r="P39" s="47">
        <f>+'사업장별(당월)'!P40+'[4]사업장별(누계)'!P40</f>
        <v>0</v>
      </c>
      <c r="Q39" s="55">
        <f t="shared" si="11"/>
        <v>0</v>
      </c>
      <c r="R39" s="61">
        <f>+'사업장별(당월)'!R40+'[4]사업장별(누계)'!R40</f>
        <v>0</v>
      </c>
      <c r="S39" s="62">
        <f t="shared" si="5"/>
        <v>0</v>
      </c>
      <c r="T39" s="46">
        <f>+'사업장별(당월)'!T40+'[4]사업장별(누계)'!T40</f>
        <v>0</v>
      </c>
      <c r="U39" s="47">
        <f>+'사업장별(당월)'!U40+'[4]사업장별(누계)'!U40</f>
        <v>0</v>
      </c>
      <c r="V39" s="49">
        <f t="shared" si="6"/>
        <v>0</v>
      </c>
      <c r="W39" s="61">
        <f>+'사업장별(당월)'!W40+'[4]사업장별(누계)'!W40</f>
        <v>0</v>
      </c>
      <c r="X39" s="60"/>
      <c r="Y39" s="7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10"/>
        <v>0</v>
      </c>
      <c r="O40" s="148">
        <f>SUM(O33:O39)</f>
        <v>1484.7675030000003</v>
      </c>
      <c r="P40" s="149">
        <f>SUM(P33:P39)</f>
        <v>1489.8753409999995</v>
      </c>
      <c r="Q40" s="153">
        <f t="shared" si="4"/>
        <v>5.1078379999992194</v>
      </c>
      <c r="R40" s="154">
        <f>SUM(R33:R39)</f>
        <v>1769.7096150000091</v>
      </c>
      <c r="S40" s="155">
        <f>+P40-R40</f>
        <v>-279.8342740000096</v>
      </c>
      <c r="T40" s="148">
        <f>SUM(T33:T39)</f>
        <v>-10859.266818206868</v>
      </c>
      <c r="U40" s="149">
        <f>SUM(U33:U39)</f>
        <v>-12344.461119357486</v>
      </c>
      <c r="V40" s="153">
        <f>+U40-T40</f>
        <v>-1485.1943011506173</v>
      </c>
      <c r="W40" s="154">
        <f>SUM(W33:W39)</f>
        <v>-11799.74457099999</v>
      </c>
      <c r="X40" s="155">
        <f>+U40-W40</f>
        <v>-544.71654835749541</v>
      </c>
      <c r="Y40" s="787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/>
      <c r="V41" s="32"/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  <c r="AI41" s="19"/>
    </row>
    <row r="42" spans="2:38" s="3" customFormat="1" ht="19.5" customHeight="1" x14ac:dyDescent="0.3">
      <c r="G42" s="797">
        <f>+P42/O42</f>
        <v>0.98121210754517385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355016.37055366492</v>
      </c>
      <c r="P42" s="642">
        <f>+P27+P32+P28+P40</f>
        <v>348346.36116399994</v>
      </c>
      <c r="Q42" s="643">
        <f t="shared" si="4"/>
        <v>-6670.0093896649778</v>
      </c>
      <c r="R42" s="644">
        <f>+R27+R32+R28+R40</f>
        <v>372841.73754099995</v>
      </c>
      <c r="S42" s="645">
        <f>+P42-R42</f>
        <v>-24495.376377000008</v>
      </c>
      <c r="T42" s="641">
        <f>+T27+T32+T28+T40</f>
        <v>27949.293013043178</v>
      </c>
      <c r="U42" s="642">
        <f>+U27+U32+U28+U40</f>
        <v>16372.865151011563</v>
      </c>
      <c r="V42" s="643">
        <f>+U42-T42</f>
        <v>-11576.427862031614</v>
      </c>
      <c r="W42" s="644">
        <f>+W27+W32+W28+W40</f>
        <v>31465.862982020015</v>
      </c>
      <c r="X42" s="645">
        <f>+U42-W42</f>
        <v>-15092.997831008452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  <c r="AI42" s="785"/>
      <c r="AK42" s="785"/>
    </row>
    <row r="43" spans="2:38" s="34" customFormat="1" x14ac:dyDescent="0.3">
      <c r="G43" s="794">
        <f>+U42/T42</f>
        <v>0.58580605754037463</v>
      </c>
      <c r="P43" s="661">
        <f>+P42/O42</f>
        <v>0.98121210754517385</v>
      </c>
      <c r="T43" s="788">
        <f>+T42/O42</f>
        <v>7.8726772428704975E-2</v>
      </c>
      <c r="U43" s="788">
        <f>+U42/P42</f>
        <v>4.7001682739850094E-2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+'사업장별(당월)'!J46+'[4]사업장별(누계)'!J46</f>
        <v>2551.5</v>
      </c>
      <c r="K45" s="139">
        <f>+'사업장별(당월)'!K46+'[4]사업장별(누계)'!K46</f>
        <v>2528.7134999999998</v>
      </c>
      <c r="L45" s="139"/>
      <c r="M45" s="139">
        <f>+'사업장별(당월)'!M46+'[4]사업장별(누계)'!M46</f>
        <v>2850.0050000000001</v>
      </c>
      <c r="N45" s="139"/>
      <c r="O45" s="139">
        <f>+'사업장별(당월)'!O46+'[4]사업장별(누계)'!O46</f>
        <v>355016.37055366492</v>
      </c>
      <c r="P45" s="139">
        <f>+'사업장별(당월)'!P46+'[4]사업장별(누계)'!P46</f>
        <v>348346.361164</v>
      </c>
      <c r="Q45" s="139"/>
      <c r="R45" s="139">
        <f>+'사업장별(당월)'!R46+'[4]사업장별(누계)'!R46</f>
        <v>372841.73754100007</v>
      </c>
      <c r="S45" s="139"/>
      <c r="T45" s="144">
        <f>+'사업장별(당월)'!T46+'[4]사업장별(누계)'!T46</f>
        <v>27949.29301304316</v>
      </c>
      <c r="U45" s="139">
        <f>+'사업장별(당월)'!U46+'[4]사업장별(누계)'!U46</f>
        <v>16372.865151011556</v>
      </c>
      <c r="V45" s="139"/>
      <c r="W45" s="139">
        <f>+'사업장별(당월)'!W46+'[4]사업장별(누계)'!W46</f>
        <v>31465.862982020008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P48" s="98"/>
      <c r="T48" s="658"/>
      <c r="U48" s="658"/>
      <c r="V48" s="658"/>
    </row>
    <row r="49" spans="10:33" x14ac:dyDescent="0.3">
      <c r="S49" t="s">
        <v>53</v>
      </c>
      <c r="T49" s="598">
        <f>(+T27+T35)/100</f>
        <v>241.96241203237227</v>
      </c>
      <c r="U49" s="598">
        <f>(+U27+U35)/100</f>
        <v>152.40026648652514</v>
      </c>
      <c r="V49" s="598">
        <f>+U49-T49</f>
        <v>-89.56214554584713</v>
      </c>
      <c r="W49" s="597">
        <f>+U49/T49-1</f>
        <v>-0.37014900287018371</v>
      </c>
    </row>
    <row r="50" spans="10:33" x14ac:dyDescent="0.3">
      <c r="S50" t="s">
        <v>3</v>
      </c>
      <c r="T50" s="6">
        <f>+T28/100</f>
        <v>8.3987082103158937</v>
      </c>
      <c r="U50" s="6">
        <f>+U28/100</f>
        <v>4.3949837000000063</v>
      </c>
      <c r="V50" s="598">
        <f t="shared" ref="V50:V53" si="12">+U50-T50</f>
        <v>-4.0037245103158874</v>
      </c>
    </row>
    <row r="51" spans="10:33" x14ac:dyDescent="0.3">
      <c r="S51" t="s">
        <v>1</v>
      </c>
      <c r="T51" s="6">
        <f>+T32/100</f>
        <v>12.139154037745049</v>
      </c>
      <c r="U51" s="6">
        <f>+U32/100</f>
        <v>1.4596259835904737</v>
      </c>
      <c r="V51" s="598">
        <f t="shared" si="12"/>
        <v>-10.679528054154575</v>
      </c>
    </row>
    <row r="52" spans="10:33" x14ac:dyDescent="0.3">
      <c r="S52" t="s">
        <v>59</v>
      </c>
      <c r="T52" s="6">
        <f>(T33+T34)/100</f>
        <v>11.94566425</v>
      </c>
      <c r="U52" s="6">
        <f>(U33+U34)/100</f>
        <v>11.601895509999999</v>
      </c>
      <c r="V52" s="598">
        <f t="shared" si="12"/>
        <v>-0.34376874000000157</v>
      </c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 t="s">
        <v>4</v>
      </c>
      <c r="T53" s="598">
        <f>(T45/100)-T49-T50-T51-T52</f>
        <v>5.0469915999983854</v>
      </c>
      <c r="U53" s="598">
        <f>(U45/100)-U49-U50-U51-U52</f>
        <v>-6.1281201700000647</v>
      </c>
      <c r="V53" s="598">
        <f t="shared" si="12"/>
        <v>-11.17511176999845</v>
      </c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658"/>
      <c r="U55" s="65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S57" s="598"/>
      <c r="T57" s="598"/>
      <c r="U57" s="598"/>
      <c r="V57" s="598"/>
    </row>
    <row r="58" spans="10:33" x14ac:dyDescent="0.3">
      <c r="S58" s="598"/>
      <c r="T58" s="598"/>
      <c r="U58" s="598"/>
      <c r="V58" s="598"/>
    </row>
    <row r="59" spans="10:33" x14ac:dyDescent="0.3">
      <c r="S59" s="598"/>
      <c r="T59" s="598"/>
      <c r="U59" s="598"/>
      <c r="V59" s="598"/>
    </row>
    <row r="60" spans="10:33" x14ac:dyDescent="0.3">
      <c r="T60" s="6"/>
      <c r="U60" s="6"/>
      <c r="V60" s="6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 codeName="Sheet5"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183" t="s">
        <v>243</v>
      </c>
      <c r="F4" s="183"/>
      <c r="I4" s="183"/>
      <c r="J4" s="183"/>
    </row>
    <row r="5" spans="4:26" ht="21.95" customHeight="1" x14ac:dyDescent="0.3">
      <c r="W5" s="185" t="s">
        <v>149</v>
      </c>
    </row>
    <row r="6" spans="4:26" ht="24" customHeight="1" thickBot="1" x14ac:dyDescent="0.35">
      <c r="D6" s="840" t="s">
        <v>11</v>
      </c>
      <c r="E6" s="438" t="s">
        <v>143</v>
      </c>
      <c r="F6" s="439"/>
      <c r="G6" s="440"/>
      <c r="H6" s="438" t="s">
        <v>144</v>
      </c>
      <c r="I6" s="439"/>
      <c r="J6" s="439"/>
      <c r="K6" s="440"/>
      <c r="L6" s="438" t="s">
        <v>145</v>
      </c>
      <c r="M6" s="439"/>
      <c r="N6" s="439"/>
      <c r="O6" s="440"/>
      <c r="P6" s="438" t="s">
        <v>146</v>
      </c>
      <c r="Q6" s="439"/>
      <c r="R6" s="439"/>
      <c r="S6" s="440"/>
      <c r="T6" s="438" t="s">
        <v>147</v>
      </c>
      <c r="U6" s="439"/>
      <c r="V6" s="439"/>
      <c r="W6" s="440"/>
    </row>
    <row r="7" spans="4:26" ht="24" customHeight="1" x14ac:dyDescent="0.3">
      <c r="D7" s="841"/>
      <c r="E7" s="441" t="s">
        <v>12</v>
      </c>
      <c r="F7" s="442" t="s">
        <v>13</v>
      </c>
      <c r="G7" s="443" t="s">
        <v>37</v>
      </c>
      <c r="H7" s="441" t="s">
        <v>15</v>
      </c>
      <c r="I7" s="442" t="s">
        <v>16</v>
      </c>
      <c r="J7" s="444" t="s">
        <v>37</v>
      </c>
      <c r="K7" s="445" t="s">
        <v>148</v>
      </c>
      <c r="L7" s="441" t="s">
        <v>15</v>
      </c>
      <c r="M7" s="442" t="s">
        <v>16</v>
      </c>
      <c r="N7" s="444" t="s">
        <v>37</v>
      </c>
      <c r="O7" s="445" t="s">
        <v>148</v>
      </c>
      <c r="P7" s="441" t="s">
        <v>15</v>
      </c>
      <c r="Q7" s="442" t="s">
        <v>16</v>
      </c>
      <c r="R7" s="444" t="s">
        <v>37</v>
      </c>
      <c r="S7" s="445" t="s">
        <v>148</v>
      </c>
      <c r="T7" s="441" t="s">
        <v>15</v>
      </c>
      <c r="U7" s="442" t="s">
        <v>16</v>
      </c>
      <c r="V7" s="444" t="s">
        <v>37</v>
      </c>
      <c r="W7" s="445" t="s">
        <v>148</v>
      </c>
    </row>
    <row r="8" spans="4:26" ht="24" customHeight="1" x14ac:dyDescent="0.3">
      <c r="D8" s="469" t="s">
        <v>41</v>
      </c>
      <c r="E8" s="459">
        <f>+[5]합계!$H$86/1000</f>
        <v>4455.4100445173281</v>
      </c>
      <c r="F8" s="461">
        <f>+[5]합계!$I$86/1000</f>
        <v>1732.7353900000021</v>
      </c>
      <c r="G8" s="460">
        <f>+F8-E8</f>
        <v>-2722.674654517326</v>
      </c>
      <c r="H8" s="459">
        <f>+[5]합계!$T$5/1000</f>
        <v>288.5</v>
      </c>
      <c r="I8" s="461">
        <f>+[5]합계!$U$5/1000</f>
        <v>236.2843</v>
      </c>
      <c r="J8" s="460">
        <f>+I8-H8</f>
        <v>-52.215699999999998</v>
      </c>
      <c r="K8" s="463">
        <f>+[5]합계!$M$86/1000</f>
        <v>-1010.9803940985464</v>
      </c>
      <c r="L8" s="459">
        <f>+[5]합계!$Q$85</f>
        <v>102401.42200366962</v>
      </c>
      <c r="M8" s="461">
        <f>+[5]합계!$R$85</f>
        <v>99989.728432119533</v>
      </c>
      <c r="N8" s="460">
        <f>+M8-L8</f>
        <v>-2411.6935715500877</v>
      </c>
      <c r="O8" s="463">
        <f>+[5]합계!$K$86/1000</f>
        <v>-566.91270798520748</v>
      </c>
      <c r="P8" s="459">
        <f>+[5]합계!$Q$50</f>
        <v>83367.320635033626</v>
      </c>
      <c r="Q8" s="461">
        <f>+[5]합계!$R$50</f>
        <v>87503.481853814985</v>
      </c>
      <c r="R8" s="460">
        <f>+Q8-P8</f>
        <v>4136.1612187813589</v>
      </c>
      <c r="S8" s="463">
        <f>+[5]합계!$L$56/1000</f>
        <v>-911.50215355772468</v>
      </c>
      <c r="T8" s="459">
        <f>+([5]합계!$H$80+[5]합계!$H$85)/1000</f>
        <v>1035.9282003341571</v>
      </c>
      <c r="U8" s="461">
        <f>+([5]합계!$I$80+[5]합계!$I$85)/1000</f>
        <v>1269.2075992100001</v>
      </c>
      <c r="V8" s="460">
        <f>+U8-T8</f>
        <v>233.27939887584307</v>
      </c>
      <c r="W8" s="468">
        <f>+([5]합계!$L$80+[5]합계!$L$85)/1000</f>
        <v>-233.27939887584299</v>
      </c>
      <c r="Y8" s="6">
        <f>+G8-K8-O8-S8-W8</f>
        <v>-4.2916781239910051E-12</v>
      </c>
      <c r="Z8" s="6">
        <f>+Y8*1000000</f>
        <v>-4.2916781239910051E-6</v>
      </c>
    </row>
    <row r="9" spans="4:26" ht="24" customHeight="1" x14ac:dyDescent="0.3">
      <c r="D9" s="470" t="s">
        <v>19</v>
      </c>
      <c r="E9" s="464">
        <f>+[5]수도권!$H$86/1000</f>
        <v>1621.6333585776349</v>
      </c>
      <c r="F9" s="478">
        <f>+[5]수도권!$I$86/1000</f>
        <v>268.92704800000155</v>
      </c>
      <c r="G9" s="465">
        <f t="shared" ref="G9:G28" si="0">+F9-E9</f>
        <v>-1352.7063105776333</v>
      </c>
      <c r="H9" s="464">
        <f>+[5]수도권!$T$5/1000</f>
        <v>114.5</v>
      </c>
      <c r="I9" s="478">
        <f>+[5]수도권!$U$5/1000</f>
        <v>75.634799999999998</v>
      </c>
      <c r="J9" s="465">
        <f t="shared" ref="J9:J28" si="1">+I9-H9</f>
        <v>-38.865200000000002</v>
      </c>
      <c r="K9" s="481">
        <f>+[5]수도권!$M$86/1000</f>
        <v>-670.08993052138385</v>
      </c>
      <c r="L9" s="464">
        <f>+[5]수도권!$Q$85</f>
        <v>100857.86676033787</v>
      </c>
      <c r="M9" s="478">
        <f>+[5]수도권!$R$85</f>
        <v>97749.491475587041</v>
      </c>
      <c r="N9" s="465">
        <f t="shared" ref="N9:N28" si="2">+M9-L9</f>
        <v>-3108.3752847508295</v>
      </c>
      <c r="O9" s="481">
        <f>+[5]수도권!$K$86/1000</f>
        <v>-234.68482069891542</v>
      </c>
      <c r="P9" s="464">
        <f>+[5]수도권!$Q$50</f>
        <v>83666.023580955109</v>
      </c>
      <c r="Q9" s="478">
        <f>+[5]수도권!$R$50</f>
        <v>89183.680183302728</v>
      </c>
      <c r="R9" s="465">
        <f t="shared" ref="R9:R28" si="3">+Q9-P9</f>
        <v>5517.6566023476189</v>
      </c>
      <c r="S9" s="481">
        <f>+[5]수도권!$L$56/1000</f>
        <v>-416.04323879902358</v>
      </c>
      <c r="T9" s="464">
        <f>+([5]수도권!$H$80+[5]수도권!$H$85)/1000</f>
        <v>346.83268546168892</v>
      </c>
      <c r="U9" s="478">
        <f>+([5]수도권!$I$80+[5]수도권!$I$85)/1000</f>
        <v>378.72100602</v>
      </c>
      <c r="V9" s="465">
        <f t="shared" ref="V9:V28" si="4">+U9-T9</f>
        <v>31.888320558311079</v>
      </c>
      <c r="W9" s="481">
        <f>+([5]수도권!$L$80+[5]수도권!$L$85)/1000</f>
        <v>-31.888320558311118</v>
      </c>
      <c r="Y9" s="6">
        <f t="shared" ref="Y9:Y28" si="5">+G9-K9-O9-S9-W9</f>
        <v>6.6435745793569367E-13</v>
      </c>
      <c r="Z9" s="6">
        <f t="shared" ref="Z9:Z28" si="6">+Y9*1000000</f>
        <v>6.6435745793569367E-7</v>
      </c>
    </row>
    <row r="10" spans="4:26" ht="24" customHeight="1" x14ac:dyDescent="0.3">
      <c r="D10" s="471" t="s">
        <v>20</v>
      </c>
      <c r="E10" s="466">
        <f>+[5]영남권!$H$86/1000</f>
        <v>1863.4103451204551</v>
      </c>
      <c r="F10" s="479">
        <f>+[5]영남권!$I$86/1000</f>
        <v>790.68247000000099</v>
      </c>
      <c r="G10" s="476">
        <f t="shared" si="0"/>
        <v>-1072.727875120454</v>
      </c>
      <c r="H10" s="466">
        <f>+[5]영남권!$T$5/1000</f>
        <v>120</v>
      </c>
      <c r="I10" s="479">
        <f>+[5]영남권!$U$5/1000</f>
        <v>111.84399999999999</v>
      </c>
      <c r="J10" s="476">
        <f t="shared" si="1"/>
        <v>-8.1560000000000059</v>
      </c>
      <c r="K10" s="482">
        <f>+[5]영남권!$M$86/1000</f>
        <v>-173.3081062167677</v>
      </c>
      <c r="L10" s="466">
        <f>+[5]영남권!$Q$85</f>
        <v>102384.24345833332</v>
      </c>
      <c r="M10" s="479">
        <f>+[5]영남권!$R$85</f>
        <v>99624.761690242362</v>
      </c>
      <c r="N10" s="476">
        <f t="shared" si="2"/>
        <v>-2759.4817680909619</v>
      </c>
      <c r="O10" s="482">
        <f>+[5]영남권!$K$86/1000</f>
        <v>-306.27488144041587</v>
      </c>
      <c r="P10" s="466">
        <f>+[5]영남권!$Q$50</f>
        <v>82665.36374504058</v>
      </c>
      <c r="Q10" s="479">
        <f>+[5]영남권!$R$50</f>
        <v>87103.660385759329</v>
      </c>
      <c r="R10" s="476">
        <f t="shared" si="3"/>
        <v>4438.2966407187487</v>
      </c>
      <c r="S10" s="482">
        <f>+[5]영남권!$L$56/1000</f>
        <v>-432.04381935794606</v>
      </c>
      <c r="T10" s="466">
        <f>+([5]영남권!$H$80+[5]영남권!$H$85)/1000</f>
        <v>502.85522047467629</v>
      </c>
      <c r="U10" s="479">
        <f>+([5]영남권!$I$80+[5]영남권!$I$85)/1000</f>
        <v>663.95628858000009</v>
      </c>
      <c r="V10" s="476">
        <f t="shared" si="4"/>
        <v>161.1010681053238</v>
      </c>
      <c r="W10" s="482">
        <f>+([5]영남권!$L$80+[5]영남권!$L$85)/1000</f>
        <v>-161.10106810532372</v>
      </c>
      <c r="Y10" s="6">
        <f t="shared" si="5"/>
        <v>-5.9685589803848416E-13</v>
      </c>
      <c r="Z10" s="6">
        <f t="shared" si="6"/>
        <v>-5.9685589803848416E-7</v>
      </c>
    </row>
    <row r="11" spans="4:26" ht="24" customHeight="1" x14ac:dyDescent="0.3">
      <c r="D11" s="472" t="s">
        <v>57</v>
      </c>
      <c r="E11" s="467">
        <f>+[5]중부권!$H$86/1000</f>
        <v>970.36634081923683</v>
      </c>
      <c r="F11" s="480">
        <f>+[5]중부권!$I$86/1000</f>
        <v>673.12587200000041</v>
      </c>
      <c r="G11" s="477">
        <f t="shared" si="0"/>
        <v>-297.24046881923641</v>
      </c>
      <c r="H11" s="467">
        <f>+[5]중부권!$T$5/1000</f>
        <v>54</v>
      </c>
      <c r="I11" s="480">
        <f>+[5]중부권!$U$5/1000</f>
        <v>48.805500000000002</v>
      </c>
      <c r="J11" s="477">
        <f t="shared" si="1"/>
        <v>-5.1944999999999979</v>
      </c>
      <c r="K11" s="483">
        <f>+[5]중부권!$M$86/1000</f>
        <v>-114.83578295304341</v>
      </c>
      <c r="L11" s="467">
        <f>+[5]중부권!$Q$85</f>
        <v>105712.50535185185</v>
      </c>
      <c r="M11" s="480">
        <f>+[5]중부권!$R$85</f>
        <v>104305.45775307498</v>
      </c>
      <c r="N11" s="477">
        <f t="shared" si="2"/>
        <v>-1407.0475987768732</v>
      </c>
      <c r="O11" s="483">
        <f>+[5]중부권!$K$86/1000</f>
        <v>-68.35085472958356</v>
      </c>
      <c r="P11" s="467">
        <f>+[5]중부권!$Q$50</f>
        <v>84293.863958943926</v>
      </c>
      <c r="Q11" s="480">
        <f>+[5]중부권!$R$50</f>
        <v>85815.31151888975</v>
      </c>
      <c r="R11" s="477">
        <f t="shared" si="3"/>
        <v>1521.4475599458237</v>
      </c>
      <c r="S11" s="483">
        <f>+[5]중부권!$L$56/1000</f>
        <v>-73.763820924400747</v>
      </c>
      <c r="T11" s="467">
        <f>+([5]중부권!$H$80+[5]중부권!$H$85)/1000</f>
        <v>186.24029439779187</v>
      </c>
      <c r="U11" s="480">
        <f>+([5]중부권!$I$80+[5]중부권!$I$85)/1000</f>
        <v>226.53030461</v>
      </c>
      <c r="V11" s="477">
        <f t="shared" si="4"/>
        <v>40.290010212208131</v>
      </c>
      <c r="W11" s="483">
        <f>+([5]중부권!$L$80+[5]중부권!$L$85)/1000</f>
        <v>-40.290010212208138</v>
      </c>
      <c r="Y11" s="6">
        <f t="shared" si="5"/>
        <v>-5.6132876125047915E-13</v>
      </c>
      <c r="Z11" s="6">
        <f t="shared" si="6"/>
        <v>-5.6132876125047915E-7</v>
      </c>
    </row>
    <row r="12" spans="4:26" ht="24" customHeight="1" x14ac:dyDescent="0.3">
      <c r="D12" s="473" t="s">
        <v>22</v>
      </c>
      <c r="E12" s="446">
        <f>+[5]안양!$H$86/1000</f>
        <v>678.99607462332369</v>
      </c>
      <c r="F12" s="447">
        <f>+[5]안양!$I$86/1000</f>
        <v>202.03240100000005</v>
      </c>
      <c r="G12" s="448">
        <f t="shared" si="0"/>
        <v>-476.96367362332364</v>
      </c>
      <c r="H12" s="446">
        <f>+[5]안양!$T$5/1000</f>
        <v>44</v>
      </c>
      <c r="I12" s="447">
        <f>+[5]안양!$U$5/1000</f>
        <v>28.4</v>
      </c>
      <c r="J12" s="449">
        <f t="shared" si="1"/>
        <v>-15.600000000000001</v>
      </c>
      <c r="K12" s="74">
        <f>+[5]안양!$M$86/1000</f>
        <v>-279.31230318766319</v>
      </c>
      <c r="L12" s="446">
        <f>+[5]안양!$Q$85</f>
        <v>101215.30454545456</v>
      </c>
      <c r="M12" s="447">
        <f>+[5]안양!$R$85</f>
        <v>100365.63091549296</v>
      </c>
      <c r="N12" s="449">
        <f t="shared" si="2"/>
        <v>-849.67362996160227</v>
      </c>
      <c r="O12" s="74">
        <f>+[5]안양!$K$86/1000</f>
        <v>-24.130731090909503</v>
      </c>
      <c r="P12" s="446">
        <f>+[5]안양!$Q$50</f>
        <v>83310.669725732543</v>
      </c>
      <c r="Q12" s="447">
        <f>+[5]안양!$R$50</f>
        <v>89075.63438665634</v>
      </c>
      <c r="R12" s="449">
        <f t="shared" si="3"/>
        <v>5764.9646609237971</v>
      </c>
      <c r="S12" s="74">
        <f>+[5]안양!$L$56/1000</f>
        <v>-163.74152039919525</v>
      </c>
      <c r="T12" s="446">
        <f>+([5]안양!$H$80+[5]안양!$H$85)/1000</f>
        <v>108.80785744444444</v>
      </c>
      <c r="U12" s="447">
        <f>+([5]안양!$I$80+[5]안양!$I$85)/1000</f>
        <v>118.58697638999999</v>
      </c>
      <c r="V12" s="449">
        <f t="shared" si="4"/>
        <v>9.7791189455555525</v>
      </c>
      <c r="W12" s="74">
        <f>+([5]안양!$L$80+[5]안양!$L$85)/1000</f>
        <v>-9.7791189455555596</v>
      </c>
      <c r="Y12" s="6">
        <f t="shared" si="5"/>
        <v>-1.3500311979441904E-13</v>
      </c>
      <c r="Z12" s="6">
        <f t="shared" si="6"/>
        <v>-1.3500311979441904E-7</v>
      </c>
    </row>
    <row r="13" spans="4:26" ht="24" customHeight="1" x14ac:dyDescent="0.3">
      <c r="D13" s="474" t="s">
        <v>23</v>
      </c>
      <c r="E13" s="451">
        <f>+[5]인천!$H$86/1000</f>
        <v>369.08345560547104</v>
      </c>
      <c r="F13" s="452">
        <f>+[5]인천!$I$86/1000</f>
        <v>-68.397039999999976</v>
      </c>
      <c r="G13" s="188">
        <f t="shared" si="0"/>
        <v>-437.48049560547099</v>
      </c>
      <c r="H13" s="451">
        <f>+[5]인천!$T$5/1000</f>
        <v>30</v>
      </c>
      <c r="I13" s="452">
        <f>+[5]인천!$U$5/1000</f>
        <v>18.327000000000002</v>
      </c>
      <c r="J13" s="164">
        <f t="shared" si="1"/>
        <v>-11.672999999999998</v>
      </c>
      <c r="K13" s="453">
        <f>+[5]인천!$M$86/1000</f>
        <v>-186.85935962529865</v>
      </c>
      <c r="L13" s="451">
        <f>+[5]인천!$Q$85</f>
        <v>103512.62768565332</v>
      </c>
      <c r="M13" s="452">
        <f>+[5]인천!$R$85</f>
        <v>97987.378949091493</v>
      </c>
      <c r="N13" s="164">
        <f t="shared" si="2"/>
        <v>-5525.248736561829</v>
      </c>
      <c r="O13" s="453">
        <f>+[5]인천!$K$86/1000</f>
        <v>-101.26123359496866</v>
      </c>
      <c r="P13" s="451">
        <f>+[5]인천!$Q$50</f>
        <v>87504.801109340609</v>
      </c>
      <c r="Q13" s="452">
        <f>+[5]인천!$R$50</f>
        <v>95372.590140768501</v>
      </c>
      <c r="R13" s="164">
        <f t="shared" si="3"/>
        <v>7867.789031427892</v>
      </c>
      <c r="S13" s="453">
        <f>+[5]인천!$L$56/1000</f>
        <v>-144.07586471911472</v>
      </c>
      <c r="T13" s="451">
        <f>+([5]인천!$H$80+[5]인천!$H$85)/1000</f>
        <v>111.15134168391113</v>
      </c>
      <c r="U13" s="452">
        <f>+([5]인천!$I$80+[5]인천!$I$85)/1000</f>
        <v>116.43537935000001</v>
      </c>
      <c r="V13" s="164">
        <f t="shared" si="4"/>
        <v>5.2840376660888779</v>
      </c>
      <c r="W13" s="453">
        <f>+([5]인천!$L$80+[5]인천!$L$85)/1000</f>
        <v>-5.2840376660888797</v>
      </c>
      <c r="Y13" s="6">
        <f t="shared" si="5"/>
        <v>-6.9277916736609768E-14</v>
      </c>
      <c r="Z13" s="6">
        <f t="shared" si="6"/>
        <v>-6.9277916736609768E-8</v>
      </c>
    </row>
    <row r="14" spans="4:26" ht="24" customHeight="1" x14ac:dyDescent="0.3">
      <c r="D14" s="474" t="s">
        <v>24</v>
      </c>
      <c r="E14" s="451">
        <f>+[5]파주!$H$86/1000</f>
        <v>326.54742043214338</v>
      </c>
      <c r="F14" s="452">
        <f>+[5]파주!$I$86/1000</f>
        <v>106.24982999999987</v>
      </c>
      <c r="G14" s="188">
        <f t="shared" si="0"/>
        <v>-220.29759043214352</v>
      </c>
      <c r="H14" s="451">
        <f>+[5]파주!$T$5/1000</f>
        <v>24</v>
      </c>
      <c r="I14" s="452">
        <f>+[5]파주!$U$5/1000</f>
        <v>19.107800000000001</v>
      </c>
      <c r="J14" s="164">
        <f t="shared" si="1"/>
        <v>-4.892199999999999</v>
      </c>
      <c r="K14" s="453">
        <f>+[5]파주!$M$86/1000</f>
        <v>-82.513569767748876</v>
      </c>
      <c r="L14" s="451">
        <f>+[5]파주!$Q$85</f>
        <v>99591.438062045214</v>
      </c>
      <c r="M14" s="452">
        <f>+[5]파주!$R$85</f>
        <v>94365.024402070238</v>
      </c>
      <c r="N14" s="164">
        <f t="shared" si="2"/>
        <v>-5226.4136599749763</v>
      </c>
      <c r="O14" s="453">
        <f>+[5]파주!$K$86/1000</f>
        <v>-99.164927501633201</v>
      </c>
      <c r="P14" s="451">
        <f>+[5]파주!$Q$50</f>
        <v>83099.501854224422</v>
      </c>
      <c r="Q14" s="452">
        <f>+[5]파주!$R$50</f>
        <v>84584.170962063479</v>
      </c>
      <c r="R14" s="164">
        <f t="shared" si="3"/>
        <v>1484.6691078390577</v>
      </c>
      <c r="S14" s="453">
        <f>+[5]파주!$L$56/1000</f>
        <v>-28.169802888316898</v>
      </c>
      <c r="T14" s="451">
        <f>+([5]파주!$H$80+[5]파주!$H$85)/1000</f>
        <v>69.259048555555552</v>
      </c>
      <c r="U14" s="452">
        <f>+([5]파주!$I$80+[5]파주!$I$85)/1000</f>
        <v>79.708338829999988</v>
      </c>
      <c r="V14" s="164">
        <f t="shared" si="4"/>
        <v>10.449290274444436</v>
      </c>
      <c r="W14" s="453">
        <f>+([5]파주!$L$80+[5]파주!$L$85)/1000</f>
        <v>-10.449290274444447</v>
      </c>
      <c r="Y14" s="6">
        <f t="shared" si="5"/>
        <v>-8.5265128291212022E-14</v>
      </c>
      <c r="Z14" s="6">
        <f t="shared" si="6"/>
        <v>-8.5265128291212022E-8</v>
      </c>
    </row>
    <row r="15" spans="4:26" ht="24" customHeight="1" x14ac:dyDescent="0.3">
      <c r="D15" s="474" t="s">
        <v>178</v>
      </c>
      <c r="E15" s="451">
        <f>+[5]김포!$H$86/1000</f>
        <v>247.00640791669758</v>
      </c>
      <c r="F15" s="452">
        <f>+[5]김포!$I$86/1000</f>
        <v>29.041857000000117</v>
      </c>
      <c r="G15" s="188">
        <f t="shared" si="0"/>
        <v>-217.96455091669748</v>
      </c>
      <c r="H15" s="451">
        <f>+[5]김포!$T$5/1000</f>
        <v>16.5</v>
      </c>
      <c r="I15" s="452">
        <f>+[5]김포!$U$5/1000</f>
        <v>9.8000000000000007</v>
      </c>
      <c r="J15" s="164">
        <f t="shared" si="1"/>
        <v>-6.6999999999999993</v>
      </c>
      <c r="K15" s="453">
        <f>+[5]김포!$M$86/1000</f>
        <v>-123.69452522139298</v>
      </c>
      <c r="L15" s="451">
        <f>+[5]김포!$Q$85</f>
        <v>96919.939393939392</v>
      </c>
      <c r="M15" s="452">
        <f>+[5]김포!$R$85</f>
        <v>96275.825918367351</v>
      </c>
      <c r="N15" s="164">
        <f t="shared" si="2"/>
        <v>-644.11347557204135</v>
      </c>
      <c r="O15" s="453">
        <f>+[5]김포!$K$86/1000</f>
        <v>-6.3123120606060059</v>
      </c>
      <c r="P15" s="451">
        <f>+[5]김포!$Q$50</f>
        <v>78458.069957910586</v>
      </c>
      <c r="Q15" s="462">
        <f>+[5]김포!$R$50</f>
        <v>86782.747448979586</v>
      </c>
      <c r="R15" s="164">
        <f t="shared" si="3"/>
        <v>8324.6774910690001</v>
      </c>
      <c r="S15" s="453">
        <f>+[5]김포!$L$56/1000</f>
        <v>-81.581839962476153</v>
      </c>
      <c r="T15" s="451">
        <f>+([5]김포!$H$80+[5]김포!$H$85)/1000</f>
        <v>57.614437777777773</v>
      </c>
      <c r="U15" s="452">
        <f>+([5]김포!$I$80+[5]김포!$I$85)/1000</f>
        <v>63.990311449999993</v>
      </c>
      <c r="V15" s="164">
        <f t="shared" si="4"/>
        <v>6.3758736722222196</v>
      </c>
      <c r="W15" s="453">
        <f>+([5]김포!$L$80+[5]김포!$L$85)/1000</f>
        <v>-6.3758736722222258</v>
      </c>
      <c r="Y15" s="6">
        <f t="shared" si="5"/>
        <v>-1.1457501614131615E-13</v>
      </c>
      <c r="Z15" s="6">
        <f t="shared" si="6"/>
        <v>-1.1457501614131615E-7</v>
      </c>
    </row>
    <row r="16" spans="4:26" ht="24" customHeight="1" x14ac:dyDescent="0.3">
      <c r="D16" s="475" t="s">
        <v>25</v>
      </c>
      <c r="E16" s="454">
        <f>+[5]부산!$H$86/1000</f>
        <v>359.59565185733419</v>
      </c>
      <c r="F16" s="455">
        <f>+[5]부산!$I$86/1000</f>
        <v>167.22155100000009</v>
      </c>
      <c r="G16" s="456">
        <f t="shared" si="0"/>
        <v>-192.3741008573341</v>
      </c>
      <c r="H16" s="454">
        <f>+[5]부산!$T$5/1000</f>
        <v>21</v>
      </c>
      <c r="I16" s="455">
        <f>+[5]부산!$U$5/1000</f>
        <v>15.516999999999999</v>
      </c>
      <c r="J16" s="457">
        <f t="shared" si="1"/>
        <v>-5.4830000000000005</v>
      </c>
      <c r="K16" s="458">
        <f>+[5]부산!$M$86/1000</f>
        <v>-121.81133039440145</v>
      </c>
      <c r="L16" s="454">
        <f>+[5]부산!$Q$85</f>
        <v>107600.03738095237</v>
      </c>
      <c r="M16" s="455">
        <f>+[5]부산!$R$85</f>
        <v>114051.86569568861</v>
      </c>
      <c r="N16" s="457">
        <f t="shared" si="2"/>
        <v>6451.8283147362381</v>
      </c>
      <c r="O16" s="458">
        <f>+[5]부산!$K$86/1000</f>
        <v>100.1130199597622</v>
      </c>
      <c r="P16" s="454">
        <f>+[5]부산!$Q$50</f>
        <v>85383.854562349152</v>
      </c>
      <c r="Q16" s="455">
        <f>+[5]부산!$R$50</f>
        <v>96644.717246246626</v>
      </c>
      <c r="R16" s="457">
        <f t="shared" si="3"/>
        <v>11260.862683897474</v>
      </c>
      <c r="S16" s="458">
        <f>+[5]부산!$L$56/1000</f>
        <v>-138.8827280160281</v>
      </c>
      <c r="T16" s="454">
        <f>+([5]부산!$H$80+[5]부산!$H$85)/1000</f>
        <v>106.94418733333333</v>
      </c>
      <c r="U16" s="455">
        <f>+([5]부산!$I$80+[5]부산!$I$85)/1000</f>
        <v>138.73724974000001</v>
      </c>
      <c r="V16" s="457">
        <f t="shared" si="4"/>
        <v>31.793062406666678</v>
      </c>
      <c r="W16" s="458">
        <f>+([5]부산!$L$80+[5]부산!$L$85)/1000</f>
        <v>-31.793062406666674</v>
      </c>
      <c r="Y16" s="6">
        <f t="shared" si="5"/>
        <v>-6.0396132539608516E-14</v>
      </c>
      <c r="Z16" s="6">
        <f t="shared" si="6"/>
        <v>-6.0396132539608516E-8</v>
      </c>
    </row>
    <row r="17" spans="4:26" ht="24" customHeight="1" x14ac:dyDescent="0.3">
      <c r="D17" s="474" t="s">
        <v>26</v>
      </c>
      <c r="E17" s="451">
        <f>+[5]서부산!$H$86/1000</f>
        <v>342.28746034410682</v>
      </c>
      <c r="F17" s="452">
        <f>+[5]서부산!$I$86/1000</f>
        <v>84.673493999999977</v>
      </c>
      <c r="G17" s="188">
        <f t="shared" si="0"/>
        <v>-257.61396634410687</v>
      </c>
      <c r="H17" s="451">
        <f>+[5]서부산!$T$5/1000</f>
        <v>19</v>
      </c>
      <c r="I17" s="452">
        <f>+[5]서부산!$U$5/1000</f>
        <v>13.004</v>
      </c>
      <c r="J17" s="164">
        <f t="shared" si="1"/>
        <v>-5.9960000000000004</v>
      </c>
      <c r="K17" s="453">
        <f>+[5]서부산!$M$86/1000</f>
        <v>-124.16186140225362</v>
      </c>
      <c r="L17" s="451">
        <f>+[5]서부산!$Q$85</f>
        <v>104402.20000000001</v>
      </c>
      <c r="M17" s="452">
        <f>+[5]서부산!$R$85</f>
        <v>101120.44755459859</v>
      </c>
      <c r="N17" s="164">
        <f t="shared" si="2"/>
        <v>-3281.7524454014201</v>
      </c>
      <c r="O17" s="453">
        <f>+[5]서부산!$K$86/1000</f>
        <v>-42.675908800000066</v>
      </c>
      <c r="P17" s="451">
        <f>+[5]서부산!$Q$50</f>
        <v>83694.751467269263</v>
      </c>
      <c r="Q17" s="452">
        <f>+[5]서부산!$R$50</f>
        <v>87992.647614349145</v>
      </c>
      <c r="R17" s="164">
        <f t="shared" si="3"/>
        <v>4297.8961470798822</v>
      </c>
      <c r="S17" s="453">
        <f>+[5]서부산!$L$56/1000</f>
        <v>-53.674893649630853</v>
      </c>
      <c r="T17" s="451">
        <f>+([5]서부산!$H$80+[5]서부산!$H$85)/1000</f>
        <v>51.154061777777784</v>
      </c>
      <c r="U17" s="452">
        <f>+([5]서부산!$I$80+[5]서부산!$I$85)/1000</f>
        <v>88.255364269999987</v>
      </c>
      <c r="V17" s="164">
        <f t="shared" si="4"/>
        <v>37.101302492222203</v>
      </c>
      <c r="W17" s="453">
        <f>+([5]서부산!$L$80+[5]서부산!$L$85)/1000</f>
        <v>-37.10130249222221</v>
      </c>
      <c r="Y17" s="6">
        <f t="shared" si="5"/>
        <v>-1.1368683772161603E-13</v>
      </c>
      <c r="Z17" s="6">
        <f t="shared" si="6"/>
        <v>-1.1368683772161603E-7</v>
      </c>
    </row>
    <row r="18" spans="4:26" ht="24" customHeight="1" x14ac:dyDescent="0.3">
      <c r="D18" s="474" t="s">
        <v>27</v>
      </c>
      <c r="E18" s="451">
        <f>+[5]김해!$H$86/1000</f>
        <v>152.0957459001518</v>
      </c>
      <c r="F18" s="452">
        <f>+[5]김해!$I$86/1000</f>
        <v>-2.7295230000000736</v>
      </c>
      <c r="G18" s="188">
        <f t="shared" si="0"/>
        <v>-154.82526890015188</v>
      </c>
      <c r="H18" s="451">
        <f>+[5]김해!$T$5/1000</f>
        <v>12</v>
      </c>
      <c r="I18" s="452">
        <f>+[5]김해!$U$5/1000</f>
        <v>12.705</v>
      </c>
      <c r="J18" s="164">
        <f t="shared" si="1"/>
        <v>0.70500000000000007</v>
      </c>
      <c r="K18" s="453">
        <f>+[5]김해!$M$86/1000</f>
        <v>1.8782531602860764</v>
      </c>
      <c r="L18" s="451">
        <f>+[5]김해!$Q$85</f>
        <v>100999.40000000001</v>
      </c>
      <c r="M18" s="452">
        <f>+[5]김해!$R$85</f>
        <v>89286.80280145134</v>
      </c>
      <c r="N18" s="164">
        <f t="shared" si="2"/>
        <v>-11712.597198548669</v>
      </c>
      <c r="O18" s="453">
        <f>+[5]김해!$K$86/1000</f>
        <v>-138.80598940000027</v>
      </c>
      <c r="P18" s="451">
        <f>+[5]김해!$Q$50</f>
        <v>84350.09235091327</v>
      </c>
      <c r="Q18" s="452">
        <f>+[5]김해!$R$50</f>
        <v>84830.825086403114</v>
      </c>
      <c r="R18" s="164">
        <f t="shared" si="3"/>
        <v>480.73273548984434</v>
      </c>
      <c r="S18" s="453">
        <f>+[5]김해!$L$56/1000</f>
        <v>1.0009744806731924</v>
      </c>
      <c r="T18" s="451">
        <f>+([5]김해!$H$80+[5]김해!$H$85)/1000</f>
        <v>47.695945888888893</v>
      </c>
      <c r="U18" s="452">
        <f>+([5]김해!$I$80+[5]김해!$I$85)/1000</f>
        <v>66.594453030000011</v>
      </c>
      <c r="V18" s="164">
        <f t="shared" si="4"/>
        <v>18.898507141111118</v>
      </c>
      <c r="W18" s="453">
        <f>+([5]김해!$L$80+[5]김해!$L$85)/1000</f>
        <v>-18.898507141111114</v>
      </c>
      <c r="Y18" s="6">
        <f t="shared" si="5"/>
        <v>2.3092638912203256E-13</v>
      </c>
      <c r="Z18" s="6">
        <f t="shared" si="6"/>
        <v>2.3092638912203256E-7</v>
      </c>
    </row>
    <row r="19" spans="4:26" ht="24" customHeight="1" x14ac:dyDescent="0.3">
      <c r="D19" s="474" t="s">
        <v>28</v>
      </c>
      <c r="E19" s="451">
        <f>+[5]정관!$H$86/1000</f>
        <v>221.82233299038958</v>
      </c>
      <c r="F19" s="452">
        <f>+[5]정관!$I$86/1000</f>
        <v>103.54540100000021</v>
      </c>
      <c r="G19" s="188">
        <f t="shared" si="0"/>
        <v>-118.27693199038937</v>
      </c>
      <c r="H19" s="451">
        <f>+[5]정관!$T$5/1000</f>
        <v>16</v>
      </c>
      <c r="I19" s="452">
        <f>+[5]정관!$U$5/1000</f>
        <v>16.975999999999999</v>
      </c>
      <c r="J19" s="164">
        <f t="shared" si="1"/>
        <v>0.97599999999999909</v>
      </c>
      <c r="K19" s="453">
        <f>+[5]정관!$M$86/1000</f>
        <v>17.992459762858211</v>
      </c>
      <c r="L19" s="451">
        <f>+[5]정관!$Q$85</f>
        <v>104000</v>
      </c>
      <c r="M19" s="452">
        <f>+[5]정관!$R$85</f>
        <v>101496.21229971724</v>
      </c>
      <c r="N19" s="164">
        <f t="shared" si="2"/>
        <v>-2503.787700282759</v>
      </c>
      <c r="O19" s="453">
        <f>+[5]정관!$K$86/1000</f>
        <v>-42.504300000000121</v>
      </c>
      <c r="P19" s="451">
        <f>+[5]정관!$Q$50</f>
        <v>85565.102701989555</v>
      </c>
      <c r="Q19" s="452">
        <f>+[5]정관!$R$50</f>
        <v>90031.972558467503</v>
      </c>
      <c r="R19" s="164">
        <f t="shared" si="3"/>
        <v>4466.8698564779479</v>
      </c>
      <c r="S19" s="453">
        <f>+[5]정관!$L$56/1000</f>
        <v>-62.009997391025188</v>
      </c>
      <c r="T19" s="451">
        <f>+([5]정관!$H$80+[5]정관!$H$85)/1000</f>
        <v>73.13602377777778</v>
      </c>
      <c r="U19" s="452">
        <f>+([5]정관!$I$80+[5]정관!$I$85)/1000</f>
        <v>104.89111814</v>
      </c>
      <c r="V19" s="164">
        <f t="shared" si="4"/>
        <v>31.755094362222223</v>
      </c>
      <c r="W19" s="453">
        <f>+([5]정관!$L$80+[5]정관!$L$85)/1000</f>
        <v>-31.755094362222227</v>
      </c>
      <c r="Y19" s="6">
        <f t="shared" si="5"/>
        <v>-6.0396132539608516E-14</v>
      </c>
      <c r="Z19" s="6">
        <f t="shared" si="6"/>
        <v>-6.0396132539608516E-8</v>
      </c>
    </row>
    <row r="20" spans="4:26" ht="24" customHeight="1" x14ac:dyDescent="0.3">
      <c r="D20" s="474" t="s">
        <v>29</v>
      </c>
      <c r="E20" s="451">
        <f>+[5]양산!$H$86/1000</f>
        <v>189.63512175105879</v>
      </c>
      <c r="F20" s="452">
        <f>+[5]양산!$I$86/1000</f>
        <v>69.60220799999999</v>
      </c>
      <c r="G20" s="188">
        <f t="shared" si="0"/>
        <v>-120.0329137510588</v>
      </c>
      <c r="H20" s="451">
        <f>+[5]양산!$T$5/1000</f>
        <v>12</v>
      </c>
      <c r="I20" s="452">
        <f>+[5]양산!$U$5/1000</f>
        <v>12.518000000000001</v>
      </c>
      <c r="J20" s="164">
        <f t="shared" si="1"/>
        <v>0.51800000000000068</v>
      </c>
      <c r="K20" s="453">
        <f>+[5]양산!$M$86/1000</f>
        <v>10.598709588716993</v>
      </c>
      <c r="L20" s="451">
        <f>+[5]양산!$Q$85</f>
        <v>97210.152500000026</v>
      </c>
      <c r="M20" s="452">
        <f>+[5]양산!$R$85</f>
        <v>90109.993609202749</v>
      </c>
      <c r="N20" s="164">
        <f t="shared" si="2"/>
        <v>-7100.1588907972764</v>
      </c>
      <c r="O20" s="453">
        <f>+[5]양산!$K$86/1000</f>
        <v>-88.879788995000297</v>
      </c>
      <c r="P20" s="451">
        <f>+[5]양산!$Q$50</f>
        <v>76749.323178152525</v>
      </c>
      <c r="Q20" s="452">
        <f>+[5]양산!$R$50</f>
        <v>80863.621105607919</v>
      </c>
      <c r="R20" s="164">
        <f t="shared" si="3"/>
        <v>4114.2979274553945</v>
      </c>
      <c r="S20" s="453">
        <f>+[5]양산!$L$56/1000</f>
        <v>-51.502779595886381</v>
      </c>
      <c r="T20" s="451">
        <f>+([5]양산!$H$80+[5]양산!$H$85)/1000</f>
        <v>55.894830111111112</v>
      </c>
      <c r="U20" s="452">
        <f>+([5]양산!$I$80+[5]양산!$I$85)/1000</f>
        <v>46.14388486</v>
      </c>
      <c r="V20" s="164">
        <f t="shared" si="4"/>
        <v>-9.7509452511111121</v>
      </c>
      <c r="W20" s="453">
        <f>+([5]양산!$L$80+[5]양산!$L$85)/1000</f>
        <v>9.7509452511111139</v>
      </c>
      <c r="Y20" s="6">
        <f t="shared" si="5"/>
        <v>-2.2204460492503131E-13</v>
      </c>
      <c r="Z20" s="6">
        <f t="shared" si="6"/>
        <v>-2.2204460492503131E-7</v>
      </c>
    </row>
    <row r="21" spans="4:26" ht="24" customHeight="1" x14ac:dyDescent="0.3">
      <c r="D21" s="474" t="s">
        <v>30</v>
      </c>
      <c r="E21" s="451">
        <f>+[5]창원!$H$86/1000</f>
        <v>222.23827020808582</v>
      </c>
      <c r="F21" s="452">
        <f>+[5]창원!$I$86/1000</f>
        <v>152.25466699999993</v>
      </c>
      <c r="G21" s="188">
        <f t="shared" si="0"/>
        <v>-69.983603208085896</v>
      </c>
      <c r="H21" s="451">
        <f>+[5]창원!$T$5/1000</f>
        <v>14</v>
      </c>
      <c r="I21" s="452">
        <f>+[5]창원!$U$5/1000</f>
        <v>14.952999999999999</v>
      </c>
      <c r="J21" s="164">
        <f t="shared" si="1"/>
        <v>0.9529999999999994</v>
      </c>
      <c r="K21" s="453">
        <f>+[5]창원!$M$86/1000</f>
        <v>20.197198024886923</v>
      </c>
      <c r="L21" s="451">
        <f>+[5]창원!$Q$85</f>
        <v>101695</v>
      </c>
      <c r="M21" s="452">
        <f>+[5]창원!$R$85</f>
        <v>100805.5507256069</v>
      </c>
      <c r="N21" s="164">
        <f t="shared" si="2"/>
        <v>-889.44927439310413</v>
      </c>
      <c r="O21" s="453">
        <f>+[5]창원!$K$86/1000</f>
        <v>-13.299935000000085</v>
      </c>
      <c r="P21" s="451">
        <f>+[5]창원!$Q$50</f>
        <v>80501.717707358956</v>
      </c>
      <c r="Q21" s="452">
        <f>+[5]창원!$R$50</f>
        <v>84468.484986290379</v>
      </c>
      <c r="R21" s="164">
        <f t="shared" si="3"/>
        <v>3966.7672789314238</v>
      </c>
      <c r="S21" s="453">
        <f>+[5]창원!$L$56/1000</f>
        <v>-59.144594351861599</v>
      </c>
      <c r="T21" s="451">
        <f>+([5]창원!$H$80+[5]창원!$H$85)/1000</f>
        <v>74.467681888888876</v>
      </c>
      <c r="U21" s="452">
        <f>+([5]창원!$I$80+[5]창원!$I$85)/1000</f>
        <v>92.203953769999998</v>
      </c>
      <c r="V21" s="164">
        <f t="shared" si="4"/>
        <v>17.736271881111122</v>
      </c>
      <c r="W21" s="453">
        <f>+([5]창원!$L$80+[5]창원!$L$85)/1000</f>
        <v>-17.736271881111115</v>
      </c>
      <c r="Y21" s="6">
        <f t="shared" si="5"/>
        <v>0</v>
      </c>
      <c r="Z21" s="6">
        <f t="shared" si="6"/>
        <v>0</v>
      </c>
    </row>
    <row r="22" spans="4:26" ht="24" customHeight="1" x14ac:dyDescent="0.3">
      <c r="D22" s="474" t="s">
        <v>95</v>
      </c>
      <c r="E22" s="451">
        <f>+[5]대구!$H$86/1000</f>
        <v>287.14697119302951</v>
      </c>
      <c r="F22" s="452">
        <f>+[5]대구!$I$86/1000</f>
        <v>137.65472400000007</v>
      </c>
      <c r="G22" s="188">
        <f t="shared" si="0"/>
        <v>-149.49224719302944</v>
      </c>
      <c r="H22" s="451">
        <f>+[5]대구!$T$5/1000</f>
        <v>16</v>
      </c>
      <c r="I22" s="452">
        <f>+[5]대구!$U$5/1000</f>
        <v>14.191000000000001</v>
      </c>
      <c r="J22" s="164">
        <f t="shared" si="1"/>
        <v>-1.8089999999999993</v>
      </c>
      <c r="K22" s="453">
        <f>+[5]대구!$M$86/1000</f>
        <v>-38.583099757804973</v>
      </c>
      <c r="L22" s="451">
        <f>+[5]대구!$Q$85</f>
        <v>97760</v>
      </c>
      <c r="M22" s="452">
        <f>+[5]대구!$R$85</f>
        <v>97242.812345853017</v>
      </c>
      <c r="N22" s="164">
        <f t="shared" si="2"/>
        <v>-517.18765414698282</v>
      </c>
      <c r="O22" s="453">
        <f>+[5]대구!$K$86/1000</f>
        <v>-7.339409999999833</v>
      </c>
      <c r="P22" s="451">
        <f>+[5]대구!$Q$50</f>
        <v>76431.586645768388</v>
      </c>
      <c r="Q22" s="452">
        <f>+[5]대구!$R$50</f>
        <v>82430.457754915085</v>
      </c>
      <c r="R22" s="164">
        <f t="shared" si="3"/>
        <v>5998.8711091466976</v>
      </c>
      <c r="S22" s="453">
        <f>+[5]대구!$L$56/1000</f>
        <v>-85.129993729900832</v>
      </c>
      <c r="T22" s="451">
        <f>+([5]대구!$H$80+[5]대구!$H$85)/1000</f>
        <v>54.107642474676311</v>
      </c>
      <c r="U22" s="452">
        <f>+([5]대구!$I$80+[5]대구!$I$85)/1000</f>
        <v>72.547386180000004</v>
      </c>
      <c r="V22" s="164">
        <f t="shared" si="4"/>
        <v>18.439743705323693</v>
      </c>
      <c r="W22" s="453">
        <f>+([5]대구!$L$80+[5]대구!$L$85)/1000</f>
        <v>-18.439743705323693</v>
      </c>
      <c r="Y22" s="6">
        <f t="shared" si="5"/>
        <v>-1.1368683772161603E-13</v>
      </c>
      <c r="Z22" s="6">
        <f t="shared" si="6"/>
        <v>-1.1368683772161603E-7</v>
      </c>
    </row>
    <row r="23" spans="4:26" ht="24" customHeight="1" x14ac:dyDescent="0.3">
      <c r="D23" s="474" t="s">
        <v>97</v>
      </c>
      <c r="E23" s="451">
        <f>+[5]울산!$H$86/1000</f>
        <v>88.588790876298361</v>
      </c>
      <c r="F23" s="452">
        <f>+[5]울산!$I$86/1000</f>
        <v>78.459948000000068</v>
      </c>
      <c r="G23" s="188">
        <f t="shared" si="0"/>
        <v>-10.128842876298293</v>
      </c>
      <c r="H23" s="451">
        <f>+[5]울산!$T$5/1000</f>
        <v>10</v>
      </c>
      <c r="I23" s="452">
        <f>+[5]울산!$U$5/1000</f>
        <v>11.98</v>
      </c>
      <c r="J23" s="164">
        <f t="shared" si="1"/>
        <v>1.9800000000000004</v>
      </c>
      <c r="K23" s="453">
        <f>+[5]울산!$M$86/1000</f>
        <v>25.352640343507083</v>
      </c>
      <c r="L23" s="451">
        <f>+[5]울산!$Q$85</f>
        <v>101246.2</v>
      </c>
      <c r="M23" s="452">
        <f>+[5]울산!$R$85</f>
        <v>98179.177796327203</v>
      </c>
      <c r="N23" s="164">
        <f t="shared" si="2"/>
        <v>-3067.0222036727937</v>
      </c>
      <c r="O23" s="453">
        <f>+[5]울산!$K$86/1000</f>
        <v>-36.742926000000068</v>
      </c>
      <c r="P23" s="451">
        <f>+[5]울산!$Q$50</f>
        <v>88441.836190147951</v>
      </c>
      <c r="Q23" s="452">
        <f>+[5]울산!$R$50</f>
        <v>87073.767612687807</v>
      </c>
      <c r="R23" s="164">
        <f t="shared" si="3"/>
        <v>-1368.0685774601443</v>
      </c>
      <c r="S23" s="453">
        <f>+[5]울산!$L$56/1000</f>
        <v>16.389474147972251</v>
      </c>
      <c r="T23" s="451">
        <f>+([5]울산!$H$80+[5]울산!$H$85)/1000</f>
        <v>39.454847222222227</v>
      </c>
      <c r="U23" s="452">
        <f>+([5]울산!$I$80+[5]울산!$I$85)/1000</f>
        <v>54.58287859</v>
      </c>
      <c r="V23" s="164">
        <f t="shared" si="4"/>
        <v>15.128031367777773</v>
      </c>
      <c r="W23" s="453">
        <f>+([5]울산!$L$80+[5]울산!$L$85)/1000</f>
        <v>-15.128031367777774</v>
      </c>
      <c r="Y23" s="6">
        <f t="shared" si="5"/>
        <v>2.1493917756743031E-13</v>
      </c>
      <c r="Z23" s="6">
        <f t="shared" si="6"/>
        <v>2.1493917756743031E-7</v>
      </c>
    </row>
    <row r="24" spans="4:26" ht="24" customHeight="1" x14ac:dyDescent="0.3">
      <c r="D24" s="475" t="s">
        <v>31</v>
      </c>
      <c r="E24" s="454">
        <f>+[5]아산!$H$86/1000</f>
        <v>384.78619384451076</v>
      </c>
      <c r="F24" s="455">
        <f>+[5]아산!$I$86/1000</f>
        <v>256.65218499999986</v>
      </c>
      <c r="G24" s="456">
        <f t="shared" si="0"/>
        <v>-128.1340088445109</v>
      </c>
      <c r="H24" s="454">
        <f>+[5]아산!$T$5/1000</f>
        <v>25</v>
      </c>
      <c r="I24" s="455">
        <f>+[5]아산!$U$5/1000</f>
        <v>23.352</v>
      </c>
      <c r="J24" s="457">
        <f t="shared" si="1"/>
        <v>-1.6479999999999997</v>
      </c>
      <c r="K24" s="458">
        <f>+[5]아산!$M$86/1000</f>
        <v>-32.455263529244021</v>
      </c>
      <c r="L24" s="454">
        <f>+[5]아산!$Q$85</f>
        <v>101000.14</v>
      </c>
      <c r="M24" s="455">
        <f>+[5]아산!$R$85</f>
        <v>99026.218995765259</v>
      </c>
      <c r="N24" s="457">
        <f t="shared" si="2"/>
        <v>-1973.9210042347404</v>
      </c>
      <c r="O24" s="458">
        <f>+[5]아산!$K$86/1000</f>
        <v>-45.680479880000362</v>
      </c>
      <c r="P24" s="454">
        <f>+[5]아산!$Q$50</f>
        <v>82854.142406219573</v>
      </c>
      <c r="Q24" s="455">
        <f>+[5]아산!$R$50</f>
        <v>84564.275202830991</v>
      </c>
      <c r="R24" s="457">
        <f t="shared" si="3"/>
        <v>1710.1327966114186</v>
      </c>
      <c r="S24" s="458">
        <f>+[5]아산!$L$56/1000</f>
        <v>-39.376976965266685</v>
      </c>
      <c r="T24" s="454">
        <f>+([5]아산!$H$80+[5]아산!$H$85)/1000</f>
        <v>68.863745999999978</v>
      </c>
      <c r="U24" s="455">
        <f>+([5]아산!$I$80+[5]아산!$I$85)/1000</f>
        <v>79.485034470000002</v>
      </c>
      <c r="V24" s="457">
        <f t="shared" si="4"/>
        <v>10.621288470000025</v>
      </c>
      <c r="W24" s="458">
        <f>+([5]아산!$L$80+[5]아산!$L$85)/1000</f>
        <v>-10.621288470000005</v>
      </c>
      <c r="Y24" s="6">
        <f t="shared" si="5"/>
        <v>1.723066134218243E-13</v>
      </c>
      <c r="Z24" s="6">
        <f t="shared" si="6"/>
        <v>1.723066134218243E-7</v>
      </c>
    </row>
    <row r="25" spans="4:26" ht="24" customHeight="1" x14ac:dyDescent="0.3">
      <c r="D25" s="474" t="s">
        <v>34</v>
      </c>
      <c r="E25" s="451">
        <f>+[5]전주!$H$86/1000</f>
        <v>209.31452785619109</v>
      </c>
      <c r="F25" s="452">
        <f>+[5]전주!$I$86/1000</f>
        <v>98.002098999999959</v>
      </c>
      <c r="G25" s="188">
        <f t="shared" si="0"/>
        <v>-111.31242885619113</v>
      </c>
      <c r="H25" s="451">
        <f>+[5]전주!$T$5/1000</f>
        <v>12</v>
      </c>
      <c r="I25" s="452">
        <f>+[5]전주!$U$5/1000</f>
        <v>10.103</v>
      </c>
      <c r="J25" s="164">
        <f t="shared" si="1"/>
        <v>-1.8970000000000002</v>
      </c>
      <c r="K25" s="453">
        <f>+[5]전주!$M$86/1000</f>
        <v>-41.582791793488404</v>
      </c>
      <c r="L25" s="451">
        <f>+[5]전주!$Q$85</f>
        <v>102339.39666666668</v>
      </c>
      <c r="M25" s="452">
        <f>+[5]전주!$R$85</f>
        <v>99690.626150648313</v>
      </c>
      <c r="N25" s="164">
        <f t="shared" si="2"/>
        <v>-2648.7705160183687</v>
      </c>
      <c r="O25" s="453">
        <f>+[5]전주!$K$86/1000</f>
        <v>-26.760528523333576</v>
      </c>
      <c r="P25" s="451">
        <f>+[5]전주!$Q$50</f>
        <v>80419.105789761874</v>
      </c>
      <c r="Q25" s="452">
        <f>+[5]전주!$R$50</f>
        <v>83406.677588078557</v>
      </c>
      <c r="R25" s="164">
        <f t="shared" si="3"/>
        <v>2987.5717983166833</v>
      </c>
      <c r="S25" s="453">
        <f>+[5]전주!$L$56/1000</f>
        <v>-30.128287826035685</v>
      </c>
      <c r="T25" s="451">
        <f>+([5]전주!$H$80+[5]전주!$H$85)/1000</f>
        <v>53.728962666666675</v>
      </c>
      <c r="U25" s="452">
        <f>+([5]전주!$I$80+[5]전주!$I$85)/1000</f>
        <v>66.569783380000004</v>
      </c>
      <c r="V25" s="164">
        <f t="shared" si="4"/>
        <v>12.840820713333329</v>
      </c>
      <c r="W25" s="453">
        <f>+([5]전주!$L$80+[5]전주!$L$85)/1000</f>
        <v>-12.840820713333333</v>
      </c>
      <c r="Y25" s="6">
        <f t="shared" si="5"/>
        <v>-1.2789769243681803E-13</v>
      </c>
      <c r="Z25" s="6">
        <f t="shared" si="6"/>
        <v>-1.2789769243681803E-7</v>
      </c>
    </row>
    <row r="26" spans="4:26" ht="24" customHeight="1" x14ac:dyDescent="0.3">
      <c r="D26" s="450" t="s">
        <v>33</v>
      </c>
      <c r="E26" s="451">
        <f>+[5]군산!$H$86/1000</f>
        <v>200.25548561036032</v>
      </c>
      <c r="F26" s="452">
        <f>+[5]군산!$I$86/1000</f>
        <v>252.01421399999995</v>
      </c>
      <c r="G26" s="188">
        <f t="shared" si="0"/>
        <v>51.758728389639629</v>
      </c>
      <c r="H26" s="451">
        <f>+[5]군산!$T$5/1000</f>
        <v>7</v>
      </c>
      <c r="I26" s="452">
        <f>+[5]군산!$U$5/1000</f>
        <v>7.883</v>
      </c>
      <c r="J26" s="164">
        <f t="shared" si="1"/>
        <v>0.88300000000000001</v>
      </c>
      <c r="K26" s="453">
        <f>+[5]군산!$M$86/1000</f>
        <v>27.419176432010399</v>
      </c>
      <c r="L26" s="451">
        <f>+[5]군산!$Q$85</f>
        <v>108999.86128571429</v>
      </c>
      <c r="M26" s="452">
        <f>+[5]군산!$R$85</f>
        <v>116414.49459631278</v>
      </c>
      <c r="N26" s="164">
        <f t="shared" si="2"/>
        <v>7414.6333105984959</v>
      </c>
      <c r="O26" s="453">
        <f>+[5]군산!$K$86/1000</f>
        <v>58.316090987857166</v>
      </c>
      <c r="P26" s="451">
        <f>+[5]군산!$Q$50</f>
        <v>77355.495468361201</v>
      </c>
      <c r="Q26" s="452">
        <f>+[5]군산!$R$50</f>
        <v>80909.965034965047</v>
      </c>
      <c r="R26" s="164">
        <f t="shared" si="3"/>
        <v>3554.469566603846</v>
      </c>
      <c r="S26" s="453">
        <f>+[5]군산!$L$56/1000</f>
        <v>-27.955900511338989</v>
      </c>
      <c r="T26" s="451">
        <f>+([5]군산!$H$80+[5]군산!$H$85)/1000</f>
        <v>21.255075111111111</v>
      </c>
      <c r="U26" s="452">
        <f>+([5]군산!$I$80+[5]군산!$I$85)/1000</f>
        <v>27.275713629999998</v>
      </c>
      <c r="V26" s="164">
        <f t="shared" si="4"/>
        <v>6.0206385188888873</v>
      </c>
      <c r="W26" s="453">
        <f>+([5]군산!$L$80+[5]군산!$L$85)/1000</f>
        <v>-6.0206385188888909</v>
      </c>
      <c r="Y26" s="6">
        <f t="shared" si="5"/>
        <v>-6.0396132539608516E-14</v>
      </c>
      <c r="Z26" s="6">
        <f t="shared" si="6"/>
        <v>-6.0396132539608516E-8</v>
      </c>
    </row>
    <row r="27" spans="4:26" ht="24" customHeight="1" x14ac:dyDescent="0.3">
      <c r="D27" s="450" t="s">
        <v>32</v>
      </c>
      <c r="E27" s="451">
        <f>+[5]원주!$H$86/1000</f>
        <v>53.146042856614336</v>
      </c>
      <c r="F27" s="452">
        <f>+[5]원주!$I$86/1000</f>
        <v>107.13870299999999</v>
      </c>
      <c r="G27" s="188">
        <f t="shared" si="0"/>
        <v>53.992660143385656</v>
      </c>
      <c r="H27" s="451">
        <f>+[5]원주!$T$5/1000</f>
        <v>4</v>
      </c>
      <c r="I27" s="452">
        <f>+[5]원주!$U$5/1000</f>
        <v>5.359</v>
      </c>
      <c r="J27" s="164">
        <f t="shared" si="1"/>
        <v>1.359</v>
      </c>
      <c r="K27" s="453">
        <f>+[5]원주!$M$86/1000</f>
        <v>23.664153399284725</v>
      </c>
      <c r="L27" s="451">
        <f>+[5]원주!$Q$85</f>
        <v>107900</v>
      </c>
      <c r="M27" s="452">
        <f>+[5]원주!$R$85</f>
        <v>113260.12315730547</v>
      </c>
      <c r="N27" s="164">
        <f t="shared" si="2"/>
        <v>5360.1231573054683</v>
      </c>
      <c r="O27" s="453">
        <f>+[5]원주!$K$86/1000</f>
        <v>28.724900000000005</v>
      </c>
      <c r="P27" s="451">
        <f>+[5]원주!$Q$50</f>
        <v>90487.08359140197</v>
      </c>
      <c r="Q27" s="452">
        <f>+[5]원주!$R$50</f>
        <v>88930.950923679789</v>
      </c>
      <c r="R27" s="164">
        <f t="shared" si="3"/>
        <v>-1556.1326677221805</v>
      </c>
      <c r="S27" s="453">
        <f>+[5]원주!$L$56/1000</f>
        <v>8.3393239263230896</v>
      </c>
      <c r="T27" s="451">
        <f>+([5]원주!$H$80+[5]원주!$H$85)/1000</f>
        <v>16.505622777777777</v>
      </c>
      <c r="U27" s="452">
        <f>+([5]원주!$I$80+[5]원주!$I$85)/1000</f>
        <v>23.241339959999998</v>
      </c>
      <c r="V27" s="164">
        <f t="shared" si="4"/>
        <v>6.7357171822222206</v>
      </c>
      <c r="W27" s="453">
        <f>+([5]원주!$L$80+[5]원주!$L$85)/1000</f>
        <v>-6.7357171822222197</v>
      </c>
      <c r="Y27" s="6">
        <f t="shared" si="5"/>
        <v>5.595524044110789E-14</v>
      </c>
      <c r="Z27" s="6">
        <f t="shared" si="6"/>
        <v>5.595524044110789E-8</v>
      </c>
    </row>
    <row r="28" spans="4:26" ht="24" customHeight="1" thickBot="1" x14ac:dyDescent="0.35">
      <c r="D28" s="499" t="s">
        <v>35</v>
      </c>
      <c r="E28" s="522">
        <f>+[5]제주!$H$86/1000</f>
        <v>122.8640906515602</v>
      </c>
      <c r="F28" s="655">
        <f>+[5]제주!$I$86/1000</f>
        <v>-40.681329000000026</v>
      </c>
      <c r="G28" s="197">
        <f t="shared" si="0"/>
        <v>-163.54541965156022</v>
      </c>
      <c r="H28" s="522">
        <f>+[5]제주!$T$5/1000</f>
        <v>6</v>
      </c>
      <c r="I28" s="655">
        <f>+[5]제주!$U$5/1000</f>
        <v>2.1084999999999998</v>
      </c>
      <c r="J28" s="198">
        <f t="shared" si="1"/>
        <v>-3.8915000000000002</v>
      </c>
      <c r="K28" s="656">
        <f>+[5]제주!$M$86/1000</f>
        <v>-96.477405468101551</v>
      </c>
      <c r="L28" s="522">
        <f>+[5]제주!$Q$85</f>
        <v>126800</v>
      </c>
      <c r="M28" s="655">
        <f>+[5]제주!$R$85</f>
        <v>116432.63836850841</v>
      </c>
      <c r="N28" s="198">
        <f t="shared" si="2"/>
        <v>-10367.361631491585</v>
      </c>
      <c r="O28" s="656">
        <f>+[5]제주!$K$86/1000</f>
        <v>-21.859582000000007</v>
      </c>
      <c r="P28" s="522">
        <f>+[5]제주!$Q$50</f>
        <v>102008.17025103391</v>
      </c>
      <c r="Q28" s="655">
        <f>+[5]제주!$R$50</f>
        <v>121518.19966801042</v>
      </c>
      <c r="R28" s="198">
        <f t="shared" si="3"/>
        <v>19510.029416976511</v>
      </c>
      <c r="S28" s="656">
        <f>+[5]제주!$L$56/1000</f>
        <v>-41.13688685569501</v>
      </c>
      <c r="T28" s="522">
        <f>+([5]제주!$H$80+[5]제주!$H$85)/1000</f>
        <v>25.88688784223632</v>
      </c>
      <c r="U28" s="655">
        <f>+([5]제주!$I$80+[5]제주!$I$85)/1000</f>
        <v>29.958433170000003</v>
      </c>
      <c r="V28" s="198">
        <f t="shared" si="4"/>
        <v>4.0715453277636833</v>
      </c>
      <c r="W28" s="656">
        <f>+([5]제주!$L$80+[5]제주!$L$85)/1000</f>
        <v>-4.0715453277636833</v>
      </c>
      <c r="Y28" s="6">
        <f t="shared" si="5"/>
        <v>2.4868995751603507E-14</v>
      </c>
      <c r="Z28" s="6">
        <f t="shared" si="6"/>
        <v>2.4868995751603507E-8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1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 codeName="Sheet6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246</v>
      </c>
      <c r="F4" s="183"/>
      <c r="I4" s="183"/>
    </row>
    <row r="5" spans="4:22" ht="21.95" customHeight="1" x14ac:dyDescent="0.3">
      <c r="V5" s="185" t="s">
        <v>150</v>
      </c>
    </row>
    <row r="6" spans="4:22" ht="24" customHeight="1" thickBot="1" x14ac:dyDescent="0.35">
      <c r="D6" s="840" t="s">
        <v>11</v>
      </c>
      <c r="E6" s="438" t="s">
        <v>21</v>
      </c>
      <c r="F6" s="439"/>
      <c r="G6" s="440"/>
      <c r="H6" s="438" t="s">
        <v>45</v>
      </c>
      <c r="I6" s="439"/>
      <c r="J6" s="440"/>
      <c r="K6" s="438" t="s">
        <v>46</v>
      </c>
      <c r="L6" s="439"/>
      <c r="M6" s="440"/>
      <c r="N6" s="438" t="s">
        <v>103</v>
      </c>
      <c r="O6" s="439"/>
      <c r="P6" s="440"/>
      <c r="Q6" s="438" t="s">
        <v>104</v>
      </c>
      <c r="R6" s="439"/>
      <c r="S6" s="440"/>
      <c r="T6" s="438" t="s">
        <v>69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+[5]합계!$Q$85</f>
        <v>102401.42200366962</v>
      </c>
      <c r="F8" s="461">
        <f>+[5]합계!$R$85</f>
        <v>99989.728432119533</v>
      </c>
      <c r="G8" s="486">
        <f>+F8-E8</f>
        <v>-2411.6935715500877</v>
      </c>
      <c r="H8" s="459">
        <f>+[5]합계!$Q$20</f>
        <v>58235.896077228346</v>
      </c>
      <c r="I8" s="461">
        <f>+[5]합계!$R$20</f>
        <v>59729.41461478069</v>
      </c>
      <c r="J8" s="486">
        <f>+I8-H8</f>
        <v>1493.5185375523433</v>
      </c>
      <c r="K8" s="459">
        <f>+[5]합계!$Q$21</f>
        <v>17980.538883622947</v>
      </c>
      <c r="L8" s="461">
        <f>+[5]합계!$R$21</f>
        <v>17738.439898649747</v>
      </c>
      <c r="M8" s="486">
        <f>+L8-K8</f>
        <v>-242.09898497319955</v>
      </c>
      <c r="N8" s="459">
        <f>+[5]합계!$Q$22</f>
        <v>197.89428076256499</v>
      </c>
      <c r="O8" s="461">
        <f>+[5]합계!$R$22</f>
        <v>189.64988248664105</v>
      </c>
      <c r="P8" s="486">
        <f>+O8-N8</f>
        <v>-8.2443982759239418</v>
      </c>
      <c r="Q8" s="459">
        <f>H8+K8+N8</f>
        <v>76414.329241613872</v>
      </c>
      <c r="R8" s="461">
        <f>I8+L8+O8</f>
        <v>77657.504395917087</v>
      </c>
      <c r="S8" s="486">
        <f>+R8-Q8</f>
        <v>1243.1751543032151</v>
      </c>
      <c r="T8" s="459">
        <f>+E8-Q8</f>
        <v>25987.092762055749</v>
      </c>
      <c r="U8" s="461">
        <f>+F8-R8</f>
        <v>22332.224036202446</v>
      </c>
      <c r="V8" s="486">
        <f>+U8-T8</f>
        <v>-3654.8687258533027</v>
      </c>
    </row>
    <row r="9" spans="4:22" ht="24" customHeight="1" x14ac:dyDescent="0.3">
      <c r="D9" s="470" t="s">
        <v>19</v>
      </c>
      <c r="E9" s="464">
        <f>+[5]수도권!$Q$85</f>
        <v>100857.86676033787</v>
      </c>
      <c r="F9" s="478">
        <f>+[5]수도권!$R$85</f>
        <v>97749.491475587041</v>
      </c>
      <c r="G9" s="487">
        <f t="shared" ref="G9:G28" si="0">+F9-E9</f>
        <v>-3108.3752847508295</v>
      </c>
      <c r="H9" s="464">
        <f>+[5]수도권!$Q$20</f>
        <v>59952.693927144988</v>
      </c>
      <c r="I9" s="478">
        <f>+[5]수도권!$R$20</f>
        <v>61466.513715954854</v>
      </c>
      <c r="J9" s="487">
        <f t="shared" ref="J9:J28" si="1">+I9-H9</f>
        <v>1513.8197888098657</v>
      </c>
      <c r="K9" s="464">
        <f>+[5]수도권!$Q$21</f>
        <v>17719.580164578827</v>
      </c>
      <c r="L9" s="478">
        <f>+[5]수도권!$R$21</f>
        <v>17808.79994655434</v>
      </c>
      <c r="M9" s="487">
        <f t="shared" ref="M9:M28" si="2">+L9-K9</f>
        <v>89.219781975512888</v>
      </c>
      <c r="N9" s="464">
        <f>+[5]수도권!$Q$22</f>
        <v>223.51528384279476</v>
      </c>
      <c r="O9" s="478">
        <f>+[5]수도권!$R$22</f>
        <v>204.57785868121519</v>
      </c>
      <c r="P9" s="487">
        <f t="shared" ref="P9:P28" si="3">+O9-N9</f>
        <v>-18.937425161579569</v>
      </c>
      <c r="Q9" s="464">
        <f t="shared" ref="Q9:Q28" si="4">H9+K9+N9</f>
        <v>77895.789375566601</v>
      </c>
      <c r="R9" s="478">
        <f t="shared" ref="R9:R28" si="5">I9+L9+O9</f>
        <v>79479.89152119041</v>
      </c>
      <c r="S9" s="487">
        <f t="shared" ref="S9:S28" si="6">+R9-Q9</f>
        <v>1584.1021456238086</v>
      </c>
      <c r="T9" s="464">
        <f t="shared" ref="T9:T28" si="7">+E9-Q9</f>
        <v>22962.07738477127</v>
      </c>
      <c r="U9" s="478">
        <f t="shared" ref="U9:U28" si="8">+F9-R9</f>
        <v>18269.599954396632</v>
      </c>
      <c r="V9" s="487">
        <f t="shared" ref="V9:V28" si="9">+U9-T9</f>
        <v>-4692.4774303746381</v>
      </c>
    </row>
    <row r="10" spans="4:22" ht="24" customHeight="1" x14ac:dyDescent="0.3">
      <c r="D10" s="471" t="s">
        <v>20</v>
      </c>
      <c r="E10" s="466">
        <f>+[5]영남권!$Q$85</f>
        <v>102384.24345833332</v>
      </c>
      <c r="F10" s="479">
        <f>+[5]영남권!$R$85</f>
        <v>99624.761690242362</v>
      </c>
      <c r="G10" s="488">
        <f t="shared" si="0"/>
        <v>-2759.4817680909619</v>
      </c>
      <c r="H10" s="466">
        <f>+[5]영남권!$Q$20</f>
        <v>56672.36513046371</v>
      </c>
      <c r="I10" s="479">
        <f>+[5]영남권!$R$20</f>
        <v>58635.439642736288</v>
      </c>
      <c r="J10" s="488">
        <f t="shared" si="1"/>
        <v>1963.0745122725784</v>
      </c>
      <c r="K10" s="466">
        <f>+[5]영남권!$Q$21</f>
        <v>18140.350133232314</v>
      </c>
      <c r="L10" s="479">
        <f>+[5]영남권!$R$21</f>
        <v>18665.584462768707</v>
      </c>
      <c r="M10" s="488">
        <f t="shared" si="2"/>
        <v>525.23432953639349</v>
      </c>
      <c r="N10" s="466">
        <f>+[5]영남권!$Q$22</f>
        <v>179.58333333333334</v>
      </c>
      <c r="O10" s="479">
        <f>+[5]영남권!$R$22</f>
        <v>182.81278384298921</v>
      </c>
      <c r="P10" s="488">
        <f t="shared" si="3"/>
        <v>3.2294505096558623</v>
      </c>
      <c r="Q10" s="466">
        <f t="shared" si="4"/>
        <v>74992.298597029352</v>
      </c>
      <c r="R10" s="479">
        <f t="shared" si="5"/>
        <v>77483.836889347993</v>
      </c>
      <c r="S10" s="488">
        <f t="shared" si="6"/>
        <v>2491.5382923186407</v>
      </c>
      <c r="T10" s="466">
        <f t="shared" si="7"/>
        <v>27391.944861303971</v>
      </c>
      <c r="U10" s="479">
        <f t="shared" si="8"/>
        <v>22140.924800894369</v>
      </c>
      <c r="V10" s="488">
        <f t="shared" si="9"/>
        <v>-5251.0200604096026</v>
      </c>
    </row>
    <row r="11" spans="4:22" ht="24" customHeight="1" x14ac:dyDescent="0.3">
      <c r="D11" s="472" t="s">
        <v>57</v>
      </c>
      <c r="E11" s="467">
        <f>+[5]중부권!$Q$85</f>
        <v>105712.50535185185</v>
      </c>
      <c r="F11" s="480">
        <f>+[5]중부권!$R$85</f>
        <v>104305.45775307498</v>
      </c>
      <c r="G11" s="489">
        <f t="shared" si="0"/>
        <v>-1407.0475987768732</v>
      </c>
      <c r="H11" s="467">
        <f>+[5]중부권!$Q$20</f>
        <v>58070.161999382035</v>
      </c>
      <c r="I11" s="480">
        <f>+[5]중부권!$R$20</f>
        <v>59555.525962477514</v>
      </c>
      <c r="J11" s="489">
        <f t="shared" si="1"/>
        <v>1485.3639630954785</v>
      </c>
      <c r="K11" s="467">
        <f>+[5]중부권!$Q$21</f>
        <v>18178.731909130882</v>
      </c>
      <c r="L11" s="480">
        <f>+[5]중부권!$R$21</f>
        <v>15488.425967617579</v>
      </c>
      <c r="M11" s="489">
        <f t="shared" si="2"/>
        <v>-2690.305941513303</v>
      </c>
      <c r="N11" s="467">
        <f>+[5]중부권!$Q$22</f>
        <v>184.25925925925927</v>
      </c>
      <c r="O11" s="480">
        <f>+[5]중부권!$R$22</f>
        <v>182.23533281932669</v>
      </c>
      <c r="P11" s="489">
        <f t="shared" si="3"/>
        <v>-2.0239264399325805</v>
      </c>
      <c r="Q11" s="467">
        <f t="shared" si="4"/>
        <v>76433.15316777218</v>
      </c>
      <c r="R11" s="480">
        <f t="shared" si="5"/>
        <v>75226.18726291442</v>
      </c>
      <c r="S11" s="489">
        <f t="shared" si="6"/>
        <v>-1206.9659048577596</v>
      </c>
      <c r="T11" s="467">
        <f t="shared" si="7"/>
        <v>29279.352184079675</v>
      </c>
      <c r="U11" s="480">
        <f t="shared" si="8"/>
        <v>29079.270490160561</v>
      </c>
      <c r="V11" s="489">
        <f t="shared" si="9"/>
        <v>-200.0816939191136</v>
      </c>
    </row>
    <row r="12" spans="4:22" ht="24" customHeight="1" x14ac:dyDescent="0.3">
      <c r="D12" s="484" t="s">
        <v>22</v>
      </c>
      <c r="E12" s="490">
        <f>+[5]안양!$Q$85</f>
        <v>101215.30454545456</v>
      </c>
      <c r="F12" s="491">
        <f>+[5]안양!$R$85</f>
        <v>100365.63091549296</v>
      </c>
      <c r="G12" s="492">
        <f t="shared" si="0"/>
        <v>-849.67362996160227</v>
      </c>
      <c r="H12" s="490">
        <f>+[5]안양!$Q$20</f>
        <v>61468.497150537638</v>
      </c>
      <c r="I12" s="491">
        <f>+[5]안양!$R$20</f>
        <v>64109.314026321343</v>
      </c>
      <c r="J12" s="492">
        <f t="shared" si="1"/>
        <v>2640.8168757837047</v>
      </c>
      <c r="K12" s="490">
        <f>+[5]안양!$Q$21</f>
        <v>17102.218157894735</v>
      </c>
      <c r="L12" s="491">
        <f>+[5]안양!$R$21</f>
        <v>17348.461925540149</v>
      </c>
      <c r="M12" s="492">
        <f t="shared" si="2"/>
        <v>246.24376764541375</v>
      </c>
      <c r="N12" s="490">
        <f>+[5]안양!$Q$22</f>
        <v>181.81818181818181</v>
      </c>
      <c r="O12" s="491">
        <f>+[5]안양!$R$22</f>
        <v>192.73098036455769</v>
      </c>
      <c r="P12" s="492">
        <f t="shared" si="3"/>
        <v>10.912798546375882</v>
      </c>
      <c r="Q12" s="490">
        <f t="shared" si="4"/>
        <v>78752.533490250556</v>
      </c>
      <c r="R12" s="491">
        <f t="shared" si="5"/>
        <v>81650.506932226053</v>
      </c>
      <c r="S12" s="492">
        <f t="shared" si="6"/>
        <v>2897.9734419754968</v>
      </c>
      <c r="T12" s="490">
        <f t="shared" si="7"/>
        <v>22462.771055204008</v>
      </c>
      <c r="U12" s="491">
        <f t="shared" si="8"/>
        <v>18715.123983266909</v>
      </c>
      <c r="V12" s="492">
        <f t="shared" si="9"/>
        <v>-3747.6470719370991</v>
      </c>
    </row>
    <row r="13" spans="4:22" ht="24" customHeight="1" x14ac:dyDescent="0.3">
      <c r="D13" s="450" t="s">
        <v>23</v>
      </c>
      <c r="E13" s="493">
        <f>+[5]인천!$Q$85</f>
        <v>103512.62768565332</v>
      </c>
      <c r="F13" s="494">
        <f>+[5]인천!$R$85</f>
        <v>97987.378949091493</v>
      </c>
      <c r="G13" s="495">
        <f t="shared" si="0"/>
        <v>-5525.248736561829</v>
      </c>
      <c r="H13" s="493">
        <f>+[5]인천!$Q$20</f>
        <v>62768.472269781247</v>
      </c>
      <c r="I13" s="494">
        <f>+[5]인천!$R$20</f>
        <v>64421.021740311968</v>
      </c>
      <c r="J13" s="495">
        <f t="shared" si="1"/>
        <v>1652.549470530721</v>
      </c>
      <c r="K13" s="493">
        <f>+[5]인천!$Q$21</f>
        <v>17611.738996563574</v>
      </c>
      <c r="L13" s="494">
        <f>+[5]인천!$R$21</f>
        <v>17896.88667862384</v>
      </c>
      <c r="M13" s="495">
        <f t="shared" si="2"/>
        <v>285.14768206026565</v>
      </c>
      <c r="N13" s="493">
        <f>+[5]인천!$Q$22</f>
        <v>366.66666666666663</v>
      </c>
      <c r="O13" s="494">
        <f>+[5]인천!$R$22</f>
        <v>335.96809609217894</v>
      </c>
      <c r="P13" s="495">
        <f t="shared" si="3"/>
        <v>-30.69857057448769</v>
      </c>
      <c r="Q13" s="493">
        <f t="shared" si="4"/>
        <v>80746.877933011492</v>
      </c>
      <c r="R13" s="494">
        <f t="shared" si="5"/>
        <v>82653.876515027994</v>
      </c>
      <c r="S13" s="495">
        <f t="shared" si="6"/>
        <v>1906.998582016502</v>
      </c>
      <c r="T13" s="493">
        <f t="shared" si="7"/>
        <v>22765.74975264183</v>
      </c>
      <c r="U13" s="494">
        <f t="shared" si="8"/>
        <v>15333.502434063499</v>
      </c>
      <c r="V13" s="495">
        <f t="shared" si="9"/>
        <v>-7432.247318578331</v>
      </c>
    </row>
    <row r="14" spans="4:22" ht="24" customHeight="1" x14ac:dyDescent="0.3">
      <c r="D14" s="450" t="s">
        <v>24</v>
      </c>
      <c r="E14" s="493">
        <f>+[5]파주!$Q$85</f>
        <v>99591.438062045214</v>
      </c>
      <c r="F14" s="494">
        <f>+[5]파주!$R$85</f>
        <v>94365.024402070238</v>
      </c>
      <c r="G14" s="495">
        <f t="shared" si="0"/>
        <v>-5226.4136599749763</v>
      </c>
      <c r="H14" s="493">
        <f>+[5]파주!$Q$20</f>
        <v>58002.882790367388</v>
      </c>
      <c r="I14" s="494">
        <f>+[5]파주!$R$20</f>
        <v>57070.90962274294</v>
      </c>
      <c r="J14" s="495">
        <f t="shared" si="1"/>
        <v>-931.97316762444825</v>
      </c>
      <c r="K14" s="493">
        <f>+[5]파주!$Q$21</f>
        <v>18617.623749999999</v>
      </c>
      <c r="L14" s="494">
        <f>+[5]파주!$R$21</f>
        <v>18595.688422983272</v>
      </c>
      <c r="M14" s="495">
        <f t="shared" si="2"/>
        <v>-21.93532701672666</v>
      </c>
      <c r="N14" s="493">
        <f>+[5]파주!$Q$22</f>
        <v>202.5</v>
      </c>
      <c r="O14" s="494">
        <f>+[5]파주!$R$22</f>
        <v>159.83598435737701</v>
      </c>
      <c r="P14" s="495">
        <f t="shared" si="3"/>
        <v>-42.664015642622985</v>
      </c>
      <c r="Q14" s="493">
        <f t="shared" si="4"/>
        <v>76823.00654036738</v>
      </c>
      <c r="R14" s="494">
        <f t="shared" si="5"/>
        <v>75826.43403008359</v>
      </c>
      <c r="S14" s="495">
        <f t="shared" si="6"/>
        <v>-996.5725102837896</v>
      </c>
      <c r="T14" s="493">
        <f t="shared" si="7"/>
        <v>22768.431521677834</v>
      </c>
      <c r="U14" s="494">
        <f t="shared" si="8"/>
        <v>18538.590371986647</v>
      </c>
      <c r="V14" s="495">
        <f t="shared" si="9"/>
        <v>-4229.8411496911867</v>
      </c>
    </row>
    <row r="15" spans="4:22" ht="24" customHeight="1" x14ac:dyDescent="0.3">
      <c r="D15" s="450" t="s">
        <v>178</v>
      </c>
      <c r="E15" s="493">
        <f>+[5]김포!$Q$85</f>
        <v>96919.939393939392</v>
      </c>
      <c r="F15" s="494">
        <f>+[5]김포!$R$85</f>
        <v>96275.825918367351</v>
      </c>
      <c r="G15" s="495">
        <f t="shared" si="0"/>
        <v>-644.11347557204135</v>
      </c>
      <c r="H15" s="493">
        <f>+[5]김포!$Q$20</f>
        <v>53627.043937708564</v>
      </c>
      <c r="I15" s="494">
        <f>+[5]김포!$R$20</f>
        <v>56766.332142857143</v>
      </c>
      <c r="J15" s="495">
        <f t="shared" si="1"/>
        <v>3139.2882051485794</v>
      </c>
      <c r="K15" s="493">
        <f>+[5]김포!$Q$21</f>
        <v>18255.708484848485</v>
      </c>
      <c r="L15" s="494">
        <f>+[5]김포!$R$21</f>
        <v>17454.811530612242</v>
      </c>
      <c r="M15" s="495">
        <f t="shared" si="2"/>
        <v>-800.89695423624289</v>
      </c>
      <c r="N15" s="493">
        <f>+[5]김포!$Q$22</f>
        <v>105</v>
      </c>
      <c r="O15" s="494">
        <f>+[5]김포!$R$22</f>
        <v>78.877755102040808</v>
      </c>
      <c r="P15" s="495">
        <f t="shared" si="3"/>
        <v>-26.122244897959192</v>
      </c>
      <c r="Q15" s="493">
        <f t="shared" si="4"/>
        <v>71987.752422557052</v>
      </c>
      <c r="R15" s="494">
        <f t="shared" si="5"/>
        <v>74300.021428571432</v>
      </c>
      <c r="S15" s="495">
        <f t="shared" si="6"/>
        <v>2312.2690060143796</v>
      </c>
      <c r="T15" s="493">
        <f t="shared" si="7"/>
        <v>24932.18697138234</v>
      </c>
      <c r="U15" s="494">
        <f t="shared" si="8"/>
        <v>21975.804489795919</v>
      </c>
      <c r="V15" s="495">
        <f t="shared" si="9"/>
        <v>-2956.3824815864209</v>
      </c>
    </row>
    <row r="16" spans="4:22" ht="24" customHeight="1" x14ac:dyDescent="0.3">
      <c r="D16" s="485" t="s">
        <v>25</v>
      </c>
      <c r="E16" s="496">
        <f>+[5]부산!$Q$85</f>
        <v>107600.03738095237</v>
      </c>
      <c r="F16" s="497">
        <f>+[5]부산!$R$85</f>
        <v>114051.86569568861</v>
      </c>
      <c r="G16" s="498">
        <f t="shared" si="0"/>
        <v>6451.8283147362381</v>
      </c>
      <c r="H16" s="496">
        <f>+[5]부산!$Q$20</f>
        <v>58188.168720416106</v>
      </c>
      <c r="I16" s="497">
        <f>+[5]부산!$R$20</f>
        <v>64492.531630950849</v>
      </c>
      <c r="J16" s="498">
        <f t="shared" si="1"/>
        <v>6304.3629105347427</v>
      </c>
      <c r="K16" s="496">
        <f>+[5]부산!$Q$21</f>
        <v>19639.689484126986</v>
      </c>
      <c r="L16" s="497">
        <f>+[5]부산!$R$21</f>
        <v>20138.627678686</v>
      </c>
      <c r="M16" s="498">
        <f t="shared" si="2"/>
        <v>498.93819455901394</v>
      </c>
      <c r="N16" s="496">
        <f>+[5]부산!$Q$22</f>
        <v>47.619047619047613</v>
      </c>
      <c r="O16" s="497">
        <f>+[5]부산!$R$22</f>
        <v>0</v>
      </c>
      <c r="P16" s="498">
        <f t="shared" si="3"/>
        <v>-47.619047619047613</v>
      </c>
      <c r="Q16" s="496">
        <f t="shared" si="4"/>
        <v>77875.477252162149</v>
      </c>
      <c r="R16" s="497">
        <f t="shared" si="5"/>
        <v>84631.159309636845</v>
      </c>
      <c r="S16" s="498">
        <f t="shared" si="6"/>
        <v>6755.6820574746962</v>
      </c>
      <c r="T16" s="496">
        <f t="shared" si="7"/>
        <v>29724.560128790225</v>
      </c>
      <c r="U16" s="497">
        <f t="shared" si="8"/>
        <v>29420.706386051766</v>
      </c>
      <c r="V16" s="498">
        <f t="shared" si="9"/>
        <v>-303.8537427384581</v>
      </c>
    </row>
    <row r="17" spans="4:22" ht="24" customHeight="1" x14ac:dyDescent="0.3">
      <c r="D17" s="450" t="s">
        <v>26</v>
      </c>
      <c r="E17" s="493">
        <f>+[5]서부산!$Q$85</f>
        <v>104402.20000000001</v>
      </c>
      <c r="F17" s="494">
        <f>+[5]서부산!$R$85</f>
        <v>101120.44755459859</v>
      </c>
      <c r="G17" s="495">
        <f t="shared" si="0"/>
        <v>-3281.7524454014201</v>
      </c>
      <c r="H17" s="493">
        <f>+[5]서부산!$Q$20</f>
        <v>60001.816878012607</v>
      </c>
      <c r="I17" s="494">
        <f>+[5]서부산!$R$20</f>
        <v>60013.898301501162</v>
      </c>
      <c r="J17" s="495">
        <f t="shared" si="1"/>
        <v>12.081423488554719</v>
      </c>
      <c r="K17" s="493">
        <f>+[5]서부산!$Q$21</f>
        <v>16276.509115572435</v>
      </c>
      <c r="L17" s="494">
        <f>+[5]서부산!$R$21</f>
        <v>17662.467968144338</v>
      </c>
      <c r="M17" s="495">
        <f t="shared" si="2"/>
        <v>1385.9588525719028</v>
      </c>
      <c r="N17" s="493">
        <f>+[5]서부산!$Q$22</f>
        <v>105.26315789473684</v>
      </c>
      <c r="O17" s="494">
        <f>+[5]서부산!$R$22</f>
        <v>324.95947565015155</v>
      </c>
      <c r="P17" s="495">
        <f t="shared" si="3"/>
        <v>219.69631775541473</v>
      </c>
      <c r="Q17" s="493">
        <f t="shared" si="4"/>
        <v>76383.589151479769</v>
      </c>
      <c r="R17" s="494">
        <f t="shared" si="5"/>
        <v>78001.325745295646</v>
      </c>
      <c r="S17" s="495">
        <f t="shared" si="6"/>
        <v>1617.7365938158764</v>
      </c>
      <c r="T17" s="493">
        <f t="shared" si="7"/>
        <v>28018.610848520242</v>
      </c>
      <c r="U17" s="494">
        <f t="shared" si="8"/>
        <v>23119.121809302946</v>
      </c>
      <c r="V17" s="495">
        <f t="shared" si="9"/>
        <v>-4899.4890392172965</v>
      </c>
    </row>
    <row r="18" spans="4:22" ht="24" customHeight="1" x14ac:dyDescent="0.3">
      <c r="D18" s="450" t="s">
        <v>27</v>
      </c>
      <c r="E18" s="493">
        <f>+[5]김해!$Q$85</f>
        <v>100999.40000000001</v>
      </c>
      <c r="F18" s="494">
        <f>+[5]김해!$R$85</f>
        <v>89286.80280145134</v>
      </c>
      <c r="G18" s="495">
        <f t="shared" si="0"/>
        <v>-11712.597198548669</v>
      </c>
      <c r="H18" s="493">
        <f>+[5]김해!$Q$20</f>
        <v>58126.008658620944</v>
      </c>
      <c r="I18" s="494">
        <f>+[5]김해!$R$20</f>
        <v>56350.574390963506</v>
      </c>
      <c r="J18" s="495">
        <f t="shared" si="1"/>
        <v>-1775.4342676574379</v>
      </c>
      <c r="K18" s="493">
        <f>+[5]김해!$Q$21</f>
        <v>18166.289254385967</v>
      </c>
      <c r="L18" s="494">
        <f>+[5]김해!$R$21</f>
        <v>19190.155019809492</v>
      </c>
      <c r="M18" s="495">
        <f t="shared" si="2"/>
        <v>1023.8657654235249</v>
      </c>
      <c r="N18" s="493">
        <f>+[5]김해!$Q$22</f>
        <v>350</v>
      </c>
      <c r="O18" s="494">
        <f>+[5]김해!$R$22</f>
        <v>347.89758071314174</v>
      </c>
      <c r="P18" s="495">
        <f t="shared" si="3"/>
        <v>-2.1024192868582645</v>
      </c>
      <c r="Q18" s="493">
        <f t="shared" si="4"/>
        <v>76642.297913006914</v>
      </c>
      <c r="R18" s="494">
        <f t="shared" si="5"/>
        <v>75888.626991486133</v>
      </c>
      <c r="S18" s="495">
        <f t="shared" si="6"/>
        <v>-753.67092152078112</v>
      </c>
      <c r="T18" s="493">
        <f t="shared" si="7"/>
        <v>24357.102086993094</v>
      </c>
      <c r="U18" s="494">
        <f t="shared" si="8"/>
        <v>13398.175809965207</v>
      </c>
      <c r="V18" s="495">
        <f t="shared" si="9"/>
        <v>-10958.926277027887</v>
      </c>
    </row>
    <row r="19" spans="4:22" ht="24" customHeight="1" x14ac:dyDescent="0.3">
      <c r="D19" s="450" t="s">
        <v>28</v>
      </c>
      <c r="E19" s="493">
        <f>+[5]정관!$Q$85</f>
        <v>104000</v>
      </c>
      <c r="F19" s="494">
        <f>+[5]정관!$R$85</f>
        <v>101496.21229971724</v>
      </c>
      <c r="G19" s="495">
        <f t="shared" si="0"/>
        <v>-2503.787700282759</v>
      </c>
      <c r="H19" s="493">
        <f>+[5]정관!$Q$20</f>
        <v>58590.0281325451</v>
      </c>
      <c r="I19" s="494">
        <f>+[5]정관!$R$20</f>
        <v>61532.345281466682</v>
      </c>
      <c r="J19" s="495">
        <f t="shared" si="1"/>
        <v>2942.317148921582</v>
      </c>
      <c r="K19" s="493">
        <f>+[5]정관!$Q$21</f>
        <v>19054.822569444445</v>
      </c>
      <c r="L19" s="494">
        <f>+[5]정관!$R$21</f>
        <v>19503.462040192739</v>
      </c>
      <c r="M19" s="495">
        <f t="shared" si="2"/>
        <v>448.63947074829412</v>
      </c>
      <c r="N19" s="493">
        <f>+[5]정관!$Q$22</f>
        <v>281.25</v>
      </c>
      <c r="O19" s="494">
        <f>+[5]정관!$R$22</f>
        <v>242.58291221060051</v>
      </c>
      <c r="P19" s="495">
        <f t="shared" si="3"/>
        <v>-38.667087789399488</v>
      </c>
      <c r="Q19" s="493">
        <f t="shared" si="4"/>
        <v>77926.100701989548</v>
      </c>
      <c r="R19" s="494">
        <f t="shared" si="5"/>
        <v>81278.390233870014</v>
      </c>
      <c r="S19" s="495">
        <f t="shared" si="6"/>
        <v>3352.2895318804658</v>
      </c>
      <c r="T19" s="493">
        <f t="shared" si="7"/>
        <v>26073.899298010452</v>
      </c>
      <c r="U19" s="494">
        <f t="shared" si="8"/>
        <v>20217.822065847227</v>
      </c>
      <c r="V19" s="495">
        <f t="shared" si="9"/>
        <v>-5856.0772321632248</v>
      </c>
    </row>
    <row r="20" spans="4:22" ht="24" customHeight="1" x14ac:dyDescent="0.3">
      <c r="D20" s="450" t="s">
        <v>29</v>
      </c>
      <c r="E20" s="493">
        <f>+[5]양산!$Q$85</f>
        <v>97210.152500000026</v>
      </c>
      <c r="F20" s="494">
        <f>+[5]양산!$R$85</f>
        <v>90109.993609202749</v>
      </c>
      <c r="G20" s="495">
        <f t="shared" si="0"/>
        <v>-7100.1588907972764</v>
      </c>
      <c r="H20" s="493">
        <f>+[5]양산!$Q$20</f>
        <v>51669.220182538498</v>
      </c>
      <c r="I20" s="494">
        <f>+[5]양산!$R$20</f>
        <v>54595.214571017736</v>
      </c>
      <c r="J20" s="495">
        <f t="shared" si="1"/>
        <v>2925.9943884792374</v>
      </c>
      <c r="K20" s="493">
        <f>+[5]양산!$Q$21</f>
        <v>17632.069078947367</v>
      </c>
      <c r="L20" s="494">
        <f>+[5]양산!$R$21</f>
        <v>17354.007509186769</v>
      </c>
      <c r="M20" s="495">
        <f t="shared" si="2"/>
        <v>-278.06156976059719</v>
      </c>
      <c r="N20" s="493">
        <f>+[5]양산!$Q$22</f>
        <v>79.166666666666657</v>
      </c>
      <c r="O20" s="494">
        <f>+[5]양산!$R$22</f>
        <v>20.162725675027961</v>
      </c>
      <c r="P20" s="495">
        <f t="shared" si="3"/>
        <v>-59.0039409916387</v>
      </c>
      <c r="Q20" s="493">
        <f t="shared" si="4"/>
        <v>69380.455928152529</v>
      </c>
      <c r="R20" s="494">
        <f t="shared" si="5"/>
        <v>71969.384805879527</v>
      </c>
      <c r="S20" s="495">
        <f t="shared" si="6"/>
        <v>2588.9288777269976</v>
      </c>
      <c r="T20" s="493">
        <f t="shared" si="7"/>
        <v>27829.696571847497</v>
      </c>
      <c r="U20" s="494">
        <f t="shared" si="8"/>
        <v>18140.608803323223</v>
      </c>
      <c r="V20" s="495">
        <f t="shared" si="9"/>
        <v>-9689.087768524274</v>
      </c>
    </row>
    <row r="21" spans="4:22" ht="24" customHeight="1" x14ac:dyDescent="0.3">
      <c r="D21" s="450" t="s">
        <v>30</v>
      </c>
      <c r="E21" s="493">
        <f>+[5]창원!$Q$85</f>
        <v>101695</v>
      </c>
      <c r="F21" s="494">
        <f>+[5]창원!$R$85</f>
        <v>100805.5507256069</v>
      </c>
      <c r="G21" s="495">
        <f t="shared" si="0"/>
        <v>-889.44927439310413</v>
      </c>
      <c r="H21" s="493">
        <f>+[5]창원!$Q$20</f>
        <v>55903.538197997783</v>
      </c>
      <c r="I21" s="494">
        <f>+[5]창원!$R$20</f>
        <v>58161.511536146594</v>
      </c>
      <c r="J21" s="495">
        <f t="shared" si="1"/>
        <v>2257.9733381488113</v>
      </c>
      <c r="K21" s="493">
        <f>+[5]창원!$Q$21</f>
        <v>16721.852568389062</v>
      </c>
      <c r="L21" s="494">
        <f>+[5]창원!$R$21</f>
        <v>16491.993446131211</v>
      </c>
      <c r="M21" s="495">
        <f t="shared" si="2"/>
        <v>-229.85912225785069</v>
      </c>
      <c r="N21" s="493">
        <f>+[5]창원!$Q$22</f>
        <v>85.714285714285708</v>
      </c>
      <c r="O21" s="494">
        <f>+[5]창원!$R$22</f>
        <v>83.288503979134617</v>
      </c>
      <c r="P21" s="495">
        <f t="shared" si="3"/>
        <v>-2.4257817351510909</v>
      </c>
      <c r="Q21" s="493">
        <f t="shared" si="4"/>
        <v>72711.105052101135</v>
      </c>
      <c r="R21" s="494">
        <f t="shared" si="5"/>
        <v>74736.793486256938</v>
      </c>
      <c r="S21" s="495">
        <f t="shared" si="6"/>
        <v>2025.6884341558034</v>
      </c>
      <c r="T21" s="493">
        <f t="shared" si="7"/>
        <v>28983.894947898865</v>
      </c>
      <c r="U21" s="494">
        <f t="shared" si="8"/>
        <v>26068.757239349958</v>
      </c>
      <c r="V21" s="495">
        <f t="shared" si="9"/>
        <v>-2915.1377085489075</v>
      </c>
    </row>
    <row r="22" spans="4:22" ht="24" customHeight="1" x14ac:dyDescent="0.3">
      <c r="D22" s="450" t="s">
        <v>95</v>
      </c>
      <c r="E22" s="493">
        <f>+[5]대구!$Q$85</f>
        <v>97760</v>
      </c>
      <c r="F22" s="494">
        <f>+[5]대구!$R$85</f>
        <v>97242.812345853017</v>
      </c>
      <c r="G22" s="495">
        <f t="shared" si="0"/>
        <v>-517.18765414698282</v>
      </c>
      <c r="H22" s="493">
        <f>+[5]대구!$Q$20</f>
        <v>51286.244645768384</v>
      </c>
      <c r="I22" s="494">
        <f>+[5]대구!$R$20</f>
        <v>53250.292791205698</v>
      </c>
      <c r="J22" s="495">
        <f t="shared" si="1"/>
        <v>1964.0481454373148</v>
      </c>
      <c r="K22" s="493">
        <f>+[5]대구!$Q$21</f>
        <v>17358.298750000002</v>
      </c>
      <c r="L22" s="494">
        <f>+[5]대구!$R$21</f>
        <v>19215.16277922627</v>
      </c>
      <c r="M22" s="495">
        <f t="shared" si="2"/>
        <v>1856.864029226268</v>
      </c>
      <c r="N22" s="493">
        <f>+[5]대구!$Q$22</f>
        <v>318.75</v>
      </c>
      <c r="O22" s="494">
        <f>+[5]대구!$R$22</f>
        <v>244.41667253893311</v>
      </c>
      <c r="P22" s="495">
        <f t="shared" si="3"/>
        <v>-74.333327461066887</v>
      </c>
      <c r="Q22" s="493">
        <f t="shared" si="4"/>
        <v>68963.293395768385</v>
      </c>
      <c r="R22" s="494">
        <f t="shared" si="5"/>
        <v>72709.872242970901</v>
      </c>
      <c r="S22" s="495">
        <f t="shared" si="6"/>
        <v>3746.578847202516</v>
      </c>
      <c r="T22" s="493">
        <f t="shared" si="7"/>
        <v>28796.706604231615</v>
      </c>
      <c r="U22" s="494">
        <f t="shared" si="8"/>
        <v>24532.940102882116</v>
      </c>
      <c r="V22" s="495">
        <f t="shared" si="9"/>
        <v>-4263.7665013494989</v>
      </c>
    </row>
    <row r="23" spans="4:22" ht="24" customHeight="1" x14ac:dyDescent="0.3">
      <c r="D23" s="450" t="s">
        <v>97</v>
      </c>
      <c r="E23" s="493">
        <f>+[5]울산!$Q$85</f>
        <v>101246.2</v>
      </c>
      <c r="F23" s="494">
        <f>+[5]울산!$R$85</f>
        <v>98179.177796327203</v>
      </c>
      <c r="G23" s="495">
        <f t="shared" si="0"/>
        <v>-3067.0222036727937</v>
      </c>
      <c r="H23" s="493">
        <f>+[5]울산!$Q$20</f>
        <v>58048.510652576937</v>
      </c>
      <c r="I23" s="494">
        <f>+[5]울산!$R$20</f>
        <v>58722.337312186981</v>
      </c>
      <c r="J23" s="495">
        <f t="shared" si="1"/>
        <v>673.82665961004386</v>
      </c>
      <c r="K23" s="493">
        <f>+[5]울산!$Q$21</f>
        <v>20885.868655677659</v>
      </c>
      <c r="L23" s="494">
        <f>+[5]울산!$R$21</f>
        <v>19660.020868113519</v>
      </c>
      <c r="M23" s="495">
        <f t="shared" si="2"/>
        <v>-1225.8477875641402</v>
      </c>
      <c r="N23" s="493">
        <f>+[5]울산!$Q$22</f>
        <v>260</v>
      </c>
      <c r="O23" s="494">
        <f>+[5]울산!$R$22</f>
        <v>225.12086811352253</v>
      </c>
      <c r="P23" s="495">
        <f t="shared" si="3"/>
        <v>-34.879131886477467</v>
      </c>
      <c r="Q23" s="493">
        <f t="shared" si="4"/>
        <v>79194.379308254604</v>
      </c>
      <c r="R23" s="494">
        <f t="shared" si="5"/>
        <v>78607.479048414025</v>
      </c>
      <c r="S23" s="495">
        <f t="shared" si="6"/>
        <v>-586.90025984057866</v>
      </c>
      <c r="T23" s="493">
        <f t="shared" si="7"/>
        <v>22051.820691745394</v>
      </c>
      <c r="U23" s="494">
        <f t="shared" si="8"/>
        <v>19571.698747913179</v>
      </c>
      <c r="V23" s="495">
        <f t="shared" si="9"/>
        <v>-2480.121943832215</v>
      </c>
    </row>
    <row r="24" spans="4:22" ht="24" customHeight="1" x14ac:dyDescent="0.3">
      <c r="D24" s="485" t="s">
        <v>31</v>
      </c>
      <c r="E24" s="496">
        <f>+[5]아산!$Q$85</f>
        <v>101000.14</v>
      </c>
      <c r="F24" s="497">
        <f>+[5]아산!$R$85</f>
        <v>99026.218995765259</v>
      </c>
      <c r="G24" s="498">
        <f t="shared" si="0"/>
        <v>-1973.9210042347404</v>
      </c>
      <c r="H24" s="496">
        <f>+[5]아산!$Q$20</f>
        <v>56013.855780882463</v>
      </c>
      <c r="I24" s="497">
        <f>+[5]아산!$R$20</f>
        <v>59683.505480752632</v>
      </c>
      <c r="J24" s="498">
        <f t="shared" si="1"/>
        <v>3669.6496998701696</v>
      </c>
      <c r="K24" s="496">
        <f>+[5]아산!$Q$21</f>
        <v>20777.59685106383</v>
      </c>
      <c r="L24" s="497">
        <f>+[5]아산!$R$21</f>
        <v>16566.485586052131</v>
      </c>
      <c r="M24" s="498">
        <f t="shared" si="2"/>
        <v>-4211.1112650116993</v>
      </c>
      <c r="N24" s="496">
        <f>+[5]아산!$Q$22</f>
        <v>200</v>
      </c>
      <c r="O24" s="497">
        <f>+[5]아산!$R$22</f>
        <v>190.34485586052133</v>
      </c>
      <c r="P24" s="498">
        <f t="shared" si="3"/>
        <v>-9.655144139478665</v>
      </c>
      <c r="Q24" s="496">
        <f t="shared" si="4"/>
        <v>76991.452631946289</v>
      </c>
      <c r="R24" s="497">
        <f t="shared" si="5"/>
        <v>76440.335922665283</v>
      </c>
      <c r="S24" s="498">
        <f t="shared" si="6"/>
        <v>-551.11670928100648</v>
      </c>
      <c r="T24" s="496">
        <f t="shared" si="7"/>
        <v>24008.68736805371</v>
      </c>
      <c r="U24" s="497">
        <f t="shared" si="8"/>
        <v>22585.883073099976</v>
      </c>
      <c r="V24" s="498">
        <f t="shared" si="9"/>
        <v>-1422.8042949537339</v>
      </c>
    </row>
    <row r="25" spans="4:22" ht="24" customHeight="1" x14ac:dyDescent="0.3">
      <c r="D25" s="450" t="s">
        <v>34</v>
      </c>
      <c r="E25" s="493">
        <f>+[5]전주!$Q$85</f>
        <v>102339.39666666668</v>
      </c>
      <c r="F25" s="494">
        <f>+[5]전주!$R$85</f>
        <v>99690.626150648313</v>
      </c>
      <c r="G25" s="495">
        <f t="shared" si="0"/>
        <v>-2648.7705160183687</v>
      </c>
      <c r="H25" s="493">
        <f>+[5]전주!$Q$20</f>
        <v>55440.879890989992</v>
      </c>
      <c r="I25" s="494">
        <f>+[5]전주!$R$20</f>
        <v>58208.806276522257</v>
      </c>
      <c r="J25" s="495">
        <f t="shared" si="1"/>
        <v>2767.9263855322642</v>
      </c>
      <c r="K25" s="493">
        <f>+[5]전주!$Q$21</f>
        <v>17129.656330645161</v>
      </c>
      <c r="L25" s="494">
        <f>+[5]전주!$R$21</f>
        <v>14447.567058126911</v>
      </c>
      <c r="M25" s="495">
        <f t="shared" si="2"/>
        <v>-2682.0892725182493</v>
      </c>
      <c r="N25" s="493">
        <f>+[5]전주!$Q$22</f>
        <v>250</v>
      </c>
      <c r="O25" s="494">
        <f>+[5]전주!$R$22</f>
        <v>202.79117734135991</v>
      </c>
      <c r="P25" s="495">
        <f t="shared" si="3"/>
        <v>-47.208822658640088</v>
      </c>
      <c r="Q25" s="493">
        <f t="shared" si="4"/>
        <v>72820.53622163515</v>
      </c>
      <c r="R25" s="494">
        <f t="shared" si="5"/>
        <v>72859.16451199053</v>
      </c>
      <c r="S25" s="495">
        <f t="shared" si="6"/>
        <v>38.628290355380159</v>
      </c>
      <c r="T25" s="493">
        <f t="shared" si="7"/>
        <v>29518.860445031532</v>
      </c>
      <c r="U25" s="494">
        <f t="shared" si="8"/>
        <v>26831.461638657784</v>
      </c>
      <c r="V25" s="495">
        <f t="shared" si="9"/>
        <v>-2687.3988063737488</v>
      </c>
    </row>
    <row r="26" spans="4:22" ht="24" customHeight="1" x14ac:dyDescent="0.3">
      <c r="D26" s="450" t="s">
        <v>33</v>
      </c>
      <c r="E26" s="493">
        <f>+[5]군산!$Q$85</f>
        <v>108999.86128571429</v>
      </c>
      <c r="F26" s="494">
        <f>+[5]군산!$R$85</f>
        <v>116414.49459631278</v>
      </c>
      <c r="G26" s="495">
        <f t="shared" si="0"/>
        <v>7414.6333105984959</v>
      </c>
      <c r="H26" s="493">
        <f>+[5]군산!$Q$20</f>
        <v>56608.286559139786</v>
      </c>
      <c r="I26" s="494">
        <f>+[5]군산!$R$20</f>
        <v>59486.835346471715</v>
      </c>
      <c r="J26" s="495">
        <f t="shared" si="1"/>
        <v>2878.5487873319289</v>
      </c>
      <c r="K26" s="493">
        <f>+[5]군산!$Q$21</f>
        <v>13161.557351497297</v>
      </c>
      <c r="L26" s="494">
        <f>+[5]군산!$R$21</f>
        <v>13421.294342021614</v>
      </c>
      <c r="M26" s="495">
        <f t="shared" si="2"/>
        <v>259.73699052431766</v>
      </c>
      <c r="N26" s="493">
        <f>+[5]군산!$Q$22</f>
        <v>64.285714285714278</v>
      </c>
      <c r="O26" s="494">
        <f>+[5]군산!$R$22</f>
        <v>32.498156389065478</v>
      </c>
      <c r="P26" s="495">
        <f t="shared" si="3"/>
        <v>-31.787557896648799</v>
      </c>
      <c r="Q26" s="493">
        <f t="shared" si="4"/>
        <v>69834.129624922789</v>
      </c>
      <c r="R26" s="494">
        <f t="shared" si="5"/>
        <v>72940.627844882387</v>
      </c>
      <c r="S26" s="495">
        <f t="shared" si="6"/>
        <v>3106.4982199595979</v>
      </c>
      <c r="T26" s="493">
        <f t="shared" si="7"/>
        <v>39165.731660791498</v>
      </c>
      <c r="U26" s="494">
        <f t="shared" si="8"/>
        <v>43473.866751430396</v>
      </c>
      <c r="V26" s="495">
        <f t="shared" si="9"/>
        <v>4308.135090638898</v>
      </c>
    </row>
    <row r="27" spans="4:22" ht="24" customHeight="1" x14ac:dyDescent="0.3">
      <c r="D27" s="450" t="s">
        <v>32</v>
      </c>
      <c r="E27" s="493">
        <f>+[5]원주!$Q$85</f>
        <v>107900</v>
      </c>
      <c r="F27" s="494">
        <f>+[5]원주!$R$85</f>
        <v>113260.12315730547</v>
      </c>
      <c r="G27" s="495">
        <f t="shared" si="0"/>
        <v>5360.1231573054683</v>
      </c>
      <c r="H27" s="493">
        <f>+[5]원주!$Q$20</f>
        <v>56419.670967741928</v>
      </c>
      <c r="I27" s="494">
        <f>+[5]원주!$R$20</f>
        <v>58618.037880201526</v>
      </c>
      <c r="J27" s="495">
        <f t="shared" si="1"/>
        <v>2198.3669124595981</v>
      </c>
      <c r="K27" s="493">
        <f>+[5]원주!$Q$21</f>
        <v>16191.590712446836</v>
      </c>
      <c r="L27" s="494">
        <f>+[5]원주!$R$21</f>
        <v>14638.829259190148</v>
      </c>
      <c r="M27" s="495">
        <f t="shared" si="2"/>
        <v>-1552.7614532566877</v>
      </c>
      <c r="N27" s="493">
        <f>+[5]원주!$Q$22</f>
        <v>375</v>
      </c>
      <c r="O27" s="494">
        <f>+[5]원주!$R$22</f>
        <v>277.60944206008588</v>
      </c>
      <c r="P27" s="495">
        <f t="shared" si="3"/>
        <v>-97.390557939914117</v>
      </c>
      <c r="Q27" s="493">
        <f t="shared" si="4"/>
        <v>72986.261680188763</v>
      </c>
      <c r="R27" s="494">
        <f t="shared" si="5"/>
        <v>73534.47658145176</v>
      </c>
      <c r="S27" s="495">
        <f t="shared" si="6"/>
        <v>548.21490126299614</v>
      </c>
      <c r="T27" s="493">
        <f t="shared" si="7"/>
        <v>34913.738319811237</v>
      </c>
      <c r="U27" s="494">
        <f t="shared" si="8"/>
        <v>39725.646575853709</v>
      </c>
      <c r="V27" s="495">
        <f t="shared" si="9"/>
        <v>4811.9082560424722</v>
      </c>
    </row>
    <row r="28" spans="4:22" ht="24" customHeight="1" x14ac:dyDescent="0.3">
      <c r="D28" s="499" t="s">
        <v>35</v>
      </c>
      <c r="E28" s="500">
        <f>+[5]제주!$Q$85</f>
        <v>126800</v>
      </c>
      <c r="F28" s="501">
        <f>+[5]제주!$R$85</f>
        <v>116432.63836850841</v>
      </c>
      <c r="G28" s="502">
        <f t="shared" si="0"/>
        <v>-10367.361631491585</v>
      </c>
      <c r="H28" s="500">
        <f>+[5]제주!$Q$20</f>
        <v>74702.517494623666</v>
      </c>
      <c r="I28" s="501">
        <f>+[5]제주!$R$20</f>
        <v>67260.064500829962</v>
      </c>
      <c r="J28" s="502">
        <f t="shared" si="1"/>
        <v>-7442.4529937937041</v>
      </c>
      <c r="K28" s="500">
        <f>+[5]제주!$Q$21</f>
        <v>16626.410256410258</v>
      </c>
      <c r="L28" s="501">
        <f>+[5]제주!$R$21</f>
        <v>18512.948067346453</v>
      </c>
      <c r="M28" s="502">
        <f t="shared" si="2"/>
        <v>1886.5378109361955</v>
      </c>
      <c r="N28" s="500">
        <f>+[5]제주!$Q$22</f>
        <v>0</v>
      </c>
      <c r="O28" s="501">
        <f>+[5]제주!$R$22</f>
        <v>310.46241403841594</v>
      </c>
      <c r="P28" s="502">
        <f t="shared" si="3"/>
        <v>310.46241403841594</v>
      </c>
      <c r="Q28" s="500">
        <f t="shared" si="4"/>
        <v>91328.927751033916</v>
      </c>
      <c r="R28" s="501">
        <f t="shared" si="5"/>
        <v>86083.47498221483</v>
      </c>
      <c r="S28" s="502">
        <f t="shared" si="6"/>
        <v>-5245.4527688190865</v>
      </c>
      <c r="T28" s="500">
        <f t="shared" si="7"/>
        <v>35471.072248966084</v>
      </c>
      <c r="U28" s="501">
        <f t="shared" si="8"/>
        <v>30349.163386293585</v>
      </c>
      <c r="V28" s="502">
        <f t="shared" si="9"/>
        <v>-5121.9088626724988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 codeName="Sheet7"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245</v>
      </c>
      <c r="F4" s="183"/>
      <c r="I4" s="183"/>
    </row>
    <row r="5" spans="4:22" ht="21.95" customHeight="1" x14ac:dyDescent="0.3"/>
    <row r="6" spans="4:22" ht="24" customHeight="1" thickBot="1" x14ac:dyDescent="0.35">
      <c r="D6" s="840" t="s">
        <v>11</v>
      </c>
      <c r="E6" s="438" t="s">
        <v>156</v>
      </c>
      <c r="F6" s="439"/>
      <c r="G6" s="440"/>
      <c r="H6" s="438" t="s">
        <v>155</v>
      </c>
      <c r="I6" s="439"/>
      <c r="J6" s="440"/>
      <c r="K6" s="438" t="s">
        <v>154</v>
      </c>
      <c r="L6" s="439"/>
      <c r="M6" s="440"/>
      <c r="N6" s="438" t="s">
        <v>153</v>
      </c>
      <c r="O6" s="439"/>
      <c r="P6" s="440"/>
      <c r="Q6" s="438" t="s">
        <v>152</v>
      </c>
      <c r="R6" s="439"/>
      <c r="S6" s="440"/>
      <c r="T6" s="438" t="s">
        <v>151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543">
        <f>+[5]합계!$G$9</f>
        <v>100523.77286104456</v>
      </c>
      <c r="F8" s="544">
        <f>+[5]합계!$H$9</f>
        <v>100097.1537636783</v>
      </c>
      <c r="G8" s="545">
        <f>+F8-E8</f>
        <v>-426.61909736625967</v>
      </c>
      <c r="H8" s="543">
        <f>+[5]합계!$G$10</f>
        <v>91582.423142057291</v>
      </c>
      <c r="I8" s="544">
        <f>+[5]합계!$H$10</f>
        <v>93858.718675121039</v>
      </c>
      <c r="J8" s="545">
        <f>+I8-H8</f>
        <v>2276.2955330637487</v>
      </c>
      <c r="K8" s="543">
        <f>+[5]합계!$G$12</f>
        <v>64040.088292082699</v>
      </c>
      <c r="L8" s="544">
        <f>+[5]합계!$H$12</f>
        <v>63274.935009161178</v>
      </c>
      <c r="M8" s="545">
        <f>+L8-K8</f>
        <v>-765.15328292152117</v>
      </c>
      <c r="N8" s="543">
        <f>+[5]합계!$G$13</f>
        <v>40522.440611377489</v>
      </c>
      <c r="O8" s="544">
        <f>+[5]합계!$H$13</f>
        <v>36166.644330584088</v>
      </c>
      <c r="P8" s="545">
        <f>+O8-N8</f>
        <v>-4355.7962807934018</v>
      </c>
      <c r="Q8" s="543">
        <f>+[5]합계!$G$16</f>
        <v>12798.143626475945</v>
      </c>
      <c r="R8" s="544">
        <f>+[5]합계!$H$16</f>
        <v>12939.586132603978</v>
      </c>
      <c r="S8" s="545">
        <f>+R8-Q8</f>
        <v>141.44250612803262</v>
      </c>
      <c r="T8" s="543">
        <f>+[5]합계!$G$17</f>
        <v>15821.666910870123</v>
      </c>
      <c r="U8" s="544">
        <f>+[5]합계!$H$17</f>
        <v>15711.374391481071</v>
      </c>
      <c r="V8" s="545">
        <f>+U8-T8</f>
        <v>-110.29251938905145</v>
      </c>
    </row>
    <row r="9" spans="4:22" ht="24" customHeight="1" x14ac:dyDescent="0.3">
      <c r="D9" s="470" t="s">
        <v>19</v>
      </c>
      <c r="E9" s="546">
        <f>+[5]수도권!$G$9</f>
        <v>99999.999999999985</v>
      </c>
      <c r="F9" s="547">
        <f>+[5]수도권!$H$9</f>
        <v>99833.067074643943</v>
      </c>
      <c r="G9" s="548">
        <f t="shared" ref="G9:G28" si="0">+F9-E9</f>
        <v>-166.93292535604269</v>
      </c>
      <c r="H9" s="546">
        <f>+[5]수도권!$G$10</f>
        <v>91874.030330561189</v>
      </c>
      <c r="I9" s="547">
        <f>+[5]수도권!$H$10</f>
        <v>96735.836384253547</v>
      </c>
      <c r="J9" s="548">
        <f t="shared" ref="J9:J28" si="1">+I9-H9</f>
        <v>4861.8060536923585</v>
      </c>
      <c r="K9" s="546">
        <f>+[5]수도권!$G$12</f>
        <v>64287.942940894267</v>
      </c>
      <c r="L9" s="547">
        <f>+[5]수도권!$H$12</f>
        <v>63584.369727036865</v>
      </c>
      <c r="M9" s="548">
        <f t="shared" ref="M9:M28" si="2">+L9-K9</f>
        <v>-703.57321385740215</v>
      </c>
      <c r="N9" s="546">
        <f>+[5]수도권!$G$13</f>
        <v>45161.131665118752</v>
      </c>
      <c r="O9" s="547">
        <f>+[5]수도권!$H$13</f>
        <v>34884.32047470352</v>
      </c>
      <c r="P9" s="548">
        <f t="shared" ref="P9:P28" si="3">+O9-N9</f>
        <v>-10276.811190415232</v>
      </c>
      <c r="Q9" s="546">
        <f>+[5]수도권!$G$16</f>
        <v>15343.188800182408</v>
      </c>
      <c r="R9" s="547">
        <f>+[5]수도권!$H$16</f>
        <v>16042.516092174044</v>
      </c>
      <c r="S9" s="548">
        <f t="shared" ref="S9:S28" si="4">+R9-Q9</f>
        <v>699.32729199163623</v>
      </c>
      <c r="T9" s="546">
        <f>+[5]수도권!$G$17</f>
        <v>14762.227057173797</v>
      </c>
      <c r="U9" s="547">
        <f>+[5]수도권!$H$17</f>
        <v>14376.139941412594</v>
      </c>
      <c r="V9" s="548">
        <f t="shared" ref="V9:V28" si="5">+U9-T9</f>
        <v>-386.08711576120368</v>
      </c>
    </row>
    <row r="10" spans="4:22" ht="24" customHeight="1" x14ac:dyDescent="0.3">
      <c r="D10" s="471" t="s">
        <v>20</v>
      </c>
      <c r="E10" s="549">
        <f>+[5]영남권!$G$9</f>
        <v>100000</v>
      </c>
      <c r="F10" s="550">
        <f>+[5]영남권!$H$9</f>
        <v>99991.049907417808</v>
      </c>
      <c r="G10" s="551">
        <f t="shared" si="0"/>
        <v>-8.9500925821921555</v>
      </c>
      <c r="H10" s="549">
        <f>+[5]영남권!$G$10</f>
        <v>92100</v>
      </c>
      <c r="I10" s="550">
        <f>+[5]영남권!$H$10</f>
        <v>92627.637238319847</v>
      </c>
      <c r="J10" s="551">
        <f t="shared" si="1"/>
        <v>527.6372383198468</v>
      </c>
      <c r="K10" s="549">
        <f>+[5]영남권!$G$12</f>
        <v>63615.154515511167</v>
      </c>
      <c r="L10" s="550">
        <f>+[5]영남권!$H$12</f>
        <v>62551.462075380587</v>
      </c>
      <c r="M10" s="551">
        <f t="shared" si="2"/>
        <v>-1063.6924401305805</v>
      </c>
      <c r="N10" s="549">
        <f>+[5]영남권!$G$13</f>
        <v>35533.441815263235</v>
      </c>
      <c r="O10" s="550">
        <f>+[5]영남권!$H$13</f>
        <v>35518.630913905472</v>
      </c>
      <c r="P10" s="551">
        <f t="shared" si="3"/>
        <v>-14.810901357763214</v>
      </c>
      <c r="Q10" s="549">
        <f>+[5]영남권!$G$16</f>
        <v>10365.25852717749</v>
      </c>
      <c r="R10" s="550">
        <f>+[5]영남권!$H$16</f>
        <v>10811.886803333753</v>
      </c>
      <c r="S10" s="551">
        <f t="shared" si="4"/>
        <v>446.62827615626338</v>
      </c>
      <c r="T10" s="549">
        <f>+[5]영남권!$G$17</f>
        <v>17359.129974509036</v>
      </c>
      <c r="U10" s="550">
        <f>+[5]영남권!$H$17</f>
        <v>17171.564463649567</v>
      </c>
      <c r="V10" s="551">
        <f t="shared" si="5"/>
        <v>-187.56551085946921</v>
      </c>
    </row>
    <row r="11" spans="4:22" ht="24" customHeight="1" x14ac:dyDescent="0.3">
      <c r="D11" s="472" t="s">
        <v>57</v>
      </c>
      <c r="E11" s="552">
        <f>+[5]중부권!$G$9</f>
        <v>102584.23550250492</v>
      </c>
      <c r="F11" s="553">
        <f>+[5]중부권!$H$9</f>
        <v>100722.76640074023</v>
      </c>
      <c r="G11" s="554">
        <f t="shared" si="0"/>
        <v>-1861.4691017646837</v>
      </c>
      <c r="H11" s="552">
        <f>+[5]중부권!$G$10</f>
        <v>88709.553324549517</v>
      </c>
      <c r="I11" s="553">
        <f>+[5]중부권!$H$10</f>
        <v>97087.004736688221</v>
      </c>
      <c r="J11" s="554">
        <f t="shared" si="1"/>
        <v>8377.4514121387037</v>
      </c>
      <c r="K11" s="552">
        <f>+[5]중부권!$G$12</f>
        <v>64686.603931439364</v>
      </c>
      <c r="L11" s="553">
        <f>+[5]중부권!$H$12</f>
        <v>64718.799448674334</v>
      </c>
      <c r="M11" s="554">
        <f t="shared" si="2"/>
        <v>32.195517234969884</v>
      </c>
      <c r="N11" s="552">
        <f>+[5]중부권!$G$13</f>
        <v>40812.497492745671</v>
      </c>
      <c r="O11" s="553">
        <f>+[5]중부권!$H$13</f>
        <v>40245.370135126694</v>
      </c>
      <c r="P11" s="554">
        <f t="shared" si="3"/>
        <v>-567.12735761897784</v>
      </c>
      <c r="Q11" s="552">
        <f>+[5]중부권!$G$16</f>
        <v>12525.010158015102</v>
      </c>
      <c r="R11" s="553">
        <f>+[5]중부권!$H$16</f>
        <v>12600.258745506409</v>
      </c>
      <c r="S11" s="554">
        <f t="shared" si="4"/>
        <v>75.248587491307262</v>
      </c>
      <c r="T11" s="552">
        <f>+[5]중부권!$G$17</f>
        <v>14601.063067890824</v>
      </c>
      <c r="U11" s="553">
        <f>+[5]중부권!$H$17</f>
        <v>14305.200869928691</v>
      </c>
      <c r="V11" s="554">
        <f t="shared" si="5"/>
        <v>-295.862197962133</v>
      </c>
    </row>
    <row r="12" spans="4:22" ht="24" customHeight="1" x14ac:dyDescent="0.3">
      <c r="D12" s="484" t="s">
        <v>22</v>
      </c>
      <c r="E12" s="555">
        <f>+[5]안양!$G$9</f>
        <v>100000</v>
      </c>
      <c r="F12" s="556">
        <f>+[5]안양!$H$9</f>
        <v>99732.752906966824</v>
      </c>
      <c r="G12" s="557">
        <f t="shared" si="0"/>
        <v>-267.2470930331765</v>
      </c>
      <c r="H12" s="555">
        <f>+[5]안양!$G$10</f>
        <v>87100.000000000015</v>
      </c>
      <c r="I12" s="556">
        <f>+[5]안양!$H$10</f>
        <v>102199.93682483638</v>
      </c>
      <c r="J12" s="557">
        <f t="shared" si="1"/>
        <v>15099.936824836361</v>
      </c>
      <c r="K12" s="555">
        <f>+[5]안양!$G$12</f>
        <v>64000</v>
      </c>
      <c r="L12" s="556">
        <f>+[5]안양!$H$12</f>
        <v>64150.691626714404</v>
      </c>
      <c r="M12" s="557">
        <f t="shared" si="2"/>
        <v>150.69162671440426</v>
      </c>
      <c r="N12" s="555">
        <f>+[5]안양!$G$13</f>
        <v>45000</v>
      </c>
      <c r="O12" s="556">
        <f>+[5]안양!$H$13</f>
        <v>30260.373552655095</v>
      </c>
      <c r="P12" s="557">
        <f t="shared" si="3"/>
        <v>-14739.626447344905</v>
      </c>
      <c r="Q12" s="555">
        <f>+[5]안양!$G$16</f>
        <v>15333.333333333334</v>
      </c>
      <c r="R12" s="556">
        <f>+[5]안양!$H$16</f>
        <v>16107.113308197835</v>
      </c>
      <c r="S12" s="557">
        <f t="shared" si="4"/>
        <v>773.77997486450113</v>
      </c>
      <c r="T12" s="555">
        <f>+[5]안양!$G$17</f>
        <v>15161.290322580648</v>
      </c>
      <c r="U12" s="556">
        <f>+[5]안양!$H$17</f>
        <v>15469.316586604808</v>
      </c>
      <c r="V12" s="557">
        <f t="shared" si="5"/>
        <v>308.0262640241599</v>
      </c>
    </row>
    <row r="13" spans="4:22" ht="24" customHeight="1" x14ac:dyDescent="0.3">
      <c r="D13" s="450" t="s">
        <v>23</v>
      </c>
      <c r="E13" s="558">
        <f>+[5]인천!$G$9</f>
        <v>100000</v>
      </c>
      <c r="F13" s="559">
        <f>+[5]인천!$H$9</f>
        <v>99752.843736975105</v>
      </c>
      <c r="G13" s="560">
        <f t="shared" si="0"/>
        <v>-247.15626302489545</v>
      </c>
      <c r="H13" s="558">
        <f>+[5]인천!$G$10</f>
        <v>99500</v>
      </c>
      <c r="I13" s="559">
        <f>+[5]인천!$H$10</f>
        <v>94096.311634653975</v>
      </c>
      <c r="J13" s="560">
        <f t="shared" si="1"/>
        <v>-5403.6883653460245</v>
      </c>
      <c r="K13" s="558">
        <f>+[5]인천!$G$12</f>
        <v>64500</v>
      </c>
      <c r="L13" s="559">
        <f>+[5]인천!$H$12</f>
        <v>64489.360775041161</v>
      </c>
      <c r="M13" s="560">
        <f t="shared" si="2"/>
        <v>-10.639224958838895</v>
      </c>
      <c r="N13" s="558">
        <f>+[5]인천!$G$13</f>
        <v>45000</v>
      </c>
      <c r="O13" s="559">
        <f>+[5]인천!$H$13</f>
        <v>23300.706816950838</v>
      </c>
      <c r="P13" s="560">
        <f t="shared" si="3"/>
        <v>-21699.293183049162</v>
      </c>
      <c r="Q13" s="558">
        <f>+[5]인천!$G$16</f>
        <v>15733.333333333332</v>
      </c>
      <c r="R13" s="559">
        <f>+[5]인천!$H$16</f>
        <v>16233.866581888471</v>
      </c>
      <c r="S13" s="560">
        <f t="shared" si="4"/>
        <v>500.53324855513893</v>
      </c>
      <c r="T13" s="558">
        <f>+[5]인천!$G$17</f>
        <v>15504.281856730095</v>
      </c>
      <c r="U13" s="559">
        <f>+[5]인천!$H$17</f>
        <v>14760.637964628781</v>
      </c>
      <c r="V13" s="560">
        <f t="shared" si="5"/>
        <v>-743.64389210131412</v>
      </c>
    </row>
    <row r="14" spans="4:22" ht="24" customHeight="1" x14ac:dyDescent="0.3">
      <c r="D14" s="450" t="s">
        <v>24</v>
      </c>
      <c r="E14" s="558">
        <f>+[5]파주!$G$9</f>
        <v>100000</v>
      </c>
      <c r="F14" s="559">
        <f>+[5]파주!$H$9</f>
        <v>99999.999409946351</v>
      </c>
      <c r="G14" s="560">
        <f t="shared" si="0"/>
        <v>-5.9005364892072976E-4</v>
      </c>
      <c r="H14" s="558">
        <f>+[5]파주!$G$10</f>
        <v>0</v>
      </c>
      <c r="I14" s="559">
        <f>+[5]파주!$H$10</f>
        <v>0</v>
      </c>
      <c r="J14" s="560">
        <f t="shared" si="1"/>
        <v>0</v>
      </c>
      <c r="K14" s="558">
        <f>+[5]파주!$G$12</f>
        <v>64500</v>
      </c>
      <c r="L14" s="559">
        <f>+[5]파주!$H$12</f>
        <v>61084.320430230815</v>
      </c>
      <c r="M14" s="560">
        <f t="shared" si="2"/>
        <v>-3415.679569769185</v>
      </c>
      <c r="N14" s="558">
        <f>+[5]파주!$G$13</f>
        <v>45000</v>
      </c>
      <c r="O14" s="559">
        <f>+[5]파주!$H$13</f>
        <v>46931.584833709159</v>
      </c>
      <c r="P14" s="560">
        <f t="shared" si="3"/>
        <v>1931.5848337091593</v>
      </c>
      <c r="Q14" s="558">
        <f>+[5]파주!$G$16</f>
        <v>15266.666666666668</v>
      </c>
      <c r="R14" s="559">
        <f>+[5]파주!$H$16</f>
        <v>16382.344900167102</v>
      </c>
      <c r="S14" s="560">
        <f t="shared" si="4"/>
        <v>1115.6782335004336</v>
      </c>
      <c r="T14" s="558">
        <f>+[5]파주!$G$17</f>
        <v>13419.354838709676</v>
      </c>
      <c r="U14" s="559">
        <f>+[5]파주!$H$17</f>
        <v>12493.434725696783</v>
      </c>
      <c r="V14" s="560">
        <f t="shared" si="5"/>
        <v>-925.92011301289313</v>
      </c>
    </row>
    <row r="15" spans="4:22" ht="24" customHeight="1" x14ac:dyDescent="0.3">
      <c r="D15" s="450" t="s">
        <v>178</v>
      </c>
      <c r="E15" s="558">
        <f>+[5]김포!$G$9</f>
        <v>100000</v>
      </c>
      <c r="F15" s="559">
        <f>+[5]김포!$H$9</f>
        <v>99999.999546524297</v>
      </c>
      <c r="G15" s="560">
        <f t="shared" si="0"/>
        <v>-4.5347570267040282E-4</v>
      </c>
      <c r="H15" s="558">
        <f>+[5]김포!$G$10</f>
        <v>0</v>
      </c>
      <c r="I15" s="559">
        <f>+[5]김포!$H$10</f>
        <v>0</v>
      </c>
      <c r="J15" s="560">
        <f t="shared" si="1"/>
        <v>0</v>
      </c>
      <c r="K15" s="558">
        <f>+[5]김포!$G$12</f>
        <v>64300</v>
      </c>
      <c r="L15" s="559">
        <f>+[5]김포!$H$12</f>
        <v>63857.584594244028</v>
      </c>
      <c r="M15" s="560">
        <f t="shared" si="2"/>
        <v>-442.41540575597173</v>
      </c>
      <c r="N15" s="558">
        <f>+[5]김포!$G$13</f>
        <v>46000</v>
      </c>
      <c r="O15" s="559">
        <f>+[5]김포!$H$13</f>
        <v>39728.000873682628</v>
      </c>
      <c r="P15" s="560">
        <f t="shared" si="3"/>
        <v>-6271.9991263173724</v>
      </c>
      <c r="Q15" s="558">
        <f>+[5]김포!$G$16</f>
        <v>14666.666666666666</v>
      </c>
      <c r="R15" s="559">
        <f>+[5]김포!$H$16</f>
        <v>14757.187129676709</v>
      </c>
      <c r="S15" s="560">
        <f t="shared" si="4"/>
        <v>90.520463010043386</v>
      </c>
      <c r="T15" s="558">
        <f>+[5]김포!$G$17</f>
        <v>14389.543937708564</v>
      </c>
      <c r="U15" s="559">
        <f>+[5]김포!$H$17</f>
        <v>14230.47450340559</v>
      </c>
      <c r="V15" s="560">
        <f t="shared" si="5"/>
        <v>-159.0694343029736</v>
      </c>
    </row>
    <row r="16" spans="4:22" ht="24" customHeight="1" x14ac:dyDescent="0.3">
      <c r="D16" s="485" t="s">
        <v>25</v>
      </c>
      <c r="E16" s="561">
        <f>+[5]부산!$G$9</f>
        <v>100000</v>
      </c>
      <c r="F16" s="562">
        <f>+[5]부산!$H$9</f>
        <v>100002.96729652272</v>
      </c>
      <c r="G16" s="563">
        <f t="shared" si="0"/>
        <v>2.967296522721881</v>
      </c>
      <c r="H16" s="561">
        <f>+[5]부산!$G$10</f>
        <v>92100.000000000015</v>
      </c>
      <c r="I16" s="562">
        <f>+[5]부산!$H$10</f>
        <v>93218.259070209242</v>
      </c>
      <c r="J16" s="563">
        <f t="shared" si="1"/>
        <v>1118.2590702092275</v>
      </c>
      <c r="K16" s="561">
        <f>+[5]부산!$G$12</f>
        <v>64999.999999999985</v>
      </c>
      <c r="L16" s="562">
        <f>+[5]부산!$H$12</f>
        <v>0</v>
      </c>
      <c r="M16" s="563">
        <f t="shared" si="2"/>
        <v>-64999.999999999985</v>
      </c>
      <c r="N16" s="561">
        <f>+[5]부산!$G$13</f>
        <v>36500</v>
      </c>
      <c r="O16" s="562">
        <f>+[5]부산!$H$13</f>
        <v>36499.984736983402</v>
      </c>
      <c r="P16" s="563">
        <f t="shared" si="3"/>
        <v>-1.5263016597600654E-2</v>
      </c>
      <c r="Q16" s="561">
        <f>+[5]부산!$G$16</f>
        <v>10737.957520046899</v>
      </c>
      <c r="R16" s="562">
        <f>+[5]부산!$H$16</f>
        <v>11922.939741724589</v>
      </c>
      <c r="S16" s="563">
        <f t="shared" si="4"/>
        <v>1184.9822216776902</v>
      </c>
      <c r="T16" s="561">
        <f>+[5]부산!$G$17</f>
        <v>17412.779627614658</v>
      </c>
      <c r="U16" s="562">
        <f>+[5]부산!$H$17</f>
        <v>16869.179775490935</v>
      </c>
      <c r="V16" s="563">
        <f t="shared" si="5"/>
        <v>-543.59985212372339</v>
      </c>
    </row>
    <row r="17" spans="4:25" ht="24" customHeight="1" x14ac:dyDescent="0.3">
      <c r="D17" s="450" t="s">
        <v>26</v>
      </c>
      <c r="E17" s="558">
        <f>+[5]서부산!$G$9</f>
        <v>100000</v>
      </c>
      <c r="F17" s="559">
        <f>+[5]서부산!$H$9</f>
        <v>100001.89997027446</v>
      </c>
      <c r="G17" s="560">
        <f t="shared" si="0"/>
        <v>1.8999702744622482</v>
      </c>
      <c r="H17" s="558">
        <f>+[5]서부산!$G$10</f>
        <v>92100.000000000015</v>
      </c>
      <c r="I17" s="559">
        <f>+[5]서부산!$H$10</f>
        <v>92099.998200379079</v>
      </c>
      <c r="J17" s="560">
        <f t="shared" si="1"/>
        <v>-1.7996209353441373E-3</v>
      </c>
      <c r="K17" s="558">
        <f>+[5]서부산!$G$12</f>
        <v>65000</v>
      </c>
      <c r="L17" s="559">
        <f>+[5]서부산!$H$12</f>
        <v>65300.376220296668</v>
      </c>
      <c r="M17" s="560">
        <f t="shared" si="2"/>
        <v>300.37622029666818</v>
      </c>
      <c r="N17" s="558">
        <f>+[5]서부산!$G$13</f>
        <v>35200</v>
      </c>
      <c r="O17" s="559">
        <f>+[5]서부산!$H$13</f>
        <v>35403.579579024758</v>
      </c>
      <c r="P17" s="560">
        <f t="shared" si="3"/>
        <v>203.57957902475755</v>
      </c>
      <c r="Q17" s="558">
        <f>+[5]서부산!$G$16</f>
        <v>10666.666666666668</v>
      </c>
      <c r="R17" s="559">
        <f>+[5]서부산!$H$16</f>
        <v>9608.1429772492047</v>
      </c>
      <c r="S17" s="560">
        <f t="shared" si="4"/>
        <v>-1058.5236894174632</v>
      </c>
      <c r="T17" s="558">
        <f>+[5]서부산!$G$17</f>
        <v>17805.120814167974</v>
      </c>
      <c r="U17" s="559">
        <f>+[5]서부산!$H$17</f>
        <v>18382.883663029315</v>
      </c>
      <c r="V17" s="560">
        <f t="shared" si="5"/>
        <v>577.7628488613409</v>
      </c>
    </row>
    <row r="18" spans="4:25" ht="24" customHeight="1" x14ac:dyDescent="0.3">
      <c r="D18" s="450" t="s">
        <v>27</v>
      </c>
      <c r="E18" s="558">
        <f>+[5]김해!$G$9</f>
        <v>100000</v>
      </c>
      <c r="F18" s="559">
        <f>+[5]김해!$H$9</f>
        <v>100000.00046261286</v>
      </c>
      <c r="G18" s="560">
        <f t="shared" si="0"/>
        <v>4.626128647942096E-4</v>
      </c>
      <c r="H18" s="558">
        <f>+[5]김해!$G$10</f>
        <v>92100.000000000015</v>
      </c>
      <c r="I18" s="559">
        <f>+[5]김해!$H$10</f>
        <v>92099.99931093026</v>
      </c>
      <c r="J18" s="560">
        <f t="shared" si="1"/>
        <v>-6.8906975502613932E-4</v>
      </c>
      <c r="K18" s="558">
        <f>+[5]김해!$G$12</f>
        <v>64000</v>
      </c>
      <c r="L18" s="559">
        <f>+[5]김해!$H$12</f>
        <v>63452.364021199413</v>
      </c>
      <c r="M18" s="560">
        <f t="shared" si="2"/>
        <v>-547.6359788005866</v>
      </c>
      <c r="N18" s="558">
        <f>+[5]김해!$G$13</f>
        <v>35000</v>
      </c>
      <c r="O18" s="559">
        <f>+[5]김해!$H$13</f>
        <v>34999.969925022888</v>
      </c>
      <c r="P18" s="560">
        <f t="shared" si="3"/>
        <v>-3.0074977112235501E-2</v>
      </c>
      <c r="Q18" s="558">
        <f>+[5]김해!$G$16</f>
        <v>9426.6666666666679</v>
      </c>
      <c r="R18" s="559">
        <f>+[5]김해!$H$16</f>
        <v>9249.8476375998871</v>
      </c>
      <c r="S18" s="560">
        <f t="shared" si="4"/>
        <v>-176.81902906678079</v>
      </c>
      <c r="T18" s="558">
        <f>+[5]김해!$G$17</f>
        <v>17730.479017177091</v>
      </c>
      <c r="U18" s="559">
        <f>+[5]김해!$H$17</f>
        <v>15644.155336479911</v>
      </c>
      <c r="V18" s="560">
        <f t="shared" si="5"/>
        <v>-2086.32368069718</v>
      </c>
    </row>
    <row r="19" spans="4:25" ht="24" customHeight="1" x14ac:dyDescent="0.3">
      <c r="D19" s="450" t="s">
        <v>28</v>
      </c>
      <c r="E19" s="558">
        <f>+[5]정관!$G$9</f>
        <v>100000</v>
      </c>
      <c r="F19" s="559">
        <f>+[5]정관!$H$9</f>
        <v>100000.61043762522</v>
      </c>
      <c r="G19" s="560">
        <f t="shared" si="0"/>
        <v>0.61043762521876488</v>
      </c>
      <c r="H19" s="558">
        <f>+[5]정관!$G$10</f>
        <v>92100</v>
      </c>
      <c r="I19" s="559">
        <f>+[5]정관!$H$10</f>
        <v>92100.002036657635</v>
      </c>
      <c r="J19" s="560">
        <f t="shared" si="1"/>
        <v>2.0366576354717836E-3</v>
      </c>
      <c r="K19" s="558">
        <f>+[5]정관!$G$12</f>
        <v>63500</v>
      </c>
      <c r="L19" s="559">
        <f>+[5]정관!$H$12</f>
        <v>62574.015385776351</v>
      </c>
      <c r="M19" s="560">
        <f t="shared" si="2"/>
        <v>-925.98461422364926</v>
      </c>
      <c r="N19" s="558">
        <f>+[5]정관!$G$13</f>
        <v>35500</v>
      </c>
      <c r="O19" s="559">
        <f>+[5]정관!$H$13</f>
        <v>35500.010954115591</v>
      </c>
      <c r="P19" s="560">
        <f t="shared" si="3"/>
        <v>1.0954115590720903E-2</v>
      </c>
      <c r="Q19" s="558">
        <f>+[5]정관!$G$16</f>
        <v>10733.333333333332</v>
      </c>
      <c r="R19" s="559">
        <f>+[5]정관!$H$16</f>
        <v>11367.168707088131</v>
      </c>
      <c r="S19" s="560">
        <f t="shared" si="4"/>
        <v>633.83537375479864</v>
      </c>
      <c r="T19" s="558">
        <f>+[5]정관!$G$17</f>
        <v>18315.171013635976</v>
      </c>
      <c r="U19" s="559">
        <f>+[5]정관!$H$17</f>
        <v>18466.309755804272</v>
      </c>
      <c r="V19" s="560">
        <f t="shared" si="5"/>
        <v>151.13874216829572</v>
      </c>
    </row>
    <row r="20" spans="4:25" ht="24" customHeight="1" x14ac:dyDescent="0.3">
      <c r="D20" s="450" t="s">
        <v>29</v>
      </c>
      <c r="E20" s="558">
        <f>+[5]양산!$G$9</f>
        <v>100000</v>
      </c>
      <c r="F20" s="559">
        <f>+[5]양산!$H$9</f>
        <v>99911.363375224304</v>
      </c>
      <c r="G20" s="560">
        <f t="shared" si="0"/>
        <v>-88.636624775695964</v>
      </c>
      <c r="H20" s="558">
        <f>+[5]양산!$G$10</f>
        <v>92100</v>
      </c>
      <c r="I20" s="559">
        <f>+[5]양산!$H$10</f>
        <v>0</v>
      </c>
      <c r="J20" s="560">
        <f t="shared" si="1"/>
        <v>-92100</v>
      </c>
      <c r="K20" s="558">
        <f>+[5]양산!$G$12</f>
        <v>63000</v>
      </c>
      <c r="L20" s="559">
        <f>+[5]양산!$H$12</f>
        <v>62765.638094308757</v>
      </c>
      <c r="M20" s="560">
        <f t="shared" si="2"/>
        <v>-234.36190569124301</v>
      </c>
      <c r="N20" s="558">
        <f>+[5]양산!$G$13</f>
        <v>36000</v>
      </c>
      <c r="O20" s="559">
        <f>+[5]양산!$H$13</f>
        <v>36000.006869799261</v>
      </c>
      <c r="P20" s="560">
        <f t="shared" si="3"/>
        <v>6.8697992610395886E-3</v>
      </c>
      <c r="Q20" s="558">
        <f>+[5]양산!$G$16</f>
        <v>9066.6666666666679</v>
      </c>
      <c r="R20" s="559">
        <f>+[5]양산!$H$16</f>
        <v>9563.5666825480621</v>
      </c>
      <c r="S20" s="560">
        <f t="shared" si="4"/>
        <v>496.90001588139421</v>
      </c>
      <c r="T20" s="558">
        <f>+[5]양산!$G$17</f>
        <v>17446.695345461932</v>
      </c>
      <c r="U20" s="559">
        <f>+[5]양산!$H$17</f>
        <v>17206.989920843611</v>
      </c>
      <c r="V20" s="560">
        <f t="shared" si="5"/>
        <v>-239.70542461832156</v>
      </c>
    </row>
    <row r="21" spans="4:25" ht="24" customHeight="1" x14ac:dyDescent="0.3">
      <c r="D21" s="450" t="s">
        <v>30</v>
      </c>
      <c r="E21" s="558">
        <f>+[5]창원!$G$9</f>
        <v>100000</v>
      </c>
      <c r="F21" s="559">
        <f>+[5]창원!$H$9</f>
        <v>100000.00821934927</v>
      </c>
      <c r="G21" s="560">
        <f t="shared" si="0"/>
        <v>8.2193492708029225E-3</v>
      </c>
      <c r="H21" s="558">
        <f>+[5]창원!$G$10</f>
        <v>0</v>
      </c>
      <c r="I21" s="559">
        <f>+[5]창원!$H$10</f>
        <v>0</v>
      </c>
      <c r="J21" s="560">
        <f t="shared" si="1"/>
        <v>0</v>
      </c>
      <c r="K21" s="558">
        <f>+[5]창원!$G$12</f>
        <v>65000</v>
      </c>
      <c r="L21" s="559">
        <f>+[5]창원!$H$12</f>
        <v>65015.014370950157</v>
      </c>
      <c r="M21" s="560">
        <f t="shared" si="2"/>
        <v>15.014370950157172</v>
      </c>
      <c r="N21" s="558">
        <f>+[5]창원!$G$13</f>
        <v>33000</v>
      </c>
      <c r="O21" s="559">
        <f>+[5]창원!$H$13</f>
        <v>32999.985543584429</v>
      </c>
      <c r="P21" s="560">
        <f t="shared" si="3"/>
        <v>-1.4456415570748504E-2</v>
      </c>
      <c r="Q21" s="558">
        <f>+[5]창원!$G$16</f>
        <v>10400</v>
      </c>
      <c r="R21" s="559">
        <f>+[5]창원!$H$16</f>
        <v>11290.188994553777</v>
      </c>
      <c r="S21" s="560">
        <f t="shared" si="4"/>
        <v>890.18899455377687</v>
      </c>
      <c r="T21" s="558">
        <f>+[5]창원!$G$17</f>
        <v>17019.516244032919</v>
      </c>
      <c r="U21" s="559">
        <f>+[5]창원!$H$17</f>
        <v>17316.77075085551</v>
      </c>
      <c r="V21" s="560">
        <f t="shared" si="5"/>
        <v>297.25450682259179</v>
      </c>
      <c r="Y21" s="542"/>
    </row>
    <row r="22" spans="4:25" ht="24" customHeight="1" x14ac:dyDescent="0.3">
      <c r="D22" s="450" t="s">
        <v>95</v>
      </c>
      <c r="E22" s="558">
        <f>+[5]대구!$G$9</f>
        <v>100000</v>
      </c>
      <c r="F22" s="559">
        <f>+[5]대구!$H$9</f>
        <v>100000.00000000004</v>
      </c>
      <c r="G22" s="560">
        <f t="shared" si="0"/>
        <v>0</v>
      </c>
      <c r="H22" s="558">
        <f>+[5]대구!$G$10</f>
        <v>0</v>
      </c>
      <c r="I22" s="559">
        <f>+[5]대구!$H$10</f>
        <v>0</v>
      </c>
      <c r="J22" s="560">
        <f t="shared" si="1"/>
        <v>0</v>
      </c>
      <c r="K22" s="558">
        <f>+[5]대구!$G$12</f>
        <v>62500</v>
      </c>
      <c r="L22" s="559">
        <f>+[5]대구!$H$12</f>
        <v>60896.004402529245</v>
      </c>
      <c r="M22" s="560">
        <f t="shared" si="2"/>
        <v>-1603.9955974707555</v>
      </c>
      <c r="N22" s="558">
        <f>+[5]대구!$G$13</f>
        <v>35499.999999999993</v>
      </c>
      <c r="O22" s="559">
        <f>+[5]대구!$H$13</f>
        <v>35479.386105585043</v>
      </c>
      <c r="P22" s="560">
        <f t="shared" si="3"/>
        <v>-20.613894414949755</v>
      </c>
      <c r="Q22" s="558">
        <f>+[5]대구!$G$16</f>
        <v>10466.666666666666</v>
      </c>
      <c r="R22" s="559">
        <f>+[5]대구!$H$16</f>
        <v>11110.623282882414</v>
      </c>
      <c r="S22" s="560">
        <f t="shared" si="4"/>
        <v>643.956616215748</v>
      </c>
      <c r="T22" s="558">
        <f>+[5]대구!$G$17</f>
        <v>14718.131256952169</v>
      </c>
      <c r="U22" s="559">
        <f>+[5]대구!$H$17</f>
        <v>14260.297281141879</v>
      </c>
      <c r="V22" s="560">
        <f t="shared" si="5"/>
        <v>-457.83397581029021</v>
      </c>
    </row>
    <row r="23" spans="4:25" ht="24" customHeight="1" x14ac:dyDescent="0.3">
      <c r="D23" s="450" t="s">
        <v>97</v>
      </c>
      <c r="E23" s="558">
        <f>+[5]울산!$G$9</f>
        <v>100000</v>
      </c>
      <c r="F23" s="559">
        <f>+[5]울산!$H$9</f>
        <v>100003.64215493263</v>
      </c>
      <c r="G23" s="560">
        <f t="shared" si="0"/>
        <v>3.6421549326332752</v>
      </c>
      <c r="H23" s="558">
        <f>+[5]울산!$G$10</f>
        <v>0</v>
      </c>
      <c r="I23" s="559">
        <f>+[5]울산!$H$10</f>
        <v>0</v>
      </c>
      <c r="J23" s="560">
        <f t="shared" si="1"/>
        <v>0</v>
      </c>
      <c r="K23" s="558">
        <f>+[5]울산!$G$12</f>
        <v>61300.000000000007</v>
      </c>
      <c r="L23" s="559">
        <f>+[5]울산!$H$12</f>
        <v>60359.496501718677</v>
      </c>
      <c r="M23" s="560">
        <f t="shared" si="2"/>
        <v>-940.50349828133039</v>
      </c>
      <c r="N23" s="558">
        <f>+[5]울산!$G$13</f>
        <v>37000</v>
      </c>
      <c r="O23" s="559">
        <f>+[5]울산!$H$13</f>
        <v>36999.987487648323</v>
      </c>
      <c r="P23" s="560">
        <f t="shared" si="3"/>
        <v>-1.251235167728737E-2</v>
      </c>
      <c r="Q23" s="558">
        <f>+[5]울산!$G$16</f>
        <v>10913.333333333334</v>
      </c>
      <c r="R23" s="559">
        <f>+[5]울산!$H$16</f>
        <v>11532.572418569753</v>
      </c>
      <c r="S23" s="560">
        <f t="shared" si="4"/>
        <v>619.23908523641876</v>
      </c>
      <c r="T23" s="558">
        <f>+[5]울산!$G$17</f>
        <v>19037.023990991358</v>
      </c>
      <c r="U23" s="559">
        <f>+[5]울산!$H$17</f>
        <v>19330.487814529286</v>
      </c>
      <c r="V23" s="560">
        <f t="shared" si="5"/>
        <v>293.46382353792796</v>
      </c>
    </row>
    <row r="24" spans="4:25" ht="24" customHeight="1" x14ac:dyDescent="0.3">
      <c r="D24" s="485" t="s">
        <v>31</v>
      </c>
      <c r="E24" s="561">
        <f>+[5]아산!$G$9</f>
        <v>100000</v>
      </c>
      <c r="F24" s="562">
        <f>+[5]아산!$H$9</f>
        <v>100290.32068104585</v>
      </c>
      <c r="G24" s="563">
        <f t="shared" si="0"/>
        <v>290.32068104585051</v>
      </c>
      <c r="H24" s="561">
        <f>+[5]아산!$G$10</f>
        <v>87100.000000000015</v>
      </c>
      <c r="I24" s="562">
        <f>+[5]아산!$H$10</f>
        <v>86600.037662403425</v>
      </c>
      <c r="J24" s="563">
        <f t="shared" si="1"/>
        <v>-499.96233759658935</v>
      </c>
      <c r="K24" s="561">
        <f>+[5]아산!$G$12</f>
        <v>64500</v>
      </c>
      <c r="L24" s="562">
        <f>+[5]아산!$H$12</f>
        <v>64580.56000800278</v>
      </c>
      <c r="M24" s="563">
        <f t="shared" si="2"/>
        <v>80.560008002779796</v>
      </c>
      <c r="N24" s="561">
        <f>+[5]아산!$G$13</f>
        <v>42000</v>
      </c>
      <c r="O24" s="562">
        <f>+[5]아산!$H$13</f>
        <v>39238.238192757657</v>
      </c>
      <c r="P24" s="563">
        <f t="shared" si="3"/>
        <v>-2761.7618072423429</v>
      </c>
      <c r="Q24" s="561">
        <f>+[5]아산!$G$16</f>
        <v>10933.333333333336</v>
      </c>
      <c r="R24" s="562">
        <f>+[5]아산!$H$16</f>
        <v>11374.13099342048</v>
      </c>
      <c r="S24" s="563">
        <f t="shared" si="4"/>
        <v>440.79766008714432</v>
      </c>
      <c r="T24" s="561">
        <f>+[5]아산!$G$17</f>
        <v>13742.312149395395</v>
      </c>
      <c r="U24" s="562">
        <f>+[5]아산!$H$17</f>
        <v>13188.163979140158</v>
      </c>
      <c r="V24" s="563">
        <f t="shared" si="5"/>
        <v>-554.14817025523735</v>
      </c>
    </row>
    <row r="25" spans="4:25" ht="24" customHeight="1" x14ac:dyDescent="0.3">
      <c r="D25" s="450" t="s">
        <v>34</v>
      </c>
      <c r="E25" s="558">
        <f>+[5]전주!$G$9</f>
        <v>100000</v>
      </c>
      <c r="F25" s="559">
        <f>+[5]전주!$H$9</f>
        <v>99910.008681503459</v>
      </c>
      <c r="G25" s="560">
        <f t="shared" si="0"/>
        <v>-89.991318496540771</v>
      </c>
      <c r="H25" s="558">
        <f>+[5]전주!$G$10</f>
        <v>93100.000000000015</v>
      </c>
      <c r="I25" s="559">
        <f>+[5]전주!$H$10</f>
        <v>97325.119693210756</v>
      </c>
      <c r="J25" s="560">
        <f t="shared" si="1"/>
        <v>4225.1196932107414</v>
      </c>
      <c r="K25" s="558">
        <f>+[5]전주!$G$12</f>
        <v>65000</v>
      </c>
      <c r="L25" s="559">
        <f>+[5]전주!$H$12</f>
        <v>64999.986608025341</v>
      </c>
      <c r="M25" s="560">
        <f t="shared" si="2"/>
        <v>-1.3391974658588879E-2</v>
      </c>
      <c r="N25" s="558">
        <f>+[5]전주!$G$13</f>
        <v>36000</v>
      </c>
      <c r="O25" s="559">
        <f>+[5]전주!$H$13</f>
        <v>35999.995193695569</v>
      </c>
      <c r="P25" s="560">
        <f t="shared" si="3"/>
        <v>-4.8063044305308722E-3</v>
      </c>
      <c r="Q25" s="558">
        <f>+[5]전주!$G$16</f>
        <v>12533.333333333334</v>
      </c>
      <c r="R25" s="559">
        <f>+[5]전주!$H$16</f>
        <v>12968.478967745323</v>
      </c>
      <c r="S25" s="560">
        <f t="shared" si="4"/>
        <v>435.14563441198879</v>
      </c>
      <c r="T25" s="558">
        <f>+[5]전주!$G$17</f>
        <v>14400.152984333205</v>
      </c>
      <c r="U25" s="559">
        <f>+[5]전주!$H$17</f>
        <v>15377.716599358835</v>
      </c>
      <c r="V25" s="560">
        <f t="shared" si="5"/>
        <v>977.5636150256305</v>
      </c>
    </row>
    <row r="26" spans="4:25" ht="24" customHeight="1" x14ac:dyDescent="0.3">
      <c r="D26" s="450" t="s">
        <v>33</v>
      </c>
      <c r="E26" s="558">
        <f>+[5]군산!$G$9</f>
        <v>100000</v>
      </c>
      <c r="F26" s="559">
        <f>+[5]군산!$H$9</f>
        <v>99999.999999999956</v>
      </c>
      <c r="G26" s="560">
        <f t="shared" si="0"/>
        <v>0</v>
      </c>
      <c r="H26" s="558">
        <f>+[5]군산!$G$10</f>
        <v>95000</v>
      </c>
      <c r="I26" s="559">
        <f>+[5]군산!$H$10</f>
        <v>93237.421857951616</v>
      </c>
      <c r="J26" s="560">
        <f t="shared" si="1"/>
        <v>-1762.5781420483836</v>
      </c>
      <c r="K26" s="558">
        <f>+[5]군산!$G$12</f>
        <v>64899.999999999993</v>
      </c>
      <c r="L26" s="559">
        <f>+[5]군산!$H$12</f>
        <v>64909.807021249617</v>
      </c>
      <c r="M26" s="560">
        <f t="shared" si="2"/>
        <v>9.8070212496240856</v>
      </c>
      <c r="N26" s="558">
        <f>+[5]군산!$G$13</f>
        <v>37500</v>
      </c>
      <c r="O26" s="559">
        <f>+[5]군산!$H$13</f>
        <v>38337.407354926465</v>
      </c>
      <c r="P26" s="560">
        <f t="shared" si="3"/>
        <v>837.4073549264649</v>
      </c>
      <c r="Q26" s="558">
        <f>+[5]군산!$G$16</f>
        <v>13666.666666666666</v>
      </c>
      <c r="R26" s="559">
        <f>+[5]군산!$H$16</f>
        <v>14174.637894084624</v>
      </c>
      <c r="S26" s="560">
        <f t="shared" si="4"/>
        <v>507.97122741795829</v>
      </c>
      <c r="T26" s="558">
        <f>+[5]군산!$G$17</f>
        <v>14837.329653268933</v>
      </c>
      <c r="U26" s="559">
        <f>+[5]군산!$H$17</f>
        <v>15221.886888209265</v>
      </c>
      <c r="V26" s="560">
        <f t="shared" si="5"/>
        <v>384.55723494033191</v>
      </c>
    </row>
    <row r="27" spans="4:25" ht="24" customHeight="1" x14ac:dyDescent="0.3">
      <c r="D27" s="450" t="s">
        <v>32</v>
      </c>
      <c r="E27" s="558">
        <f>+[5]원주!$G$9</f>
        <v>100000</v>
      </c>
      <c r="F27" s="559">
        <f>+[5]원주!$H$9</f>
        <v>100000.00069038264</v>
      </c>
      <c r="G27" s="560">
        <f t="shared" si="0"/>
        <v>6.903826433699578E-4</v>
      </c>
      <c r="H27" s="558">
        <f>+[5]원주!$G$10</f>
        <v>0</v>
      </c>
      <c r="I27" s="559">
        <f>+[5]원주!$H$10</f>
        <v>0</v>
      </c>
      <c r="J27" s="560">
        <f t="shared" si="1"/>
        <v>0</v>
      </c>
      <c r="K27" s="558">
        <f>+[5]원주!$G$12</f>
        <v>64000</v>
      </c>
      <c r="L27" s="559">
        <f>+[5]원주!$H$12</f>
        <v>63998.503332579989</v>
      </c>
      <c r="M27" s="560">
        <f t="shared" si="2"/>
        <v>-1.496667420011363</v>
      </c>
      <c r="N27" s="558">
        <f>+[5]원주!$G$13</f>
        <v>49000</v>
      </c>
      <c r="O27" s="559">
        <f>+[5]원주!$H$13</f>
        <v>48999.993194917974</v>
      </c>
      <c r="P27" s="560">
        <f t="shared" si="3"/>
        <v>-6.8050820264033973E-3</v>
      </c>
      <c r="Q27" s="558">
        <f>+[5]원주!$G$16</f>
        <v>13666.666666666666</v>
      </c>
      <c r="R27" s="559">
        <f>+[5]원주!$H$16</f>
        <v>13878.903799372638</v>
      </c>
      <c r="S27" s="560">
        <f t="shared" si="4"/>
        <v>212.23713270597182</v>
      </c>
      <c r="T27" s="558">
        <f>+[5]원주!$G$17</f>
        <v>13419.35483870968</v>
      </c>
      <c r="U27" s="559">
        <f>+[5]원주!$H$17</f>
        <v>13862.535300902913</v>
      </c>
      <c r="V27" s="560">
        <f t="shared" si="5"/>
        <v>443.18046219323332</v>
      </c>
    </row>
    <row r="28" spans="4:25" ht="24" customHeight="1" x14ac:dyDescent="0.3">
      <c r="D28" s="499" t="s">
        <v>35</v>
      </c>
      <c r="E28" s="564">
        <f>+[5]제주!$G$9</f>
        <v>117000</v>
      </c>
      <c r="F28" s="565">
        <f>+[5]제주!$H$9</f>
        <v>117000.00713213388</v>
      </c>
      <c r="G28" s="566">
        <f t="shared" si="0"/>
        <v>7.132133876439184E-3</v>
      </c>
      <c r="H28" s="564">
        <f>+[5]제주!$G$10</f>
        <v>0</v>
      </c>
      <c r="I28" s="565">
        <f>+[5]제주!$H$10</f>
        <v>116999.99441775282</v>
      </c>
      <c r="J28" s="566">
        <f t="shared" si="1"/>
        <v>116999.99441775282</v>
      </c>
      <c r="K28" s="564">
        <f>+[5]제주!$G$12</f>
        <v>0</v>
      </c>
      <c r="L28" s="565">
        <f>+[5]제주!$H$12</f>
        <v>0</v>
      </c>
      <c r="M28" s="566">
        <f t="shared" si="2"/>
        <v>0</v>
      </c>
      <c r="N28" s="564">
        <f>+[5]제주!$G$13</f>
        <v>0</v>
      </c>
      <c r="O28" s="565">
        <f>+[5]제주!$H$13</f>
        <v>0</v>
      </c>
      <c r="P28" s="566">
        <f t="shared" si="3"/>
        <v>0</v>
      </c>
      <c r="Q28" s="564">
        <f>+[5]제주!$G$16</f>
        <v>18143.333333333339</v>
      </c>
      <c r="R28" s="565">
        <f>+[5]제주!$H$16</f>
        <v>17734.009397217491</v>
      </c>
      <c r="S28" s="566">
        <f t="shared" si="4"/>
        <v>-409.32393611584848</v>
      </c>
      <c r="T28" s="564">
        <f>+[5]제주!$G$17</f>
        <v>18434.396565946467</v>
      </c>
      <c r="U28" s="565">
        <f>+[5]제주!$H$17</f>
        <v>16971.753373520369</v>
      </c>
      <c r="V28" s="566">
        <f t="shared" si="5"/>
        <v>-1462.6431924260978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 codeName="Sheet8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244</v>
      </c>
      <c r="F4" s="183"/>
      <c r="I4" s="183"/>
    </row>
    <row r="5" spans="4:22" ht="21.95" customHeight="1" x14ac:dyDescent="0.3">
      <c r="V5" s="185" t="s">
        <v>157</v>
      </c>
    </row>
    <row r="6" spans="4:22" ht="24" customHeight="1" thickBot="1" x14ac:dyDescent="0.35">
      <c r="D6" s="840" t="s">
        <v>11</v>
      </c>
      <c r="E6" s="438" t="s">
        <v>158</v>
      </c>
      <c r="F6" s="439"/>
      <c r="G6" s="440"/>
      <c r="H6" s="438" t="s">
        <v>159</v>
      </c>
      <c r="I6" s="439"/>
      <c r="J6" s="440"/>
      <c r="K6" s="438" t="s">
        <v>160</v>
      </c>
      <c r="L6" s="439"/>
      <c r="M6" s="440"/>
      <c r="N6" s="438" t="s">
        <v>161</v>
      </c>
      <c r="O6" s="439"/>
      <c r="P6" s="440"/>
      <c r="Q6" s="438" t="s">
        <v>162</v>
      </c>
      <c r="R6" s="439"/>
      <c r="S6" s="440"/>
      <c r="T6" s="438" t="s">
        <v>163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+[5]합계!$E$9</f>
        <v>232.8790696127289</v>
      </c>
      <c r="F8" s="461">
        <f>+[5]합계!$F$9</f>
        <v>248.12832251635439</v>
      </c>
      <c r="G8" s="486">
        <f>+F8-E8</f>
        <v>15.249252903625489</v>
      </c>
      <c r="H8" s="459">
        <f>+[5]합계!$E$15</f>
        <v>352.62996751833413</v>
      </c>
      <c r="I8" s="461">
        <f>+[5]합계!$F$15</f>
        <v>365.98362224412256</v>
      </c>
      <c r="J8" s="486">
        <f>+I8-H8</f>
        <v>13.353654725788431</v>
      </c>
      <c r="K8" s="530">
        <f>+([5]합계!$E$10*0.4+[5]합계!$E$11+[5]합계!$E$12+[5]합계!$E$13+[5]합계!$E$14)/[5]합계!$E$15</f>
        <v>0.29574571611896533</v>
      </c>
      <c r="L8" s="531">
        <f>+([5]합계!$F$10*0.4+[5]합계!$F$11+[5]합계!$F$12+[5]합계!$F$13+[5]합계!$F$14)/[5]합계!$F$15</f>
        <v>0.26790705662696052</v>
      </c>
      <c r="M8" s="532">
        <f>+L8-K8</f>
        <v>-2.7838659492004814E-2</v>
      </c>
      <c r="N8" s="459">
        <f>+[5]합계!$E$16</f>
        <v>821.25085957725378</v>
      </c>
      <c r="O8" s="461">
        <f>+[5]합계!$F$16</f>
        <v>824.97165022663467</v>
      </c>
      <c r="P8" s="486">
        <f>+O8-N8</f>
        <v>3.7207906493808878</v>
      </c>
      <c r="Q8" s="459">
        <f>+[5]합계!$E$17</f>
        <v>905.12531693433039</v>
      </c>
      <c r="R8" s="461">
        <f>+[5]합계!$F$17</f>
        <v>894.80819892333329</v>
      </c>
      <c r="S8" s="486">
        <f>+R8-Q8</f>
        <v>-10.317118010997092</v>
      </c>
      <c r="T8" s="459">
        <f>+[5]합계!$E$19</f>
        <v>3.1741358505268575</v>
      </c>
      <c r="U8" s="461">
        <f>+[5]합계!$F$19</f>
        <v>3.0116393821744127</v>
      </c>
      <c r="V8" s="486">
        <f>+U8-T8</f>
        <v>-0.1624964683524448</v>
      </c>
    </row>
    <row r="9" spans="4:22" ht="24" customHeight="1" x14ac:dyDescent="0.3">
      <c r="D9" s="470" t="s">
        <v>19</v>
      </c>
      <c r="E9" s="464">
        <f>+[5]수도권!$E$9</f>
        <v>256.0952838427948</v>
      </c>
      <c r="F9" s="478">
        <f>+[5]수도권!$F$9</f>
        <v>270.25872844314375</v>
      </c>
      <c r="G9" s="487">
        <f t="shared" ref="G9:G28" si="0">+F9-E9</f>
        <v>14.163444600348953</v>
      </c>
      <c r="H9" s="464">
        <f>+[5]수도권!$E$15</f>
        <v>356.12890829694328</v>
      </c>
      <c r="I9" s="478">
        <f>+[5]수도권!$F$15</f>
        <v>372.97837593992909</v>
      </c>
      <c r="J9" s="487">
        <f t="shared" ref="J9:J28" si="1">+I9-H9</f>
        <v>16.849467642985815</v>
      </c>
      <c r="K9" s="536">
        <f>+([5]수도권!$E$10*0.4+[5]수도권!$E$11+[5]수도권!$E$12+[5]수도권!$E$13+[5]수도권!$E$14)/[5]수도권!$E$15</f>
        <v>0.2682588317463182</v>
      </c>
      <c r="L9" s="537">
        <f>+([5]수도권!$F$10*0.4+[5]수도권!$F$11+[5]수도권!$F$12+[5]수도권!$F$13+[5]수도권!$F$14)/[5]수도권!$F$15</f>
        <v>0.25590903021443095</v>
      </c>
      <c r="M9" s="533">
        <f t="shared" ref="M9:M28" si="2">+L9-K9</f>
        <v>-1.234980153188725E-2</v>
      </c>
      <c r="N9" s="464">
        <f>+[5]수도권!$E$16</f>
        <v>846.25624454148476</v>
      </c>
      <c r="O9" s="478">
        <f>+[5]수도권!$F$16</f>
        <v>870.02235477068655</v>
      </c>
      <c r="P9" s="487">
        <f t="shared" ref="P9:P28" si="3">+O9-N9</f>
        <v>23.766110229201786</v>
      </c>
      <c r="Q9" s="464">
        <f>+[5]수도권!$E$17</f>
        <v>887.42519650655015</v>
      </c>
      <c r="R9" s="478">
        <f>+[5]수도권!$F$17</f>
        <v>845.2858068045316</v>
      </c>
      <c r="S9" s="487">
        <f t="shared" ref="S9:S28" si="4">+R9-Q9</f>
        <v>-42.139389702018548</v>
      </c>
      <c r="T9" s="464">
        <f>+[5]수도권!$E$19</f>
        <v>3.07576384279476</v>
      </c>
      <c r="U9" s="478">
        <f>+[5]수도권!$F$19</f>
        <v>2.8388232430401574</v>
      </c>
      <c r="V9" s="487">
        <f t="shared" ref="V9:V28" si="5">+U9-T9</f>
        <v>-0.23694059975460258</v>
      </c>
    </row>
    <row r="10" spans="4:22" ht="24" customHeight="1" x14ac:dyDescent="0.3">
      <c r="D10" s="471" t="s">
        <v>20</v>
      </c>
      <c r="E10" s="466">
        <f>+[5]영남권!$E$9</f>
        <v>202.04601319393566</v>
      </c>
      <c r="F10" s="479">
        <f>+[5]영남권!$F$9</f>
        <v>225.6383221428699</v>
      </c>
      <c r="G10" s="488">
        <f t="shared" si="0"/>
        <v>23.592308948934232</v>
      </c>
      <c r="H10" s="466">
        <f>+[5]영남권!$E$15</f>
        <v>349.74554690866165</v>
      </c>
      <c r="I10" s="479">
        <f>+[5]영남권!$F$15</f>
        <v>362.15167037703259</v>
      </c>
      <c r="J10" s="488">
        <f t="shared" si="1"/>
        <v>12.406123468370936</v>
      </c>
      <c r="K10" s="538">
        <f>+([5]영남권!$E$10*0.4+[5]영남권!$E$11+[5]영남권!$E$12+[5]영남권!$E$13+[5]영남권!$E$14)/[5]영남권!$E$15</f>
        <v>0.34369981219260692</v>
      </c>
      <c r="L10" s="539">
        <f>+([5]영남권!$F$10*0.4+[5]영남권!$F$11+[5]영남권!$F$12+[5]영남권!$F$13+[5]영남권!$F$14)/[5]영남권!$F$15</f>
        <v>0.29462656320903829</v>
      </c>
      <c r="M10" s="534">
        <f t="shared" si="2"/>
        <v>-4.9073248983568629E-2</v>
      </c>
      <c r="N10" s="466">
        <f>+[5]영남권!$E$16</f>
        <v>803.94060823364782</v>
      </c>
      <c r="O10" s="479">
        <f>+[5]영남권!$F$16</f>
        <v>797.53941493169953</v>
      </c>
      <c r="P10" s="488">
        <f t="shared" si="3"/>
        <v>-6.4011933019482967</v>
      </c>
      <c r="Q10" s="466">
        <f>+[5]영남권!$E$17</f>
        <v>913.55874112961953</v>
      </c>
      <c r="R10" s="479">
        <f>+[5]영남권!$F$17</f>
        <v>910.49940458423134</v>
      </c>
      <c r="S10" s="488">
        <f t="shared" si="4"/>
        <v>-3.0593365453881916</v>
      </c>
      <c r="T10" s="466">
        <f>+[5]영남권!$E$19</f>
        <v>3.3694569406416535</v>
      </c>
      <c r="U10" s="479">
        <f>+[5]영남권!$F$19</f>
        <v>3.144307823825891</v>
      </c>
      <c r="V10" s="488">
        <f t="shared" si="5"/>
        <v>-0.22514911681576244</v>
      </c>
    </row>
    <row r="11" spans="4:22" ht="24" customHeight="1" x14ac:dyDescent="0.3">
      <c r="D11" s="472" t="s">
        <v>57</v>
      </c>
      <c r="E11" s="467">
        <f>+[5]중부권!$E$9</f>
        <v>252.17000000000002</v>
      </c>
      <c r="F11" s="480">
        <f>+[5]중부권!$F$9</f>
        <v>265.66061701362133</v>
      </c>
      <c r="G11" s="489">
        <f t="shared" si="0"/>
        <v>13.490617013621318</v>
      </c>
      <c r="H11" s="467">
        <f>+[5]중부권!$E$15</f>
        <v>351.62074074074076</v>
      </c>
      <c r="I11" s="480">
        <f>+[5]중부권!$F$15</f>
        <v>363.96011164225149</v>
      </c>
      <c r="J11" s="489">
        <f t="shared" si="1"/>
        <v>12.339370901510733</v>
      </c>
      <c r="K11" s="540">
        <f>+([5]중부권!$E$10*0.4+[5]중부권!$E$11+[5]중부권!$E$12+[5]중부권!$E$13+[5]중부권!$E$14)/[5]중부권!$E$15</f>
        <v>0.24877898746123769</v>
      </c>
      <c r="L11" s="541">
        <f>+([5]중부권!$F$10*0.4+[5]중부권!$F$11+[5]중부권!$F$12+[5]중부권!$F$13+[5]중부권!$F$14)/[5]중부권!$F$15</f>
        <v>0.22563051431688849</v>
      </c>
      <c r="M11" s="535">
        <f t="shared" si="2"/>
        <v>-2.3148473144349202E-2</v>
      </c>
      <c r="N11" s="467">
        <f>+[5]중부권!$E$16</f>
        <v>806.69740740740735</v>
      </c>
      <c r="O11" s="480">
        <f>+[5]중부권!$F$16</f>
        <v>818.29298380878947</v>
      </c>
      <c r="P11" s="489">
        <f t="shared" si="3"/>
        <v>11.595576401382118</v>
      </c>
      <c r="Q11" s="467">
        <f>+[5]중부권!$E$17</f>
        <v>923.91518518518535</v>
      </c>
      <c r="R11" s="480">
        <f>+[5]중부권!$F$17</f>
        <v>935.5452068876898</v>
      </c>
      <c r="S11" s="489">
        <f t="shared" si="4"/>
        <v>11.63002170250445</v>
      </c>
      <c r="T11" s="467">
        <f>+[5]중부권!$E$19</f>
        <v>2.948674074074074</v>
      </c>
      <c r="U11" s="480">
        <f>+[5]중부권!$F$19</f>
        <v>2.9739094320226154</v>
      </c>
      <c r="V11" s="489">
        <f t="shared" si="5"/>
        <v>2.523535794854137E-2</v>
      </c>
    </row>
    <row r="12" spans="4:22" ht="24" customHeight="1" x14ac:dyDescent="0.3">
      <c r="D12" s="484" t="s">
        <v>22</v>
      </c>
      <c r="E12" s="446">
        <f>+[5]안양!$E$9</f>
        <v>263.3</v>
      </c>
      <c r="F12" s="447">
        <f>+[5]안양!$F$9</f>
        <v>285.04951544795546</v>
      </c>
      <c r="G12" s="448">
        <f t="shared" si="0"/>
        <v>21.749515447955446</v>
      </c>
      <c r="H12" s="446">
        <f>+[5]안양!$E$15</f>
        <v>367.7</v>
      </c>
      <c r="I12" s="447">
        <f>+[5]안양!$F$15</f>
        <v>389.33591491308323</v>
      </c>
      <c r="J12" s="448">
        <f t="shared" si="1"/>
        <v>21.635914913083241</v>
      </c>
      <c r="K12" s="504">
        <f>+([5]안양!$E$10*0.4+[5]안양!$E$11+[5]안양!$E$12+[5]안양!$E$13+[5]안양!$E$14)/[5]안양!$E$15</f>
        <v>0.26434593418547725</v>
      </c>
      <c r="L12" s="505">
        <f>+([5]안양!$F$10*0.4+[5]안양!$F$11+[5]안양!$F$12+[5]안양!$F$13+[5]안양!$F$14)/[5]안양!$F$15</f>
        <v>0.25167639139043596</v>
      </c>
      <c r="M12" s="506">
        <f t="shared" si="2"/>
        <v>-1.2669542795041289E-2</v>
      </c>
      <c r="N12" s="446">
        <f>+[5]안양!$E$16</f>
        <v>845</v>
      </c>
      <c r="O12" s="447">
        <f>+[5]안양!$F$16</f>
        <v>904.38102611021168</v>
      </c>
      <c r="P12" s="448">
        <f t="shared" si="3"/>
        <v>59.381026110211678</v>
      </c>
      <c r="Q12" s="446">
        <f>+[5]안양!$E$17</f>
        <v>880</v>
      </c>
      <c r="R12" s="447">
        <f>+[5]안양!$F$17</f>
        <v>810.2957632486449</v>
      </c>
      <c r="S12" s="448">
        <f t="shared" si="4"/>
        <v>-69.704236751355097</v>
      </c>
      <c r="T12" s="507">
        <f>+[5]안양!$E$19</f>
        <v>3.29</v>
      </c>
      <c r="U12" s="508">
        <f>+[5]안양!$F$19</f>
        <v>2.980076008163838</v>
      </c>
      <c r="V12" s="509">
        <f t="shared" si="5"/>
        <v>-0.30992399183616204</v>
      </c>
    </row>
    <row r="13" spans="4:22" ht="24" customHeight="1" x14ac:dyDescent="0.3">
      <c r="D13" s="450" t="s">
        <v>23</v>
      </c>
      <c r="E13" s="451">
        <f>+[5]인천!$E$9</f>
        <v>265.97500000000002</v>
      </c>
      <c r="F13" s="452">
        <f>+[5]인천!$F$9</f>
        <v>273.87700853307217</v>
      </c>
      <c r="G13" s="188">
        <f t="shared" si="0"/>
        <v>7.9020085330721486</v>
      </c>
      <c r="H13" s="451">
        <f>+[5]인천!$E$15</f>
        <v>369.65300000000002</v>
      </c>
      <c r="I13" s="452">
        <f>+[5]인천!$F$15</f>
        <v>393.77603728463475</v>
      </c>
      <c r="J13" s="188">
        <f t="shared" si="1"/>
        <v>24.123037284634734</v>
      </c>
      <c r="K13" s="510">
        <f>+([5]인천!$E$10*0.4+[5]인천!$E$11+[5]인천!$E$12+[5]인천!$E$13+[5]인천!$E$14)/[5]인천!$E$15</f>
        <v>0.2625900506691411</v>
      </c>
      <c r="L13" s="511">
        <f>+([5]인천!$F$10*0.4+[5]인천!$F$11+[5]인천!$F$12+[5]인천!$F$13+[5]인천!$F$14)/[5]인천!$F$15</f>
        <v>0.25333297697222029</v>
      </c>
      <c r="M13" s="512">
        <f t="shared" si="2"/>
        <v>-9.2570736969208034E-3</v>
      </c>
      <c r="N13" s="451">
        <f>+[5]인천!$E$16</f>
        <v>882.9319999999999</v>
      </c>
      <c r="O13" s="452">
        <f>+[5]인천!$F$16</f>
        <v>895.35264498070603</v>
      </c>
      <c r="P13" s="188">
        <f t="shared" si="3"/>
        <v>12.420644980706129</v>
      </c>
      <c r="Q13" s="451">
        <f>+[5]인천!$E$17</f>
        <v>847.25</v>
      </c>
      <c r="R13" s="452">
        <f>+[5]인천!$F$17</f>
        <v>839.12159736942192</v>
      </c>
      <c r="S13" s="188">
        <f t="shared" si="4"/>
        <v>-8.1284026305780799</v>
      </c>
      <c r="T13" s="513">
        <f>+[5]인천!$E$19</f>
        <v>3.327</v>
      </c>
      <c r="U13" s="514">
        <f>+[5]인천!$F$19</f>
        <v>3.0617968367846071</v>
      </c>
      <c r="V13" s="515">
        <f t="shared" si="5"/>
        <v>-0.26520316321539283</v>
      </c>
    </row>
    <row r="14" spans="4:22" ht="24" customHeight="1" x14ac:dyDescent="0.3">
      <c r="D14" s="450" t="s">
        <v>24</v>
      </c>
      <c r="E14" s="451">
        <f>+[5]파주!$E$9</f>
        <v>267.04000000000008</v>
      </c>
      <c r="F14" s="452">
        <f>+[5]파주!$F$9</f>
        <v>267.96335947464388</v>
      </c>
      <c r="G14" s="188">
        <f t="shared" si="0"/>
        <v>0.92335947464380297</v>
      </c>
      <c r="H14" s="451">
        <f>+[5]파주!$E$15</f>
        <v>345.59875000000011</v>
      </c>
      <c r="I14" s="452">
        <f>+[5]파주!$F$15</f>
        <v>352.76303270826077</v>
      </c>
      <c r="J14" s="188">
        <f t="shared" si="1"/>
        <v>7.1642827082606573</v>
      </c>
      <c r="K14" s="510">
        <f>+([5]파주!$E$10*0.4+[5]파주!$E$11+[5]파주!$E$12+[5]파주!$E$13+[5]파주!$E$14)/[5]파주!$E$15</f>
        <v>0.22731202008109108</v>
      </c>
      <c r="L14" s="511">
        <f>+([5]파주!$F$10*0.4+[5]파주!$F$11+[5]파주!$F$12+[5]파주!$F$13+[5]파주!$F$14)/[5]파주!$F$15</f>
        <v>0.24038707395892925</v>
      </c>
      <c r="M14" s="512">
        <f t="shared" si="2"/>
        <v>1.3075053877838166E-2</v>
      </c>
      <c r="N14" s="451">
        <f>+[5]파주!$E$16</f>
        <v>868.89083333333338</v>
      </c>
      <c r="O14" s="452">
        <f>+[5]파주!$F$16</f>
        <v>827.30436180417303</v>
      </c>
      <c r="P14" s="188">
        <f t="shared" si="3"/>
        <v>-41.586471529160349</v>
      </c>
      <c r="Q14" s="451">
        <f>+[5]파주!$E$17</f>
        <v>873.86187500000005</v>
      </c>
      <c r="R14" s="452">
        <f>+[5]파주!$F$17</f>
        <v>831.4938017160506</v>
      </c>
      <c r="S14" s="188">
        <f t="shared" si="4"/>
        <v>-42.368073283949457</v>
      </c>
      <c r="T14" s="513">
        <f>+[5]파주!$E$19</f>
        <v>2.7647900000000001</v>
      </c>
      <c r="U14" s="514">
        <f>+[5]파주!$F$19</f>
        <v>2.3909902075493581</v>
      </c>
      <c r="V14" s="515">
        <f t="shared" si="5"/>
        <v>-0.37379979245064199</v>
      </c>
    </row>
    <row r="15" spans="4:22" ht="24" customHeight="1" x14ac:dyDescent="0.3">
      <c r="D15" s="450" t="s">
        <v>178</v>
      </c>
      <c r="E15" s="451">
        <f>+[5]김포!$E$9</f>
        <v>203</v>
      </c>
      <c r="F15" s="452">
        <f>+[5]김포!$F$9</f>
        <v>225.01939693877566</v>
      </c>
      <c r="G15" s="188">
        <f t="shared" si="0"/>
        <v>22.019396938775657</v>
      </c>
      <c r="H15" s="451">
        <f>+[5]김포!$E$15</f>
        <v>316</v>
      </c>
      <c r="I15" s="452">
        <f>+[5]김포!$F$15</f>
        <v>325.63727040816343</v>
      </c>
      <c r="J15" s="188">
        <f t="shared" si="1"/>
        <v>9.6372704081634311</v>
      </c>
      <c r="K15" s="510">
        <f>+([5]김포!$E$10*0.4+[5]김포!$E$11+[5]김포!$E$12+[5]김포!$E$13+[5]김포!$E$14)/[5]김포!$E$15</f>
        <v>0.35759493670886078</v>
      </c>
      <c r="L15" s="511">
        <f>+([5]김포!$F$10*0.4+[5]김포!$F$11+[5]김포!$F$12+[5]김포!$F$13+[5]김포!$F$14)/[5]김포!$F$15</f>
        <v>0.30898758407866017</v>
      </c>
      <c r="M15" s="512">
        <f t="shared" si="2"/>
        <v>-4.8607352630200606E-2</v>
      </c>
      <c r="N15" s="451">
        <f>+[5]김포!$E$16</f>
        <v>750</v>
      </c>
      <c r="O15" s="452">
        <f>+[5]김포!$F$16</f>
        <v>805.53928571428639</v>
      </c>
      <c r="P15" s="188">
        <f t="shared" si="3"/>
        <v>55.539285714286393</v>
      </c>
      <c r="Q15" s="451">
        <f>+[5]김포!$E$17</f>
        <v>1000</v>
      </c>
      <c r="R15" s="452">
        <f>+[5]김포!$F$17</f>
        <v>985.02551020408157</v>
      </c>
      <c r="S15" s="188">
        <f t="shared" si="4"/>
        <v>-14.97448979591843</v>
      </c>
      <c r="T15" s="513">
        <f>+[5]김포!$E$19</f>
        <v>2.5</v>
      </c>
      <c r="U15" s="514">
        <f>+[5]김포!$F$19</f>
        <v>2.8776479591836721</v>
      </c>
      <c r="V15" s="515">
        <f t="shared" si="5"/>
        <v>0.37764795918367211</v>
      </c>
    </row>
    <row r="16" spans="4:22" ht="24" customHeight="1" x14ac:dyDescent="0.3">
      <c r="D16" s="485" t="s">
        <v>25</v>
      </c>
      <c r="E16" s="454">
        <f>+[5]부산!$E$9</f>
        <v>203.68740872725141</v>
      </c>
      <c r="F16" s="455">
        <f>+[5]부산!$F$9</f>
        <v>194.99102014628525</v>
      </c>
      <c r="G16" s="456">
        <f t="shared" si="0"/>
        <v>-8.6963885809661576</v>
      </c>
      <c r="H16" s="454">
        <f>+[5]부산!$E$15</f>
        <v>355.03927223997118</v>
      </c>
      <c r="I16" s="455">
        <f>+[5]부산!$F$15</f>
        <v>401.49773643012981</v>
      </c>
      <c r="J16" s="456">
        <f t="shared" si="1"/>
        <v>46.458464190158622</v>
      </c>
      <c r="K16" s="516">
        <f>+([5]부산!$E$10*0.4+[5]부산!$E$11+[5]부산!$E$12+[5]부산!$E$13+[5]부산!$E$14)/[5]부산!$E$15</f>
        <v>0.34096214304973194</v>
      </c>
      <c r="L16" s="517">
        <f>+([5]부산!$F$10*0.4+[5]부산!$F$11+[5]부산!$F$12+[5]부산!$F$13+[5]부산!$F$14)/[5]부산!$F$15</f>
        <v>0.26189682437170814</v>
      </c>
      <c r="M16" s="518">
        <f t="shared" si="2"/>
        <v>-7.9065318678023799E-2</v>
      </c>
      <c r="N16" s="454">
        <f>+[5]부산!$E$16</f>
        <v>833.65317484685306</v>
      </c>
      <c r="O16" s="455">
        <f>+[5]부산!$F$16</f>
        <v>893.06108045682026</v>
      </c>
      <c r="P16" s="456">
        <f t="shared" si="3"/>
        <v>59.407905609967202</v>
      </c>
      <c r="Q16" s="454">
        <f>+[5]부산!$E$17</f>
        <v>894.60063270474586</v>
      </c>
      <c r="R16" s="455">
        <f>+[5]부산!$F$17</f>
        <v>823.73155395868105</v>
      </c>
      <c r="S16" s="456">
        <f t="shared" si="4"/>
        <v>-70.869078746064815</v>
      </c>
      <c r="T16" s="519">
        <f>+[5]부산!$E$19</f>
        <v>3.5546531936665913</v>
      </c>
      <c r="U16" s="520">
        <f>+[5]부산!$F$19</f>
        <v>3.5041190812267424</v>
      </c>
      <c r="V16" s="521">
        <f t="shared" si="5"/>
        <v>-5.0534112439848844E-2</v>
      </c>
    </row>
    <row r="17" spans="4:22" ht="24" customHeight="1" x14ac:dyDescent="0.3">
      <c r="D17" s="450" t="s">
        <v>26</v>
      </c>
      <c r="E17" s="451">
        <f>+[5]서부산!$E$9</f>
        <v>211.9</v>
      </c>
      <c r="F17" s="452">
        <f>+[5]서부산!$F$9</f>
        <v>258.39545774896038</v>
      </c>
      <c r="G17" s="188">
        <f t="shared" si="0"/>
        <v>46.495457748960376</v>
      </c>
      <c r="H17" s="451">
        <f>+[5]서부산!$E$15</f>
        <v>359.1</v>
      </c>
      <c r="I17" s="452">
        <f>+[5]서부산!$F$15</f>
        <v>368.04791317217553</v>
      </c>
      <c r="J17" s="188">
        <f t="shared" si="1"/>
        <v>8.9479131721755039</v>
      </c>
      <c r="K17" s="510">
        <f>+([5]서부산!$E$10*0.4+[5]서부산!$E$11+[5]서부산!$E$12+[5]서부산!$E$13+[5]서부산!$E$14)/[5]서부산!$E$15</f>
        <v>0.32770815928710667</v>
      </c>
      <c r="L17" s="511">
        <f>+([5]서부산!$F$10*0.4+[5]서부산!$F$11+[5]서부산!$F$12+[5]서부산!$F$13+[5]서부산!$F$14)/[5]서부산!$F$15</f>
        <v>0.25426114862031857</v>
      </c>
      <c r="M17" s="512">
        <f t="shared" si="2"/>
        <v>-7.3447010666788104E-2</v>
      </c>
      <c r="N17" s="451">
        <f>+[5]서부산!$E$16</f>
        <v>818.19999999999993</v>
      </c>
      <c r="O17" s="452">
        <f>+[5]서부산!$F$16</f>
        <v>820.24772711255196</v>
      </c>
      <c r="P17" s="188">
        <f t="shared" si="3"/>
        <v>2.0477271125520247</v>
      </c>
      <c r="Q17" s="451">
        <f>+[5]서부산!$E$17</f>
        <v>908.10000000000014</v>
      </c>
      <c r="R17" s="452">
        <f>+[5]서부산!$F$17</f>
        <v>905.82493480865458</v>
      </c>
      <c r="S17" s="188">
        <f t="shared" si="4"/>
        <v>-2.2750651913455613</v>
      </c>
      <c r="T17" s="513">
        <f>+[5]서부산!$E$19</f>
        <v>4.8689999999999998</v>
      </c>
      <c r="U17" s="514">
        <f>+[5]서부산!$F$19</f>
        <v>3.2475473958700385</v>
      </c>
      <c r="V17" s="515">
        <f t="shared" si="5"/>
        <v>-1.6214526041299613</v>
      </c>
    </row>
    <row r="18" spans="4:22" ht="24" customHeight="1" x14ac:dyDescent="0.3">
      <c r="D18" s="450" t="s">
        <v>27</v>
      </c>
      <c r="E18" s="451">
        <f>+[5]김해!$E$9</f>
        <v>172.5</v>
      </c>
      <c r="F18" s="452">
        <f>+[5]김해!$F$9</f>
        <v>182.21653291747447</v>
      </c>
      <c r="G18" s="188">
        <f t="shared" si="0"/>
        <v>9.716532917474467</v>
      </c>
      <c r="H18" s="451">
        <f>+[5]김해!$E$15</f>
        <v>342.99999999999994</v>
      </c>
      <c r="I18" s="452">
        <f>+[5]김해!$F$15</f>
        <v>339.14269577678493</v>
      </c>
      <c r="J18" s="188">
        <f t="shared" si="1"/>
        <v>-3.8573042232150101</v>
      </c>
      <c r="K18" s="510">
        <f>+([5]김해!$E$10*0.4+[5]김해!$E$11+[5]김해!$E$12+[5]김해!$E$13+[5]김해!$E$14)/[5]김해!$E$15</f>
        <v>0.23681049562682219</v>
      </c>
      <c r="L18" s="511">
        <f>+([5]김해!$F$10*0.4+[5]김해!$F$11+[5]김해!$F$12+[5]김해!$F$13+[5]김해!$F$14)/[5]김해!$F$15</f>
        <v>0.22983900577090693</v>
      </c>
      <c r="M18" s="512">
        <f t="shared" si="2"/>
        <v>-6.9714898559152527E-3</v>
      </c>
      <c r="N18" s="451">
        <f>+[5]김해!$E$16</f>
        <v>830</v>
      </c>
      <c r="O18" s="452">
        <f>+[5]김해!$F$16</f>
        <v>719.93603793306909</v>
      </c>
      <c r="P18" s="188">
        <f t="shared" si="3"/>
        <v>-110.06396206693091</v>
      </c>
      <c r="Q18" s="451">
        <f>+[5]김해!$E$17</f>
        <v>890</v>
      </c>
      <c r="R18" s="452">
        <f>+[5]김해!$F$17</f>
        <v>985.09610857287362</v>
      </c>
      <c r="S18" s="188">
        <f t="shared" si="4"/>
        <v>95.096108572873618</v>
      </c>
      <c r="T18" s="513">
        <f>+[5]김해!$E$19</f>
        <v>3.3</v>
      </c>
      <c r="U18" s="514">
        <f>+[5]김해!$F$19</f>
        <v>3.1178506280030325</v>
      </c>
      <c r="V18" s="515">
        <f t="shared" si="5"/>
        <v>-0.18214937199696735</v>
      </c>
    </row>
    <row r="19" spans="4:22" ht="24" customHeight="1" x14ac:dyDescent="0.3">
      <c r="D19" s="450" t="s">
        <v>28</v>
      </c>
      <c r="E19" s="451">
        <f>+[5]정관!$E$9</f>
        <v>172.5</v>
      </c>
      <c r="F19" s="452">
        <f>+[5]정관!$F$9</f>
        <v>235.26178516864491</v>
      </c>
      <c r="G19" s="188">
        <f t="shared" si="0"/>
        <v>62.761785168644906</v>
      </c>
      <c r="H19" s="451">
        <f>+[5]정관!$E$15</f>
        <v>358.6</v>
      </c>
      <c r="I19" s="452">
        <f>+[5]정관!$F$15</f>
        <v>365.25331707603704</v>
      </c>
      <c r="J19" s="188">
        <f t="shared" si="1"/>
        <v>6.6533170760370126</v>
      </c>
      <c r="K19" s="510">
        <f>+([5]정관!$E$10*0.4+[5]정관!$E$11+[5]정관!$E$12+[5]정관!$E$13+[5]정관!$E$14)/[5]정관!$E$15</f>
        <v>0.3472950362520914</v>
      </c>
      <c r="L19" s="511">
        <f>+([5]정관!$F$10*0.4+[5]정관!$F$11+[5]정관!$F$12+[5]정관!$F$13+[5]정관!$F$14)/[5]정관!$F$15</f>
        <v>0.25882967047494687</v>
      </c>
      <c r="M19" s="512">
        <f t="shared" si="2"/>
        <v>-8.8465365777144533E-2</v>
      </c>
      <c r="N19" s="451">
        <f>+[5]정관!$E$16</f>
        <v>795</v>
      </c>
      <c r="O19" s="452">
        <f>+[5]정관!$F$16</f>
        <v>777.05382536138131</v>
      </c>
      <c r="P19" s="188">
        <f t="shared" si="3"/>
        <v>-17.946174638618686</v>
      </c>
      <c r="Q19" s="451">
        <f>+[5]정관!$E$17</f>
        <v>920</v>
      </c>
      <c r="R19" s="452">
        <f>+[5]정관!$F$17</f>
        <v>935.8059113879425</v>
      </c>
      <c r="S19" s="188">
        <f t="shared" si="4"/>
        <v>15.805911387942501</v>
      </c>
      <c r="T19" s="513">
        <f>+[5]정관!$E$19</f>
        <v>3.0564300000000002</v>
      </c>
      <c r="U19" s="514">
        <f>+[5]정관!$F$19</f>
        <v>3.0523093195440105</v>
      </c>
      <c r="V19" s="515">
        <f t="shared" si="5"/>
        <v>-4.1206804559896781E-3</v>
      </c>
    </row>
    <row r="20" spans="4:22" ht="24" customHeight="1" x14ac:dyDescent="0.3">
      <c r="D20" s="450" t="s">
        <v>29</v>
      </c>
      <c r="E20" s="451">
        <f>+[5]양산!$E$9</f>
        <v>186.14883333333339</v>
      </c>
      <c r="F20" s="452">
        <f>+[5]양산!$F$9</f>
        <v>229.77265457740845</v>
      </c>
      <c r="G20" s="188">
        <f t="shared" si="0"/>
        <v>43.62382124407506</v>
      </c>
      <c r="H20" s="451">
        <f>+[5]양산!$E$15</f>
        <v>333.12840933333337</v>
      </c>
      <c r="I20" s="452">
        <f>+[5]양산!$F$15</f>
        <v>338.78289583000475</v>
      </c>
      <c r="J20" s="188">
        <f t="shared" si="1"/>
        <v>5.6544864966713817</v>
      </c>
      <c r="K20" s="510">
        <f>+([5]양산!$E$10*0.4+[5]양산!$E$11+[5]양산!$E$12+[5]양산!$E$13+[5]양산!$E$14)/[5]양산!$E$15</f>
        <v>0.42978208819392316</v>
      </c>
      <c r="L20" s="511">
        <f>+([5]양산!$F$10*0.4+[5]양산!$F$11+[5]양산!$F$12+[5]양산!$F$13+[5]양산!$F$14)/[5]양산!$F$15</f>
        <v>0.32177020326107525</v>
      </c>
      <c r="M20" s="512">
        <f t="shared" si="2"/>
        <v>-0.10801188493284791</v>
      </c>
      <c r="N20" s="451">
        <f>+[5]양산!$E$16</f>
        <v>783.08333333333337</v>
      </c>
      <c r="O20" s="452">
        <f>+[5]양산!$F$16</f>
        <v>744.45438568461418</v>
      </c>
      <c r="P20" s="188">
        <f t="shared" si="3"/>
        <v>-38.628947648719191</v>
      </c>
      <c r="Q20" s="451">
        <f>+[5]양산!$E$17</f>
        <v>921.7157533333334</v>
      </c>
      <c r="R20" s="452">
        <f>+[5]양산!$F$17</f>
        <v>917.92179261862952</v>
      </c>
      <c r="S20" s="188">
        <f t="shared" si="4"/>
        <v>-3.7939607147038714</v>
      </c>
      <c r="T20" s="513">
        <f>+[5]양산!$E$19</f>
        <v>2.4794363174999998</v>
      </c>
      <c r="U20" s="514">
        <f>+[5]양산!$F$19</f>
        <v>3.0667071417159293</v>
      </c>
      <c r="V20" s="515">
        <f t="shared" si="5"/>
        <v>0.58727082421592947</v>
      </c>
    </row>
    <row r="21" spans="4:22" ht="24" customHeight="1" x14ac:dyDescent="0.3">
      <c r="D21" s="450" t="s">
        <v>30</v>
      </c>
      <c r="E21" s="451">
        <f>+[5]창원!$E$9</f>
        <v>240.79999999999998</v>
      </c>
      <c r="F21" s="452">
        <f>+[5]창원!$F$9</f>
        <v>252.22952718518022</v>
      </c>
      <c r="G21" s="188">
        <f t="shared" si="0"/>
        <v>11.429527185180234</v>
      </c>
      <c r="H21" s="451">
        <f>+[5]창원!$E$15</f>
        <v>345.4</v>
      </c>
      <c r="I21" s="452">
        <f>+[5]창원!$F$15</f>
        <v>354.15213067611853</v>
      </c>
      <c r="J21" s="188">
        <f t="shared" si="1"/>
        <v>8.7521306761185542</v>
      </c>
      <c r="K21" s="510">
        <f>+([5]창원!$E$10*0.4+[5]창원!$E$11+[5]창원!$E$12+[5]창원!$E$13+[5]창원!$E$14)/[5]창원!$E$15</f>
        <v>0.30283729009843657</v>
      </c>
      <c r="L21" s="511">
        <f>+([5]창원!$F$10*0.4+[5]창원!$F$11+[5]창원!$F$12+[5]창원!$F$13+[5]창원!$F$14)/[5]창원!$F$15</f>
        <v>0.28779328052144137</v>
      </c>
      <c r="M21" s="512">
        <f t="shared" si="2"/>
        <v>-1.5044009576995199E-2</v>
      </c>
      <c r="N21" s="451">
        <f>+[5]창원!$E$16</f>
        <v>835.9</v>
      </c>
      <c r="O21" s="452">
        <f>+[5]창원!$F$16</f>
        <v>890.01003143182015</v>
      </c>
      <c r="P21" s="188">
        <f t="shared" si="3"/>
        <v>54.110031431820175</v>
      </c>
      <c r="Q21" s="451">
        <f>+[5]창원!$E$17</f>
        <v>880.19999999999993</v>
      </c>
      <c r="R21" s="452">
        <f>+[5]창원!$F$17</f>
        <v>855.01257272788087</v>
      </c>
      <c r="S21" s="188">
        <f t="shared" si="4"/>
        <v>-25.187427272119066</v>
      </c>
      <c r="T21" s="513">
        <f>+[5]창원!$E$19</f>
        <v>3.1</v>
      </c>
      <c r="U21" s="514">
        <f>+[5]창원!$F$19</f>
        <v>3.04064254664616</v>
      </c>
      <c r="V21" s="515">
        <f t="shared" si="5"/>
        <v>-5.9357453353840128E-2</v>
      </c>
    </row>
    <row r="22" spans="4:22" ht="24" customHeight="1" x14ac:dyDescent="0.3">
      <c r="D22" s="450" t="s">
        <v>95</v>
      </c>
      <c r="E22" s="451">
        <f>+[5]대구!$E$9</f>
        <v>204</v>
      </c>
      <c r="F22" s="452">
        <f>+[5]대구!$F$9</f>
        <v>222.42929109999287</v>
      </c>
      <c r="G22" s="188">
        <f t="shared" si="0"/>
        <v>18.429291099992867</v>
      </c>
      <c r="H22" s="451">
        <f>+[5]대구!$E$15</f>
        <v>340</v>
      </c>
      <c r="I22" s="452">
        <f>+[5]대구!$F$15</f>
        <v>353.0853484602917</v>
      </c>
      <c r="J22" s="188">
        <f t="shared" si="1"/>
        <v>13.085348460291698</v>
      </c>
      <c r="K22" s="510">
        <f>+([5]대구!$E$10*0.4+[5]대구!$E$11+[5]대구!$E$12+[5]대구!$E$13+[5]대구!$E$14)/[5]대구!$E$15</f>
        <v>0.4</v>
      </c>
      <c r="L22" s="511">
        <f>+([5]대구!$F$10*0.4+[5]대구!$F$11+[5]대구!$F$12+[5]대구!$F$13+[5]대구!$F$14)/[5]대구!$F$15</f>
        <v>0.37004100546809443</v>
      </c>
      <c r="M22" s="512">
        <f t="shared" si="2"/>
        <v>-2.9958994531905592E-2</v>
      </c>
      <c r="N22" s="451">
        <f>+[5]대구!$E$16</f>
        <v>771.29726976586358</v>
      </c>
      <c r="O22" s="452">
        <f>+[5]대구!$F$16</f>
        <v>722.14185046860712</v>
      </c>
      <c r="P22" s="188">
        <f t="shared" si="3"/>
        <v>-49.155419297256458</v>
      </c>
      <c r="Q22" s="451">
        <f>+[5]대구!$E$17</f>
        <v>942.69666304716668</v>
      </c>
      <c r="R22" s="452">
        <f>+[5]대구!$F$17</f>
        <v>972.57064336551355</v>
      </c>
      <c r="S22" s="188">
        <f t="shared" si="4"/>
        <v>29.873980318346867</v>
      </c>
      <c r="T22" s="513">
        <f>+[5]대구!$E$19</f>
        <v>2.72</v>
      </c>
      <c r="U22" s="514">
        <f>+[5]대구!$F$19</f>
        <v>3.2132196462546685</v>
      </c>
      <c r="V22" s="515">
        <f t="shared" si="5"/>
        <v>0.4932196462546683</v>
      </c>
    </row>
    <row r="23" spans="4:22" ht="24" customHeight="1" x14ac:dyDescent="0.3">
      <c r="D23" s="450" t="s">
        <v>97</v>
      </c>
      <c r="E23" s="451">
        <f>+[5]울산!$E$9</f>
        <v>224.3</v>
      </c>
      <c r="F23" s="452">
        <f>+[5]울산!$F$9</f>
        <v>222.33163939899842</v>
      </c>
      <c r="G23" s="188">
        <f t="shared" si="0"/>
        <v>-1.9683606010015922</v>
      </c>
      <c r="H23" s="451">
        <f>+[5]울산!$E$15</f>
        <v>356.40000000000003</v>
      </c>
      <c r="I23" s="452">
        <f>+[5]울산!$F$15</f>
        <v>367.49972370617701</v>
      </c>
      <c r="J23" s="188">
        <f t="shared" si="1"/>
        <v>11.099723706176974</v>
      </c>
      <c r="K23" s="510">
        <f>+([5]울산!$E$10*0.4+[5]울산!$E$11+[5]울산!$E$12+[5]울산!$E$13+[5]울산!$E$14)/[5]울산!$E$15</f>
        <v>0.37065095398428727</v>
      </c>
      <c r="L23" s="511">
        <f>+([5]울산!$F$10*0.4+[5]울산!$F$11+[5]울산!$F$12+[5]울산!$F$13+[5]울산!$F$14)/[5]울산!$F$15</f>
        <v>0.39501549237420158</v>
      </c>
      <c r="M23" s="512">
        <f t="shared" si="2"/>
        <v>2.4364538389914314E-2</v>
      </c>
      <c r="N23" s="451">
        <f>+[5]울산!$E$16</f>
        <v>730</v>
      </c>
      <c r="O23" s="452">
        <f>+[5]울산!$F$16</f>
        <v>781.67929883138572</v>
      </c>
      <c r="P23" s="188">
        <f t="shared" si="3"/>
        <v>51.679298831385722</v>
      </c>
      <c r="Q23" s="451">
        <f>+[5]울산!$E$17</f>
        <v>972</v>
      </c>
      <c r="R23" s="452">
        <f>+[5]울산!$F$17</f>
        <v>907.07796327212054</v>
      </c>
      <c r="S23" s="188">
        <f t="shared" si="4"/>
        <v>-64.922036727879458</v>
      </c>
      <c r="T23" s="513">
        <f>+[5]울산!$E$19</f>
        <v>3.2</v>
      </c>
      <c r="U23" s="514">
        <f>+[5]울산!$F$19</f>
        <v>2.8396494156928216</v>
      </c>
      <c r="V23" s="515">
        <f t="shared" si="5"/>
        <v>-0.36035058430717859</v>
      </c>
    </row>
    <row r="24" spans="4:22" ht="24" customHeight="1" x14ac:dyDescent="0.3">
      <c r="D24" s="485" t="s">
        <v>31</v>
      </c>
      <c r="E24" s="454">
        <f>+[5]아산!$E$9</f>
        <v>247.352</v>
      </c>
      <c r="F24" s="455">
        <f>+[5]아산!$F$9</f>
        <v>300.9945658553429</v>
      </c>
      <c r="G24" s="456">
        <f t="shared" si="0"/>
        <v>53.642565855342895</v>
      </c>
      <c r="H24" s="454">
        <f>+[5]아산!$E$15</f>
        <v>363.8288</v>
      </c>
      <c r="I24" s="455">
        <f>+[5]아산!$F$15</f>
        <v>383.64511047816353</v>
      </c>
      <c r="J24" s="456">
        <f t="shared" si="1"/>
        <v>19.81631047816353</v>
      </c>
      <c r="K24" s="516">
        <f>+([5]아산!$E$10*0.4+[5]아산!$E$11+[5]아산!$E$12+[5]아산!$E$13+[5]아산!$E$14)/[5]아산!$E$15</f>
        <v>0.26607283425611167</v>
      </c>
      <c r="L24" s="517">
        <f>+([5]아산!$F$10*0.4+[5]아산!$F$11+[5]아산!$F$12+[5]아산!$F$13+[5]아산!$F$14)/[5]아산!$F$15</f>
        <v>0.19510946948390251</v>
      </c>
      <c r="M24" s="518">
        <f t="shared" si="2"/>
        <v>-7.0963364772209159E-2</v>
      </c>
      <c r="N24" s="454">
        <f>+[5]아산!$E$16</f>
        <v>854.6167999999999</v>
      </c>
      <c r="O24" s="455">
        <f>+[5]아산!$F$16</f>
        <v>907.28357500431582</v>
      </c>
      <c r="P24" s="456">
        <f t="shared" si="3"/>
        <v>52.666775004315923</v>
      </c>
      <c r="Q24" s="454">
        <f>+[5]아산!$E$17</f>
        <v>862.32240000000002</v>
      </c>
      <c r="R24" s="455">
        <f>+[5]아산!$F$17</f>
        <v>870.68940963231546</v>
      </c>
      <c r="S24" s="456">
        <f t="shared" si="4"/>
        <v>8.3670096323154439</v>
      </c>
      <c r="T24" s="519">
        <f>+[5]아산!$E$19</f>
        <v>3.0217759999999996</v>
      </c>
      <c r="U24" s="520">
        <f>+[5]아산!$F$19</f>
        <v>3.0430994303469712</v>
      </c>
      <c r="V24" s="521">
        <f t="shared" si="5"/>
        <v>2.1323430346971595E-2</v>
      </c>
    </row>
    <row r="25" spans="4:22" ht="24" customHeight="1" x14ac:dyDescent="0.3">
      <c r="D25" s="450" t="s">
        <v>34</v>
      </c>
      <c r="E25" s="451">
        <f>+[5]전주!$E$9</f>
        <v>235.19</v>
      </c>
      <c r="F25" s="452">
        <f>+[5]전주!$F$9</f>
        <v>213.01658936149212</v>
      </c>
      <c r="G25" s="188">
        <f t="shared" si="0"/>
        <v>-22.173410638507875</v>
      </c>
      <c r="H25" s="451">
        <f>+[5]전주!$E$15</f>
        <v>338.40000000000003</v>
      </c>
      <c r="I25" s="452">
        <f>+[5]전주!$F$15</f>
        <v>342.35510115464325</v>
      </c>
      <c r="J25" s="188">
        <f t="shared" si="1"/>
        <v>3.9551011546432164</v>
      </c>
      <c r="K25" s="510">
        <f>+([5]전주!$E$10*0.4+[5]전주!$E$11+[5]전주!$E$12+[5]전주!$E$13+[5]전주!$E$14)/[5]전주!$E$15</f>
        <v>0.28134160756501181</v>
      </c>
      <c r="L25" s="511">
        <f>+([5]전주!$F$10*0.4+[5]전주!$F$11+[5]전주!$F$12+[5]전주!$F$13+[5]전주!$F$14)/[5]전주!$F$15</f>
        <v>0.29032703108991104</v>
      </c>
      <c r="M25" s="512">
        <f t="shared" si="2"/>
        <v>8.9854235248992276E-3</v>
      </c>
      <c r="N25" s="451">
        <f>+[5]전주!$E$16</f>
        <v>764.82</v>
      </c>
      <c r="O25" s="452">
        <f>+[5]전주!$F$16</f>
        <v>601.69199644725154</v>
      </c>
      <c r="P25" s="188">
        <f t="shared" si="3"/>
        <v>-163.12800355274851</v>
      </c>
      <c r="Q25" s="451">
        <f>+[5]전주!$E$17</f>
        <v>979.78000000000009</v>
      </c>
      <c r="R25" s="452">
        <f>+[5]전주!$F$17</f>
        <v>1137.7795322214549</v>
      </c>
      <c r="S25" s="188">
        <f t="shared" si="4"/>
        <v>157.99953222145484</v>
      </c>
      <c r="T25" s="513">
        <f>+[5]전주!$E$19</f>
        <v>2.83</v>
      </c>
      <c r="U25" s="514">
        <f>+[5]전주!$F$19</f>
        <v>2.7977894009671358</v>
      </c>
      <c r="V25" s="515">
        <f t="shared" si="5"/>
        <v>-3.2210599032864273E-2</v>
      </c>
    </row>
    <row r="26" spans="4:22" ht="24" customHeight="1" x14ac:dyDescent="0.3">
      <c r="D26" s="450" t="s">
        <v>33</v>
      </c>
      <c r="E26" s="451">
        <f>+[5]군산!$E$9</f>
        <v>214.5</v>
      </c>
      <c r="F26" s="452">
        <f>+[5]군산!$F$9</f>
        <v>241.29561220597594</v>
      </c>
      <c r="G26" s="188">
        <f t="shared" si="0"/>
        <v>26.795612205975942</v>
      </c>
      <c r="H26" s="451">
        <f>+[5]군산!$E$15</f>
        <v>341</v>
      </c>
      <c r="I26" s="452">
        <f>+[5]군산!$F$15</f>
        <v>353.80801780038149</v>
      </c>
      <c r="J26" s="188">
        <f t="shared" si="1"/>
        <v>12.808017800381492</v>
      </c>
      <c r="K26" s="510">
        <f>+([5]군산!$E$10*0.4+[5]군산!$E$11+[5]군산!$E$12+[5]군산!$E$13+[5]군산!$E$14)/[5]군산!$E$15</f>
        <v>0.34633431085043986</v>
      </c>
      <c r="L26" s="511">
        <f>+([5]군산!$F$10*0.4+[5]군산!$F$11+[5]군산!$F$12+[5]군산!$F$13+[5]군산!$F$14)/[5]군산!$F$15</f>
        <v>0.25438173311427603</v>
      </c>
      <c r="M26" s="512">
        <f t="shared" si="2"/>
        <v>-9.1952577736163832E-2</v>
      </c>
      <c r="N26" s="451">
        <f>+[5]군산!$E$16</f>
        <v>785</v>
      </c>
      <c r="O26" s="452">
        <f>+[5]군산!$F$16</f>
        <v>796.18308963763479</v>
      </c>
      <c r="P26" s="188">
        <f t="shared" si="3"/>
        <v>11.183089637634794</v>
      </c>
      <c r="Q26" s="451">
        <f>+[5]군산!$E$17</f>
        <v>935</v>
      </c>
      <c r="R26" s="452">
        <f>+[5]군산!$F$17</f>
        <v>911.92434837889391</v>
      </c>
      <c r="S26" s="188">
        <f t="shared" si="4"/>
        <v>-23.07565162110609</v>
      </c>
      <c r="T26" s="513">
        <f>+[5]군산!$E$19</f>
        <v>2.84</v>
      </c>
      <c r="U26" s="514">
        <f>+[5]군산!$F$19</f>
        <v>2.9259376986649706</v>
      </c>
      <c r="V26" s="515">
        <f t="shared" si="5"/>
        <v>8.5937698664970696E-2</v>
      </c>
    </row>
    <row r="27" spans="4:22" ht="24" customHeight="1" x14ac:dyDescent="0.3">
      <c r="D27" s="450" t="s">
        <v>32</v>
      </c>
      <c r="E27" s="451">
        <f>+[5]원주!$E$9</f>
        <v>259.89999999999998</v>
      </c>
      <c r="F27" s="452">
        <f>+[5]원주!$F$9</f>
        <v>270.28774771412583</v>
      </c>
      <c r="G27" s="188">
        <f t="shared" si="0"/>
        <v>10.387747714125851</v>
      </c>
      <c r="H27" s="451">
        <f>+[5]원주!$E$15</f>
        <v>343.49999999999994</v>
      </c>
      <c r="I27" s="452">
        <f>+[5]원주!$F$15</f>
        <v>356.2689065124091</v>
      </c>
      <c r="J27" s="188">
        <f t="shared" si="1"/>
        <v>12.76890651240916</v>
      </c>
      <c r="K27" s="510">
        <f>+([5]원주!$E$10*0.4+[5]원주!$E$11+[5]원주!$E$12+[5]원주!$E$13+[5]원주!$E$14)/[5]원주!$E$15</f>
        <v>0.24337700145560409</v>
      </c>
      <c r="L27" s="511">
        <f>+([5]원주!$F$10*0.4+[5]원주!$F$11+[5]원주!$F$12+[5]원주!$F$13+[5]원주!$F$14)/[5]원주!$F$15</f>
        <v>0.24133781317031233</v>
      </c>
      <c r="M27" s="512">
        <f t="shared" si="2"/>
        <v>-2.0391882852917598E-3</v>
      </c>
      <c r="N27" s="451">
        <f>+[5]원주!$E$16</f>
        <v>816</v>
      </c>
      <c r="O27" s="452">
        <f>+[5]원주!$F$16</f>
        <v>932.7710393730174</v>
      </c>
      <c r="P27" s="188">
        <f t="shared" si="3"/>
        <v>116.7710393730174</v>
      </c>
      <c r="Q27" s="451">
        <f>+[5]원주!$E$17</f>
        <v>953.3</v>
      </c>
      <c r="R27" s="452">
        <f>+[5]원주!$F$17</f>
        <v>844.44485911550623</v>
      </c>
      <c r="S27" s="188">
        <f t="shared" si="4"/>
        <v>-108.85514088449372</v>
      </c>
      <c r="T27" s="513">
        <f>+[5]원주!$E$19</f>
        <v>2.871</v>
      </c>
      <c r="U27" s="514">
        <f>+[5]원주!$F$19</f>
        <v>3.0483765627915638</v>
      </c>
      <c r="V27" s="515">
        <f t="shared" si="5"/>
        <v>0.17737656279156377</v>
      </c>
    </row>
    <row r="28" spans="4:22" ht="24" customHeight="1" x14ac:dyDescent="0.3">
      <c r="D28" s="499" t="s">
        <v>35</v>
      </c>
      <c r="E28" s="522">
        <f>+[5]제주!$E$9</f>
        <v>345</v>
      </c>
      <c r="F28" s="523">
        <f>+[5]제주!$F$9</f>
        <v>209.46789186625563</v>
      </c>
      <c r="G28" s="197">
        <f t="shared" si="0"/>
        <v>-135.53210813374437</v>
      </c>
      <c r="H28" s="522">
        <f>+[5]제주!$E$15</f>
        <v>345</v>
      </c>
      <c r="I28" s="523">
        <f>+[5]제주!$F$15</f>
        <v>308.8717382025136</v>
      </c>
      <c r="J28" s="197">
        <f t="shared" si="1"/>
        <v>-36.128261797486402</v>
      </c>
      <c r="K28" s="524">
        <f>+([5]제주!$E$10*0.4+[5]제주!$E$11+[5]제주!$E$12+[5]제주!$E$13+[5]제주!$E$14)/[5]제주!$E$15</f>
        <v>0</v>
      </c>
      <c r="L28" s="525">
        <f>+([5]제주!$F$10*0.4+[5]제주!$F$11+[5]제주!$F$12+[5]제주!$F$13+[5]제주!$F$14)/[5]제주!$F$15</f>
        <v>0.12873155299314987</v>
      </c>
      <c r="M28" s="526">
        <f t="shared" si="2"/>
        <v>0.12873155299314987</v>
      </c>
      <c r="N28" s="522">
        <f>+[5]제주!$E$16</f>
        <v>709.9</v>
      </c>
      <c r="O28" s="523">
        <f>+[5]제주!$F$16</f>
        <v>672.75551339815047</v>
      </c>
      <c r="P28" s="197">
        <f t="shared" si="3"/>
        <v>-37.144486601849508</v>
      </c>
      <c r="Q28" s="522">
        <f>+[5]제주!$E$17</f>
        <v>1036.3</v>
      </c>
      <c r="R28" s="523">
        <f>+[5]제주!$F$17</f>
        <v>996.05406687218385</v>
      </c>
      <c r="S28" s="197">
        <f t="shared" si="4"/>
        <v>-40.245933127816102</v>
      </c>
      <c r="T28" s="527">
        <f>+[5]제주!$E$19</f>
        <v>3.06</v>
      </c>
      <c r="U28" s="528">
        <f>+[5]제주!$F$19</f>
        <v>3.0495944984586187</v>
      </c>
      <c r="V28" s="529">
        <f t="shared" si="5"/>
        <v>-1.0405501541381312E-2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 codeName="Sheet9">
    <tabColor theme="1" tint="0.249977111117893"/>
    <pageSetUpPr fitToPage="1"/>
  </sheetPr>
  <dimension ref="D3:AM55"/>
  <sheetViews>
    <sheetView showGridLines="0" view="pageBreakPreview" topLeftCell="A4" zoomScale="60" zoomScaleNormal="70" workbookViewId="0">
      <pane ySplit="6" topLeftCell="A10" activePane="bottomLeft" state="frozenSplit"/>
      <selection pane="bottomLeft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3" t="s">
        <v>247</v>
      </c>
      <c r="F6" s="183"/>
      <c r="G6" s="183"/>
      <c r="H6" s="183"/>
      <c r="I6" s="183"/>
      <c r="J6" s="183"/>
      <c r="K6" s="183"/>
      <c r="L6" s="183"/>
      <c r="M6" s="183"/>
    </row>
    <row r="7" spans="4:17" ht="21.95" customHeight="1" thickBot="1" x14ac:dyDescent="0.35">
      <c r="D7" s="184"/>
      <c r="O7" s="185" t="s">
        <v>76</v>
      </c>
    </row>
    <row r="8" spans="4:17" ht="25.5" customHeight="1" thickTop="1" x14ac:dyDescent="0.3">
      <c r="D8" s="842" t="s">
        <v>11</v>
      </c>
      <c r="E8" s="843"/>
      <c r="F8" s="852" t="s">
        <v>238</v>
      </c>
      <c r="G8" s="853"/>
      <c r="H8" s="853"/>
      <c r="I8" s="853"/>
      <c r="J8" s="854"/>
      <c r="K8" s="810" t="s">
        <v>248</v>
      </c>
      <c r="L8" s="810"/>
      <c r="M8" s="810"/>
      <c r="N8" s="810"/>
      <c r="O8" s="813"/>
      <c r="P8" s="186"/>
      <c r="Q8" s="186"/>
    </row>
    <row r="9" spans="4:17" ht="25.5" customHeight="1" x14ac:dyDescent="0.3">
      <c r="D9" s="844"/>
      <c r="E9" s="845"/>
      <c r="F9" s="568" t="s">
        <v>12</v>
      </c>
      <c r="G9" s="357" t="s">
        <v>13</v>
      </c>
      <c r="H9" s="366" t="s">
        <v>71</v>
      </c>
      <c r="I9" s="357" t="s">
        <v>14</v>
      </c>
      <c r="J9" s="569" t="s">
        <v>72</v>
      </c>
      <c r="K9" s="366" t="s">
        <v>12</v>
      </c>
      <c r="L9" s="357" t="s">
        <v>13</v>
      </c>
      <c r="M9" s="366" t="s">
        <v>71</v>
      </c>
      <c r="N9" s="357" t="s">
        <v>14</v>
      </c>
      <c r="O9" s="367" t="s">
        <v>72</v>
      </c>
      <c r="P9" s="186"/>
      <c r="Q9" s="186"/>
    </row>
    <row r="10" spans="4:17" ht="25.5" customHeight="1" x14ac:dyDescent="0.3">
      <c r="D10" s="71" t="s">
        <v>110</v>
      </c>
      <c r="E10" s="90" t="s">
        <v>86</v>
      </c>
      <c r="F10" s="570">
        <f>+IFERROR(HLOOKUP($F$8,[13]손익!$G$5:$AI$63,2,),)</f>
        <v>6500</v>
      </c>
      <c r="G10" s="358">
        <f>+'[7]9월'!$G$8</f>
        <v>7354.6280000000006</v>
      </c>
      <c r="H10" s="203">
        <f>+G10-F10</f>
        <v>854.62800000000061</v>
      </c>
      <c r="I10" s="358">
        <f>+IFERROR(HLOOKUP($F$8,[8]월별!$E$2:$T$53,2,),)</f>
        <v>6990.5029999999997</v>
      </c>
      <c r="J10" s="571">
        <f>+G10-I10</f>
        <v>364.12500000000091</v>
      </c>
      <c r="K10" s="203">
        <f>+F10+[4]건자재!K10</f>
        <v>63300</v>
      </c>
      <c r="L10" s="358">
        <f>+G10+[4]건자재!L10</f>
        <v>77967.343999999997</v>
      </c>
      <c r="M10" s="203">
        <f>+L10-K10</f>
        <v>14667.343999999997</v>
      </c>
      <c r="N10" s="358">
        <f>+I10+[4]건자재!N10</f>
        <v>69555.719000000012</v>
      </c>
      <c r="O10" s="351">
        <f>+L10-N10</f>
        <v>8411.6249999999854</v>
      </c>
      <c r="P10" s="77"/>
      <c r="Q10" s="77"/>
    </row>
    <row r="11" spans="4:17" ht="25.5" customHeight="1" x14ac:dyDescent="0.3">
      <c r="D11" s="72" t="s">
        <v>21</v>
      </c>
      <c r="E11" s="356" t="s">
        <v>122</v>
      </c>
      <c r="F11" s="572">
        <f>+F12/F10*1000</f>
        <v>977692.30769230775</v>
      </c>
      <c r="G11" s="359">
        <f t="shared" ref="G11" si="0">+G12/G10*1000</f>
        <v>879572.42936012533</v>
      </c>
      <c r="H11" s="213">
        <f t="shared" ref="H11:H28" si="1">+G11-F11</f>
        <v>-98119.878332182416</v>
      </c>
      <c r="I11" s="359">
        <f>+I12/I10*1000</f>
        <v>1007624.1816933632</v>
      </c>
      <c r="J11" s="573">
        <f t="shared" ref="J11:J28" si="2">+G11-I11</f>
        <v>-128051.75233323791</v>
      </c>
      <c r="K11" s="213">
        <f>+K12/K10*1000</f>
        <v>977014.21800947865</v>
      </c>
      <c r="L11" s="359">
        <f>+L12/L10*1000</f>
        <v>836183.62807126029</v>
      </c>
      <c r="M11" s="213">
        <f t="shared" ref="M11:M28" si="3">+L11-K11</f>
        <v>-140830.58993821836</v>
      </c>
      <c r="N11" s="359">
        <f>+N12/N10*1000</f>
        <v>1034402.2941664939</v>
      </c>
      <c r="O11" s="211">
        <f t="shared" ref="O11:O28" si="4">+L11-N11</f>
        <v>-198218.66609523364</v>
      </c>
      <c r="P11" s="77"/>
      <c r="Q11" s="77"/>
    </row>
    <row r="12" spans="4:17" ht="25.5" customHeight="1" x14ac:dyDescent="0.3">
      <c r="D12" s="187" t="s">
        <v>77</v>
      </c>
      <c r="E12" s="91" t="s">
        <v>122</v>
      </c>
      <c r="F12" s="417">
        <f>+IFERROR(HLOOKUP($F$8,[13]손익!$G$5:$AI$63,22,),)</f>
        <v>6355000</v>
      </c>
      <c r="G12" s="360">
        <f>+'[7]9월'!$G$9</f>
        <v>6468928.017</v>
      </c>
      <c r="H12" s="195">
        <f t="shared" si="1"/>
        <v>113928.01699999999</v>
      </c>
      <c r="I12" s="360">
        <f>+IFERROR(HLOOKUP($F$8,[8]월별!$E$2:$T$53,5,),)</f>
        <v>7043799.8650000002</v>
      </c>
      <c r="J12" s="418">
        <f t="shared" si="2"/>
        <v>-574871.84800000023</v>
      </c>
      <c r="K12" s="195">
        <f>+F12+[4]건자재!K12</f>
        <v>61845000</v>
      </c>
      <c r="L12" s="360">
        <f>+G12+[4]건자재!L12</f>
        <v>65195016.577000007</v>
      </c>
      <c r="M12" s="195">
        <f t="shared" si="3"/>
        <v>3350016.577000007</v>
      </c>
      <c r="N12" s="360">
        <f>+I12+[4]건자재!N12</f>
        <v>71948595.305999994</v>
      </c>
      <c r="O12" s="218">
        <f t="shared" si="4"/>
        <v>-6753578.7289999872</v>
      </c>
      <c r="P12" s="77"/>
      <c r="Q12" s="77"/>
    </row>
    <row r="13" spans="4:17" ht="25.5" customHeight="1" x14ac:dyDescent="0.3">
      <c r="D13" s="187"/>
      <c r="E13" s="92" t="s">
        <v>123</v>
      </c>
      <c r="F13" s="574">
        <f>+IFERROR(HLOOKUP($F$8,[13]손익!$G$5:$AI$63,23,),)</f>
        <v>1591920.0000000009</v>
      </c>
      <c r="G13" s="361">
        <f>+'[7]9월'!$J$9</f>
        <v>1251897.8439999996</v>
      </c>
      <c r="H13" s="205">
        <f t="shared" si="1"/>
        <v>-340022.15600000136</v>
      </c>
      <c r="I13" s="361">
        <f>+IFERROR(HLOOKUP($F$8,[8]월별!$E$2:$T$53,6,),)</f>
        <v>2351420.6799999997</v>
      </c>
      <c r="J13" s="575">
        <f t="shared" si="2"/>
        <v>-1099522.8360000001</v>
      </c>
      <c r="K13" s="205">
        <f>+F13+[4]건자재!K13</f>
        <v>15568543.157894742</v>
      </c>
      <c r="L13" s="361">
        <f>+G13+[4]건자재!L13</f>
        <v>12737374.479999997</v>
      </c>
      <c r="M13" s="205">
        <f t="shared" si="3"/>
        <v>-2831168.677894745</v>
      </c>
      <c r="N13" s="361">
        <f>+I13+[4]건자재!N13</f>
        <v>13078088.466999998</v>
      </c>
      <c r="O13" s="352">
        <f t="shared" si="4"/>
        <v>-340713.98700000159</v>
      </c>
      <c r="P13" s="77"/>
      <c r="Q13" s="77"/>
    </row>
    <row r="14" spans="4:17" ht="25.5" customHeight="1" x14ac:dyDescent="0.3">
      <c r="D14" s="187"/>
      <c r="E14" s="94" t="s">
        <v>58</v>
      </c>
      <c r="F14" s="415">
        <f>SUM(F12:F13)</f>
        <v>7946920.0000000009</v>
      </c>
      <c r="G14" s="362">
        <f>SUM(G12:G13)</f>
        <v>7720825.8609999996</v>
      </c>
      <c r="H14" s="204">
        <f t="shared" si="1"/>
        <v>-226094.13900000136</v>
      </c>
      <c r="I14" s="362">
        <f>SUM(I12:I13)</f>
        <v>9395220.5449999999</v>
      </c>
      <c r="J14" s="416">
        <f t="shared" si="2"/>
        <v>-1674394.6840000004</v>
      </c>
      <c r="K14" s="204">
        <f>SUM(K12:K13)</f>
        <v>77413543.157894745</v>
      </c>
      <c r="L14" s="362">
        <f>SUM(L12:L13)</f>
        <v>77932391.057000011</v>
      </c>
      <c r="M14" s="204">
        <f t="shared" si="3"/>
        <v>518847.89910526574</v>
      </c>
      <c r="N14" s="362">
        <f>SUM(N12:N13)</f>
        <v>85026683.772999987</v>
      </c>
      <c r="O14" s="221">
        <f t="shared" si="4"/>
        <v>-7094292.7159999758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0">
        <f>+IFERROR(HLOOKUP($F$8,[13]손익!$G$5:$AI$63,25,),)</f>
        <v>6206940</v>
      </c>
      <c r="G15" s="358">
        <f>+'[7]9월'!$G$11</f>
        <v>6356016.352</v>
      </c>
      <c r="H15" s="203">
        <f t="shared" si="1"/>
        <v>149076.35199999996</v>
      </c>
      <c r="I15" s="358">
        <f>+IFERROR(HLOOKUP($F$8,[8]월별!$E$2:$T$53,8,),)</f>
        <v>6942139.2149999999</v>
      </c>
      <c r="J15" s="571">
        <f t="shared" si="2"/>
        <v>-586122.8629999999</v>
      </c>
      <c r="K15" s="203">
        <f>+F15+[4]건자재!K15</f>
        <v>60406035</v>
      </c>
      <c r="L15" s="358">
        <f>+G15+[4]건자재!L15</f>
        <v>63812818.318000004</v>
      </c>
      <c r="M15" s="203">
        <f t="shared" si="3"/>
        <v>3406783.3180000037</v>
      </c>
      <c r="N15" s="358">
        <f>+I15+[4]건자재!N15</f>
        <v>70504400.975999996</v>
      </c>
      <c r="O15" s="351">
        <f t="shared" si="4"/>
        <v>-6691582.6579999924</v>
      </c>
      <c r="P15" s="77"/>
      <c r="Q15" s="77"/>
    </row>
    <row r="16" spans="4:17" ht="25.5" customHeight="1" x14ac:dyDescent="0.3">
      <c r="D16" s="187"/>
      <c r="E16" s="92" t="s">
        <v>123</v>
      </c>
      <c r="F16" s="574">
        <f>+IFERROR(HLOOKUP($F$8,[13]손익!$G$5:$AI$63,26,),)</f>
        <v>1536553.0223999992</v>
      </c>
      <c r="G16" s="361">
        <f>+'[7]9월'!$J$11</f>
        <v>1219178.892</v>
      </c>
      <c r="H16" s="205">
        <f t="shared" si="1"/>
        <v>-317374.13039999921</v>
      </c>
      <c r="I16" s="361">
        <f>+IFERROR(HLOOKUP($F$8,[8]월별!$E$2:$T$53,9,),)</f>
        <v>2295822.2249999996</v>
      </c>
      <c r="J16" s="575">
        <f t="shared" si="2"/>
        <v>-1076643.3329999996</v>
      </c>
      <c r="K16" s="205">
        <f>+F16+[4]건자재!K16</f>
        <v>15027069.226863153</v>
      </c>
      <c r="L16" s="361">
        <f>+G16+[4]건자재!L16</f>
        <v>12419165.838000003</v>
      </c>
      <c r="M16" s="205">
        <f t="shared" si="3"/>
        <v>-2607903.38886315</v>
      </c>
      <c r="N16" s="361">
        <f>+I16+[4]건자재!N16</f>
        <v>12756512.234999998</v>
      </c>
      <c r="O16" s="352">
        <f t="shared" si="4"/>
        <v>-337346.39699999429</v>
      </c>
      <c r="P16" s="77"/>
      <c r="Q16" s="77"/>
    </row>
    <row r="17" spans="4:17" ht="25.5" customHeight="1" x14ac:dyDescent="0.3">
      <c r="D17" s="72"/>
      <c r="E17" s="368" t="s">
        <v>43</v>
      </c>
      <c r="F17" s="576">
        <f>SUM(F15:F16)</f>
        <v>7743493.0223999992</v>
      </c>
      <c r="G17" s="369">
        <f>SUM(G15:G16)</f>
        <v>7575195.2439999999</v>
      </c>
      <c r="H17" s="370">
        <f t="shared" si="1"/>
        <v>-168297.77839999925</v>
      </c>
      <c r="I17" s="369">
        <f>SUM(I15:I16)</f>
        <v>9237961.4399999995</v>
      </c>
      <c r="J17" s="577">
        <f t="shared" si="2"/>
        <v>-1662766.1959999995</v>
      </c>
      <c r="K17" s="370">
        <f>SUM(K15:K16)</f>
        <v>75433104.226863146</v>
      </c>
      <c r="L17" s="369">
        <f>SUM(L15:L16)</f>
        <v>76231984.156000003</v>
      </c>
      <c r="M17" s="370">
        <f t="shared" si="3"/>
        <v>798879.92913685739</v>
      </c>
      <c r="N17" s="369">
        <f>SUM(N15:N16)</f>
        <v>83260913.210999995</v>
      </c>
      <c r="O17" s="371">
        <f t="shared" si="4"/>
        <v>-7028929.0549999923</v>
      </c>
      <c r="P17" s="77"/>
      <c r="Q17" s="77"/>
    </row>
    <row r="18" spans="4:17" ht="25.5" customHeight="1" x14ac:dyDescent="0.3">
      <c r="D18" s="187" t="s">
        <v>18</v>
      </c>
      <c r="E18" s="91" t="s">
        <v>122</v>
      </c>
      <c r="F18" s="417">
        <f>+F12-F15</f>
        <v>148060</v>
      </c>
      <c r="G18" s="360">
        <f>+G12-G15</f>
        <v>112911.66500000004</v>
      </c>
      <c r="H18" s="195">
        <f t="shared" si="1"/>
        <v>-35148.334999999963</v>
      </c>
      <c r="I18" s="360">
        <f>+I12-I15</f>
        <v>101660.65000000037</v>
      </c>
      <c r="J18" s="418">
        <f t="shared" si="2"/>
        <v>11251.014999999665</v>
      </c>
      <c r="K18" s="195">
        <f>+K12-K15</f>
        <v>1438965</v>
      </c>
      <c r="L18" s="360">
        <f>+L12-L15</f>
        <v>1382198.2590000033</v>
      </c>
      <c r="M18" s="195">
        <f t="shared" si="3"/>
        <v>-56766.740999996662</v>
      </c>
      <c r="N18" s="360">
        <f>+N12-N15</f>
        <v>1444194.3299999982</v>
      </c>
      <c r="O18" s="218">
        <f t="shared" si="4"/>
        <v>-61996.070999994874</v>
      </c>
      <c r="P18" s="77"/>
      <c r="Q18" s="77"/>
    </row>
    <row r="19" spans="4:17" ht="25.5" customHeight="1" x14ac:dyDescent="0.3">
      <c r="D19" s="187"/>
      <c r="E19" s="193" t="s">
        <v>9</v>
      </c>
      <c r="F19" s="578">
        <f>+F18/F12</f>
        <v>2.3298190401258852E-2</v>
      </c>
      <c r="G19" s="363">
        <f>+G18/G12</f>
        <v>1.7454463042914401E-2</v>
      </c>
      <c r="H19" s="196">
        <f t="shared" si="1"/>
        <v>-5.8437273583444513E-3</v>
      </c>
      <c r="I19" s="363">
        <f>+I18/I12</f>
        <v>1.4432643168234078E-2</v>
      </c>
      <c r="J19" s="579">
        <f t="shared" si="2"/>
        <v>3.0218198746803232E-3</v>
      </c>
      <c r="K19" s="196">
        <f>+K18/K12</f>
        <v>2.3267281105990783E-2</v>
      </c>
      <c r="L19" s="363">
        <f>+L18/L12</f>
        <v>2.1200980252340726E-2</v>
      </c>
      <c r="M19" s="196">
        <f t="shared" si="3"/>
        <v>-2.066300853650057E-3</v>
      </c>
      <c r="N19" s="363">
        <f>+N18/N12</f>
        <v>2.0072585487705314E-2</v>
      </c>
      <c r="O19" s="353">
        <f t="shared" si="4"/>
        <v>1.1283947646354119E-3</v>
      </c>
      <c r="P19" s="77"/>
      <c r="Q19" s="77"/>
    </row>
    <row r="20" spans="4:17" ht="25.5" customHeight="1" x14ac:dyDescent="0.3">
      <c r="D20" s="187"/>
      <c r="E20" s="93" t="s">
        <v>123</v>
      </c>
      <c r="F20" s="415">
        <f>+F13-F16</f>
        <v>55366.97760000173</v>
      </c>
      <c r="G20" s="362">
        <f>+G13-G16</f>
        <v>32718.951999999583</v>
      </c>
      <c r="H20" s="204">
        <f t="shared" si="1"/>
        <v>-22648.025600002147</v>
      </c>
      <c r="I20" s="362">
        <f>+I13-I16</f>
        <v>55598.455000000075</v>
      </c>
      <c r="J20" s="416">
        <f t="shared" si="2"/>
        <v>-22879.503000000492</v>
      </c>
      <c r="K20" s="204">
        <f>+K13-K16</f>
        <v>541473.93103158846</v>
      </c>
      <c r="L20" s="362">
        <f>+L13-L16</f>
        <v>318208.64199999347</v>
      </c>
      <c r="M20" s="204">
        <f t="shared" si="3"/>
        <v>-223265.28903159499</v>
      </c>
      <c r="N20" s="362">
        <f>+N13-N16</f>
        <v>321576.23200000077</v>
      </c>
      <c r="O20" s="221">
        <f t="shared" si="4"/>
        <v>-3367.5900000073016</v>
      </c>
      <c r="P20" s="77"/>
      <c r="Q20" s="77"/>
    </row>
    <row r="21" spans="4:17" ht="25.5" customHeight="1" x14ac:dyDescent="0.3">
      <c r="D21" s="187"/>
      <c r="E21" s="194" t="s">
        <v>9</v>
      </c>
      <c r="F21" s="580">
        <f>+F20/F13</f>
        <v>3.4780000000001067E-2</v>
      </c>
      <c r="G21" s="364">
        <f>+G20/G13</f>
        <v>2.6135480747740303E-2</v>
      </c>
      <c r="H21" s="206">
        <f t="shared" si="1"/>
        <v>-8.6445192522607642E-3</v>
      </c>
      <c r="I21" s="364">
        <f>+I20/I13</f>
        <v>2.3644622790338E-2</v>
      </c>
      <c r="J21" s="581">
        <f t="shared" si="2"/>
        <v>2.4908579574023024E-3</v>
      </c>
      <c r="K21" s="206">
        <f>+K20/K13</f>
        <v>3.4780000000000602E-2</v>
      </c>
      <c r="L21" s="364">
        <f>+L20/L13</f>
        <v>2.4982278922523565E-2</v>
      </c>
      <c r="M21" s="206">
        <f t="shared" si="3"/>
        <v>-9.7977210774770375E-3</v>
      </c>
      <c r="N21" s="364">
        <f>+N20/N13</f>
        <v>2.4588932305469227E-2</v>
      </c>
      <c r="O21" s="354">
        <f t="shared" si="4"/>
        <v>3.9334661705433746E-4</v>
      </c>
      <c r="P21" s="77"/>
      <c r="Q21" s="77"/>
    </row>
    <row r="22" spans="4:17" ht="25.5" customHeight="1" x14ac:dyDescent="0.3">
      <c r="D22" s="187"/>
      <c r="E22" s="94" t="s">
        <v>58</v>
      </c>
      <c r="F22" s="415">
        <f>SUM(F18,F20)</f>
        <v>203426.97760000173</v>
      </c>
      <c r="G22" s="362">
        <f>SUM(G18,G20)</f>
        <v>145630.61699999962</v>
      </c>
      <c r="H22" s="204">
        <f t="shared" si="1"/>
        <v>-57796.36060000211</v>
      </c>
      <c r="I22" s="362">
        <f>SUM(I18,I20)</f>
        <v>157259.10500000045</v>
      </c>
      <c r="J22" s="416">
        <f t="shared" si="2"/>
        <v>-11628.488000000827</v>
      </c>
      <c r="K22" s="204">
        <f>+K14-K17</f>
        <v>1980438.9310315996</v>
      </c>
      <c r="L22" s="362">
        <f>+L14-L17</f>
        <v>1700406.901000008</v>
      </c>
      <c r="M22" s="204">
        <f t="shared" si="3"/>
        <v>-280032.03003159165</v>
      </c>
      <c r="N22" s="362">
        <f>+N14-N17</f>
        <v>1765770.5619999915</v>
      </c>
      <c r="O22" s="221">
        <f t="shared" si="4"/>
        <v>-65363.660999983549</v>
      </c>
      <c r="P22" s="77"/>
      <c r="Q22" s="77"/>
    </row>
    <row r="23" spans="4:17" ht="25.5" customHeight="1" x14ac:dyDescent="0.3">
      <c r="D23" s="187"/>
      <c r="E23" s="372" t="s">
        <v>9</v>
      </c>
      <c r="F23" s="578">
        <f>+F22/F14</f>
        <v>2.5598216365585874E-2</v>
      </c>
      <c r="G23" s="363">
        <f>+G22/G14</f>
        <v>1.8862051757392903E-2</v>
      </c>
      <c r="H23" s="196">
        <f t="shared" si="1"/>
        <v>-6.736164608192971E-3</v>
      </c>
      <c r="I23" s="363">
        <f>+I22/I14</f>
        <v>1.6738202604907604E-2</v>
      </c>
      <c r="J23" s="579">
        <f t="shared" si="2"/>
        <v>2.1238491524852993E-3</v>
      </c>
      <c r="K23" s="196">
        <f>+K22/K14</f>
        <v>2.5582589948017792E-2</v>
      </c>
      <c r="L23" s="363">
        <f>+L22/L14</f>
        <v>2.181900077666454E-2</v>
      </c>
      <c r="M23" s="196">
        <f t="shared" si="3"/>
        <v>-3.7635891713532522E-3</v>
      </c>
      <c r="N23" s="363">
        <f>+N22/N14</f>
        <v>2.076725192192792E-2</v>
      </c>
      <c r="O23" s="353">
        <f t="shared" si="4"/>
        <v>1.0517488547366199E-3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0">
        <f>+IFERROR(HLOOKUP($F$8,[13]판매4!$G$4:$U$50,7,),)</f>
        <v>83504.47</v>
      </c>
      <c r="G24" s="358">
        <f>+'[7]9월'!$M$19</f>
        <v>106849.64499999999</v>
      </c>
      <c r="H24" s="203">
        <f t="shared" si="1"/>
        <v>23345.174999999988</v>
      </c>
      <c r="I24" s="358">
        <f>+IFERROR(HLOOKUP($F$8,[8]월별!$E$2:$T$53,17,),)</f>
        <v>99691.134000000005</v>
      </c>
      <c r="J24" s="571">
        <f t="shared" si="2"/>
        <v>7158.5109999999841</v>
      </c>
      <c r="K24" s="203">
        <f>+F24+[4]건자재!K24</f>
        <v>748965.40999999992</v>
      </c>
      <c r="L24" s="358">
        <f>+G24+[4]건자재!L24</f>
        <v>815896.326</v>
      </c>
      <c r="M24" s="203">
        <f t="shared" si="3"/>
        <v>66930.916000000085</v>
      </c>
      <c r="N24" s="358">
        <f>+I24+[4]건자재!N24</f>
        <v>733998.30500000005</v>
      </c>
      <c r="O24" s="351">
        <f t="shared" si="4"/>
        <v>81898.02099999995</v>
      </c>
      <c r="P24" s="77"/>
      <c r="Q24" s="77"/>
    </row>
    <row r="25" spans="4:17" ht="25.5" customHeight="1" x14ac:dyDescent="0.3">
      <c r="D25" s="187"/>
      <c r="E25" s="92" t="s">
        <v>126</v>
      </c>
      <c r="F25" s="574">
        <f>+IFERROR(HLOOKUP($F$8,[13]판매4!$G$4:$U$50,31,),)+IFERROR(HLOOKUP($F$8,[13]판매4!$G$4:$U$50,34,),)</f>
        <v>59030.81</v>
      </c>
      <c r="G25" s="361">
        <f>+'[7]9월'!$M$37+'[7]9월'!$M$40</f>
        <v>54360.173999999999</v>
      </c>
      <c r="H25" s="205">
        <f t="shared" si="1"/>
        <v>-4670.6359999999986</v>
      </c>
      <c r="I25" s="361">
        <f>+IFERROR(HLOOKUP($F$8,[8]월별!$E$2:$T$53,35,),)+IFERROR(HLOOKUP($F$8,[8]월별!$E$2:$T$53,38,),)</f>
        <v>59133.09</v>
      </c>
      <c r="J25" s="575">
        <f t="shared" si="2"/>
        <v>-4772.9159999999974</v>
      </c>
      <c r="K25" s="205">
        <f>+F25+[4]건자재!K25</f>
        <v>391602.7</v>
      </c>
      <c r="L25" s="361">
        <f>+G25+[4]건자재!L25</f>
        <v>445012.20499999996</v>
      </c>
      <c r="M25" s="205">
        <f t="shared" si="3"/>
        <v>53409.504999999946</v>
      </c>
      <c r="N25" s="361">
        <f>+I25+[4]건자재!N25</f>
        <v>347003.41099999996</v>
      </c>
      <c r="O25" s="352">
        <f t="shared" si="4"/>
        <v>98008.793999999994</v>
      </c>
      <c r="P25" s="77"/>
      <c r="Q25" s="77"/>
    </row>
    <row r="26" spans="4:17" ht="25.5" customHeight="1" x14ac:dyDescent="0.3">
      <c r="D26" s="72"/>
      <c r="E26" s="368" t="s">
        <v>58</v>
      </c>
      <c r="F26" s="576">
        <f>SUM(F24:F25)</f>
        <v>142535.28</v>
      </c>
      <c r="G26" s="369">
        <f>SUM(G24:G25)</f>
        <v>161209.81899999999</v>
      </c>
      <c r="H26" s="370">
        <f t="shared" si="1"/>
        <v>18674.53899999999</v>
      </c>
      <c r="I26" s="369">
        <f>SUM(I24:I25)</f>
        <v>158824.22399999999</v>
      </c>
      <c r="J26" s="577">
        <f t="shared" si="2"/>
        <v>2385.5950000000012</v>
      </c>
      <c r="K26" s="370">
        <f>SUM(K24:K25)</f>
        <v>1140568.1099999999</v>
      </c>
      <c r="L26" s="369">
        <f>SUM(L24:L25)</f>
        <v>1260908.531</v>
      </c>
      <c r="M26" s="370">
        <f t="shared" si="3"/>
        <v>120340.42100000009</v>
      </c>
      <c r="N26" s="369">
        <f>SUM(N24:N25)</f>
        <v>1081001.716</v>
      </c>
      <c r="O26" s="371">
        <f t="shared" si="4"/>
        <v>179906.81499999994</v>
      </c>
      <c r="P26" s="77"/>
      <c r="Q26" s="77"/>
    </row>
    <row r="27" spans="4:17" ht="25.5" customHeight="1" x14ac:dyDescent="0.3">
      <c r="D27" s="187" t="s">
        <v>7</v>
      </c>
      <c r="E27" s="372"/>
      <c r="F27" s="417">
        <f>+F22-F26</f>
        <v>60891.697600001731</v>
      </c>
      <c r="G27" s="360">
        <f>+G22-G26</f>
        <v>-15579.202000000369</v>
      </c>
      <c r="H27" s="195">
        <f t="shared" si="1"/>
        <v>-76470.8996000021</v>
      </c>
      <c r="I27" s="360">
        <f>+I22-I26</f>
        <v>-1565.1189999995404</v>
      </c>
      <c r="J27" s="418">
        <f t="shared" si="2"/>
        <v>-14014.083000000828</v>
      </c>
      <c r="K27" s="195">
        <f>+K22-K26</f>
        <v>839870.82103159977</v>
      </c>
      <c r="L27" s="360">
        <f>+L22-L26</f>
        <v>439498.37000000803</v>
      </c>
      <c r="M27" s="195">
        <f t="shared" si="3"/>
        <v>-400372.45103159174</v>
      </c>
      <c r="N27" s="360">
        <f>+N22-N26</f>
        <v>684768.84599999152</v>
      </c>
      <c r="O27" s="218">
        <f t="shared" si="4"/>
        <v>-245270.47599998349</v>
      </c>
      <c r="P27" s="77"/>
      <c r="Q27" s="77"/>
    </row>
    <row r="28" spans="4:17" ht="25.5" customHeight="1" thickBot="1" x14ac:dyDescent="0.35">
      <c r="D28" s="187"/>
      <c r="E28" s="567" t="s">
        <v>10</v>
      </c>
      <c r="F28" s="582">
        <f>+F27/F14</f>
        <v>7.6623015709232911E-3</v>
      </c>
      <c r="G28" s="583">
        <f>+G27/G14</f>
        <v>-2.0178154876792616E-3</v>
      </c>
      <c r="H28" s="584">
        <f t="shared" si="1"/>
        <v>-9.6801170586025519E-3</v>
      </c>
      <c r="I28" s="583">
        <f>+I27/I14</f>
        <v>-1.6658672273877319E-4</v>
      </c>
      <c r="J28" s="585">
        <f t="shared" si="2"/>
        <v>-1.8512287649404885E-3</v>
      </c>
      <c r="K28" s="207">
        <f>+K27/K14</f>
        <v>1.0849145857057294E-2</v>
      </c>
      <c r="L28" s="365">
        <f>+L27/L14</f>
        <v>5.6394826854286742E-3</v>
      </c>
      <c r="M28" s="207">
        <f t="shared" si="3"/>
        <v>-5.20966317162862E-3</v>
      </c>
      <c r="N28" s="365">
        <f>+N27/N14</f>
        <v>8.0535758377705685E-3</v>
      </c>
      <c r="O28" s="355">
        <f t="shared" si="4"/>
        <v>-2.4140931523418943E-3</v>
      </c>
      <c r="P28" s="77"/>
      <c r="Q28" s="77"/>
    </row>
    <row r="29" spans="4:17" ht="25.5" customHeight="1" thickTop="1" x14ac:dyDescent="0.3">
      <c r="D29" s="846" t="s">
        <v>129</v>
      </c>
      <c r="E29" s="847"/>
      <c r="F29" s="164"/>
      <c r="G29" s="164"/>
      <c r="H29" s="164"/>
      <c r="I29" s="164"/>
      <c r="J29" s="164"/>
      <c r="K29" s="164"/>
      <c r="L29" s="164"/>
      <c r="M29" s="164"/>
      <c r="N29" s="75"/>
      <c r="O29" s="188"/>
      <c r="P29" s="77"/>
      <c r="Q29" s="77"/>
    </row>
    <row r="30" spans="4:17" ht="25.5" customHeight="1" x14ac:dyDescent="0.3">
      <c r="D30" s="848"/>
      <c r="E30" s="849"/>
      <c r="F30" s="164"/>
      <c r="G30" s="164"/>
      <c r="H30" s="164"/>
      <c r="I30" s="164"/>
      <c r="J30" s="164"/>
      <c r="K30" s="164"/>
      <c r="L30" s="164"/>
      <c r="M30" s="164"/>
      <c r="N30" s="75"/>
      <c r="O30" s="188"/>
      <c r="P30" s="77"/>
      <c r="Q30" s="77"/>
    </row>
    <row r="31" spans="4:17" ht="25.5" customHeight="1" x14ac:dyDescent="0.3">
      <c r="D31" s="848"/>
      <c r="E31" s="849"/>
      <c r="F31" s="164"/>
      <c r="G31" s="164"/>
      <c r="H31" s="164"/>
      <c r="I31" s="164"/>
      <c r="J31" s="164"/>
      <c r="K31" s="164"/>
      <c r="L31" s="164"/>
      <c r="M31" s="164"/>
      <c r="N31" s="75"/>
      <c r="O31" s="188"/>
      <c r="P31" s="77"/>
      <c r="Q31" s="77"/>
    </row>
    <row r="32" spans="4:17" ht="25.5" customHeight="1" x14ac:dyDescent="0.3">
      <c r="D32" s="848"/>
      <c r="E32" s="849"/>
      <c r="F32" s="164"/>
      <c r="G32" s="164"/>
      <c r="H32" s="164"/>
      <c r="I32" s="164"/>
      <c r="J32" s="164"/>
      <c r="K32" s="164"/>
      <c r="L32" s="164"/>
      <c r="M32" s="164"/>
      <c r="N32" s="75"/>
      <c r="O32" s="188"/>
      <c r="P32" s="77"/>
      <c r="Q32" s="77"/>
    </row>
    <row r="33" spans="4:39" ht="25.5" customHeight="1" x14ac:dyDescent="0.3">
      <c r="D33" s="848"/>
      <c r="E33" s="849"/>
      <c r="F33" s="164"/>
      <c r="G33" s="164"/>
      <c r="H33" s="164"/>
      <c r="I33" s="164"/>
      <c r="J33" s="164"/>
      <c r="K33" s="164"/>
      <c r="L33" s="164"/>
      <c r="M33" s="164"/>
      <c r="N33" s="75"/>
      <c r="O33" s="188"/>
      <c r="P33" s="77"/>
      <c r="Q33" s="77"/>
    </row>
    <row r="34" spans="4:39" ht="25.5" customHeight="1" x14ac:dyDescent="0.3">
      <c r="D34" s="850"/>
      <c r="E34" s="851"/>
      <c r="F34" s="198"/>
      <c r="G34" s="198"/>
      <c r="H34" s="198"/>
      <c r="I34" s="198"/>
      <c r="J34" s="198"/>
      <c r="K34" s="198"/>
      <c r="L34" s="198"/>
      <c r="M34" s="198"/>
      <c r="N34" s="166"/>
      <c r="O34" s="197"/>
      <c r="R34" s="6" t="s">
        <v>164</v>
      </c>
    </row>
    <row r="35" spans="4:39" ht="21.95" customHeight="1" x14ac:dyDescent="0.3"/>
    <row r="36" spans="4:39" ht="21.95" customHeight="1" x14ac:dyDescent="0.3">
      <c r="F36" s="6">
        <f>+IFERROR(HLOOKUP($F$8,[13]손익!$G$5:$AJ$65,17,),)</f>
        <v>60891.697600001738</v>
      </c>
      <c r="G36" s="6">
        <f>+'[7]9월'!$M$41</f>
        <v>-15579.202000000358</v>
      </c>
      <c r="I36" s="6">
        <f>+IFERROR(HLOOKUP($F$8,[8]월별!$E$2:$T$53,39,),)</f>
        <v>-1565.118999999564</v>
      </c>
      <c r="K36" s="6">
        <f>+F36+[4]건자재!K36</f>
        <v>839870.82103158929</v>
      </c>
      <c r="L36" s="6">
        <f>+G36+[4]건자재!L36</f>
        <v>439498.37000000064</v>
      </c>
      <c r="N36" s="6">
        <f>+I36+[4]건자재!N36</f>
        <v>684768.8460000027</v>
      </c>
      <c r="R36" s="503"/>
      <c r="S36" s="592" t="s">
        <v>180</v>
      </c>
      <c r="T36" s="592" t="s">
        <v>179</v>
      </c>
      <c r="U36" s="592" t="s">
        <v>181</v>
      </c>
      <c r="V36" s="592" t="s">
        <v>173</v>
      </c>
      <c r="W36" s="592" t="s">
        <v>211</v>
      </c>
      <c r="X36" s="592" t="s">
        <v>182</v>
      </c>
      <c r="Y36" s="592" t="s">
        <v>228</v>
      </c>
      <c r="Z36" s="592" t="s">
        <v>187</v>
      </c>
      <c r="AA36" s="592" t="s">
        <v>188</v>
      </c>
      <c r="AB36" s="592" t="s">
        <v>189</v>
      </c>
      <c r="AC36" s="592" t="s">
        <v>190</v>
      </c>
      <c r="AD36" s="592" t="s">
        <v>191</v>
      </c>
      <c r="AE36" s="592" t="s">
        <v>180</v>
      </c>
      <c r="AF36" s="592" t="s">
        <v>202</v>
      </c>
      <c r="AG36" s="592" t="s">
        <v>209</v>
      </c>
      <c r="AH36" s="592" t="s">
        <v>210</v>
      </c>
      <c r="AI36" s="592" t="s">
        <v>211</v>
      </c>
      <c r="AJ36" s="592" t="s">
        <v>182</v>
      </c>
      <c r="AK36" s="592" t="s">
        <v>228</v>
      </c>
      <c r="AL36" s="592" t="s">
        <v>227</v>
      </c>
      <c r="AM36" s="592" t="s">
        <v>249</v>
      </c>
    </row>
    <row r="37" spans="4:39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0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199" t="s">
        <v>121</v>
      </c>
      <c r="S37" s="209" t="s">
        <v>180</v>
      </c>
      <c r="T37" s="209" t="s">
        <v>179</v>
      </c>
      <c r="U37" s="209">
        <v>3</v>
      </c>
      <c r="V37" s="209" t="s">
        <v>173</v>
      </c>
      <c r="W37" s="209" t="s">
        <v>211</v>
      </c>
      <c r="X37" s="209" t="s">
        <v>182</v>
      </c>
      <c r="Y37" s="209" t="s">
        <v>228</v>
      </c>
      <c r="Z37" s="209" t="str">
        <f t="shared" ref="Z37:AE37" si="5">+Z36</f>
        <v>8월</v>
      </c>
      <c r="AA37" s="209" t="str">
        <f t="shared" si="5"/>
        <v>9월</v>
      </c>
      <c r="AB37" s="209" t="str">
        <f t="shared" si="5"/>
        <v>10월</v>
      </c>
      <c r="AC37" s="209" t="str">
        <f t="shared" si="5"/>
        <v>11월</v>
      </c>
      <c r="AD37" s="209" t="str">
        <f t="shared" si="5"/>
        <v>12월</v>
      </c>
      <c r="AE37" s="209" t="str">
        <f t="shared" si="5"/>
        <v>1월</v>
      </c>
      <c r="AF37" s="209" t="str">
        <f t="shared" ref="AF37:AG37" si="6">+AF36</f>
        <v>2월</v>
      </c>
      <c r="AG37" s="209" t="str">
        <f t="shared" si="6"/>
        <v>3월</v>
      </c>
      <c r="AH37" s="209" t="str">
        <f t="shared" ref="AH37:AI37" si="7">+AH36</f>
        <v>4월</v>
      </c>
      <c r="AI37" s="209" t="str">
        <f t="shared" si="7"/>
        <v>5월</v>
      </c>
      <c r="AJ37" s="209" t="str">
        <f t="shared" ref="AJ37:AK37" si="8">+AJ36</f>
        <v>6월</v>
      </c>
      <c r="AK37" s="209" t="str">
        <f t="shared" si="8"/>
        <v>7월</v>
      </c>
      <c r="AL37" s="209" t="str">
        <f t="shared" ref="AL37:AM37" si="9">+AL36</f>
        <v>8월</v>
      </c>
      <c r="AM37" s="209" t="str">
        <f t="shared" si="9"/>
        <v>9월</v>
      </c>
    </row>
    <row r="38" spans="4:39" ht="21.95" customHeight="1" x14ac:dyDescent="0.3">
      <c r="F38" s="593">
        <f>+F27-F36</f>
        <v>0</v>
      </c>
      <c r="G38" s="593">
        <f>+G27-G36</f>
        <v>0</v>
      </c>
      <c r="I38" s="593">
        <f>+I27-I36</f>
        <v>2.3646862246096134E-11</v>
      </c>
      <c r="K38" s="593">
        <f>+K27-K36</f>
        <v>1.0477378964424133E-8</v>
      </c>
      <c r="L38" s="593">
        <f>+L27-L36</f>
        <v>7.3923729360103607E-9</v>
      </c>
      <c r="N38" s="98">
        <f>+N27-N36</f>
        <v>-1.1175870895385742E-8</v>
      </c>
      <c r="R38" s="200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  <c r="AL38" s="74">
        <f>+IFERROR(HLOOKUP(AL$36,[7]월별!$E$2:$S$67,42,),)</f>
        <v>846014.52770958561</v>
      </c>
      <c r="AM38" s="74">
        <f>+IFERROR(HLOOKUP(AM$36,[7]월별!$E$2:$S$67,42,),)</f>
        <v>879572.42936012533</v>
      </c>
    </row>
    <row r="39" spans="4:39" ht="21.95" customHeight="1" x14ac:dyDescent="0.3">
      <c r="R39" s="201" t="s">
        <v>128</v>
      </c>
      <c r="S39" s="202">
        <f>+IFERROR(HLOOKUP(S$36,[8]월별!$E$2:$S$67,43,),)</f>
        <v>1.9263299607757241E-2</v>
      </c>
      <c r="T39" s="202">
        <f>+IFERROR(HLOOKUP(T$36,[8]월별!$E$2:$S$67,43,),)</f>
        <v>2.0328430506478493E-2</v>
      </c>
      <c r="U39" s="202">
        <f>+IFERROR(HLOOKUP(U$36,[8]월별!$E$2:$S$67,43,),)</f>
        <v>1.815970186077798E-2</v>
      </c>
      <c r="V39" s="202">
        <f>+IFERROR(HLOOKUP(V$36,[8]월별!$E$2:$S$67,43,),)</f>
        <v>2.0783119934692784E-2</v>
      </c>
      <c r="W39" s="202">
        <f>+IFERROR(HLOOKUP(W$36,[8]월별!$E$2:$S$67,43,),)</f>
        <v>1.8530156032889104E-2</v>
      </c>
      <c r="X39" s="202">
        <f>+IFERROR(HLOOKUP(X$36,[8]월별!$E$2:$S$67,43,),)</f>
        <v>2.338088905753952E-2</v>
      </c>
      <c r="Y39" s="202">
        <f>+IFERROR(HLOOKUP(Y$36,[8]월별!$E$2:$S$67,43,),)</f>
        <v>2.4066421287530761E-2</v>
      </c>
      <c r="Z39" s="202">
        <f>+IFERROR(HLOOKUP(Z$36,[8]월별!$E$2:$S$67,43,),)</f>
        <v>2.751551238666371E-2</v>
      </c>
      <c r="AA39" s="202">
        <f>+IFERROR(HLOOKUP(AA$36,[8]월별!$E$2:$S$67,43,),)</f>
        <v>1.6738202604907604E-2</v>
      </c>
      <c r="AB39" s="202">
        <f>+IFERROR(HLOOKUP(AB$36,[8]월별!$E$2:$S$67,43,),)</f>
        <v>1.8118540365804674E-2</v>
      </c>
      <c r="AC39" s="202">
        <f>+IFERROR(HLOOKUP(AC$36,[8]월별!$E$2:$S$67,43,),)</f>
        <v>1.7419708473984639E-2</v>
      </c>
      <c r="AD39" s="202">
        <f>+IFERROR(HLOOKUP(AD$36,[8]월별!$E$2:$S$67,43,),)</f>
        <v>2.0746012557623313E-2</v>
      </c>
      <c r="AE39" s="202">
        <f>+IFERROR(HLOOKUP(AE$36,[7]월별!$E$2:$S$67,43,),)</f>
        <v>2.6651369945751794E-2</v>
      </c>
      <c r="AF39" s="202">
        <f>+IFERROR(HLOOKUP(AF$36,[7]월별!$E$2:$S$67,43,),)</f>
        <v>2.5582238806566245E-2</v>
      </c>
      <c r="AG39" s="202">
        <f>+IFERROR(HLOOKUP(AG$36,[7]월별!$E$2:$S$67,43,),)</f>
        <v>1.8641220384622476E-2</v>
      </c>
      <c r="AH39" s="202">
        <f>+IFERROR(HLOOKUP(AH$36,[7]월별!$E$2:$S$67,43,),)</f>
        <v>1.847120545626342E-2</v>
      </c>
      <c r="AI39" s="202">
        <f>+IFERROR(HLOOKUP(AI$36,[7]월별!$E$2:$S$67,43,),)</f>
        <v>2.607951153265552E-2</v>
      </c>
      <c r="AJ39" s="202">
        <f>+IFERROR(HLOOKUP(AJ$36,[7]월별!$E$2:$S$67,43,),)</f>
        <v>3.568968550509475E-2</v>
      </c>
      <c r="AK39" s="202">
        <f>+IFERROR(HLOOKUP(AK$36,[7]월별!$E$2:$S$67,43,),)</f>
        <v>1.0750284938609023E-2</v>
      </c>
      <c r="AL39" s="202">
        <f>+IFERROR(HLOOKUP(AL$36,[7]월별!$E$2:$S$67,43,),)</f>
        <v>2.1116076964595568E-2</v>
      </c>
      <c r="AM39" s="202">
        <f>+IFERROR(HLOOKUP(AM$36,[7]월별!$E$2:$S$67,43,),)</f>
        <v>1.8862051757392903E-2</v>
      </c>
    </row>
    <row r="40" spans="4:39" ht="21.95" customHeight="1" x14ac:dyDescent="0.3"/>
    <row r="41" spans="4:39" ht="21.95" customHeight="1" x14ac:dyDescent="0.3"/>
    <row r="42" spans="4:39" ht="21.95" customHeight="1" x14ac:dyDescent="0.3"/>
    <row r="43" spans="4:39" ht="21.95" customHeight="1" x14ac:dyDescent="0.3"/>
    <row r="44" spans="4:39" ht="21.95" customHeight="1" x14ac:dyDescent="0.3"/>
    <row r="45" spans="4:39" ht="21.95" customHeight="1" x14ac:dyDescent="0.3"/>
    <row r="46" spans="4:39" ht="21.95" customHeight="1" x14ac:dyDescent="0.3"/>
    <row r="47" spans="4:39" ht="21.95" customHeight="1" x14ac:dyDescent="0.3"/>
    <row r="48" spans="4:39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 codeName="Sheet10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249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250</v>
      </c>
      <c r="F4" s="183"/>
      <c r="I4" s="183"/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213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225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+IFERROR(HLOOKUP($A$1,[14]손익요약!$G$5:$AL$106,3,),)</f>
        <v>12472.133333333333</v>
      </c>
      <c r="H8" s="374">
        <f>+'[9]서부산크라샤(당월)'!$F$66</f>
        <v>0</v>
      </c>
      <c r="I8" s="262">
        <f>H8-G8</f>
        <v>-12472.133333333333</v>
      </c>
      <c r="J8" s="261">
        <f>+IFERROR(HLOOKUP($A$1,[14]손익요약!$G$5:$AL$106,6,),)</f>
        <v>1897.4966666666667</v>
      </c>
      <c r="K8" s="374">
        <f>+'[9]서부산크라샤(당월)'!$I$66</f>
        <v>0</v>
      </c>
      <c r="L8" s="260">
        <f>K8-J8</f>
        <v>-1897.4966666666667</v>
      </c>
      <c r="M8" s="261">
        <f>+IFERROR(HLOOKUP($A$1,[14]손익요약!$G$5:$AL$106,9,),)</f>
        <v>0</v>
      </c>
      <c r="N8" s="374"/>
      <c r="O8" s="260">
        <f>N8-M8</f>
        <v>0</v>
      </c>
      <c r="P8" s="393">
        <f>+G8+J8+M8</f>
        <v>14369.63</v>
      </c>
      <c r="Q8" s="374">
        <f>+H8+K8+N8</f>
        <v>0</v>
      </c>
      <c r="R8" s="394">
        <f>Q8-P8</f>
        <v>-14369.63</v>
      </c>
      <c r="S8" s="259">
        <f>+IFERROR(HLOOKUP($A$1,[15]손익요약!$G$5:$AL$106,3,),)</f>
        <v>11321.063847794539</v>
      </c>
      <c r="T8" s="374">
        <f>+'[9]부산크라샤(당월)'!$F$66</f>
        <v>13434</v>
      </c>
      <c r="U8" s="262">
        <f>T8-S8</f>
        <v>2112.9361522054605</v>
      </c>
      <c r="V8" s="261">
        <f>+IFERROR(HLOOKUP($A$1,[15]손익요약!$G$5:$AL$106,6,),)</f>
        <v>9795.2459202058471</v>
      </c>
      <c r="W8" s="374">
        <f>+'[9]부산크라샤(당월)'!$I$66</f>
        <v>9788</v>
      </c>
      <c r="X8" s="260">
        <f>W8-V8</f>
        <v>-7.2459202058471419</v>
      </c>
      <c r="Y8" s="261"/>
      <c r="Z8" s="374">
        <f>+'[9]부산크라샤(당월)'!$L$66</f>
        <v>0</v>
      </c>
      <c r="AA8" s="260">
        <f>Z8-Y8</f>
        <v>0</v>
      </c>
      <c r="AB8" s="393">
        <f>+S8+V8+Y8</f>
        <v>21116.309768000385</v>
      </c>
      <c r="AC8" s="374">
        <f t="shared" ref="AC8" si="0">+T8+W8+Z8</f>
        <v>23222</v>
      </c>
      <c r="AD8" s="394">
        <f>AC8-AB8</f>
        <v>2105.6902319996152</v>
      </c>
      <c r="AE8" s="260">
        <f>+IFERROR(HLOOKUP($A$1,[16]손익계획!$G$5:$AX$449,3,),)</f>
        <v>17011.795321480207</v>
      </c>
      <c r="AF8" s="374">
        <f>+'[9]부산모래장(당월)'!$R$48</f>
        <v>8956</v>
      </c>
      <c r="AG8" s="260">
        <f>AF8-AE8</f>
        <v>-8055.7953214802073</v>
      </c>
      <c r="AH8" s="393">
        <f>+P8+AB8+AE8</f>
        <v>52497.735089480586</v>
      </c>
      <c r="AI8" s="374">
        <f>+Q8+AC8+AF8</f>
        <v>32178</v>
      </c>
      <c r="AJ8" s="394">
        <f>AI8-AH8</f>
        <v>-20319.735089480586</v>
      </c>
    </row>
    <row r="9" spans="1:39" ht="24" customHeight="1" x14ac:dyDescent="0.3">
      <c r="D9" s="77"/>
      <c r="E9" s="281"/>
      <c r="F9" s="286" t="s">
        <v>10</v>
      </c>
      <c r="G9" s="282">
        <f>+G8/G$12</f>
        <v>0.79077021920518042</v>
      </c>
      <c r="H9" s="375">
        <f>+H8/H$12</f>
        <v>0</v>
      </c>
      <c r="I9" s="285">
        <f>+H9-G9</f>
        <v>-0.79077021920518042</v>
      </c>
      <c r="J9" s="284">
        <f>+J8/J$12</f>
        <v>0.21326185754869631</v>
      </c>
      <c r="K9" s="375" t="e">
        <f>+K8/K$12</f>
        <v>#DIV/0!</v>
      </c>
      <c r="L9" s="283" t="e">
        <f>+K9-J9</f>
        <v>#DIV/0!</v>
      </c>
      <c r="M9" s="284">
        <f>+M8/M$12</f>
        <v>0</v>
      </c>
      <c r="N9" s="375"/>
      <c r="O9" s="283">
        <f>+N9-M9</f>
        <v>0</v>
      </c>
      <c r="P9" s="395">
        <f>+P8/P$12</f>
        <v>0.30790109113785558</v>
      </c>
      <c r="Q9" s="375">
        <f>+Q8/Q$12</f>
        <v>0</v>
      </c>
      <c r="R9" s="396">
        <f>+Q9-P9</f>
        <v>-0.30790109113785558</v>
      </c>
      <c r="S9" s="282">
        <f>+S8/S$12</f>
        <v>0.69364742111001243</v>
      </c>
      <c r="T9" s="375">
        <f>+T8/T$12</f>
        <v>0.66709703048962166</v>
      </c>
      <c r="U9" s="285">
        <f>+T9-S9</f>
        <v>-2.6550390620390774E-2</v>
      </c>
      <c r="V9" s="284">
        <f>+V8/V$12</f>
        <v>0.39504532246738566</v>
      </c>
      <c r="W9" s="375">
        <f>+W8/W$12</f>
        <v>0.58892900120336944</v>
      </c>
      <c r="X9" s="283">
        <f>+W9-V9</f>
        <v>0.19388367873598378</v>
      </c>
      <c r="Y9" s="284"/>
      <c r="Z9" s="375" t="e">
        <f>+Z8/Z$12</f>
        <v>#DIV/0!</v>
      </c>
      <c r="AA9" s="283" t="e">
        <f>+Z9-Y9</f>
        <v>#DIV/0!</v>
      </c>
      <c r="AB9" s="395">
        <f>+AB8/AB$12</f>
        <v>0.51357502380806042</v>
      </c>
      <c r="AC9" s="375">
        <f>+AC8/AC$12</f>
        <v>0.6317536318624517</v>
      </c>
      <c r="AD9" s="396">
        <f>+AC9-AB9</f>
        <v>0.11817860805439129</v>
      </c>
      <c r="AE9" s="283">
        <f>+AE8/AE$12</f>
        <v>0.64166892944051301</v>
      </c>
      <c r="AF9" s="375">
        <f>+AF8/AF$12</f>
        <v>0.97954719457508477</v>
      </c>
      <c r="AG9" s="283">
        <f>+AF9-AE9</f>
        <v>0.33787826513457175</v>
      </c>
      <c r="AH9" s="395">
        <f>+AH8/AH$12</f>
        <v>0.45930687120249181</v>
      </c>
      <c r="AI9" s="375">
        <f>+AI8/AI$12</f>
        <v>0.68535281463653597</v>
      </c>
      <c r="AJ9" s="396">
        <f>+AI9-AH9</f>
        <v>0.22604594343404416</v>
      </c>
    </row>
    <row r="10" spans="1:39" ht="24" customHeight="1" x14ac:dyDescent="0.3">
      <c r="D10" s="257"/>
      <c r="E10" s="281"/>
      <c r="F10" s="280" t="s">
        <v>135</v>
      </c>
      <c r="G10" s="276">
        <f>+IFERROR(HLOOKUP($A$1,[14]손익요약!$G$5:$AL$106,2,),)</f>
        <v>3300</v>
      </c>
      <c r="H10" s="376">
        <f>+'[9]서부산크라샤(당월)'!$F$59</f>
        <v>1050</v>
      </c>
      <c r="I10" s="279">
        <f>H10-G10</f>
        <v>-2250</v>
      </c>
      <c r="J10" s="278">
        <f>+IFERROR(HLOOKUP($A$1,[14]손익요약!$G$5:$AL$106,5,),)</f>
        <v>7000</v>
      </c>
      <c r="K10" s="376">
        <f>+'[9]서부산크라샤(당월)'!$I$59</f>
        <v>0</v>
      </c>
      <c r="L10" s="277">
        <f>K10-J10</f>
        <v>-7000</v>
      </c>
      <c r="M10" s="278">
        <f>+IFERROR(HLOOKUP($A$1,[14]손익요약!$G$5:$AL$106,8,),)</f>
        <v>22000</v>
      </c>
      <c r="N10" s="376"/>
      <c r="O10" s="277">
        <f>N10-M10</f>
        <v>-22000</v>
      </c>
      <c r="P10" s="397">
        <f>+G10+J10+M10</f>
        <v>32300</v>
      </c>
      <c r="Q10" s="376">
        <f>+H10+K10+N10</f>
        <v>1050</v>
      </c>
      <c r="R10" s="398">
        <f>Q10-P10</f>
        <v>-31250</v>
      </c>
      <c r="S10" s="276">
        <f>+IFERROR(HLOOKUP($A$1,[15]손익요약!$G$5:$AL$106,2,),)</f>
        <v>5000</v>
      </c>
      <c r="T10" s="376">
        <f>+'[9]부산크라샤(당월)'!$F$59</f>
        <v>6704</v>
      </c>
      <c r="U10" s="279">
        <f>T10-S10</f>
        <v>1704</v>
      </c>
      <c r="V10" s="278">
        <f>+IFERROR(HLOOKUP($A$1,[15]손익요약!$G$5:$AL$106,5,),)</f>
        <v>15000</v>
      </c>
      <c r="W10" s="376">
        <f>+'[9]부산크라샤(당월)'!$I$59</f>
        <v>6832</v>
      </c>
      <c r="X10" s="277">
        <f>W10-V10</f>
        <v>-8168</v>
      </c>
      <c r="Y10" s="278"/>
      <c r="Z10" s="376">
        <f>+'[9]부산크라샤(당월)'!$L$59</f>
        <v>0</v>
      </c>
      <c r="AA10" s="277">
        <f>Z10-Y10</f>
        <v>0</v>
      </c>
      <c r="AB10" s="397">
        <f>+S10+V10+Y10</f>
        <v>20000</v>
      </c>
      <c r="AC10" s="376">
        <f>+T10+W10+Z10</f>
        <v>13536</v>
      </c>
      <c r="AD10" s="398">
        <f>AC10-AB10</f>
        <v>-6464</v>
      </c>
      <c r="AE10" s="277">
        <f>+IFERROR(HLOOKUP($A$1,[16]손익계획!$G$5:$AX$449,2,),)</f>
        <v>9500</v>
      </c>
      <c r="AF10" s="376">
        <f>+'[9]부산모래장(당월)'!$R$47</f>
        <v>187</v>
      </c>
      <c r="AG10" s="277">
        <f>AF10-AE10</f>
        <v>-9313</v>
      </c>
      <c r="AH10" s="397">
        <f>+P10+AB10+AE10</f>
        <v>61800</v>
      </c>
      <c r="AI10" s="376">
        <f>+Q10+AC10+AF10</f>
        <v>14773</v>
      </c>
      <c r="AJ10" s="398">
        <f>AI10-AH10</f>
        <v>-47027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0.20922978079481955</v>
      </c>
      <c r="H11" s="377">
        <f>+H10/H$12</f>
        <v>1</v>
      </c>
      <c r="I11" s="274">
        <f>+H11-G11</f>
        <v>0.79077021920518042</v>
      </c>
      <c r="J11" s="273">
        <f>+J10/J$12</f>
        <v>0.7867381424513038</v>
      </c>
      <c r="K11" s="377" t="e">
        <f>+K10/K$12</f>
        <v>#DIV/0!</v>
      </c>
      <c r="L11" s="272" t="e">
        <f>+K11-J11</f>
        <v>#DIV/0!</v>
      </c>
      <c r="M11" s="273">
        <f>+M10/M$12</f>
        <v>1</v>
      </c>
      <c r="N11" s="377"/>
      <c r="O11" s="272">
        <f>+N11-M11</f>
        <v>-1</v>
      </c>
      <c r="P11" s="399">
        <f>+P10/P$12</f>
        <v>0.69209890886214442</v>
      </c>
      <c r="Q11" s="377">
        <f>+Q10/Q$12</f>
        <v>1</v>
      </c>
      <c r="R11" s="400">
        <f>+Q11-P11</f>
        <v>0.30790109113785558</v>
      </c>
      <c r="S11" s="271">
        <f>+S10/S$12</f>
        <v>0.30635257888998751</v>
      </c>
      <c r="T11" s="377">
        <f>+T10/T$12</f>
        <v>0.3329029695103784</v>
      </c>
      <c r="U11" s="274">
        <f>+T11-S11</f>
        <v>2.6550390620390885E-2</v>
      </c>
      <c r="V11" s="273">
        <f>+V10/V$12</f>
        <v>0.60495467753261445</v>
      </c>
      <c r="W11" s="377">
        <f>+W10/W$12</f>
        <v>0.41107099879663056</v>
      </c>
      <c r="X11" s="272">
        <f>+W11-V11</f>
        <v>-0.19388367873598389</v>
      </c>
      <c r="Y11" s="273"/>
      <c r="Z11" s="377" t="e">
        <f>+Z10/Z$12</f>
        <v>#DIV/0!</v>
      </c>
      <c r="AA11" s="272" t="e">
        <f>+Z11-Y11</f>
        <v>#DIV/0!</v>
      </c>
      <c r="AB11" s="399">
        <f>+AB10/AB$12</f>
        <v>0.48642497619193958</v>
      </c>
      <c r="AC11" s="377">
        <f>+AC10/AC$12</f>
        <v>0.3682463681375483</v>
      </c>
      <c r="AD11" s="400">
        <f>+AC11-AB11</f>
        <v>-0.11817860805439129</v>
      </c>
      <c r="AE11" s="272">
        <f>+AE10/AE$12</f>
        <v>0.35833107055948693</v>
      </c>
      <c r="AF11" s="377">
        <f>+AF10/AF$12</f>
        <v>2.0452805424915236E-2</v>
      </c>
      <c r="AG11" s="272">
        <f>+AF11-AE11</f>
        <v>-0.3378782651345717</v>
      </c>
      <c r="AH11" s="399">
        <f>+AH10/AH$12</f>
        <v>0.54069312879750819</v>
      </c>
      <c r="AI11" s="377">
        <f>+AI10/AI$12</f>
        <v>0.31464718536346403</v>
      </c>
      <c r="AJ11" s="400">
        <f>+AI11-AH11</f>
        <v>-0.22604594343404416</v>
      </c>
    </row>
    <row r="12" spans="1:39" ht="24" customHeight="1" x14ac:dyDescent="0.3">
      <c r="D12" s="257"/>
      <c r="E12" s="270"/>
      <c r="F12" s="269" t="s">
        <v>43</v>
      </c>
      <c r="G12" s="265">
        <f>G8+G10</f>
        <v>15772.133333333333</v>
      </c>
      <c r="H12" s="378">
        <f>H8+H10</f>
        <v>1050</v>
      </c>
      <c r="I12" s="268">
        <f t="shared" ref="I12:I32" si="1">H12-G12</f>
        <v>-14722.133333333333</v>
      </c>
      <c r="J12" s="267">
        <f>J8+J10</f>
        <v>8897.496666666666</v>
      </c>
      <c r="K12" s="378">
        <f>K8+K10</f>
        <v>0</v>
      </c>
      <c r="L12" s="266">
        <f t="shared" ref="L12:L32" si="2">K12-J12</f>
        <v>-8897.496666666666</v>
      </c>
      <c r="M12" s="267">
        <f>M8+M10</f>
        <v>22000</v>
      </c>
      <c r="N12" s="378"/>
      <c r="O12" s="266">
        <f t="shared" ref="O12:O32" si="3">N12-M12</f>
        <v>-22000</v>
      </c>
      <c r="P12" s="401">
        <f>P8+P10</f>
        <v>46669.63</v>
      </c>
      <c r="Q12" s="378">
        <f>Q8+Q10</f>
        <v>1050</v>
      </c>
      <c r="R12" s="402">
        <f t="shared" ref="R12:R32" si="4">Q12-P12</f>
        <v>-45619.63</v>
      </c>
      <c r="S12" s="265">
        <f>S8+S10</f>
        <v>16321.063847794539</v>
      </c>
      <c r="T12" s="378">
        <f>T8+T10</f>
        <v>20138</v>
      </c>
      <c r="U12" s="268">
        <f t="shared" ref="U12:U32" si="5">T12-S12</f>
        <v>3816.9361522054605</v>
      </c>
      <c r="V12" s="267">
        <f>V8+V10</f>
        <v>24795.245920205845</v>
      </c>
      <c r="W12" s="378">
        <f>W8+W10</f>
        <v>16620</v>
      </c>
      <c r="X12" s="266">
        <f t="shared" ref="X12:X32" si="6">W12-V12</f>
        <v>-8175.2459202058453</v>
      </c>
      <c r="Y12" s="267"/>
      <c r="Z12" s="378">
        <f>Z8+Z10</f>
        <v>0</v>
      </c>
      <c r="AA12" s="266">
        <f t="shared" ref="AA12:AA32" si="7">Z12-Y12</f>
        <v>0</v>
      </c>
      <c r="AB12" s="401">
        <f>AB8+AB10</f>
        <v>41116.309768000385</v>
      </c>
      <c r="AC12" s="378">
        <f>AC8+AC10</f>
        <v>36758</v>
      </c>
      <c r="AD12" s="402">
        <f t="shared" ref="AD12:AD32" si="8">AC12-AB12</f>
        <v>-4358.3097680003848</v>
      </c>
      <c r="AE12" s="266">
        <f>AE8+AE10</f>
        <v>26511.795321480207</v>
      </c>
      <c r="AF12" s="378">
        <f>AF8+AF10</f>
        <v>9143</v>
      </c>
      <c r="AG12" s="266">
        <f t="shared" ref="AG12:AG32" si="9">AF12-AE12</f>
        <v>-17368.795321480207</v>
      </c>
      <c r="AH12" s="401">
        <f>AH8+AH10</f>
        <v>114297.73508948059</v>
      </c>
      <c r="AI12" s="378">
        <f>AI8+AI10</f>
        <v>46951</v>
      </c>
      <c r="AJ12" s="402">
        <f t="shared" ref="AJ12:AJ32" si="10">AI12-AH12</f>
        <v>-67346.735089480586</v>
      </c>
      <c r="AL12" s="6">
        <f>+'사업장별(당월)'!J32*1000</f>
        <v>114297.7350894806</v>
      </c>
      <c r="AM12" s="6">
        <f>+'사업장별(당월)'!K32*1000</f>
        <v>46951.000000000007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+IFERROR(HLOOKUP($A$1,[14]손익요약!$G$5:$AL$106,15,),)</f>
        <v>186904.53333333333</v>
      </c>
      <c r="H13" s="374">
        <f>+'[9]서부산크라샤(당월)'!$F$72</f>
        <v>0</v>
      </c>
      <c r="I13" s="262">
        <f t="shared" si="1"/>
        <v>-186904.53333333333</v>
      </c>
      <c r="J13" s="261">
        <f>+IFERROR(HLOOKUP($A$1,[14]손익요약!$G$5:$AL$106,18,),)</f>
        <v>33773.583333333336</v>
      </c>
      <c r="K13" s="374">
        <f>+'[9]서부산크라샤(당월)'!$I$72</f>
        <v>0</v>
      </c>
      <c r="L13" s="260">
        <f t="shared" si="2"/>
        <v>-33773.583333333336</v>
      </c>
      <c r="M13" s="261">
        <f>+IFERROR(HLOOKUP($A$1,[14]손익요약!$G$5:$AL$106,21,),)</f>
        <v>0</v>
      </c>
      <c r="N13" s="374"/>
      <c r="O13" s="260">
        <f t="shared" si="3"/>
        <v>0</v>
      </c>
      <c r="P13" s="393">
        <f>+G13+J13+M13</f>
        <v>220678.11666666667</v>
      </c>
      <c r="Q13" s="374">
        <f>+H13+K13+N13</f>
        <v>0</v>
      </c>
      <c r="R13" s="394">
        <f t="shared" si="4"/>
        <v>-220678.11666666667</v>
      </c>
      <c r="S13" s="259">
        <f>+IFERROR(HLOOKUP($A$1,[15]손익요약!$G$5:$AL$106,12,),)</f>
        <v>181137.02156471263</v>
      </c>
      <c r="T13" s="374">
        <f>+'[9]부산크라샤(당월)'!$F$72</f>
        <v>199543</v>
      </c>
      <c r="U13" s="262">
        <f t="shared" si="5"/>
        <v>18405.978435287368</v>
      </c>
      <c r="V13" s="261">
        <f>+IFERROR(HLOOKUP($A$1,[15]손익요약!$G$5:$AL$106,15,),)</f>
        <v>218302.08842279902</v>
      </c>
      <c r="W13" s="374">
        <f>+'[9]부산크라샤(당월)'!$I$72</f>
        <v>206082</v>
      </c>
      <c r="X13" s="260">
        <f t="shared" si="6"/>
        <v>-12220.088422799017</v>
      </c>
      <c r="Y13" s="261"/>
      <c r="Z13" s="374">
        <f>+'[9]부산크라샤(당월)'!$L$72</f>
        <v>0</v>
      </c>
      <c r="AA13" s="260">
        <f t="shared" si="7"/>
        <v>0</v>
      </c>
      <c r="AB13" s="393">
        <f>+S13+V13+Y13</f>
        <v>399439.10998751165</v>
      </c>
      <c r="AC13" s="374">
        <f>+T13+W13+Z13</f>
        <v>405625</v>
      </c>
      <c r="AD13" s="394">
        <f t="shared" si="8"/>
        <v>6185.8900124883512</v>
      </c>
      <c r="AE13" s="260">
        <f>+IFERROR(HLOOKUP($A$1,[16]손익계획!$G$5:$AX$449,6,),)</f>
        <v>483452.99506738409</v>
      </c>
      <c r="AF13" s="374">
        <f>+'[9]부산모래장(당월)'!$R$54</f>
        <v>245688</v>
      </c>
      <c r="AG13" s="260">
        <f t="shared" si="9"/>
        <v>-237764.99506738409</v>
      </c>
      <c r="AH13" s="393">
        <f>+P13+AB13+AE13</f>
        <v>1103570.2217215626</v>
      </c>
      <c r="AI13" s="374">
        <f>+Q13+AC13+AF13</f>
        <v>651313</v>
      </c>
      <c r="AJ13" s="394">
        <f t="shared" si="10"/>
        <v>-452257.22172156256</v>
      </c>
      <c r="AL13" s="6" t="b">
        <f>+AL12=AH12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14985.770945360857</v>
      </c>
      <c r="H14" s="379" t="e">
        <f>+H13/H8*1000</f>
        <v>#DIV/0!</v>
      </c>
      <c r="I14" s="255" t="e">
        <f t="shared" si="1"/>
        <v>#DIV/0!</v>
      </c>
      <c r="J14" s="254">
        <f>+J13/J8*1000</f>
        <v>17799.021166484261</v>
      </c>
      <c r="K14" s="379" t="e">
        <f>+K13/K8*1000</f>
        <v>#DIV/0!</v>
      </c>
      <c r="L14" s="253" t="e">
        <f t="shared" si="2"/>
        <v>#DIV/0!</v>
      </c>
      <c r="M14" s="254" t="e">
        <f>+M13/M8*1000</f>
        <v>#DIV/0!</v>
      </c>
      <c r="N14" s="379"/>
      <c r="O14" s="253" t="e">
        <f t="shared" si="3"/>
        <v>#DIV/0!</v>
      </c>
      <c r="P14" s="403">
        <f>+P13/P8*1000</f>
        <v>15357.258096879787</v>
      </c>
      <c r="Q14" s="379" t="e">
        <f>+Q13/Q8*1000</f>
        <v>#DIV/0!</v>
      </c>
      <c r="R14" s="404" t="e">
        <f t="shared" si="4"/>
        <v>#DIV/0!</v>
      </c>
      <c r="S14" s="252">
        <f>+S13/S8*1000</f>
        <v>16000</v>
      </c>
      <c r="T14" s="379">
        <f>+T13/T8*1000</f>
        <v>14853.580467470596</v>
      </c>
      <c r="U14" s="255">
        <f t="shared" si="5"/>
        <v>-1146.419532529404</v>
      </c>
      <c r="V14" s="254">
        <f>+V13/V8*1000</f>
        <v>22286.534733393546</v>
      </c>
      <c r="W14" s="379">
        <f>+W13/W8*1000</f>
        <v>21054.556599918269</v>
      </c>
      <c r="X14" s="253">
        <f t="shared" si="6"/>
        <v>-1231.978133475277</v>
      </c>
      <c r="Y14" s="254"/>
      <c r="Z14" s="379" t="e">
        <f>+Z13/Z8*1000</f>
        <v>#DIV/0!</v>
      </c>
      <c r="AA14" s="253" t="e">
        <f t="shared" si="7"/>
        <v>#DIV/0!</v>
      </c>
      <c r="AB14" s="403">
        <f>+AB13/AB8*1000</f>
        <v>18916.141805838673</v>
      </c>
      <c r="AC14" s="379">
        <f>+AC13/AC8*1000</f>
        <v>17467.272414090086</v>
      </c>
      <c r="AD14" s="404">
        <f t="shared" si="8"/>
        <v>-1448.8693917485871</v>
      </c>
      <c r="AE14" s="253">
        <f>+AE13/AE8*1000</f>
        <v>28418.693378995966</v>
      </c>
      <c r="AF14" s="379">
        <f>+AF13/AF8*1000</f>
        <v>27432.782492184011</v>
      </c>
      <c r="AG14" s="253">
        <f t="shared" si="9"/>
        <v>-985.9108868119547</v>
      </c>
      <c r="AH14" s="403">
        <f>+AH13/AH8*1000</f>
        <v>21021.29205842052</v>
      </c>
      <c r="AI14" s="379">
        <f>+AI13/AI8*1000</f>
        <v>20240.941015600722</v>
      </c>
      <c r="AJ14" s="404">
        <f t="shared" si="10"/>
        <v>-780.35104281979875</v>
      </c>
    </row>
    <row r="15" spans="1:39" ht="24" customHeight="1" x14ac:dyDescent="0.3">
      <c r="D15" s="257"/>
      <c r="E15" s="662"/>
      <c r="F15" s="223" t="s">
        <v>135</v>
      </c>
      <c r="G15" s="247">
        <f>+IFERROR(HLOOKUP($A$1,[14]손익요약!$G$5:$AL$106,14,),)</f>
        <v>37950</v>
      </c>
      <c r="H15" s="380">
        <f>+'[9]서부산크라샤(당월)'!$F$71</f>
        <v>12075</v>
      </c>
      <c r="I15" s="250">
        <f t="shared" si="1"/>
        <v>-25875</v>
      </c>
      <c r="J15" s="249">
        <f>+IFERROR(HLOOKUP($A$1,[14]손익요약!$G$5:$AL$106,17,),)</f>
        <v>105000</v>
      </c>
      <c r="K15" s="380">
        <f>+'[9]서부산크라샤(당월)'!$I$71</f>
        <v>0</v>
      </c>
      <c r="L15" s="248">
        <f t="shared" si="2"/>
        <v>-105000</v>
      </c>
      <c r="M15" s="249">
        <f>+IFERROR(HLOOKUP($A$1,[14]손익요약!$G$5:$AL$106,20,),)</f>
        <v>198000</v>
      </c>
      <c r="N15" s="380"/>
      <c r="O15" s="248">
        <f t="shared" si="3"/>
        <v>-198000</v>
      </c>
      <c r="P15" s="405">
        <f>+G15+J15+M15</f>
        <v>340950</v>
      </c>
      <c r="Q15" s="380">
        <f>+H15+K15+N15</f>
        <v>12075</v>
      </c>
      <c r="R15" s="406">
        <f t="shared" si="4"/>
        <v>-328875</v>
      </c>
      <c r="S15" s="247">
        <f>+IFERROR(HLOOKUP($A$1,[15]손익요약!$G$5:$AL$106,11,),)</f>
        <v>60000</v>
      </c>
      <c r="T15" s="380">
        <f>+'[9]부산크라샤(당월)'!$F$71</f>
        <v>87152</v>
      </c>
      <c r="U15" s="250">
        <f t="shared" si="5"/>
        <v>27152</v>
      </c>
      <c r="V15" s="249">
        <f>+IFERROR(HLOOKUP($A$1,[15]손익요약!$G$5:$AL$106,14,),)</f>
        <v>285000</v>
      </c>
      <c r="W15" s="380">
        <f>+'[9]부산크라샤(당월)'!$I$71</f>
        <v>129808</v>
      </c>
      <c r="X15" s="248">
        <f t="shared" si="6"/>
        <v>-155192</v>
      </c>
      <c r="Y15" s="249"/>
      <c r="Z15" s="380">
        <f>+'[9]부산크라샤(당월)'!$L$71</f>
        <v>0</v>
      </c>
      <c r="AA15" s="248">
        <f t="shared" si="7"/>
        <v>0</v>
      </c>
      <c r="AB15" s="405">
        <f>+S15+V15+Y15</f>
        <v>345000</v>
      </c>
      <c r="AC15" s="380">
        <f>+T15+W15+Z15</f>
        <v>216960</v>
      </c>
      <c r="AD15" s="406">
        <f t="shared" si="8"/>
        <v>-128040</v>
      </c>
      <c r="AE15" s="248">
        <f>+IFERROR(HLOOKUP($A$1,[16]손익계획!$G$5:$AX$449,5,),)</f>
        <v>270750</v>
      </c>
      <c r="AF15" s="380">
        <f>+'[9]부산모래장(당월)'!$R$53</f>
        <v>5397.5</v>
      </c>
      <c r="AG15" s="248">
        <f t="shared" si="9"/>
        <v>-265352.5</v>
      </c>
      <c r="AH15" s="405">
        <f>+P15+AB15+AE15</f>
        <v>956700</v>
      </c>
      <c r="AI15" s="380">
        <f>+Q15+AC15+AF15</f>
        <v>234432.5</v>
      </c>
      <c r="AJ15" s="406">
        <f t="shared" si="10"/>
        <v>-722267.5</v>
      </c>
    </row>
    <row r="16" spans="1:39" ht="24" customHeight="1" x14ac:dyDescent="0.3">
      <c r="D16" s="76"/>
      <c r="E16" s="662"/>
      <c r="F16" s="256" t="s">
        <v>131</v>
      </c>
      <c r="G16" s="252">
        <f>IFERROR(G15/G10,)*1000</f>
        <v>11500</v>
      </c>
      <c r="H16" s="379">
        <f>IFERROR(H15/H10,)*1000</f>
        <v>11500</v>
      </c>
      <c r="I16" s="255">
        <f t="shared" si="1"/>
        <v>0</v>
      </c>
      <c r="J16" s="254">
        <f>IFERROR(J15/J10,)*1000</f>
        <v>15000</v>
      </c>
      <c r="K16" s="379">
        <f>IFERROR(K15/K10,)*1000</f>
        <v>0</v>
      </c>
      <c r="L16" s="253">
        <f t="shared" si="2"/>
        <v>-15000</v>
      </c>
      <c r="M16" s="254">
        <f>IFERROR(M15/M10,)*1000</f>
        <v>9000</v>
      </c>
      <c r="N16" s="379"/>
      <c r="O16" s="253">
        <f t="shared" si="3"/>
        <v>-9000</v>
      </c>
      <c r="P16" s="403">
        <f>IFERROR(P15/P10,)*1000</f>
        <v>10555.727554179568</v>
      </c>
      <c r="Q16" s="379">
        <f>IFERROR(Q15/Q10,)*1000</f>
        <v>11500</v>
      </c>
      <c r="R16" s="404">
        <f t="shared" si="4"/>
        <v>944.27244582043204</v>
      </c>
      <c r="S16" s="252">
        <f>IFERROR(S15/S10,)*1000</f>
        <v>12000</v>
      </c>
      <c r="T16" s="379">
        <f>IFERROR(T15/T10,)*1000</f>
        <v>13000</v>
      </c>
      <c r="U16" s="255">
        <f t="shared" si="5"/>
        <v>1000</v>
      </c>
      <c r="V16" s="254">
        <f>IFERROR(V15/V10,)*1000</f>
        <v>19000</v>
      </c>
      <c r="W16" s="379">
        <f>IFERROR(W15/W10,)*1000</f>
        <v>19000</v>
      </c>
      <c r="X16" s="253">
        <f t="shared" si="6"/>
        <v>0</v>
      </c>
      <c r="Y16" s="254"/>
      <c r="Z16" s="379">
        <f>IFERROR(Z15/Z10,)*1000</f>
        <v>0</v>
      </c>
      <c r="AA16" s="253">
        <f t="shared" si="7"/>
        <v>0</v>
      </c>
      <c r="AB16" s="403">
        <f>IFERROR(AB15/AB10,)*1000</f>
        <v>17250</v>
      </c>
      <c r="AC16" s="379">
        <f>IFERROR(AC15/AC10,)*1000</f>
        <v>16028.368794326241</v>
      </c>
      <c r="AD16" s="404">
        <f t="shared" si="8"/>
        <v>-1221.6312056737588</v>
      </c>
      <c r="AE16" s="253">
        <f>IFERROR(AE15/AE10,)*1000</f>
        <v>28500</v>
      </c>
      <c r="AF16" s="379">
        <f>IFERROR(AF15/AF10,)*1000</f>
        <v>28863.636363636364</v>
      </c>
      <c r="AG16" s="253">
        <f t="shared" si="9"/>
        <v>363.63636363636397</v>
      </c>
      <c r="AH16" s="403">
        <f>IFERROR(AH15/AH10,)*1000</f>
        <v>15480.582524271844</v>
      </c>
      <c r="AI16" s="379">
        <f>IFERROR(AI15/AI10,)*1000</f>
        <v>15868.983957219252</v>
      </c>
      <c r="AJ16" s="404">
        <f t="shared" si="10"/>
        <v>388.40143294740847</v>
      </c>
    </row>
    <row r="17" spans="4:39" ht="24" customHeight="1" x14ac:dyDescent="0.3">
      <c r="D17" s="76"/>
      <c r="E17" s="662"/>
      <c r="F17" s="251" t="s">
        <v>43</v>
      </c>
      <c r="G17" s="247">
        <f>G13+G15</f>
        <v>224854.53333333333</v>
      </c>
      <c r="H17" s="380">
        <f>H13+H15</f>
        <v>12075</v>
      </c>
      <c r="I17" s="250">
        <f t="shared" si="1"/>
        <v>-212779.53333333333</v>
      </c>
      <c r="J17" s="249">
        <f>J13+J15</f>
        <v>138773.58333333334</v>
      </c>
      <c r="K17" s="380">
        <f>K13+K15</f>
        <v>0</v>
      </c>
      <c r="L17" s="248">
        <f t="shared" si="2"/>
        <v>-138773.58333333334</v>
      </c>
      <c r="M17" s="249">
        <f>M13+M15</f>
        <v>198000</v>
      </c>
      <c r="N17" s="380"/>
      <c r="O17" s="248">
        <f t="shared" si="3"/>
        <v>-198000</v>
      </c>
      <c r="P17" s="405">
        <f>P13+P15</f>
        <v>561628.1166666667</v>
      </c>
      <c r="Q17" s="380">
        <f>Q13+Q15</f>
        <v>12075</v>
      </c>
      <c r="R17" s="406">
        <f t="shared" si="4"/>
        <v>-549553.1166666667</v>
      </c>
      <c r="S17" s="247">
        <f>S13+S15</f>
        <v>241137.02156471263</v>
      </c>
      <c r="T17" s="380">
        <f>T13+T15</f>
        <v>286695</v>
      </c>
      <c r="U17" s="250">
        <f t="shared" si="5"/>
        <v>45557.978435287368</v>
      </c>
      <c r="V17" s="249">
        <f>V13+V15</f>
        <v>503302.08842279902</v>
      </c>
      <c r="W17" s="380">
        <f>W13+W15</f>
        <v>335890</v>
      </c>
      <c r="X17" s="248">
        <f t="shared" si="6"/>
        <v>-167412.08842279902</v>
      </c>
      <c r="Y17" s="249"/>
      <c r="Z17" s="380">
        <f>Z13+Z15</f>
        <v>0</v>
      </c>
      <c r="AA17" s="248">
        <f t="shared" si="7"/>
        <v>0</v>
      </c>
      <c r="AB17" s="405">
        <f>AB13+AB15</f>
        <v>744439.10998751165</v>
      </c>
      <c r="AC17" s="380">
        <f>AC13+AC15</f>
        <v>622585</v>
      </c>
      <c r="AD17" s="406">
        <f t="shared" si="8"/>
        <v>-121854.10998751165</v>
      </c>
      <c r="AE17" s="248">
        <f>AE13+AE15</f>
        <v>754202.99506738409</v>
      </c>
      <c r="AF17" s="380">
        <f>AF13+AF15</f>
        <v>251085.5</v>
      </c>
      <c r="AG17" s="248">
        <f t="shared" si="9"/>
        <v>-503117.49506738409</v>
      </c>
      <c r="AH17" s="405">
        <f>AH13+AH15</f>
        <v>2060270.2217215626</v>
      </c>
      <c r="AI17" s="380">
        <f>AI13+AI15</f>
        <v>885745.5</v>
      </c>
      <c r="AJ17" s="406">
        <f t="shared" si="10"/>
        <v>-1174524.7217215626</v>
      </c>
      <c r="AL17" s="6">
        <f>+'사업장별(당월)'!O32*1000</f>
        <v>2060270.2217215623</v>
      </c>
      <c r="AM17" s="6">
        <f>+'사업장별(당월)'!P32*1000</f>
        <v>885745.5</v>
      </c>
    </row>
    <row r="18" spans="4:39" ht="24" customHeight="1" x14ac:dyDescent="0.3">
      <c r="D18" s="76"/>
      <c r="E18" s="246" t="s">
        <v>7</v>
      </c>
      <c r="F18" s="245" t="s">
        <v>134</v>
      </c>
      <c r="G18" s="660">
        <f>+IFERROR(HLOOKUP($A$1,[14]손익요약!$G$5:$AL$106,80,),)</f>
        <v>36044.663604286172</v>
      </c>
      <c r="H18" s="381">
        <f>+'[9]서부산크라샤(당월)'!$F$87</f>
        <v>0</v>
      </c>
      <c r="I18" s="232">
        <f t="shared" si="1"/>
        <v>-36044.663604286172</v>
      </c>
      <c r="J18" s="231">
        <f>+IFERROR(HLOOKUP($A$1,[14]손익요약!$G$5:$AL$106,83,),)</f>
        <v>10723.174671320901</v>
      </c>
      <c r="K18" s="381">
        <f>+'[9]서부산크라샤(당월)'!$I$87</f>
        <v>0</v>
      </c>
      <c r="L18" s="230">
        <f t="shared" si="2"/>
        <v>-10723.174671320901</v>
      </c>
      <c r="M18" s="231">
        <f>+IFERROR(HLOOKUP($A$1,[14]손익요약!$G$5:$AL$106,86,),)</f>
        <v>0</v>
      </c>
      <c r="N18" s="381"/>
      <c r="O18" s="230">
        <f t="shared" si="3"/>
        <v>0</v>
      </c>
      <c r="P18" s="407">
        <f>+G18+J18+M18</f>
        <v>46767.838275607071</v>
      </c>
      <c r="Q18" s="381">
        <f>+H18+K18+N18</f>
        <v>0</v>
      </c>
      <c r="R18" s="408">
        <f t="shared" si="4"/>
        <v>-46767.838275607071</v>
      </c>
      <c r="S18" s="660">
        <f>+IFERROR(HLOOKUP($A$1,[15]손익요약!$G$5:$U$95,57,),)</f>
        <v>-18680.460518759061</v>
      </c>
      <c r="T18" s="381">
        <f>+'[9]부산크라샤(당월)'!$F$87</f>
        <v>-108423.86041681981</v>
      </c>
      <c r="U18" s="232">
        <f t="shared" si="5"/>
        <v>-89743.399898060743</v>
      </c>
      <c r="V18" s="231">
        <f>+IFERROR(HLOOKUP($A$1,[15]손익요약!$G$5:$AL$106,60,),)</f>
        <v>44276.211359049252</v>
      </c>
      <c r="W18" s="381">
        <f>+'[9]부산크라샤(당월)'!$I$87</f>
        <v>-20242.113557525481</v>
      </c>
      <c r="X18" s="230">
        <f t="shared" si="6"/>
        <v>-64518.324916574733</v>
      </c>
      <c r="Y18" s="231"/>
      <c r="Z18" s="381">
        <f>+'[9]부산크라샤(당월)'!$L$87</f>
        <v>0</v>
      </c>
      <c r="AA18" s="230">
        <f t="shared" si="7"/>
        <v>0</v>
      </c>
      <c r="AB18" s="407">
        <f>+S18+V18+Y18</f>
        <v>25595.750840290191</v>
      </c>
      <c r="AC18" s="381">
        <f>+T18+W18+Z18</f>
        <v>-128665.97397434528</v>
      </c>
      <c r="AD18" s="408">
        <f t="shared" si="8"/>
        <v>-154261.72481463547</v>
      </c>
      <c r="AE18" s="230">
        <f>+IFERROR(HLOOKUP($A$1,[16]손익계획!$G$5:$AX$449,25,),)</f>
        <v>34889.304476485559</v>
      </c>
      <c r="AF18" s="381">
        <f>+'[9]부산모래장(당월)'!$R$82</f>
        <v>12637.243</v>
      </c>
      <c r="AG18" s="230">
        <f t="shared" si="9"/>
        <v>-22252.061476485556</v>
      </c>
      <c r="AH18" s="407">
        <f>+P18+AB18+AE18</f>
        <v>107252.89359238282</v>
      </c>
      <c r="AI18" s="381">
        <f>+Q18+AC18+AF18</f>
        <v>-116028.73097434528</v>
      </c>
      <c r="AJ18" s="408">
        <f t="shared" si="10"/>
        <v>-223281.6245667281</v>
      </c>
      <c r="AL18" s="6" t="b">
        <f>+AL17=AH17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+IFERROR(HLOOKUP($A$1,[14]손익요약!$G$5:$AL$106,79,),)</f>
        <v>-1753.1889671037204</v>
      </c>
      <c r="H19" s="382">
        <f>+'[9]서부산크라샤(당월)'!$F$86</f>
        <v>-87578.77742416448</v>
      </c>
      <c r="I19" s="243">
        <f t="shared" si="1"/>
        <v>-85825.58845706076</v>
      </c>
      <c r="J19" s="242">
        <f>+IFERROR(HLOOKUP($A$1,[14]손익요약!$G$5:$AL$106,82,),)</f>
        <v>20327.872031092313</v>
      </c>
      <c r="K19" s="382">
        <f>+'[9]서부산크라샤(당월)'!$I$86</f>
        <v>0</v>
      </c>
      <c r="L19" s="241">
        <f t="shared" si="2"/>
        <v>-20327.872031092313</v>
      </c>
      <c r="M19" s="242">
        <f>+IFERROR(HLOOKUP($A$1,[14]손익요약!$G$5:$AL$106,85,),)</f>
        <v>2529.5562245256806</v>
      </c>
      <c r="N19" s="382"/>
      <c r="O19" s="241">
        <f t="shared" si="3"/>
        <v>-2529.5562245256806</v>
      </c>
      <c r="P19" s="409">
        <f>+G19+J19+M19</f>
        <v>21104.239288514273</v>
      </c>
      <c r="Q19" s="382">
        <f>+H19+K19+N19</f>
        <v>-87578.77742416448</v>
      </c>
      <c r="R19" s="410">
        <f t="shared" si="4"/>
        <v>-108683.01671267876</v>
      </c>
      <c r="S19" s="240">
        <f>+IFERROR(HLOOKUP($A$1,[15]손익요약!$G$5:$AL$106,56,),)</f>
        <v>-27880.317742667066</v>
      </c>
      <c r="T19" s="382">
        <f>+'[9]부산크라샤(당월)'!$F$86</f>
        <v>-65768.337883860338</v>
      </c>
      <c r="U19" s="243">
        <f t="shared" si="5"/>
        <v>-37888.020141193272</v>
      </c>
      <c r="V19" s="242">
        <f>+IFERROR(HLOOKUP($A$1,[15]손익요약!$G$5:$AL$106,59,),)</f>
        <v>19416.579852947718</v>
      </c>
      <c r="W19" s="382">
        <f>+'[9]부산크라샤(당월)'!$I$86</f>
        <v>-27301.435751794386</v>
      </c>
      <c r="X19" s="241">
        <f t="shared" si="6"/>
        <v>-46718.015604742104</v>
      </c>
      <c r="Y19" s="242"/>
      <c r="Z19" s="382">
        <f>+'[9]부산크라샤(당월)'!$L$86</f>
        <v>0</v>
      </c>
      <c r="AA19" s="241">
        <f t="shared" si="7"/>
        <v>0</v>
      </c>
      <c r="AB19" s="409">
        <f>+S19+V19+Y19</f>
        <v>-8463.7378897193485</v>
      </c>
      <c r="AC19" s="382">
        <f>+T19+W19+Z19</f>
        <v>-93069.773635654725</v>
      </c>
      <c r="AD19" s="410">
        <f t="shared" si="8"/>
        <v>-84606.035745935369</v>
      </c>
      <c r="AE19" s="241">
        <f>+IFERROR(HLOOKUP($A$1,[16]손익계획!$G$5:$AX$449,24,),)</f>
        <v>19871.169328931195</v>
      </c>
      <c r="AF19" s="382">
        <f>+'[9]부산모래장(당월)'!$I$81-'[9]부산모래장(당월)'!$R$82</f>
        <v>-16303.215160914939</v>
      </c>
      <c r="AG19" s="241">
        <f t="shared" si="9"/>
        <v>-36174.384489846132</v>
      </c>
      <c r="AH19" s="409">
        <f>+P19+AB19+AE19</f>
        <v>32511.670727726119</v>
      </c>
      <c r="AI19" s="382">
        <f>+Q19+AC19+AF19</f>
        <v>-196951.76622073413</v>
      </c>
      <c r="AJ19" s="410">
        <f t="shared" si="10"/>
        <v>-229463.43694846026</v>
      </c>
    </row>
    <row r="20" spans="4:39" ht="24" customHeight="1" x14ac:dyDescent="0.3">
      <c r="D20" s="76"/>
      <c r="E20" s="663"/>
      <c r="F20" s="239" t="s">
        <v>58</v>
      </c>
      <c r="G20" s="235">
        <f>G18+G19</f>
        <v>34291.474637182451</v>
      </c>
      <c r="H20" s="383">
        <f>H18+H19</f>
        <v>-87578.77742416448</v>
      </c>
      <c r="I20" s="238">
        <f t="shared" si="1"/>
        <v>-121870.25206134692</v>
      </c>
      <c r="J20" s="237">
        <f>J18+J19</f>
        <v>31051.046702413216</v>
      </c>
      <c r="K20" s="383">
        <f>K18+K19</f>
        <v>0</v>
      </c>
      <c r="L20" s="236">
        <f t="shared" si="2"/>
        <v>-31051.046702413216</v>
      </c>
      <c r="M20" s="237">
        <f>M18+M19</f>
        <v>2529.5562245256806</v>
      </c>
      <c r="N20" s="383"/>
      <c r="O20" s="236">
        <f t="shared" si="3"/>
        <v>-2529.5562245256806</v>
      </c>
      <c r="P20" s="411">
        <f>P18+P19</f>
        <v>67872.07756412134</v>
      </c>
      <c r="Q20" s="383">
        <f>Q18+Q19</f>
        <v>-87578.77742416448</v>
      </c>
      <c r="R20" s="412">
        <f t="shared" si="4"/>
        <v>-155450.85498828581</v>
      </c>
      <c r="S20" s="235">
        <f>S18+S19</f>
        <v>-46560.778261426123</v>
      </c>
      <c r="T20" s="383">
        <f>T18+T19</f>
        <v>-174192.19830068015</v>
      </c>
      <c r="U20" s="238">
        <f t="shared" si="5"/>
        <v>-127631.42003925402</v>
      </c>
      <c r="V20" s="237">
        <f>V18+V19</f>
        <v>63692.79121199697</v>
      </c>
      <c r="W20" s="383">
        <f>W18+W19</f>
        <v>-47543.549309319867</v>
      </c>
      <c r="X20" s="236">
        <f t="shared" si="6"/>
        <v>-111236.34052131683</v>
      </c>
      <c r="Y20" s="237"/>
      <c r="Z20" s="383">
        <f>Z18+Z19</f>
        <v>0</v>
      </c>
      <c r="AA20" s="236">
        <f t="shared" si="7"/>
        <v>0</v>
      </c>
      <c r="AB20" s="411">
        <f>AB18+AB19</f>
        <v>17132.012950570843</v>
      </c>
      <c r="AC20" s="383">
        <f>AC18+AC19</f>
        <v>-221735.74761000002</v>
      </c>
      <c r="AD20" s="412">
        <f t="shared" si="8"/>
        <v>-238867.76056057087</v>
      </c>
      <c r="AE20" s="236">
        <f>AE18+AE19</f>
        <v>54760.473805416754</v>
      </c>
      <c r="AF20" s="383">
        <f>AF18+AF19</f>
        <v>-3665.9721609149383</v>
      </c>
      <c r="AG20" s="236">
        <f t="shared" si="9"/>
        <v>-58426.445966331696</v>
      </c>
      <c r="AH20" s="411">
        <f>AH18+AH19</f>
        <v>139764.56432010894</v>
      </c>
      <c r="AI20" s="383">
        <f>AI18+AI19</f>
        <v>-312980.4971950794</v>
      </c>
      <c r="AJ20" s="412">
        <f t="shared" si="10"/>
        <v>-452745.06151518831</v>
      </c>
      <c r="AL20" s="6">
        <f>+'사업장별(당월)'!T32*1000</f>
        <v>139764.564320109</v>
      </c>
      <c r="AM20" s="6">
        <f>'사업장별(당월)'!U32*1000</f>
        <v>-312980.4971950794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+IFERROR(HLOOKUP($A$1,[14]손익!$G$5:$AB$252,3,),)</f>
        <v>0</v>
      </c>
      <c r="H21" s="381">
        <f>+'[9]서부산크라샤(당월)'!$F$60</f>
        <v>0</v>
      </c>
      <c r="I21" s="232">
        <f t="shared" si="1"/>
        <v>0</v>
      </c>
      <c r="J21" s="231">
        <f>+IFERROR(HLOOKUP($A$1,[14]손익!$G$5:$AB$252,12,),)</f>
        <v>0</v>
      </c>
      <c r="K21" s="381">
        <f>+'[9]서부산크라샤(당월)'!$I$60</f>
        <v>0</v>
      </c>
      <c r="L21" s="230">
        <f t="shared" si="2"/>
        <v>0</v>
      </c>
      <c r="M21" s="231"/>
      <c r="N21" s="381"/>
      <c r="O21" s="230">
        <f t="shared" si="3"/>
        <v>0</v>
      </c>
      <c r="P21" s="407">
        <f t="shared" ref="P21:P26" si="11">+G21+J21+M21</f>
        <v>0</v>
      </c>
      <c r="Q21" s="381">
        <f t="shared" ref="Q21:Q26" si="12">+H21+K21+N21</f>
        <v>0</v>
      </c>
      <c r="R21" s="408">
        <f t="shared" si="4"/>
        <v>0</v>
      </c>
      <c r="S21" s="229">
        <f>+IFERROR(HLOOKUP($A$1,[15]손익!$G$5:$AB$252,3,),)</f>
        <v>11321.063847794539</v>
      </c>
      <c r="T21" s="381">
        <f>+'[9]부산크라샤(당월)'!$F$60</f>
        <v>6970</v>
      </c>
      <c r="U21" s="232">
        <f t="shared" si="5"/>
        <v>-4351.0638477945395</v>
      </c>
      <c r="V21" s="231">
        <f>+IFERROR(HLOOKUP($A$1,[15]손익!$G$5:$AB$252,12,),)</f>
        <v>8048.1039847219763</v>
      </c>
      <c r="W21" s="381">
        <f>+'[9]부산크라샤(당월)'!$I$60</f>
        <v>5436</v>
      </c>
      <c r="X21" s="230">
        <f t="shared" si="6"/>
        <v>-2612.1039847219763</v>
      </c>
      <c r="Y21" s="231"/>
      <c r="Z21" s="381">
        <f>+'[9]부산크라샤(당월)'!$L$60</f>
        <v>0</v>
      </c>
      <c r="AA21" s="230">
        <f t="shared" si="7"/>
        <v>0</v>
      </c>
      <c r="AB21" s="407">
        <f t="shared" ref="AB21:AB32" si="13">+S21+V21+Y21</f>
        <v>19369.167832516516</v>
      </c>
      <c r="AC21" s="381">
        <f t="shared" ref="AC21:AC32" si="14">+T21+W21+Z21</f>
        <v>12406</v>
      </c>
      <c r="AD21" s="408">
        <f t="shared" si="8"/>
        <v>-6963.1678325165158</v>
      </c>
      <c r="AE21" s="230">
        <f>+IFERROR(HLOOKUP($A$1,[16]이송계획!$G$193:$U$216,16,),)</f>
        <v>4548.5715452564309</v>
      </c>
      <c r="AF21" s="381">
        <f>+'[9]부산모래장(당월)'!$R$64</f>
        <v>3276</v>
      </c>
      <c r="AG21" s="230">
        <f t="shared" si="9"/>
        <v>-1272.5715452564309</v>
      </c>
      <c r="AH21" s="407">
        <f t="shared" ref="AH21:AI26" si="15">+P21+AB21+AE21</f>
        <v>23917.739377772945</v>
      </c>
      <c r="AI21" s="381">
        <f t="shared" si="15"/>
        <v>15682</v>
      </c>
      <c r="AJ21" s="408">
        <f t="shared" si="10"/>
        <v>-8235.7393777729449</v>
      </c>
      <c r="AL21" s="594" t="b">
        <f>+AL20=AH20</f>
        <v>1</v>
      </c>
      <c r="AM21" s="594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+IFERROR(HLOOKUP($A$1,[14]손익!$G$5:$AB$252,4,),)</f>
        <v>10363.866666666667</v>
      </c>
      <c r="H22" s="384">
        <f>+'[9]서부산크라샤(당월)'!$F$61</f>
        <v>0</v>
      </c>
      <c r="I22" s="228">
        <f t="shared" si="1"/>
        <v>-10363.866666666667</v>
      </c>
      <c r="J22" s="227">
        <f>+IFERROR(HLOOKUP($A$1,[14]손익!$G$5:$AB$252,13,),)</f>
        <v>758.73333333333335</v>
      </c>
      <c r="K22" s="384">
        <f>+'[9]서부산크라샤(당월)'!$I$61</f>
        <v>0</v>
      </c>
      <c r="L22" s="226">
        <f t="shared" si="2"/>
        <v>-758.73333333333335</v>
      </c>
      <c r="M22" s="227"/>
      <c r="N22" s="384"/>
      <c r="O22" s="226">
        <f t="shared" si="3"/>
        <v>0</v>
      </c>
      <c r="P22" s="413">
        <f t="shared" si="11"/>
        <v>11122.6</v>
      </c>
      <c r="Q22" s="384">
        <f t="shared" si="12"/>
        <v>0</v>
      </c>
      <c r="R22" s="414">
        <f t="shared" si="4"/>
        <v>-11122.6</v>
      </c>
      <c r="S22" s="225">
        <f>+IFERROR(HLOOKUP($A$1,[15]손익!$G$5:$AB$252,4,),)</f>
        <v>0</v>
      </c>
      <c r="T22" s="384">
        <f>+'[9]부산크라샤(당월)'!$F$61</f>
        <v>6464</v>
      </c>
      <c r="U22" s="228">
        <f t="shared" si="5"/>
        <v>6464</v>
      </c>
      <c r="V22" s="227">
        <f>+IFERROR(HLOOKUP($A$1,[15]손익!$G$5:$AB$252,13,),)</f>
        <v>1747.1419354838713</v>
      </c>
      <c r="W22" s="384">
        <f>+'[9]부산크라샤(당월)'!$I$61</f>
        <v>3152</v>
      </c>
      <c r="X22" s="226">
        <f t="shared" si="6"/>
        <v>1404.8580645161287</v>
      </c>
      <c r="Y22" s="227"/>
      <c r="Z22" s="384">
        <f>+'[9]부산크라샤(당월)'!$L$61</f>
        <v>0</v>
      </c>
      <c r="AA22" s="226">
        <f t="shared" si="7"/>
        <v>0</v>
      </c>
      <c r="AB22" s="413">
        <f t="shared" si="13"/>
        <v>1747.1419354838713</v>
      </c>
      <c r="AC22" s="384">
        <f t="shared" si="14"/>
        <v>9616</v>
      </c>
      <c r="AD22" s="414">
        <f t="shared" si="8"/>
        <v>7868.8580645161292</v>
      </c>
      <c r="AE22" s="226">
        <f>+IFERROR(HLOOKUP($A$1,[16]이송계획!$G$193:$U$216,17,),)</f>
        <v>3965.818181818182</v>
      </c>
      <c r="AF22" s="384">
        <f>+'[9]부산모래장(당월)'!$R$65</f>
        <v>1312</v>
      </c>
      <c r="AG22" s="226">
        <f t="shared" si="9"/>
        <v>-2653.818181818182</v>
      </c>
      <c r="AH22" s="413">
        <f t="shared" si="15"/>
        <v>16835.560117302055</v>
      </c>
      <c r="AI22" s="384">
        <f t="shared" si="15"/>
        <v>10928</v>
      </c>
      <c r="AJ22" s="414">
        <f t="shared" si="10"/>
        <v>-5907.560117302055</v>
      </c>
      <c r="AL22" s="98">
        <f>+AH20-AL20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+IFERROR(HLOOKUP($A$1,[14]손익!$G$5:$AB$252,5,),)</f>
        <v>1328</v>
      </c>
      <c r="H23" s="384">
        <f>+'[9]서부산크라샤(당월)'!$F$62</f>
        <v>0</v>
      </c>
      <c r="I23" s="228">
        <f t="shared" si="1"/>
        <v>-1328</v>
      </c>
      <c r="J23" s="227">
        <f>+IFERROR(HLOOKUP($A$1,[14]손익!$G$5:$AB$252,14,),)</f>
        <v>0</v>
      </c>
      <c r="K23" s="384">
        <f>+'[9]서부산크라샤(당월)'!$I$62</f>
        <v>0</v>
      </c>
      <c r="L23" s="226">
        <f t="shared" si="2"/>
        <v>0</v>
      </c>
      <c r="M23" s="227"/>
      <c r="N23" s="384"/>
      <c r="O23" s="226">
        <f t="shared" si="3"/>
        <v>0</v>
      </c>
      <c r="P23" s="413">
        <f t="shared" si="11"/>
        <v>1328</v>
      </c>
      <c r="Q23" s="384">
        <f t="shared" si="12"/>
        <v>0</v>
      </c>
      <c r="R23" s="414">
        <f t="shared" si="4"/>
        <v>-1328</v>
      </c>
      <c r="S23" s="225">
        <f>+IFERROR(HLOOKUP($A$1,[15]손익!$G$5:$AB$252,5,),)</f>
        <v>0</v>
      </c>
      <c r="T23" s="384">
        <f>+'[9]부산크라샤(당월)'!$F$62</f>
        <v>0</v>
      </c>
      <c r="U23" s="228">
        <f t="shared" si="5"/>
        <v>0</v>
      </c>
      <c r="V23" s="227">
        <f>+IFERROR(HLOOKUP($A$1,[15]손익!$G$5:$AB$252,14,),)</f>
        <v>0</v>
      </c>
      <c r="W23" s="384">
        <f>+'[9]부산크라샤(당월)'!$I$62</f>
        <v>0</v>
      </c>
      <c r="X23" s="226">
        <f t="shared" si="6"/>
        <v>0</v>
      </c>
      <c r="Y23" s="227"/>
      <c r="Z23" s="384">
        <f>+'[9]부산크라샤(당월)'!$L$62</f>
        <v>0</v>
      </c>
      <c r="AA23" s="226">
        <f t="shared" si="7"/>
        <v>0</v>
      </c>
      <c r="AB23" s="413">
        <f t="shared" si="13"/>
        <v>0</v>
      </c>
      <c r="AC23" s="384">
        <f t="shared" si="14"/>
        <v>0</v>
      </c>
      <c r="AD23" s="414">
        <f t="shared" si="8"/>
        <v>0</v>
      </c>
      <c r="AE23" s="226">
        <f>+IFERROR(HLOOKUP($A$1,[16]이송계획!$G$193:$U$216,18,),)</f>
        <v>3188.8111888111889</v>
      </c>
      <c r="AF23" s="384">
        <f>+'[9]부산모래장(당월)'!$V$64</f>
        <v>0</v>
      </c>
      <c r="AG23" s="226">
        <f t="shared" si="9"/>
        <v>-3188.8111888111889</v>
      </c>
      <c r="AH23" s="413">
        <f t="shared" si="15"/>
        <v>4516.8111888111889</v>
      </c>
      <c r="AI23" s="384">
        <f t="shared" si="15"/>
        <v>0</v>
      </c>
      <c r="AJ23" s="414">
        <f t="shared" si="10"/>
        <v>-4516.8111888111889</v>
      </c>
    </row>
    <row r="24" spans="4:39" ht="24" customHeight="1" x14ac:dyDescent="0.3">
      <c r="D24" s="76"/>
      <c r="E24" s="165"/>
      <c r="F24" s="220" t="s">
        <v>28</v>
      </c>
      <c r="G24" s="225">
        <f>+IFERROR(HLOOKUP($A$1,[14]손익!$G$5:$AB$252,6,),)</f>
        <v>0</v>
      </c>
      <c r="H24" s="384">
        <f>+'[9]서부산크라샤(당월)'!$F$63</f>
        <v>0</v>
      </c>
      <c r="I24" s="228">
        <f t="shared" si="1"/>
        <v>0</v>
      </c>
      <c r="J24" s="227">
        <f>+IFERROR(HLOOKUP($A$1,[14]손익!$G$5:$AB$252,15,),)</f>
        <v>0</v>
      </c>
      <c r="K24" s="384">
        <f>+'[9]서부산크라샤(당월)'!$I$63</f>
        <v>0</v>
      </c>
      <c r="L24" s="226">
        <f t="shared" si="2"/>
        <v>0</v>
      </c>
      <c r="M24" s="227"/>
      <c r="N24" s="384"/>
      <c r="O24" s="226">
        <f t="shared" si="3"/>
        <v>0</v>
      </c>
      <c r="P24" s="413">
        <f t="shared" si="11"/>
        <v>0</v>
      </c>
      <c r="Q24" s="384">
        <f t="shared" si="12"/>
        <v>0</v>
      </c>
      <c r="R24" s="414">
        <f t="shared" si="4"/>
        <v>0</v>
      </c>
      <c r="S24" s="225">
        <f>+IFERROR(HLOOKUP($A$1,[15]손익!$G$5:$AB$252,6,),)</f>
        <v>0</v>
      </c>
      <c r="T24" s="384">
        <f>+'[9]부산크라샤(당월)'!$F$63</f>
        <v>0</v>
      </c>
      <c r="U24" s="228">
        <f t="shared" si="5"/>
        <v>0</v>
      </c>
      <c r="V24" s="227">
        <f>+IFERROR(HLOOKUP($A$1,[15]손익!$G$5:$AB$252,15,),)</f>
        <v>0</v>
      </c>
      <c r="W24" s="384">
        <f>+'[9]부산크라샤(당월)'!$I$63</f>
        <v>1200</v>
      </c>
      <c r="X24" s="226">
        <f t="shared" si="6"/>
        <v>1200</v>
      </c>
      <c r="Y24" s="227"/>
      <c r="Z24" s="384">
        <f>+'[9]부산크라샤(당월)'!$L$63</f>
        <v>0</v>
      </c>
      <c r="AA24" s="226">
        <f t="shared" si="7"/>
        <v>0</v>
      </c>
      <c r="AB24" s="413">
        <f t="shared" si="13"/>
        <v>0</v>
      </c>
      <c r="AC24" s="384">
        <f t="shared" si="14"/>
        <v>1200</v>
      </c>
      <c r="AD24" s="414">
        <f t="shared" si="8"/>
        <v>1200</v>
      </c>
      <c r="AE24" s="226">
        <f>+IFERROR(HLOOKUP($A$1,[16]이송계획!$G$193:$U$216,19,),)</f>
        <v>3705.7342657342656</v>
      </c>
      <c r="AF24" s="384">
        <f>+'[9]부산모래장(당월)'!$V$65</f>
        <v>0</v>
      </c>
      <c r="AG24" s="226">
        <f t="shared" si="9"/>
        <v>-3705.7342657342656</v>
      </c>
      <c r="AH24" s="413">
        <f t="shared" si="15"/>
        <v>3705.7342657342656</v>
      </c>
      <c r="AI24" s="384">
        <f t="shared" si="15"/>
        <v>1200</v>
      </c>
      <c r="AJ24" s="414">
        <f t="shared" si="10"/>
        <v>-2505.7342657342656</v>
      </c>
    </row>
    <row r="25" spans="4:39" ht="24" customHeight="1" x14ac:dyDescent="0.3">
      <c r="D25" s="76"/>
      <c r="E25" s="165"/>
      <c r="F25" s="220" t="s">
        <v>29</v>
      </c>
      <c r="G25" s="225">
        <f>+IFERROR(HLOOKUP($A$1,[14]손익!$G$5:$AB$252,7,),)</f>
        <v>0</v>
      </c>
      <c r="H25" s="384">
        <f>+'[9]서부산크라샤(당월)'!$F$64</f>
        <v>0</v>
      </c>
      <c r="I25" s="228">
        <f t="shared" si="1"/>
        <v>0</v>
      </c>
      <c r="J25" s="227">
        <f>+IFERROR(HLOOKUP($A$1,[14]손익!$G$5:$AB$252,16,),)</f>
        <v>687.03</v>
      </c>
      <c r="K25" s="384">
        <f>+'[9]서부산크라샤(당월)'!$I$64</f>
        <v>0</v>
      </c>
      <c r="L25" s="226">
        <f t="shared" si="2"/>
        <v>-687.03</v>
      </c>
      <c r="M25" s="227"/>
      <c r="N25" s="384"/>
      <c r="O25" s="226">
        <f t="shared" si="3"/>
        <v>0</v>
      </c>
      <c r="P25" s="413">
        <f t="shared" si="11"/>
        <v>687.03</v>
      </c>
      <c r="Q25" s="384">
        <f t="shared" si="12"/>
        <v>0</v>
      </c>
      <c r="R25" s="414">
        <f t="shared" si="4"/>
        <v>-687.03</v>
      </c>
      <c r="S25" s="225">
        <f>+IFERROR(HLOOKUP($A$1,[15]손익!$G$5:$AB$252,7,),)</f>
        <v>0</v>
      </c>
      <c r="T25" s="384">
        <f>+'[9]부산크라샤(당월)'!$F$64</f>
        <v>0</v>
      </c>
      <c r="U25" s="228">
        <f t="shared" si="5"/>
        <v>0</v>
      </c>
      <c r="V25" s="227">
        <f>+IFERROR(HLOOKUP($A$1,[15]손익!$G$5:$AB$252,16,),)</f>
        <v>0</v>
      </c>
      <c r="W25" s="384">
        <f>+'[9]부산크라샤(당월)'!$I$64</f>
        <v>0</v>
      </c>
      <c r="X25" s="226">
        <f t="shared" si="6"/>
        <v>0</v>
      </c>
      <c r="Y25" s="227"/>
      <c r="Z25" s="384">
        <f>+'[9]부산크라샤(당월)'!$L$64</f>
        <v>0</v>
      </c>
      <c r="AA25" s="226">
        <f t="shared" si="7"/>
        <v>0</v>
      </c>
      <c r="AB25" s="413">
        <f t="shared" si="13"/>
        <v>0</v>
      </c>
      <c r="AC25" s="384">
        <f t="shared" si="14"/>
        <v>0</v>
      </c>
      <c r="AD25" s="414">
        <f t="shared" si="8"/>
        <v>0</v>
      </c>
      <c r="AE25" s="226">
        <f>+IFERROR(HLOOKUP($A$1,[16]이송계획!$G$193:$U$216,20,),)</f>
        <v>1602.86013986014</v>
      </c>
      <c r="AF25" s="384">
        <f>+'[9]부산모래장(당월)'!$R$66</f>
        <v>1632</v>
      </c>
      <c r="AG25" s="226">
        <f t="shared" si="9"/>
        <v>29.139860139860048</v>
      </c>
      <c r="AH25" s="413">
        <f t="shared" si="15"/>
        <v>2289.8901398601402</v>
      </c>
      <c r="AI25" s="384">
        <f t="shared" si="15"/>
        <v>1632</v>
      </c>
      <c r="AJ25" s="414">
        <f t="shared" si="10"/>
        <v>-657.89013986014015</v>
      </c>
    </row>
    <row r="26" spans="4:39" ht="24" customHeight="1" x14ac:dyDescent="0.3">
      <c r="D26" s="76"/>
      <c r="E26" s="165"/>
      <c r="F26" s="220" t="s">
        <v>30</v>
      </c>
      <c r="G26" s="225">
        <f>+IFERROR(HLOOKUP($A$1,[14]손익!$G$5:$AB$252,8,),)</f>
        <v>780.26666666666665</v>
      </c>
      <c r="H26" s="384">
        <f>+'[9]서부산크라샤(당월)'!$F$65</f>
        <v>0</v>
      </c>
      <c r="I26" s="228">
        <f t="shared" si="1"/>
        <v>-780.26666666666665</v>
      </c>
      <c r="J26" s="227">
        <f>+IFERROR(HLOOKUP($A$1,[14]손익!$G$5:$AB$252,17,),)</f>
        <v>451.73333333333335</v>
      </c>
      <c r="K26" s="384">
        <f>+'[9]서부산크라샤(당월)'!$I$65</f>
        <v>0</v>
      </c>
      <c r="L26" s="226">
        <f t="shared" si="2"/>
        <v>-451.73333333333335</v>
      </c>
      <c r="M26" s="227"/>
      <c r="N26" s="384"/>
      <c r="O26" s="226">
        <f t="shared" si="3"/>
        <v>0</v>
      </c>
      <c r="P26" s="413">
        <f t="shared" si="11"/>
        <v>1232</v>
      </c>
      <c r="Q26" s="382">
        <f t="shared" si="12"/>
        <v>0</v>
      </c>
      <c r="R26" s="432">
        <f t="shared" si="4"/>
        <v>-1232</v>
      </c>
      <c r="S26" s="225">
        <f>+IFERROR(HLOOKUP($A$1,[15]손익!$G$5:$AB$252,8,),)</f>
        <v>0</v>
      </c>
      <c r="T26" s="384">
        <f>+'[9]부산크라샤(당월)'!$F$65</f>
        <v>0</v>
      </c>
      <c r="U26" s="228">
        <f t="shared" si="5"/>
        <v>0</v>
      </c>
      <c r="V26" s="227">
        <f>+IFERROR(HLOOKUP($A$1,[15]손익!$G$5:$AB$252,17,),)</f>
        <v>0</v>
      </c>
      <c r="W26" s="384">
        <f>+'[9]부산크라샤(당월)'!$I$65</f>
        <v>0</v>
      </c>
      <c r="X26" s="226">
        <f t="shared" si="6"/>
        <v>0</v>
      </c>
      <c r="Y26" s="227"/>
      <c r="Z26" s="384">
        <f>+'[9]부산크라샤(당월)'!$L$65</f>
        <v>0</v>
      </c>
      <c r="AA26" s="226">
        <f t="shared" si="7"/>
        <v>0</v>
      </c>
      <c r="AB26" s="413">
        <f t="shared" si="13"/>
        <v>0</v>
      </c>
      <c r="AC26" s="382">
        <f t="shared" si="14"/>
        <v>0</v>
      </c>
      <c r="AD26" s="432">
        <f t="shared" si="8"/>
        <v>0</v>
      </c>
      <c r="AE26" s="226">
        <f>+IFERROR(HLOOKUP($A$1,[16]이송계획!$G$193:$U$216,21,),)</f>
        <v>0</v>
      </c>
      <c r="AF26" s="384"/>
      <c r="AG26" s="226">
        <f t="shared" si="9"/>
        <v>0</v>
      </c>
      <c r="AH26" s="413">
        <f t="shared" si="15"/>
        <v>1232</v>
      </c>
      <c r="AI26" s="382">
        <f t="shared" si="15"/>
        <v>0</v>
      </c>
      <c r="AJ26" s="414">
        <f t="shared" si="10"/>
        <v>-1232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+IFERROR(HLOOKUP($A$1,[14]손익!$G$5:$AB$252,31,),)</f>
        <v>0</v>
      </c>
      <c r="H27" s="385">
        <f t="shared" ref="H27:H32" si="16">IFERROR(H35/H21,)*1000</f>
        <v>0</v>
      </c>
      <c r="I27" s="192">
        <f t="shared" si="1"/>
        <v>0</v>
      </c>
      <c r="J27" s="222">
        <f>+IFERROR(HLOOKUP($A$1,[14]손익!$G$5:$AB$252,40,),)</f>
        <v>0</v>
      </c>
      <c r="K27" s="385">
        <f t="shared" ref="K27:K32" si="17">IFERROR(K35/K21,)*1000</f>
        <v>0</v>
      </c>
      <c r="L27" s="204">
        <f t="shared" si="2"/>
        <v>0</v>
      </c>
      <c r="M27" s="222"/>
      <c r="N27" s="385"/>
      <c r="O27" s="204">
        <f t="shared" si="3"/>
        <v>0</v>
      </c>
      <c r="P27" s="427">
        <f>+IFERROR(HLOOKUP($A$1,[14]손익!$G$5:$AB$252,48,),)</f>
        <v>9000</v>
      </c>
      <c r="Q27" s="423">
        <f t="shared" ref="Q27:Q32" si="18">IFERROR(Q35/Q21,)*1000</f>
        <v>0</v>
      </c>
      <c r="R27" s="433">
        <f t="shared" si="4"/>
        <v>-9000</v>
      </c>
      <c r="S27" s="191">
        <f>+IFERROR(HLOOKUP($A$1,[15]손익!$G$5:$AB$252,30,),)</f>
        <v>16000</v>
      </c>
      <c r="T27" s="385">
        <f t="shared" ref="T27:T32" si="19">IFERROR(T35/T21,)*1000</f>
        <v>17500</v>
      </c>
      <c r="U27" s="192">
        <f t="shared" si="5"/>
        <v>1500</v>
      </c>
      <c r="V27" s="222">
        <f>+IFERROR(HLOOKUP($A$1,[15]손익!$G$5:$AB$252,39,),)</f>
        <v>23000</v>
      </c>
      <c r="W27" s="385">
        <f t="shared" ref="W27:W32" si="20">IFERROR(W35/W21,)*1000</f>
        <v>23500</v>
      </c>
      <c r="X27" s="204">
        <f t="shared" si="6"/>
        <v>500</v>
      </c>
      <c r="Y27" s="222"/>
      <c r="Z27" s="385">
        <f t="shared" ref="Z27" si="21">IFERROR(Z35/Z21,)*1000</f>
        <v>0</v>
      </c>
      <c r="AA27" s="204">
        <f t="shared" si="7"/>
        <v>0</v>
      </c>
      <c r="AB27" s="427">
        <f t="shared" si="13"/>
        <v>39000</v>
      </c>
      <c r="AC27" s="423">
        <f t="shared" si="14"/>
        <v>41000</v>
      </c>
      <c r="AD27" s="433">
        <f t="shared" si="8"/>
        <v>2000</v>
      </c>
      <c r="AE27" s="204">
        <f t="shared" ref="AE27:AF32" si="22">IFERROR(AE35/AE21,)*1000</f>
        <v>30499.999999999996</v>
      </c>
      <c r="AF27" s="385">
        <f t="shared" si="22"/>
        <v>27115.995115995116</v>
      </c>
      <c r="AG27" s="204">
        <f t="shared" si="9"/>
        <v>-3384.0048840048803</v>
      </c>
      <c r="AH27" s="415">
        <f t="shared" ref="AH27:AH32" si="23">+AH35/AH21*1000</f>
        <v>21112.983855527698</v>
      </c>
      <c r="AI27" s="385">
        <f t="shared" ref="AI27:AI32" si="24">IFERROR(AI35/AI21,)*1000</f>
        <v>21588.636653488076</v>
      </c>
      <c r="AJ27" s="416">
        <f t="shared" si="10"/>
        <v>475.65279796037794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>+IFERROR(HLOOKUP($A$1,[14]손익!$G$5:$AB$252,32,),)</f>
        <v>16000</v>
      </c>
      <c r="H28" s="95">
        <f t="shared" si="16"/>
        <v>0</v>
      </c>
      <c r="I28" s="190">
        <f t="shared" si="1"/>
        <v>-16000</v>
      </c>
      <c r="J28" s="219">
        <f>+IFERROR(HLOOKUP($A$1,[14]손익!$G$5:$AB$252,41,),)</f>
        <v>22000</v>
      </c>
      <c r="K28" s="95">
        <f t="shared" si="17"/>
        <v>0</v>
      </c>
      <c r="L28" s="195">
        <f t="shared" si="2"/>
        <v>-22000</v>
      </c>
      <c r="M28" s="219"/>
      <c r="N28" s="95"/>
      <c r="O28" s="195">
        <f t="shared" si="3"/>
        <v>0</v>
      </c>
      <c r="P28" s="428">
        <f>+IFERROR(HLOOKUP($A$1,[14]손익!$G$5:$AB$252,49,),)</f>
        <v>10555.727554179568</v>
      </c>
      <c r="Q28" s="424">
        <f t="shared" si="18"/>
        <v>0</v>
      </c>
      <c r="R28" s="434">
        <f t="shared" si="4"/>
        <v>-10555.727554179568</v>
      </c>
      <c r="S28" s="189">
        <f>+IFERROR(HLOOKUP($A$1,[15]손익!$G$5:$AB$252,31,),)</f>
        <v>0</v>
      </c>
      <c r="T28" s="95">
        <f t="shared" si="19"/>
        <v>12000</v>
      </c>
      <c r="U28" s="190">
        <f t="shared" si="5"/>
        <v>12000</v>
      </c>
      <c r="V28" s="219">
        <f>+IFERROR(HLOOKUP($A$1,[15]손익!$G$5:$AB$252,40,),)</f>
        <v>19000</v>
      </c>
      <c r="W28" s="95">
        <f t="shared" si="20"/>
        <v>18000</v>
      </c>
      <c r="X28" s="195">
        <f t="shared" si="6"/>
        <v>-1000</v>
      </c>
      <c r="Y28" s="219"/>
      <c r="Z28" s="95">
        <f t="shared" ref="Z28" si="25">IFERROR(Z36/Z22,)*1000</f>
        <v>0</v>
      </c>
      <c r="AA28" s="195">
        <f t="shared" si="7"/>
        <v>0</v>
      </c>
      <c r="AB28" s="428">
        <f t="shared" si="13"/>
        <v>19000</v>
      </c>
      <c r="AC28" s="424">
        <f t="shared" si="14"/>
        <v>30000</v>
      </c>
      <c r="AD28" s="434">
        <f t="shared" si="8"/>
        <v>11000</v>
      </c>
      <c r="AE28" s="195">
        <f t="shared" si="22"/>
        <v>27999.999999999996</v>
      </c>
      <c r="AF28" s="95">
        <f t="shared" si="22"/>
        <v>28000</v>
      </c>
      <c r="AG28" s="195">
        <f t="shared" si="9"/>
        <v>0</v>
      </c>
      <c r="AH28" s="417">
        <f t="shared" si="23"/>
        <v>19408.478458004854</v>
      </c>
      <c r="AI28" s="95">
        <f t="shared" si="24"/>
        <v>15651.537335285506</v>
      </c>
      <c r="AJ28" s="418">
        <f t="shared" si="10"/>
        <v>-3756.9411227193486</v>
      </c>
    </row>
    <row r="29" spans="4:39" ht="24" customHeight="1" x14ac:dyDescent="0.3">
      <c r="D29" s="76"/>
      <c r="E29" s="165"/>
      <c r="F29" s="220" t="s">
        <v>27</v>
      </c>
      <c r="G29" s="189">
        <f>+IFERROR(HLOOKUP($A$1,[14]손익!$G$5:$AB$252,33,),)</f>
        <v>10000</v>
      </c>
      <c r="H29" s="95">
        <f t="shared" si="16"/>
        <v>0</v>
      </c>
      <c r="I29" s="190">
        <f t="shared" si="1"/>
        <v>-10000</v>
      </c>
      <c r="J29" s="219">
        <f>+IFERROR(HLOOKUP($A$1,[14]손익!$G$5:$AB$252,42,),)</f>
        <v>0</v>
      </c>
      <c r="K29" s="95">
        <f t="shared" si="17"/>
        <v>0</v>
      </c>
      <c r="L29" s="195">
        <f t="shared" si="2"/>
        <v>0</v>
      </c>
      <c r="M29" s="219"/>
      <c r="N29" s="95"/>
      <c r="O29" s="195">
        <f t="shared" si="3"/>
        <v>0</v>
      </c>
      <c r="P29" s="429">
        <f>+IFERROR(HLOOKUP($A$1,[14]손익!$G$5:$AB$252,50,),)</f>
        <v>0</v>
      </c>
      <c r="Q29" s="425">
        <f t="shared" si="18"/>
        <v>0</v>
      </c>
      <c r="R29" s="434">
        <f t="shared" si="4"/>
        <v>0</v>
      </c>
      <c r="S29" s="189">
        <f>+IFERROR(HLOOKUP($A$1,[15]손익!$G$5:$AB$252,32,),)</f>
        <v>0</v>
      </c>
      <c r="T29" s="95">
        <f t="shared" si="19"/>
        <v>0</v>
      </c>
      <c r="U29" s="190">
        <f t="shared" si="5"/>
        <v>0</v>
      </c>
      <c r="V29" s="219">
        <f>+IFERROR(HLOOKUP($A$1,[15]손익!$G$5:$AB$252,41,),)</f>
        <v>0</v>
      </c>
      <c r="W29" s="95">
        <f t="shared" si="20"/>
        <v>0</v>
      </c>
      <c r="X29" s="195">
        <f t="shared" si="6"/>
        <v>0</v>
      </c>
      <c r="Y29" s="219"/>
      <c r="Z29" s="95">
        <f t="shared" ref="Z29" si="26">IFERROR(Z37/Z23,)*1000</f>
        <v>0</v>
      </c>
      <c r="AA29" s="195">
        <f t="shared" si="7"/>
        <v>0</v>
      </c>
      <c r="AB29" s="429">
        <f t="shared" si="13"/>
        <v>0</v>
      </c>
      <c r="AC29" s="425">
        <f t="shared" si="14"/>
        <v>0</v>
      </c>
      <c r="AD29" s="434">
        <f t="shared" si="8"/>
        <v>0</v>
      </c>
      <c r="AE29" s="195">
        <f t="shared" si="22"/>
        <v>27500.000000000004</v>
      </c>
      <c r="AF29" s="95">
        <f t="shared" si="22"/>
        <v>0</v>
      </c>
      <c r="AG29" s="195">
        <f t="shared" si="9"/>
        <v>-27500.000000000004</v>
      </c>
      <c r="AH29" s="417">
        <f t="shared" si="23"/>
        <v>22354.777180509798</v>
      </c>
      <c r="AI29" s="95">
        <f t="shared" si="24"/>
        <v>0</v>
      </c>
      <c r="AJ29" s="418">
        <f t="shared" si="10"/>
        <v>-22354.777180509798</v>
      </c>
    </row>
    <row r="30" spans="4:39" ht="24" customHeight="1" x14ac:dyDescent="0.3">
      <c r="D30" s="76"/>
      <c r="E30" s="165"/>
      <c r="F30" s="220" t="s">
        <v>28</v>
      </c>
      <c r="G30" s="189">
        <f>+IFERROR(HLOOKUP($A$1,[14]손익!$G$5:$AB$252,34,),)</f>
        <v>0</v>
      </c>
      <c r="H30" s="95">
        <f t="shared" si="16"/>
        <v>0</v>
      </c>
      <c r="I30" s="190">
        <f t="shared" si="1"/>
        <v>0</v>
      </c>
      <c r="J30" s="219">
        <f>+IFERROR(HLOOKUP($A$1,[14]손익!$G$5:$AB$252,43,),)</f>
        <v>0</v>
      </c>
      <c r="K30" s="95">
        <f t="shared" si="17"/>
        <v>0</v>
      </c>
      <c r="L30" s="195">
        <f t="shared" si="2"/>
        <v>0</v>
      </c>
      <c r="M30" s="219"/>
      <c r="N30" s="95"/>
      <c r="O30" s="195">
        <f t="shared" si="3"/>
        <v>0</v>
      </c>
      <c r="P30" s="429">
        <f>+IFERROR(HLOOKUP($A$1,[14]손익!$G$5:$AB$252,51,),)</f>
        <v>16409.292791253843</v>
      </c>
      <c r="Q30" s="55">
        <f t="shared" si="18"/>
        <v>0</v>
      </c>
      <c r="R30" s="435">
        <f t="shared" si="4"/>
        <v>-16409.292791253843</v>
      </c>
      <c r="S30" s="189">
        <f>+IFERROR(HLOOKUP($A$1,[15]손익!$G$5:$AB$252,33,),)</f>
        <v>0</v>
      </c>
      <c r="T30" s="95">
        <f t="shared" si="19"/>
        <v>0</v>
      </c>
      <c r="U30" s="190">
        <f t="shared" si="5"/>
        <v>0</v>
      </c>
      <c r="V30" s="219">
        <f>+IFERROR(HLOOKUP($A$1,[15]손익!$G$5:$AB$252,42,),)</f>
        <v>0</v>
      </c>
      <c r="W30" s="95">
        <f t="shared" si="20"/>
        <v>18000</v>
      </c>
      <c r="X30" s="195">
        <f t="shared" si="6"/>
        <v>18000</v>
      </c>
      <c r="Y30" s="219"/>
      <c r="Z30" s="95">
        <f t="shared" ref="Z30" si="27">IFERROR(Z38/Z24,)*1000</f>
        <v>0</v>
      </c>
      <c r="AA30" s="195">
        <f t="shared" si="7"/>
        <v>0</v>
      </c>
      <c r="AB30" s="429">
        <f t="shared" si="13"/>
        <v>0</v>
      </c>
      <c r="AC30" s="55">
        <f t="shared" si="14"/>
        <v>18000</v>
      </c>
      <c r="AD30" s="435">
        <f t="shared" si="8"/>
        <v>18000</v>
      </c>
      <c r="AE30" s="195">
        <f t="shared" si="22"/>
        <v>27500</v>
      </c>
      <c r="AF30" s="95">
        <f t="shared" si="22"/>
        <v>0</v>
      </c>
      <c r="AG30" s="195">
        <f t="shared" si="9"/>
        <v>-27500</v>
      </c>
      <c r="AH30" s="417">
        <f t="shared" si="23"/>
        <v>27500</v>
      </c>
      <c r="AI30" s="95">
        <f t="shared" si="24"/>
        <v>80700</v>
      </c>
      <c r="AJ30" s="418">
        <f t="shared" si="10"/>
        <v>53200</v>
      </c>
    </row>
    <row r="31" spans="4:39" ht="24" customHeight="1" x14ac:dyDescent="0.3">
      <c r="D31" s="76"/>
      <c r="E31" s="165"/>
      <c r="F31" s="220" t="s">
        <v>29</v>
      </c>
      <c r="G31" s="189">
        <f>+IFERROR(HLOOKUP($A$1,[14]손익!$G$5:$AB$252,35,),)</f>
        <v>0</v>
      </c>
      <c r="H31" s="95">
        <f t="shared" si="16"/>
        <v>0</v>
      </c>
      <c r="I31" s="190">
        <f t="shared" si="1"/>
        <v>0</v>
      </c>
      <c r="J31" s="219">
        <f>+IFERROR(HLOOKUP($A$1,[14]손익!$G$5:$AB$252,44,),)</f>
        <v>15000</v>
      </c>
      <c r="K31" s="95">
        <f t="shared" si="17"/>
        <v>0</v>
      </c>
      <c r="L31" s="195">
        <f t="shared" si="2"/>
        <v>-15000</v>
      </c>
      <c r="M31" s="219"/>
      <c r="N31" s="95"/>
      <c r="O31" s="195">
        <f t="shared" si="3"/>
        <v>0</v>
      </c>
      <c r="P31" s="429">
        <f>+IFERROR(HLOOKUP($A$1,[14]손익!$G$5:$AB$252,52,),)</f>
        <v>10000</v>
      </c>
      <c r="Q31" s="55">
        <f t="shared" si="18"/>
        <v>0</v>
      </c>
      <c r="R31" s="435">
        <f t="shared" si="4"/>
        <v>-10000</v>
      </c>
      <c r="S31" s="189">
        <f>+IFERROR(HLOOKUP($A$1,[15]손익!$G$5:$AB$252,34,),)</f>
        <v>0</v>
      </c>
      <c r="T31" s="95">
        <f t="shared" si="19"/>
        <v>0</v>
      </c>
      <c r="U31" s="190">
        <f t="shared" si="5"/>
        <v>0</v>
      </c>
      <c r="V31" s="219">
        <f>+IFERROR(HLOOKUP($A$1,[15]손익!$G$5:$AB$252,43,),)</f>
        <v>0</v>
      </c>
      <c r="W31" s="95">
        <f t="shared" si="20"/>
        <v>0</v>
      </c>
      <c r="X31" s="195">
        <f t="shared" si="6"/>
        <v>0</v>
      </c>
      <c r="Y31" s="219"/>
      <c r="Z31" s="95">
        <f t="shared" ref="Z31" si="28">IFERROR(Z39/Z25,)*1000</f>
        <v>0</v>
      </c>
      <c r="AA31" s="195">
        <f t="shared" si="7"/>
        <v>0</v>
      </c>
      <c r="AB31" s="429">
        <f t="shared" si="13"/>
        <v>0</v>
      </c>
      <c r="AC31" s="55">
        <f t="shared" si="14"/>
        <v>0</v>
      </c>
      <c r="AD31" s="435">
        <f t="shared" si="8"/>
        <v>0</v>
      </c>
      <c r="AE31" s="195">
        <f t="shared" si="22"/>
        <v>27500</v>
      </c>
      <c r="AF31" s="95">
        <f t="shared" si="22"/>
        <v>0</v>
      </c>
      <c r="AG31" s="195">
        <f t="shared" si="9"/>
        <v>-27500</v>
      </c>
      <c r="AH31" s="417">
        <f t="shared" si="23"/>
        <v>23749.656326078366</v>
      </c>
      <c r="AI31" s="95">
        <f t="shared" si="24"/>
        <v>0</v>
      </c>
      <c r="AJ31" s="418">
        <f t="shared" si="10"/>
        <v>-23749.656326078366</v>
      </c>
    </row>
    <row r="32" spans="4:39" ht="24" customHeight="1" thickBot="1" x14ac:dyDescent="0.35">
      <c r="D32" s="76"/>
      <c r="E32" s="217"/>
      <c r="F32" s="216" t="s">
        <v>30</v>
      </c>
      <c r="G32" s="212">
        <f>+IFERROR(HLOOKUP($A$1,[14]손익!$G$5:$AB$252,36,),)</f>
        <v>10000</v>
      </c>
      <c r="H32" s="386">
        <f t="shared" si="16"/>
        <v>0</v>
      </c>
      <c r="I32" s="215">
        <f t="shared" si="1"/>
        <v>-10000</v>
      </c>
      <c r="J32" s="214">
        <f>+IFERROR(HLOOKUP($A$1,[14]손익!$G$5:$AB$252,45,),)</f>
        <v>15000</v>
      </c>
      <c r="K32" s="386">
        <f t="shared" si="17"/>
        <v>0</v>
      </c>
      <c r="L32" s="213">
        <f t="shared" si="2"/>
        <v>-15000</v>
      </c>
      <c r="M32" s="214"/>
      <c r="N32" s="386"/>
      <c r="O32" s="213">
        <f t="shared" si="3"/>
        <v>0</v>
      </c>
      <c r="P32" s="430">
        <f>+IFERROR(HLOOKUP($A$1,[14]손익!$G$5:$AB$252,53,),)</f>
        <v>0</v>
      </c>
      <c r="Q32" s="426">
        <f t="shared" si="18"/>
        <v>0</v>
      </c>
      <c r="R32" s="436">
        <f t="shared" si="4"/>
        <v>0</v>
      </c>
      <c r="S32" s="212">
        <f>+IFERROR(HLOOKUP($A$1,[15]손익!$G$5:$AB$252,35,),)</f>
        <v>0</v>
      </c>
      <c r="T32" s="386">
        <f t="shared" si="19"/>
        <v>0</v>
      </c>
      <c r="U32" s="215">
        <f t="shared" si="5"/>
        <v>0</v>
      </c>
      <c r="V32" s="214">
        <f>+IFERROR(HLOOKUP($A$1,[15]손익!$G$5:$AB$252,44,),)</f>
        <v>0</v>
      </c>
      <c r="W32" s="386">
        <f t="shared" si="20"/>
        <v>0</v>
      </c>
      <c r="X32" s="213">
        <f t="shared" si="6"/>
        <v>0</v>
      </c>
      <c r="Y32" s="214"/>
      <c r="Z32" s="386">
        <f t="shared" ref="Z32" si="29">IFERROR(Z40/Z26,)*1000</f>
        <v>0</v>
      </c>
      <c r="AA32" s="213">
        <f t="shared" si="7"/>
        <v>0</v>
      </c>
      <c r="AB32" s="430">
        <f t="shared" si="13"/>
        <v>0</v>
      </c>
      <c r="AC32" s="426">
        <f t="shared" si="14"/>
        <v>0</v>
      </c>
      <c r="AD32" s="436">
        <f t="shared" si="8"/>
        <v>0</v>
      </c>
      <c r="AE32" s="213">
        <f t="shared" si="22"/>
        <v>0</v>
      </c>
      <c r="AF32" s="386">
        <f t="shared" si="22"/>
        <v>0</v>
      </c>
      <c r="AG32" s="213">
        <f t="shared" si="9"/>
        <v>0</v>
      </c>
      <c r="AH32" s="419">
        <f t="shared" si="23"/>
        <v>11833.333333333334</v>
      </c>
      <c r="AI32" s="420">
        <f t="shared" si="24"/>
        <v>0</v>
      </c>
      <c r="AJ32" s="421">
        <f t="shared" si="10"/>
        <v>-11833.333333333334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30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31">+Q35-P35</f>
        <v>0</v>
      </c>
      <c r="S35" s="6">
        <f>+IFERROR(HLOOKUP($A$1,[15]손익!$G$5:$AB$252,57,),)</f>
        <v>181137.02156471263</v>
      </c>
      <c r="T35" s="6">
        <f>+IFERROR(VLOOKUP($F35,'[17]부산크라샤(손익)'!$L$16:$R$29,3,),)/1000</f>
        <v>121975</v>
      </c>
      <c r="U35" s="6">
        <f t="shared" ref="U35:U41" si="32">+T35-S35</f>
        <v>-59162.021564712632</v>
      </c>
      <c r="V35" s="76">
        <f>+IFERROR(HLOOKUP($A$1,[15]손익!$G$5:$AB$252,66,),)</f>
        <v>185106.39164860547</v>
      </c>
      <c r="W35" s="6">
        <f>+IFERROR(VLOOKUP($F35,'[17]부산크라샤(손익)'!$L$16:$R$29,4,),)/1000</f>
        <v>127746</v>
      </c>
      <c r="X35" s="6">
        <f>+W35-V35</f>
        <v>-57360.391648605466</v>
      </c>
      <c r="AA35" s="6">
        <f>+Z35-Y35</f>
        <v>0</v>
      </c>
      <c r="AB35" s="6">
        <f>SUM(S35,V35)</f>
        <v>366243.4132133181</v>
      </c>
      <c r="AC35" s="6">
        <f t="shared" ref="AC35:AC41" si="33">SUM(T35,W35)</f>
        <v>249721</v>
      </c>
      <c r="AD35" s="6">
        <f t="shared" ref="AD35:AD41" si="34">+AC35-AB35</f>
        <v>-116522.4132133181</v>
      </c>
      <c r="AE35" s="437">
        <f>+IFERROR(HLOOKUP($A$1,[16]이송계획!$G$70:$W$100,16,),)+IFERROR(HLOOKUP($A$1,[16]이송계획!$G$70:$W$100,23,),)</f>
        <v>138731.43213032113</v>
      </c>
      <c r="AF35" s="6">
        <f>+'[9]부산모래장(당월)'!R76</f>
        <v>88832</v>
      </c>
      <c r="AH35" s="76">
        <f t="shared" ref="AH35:AI41" si="35">+P35+AB35+AE35</f>
        <v>504974.84534363926</v>
      </c>
      <c r="AI35" s="76">
        <f t="shared" si="35"/>
        <v>338553</v>
      </c>
      <c r="AJ35" s="6">
        <f t="shared" ref="AJ35:AJ41" si="36">+AI35-AH35</f>
        <v>-166421.84534363926</v>
      </c>
    </row>
    <row r="36" spans="5:36" ht="21.95" customHeight="1" x14ac:dyDescent="0.3">
      <c r="E36" s="26" t="s">
        <v>77</v>
      </c>
      <c r="F36" s="431" t="s">
        <v>26</v>
      </c>
      <c r="G36" s="6">
        <f>+IFERROR(HLOOKUP($A$1,[14]손익!$G$5:$AB$252,60,),)</f>
        <v>165821.86666666667</v>
      </c>
      <c r="H36" s="6">
        <f>+IFERROR(VLOOKUP($F36,'[17]서부산(손익)'!$L$16:$R$29,4,),)/1000</f>
        <v>0</v>
      </c>
      <c r="I36" s="6">
        <f t="shared" si="30"/>
        <v>-165821.86666666667</v>
      </c>
      <c r="J36" s="76">
        <f>+IFERROR(HLOOKUP($A$1,[14]손익!$G$5:$AB$252,69,),)</f>
        <v>16692.133333333335</v>
      </c>
      <c r="K36" s="6">
        <f>+IFERROR(VLOOKUP($F36,'[17]서부산(손익)'!$L$16:$R$29,3,),)/1000</f>
        <v>0</v>
      </c>
      <c r="L36" s="6">
        <f t="shared" ref="L36:L41" si="37">+K36-J36</f>
        <v>-16692.133333333335</v>
      </c>
      <c r="M36" s="76"/>
      <c r="O36" s="6">
        <f t="shared" ref="O36:O41" si="38">+N36-M36</f>
        <v>0</v>
      </c>
      <c r="P36" s="6">
        <f t="shared" ref="P36:P41" si="39">SUM(G36,J36,M36)</f>
        <v>182514</v>
      </c>
      <c r="Q36" s="6">
        <f t="shared" ref="Q36:Q41" si="40">SUM(H36,K36,N36)</f>
        <v>0</v>
      </c>
      <c r="R36" s="6">
        <f t="shared" si="31"/>
        <v>-182514</v>
      </c>
      <c r="S36" s="6">
        <f>+IFERROR(HLOOKUP($A$1,[15]손익!$G$5:$AB$252,58,),)</f>
        <v>0</v>
      </c>
      <c r="T36" s="6">
        <f>+IFERROR(VLOOKUP($F36,'[17]부산크라샤(손익)'!$L$16:$R$29,3,),)/1000</f>
        <v>77568</v>
      </c>
      <c r="U36" s="6">
        <f t="shared" si="32"/>
        <v>77568</v>
      </c>
      <c r="V36" s="76">
        <f>+IFERROR(HLOOKUP($A$1,[15]손익!$G$5:$AB$252,67,),)</f>
        <v>33195.696774193559</v>
      </c>
      <c r="W36" s="6">
        <f>+IFERROR(VLOOKUP($F36,'[17]부산크라샤(손익)'!$L$16:$R$29,4,),)/1000</f>
        <v>56736</v>
      </c>
      <c r="X36" s="6">
        <f t="shared" ref="X36:X41" si="41">+W36-V36</f>
        <v>23540.303225806441</v>
      </c>
      <c r="AA36" s="6">
        <f t="shared" ref="AA36:AA41" si="42">+Z36-Y36</f>
        <v>0</v>
      </c>
      <c r="AB36" s="6">
        <f t="shared" ref="AB36:AB41" si="43">SUM(S36,V36)</f>
        <v>33195.696774193559</v>
      </c>
      <c r="AC36" s="6">
        <f t="shared" si="33"/>
        <v>134304</v>
      </c>
      <c r="AD36" s="6">
        <f>+AC36-AB36</f>
        <v>101108.30322580645</v>
      </c>
      <c r="AE36" s="437">
        <f>+IFERROR(HLOOKUP($A$1,[16]이송계획!$G$70:$W$100,17,),)+IFERROR(HLOOKUP($A$1,[16]이송계획!$G$70:$W$100,24,),)</f>
        <v>111042.90909090909</v>
      </c>
      <c r="AF36" s="6">
        <f>+'[9]부산모래장(당월)'!R77</f>
        <v>36736</v>
      </c>
      <c r="AH36" s="6">
        <f t="shared" si="35"/>
        <v>326752.60586510261</v>
      </c>
      <c r="AI36" s="6">
        <f t="shared" si="35"/>
        <v>171040</v>
      </c>
      <c r="AJ36" s="6">
        <f t="shared" si="36"/>
        <v>-155712.60586510261</v>
      </c>
    </row>
    <row r="37" spans="5:36" ht="21.95" customHeight="1" x14ac:dyDescent="0.3">
      <c r="F37" s="431" t="s">
        <v>27</v>
      </c>
      <c r="G37" s="6">
        <f>+IFERROR(HLOOKUP($A$1,[14]손익!$G$5:$AB$252,61,),)</f>
        <v>13280</v>
      </c>
      <c r="H37" s="6">
        <f>+IFERROR(VLOOKUP($F37,'[17]서부산(손익)'!$L$16:$R$29,4,),)/1000</f>
        <v>0</v>
      </c>
      <c r="I37" s="6">
        <f t="shared" si="30"/>
        <v>-13280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7"/>
        <v>0</v>
      </c>
      <c r="M37" s="76"/>
      <c r="O37" s="6">
        <f t="shared" si="38"/>
        <v>0</v>
      </c>
      <c r="P37" s="6">
        <f t="shared" si="39"/>
        <v>13280</v>
      </c>
      <c r="Q37" s="6">
        <f t="shared" si="40"/>
        <v>0</v>
      </c>
      <c r="R37" s="6">
        <f t="shared" si="31"/>
        <v>-13280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32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41"/>
        <v>0</v>
      </c>
      <c r="AA37" s="6">
        <f t="shared" si="42"/>
        <v>0</v>
      </c>
      <c r="AB37" s="6">
        <f t="shared" si="43"/>
        <v>0</v>
      </c>
      <c r="AC37" s="6">
        <f t="shared" si="33"/>
        <v>0</v>
      </c>
      <c r="AD37" s="6">
        <f t="shared" si="34"/>
        <v>0</v>
      </c>
      <c r="AE37" s="437">
        <f>+IFERROR(HLOOKUP($A$1,[16]이송계획!$G$70:$W$100,18,),)+IFERROR(HLOOKUP($A$1,[16]이송계획!$G$70:$W$100,25,),)</f>
        <v>87692.307692307702</v>
      </c>
      <c r="AF37" s="6">
        <f>+'[9]부산모래장(당월)'!R78</f>
        <v>44880</v>
      </c>
      <c r="AH37" s="6">
        <f t="shared" si="35"/>
        <v>100972.3076923077</v>
      </c>
      <c r="AI37" s="6">
        <f t="shared" si="35"/>
        <v>44880</v>
      </c>
      <c r="AJ37" s="6">
        <f t="shared" si="36"/>
        <v>-56092.307692307702</v>
      </c>
    </row>
    <row r="38" spans="5:36" ht="21.95" customHeight="1" x14ac:dyDescent="0.3">
      <c r="F38" s="431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30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7"/>
        <v>0</v>
      </c>
      <c r="M38" s="76"/>
      <c r="O38" s="6">
        <f t="shared" si="38"/>
        <v>0</v>
      </c>
      <c r="P38" s="6">
        <f t="shared" si="39"/>
        <v>0</v>
      </c>
      <c r="Q38" s="6">
        <f t="shared" si="40"/>
        <v>0</v>
      </c>
      <c r="R38" s="6">
        <f t="shared" si="31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32"/>
        <v>0</v>
      </c>
      <c r="V38" s="76">
        <f>+IFERROR(HLOOKUP($A$1,[15]손익!$G$5:$AB$252,69,),)</f>
        <v>0</v>
      </c>
      <c r="W38" s="6">
        <f>+IFERROR(VLOOKUP($F38,'[17]부산크라샤(손익)'!$L$16:$R$29,4,),)/1000</f>
        <v>21600</v>
      </c>
      <c r="X38" s="6">
        <f t="shared" si="41"/>
        <v>21600</v>
      </c>
      <c r="AA38" s="6">
        <f t="shared" si="42"/>
        <v>0</v>
      </c>
      <c r="AB38" s="6">
        <f t="shared" si="43"/>
        <v>0</v>
      </c>
      <c r="AC38" s="6">
        <f t="shared" si="33"/>
        <v>21600</v>
      </c>
      <c r="AD38" s="6">
        <f t="shared" si="34"/>
        <v>21600</v>
      </c>
      <c r="AE38" s="437">
        <f>+IFERROR(HLOOKUP($A$1,[16]이송계획!$G$70:$W$100,19,),)+IFERROR(HLOOKUP($A$1,[16]이송계획!$G$70:$W$100,26,),)</f>
        <v>101907.6923076923</v>
      </c>
      <c r="AF38" s="6">
        <f>+'[9]부산모래장(당월)'!R79</f>
        <v>75240</v>
      </c>
      <c r="AH38" s="6">
        <f t="shared" si="35"/>
        <v>101907.6923076923</v>
      </c>
      <c r="AI38" s="6">
        <f t="shared" si="35"/>
        <v>96840</v>
      </c>
      <c r="AJ38" s="6">
        <f t="shared" si="36"/>
        <v>-5067.6923076922976</v>
      </c>
    </row>
    <row r="39" spans="5:36" ht="21.95" customHeight="1" x14ac:dyDescent="0.3">
      <c r="F39" s="431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30"/>
        <v>0</v>
      </c>
      <c r="J39" s="76">
        <f>+IFERROR(HLOOKUP($A$1,[14]손익!$G$5:$AB$252,72,),)</f>
        <v>10305.450000000001</v>
      </c>
      <c r="K39" s="6">
        <f>+IFERROR(VLOOKUP($F39,'[17]서부산(손익)'!$L$16:$R$29,3,),)/1000</f>
        <v>0</v>
      </c>
      <c r="L39" s="6">
        <f t="shared" si="37"/>
        <v>-10305.450000000001</v>
      </c>
      <c r="M39" s="76"/>
      <c r="O39" s="6">
        <f t="shared" si="38"/>
        <v>0</v>
      </c>
      <c r="P39" s="6">
        <f t="shared" si="39"/>
        <v>10305.450000000001</v>
      </c>
      <c r="Q39" s="6">
        <f t="shared" si="40"/>
        <v>0</v>
      </c>
      <c r="R39" s="6">
        <f t="shared" si="31"/>
        <v>-10305.450000000001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32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41"/>
        <v>0</v>
      </c>
      <c r="AA39" s="6">
        <f t="shared" si="42"/>
        <v>0</v>
      </c>
      <c r="AB39" s="6">
        <f t="shared" si="43"/>
        <v>0</v>
      </c>
      <c r="AC39" s="6">
        <f t="shared" si="33"/>
        <v>0</v>
      </c>
      <c r="AD39" s="6">
        <f t="shared" si="34"/>
        <v>0</v>
      </c>
      <c r="AE39" s="437">
        <f>+IFERROR(HLOOKUP($A$1,[16]이송계획!$G$70:$W$100,20,),)+IFERROR(HLOOKUP($A$1,[16]이송계획!$G$70:$W$100,27,),)</f>
        <v>44078.653846153851</v>
      </c>
      <c r="AF39" s="6">
        <f>+'[9]부산모래장(당월)'!R80</f>
        <v>0</v>
      </c>
      <c r="AH39" s="6">
        <f t="shared" si="35"/>
        <v>54384.103846153856</v>
      </c>
      <c r="AI39" s="6">
        <f t="shared" si="35"/>
        <v>0</v>
      </c>
      <c r="AJ39" s="6">
        <f t="shared" si="36"/>
        <v>-54384.103846153856</v>
      </c>
    </row>
    <row r="40" spans="5:36" ht="21.95" customHeight="1" x14ac:dyDescent="0.3">
      <c r="F40" s="431" t="s">
        <v>30</v>
      </c>
      <c r="G40" s="6">
        <f>+IFERROR(HLOOKUP($A$1,[14]손익!$G$5:$AB$252,64,),)</f>
        <v>7802.666666666667</v>
      </c>
      <c r="H40" s="6">
        <f>+IFERROR(VLOOKUP($F40,'[17]서부산(손익)'!$L$16:$R$29,4,),)/1000</f>
        <v>0</v>
      </c>
      <c r="I40" s="6">
        <f t="shared" si="30"/>
        <v>-7802.666666666667</v>
      </c>
      <c r="J40" s="76">
        <f>+IFERROR(HLOOKUP($A$1,[14]손익!$G$5:$AB$252,73,),)</f>
        <v>6776</v>
      </c>
      <c r="K40" s="6">
        <f>+IFERROR(VLOOKUP($F40,'[17]서부산(손익)'!$L$16:$R$29,3,),)/1000</f>
        <v>0</v>
      </c>
      <c r="L40" s="6">
        <f t="shared" si="37"/>
        <v>-6776</v>
      </c>
      <c r="M40" s="76"/>
      <c r="O40" s="6">
        <f t="shared" si="38"/>
        <v>0</v>
      </c>
      <c r="P40" s="6">
        <f t="shared" si="39"/>
        <v>14578.666666666668</v>
      </c>
      <c r="Q40" s="6">
        <f t="shared" si="40"/>
        <v>0</v>
      </c>
      <c r="R40" s="6">
        <f t="shared" si="31"/>
        <v>-14578.666666666668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32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41"/>
        <v>0</v>
      </c>
      <c r="AA40" s="6">
        <f t="shared" si="42"/>
        <v>0</v>
      </c>
      <c r="AB40" s="6">
        <f t="shared" si="43"/>
        <v>0</v>
      </c>
      <c r="AC40" s="6">
        <f t="shared" si="33"/>
        <v>0</v>
      </c>
      <c r="AD40" s="6">
        <f t="shared" si="34"/>
        <v>0</v>
      </c>
      <c r="AE40" s="437">
        <f>+IFERROR(HLOOKUP($A$1,[16]이송계획!$G$70:$W$100,21,),)+IFERROR(HLOOKUP($A$1,[16]이송계획!$G$70:$W$100,28,),)</f>
        <v>0</v>
      </c>
      <c r="AH40" s="6">
        <f t="shared" si="35"/>
        <v>14578.666666666668</v>
      </c>
      <c r="AI40" s="6">
        <f t="shared" si="35"/>
        <v>0</v>
      </c>
      <c r="AJ40" s="6">
        <f t="shared" si="36"/>
        <v>-14578.666666666668</v>
      </c>
    </row>
    <row r="41" spans="5:36" ht="21.95" customHeight="1" x14ac:dyDescent="0.3">
      <c r="F41" s="431" t="s">
        <v>8</v>
      </c>
      <c r="G41" s="6">
        <f>SUM(G35:G40)</f>
        <v>186904.53333333333</v>
      </c>
      <c r="H41" s="6">
        <f>SUM(H35:H40)</f>
        <v>0</v>
      </c>
      <c r="I41" s="6">
        <f t="shared" si="30"/>
        <v>-186904.53333333333</v>
      </c>
      <c r="J41" s="76">
        <f>SUM(J35:J40)</f>
        <v>33773.583333333336</v>
      </c>
      <c r="K41" s="76">
        <f>SUM(K35:K40)</f>
        <v>0</v>
      </c>
      <c r="L41" s="6">
        <f t="shared" si="37"/>
        <v>-33773.583333333336</v>
      </c>
      <c r="M41" s="76"/>
      <c r="N41" s="76"/>
      <c r="O41" s="6">
        <f t="shared" si="38"/>
        <v>0</v>
      </c>
      <c r="P41" s="6">
        <f t="shared" si="39"/>
        <v>220678.11666666667</v>
      </c>
      <c r="Q41" s="6">
        <f t="shared" si="40"/>
        <v>0</v>
      </c>
      <c r="R41" s="6">
        <f t="shared" si="31"/>
        <v>-220678.11666666667</v>
      </c>
      <c r="S41" s="6">
        <f>SUM(S35:S40)</f>
        <v>181137.02156471263</v>
      </c>
      <c r="T41" s="6">
        <f>SUM(T35:T40)</f>
        <v>199543</v>
      </c>
      <c r="U41" s="6">
        <f t="shared" si="32"/>
        <v>18405.978435287368</v>
      </c>
      <c r="V41" s="76">
        <f>SUM(V35:V40)</f>
        <v>218302.08842279902</v>
      </c>
      <c r="W41" s="76">
        <f>SUM(W35:W40)</f>
        <v>206082</v>
      </c>
      <c r="X41" s="6">
        <f t="shared" si="41"/>
        <v>-12220.088422799017</v>
      </c>
      <c r="Z41" s="76"/>
      <c r="AA41" s="6">
        <f t="shared" si="42"/>
        <v>0</v>
      </c>
      <c r="AB41" s="6">
        <f t="shared" si="43"/>
        <v>399439.10998751165</v>
      </c>
      <c r="AC41" s="6">
        <f t="shared" si="33"/>
        <v>405625</v>
      </c>
      <c r="AD41" s="6">
        <f t="shared" si="34"/>
        <v>6185.8900124883512</v>
      </c>
      <c r="AE41" s="6">
        <f>SUM(AE35:AE40)</f>
        <v>483452.99506738409</v>
      </c>
      <c r="AF41" s="6">
        <f>SUM(AF35:AF40)</f>
        <v>245688</v>
      </c>
      <c r="AH41" s="6">
        <f t="shared" si="35"/>
        <v>1103570.2217215626</v>
      </c>
      <c r="AI41" s="6">
        <f t="shared" si="35"/>
        <v>651313</v>
      </c>
      <c r="AJ41" s="6">
        <f t="shared" si="36"/>
        <v>-452257.22172156256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 codeName="Sheet11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238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251</v>
      </c>
      <c r="F4" s="183"/>
      <c r="I4" s="183"/>
      <c r="P4" s="6">
        <f>+'골재사업소(당월)'!P12+'[4]골재사업소(누계)'!P12</f>
        <v>272831.09354666667</v>
      </c>
      <c r="Q4" s="6">
        <f>+'골재사업소(당월)'!Q12+'[4]골재사업소(누계)'!Q12</f>
        <v>168530</v>
      </c>
      <c r="S4" s="6">
        <f>+'골재사업소(당월)'!S12+'[4]골재사업소(누계)'!S12</f>
        <v>147512.02781485274</v>
      </c>
      <c r="T4" s="6">
        <f>+'골재사업소(당월)'!T12+'[4]골재사업소(누계)'!T12</f>
        <v>155918</v>
      </c>
      <c r="V4" s="6">
        <f>+'골재사업소(당월)'!V12+'[4]골재사업소(누계)'!V12</f>
        <v>223498.77975852834</v>
      </c>
      <c r="W4" s="6">
        <f>+'골재사업소(당월)'!W12+'[4]골재사업소(누계)'!W12</f>
        <v>158819</v>
      </c>
      <c r="AB4" s="6">
        <f>+'골재사업소(당월)'!AB12+'[4]골재사업소(누계)'!Y12</f>
        <v>41116.309768000385</v>
      </c>
      <c r="AC4" s="6">
        <f>+'골재사업소(당월)'!AC12+'[4]골재사업소(누계)'!Z12</f>
        <v>37999</v>
      </c>
      <c r="AE4" s="6">
        <f>+'골재사업소(당월)'!AE12+'[4]골재사업소(누계)'!AE12</f>
        <v>212444.84754941409</v>
      </c>
      <c r="AF4" s="6">
        <f>+'골재사업소(당월)'!AF12+'[4]골재사업소(누계)'!AF12</f>
        <v>169707</v>
      </c>
      <c r="AH4" s="6">
        <f>+'골재사업소(당월)'!AH12+'[4]골재사업소(누계)'!AE12</f>
        <v>300230.78731741448</v>
      </c>
      <c r="AI4" s="6">
        <f>+'골재사업소(당월)'!AI12+'[4]골재사업소(누계)'!AF12</f>
        <v>207515</v>
      </c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212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225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+'골재사업소(당월)'!G8+'[4]골재사업소(누계)'!G8</f>
        <v>99346.266666666663</v>
      </c>
      <c r="H8" s="374">
        <f>+'골재사업소(당월)'!H8+'[4]골재사업소(누계)'!H8</f>
        <v>98732</v>
      </c>
      <c r="I8" s="262">
        <f>H8-G8</f>
        <v>-614.26666666666279</v>
      </c>
      <c r="J8" s="261">
        <f>+'골재사업소(당월)'!J8+'[4]골재사업소(누계)'!J8</f>
        <v>11984.826879999999</v>
      </c>
      <c r="K8" s="374">
        <f>+'골재사업소(당월)'!K8+'[4]골재사업소(누계)'!K8</f>
        <v>2096</v>
      </c>
      <c r="L8" s="260">
        <f>K8-J8</f>
        <v>-9888.8268799999987</v>
      </c>
      <c r="M8" s="261">
        <f>+'골재사업소(당월)'!M8+'[4]골재사업소(누계)'!M8</f>
        <v>0</v>
      </c>
      <c r="N8" s="374">
        <f>+'골재사업소(당월)'!N8+'[4]골재사업소(누계)'!N8</f>
        <v>0</v>
      </c>
      <c r="O8" s="260">
        <f>N8-M8</f>
        <v>0</v>
      </c>
      <c r="P8" s="393">
        <f>+G8+J8+M8</f>
        <v>111331.09354666666</v>
      </c>
      <c r="Q8" s="374">
        <f>+H8+K8+N8</f>
        <v>100828</v>
      </c>
      <c r="R8" s="394">
        <f>Q8-P8</f>
        <v>-10503.093546666656</v>
      </c>
      <c r="S8" s="259">
        <f>+'골재사업소(당월)'!S8+'[4]골재사업소(누계)'!S8</f>
        <v>96512.027814852743</v>
      </c>
      <c r="T8" s="374">
        <f>+'골재사업소(당월)'!T8+'[4]골재사업소(누계)'!T8</f>
        <v>104158</v>
      </c>
      <c r="U8" s="262">
        <f>T8-S8</f>
        <v>7645.9721851472568</v>
      </c>
      <c r="V8" s="261">
        <f>+'골재사업소(당월)'!V8+'[4]골재사업소(누계)'!V8</f>
        <v>87498.779758528355</v>
      </c>
      <c r="W8" s="374">
        <f>+'골재사업소(당월)'!W8+'[4]골재사업소(누계)'!W8</f>
        <v>105795</v>
      </c>
      <c r="X8" s="260">
        <f>W8-V8</f>
        <v>18296.220241471645</v>
      </c>
      <c r="Y8" s="261">
        <f>+'골재사업소(당월)'!Y8+'[4]골재사업소(누계)'!Y8</f>
        <v>0</v>
      </c>
      <c r="Z8" s="374">
        <f>+'골재사업소(당월)'!Z8+'[4]골재사업소(누계)'!Z8</f>
        <v>0</v>
      </c>
      <c r="AA8" s="260">
        <f>Z8-Y8</f>
        <v>0</v>
      </c>
      <c r="AB8" s="393">
        <f>+S8+V8+Y8</f>
        <v>184010.80757338111</v>
      </c>
      <c r="AC8" s="374">
        <f t="shared" ref="AC8" si="0">+T8+W8+Z8</f>
        <v>209953</v>
      </c>
      <c r="AD8" s="394">
        <f>AC8-AB8</f>
        <v>25942.192426618887</v>
      </c>
      <c r="AE8" s="260">
        <f>+'골재사업소(당월)'!AE8+'[4]골재사업소(누계)'!AE8</f>
        <v>137944.84754941409</v>
      </c>
      <c r="AF8" s="374">
        <f>+'골재사업소(당월)'!AF8+'[4]골재사업소(누계)'!AF8</f>
        <v>108485</v>
      </c>
      <c r="AG8" s="260">
        <f>AF8-AE8</f>
        <v>-29459.847549414088</v>
      </c>
      <c r="AH8" s="393">
        <f>+P8+AB8+AE8</f>
        <v>433286.74866946187</v>
      </c>
      <c r="AI8" s="374">
        <f>+Q8+AC8+AF8</f>
        <v>419266</v>
      </c>
      <c r="AJ8" s="394">
        <f>AI8-AH8</f>
        <v>-14020.748669461871</v>
      </c>
    </row>
    <row r="9" spans="1:39" ht="24" customHeight="1" x14ac:dyDescent="0.3">
      <c r="D9" s="77"/>
      <c r="E9" s="281"/>
      <c r="F9" s="286" t="s">
        <v>10</v>
      </c>
      <c r="G9" s="282">
        <f>+G8/G$12</f>
        <v>0.85756985982572309</v>
      </c>
      <c r="H9" s="375">
        <f>+H8/H$12</f>
        <v>0.64688847247520087</v>
      </c>
      <c r="I9" s="285">
        <f>+H9-G9</f>
        <v>-0.21068138735052222</v>
      </c>
      <c r="J9" s="284">
        <f>+J8/J$12</f>
        <v>0.2550786642379132</v>
      </c>
      <c r="K9" s="375">
        <f>+K8/K$12</f>
        <v>0.13179074446680081</v>
      </c>
      <c r="L9" s="283">
        <f>+K9-J9</f>
        <v>-0.12328791977111239</v>
      </c>
      <c r="M9" s="284">
        <f>+M8/M$12</f>
        <v>0</v>
      </c>
      <c r="N9" s="375" t="e">
        <f>+N8/N$12</f>
        <v>#DIV/0!</v>
      </c>
      <c r="O9" s="283" t="e">
        <f>+N9-M9</f>
        <v>#DIV/0!</v>
      </c>
      <c r="P9" s="395">
        <f>+P8/P$12</f>
        <v>0.40805867139048768</v>
      </c>
      <c r="Q9" s="375">
        <f>+Q8/Q$12</f>
        <v>0.59827923811784256</v>
      </c>
      <c r="R9" s="396">
        <f>+Q9-P9</f>
        <v>0.19022056672735488</v>
      </c>
      <c r="S9" s="282">
        <f>+S8/S$12</f>
        <v>0.6542654808866718</v>
      </c>
      <c r="T9" s="375">
        <f>+T8/T$12</f>
        <v>0.66803063148578101</v>
      </c>
      <c r="U9" s="285">
        <f>+T9-S9</f>
        <v>1.376515059910921E-2</v>
      </c>
      <c r="V9" s="284">
        <f>+V8/V$12</f>
        <v>0.39149555918409684</v>
      </c>
      <c r="W9" s="375">
        <f>+W8/W$12</f>
        <v>0.66613566386893253</v>
      </c>
      <c r="X9" s="283">
        <f>+W9-V9</f>
        <v>0.27464010468483568</v>
      </c>
      <c r="Y9" s="284" t="e">
        <f>+Y8/Y$12</f>
        <v>#DIV/0!</v>
      </c>
      <c r="Z9" s="375">
        <f>+Z8/Z$12</f>
        <v>0</v>
      </c>
      <c r="AA9" s="283" t="e">
        <f>+Z9-Y9</f>
        <v>#DIV/0!</v>
      </c>
      <c r="AB9" s="395">
        <f>+AB8/AB$12</f>
        <v>0.49597155613044014</v>
      </c>
      <c r="AC9" s="375">
        <f>+AC8/AC$12</f>
        <v>0.66445448733772605</v>
      </c>
      <c r="AD9" s="396">
        <f>+AC9-AB9</f>
        <v>0.16848293120728591</v>
      </c>
      <c r="AE9" s="283">
        <f>+AE8/AE$12</f>
        <v>0.64932074908208115</v>
      </c>
      <c r="AF9" s="375">
        <f>+AF8/AF$12</f>
        <v>0.63924882297135655</v>
      </c>
      <c r="AG9" s="283">
        <f>+AF9-AE9</f>
        <v>-1.0071926110724605E-2</v>
      </c>
      <c r="AH9" s="395">
        <f>+AH8/AH$12</f>
        <v>0.50600660274460973</v>
      </c>
      <c r="AI9" s="375">
        <f>+AI8/AI$12</f>
        <v>0.64086882752611907</v>
      </c>
      <c r="AJ9" s="396">
        <f>+AI9-AH9</f>
        <v>0.13486222478150933</v>
      </c>
    </row>
    <row r="10" spans="1:39" ht="24" customHeight="1" x14ac:dyDescent="0.3">
      <c r="D10" s="257"/>
      <c r="E10" s="281"/>
      <c r="F10" s="280" t="s">
        <v>135</v>
      </c>
      <c r="G10" s="276">
        <f>+'골재사업소(당월)'!G10+'[4]골재사업소(누계)'!G10</f>
        <v>16500</v>
      </c>
      <c r="H10" s="376">
        <f>+'골재사업소(당월)'!H10+'[4]골재사업소(누계)'!H10</f>
        <v>53894</v>
      </c>
      <c r="I10" s="279">
        <f>H10-G10</f>
        <v>37394</v>
      </c>
      <c r="J10" s="278">
        <f>+'골재사업소(당월)'!J10+'[4]골재사업소(누계)'!J10</f>
        <v>35000</v>
      </c>
      <c r="K10" s="376">
        <f>+'골재사업소(당월)'!K10+'[4]골재사업소(누계)'!K10</f>
        <v>13808</v>
      </c>
      <c r="L10" s="277">
        <f>K10-J10</f>
        <v>-21192</v>
      </c>
      <c r="M10" s="278">
        <f>+'골재사업소(당월)'!M10+'[4]골재사업소(누계)'!M10</f>
        <v>110000</v>
      </c>
      <c r="N10" s="376">
        <f>+'골재사업소(당월)'!N10+'[4]골재사업소(누계)'!N10</f>
        <v>0</v>
      </c>
      <c r="O10" s="277">
        <f>N10-M10</f>
        <v>-110000</v>
      </c>
      <c r="P10" s="397">
        <f>+G10+J10+M10</f>
        <v>161500</v>
      </c>
      <c r="Q10" s="376">
        <f>+H10+K10+N10</f>
        <v>67702</v>
      </c>
      <c r="R10" s="398">
        <f>Q10-P10</f>
        <v>-93798</v>
      </c>
      <c r="S10" s="276">
        <f>+'골재사업소(당월)'!S10+'[4]골재사업소(누계)'!S10</f>
        <v>51000</v>
      </c>
      <c r="T10" s="376">
        <f>+'골재사업소(당월)'!T10+'[4]골재사업소(누계)'!T10</f>
        <v>51760</v>
      </c>
      <c r="U10" s="279">
        <f>T10-S10</f>
        <v>760</v>
      </c>
      <c r="V10" s="278">
        <f>+'골재사업소(당월)'!V10+'[4]골재사업소(누계)'!V10</f>
        <v>136000</v>
      </c>
      <c r="W10" s="376">
        <f>+'골재사업소(당월)'!W10+'[4]골재사업소(누계)'!W10</f>
        <v>53024</v>
      </c>
      <c r="X10" s="277">
        <f>W10-V10</f>
        <v>-82976</v>
      </c>
      <c r="Y10" s="278">
        <f>+'골재사업소(당월)'!Y10+'[4]골재사업소(누계)'!Y10</f>
        <v>0</v>
      </c>
      <c r="Z10" s="376">
        <f>+'골재사업소(당월)'!Z10+'[4]골재사업소(누계)'!Z10</f>
        <v>1241</v>
      </c>
      <c r="AA10" s="277">
        <f>Z10-Y10</f>
        <v>1241</v>
      </c>
      <c r="AB10" s="397">
        <f t="shared" ref="AB10:AC10" si="1">+S10+V10+Y10</f>
        <v>187000</v>
      </c>
      <c r="AC10" s="376">
        <f t="shared" si="1"/>
        <v>106025</v>
      </c>
      <c r="AD10" s="398">
        <f>AC10-AB10</f>
        <v>-80975</v>
      </c>
      <c r="AE10" s="277">
        <f>+'골재사업소(당월)'!AE10+'[4]골재사업소(누계)'!AE10</f>
        <v>74500</v>
      </c>
      <c r="AF10" s="376">
        <f>+'골재사업소(당월)'!AF10+'[4]골재사업소(누계)'!AF10</f>
        <v>61222</v>
      </c>
      <c r="AG10" s="277">
        <f>AF10-AE10</f>
        <v>-13278</v>
      </c>
      <c r="AH10" s="397">
        <f>+P10+AB10+AE10</f>
        <v>423000</v>
      </c>
      <c r="AI10" s="376">
        <f>+Q10+AC10+AF10</f>
        <v>234949</v>
      </c>
      <c r="AJ10" s="398">
        <f>AI10-AH10</f>
        <v>-188051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0.14243014017427694</v>
      </c>
      <c r="H11" s="377">
        <f>+H10/H$12</f>
        <v>0.35311152752479918</v>
      </c>
      <c r="I11" s="274">
        <f>+H11-G11</f>
        <v>0.21068138735052225</v>
      </c>
      <c r="J11" s="273">
        <f>+J10/J$12</f>
        <v>0.74492133576208674</v>
      </c>
      <c r="K11" s="377">
        <f>+K10/K$12</f>
        <v>0.86820925553319916</v>
      </c>
      <c r="L11" s="272">
        <f>+K11-J11</f>
        <v>0.12328791977111242</v>
      </c>
      <c r="M11" s="273">
        <f>+M10/M$12</f>
        <v>1</v>
      </c>
      <c r="N11" s="377" t="e">
        <f>+N10/N$12</f>
        <v>#DIV/0!</v>
      </c>
      <c r="O11" s="272" t="e">
        <f>+N11-M11</f>
        <v>#DIV/0!</v>
      </c>
      <c r="P11" s="399">
        <f>+P10/P$12</f>
        <v>0.59194132860951232</v>
      </c>
      <c r="Q11" s="377">
        <f>+Q10/Q$12</f>
        <v>0.4017207618821575</v>
      </c>
      <c r="R11" s="400">
        <f>+Q11-P11</f>
        <v>-0.19022056672735482</v>
      </c>
      <c r="S11" s="271">
        <f>+S10/S$12</f>
        <v>0.34573451911332814</v>
      </c>
      <c r="T11" s="377">
        <f>+T10/T$12</f>
        <v>0.33196936851421899</v>
      </c>
      <c r="U11" s="274">
        <f>+T11-S11</f>
        <v>-1.3765150599109155E-2</v>
      </c>
      <c r="V11" s="273">
        <f>+V10/V$12</f>
        <v>0.60850444081590327</v>
      </c>
      <c r="W11" s="377">
        <f>+W10/W$12</f>
        <v>0.33386433613106742</v>
      </c>
      <c r="X11" s="272">
        <f>+W11-V11</f>
        <v>-0.27464010468483585</v>
      </c>
      <c r="Y11" s="273" t="e">
        <f>+Y10/Y$12</f>
        <v>#DIV/0!</v>
      </c>
      <c r="Z11" s="377">
        <f>+Z10/Z$12</f>
        <v>1</v>
      </c>
      <c r="AA11" s="272" t="e">
        <f>+Z11-Y11</f>
        <v>#DIV/0!</v>
      </c>
      <c r="AB11" s="399">
        <f>+AB10/AB$12</f>
        <v>0.50402844386955992</v>
      </c>
      <c r="AC11" s="377">
        <f>+AC10/AC$12</f>
        <v>0.33554551266227395</v>
      </c>
      <c r="AD11" s="400">
        <f>+AC11-AB11</f>
        <v>-0.16848293120728597</v>
      </c>
      <c r="AE11" s="272">
        <f>+AE10/AE$12</f>
        <v>0.35067925091791885</v>
      </c>
      <c r="AF11" s="377">
        <f>+AF10/AF$12</f>
        <v>0.36075117702864351</v>
      </c>
      <c r="AG11" s="272">
        <f>+AF11-AE11</f>
        <v>1.007192611072466E-2</v>
      </c>
      <c r="AH11" s="399">
        <f>+AH10/AH$12</f>
        <v>0.49399339725539032</v>
      </c>
      <c r="AI11" s="377">
        <f>+AI10/AI$12</f>
        <v>0.35913117247388093</v>
      </c>
      <c r="AJ11" s="400">
        <f>+AI11-AH11</f>
        <v>-0.13486222478150939</v>
      </c>
      <c r="AL11" s="6">
        <f>+'골재사업소(당월)'!AL12</f>
        <v>114297.7350894806</v>
      </c>
    </row>
    <row r="12" spans="1:39" ht="24" customHeight="1" x14ac:dyDescent="0.3">
      <c r="D12" s="257"/>
      <c r="E12" s="270"/>
      <c r="F12" s="269" t="s">
        <v>43</v>
      </c>
      <c r="G12" s="265">
        <f>G8+G10</f>
        <v>115846.26666666666</v>
      </c>
      <c r="H12" s="378">
        <f>H8+H10</f>
        <v>152626</v>
      </c>
      <c r="I12" s="268">
        <f t="shared" ref="I12:I32" si="2">H12-G12</f>
        <v>36779.733333333337</v>
      </c>
      <c r="J12" s="267">
        <f>J8+J10</f>
        <v>46984.826880000001</v>
      </c>
      <c r="K12" s="378">
        <f>K8+K10</f>
        <v>15904</v>
      </c>
      <c r="L12" s="266">
        <f t="shared" ref="L12:L32" si="3">K12-J12</f>
        <v>-31080.826880000001</v>
      </c>
      <c r="M12" s="267">
        <f>M8+M10</f>
        <v>110000</v>
      </c>
      <c r="N12" s="378">
        <f>N8+N10</f>
        <v>0</v>
      </c>
      <c r="O12" s="266">
        <f t="shared" ref="O12:O32" si="4">N12-M12</f>
        <v>-110000</v>
      </c>
      <c r="P12" s="401">
        <f>P8+P10</f>
        <v>272831.09354666667</v>
      </c>
      <c r="Q12" s="378">
        <f>Q8+Q10</f>
        <v>168530</v>
      </c>
      <c r="R12" s="402">
        <f t="shared" ref="R12:R32" si="5">Q12-P12</f>
        <v>-104301.09354666667</v>
      </c>
      <c r="S12" s="265">
        <f>S8+S10</f>
        <v>147512.02781485274</v>
      </c>
      <c r="T12" s="378">
        <f>T8+T10</f>
        <v>155918</v>
      </c>
      <c r="U12" s="268">
        <f t="shared" ref="U12:U32" si="6">T12-S12</f>
        <v>8405.9721851472568</v>
      </c>
      <c r="V12" s="267">
        <f>V8+V10</f>
        <v>223498.77975852834</v>
      </c>
      <c r="W12" s="378">
        <f>W8+W10</f>
        <v>158819</v>
      </c>
      <c r="X12" s="266">
        <f t="shared" ref="X12:X32" si="7">W12-V12</f>
        <v>-64679.779758528341</v>
      </c>
      <c r="Y12" s="267">
        <f>Y8+Y10</f>
        <v>0</v>
      </c>
      <c r="Z12" s="378">
        <f>Z8+Z10</f>
        <v>1241</v>
      </c>
      <c r="AA12" s="266">
        <f t="shared" ref="AA12:AA32" si="8">Z12-Y12</f>
        <v>1241</v>
      </c>
      <c r="AB12" s="401">
        <f>AB8+AB10</f>
        <v>371010.80757338111</v>
      </c>
      <c r="AC12" s="378">
        <f>AC8+AC10</f>
        <v>315978</v>
      </c>
      <c r="AD12" s="402">
        <f t="shared" ref="AD12:AD32" si="9">AC12-AB12</f>
        <v>-55032.807573381113</v>
      </c>
      <c r="AE12" s="266">
        <f>AE8+AE10</f>
        <v>212444.84754941409</v>
      </c>
      <c r="AF12" s="378">
        <f>AF8+AF10</f>
        <v>169707</v>
      </c>
      <c r="AG12" s="266">
        <f t="shared" ref="AG12:AG32" si="10">AF12-AE12</f>
        <v>-42737.847549414088</v>
      </c>
      <c r="AH12" s="401">
        <f>AH8+AH10</f>
        <v>856286.74866946181</v>
      </c>
      <c r="AI12" s="378">
        <f>AI8+AI10</f>
        <v>654215</v>
      </c>
      <c r="AJ12" s="402">
        <f t="shared" ref="AJ12:AJ32" si="11">AI12-AH12</f>
        <v>-202071.74866946181</v>
      </c>
      <c r="AL12" s="6">
        <f>+'골재사업소(당월)'!AL12+'[4]골재사업소(누계)'!AL12</f>
        <v>856286.74866946181</v>
      </c>
      <c r="AM12" s="6">
        <f>+'골재사업소(당월)'!AM12+'[4]골재사업소(누계)'!AM12</f>
        <v>654215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+'골재사업소(당월)'!G13+'[4]골재사업소(누계)'!G13</f>
        <v>1524258.6666666665</v>
      </c>
      <c r="H13" s="374">
        <f>+'골재사업소(당월)'!H13+'[4]골재사업소(누계)'!H13</f>
        <v>1603364</v>
      </c>
      <c r="I13" s="262">
        <f t="shared" si="2"/>
        <v>79105.333333333489</v>
      </c>
      <c r="J13" s="261">
        <f>+'골재사업소(당월)'!J13+'[4]골재사업소(누계)'!J13</f>
        <v>207146.4032</v>
      </c>
      <c r="K13" s="374">
        <f>+'골재사업소(당월)'!K13+'[4]골재사업소(누계)'!K13</f>
        <v>19824</v>
      </c>
      <c r="L13" s="260">
        <f t="shared" si="3"/>
        <v>-187322.4032</v>
      </c>
      <c r="M13" s="261">
        <f>+'골재사업소(당월)'!M13+'[4]골재사업소(누계)'!M13</f>
        <v>0</v>
      </c>
      <c r="N13" s="374">
        <f>+'골재사업소(당월)'!N13+'[4]골재사업소(누계)'!N13</f>
        <v>0</v>
      </c>
      <c r="O13" s="260">
        <f t="shared" si="4"/>
        <v>0</v>
      </c>
      <c r="P13" s="393">
        <f>+G13+J13+M13</f>
        <v>1731405.0698666666</v>
      </c>
      <c r="Q13" s="374">
        <f>+H13+K13+N13</f>
        <v>1623188</v>
      </c>
      <c r="R13" s="394">
        <f t="shared" si="5"/>
        <v>-108217.06986666657</v>
      </c>
      <c r="S13" s="259">
        <f>+'골재사업소(당월)'!S13+'[4]골재사업소(누계)'!S13</f>
        <v>1544192.4450376439</v>
      </c>
      <c r="T13" s="374">
        <f>+'골재사업소(당월)'!T13+'[4]골재사업소(누계)'!T13</f>
        <v>1738373</v>
      </c>
      <c r="U13" s="262">
        <f t="shared" si="6"/>
        <v>194180.55496235611</v>
      </c>
      <c r="V13" s="261">
        <f>+'골재사업소(당월)'!V13+'[4]골재사업소(누계)'!V13</f>
        <v>1934102.3989622809</v>
      </c>
      <c r="W13" s="374">
        <f>+'골재사업소(당월)'!W13+'[4]골재사업소(누계)'!W13</f>
        <v>2319086.5</v>
      </c>
      <c r="X13" s="260">
        <f t="shared" si="7"/>
        <v>384984.10103771905</v>
      </c>
      <c r="Y13" s="261">
        <f>+'골재사업소(당월)'!Y13+'[4]골재사업소(누계)'!Y13</f>
        <v>0</v>
      </c>
      <c r="Z13" s="374">
        <f>+'골재사업소(당월)'!Z13+'[4]골재사업소(누계)'!Z13</f>
        <v>0</v>
      </c>
      <c r="AA13" s="260">
        <f t="shared" si="8"/>
        <v>0</v>
      </c>
      <c r="AB13" s="393">
        <f t="shared" ref="AB13:AC13" si="12">+S13+V13+Y13</f>
        <v>3478294.8439999251</v>
      </c>
      <c r="AC13" s="374">
        <f t="shared" si="12"/>
        <v>4057459.5</v>
      </c>
      <c r="AD13" s="394">
        <f t="shared" si="9"/>
        <v>579164.65600007493</v>
      </c>
      <c r="AE13" s="260">
        <f>+'골재사업소(당월)'!AE13+'[4]골재사업소(누계)'!AE13</f>
        <v>4031066.1599870706</v>
      </c>
      <c r="AF13" s="374">
        <f>+'골재사업소(당월)'!AF13+'[4]골재사업소(누계)'!AF13</f>
        <v>3196098.08</v>
      </c>
      <c r="AG13" s="260">
        <f t="shared" si="10"/>
        <v>-834968.07998707052</v>
      </c>
      <c r="AH13" s="393">
        <f>+P13+AB13+AE13</f>
        <v>9240766.0738536622</v>
      </c>
      <c r="AI13" s="374">
        <f>+Q13+AC13+AF13</f>
        <v>8876745.5800000001</v>
      </c>
      <c r="AJ13" s="394">
        <f t="shared" si="11"/>
        <v>-364020.49385366216</v>
      </c>
      <c r="AL13" s="6" t="b">
        <f>+AL12=AL12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15342.888241396757</v>
      </c>
      <c r="H14" s="379">
        <f>+H13/H8*1000</f>
        <v>16239.5575902443</v>
      </c>
      <c r="I14" s="255">
        <f t="shared" si="2"/>
        <v>896.66934884754301</v>
      </c>
      <c r="J14" s="254">
        <f>+J13/J8*1000</f>
        <v>17284.054686320174</v>
      </c>
      <c r="K14" s="379">
        <f>+K13/K8*1000</f>
        <v>9458.0152671755714</v>
      </c>
      <c r="L14" s="253">
        <f t="shared" si="3"/>
        <v>-7826.039419144603</v>
      </c>
      <c r="M14" s="254" t="e">
        <f>+M13/M8*1000</f>
        <v>#DIV/0!</v>
      </c>
      <c r="N14" s="379" t="e">
        <f>+N13/N8*1000</f>
        <v>#DIV/0!</v>
      </c>
      <c r="O14" s="253" t="e">
        <f t="shared" si="4"/>
        <v>#DIV/0!</v>
      </c>
      <c r="P14" s="403">
        <f>+P13/P8*1000</f>
        <v>15551.855413518539</v>
      </c>
      <c r="Q14" s="379">
        <f>+Q13/Q8*1000</f>
        <v>16098.583726742572</v>
      </c>
      <c r="R14" s="404">
        <f t="shared" si="5"/>
        <v>546.72831322403363</v>
      </c>
      <c r="S14" s="252">
        <f>+S13/S8*1000</f>
        <v>16000</v>
      </c>
      <c r="T14" s="379">
        <f>+T13/T8*1000</f>
        <v>16689.769388813151</v>
      </c>
      <c r="U14" s="255">
        <f t="shared" si="6"/>
        <v>689.76938881315073</v>
      </c>
      <c r="V14" s="254">
        <f>+V13/V8*1000</f>
        <v>22104.335675307146</v>
      </c>
      <c r="W14" s="379">
        <f>+W13/W8*1000</f>
        <v>21920.568079776927</v>
      </c>
      <c r="X14" s="253">
        <f t="shared" si="7"/>
        <v>-183.76759553021839</v>
      </c>
      <c r="Y14" s="254" t="e">
        <f>+Y13/Y8*1000</f>
        <v>#DIV/0!</v>
      </c>
      <c r="Z14" s="379" t="e">
        <f>+Z13/Z8*1000</f>
        <v>#DIV/0!</v>
      </c>
      <c r="AA14" s="253" t="e">
        <f t="shared" si="8"/>
        <v>#DIV/0!</v>
      </c>
      <c r="AB14" s="403">
        <f>+AB13/AB8*1000</f>
        <v>18902.666043747602</v>
      </c>
      <c r="AC14" s="379">
        <f>+AC13/AC8*1000</f>
        <v>19325.560958881273</v>
      </c>
      <c r="AD14" s="404">
        <f t="shared" si="9"/>
        <v>422.89491513367102</v>
      </c>
      <c r="AE14" s="253">
        <f>+AE13/AE8*1000</f>
        <v>29222.303200147271</v>
      </c>
      <c r="AF14" s="379">
        <f>+AF13/AF8*1000</f>
        <v>29461.198137991429</v>
      </c>
      <c r="AG14" s="253">
        <f t="shared" si="10"/>
        <v>238.89493784415754</v>
      </c>
      <c r="AH14" s="403">
        <f>+AH13/AH8*1000</f>
        <v>21327.137518583782</v>
      </c>
      <c r="AI14" s="379">
        <f>+AI13/AI8*1000</f>
        <v>21172.109305309757</v>
      </c>
      <c r="AJ14" s="404">
        <f t="shared" si="11"/>
        <v>-155.02821327402489</v>
      </c>
    </row>
    <row r="15" spans="1:39" ht="24" customHeight="1" x14ac:dyDescent="0.3">
      <c r="D15" s="257"/>
      <c r="E15" s="664"/>
      <c r="F15" s="223" t="s">
        <v>135</v>
      </c>
      <c r="G15" s="247">
        <f>+'골재사업소(당월)'!G15+'[4]골재사업소(누계)'!G15</f>
        <v>189750</v>
      </c>
      <c r="H15" s="380">
        <f>+'골재사업소(당월)'!H15+'[4]골재사업소(누계)'!H15</f>
        <v>631807</v>
      </c>
      <c r="I15" s="250">
        <f t="shared" si="2"/>
        <v>442057</v>
      </c>
      <c r="J15" s="249">
        <f>+'골재사업소(당월)'!J15+'[4]골재사업소(누계)'!J15</f>
        <v>525000</v>
      </c>
      <c r="K15" s="380">
        <f>+'골재사업소(당월)'!K15+'[4]골재사업소(누계)'!K15</f>
        <v>117104</v>
      </c>
      <c r="L15" s="248">
        <f t="shared" si="3"/>
        <v>-407896</v>
      </c>
      <c r="M15" s="249">
        <f>+'골재사업소(당월)'!M15+'[4]골재사업소(누계)'!M15</f>
        <v>990000</v>
      </c>
      <c r="N15" s="380">
        <f>+'골재사업소(당월)'!N15+'[4]골재사업소(누계)'!N15</f>
        <v>0</v>
      </c>
      <c r="O15" s="248">
        <f t="shared" si="4"/>
        <v>-990000</v>
      </c>
      <c r="P15" s="405">
        <f>+G15+J15+M15</f>
        <v>1704750</v>
      </c>
      <c r="Q15" s="380">
        <f>+H15+K15+N15</f>
        <v>748911</v>
      </c>
      <c r="R15" s="406">
        <f t="shared" si="5"/>
        <v>-955839</v>
      </c>
      <c r="S15" s="247">
        <f>+'골재사업소(당월)'!S15+'[4]골재사업소(누계)'!S15</f>
        <v>612000</v>
      </c>
      <c r="T15" s="380">
        <f>+'골재사업소(당월)'!T15+'[4]골재사업소(누계)'!T15</f>
        <v>672880</v>
      </c>
      <c r="U15" s="250">
        <f t="shared" si="6"/>
        <v>60880</v>
      </c>
      <c r="V15" s="249">
        <f>+'골재사업소(당월)'!V15+'[4]골재사업소(누계)'!V15</f>
        <v>2584000</v>
      </c>
      <c r="W15" s="380">
        <f>+'골재사업소(당월)'!W15+'[4]골재사업소(누계)'!W15</f>
        <v>981456</v>
      </c>
      <c r="X15" s="248">
        <f t="shared" si="7"/>
        <v>-1602544</v>
      </c>
      <c r="Y15" s="249">
        <f>+'골재사업소(당월)'!Y15+'[4]골재사업소(누계)'!Y15</f>
        <v>0</v>
      </c>
      <c r="Z15" s="380">
        <f>+'골재사업소(당월)'!Z15+'[4]골재사업소(누계)'!Z15</f>
        <v>34127.5</v>
      </c>
      <c r="AA15" s="248">
        <f t="shared" si="8"/>
        <v>34127.5</v>
      </c>
      <c r="AB15" s="405">
        <f t="shared" ref="AB15:AC15" si="13">+S15+V15+Y15</f>
        <v>3196000</v>
      </c>
      <c r="AC15" s="380">
        <f t="shared" si="13"/>
        <v>1688463.5</v>
      </c>
      <c r="AD15" s="406">
        <f t="shared" si="9"/>
        <v>-1507536.5</v>
      </c>
      <c r="AE15" s="248">
        <f>+'골재사업소(당월)'!AE15+'[4]골재사업소(누계)'!AE15</f>
        <v>2201250</v>
      </c>
      <c r="AF15" s="380">
        <f>+'골재사업소(당월)'!AF15+'[4]골재사업소(누계)'!AF15</f>
        <v>1815665.5</v>
      </c>
      <c r="AG15" s="248">
        <f t="shared" si="10"/>
        <v>-385584.5</v>
      </c>
      <c r="AH15" s="405">
        <f>+P15+AB15+AE15</f>
        <v>7102000</v>
      </c>
      <c r="AI15" s="380">
        <f>+Q15+AC15+AF15</f>
        <v>4253040</v>
      </c>
      <c r="AJ15" s="406">
        <f t="shared" si="11"/>
        <v>-2848960</v>
      </c>
    </row>
    <row r="16" spans="1:39" ht="24" customHeight="1" x14ac:dyDescent="0.3">
      <c r="D16" s="76"/>
      <c r="E16" s="664"/>
      <c r="F16" s="256" t="s">
        <v>131</v>
      </c>
      <c r="G16" s="252">
        <f>IFERROR(G15/G10,)*1000</f>
        <v>11500</v>
      </c>
      <c r="H16" s="379">
        <f>IFERROR(H15/H10,)*1000</f>
        <v>11723.141722640737</v>
      </c>
      <c r="I16" s="255">
        <f t="shared" si="2"/>
        <v>223.1417226407375</v>
      </c>
      <c r="J16" s="254">
        <f>IFERROR(J15/J10,)*1000</f>
        <v>15000</v>
      </c>
      <c r="K16" s="379">
        <f>IFERROR(K15/K10,)*1000</f>
        <v>8480.8806488991886</v>
      </c>
      <c r="L16" s="253">
        <f t="shared" si="3"/>
        <v>-6519.1193511008114</v>
      </c>
      <c r="M16" s="254">
        <f>IFERROR(M15/M10,)*1000</f>
        <v>9000</v>
      </c>
      <c r="N16" s="379">
        <f>IFERROR(N15/N10,)*1000</f>
        <v>0</v>
      </c>
      <c r="O16" s="253">
        <f t="shared" si="4"/>
        <v>-9000</v>
      </c>
      <c r="P16" s="403">
        <f>IFERROR(P15/P10,)*1000</f>
        <v>10555.727554179568</v>
      </c>
      <c r="Q16" s="379">
        <f>IFERROR(Q15/Q10,)*1000</f>
        <v>11061.874095299991</v>
      </c>
      <c r="R16" s="404">
        <f t="shared" si="5"/>
        <v>506.14654112042263</v>
      </c>
      <c r="S16" s="252">
        <f>IFERROR(S15/S10,)*1000</f>
        <v>12000</v>
      </c>
      <c r="T16" s="379">
        <f>IFERROR(T15/T10,)*1000</f>
        <v>13000</v>
      </c>
      <c r="U16" s="255">
        <f t="shared" si="6"/>
        <v>1000</v>
      </c>
      <c r="V16" s="254">
        <f>IFERROR(V15/V10,)*1000</f>
        <v>19000</v>
      </c>
      <c r="W16" s="379">
        <f>IFERROR(W15/W10,)*1000</f>
        <v>18509.656004828001</v>
      </c>
      <c r="X16" s="253">
        <f t="shared" si="7"/>
        <v>-490.34399517199927</v>
      </c>
      <c r="Y16" s="254">
        <f>IFERROR(Y15/Y10,)*1000</f>
        <v>0</v>
      </c>
      <c r="Z16" s="379">
        <f>IFERROR(Z15/Z10,)*1000</f>
        <v>27500</v>
      </c>
      <c r="AA16" s="253">
        <f t="shared" si="8"/>
        <v>27500</v>
      </c>
      <c r="AB16" s="403">
        <f>IFERROR(AB15/AB10,)*1000</f>
        <v>17090.909090909088</v>
      </c>
      <c r="AC16" s="379">
        <f>IFERROR(AC15/AC10,)*1000</f>
        <v>15925.14501296864</v>
      </c>
      <c r="AD16" s="404">
        <f t="shared" si="9"/>
        <v>-1165.7640779404483</v>
      </c>
      <c r="AE16" s="253">
        <f>IFERROR(AE15/AE10,)*1000</f>
        <v>29546.979865771813</v>
      </c>
      <c r="AF16" s="379">
        <f>IFERROR(AF15/AF10,)*1000</f>
        <v>29657.07588775277</v>
      </c>
      <c r="AG16" s="253">
        <f t="shared" si="10"/>
        <v>110.09602198095672</v>
      </c>
      <c r="AH16" s="403">
        <f>IFERROR(AH15/AH10,)*1000</f>
        <v>16789.598108747043</v>
      </c>
      <c r="AI16" s="379">
        <f>IFERROR(AI15/AI10,)*1000</f>
        <v>18101.971066061145</v>
      </c>
      <c r="AJ16" s="404">
        <f t="shared" si="11"/>
        <v>1312.3729573141027</v>
      </c>
    </row>
    <row r="17" spans="4:39" ht="24" customHeight="1" x14ac:dyDescent="0.3">
      <c r="D17" s="76"/>
      <c r="E17" s="664"/>
      <c r="F17" s="251" t="s">
        <v>43</v>
      </c>
      <c r="G17" s="247">
        <f>G13+G15</f>
        <v>1714008.6666666665</v>
      </c>
      <c r="H17" s="380">
        <f>H13+H15</f>
        <v>2235171</v>
      </c>
      <c r="I17" s="250">
        <f t="shared" si="2"/>
        <v>521162.33333333349</v>
      </c>
      <c r="J17" s="249">
        <f>J13+J15</f>
        <v>732146.40320000006</v>
      </c>
      <c r="K17" s="380">
        <f>K13+K15</f>
        <v>136928</v>
      </c>
      <c r="L17" s="248">
        <f t="shared" si="3"/>
        <v>-595218.40320000006</v>
      </c>
      <c r="M17" s="249">
        <f>M13+M15</f>
        <v>990000</v>
      </c>
      <c r="N17" s="380">
        <f>N13+N15</f>
        <v>0</v>
      </c>
      <c r="O17" s="248">
        <f t="shared" si="4"/>
        <v>-990000</v>
      </c>
      <c r="P17" s="405">
        <f>P13+P15</f>
        <v>3436155.0698666666</v>
      </c>
      <c r="Q17" s="380">
        <f>Q13+Q15</f>
        <v>2372099</v>
      </c>
      <c r="R17" s="406">
        <f t="shared" si="5"/>
        <v>-1064056.0698666666</v>
      </c>
      <c r="S17" s="247">
        <f>S13+S15</f>
        <v>2156192.4450376439</v>
      </c>
      <c r="T17" s="380">
        <f>T13+T15</f>
        <v>2411253</v>
      </c>
      <c r="U17" s="250">
        <f t="shared" si="6"/>
        <v>255060.55496235611</v>
      </c>
      <c r="V17" s="249">
        <f>V13+V15</f>
        <v>4518102.3989622807</v>
      </c>
      <c r="W17" s="380">
        <f>W13+W15</f>
        <v>3300542.5</v>
      </c>
      <c r="X17" s="248">
        <f t="shared" si="7"/>
        <v>-1217559.8989622807</v>
      </c>
      <c r="Y17" s="249">
        <f>Y13+Y15</f>
        <v>0</v>
      </c>
      <c r="Z17" s="380">
        <f>Z13+Z15</f>
        <v>34127.5</v>
      </c>
      <c r="AA17" s="248">
        <f t="shared" si="8"/>
        <v>34127.5</v>
      </c>
      <c r="AB17" s="405">
        <f>AB13+AB15</f>
        <v>6674294.8439999251</v>
      </c>
      <c r="AC17" s="380">
        <f>AC13+AC15</f>
        <v>5745923</v>
      </c>
      <c r="AD17" s="406">
        <f t="shared" si="9"/>
        <v>-928371.84399992507</v>
      </c>
      <c r="AE17" s="248">
        <f>AE13+AE15</f>
        <v>6232316.1599870706</v>
      </c>
      <c r="AF17" s="380">
        <f>AF13+AF15</f>
        <v>5011763.58</v>
      </c>
      <c r="AG17" s="248">
        <f t="shared" si="10"/>
        <v>-1220552.5799870705</v>
      </c>
      <c r="AH17" s="405">
        <f>AH13+AH15</f>
        <v>16342766.073853662</v>
      </c>
      <c r="AI17" s="380">
        <f>AI13+AI15</f>
        <v>13129785.58</v>
      </c>
      <c r="AJ17" s="406">
        <f t="shared" si="11"/>
        <v>-3212980.4938536622</v>
      </c>
      <c r="AL17" s="6">
        <f>+'골재사업소(당월)'!AL17+'[4]골재사업소(누계)'!AL17</f>
        <v>16342766.07385366</v>
      </c>
      <c r="AM17" s="6">
        <f>+'골재사업소(당월)'!AM17+'[4]골재사업소(누계)'!AM17</f>
        <v>13129785.58</v>
      </c>
    </row>
    <row r="18" spans="4:39" ht="24" customHeight="1" x14ac:dyDescent="0.3">
      <c r="D18" s="76"/>
      <c r="E18" s="246" t="s">
        <v>7</v>
      </c>
      <c r="F18" s="245" t="s">
        <v>134</v>
      </c>
      <c r="G18" s="229">
        <f>+'골재사업소(당월)'!G18+'[4]골재사업소(누계)'!G18</f>
        <v>287096.96893698699</v>
      </c>
      <c r="H18" s="381">
        <f>+'골재사업소(당월)'!H18+'[4]골재사업소(누계)'!H18</f>
        <v>152007.26137924445</v>
      </c>
      <c r="I18" s="232">
        <f t="shared" si="2"/>
        <v>-135089.70755774254</v>
      </c>
      <c r="J18" s="231">
        <f>+'골재사업소(당월)'!J18+'[4]골재사업소(누계)'!J18</f>
        <v>78658.334157164601</v>
      </c>
      <c r="K18" s="381">
        <f>+'골재사업소(당월)'!K18+'[4]골재사업소(누계)'!K18</f>
        <v>8957.9034389485114</v>
      </c>
      <c r="L18" s="230">
        <f t="shared" si="3"/>
        <v>-69700.430718216085</v>
      </c>
      <c r="M18" s="231">
        <f>+'골재사업소(당월)'!M18+'[4]골재사업소(누계)'!M18</f>
        <v>0</v>
      </c>
      <c r="N18" s="381">
        <f>+'골재사업소(당월)'!N18+'[4]골재사업소(누계)'!N18</f>
        <v>0</v>
      </c>
      <c r="O18" s="230">
        <f t="shared" si="4"/>
        <v>0</v>
      </c>
      <c r="P18" s="407">
        <f>+G18+J18+M18</f>
        <v>365755.3030941516</v>
      </c>
      <c r="Q18" s="381">
        <f>+H18+K18+N18</f>
        <v>160965.16481819295</v>
      </c>
      <c r="R18" s="408">
        <f t="shared" si="5"/>
        <v>-204790.13827595866</v>
      </c>
      <c r="S18" s="660">
        <f>+'골재사업소(당월)'!S18+'[4]골재사업소(누계)'!S18</f>
        <v>-123038.3889878882</v>
      </c>
      <c r="T18" s="381">
        <f>+'골재사업소(당월)'!T18+'[4]골재사업소(누계)'!T18</f>
        <v>-227830.55947846398</v>
      </c>
      <c r="U18" s="232">
        <f t="shared" si="6"/>
        <v>-104792.17049057578</v>
      </c>
      <c r="V18" s="231">
        <f>+'골재사업소(당월)'!V18+'[4]골재사업소(누계)'!V18</f>
        <v>412389.26257319894</v>
      </c>
      <c r="W18" s="381">
        <f>+'골재사업소(당월)'!W18+'[4]골재사업소(누계)'!W18</f>
        <v>334707.01168449799</v>
      </c>
      <c r="X18" s="230">
        <f t="shared" si="7"/>
        <v>-77682.250888700946</v>
      </c>
      <c r="Y18" s="231">
        <f>+'골재사업소(당월)'!Y18+'[4]골재사업소(누계)'!Y18</f>
        <v>0</v>
      </c>
      <c r="Z18" s="381">
        <f>+'골재사업소(당월)'!Z18+'[4]골재사업소(누계)'!Z18</f>
        <v>0</v>
      </c>
      <c r="AA18" s="230">
        <f t="shared" si="8"/>
        <v>0</v>
      </c>
      <c r="AB18" s="407">
        <f t="shared" ref="AB18:AB19" si="14">+S18+V18+Y18</f>
        <v>289350.87358531076</v>
      </c>
      <c r="AC18" s="381">
        <f t="shared" ref="AC18:AC19" si="15">+T18+W18+Z18</f>
        <v>106876.45220603401</v>
      </c>
      <c r="AD18" s="408">
        <f t="shared" si="9"/>
        <v>-182474.42137927676</v>
      </c>
      <c r="AE18" s="230">
        <f>+'골재사업소(당월)'!AE18+'[4]골재사업소(누계)'!AE18</f>
        <v>199297.49960979485</v>
      </c>
      <c r="AF18" s="381">
        <f>+'골재사업소(당월)'!AF18+'[4]골재사업소(누계)'!AF18</f>
        <v>317122.89900000003</v>
      </c>
      <c r="AG18" s="230">
        <f t="shared" si="10"/>
        <v>117825.39939020519</v>
      </c>
      <c r="AH18" s="407">
        <f>+P18+AB18+AE18</f>
        <v>854403.67628925724</v>
      </c>
      <c r="AI18" s="381">
        <f>+Q18+AC18+AF18</f>
        <v>584964.51602422702</v>
      </c>
      <c r="AJ18" s="408">
        <f t="shared" si="11"/>
        <v>-269439.16026503022</v>
      </c>
      <c r="AL18" s="6" t="b">
        <f>+AL17=AL17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+'골재사업소(당월)'!G19+'[4]골재사업소(누계)'!G19</f>
        <v>10475.277938733067</v>
      </c>
      <c r="H19" s="382">
        <f>+'골재사업소(당월)'!H19+'[4]골재사업소(누계)'!H19</f>
        <v>-171639.21295158798</v>
      </c>
      <c r="I19" s="243">
        <f t="shared" si="2"/>
        <v>-182114.49089032103</v>
      </c>
      <c r="J19" s="242">
        <f>+'골재사업소(당월)'!J19+'[4]골재사업소(누계)'!J19</f>
        <v>142694.91715696602</v>
      </c>
      <c r="K19" s="382">
        <f>+'골재사업소(당월)'!K19+'[4]골재사업소(누계)'!K19</f>
        <v>38049.038075170065</v>
      </c>
      <c r="L19" s="241">
        <f t="shared" si="3"/>
        <v>-104645.87908179595</v>
      </c>
      <c r="M19" s="242">
        <f>+'골재사업소(당월)'!M19+'[4]골재사업소(누계)'!M19</f>
        <v>140381.93384539295</v>
      </c>
      <c r="N19" s="382">
        <f>+'골재사업소(당월)'!N19+'[4]골재사업소(누계)'!N19</f>
        <v>0</v>
      </c>
      <c r="O19" s="241">
        <f t="shared" si="4"/>
        <v>-140381.93384539295</v>
      </c>
      <c r="P19" s="409">
        <f>+G19+J19+M19</f>
        <v>293552.12894109206</v>
      </c>
      <c r="Q19" s="382">
        <f>+H19+K19+N19</f>
        <v>-133590.17487641791</v>
      </c>
      <c r="R19" s="410">
        <f t="shared" si="5"/>
        <v>-427142.30381750996</v>
      </c>
      <c r="S19" s="240">
        <f>+'골재사업소(당월)'!S19+'[4]골재사업소(누계)'!S19</f>
        <v>-267982.98085719725</v>
      </c>
      <c r="T19" s="382">
        <f>+'골재사업소(당월)'!T19+'[4]골재사업소(누계)'!T19</f>
        <v>-290270.5882522951</v>
      </c>
      <c r="U19" s="243">
        <f t="shared" si="6"/>
        <v>-22287.607395097846</v>
      </c>
      <c r="V19" s="242">
        <f>+'골재사업소(당월)'!V19+'[4]골재사업소(누계)'!V19</f>
        <v>220654.30337816721</v>
      </c>
      <c r="W19" s="382">
        <f>+'골재사업소(당월)'!W19+'[4]골재사업소(누계)'!W19</f>
        <v>-8051.9938863056232</v>
      </c>
      <c r="X19" s="241">
        <f t="shared" si="7"/>
        <v>-228706.29726447284</v>
      </c>
      <c r="Y19" s="242">
        <f>+'골재사업소(당월)'!Y19+'[4]골재사업소(누계)'!Y19</f>
        <v>0</v>
      </c>
      <c r="Z19" s="382">
        <f>+'골재사업소(당월)'!Z19+'[4]골재사업소(누계)'!Z19</f>
        <v>4813.3760625666546</v>
      </c>
      <c r="AA19" s="241">
        <f t="shared" si="8"/>
        <v>4813.3760625666546</v>
      </c>
      <c r="AB19" s="409">
        <f t="shared" si="14"/>
        <v>-47328.677479030041</v>
      </c>
      <c r="AC19" s="382">
        <f t="shared" si="15"/>
        <v>-293509.20607603405</v>
      </c>
      <c r="AD19" s="410">
        <f t="shared" si="9"/>
        <v>-246180.52859700401</v>
      </c>
      <c r="AE19" s="241">
        <f>+'골재사업소(당월)'!AE19+'[4]골재사업소(누계)'!AE19</f>
        <v>113288.27602318594</v>
      </c>
      <c r="AF19" s="382">
        <f>+'골재사업소(당월)'!AF19+'[4]골재사업소(누계)'!AF19</f>
        <v>-11902.536712727831</v>
      </c>
      <c r="AG19" s="241">
        <f t="shared" si="10"/>
        <v>-125190.81273591377</v>
      </c>
      <c r="AH19" s="409">
        <f>+P19+AB19+AE19</f>
        <v>359511.72748524795</v>
      </c>
      <c r="AI19" s="382">
        <f>+Q19+AC19+AF19</f>
        <v>-439001.91766517982</v>
      </c>
      <c r="AJ19" s="410">
        <f t="shared" si="11"/>
        <v>-798513.64515042771</v>
      </c>
    </row>
    <row r="20" spans="4:39" ht="24" customHeight="1" x14ac:dyDescent="0.3">
      <c r="D20" s="76"/>
      <c r="E20" s="665"/>
      <c r="F20" s="239" t="s">
        <v>58</v>
      </c>
      <c r="G20" s="235">
        <f>G18+G19</f>
        <v>297572.24687572004</v>
      </c>
      <c r="H20" s="383">
        <f>H18+H19</f>
        <v>-19631.951572343532</v>
      </c>
      <c r="I20" s="238">
        <f t="shared" si="2"/>
        <v>-317204.19844806357</v>
      </c>
      <c r="J20" s="237">
        <f>J18+J19</f>
        <v>221353.25131413061</v>
      </c>
      <c r="K20" s="383">
        <f>K18+K19</f>
        <v>47006.941514118575</v>
      </c>
      <c r="L20" s="236">
        <f t="shared" si="3"/>
        <v>-174346.30980001204</v>
      </c>
      <c r="M20" s="237">
        <f>M18+M19</f>
        <v>140381.93384539295</v>
      </c>
      <c r="N20" s="383">
        <f>N18+N19</f>
        <v>0</v>
      </c>
      <c r="O20" s="236">
        <f t="shared" si="4"/>
        <v>-140381.93384539295</v>
      </c>
      <c r="P20" s="411">
        <f>P18+P19</f>
        <v>659307.4320352436</v>
      </c>
      <c r="Q20" s="383">
        <f>Q18+Q19</f>
        <v>27374.989941775042</v>
      </c>
      <c r="R20" s="412">
        <f t="shared" si="5"/>
        <v>-631932.4420934685</v>
      </c>
      <c r="S20" s="235">
        <f>S18+S19</f>
        <v>-391021.36984508543</v>
      </c>
      <c r="T20" s="383">
        <f>T18+T19</f>
        <v>-518101.14773075911</v>
      </c>
      <c r="U20" s="238">
        <f t="shared" si="6"/>
        <v>-127079.77788567368</v>
      </c>
      <c r="V20" s="237">
        <f>V18+V19</f>
        <v>633043.56595136621</v>
      </c>
      <c r="W20" s="383">
        <f>W18+W19</f>
        <v>326655.01779819239</v>
      </c>
      <c r="X20" s="236">
        <f t="shared" si="7"/>
        <v>-306388.54815317382</v>
      </c>
      <c r="Y20" s="237">
        <f>Y18+Y19</f>
        <v>0</v>
      </c>
      <c r="Z20" s="383">
        <f>Z18+Z19</f>
        <v>4813.3760625666546</v>
      </c>
      <c r="AA20" s="236">
        <f t="shared" si="8"/>
        <v>4813.3760625666546</v>
      </c>
      <c r="AB20" s="411">
        <f>AB18+AB19</f>
        <v>242022.19610628072</v>
      </c>
      <c r="AC20" s="383">
        <f>AC18+AC19</f>
        <v>-186632.75387000004</v>
      </c>
      <c r="AD20" s="412">
        <f t="shared" si="9"/>
        <v>-428654.9499762808</v>
      </c>
      <c r="AE20" s="236">
        <f>AE18+AE19</f>
        <v>312585.7756329808</v>
      </c>
      <c r="AF20" s="383">
        <f>AF18+AF19</f>
        <v>305220.36228727218</v>
      </c>
      <c r="AG20" s="236">
        <f t="shared" si="10"/>
        <v>-7365.4133457086282</v>
      </c>
      <c r="AH20" s="411">
        <f>AH18+AH19</f>
        <v>1213915.4037745052</v>
      </c>
      <c r="AI20" s="383">
        <f>AI18+AI19</f>
        <v>145962.5983590472</v>
      </c>
      <c r="AJ20" s="412">
        <f t="shared" si="11"/>
        <v>-1067952.805415458</v>
      </c>
      <c r="AL20" s="6">
        <f>+'골재사업소(당월)'!AL20+'[4]골재사업소(누계)'!AL20</f>
        <v>1213915.403774505</v>
      </c>
      <c r="AM20" s="6">
        <f>+'골재사업소(당월)'!AM20+'[4]골재사업소(누계)'!AM20</f>
        <v>145962.59835904744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+'골재사업소(당월)'!G21+'[4]골재사업소(누계)'!G21</f>
        <v>0</v>
      </c>
      <c r="H21" s="381">
        <f>+'골재사업소(당월)'!H21+'[4]골재사업소(누계)'!H21</f>
        <v>4208</v>
      </c>
      <c r="I21" s="232">
        <f t="shared" si="2"/>
        <v>4208</v>
      </c>
      <c r="J21" s="231">
        <f>+'골재사업소(당월)'!J21+'[4]골재사업소(누계)'!J21</f>
        <v>0</v>
      </c>
      <c r="K21" s="381">
        <f>+'골재사업소(당월)'!K21+'[4]골재사업소(누계)'!K21</f>
        <v>0</v>
      </c>
      <c r="L21" s="230">
        <f t="shared" si="3"/>
        <v>0</v>
      </c>
      <c r="M21" s="231">
        <f>+'골재사업소(당월)'!M21+'[4]골재사업소(누계)'!M21</f>
        <v>0</v>
      </c>
      <c r="N21" s="381">
        <f>+'골재사업소(당월)'!N21+'[4]골재사업소(누계)'!N21</f>
        <v>0</v>
      </c>
      <c r="O21" s="230">
        <f t="shared" si="4"/>
        <v>0</v>
      </c>
      <c r="P21" s="407">
        <f t="shared" ref="P21:Q26" si="16">+G21+J21+M21</f>
        <v>0</v>
      </c>
      <c r="Q21" s="381">
        <f t="shared" si="16"/>
        <v>4208</v>
      </c>
      <c r="R21" s="408">
        <f t="shared" si="5"/>
        <v>4208</v>
      </c>
      <c r="S21" s="229">
        <f>+'골재사업소(당월)'!S21+'[4]골재사업소(누계)'!S21</f>
        <v>96512.027814852743</v>
      </c>
      <c r="T21" s="381">
        <f>+'골재사업소(당월)'!T21+'[4]골재사업소(누계)'!T21</f>
        <v>88814</v>
      </c>
      <c r="U21" s="232">
        <f t="shared" si="6"/>
        <v>-7698.0278148527432</v>
      </c>
      <c r="V21" s="231">
        <f>+'골재사업소(당월)'!V21+'[4]골재사업소(누계)'!V21</f>
        <v>67906.395887560589</v>
      </c>
      <c r="W21" s="381">
        <f>+'골재사업소(당월)'!W21+'[4]골재사업소(누계)'!W21</f>
        <v>64019</v>
      </c>
      <c r="X21" s="230">
        <f t="shared" si="7"/>
        <v>-3887.3958875605895</v>
      </c>
      <c r="Y21" s="231">
        <f>+'골재사업소(당월)'!Y21+'[4]골재사업소(누계)'!Y21</f>
        <v>0</v>
      </c>
      <c r="Z21" s="381">
        <f>+'골재사업소(당월)'!Z21+'[4]골재사업소(누계)'!Z21</f>
        <v>0</v>
      </c>
      <c r="AA21" s="230">
        <f t="shared" si="8"/>
        <v>0</v>
      </c>
      <c r="AB21" s="407">
        <f t="shared" ref="AB21:AB32" si="17">+S21+V21+Y21</f>
        <v>164418.42370241333</v>
      </c>
      <c r="AC21" s="381">
        <f t="shared" ref="AC21:AC32" si="18">+T21+W21+Z21</f>
        <v>152833</v>
      </c>
      <c r="AD21" s="408">
        <f t="shared" si="9"/>
        <v>-11585.423702413333</v>
      </c>
      <c r="AE21" s="230">
        <f>+'골재사업소(당월)'!AE21+'[4]골재사업소(누계)'!AE21</f>
        <v>38335.420975987494</v>
      </c>
      <c r="AF21" s="381">
        <f>+'골재사업소(당월)'!AF21+'[4]골재사업소(누계)'!AF21</f>
        <v>38869</v>
      </c>
      <c r="AG21" s="230">
        <f t="shared" si="10"/>
        <v>533.57902401250612</v>
      </c>
      <c r="AH21" s="407">
        <f t="shared" ref="AH21:AI26" si="19">+P21+AB21+AE21</f>
        <v>202753.84467840084</v>
      </c>
      <c r="AI21" s="381">
        <f t="shared" si="19"/>
        <v>195910</v>
      </c>
      <c r="AJ21" s="408">
        <f t="shared" si="11"/>
        <v>-6843.8446784008411</v>
      </c>
      <c r="AL21" s="594" t="b">
        <f>+AL20=AL20</f>
        <v>1</v>
      </c>
      <c r="AM21" s="594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+'골재사업소(당월)'!G22+'[4]골재사업소(누계)'!G22</f>
        <v>88466</v>
      </c>
      <c r="H22" s="384">
        <f>+'골재사업소(당월)'!H22+'[4]골재사업소(누계)'!H22</f>
        <v>84316</v>
      </c>
      <c r="I22" s="228">
        <f t="shared" si="2"/>
        <v>-4150</v>
      </c>
      <c r="J22" s="227">
        <f>+'골재사업소(당월)'!J22+'[4]골재사업소(누계)'!J22</f>
        <v>6788.2</v>
      </c>
      <c r="K22" s="384">
        <f>+'골재사업소(당월)'!K22+'[4]골재사업소(누계)'!K22</f>
        <v>640</v>
      </c>
      <c r="L22" s="226">
        <f t="shared" si="3"/>
        <v>-6148.2</v>
      </c>
      <c r="M22" s="227">
        <f>+'골재사업소(당월)'!M22+'[4]골재사업소(누계)'!M22</f>
        <v>0</v>
      </c>
      <c r="N22" s="384">
        <f>+'골재사업소(당월)'!N22+'[4]골재사업소(누계)'!N22</f>
        <v>0</v>
      </c>
      <c r="O22" s="226">
        <f t="shared" si="4"/>
        <v>0</v>
      </c>
      <c r="P22" s="413">
        <f t="shared" si="16"/>
        <v>95254.2</v>
      </c>
      <c r="Q22" s="384">
        <f t="shared" si="16"/>
        <v>84956</v>
      </c>
      <c r="R22" s="414">
        <f t="shared" si="5"/>
        <v>-10298.199999999997</v>
      </c>
      <c r="S22" s="225">
        <f>+'골재사업소(당월)'!S22+'[4]골재사업소(누계)'!S22</f>
        <v>0</v>
      </c>
      <c r="T22" s="384">
        <f>+'골재사업소(당월)'!T22+'[4]골재사업소(누계)'!T22</f>
        <v>15344</v>
      </c>
      <c r="U22" s="228">
        <f t="shared" si="6"/>
        <v>15344</v>
      </c>
      <c r="V22" s="227">
        <f>+'골재사업소(당월)'!V22+'[4]골재사업소(누계)'!V22</f>
        <v>19592.383870967747</v>
      </c>
      <c r="W22" s="384">
        <f>+'골재사업소(당월)'!W22+'[4]골재사업소(누계)'!W22</f>
        <v>36768</v>
      </c>
      <c r="X22" s="226">
        <f t="shared" si="7"/>
        <v>17175.616129032253</v>
      </c>
      <c r="Y22" s="227">
        <f>+'골재사업소(당월)'!Y22+'[4]골재사업소(누계)'!Y22</f>
        <v>0</v>
      </c>
      <c r="Z22" s="384">
        <f>+'골재사업소(당월)'!Z22+'[4]골재사업소(누계)'!Z22</f>
        <v>0</v>
      </c>
      <c r="AA22" s="226">
        <f t="shared" si="8"/>
        <v>0</v>
      </c>
      <c r="AB22" s="413">
        <f t="shared" si="17"/>
        <v>19592.383870967747</v>
      </c>
      <c r="AC22" s="384">
        <f t="shared" si="18"/>
        <v>52112</v>
      </c>
      <c r="AD22" s="414">
        <f t="shared" si="9"/>
        <v>32519.616129032253</v>
      </c>
      <c r="AE22" s="226">
        <f>+'골재사업소(당월)'!AE22+'[4]골재사업소(누계)'!AE22</f>
        <v>32388.419580419577</v>
      </c>
      <c r="AF22" s="384">
        <f>+'골재사업소(당월)'!AF22+'[4]골재사업소(누계)'!AF22</f>
        <v>20736</v>
      </c>
      <c r="AG22" s="226">
        <f t="shared" si="10"/>
        <v>-11652.419580419577</v>
      </c>
      <c r="AH22" s="413">
        <f t="shared" si="19"/>
        <v>147235.00345138734</v>
      </c>
      <c r="AI22" s="384">
        <f t="shared" si="19"/>
        <v>157804</v>
      </c>
      <c r="AJ22" s="414">
        <f t="shared" si="11"/>
        <v>10568.99654861266</v>
      </c>
      <c r="AL22" s="98">
        <f>+AL20-AL20</f>
        <v>0</v>
      </c>
      <c r="AM22" s="98">
        <f>+AI20-AM20</f>
        <v>-2.3283064365386963E-10</v>
      </c>
    </row>
    <row r="23" spans="4:39" ht="24" customHeight="1" x14ac:dyDescent="0.3">
      <c r="D23" s="76"/>
      <c r="E23" s="165"/>
      <c r="F23" s="220" t="s">
        <v>27</v>
      </c>
      <c r="G23" s="225">
        <f>+'골재사업소(당월)'!G23+'[4]골재사업소(누계)'!G23</f>
        <v>6529.333333333333</v>
      </c>
      <c r="H23" s="384">
        <f>+'골재사업소(당월)'!H23+'[4]골재사업소(누계)'!H23</f>
        <v>6704</v>
      </c>
      <c r="I23" s="228">
        <f t="shared" si="2"/>
        <v>174.66666666666697</v>
      </c>
      <c r="J23" s="227">
        <f>+'골재사업소(당월)'!J23+'[4]골재사업소(누계)'!J23</f>
        <v>0</v>
      </c>
      <c r="K23" s="384">
        <f>+'골재사업소(당월)'!K23+'[4]골재사업소(누계)'!K23</f>
        <v>0</v>
      </c>
      <c r="L23" s="226">
        <f t="shared" si="3"/>
        <v>0</v>
      </c>
      <c r="M23" s="227">
        <f>+'골재사업소(당월)'!M23+'[4]골재사업소(누계)'!M23</f>
        <v>0</v>
      </c>
      <c r="N23" s="384">
        <f>+'골재사업소(당월)'!N23+'[4]골재사업소(누계)'!N23</f>
        <v>0</v>
      </c>
      <c r="O23" s="226">
        <f t="shared" si="4"/>
        <v>0</v>
      </c>
      <c r="P23" s="413">
        <f t="shared" si="16"/>
        <v>6529.333333333333</v>
      </c>
      <c r="Q23" s="384">
        <f t="shared" si="16"/>
        <v>6704</v>
      </c>
      <c r="R23" s="414">
        <f t="shared" si="5"/>
        <v>174.66666666666697</v>
      </c>
      <c r="S23" s="225">
        <f>+'골재사업소(당월)'!S23+'[4]골재사업소(누계)'!S23</f>
        <v>0</v>
      </c>
      <c r="T23" s="384">
        <f>+'골재사업소(당월)'!T23+'[4]골재사업소(누계)'!T23</f>
        <v>0</v>
      </c>
      <c r="U23" s="228">
        <f t="shared" si="6"/>
        <v>0</v>
      </c>
      <c r="V23" s="227">
        <f>+'골재사업소(당월)'!V23+'[4]골재사업소(누계)'!V23</f>
        <v>0</v>
      </c>
      <c r="W23" s="384">
        <f>+'골재사업소(당월)'!W23+'[4]골재사업소(누계)'!W23</f>
        <v>0</v>
      </c>
      <c r="X23" s="226">
        <f t="shared" si="7"/>
        <v>0</v>
      </c>
      <c r="Y23" s="227">
        <f>+'골재사업소(당월)'!Y23+'[4]골재사업소(누계)'!Y23</f>
        <v>0</v>
      </c>
      <c r="Z23" s="384">
        <f>+'골재사업소(당월)'!Z23+'[4]골재사업소(누계)'!Z23</f>
        <v>0</v>
      </c>
      <c r="AA23" s="226">
        <f t="shared" si="8"/>
        <v>0</v>
      </c>
      <c r="AB23" s="413">
        <f t="shared" si="17"/>
        <v>0</v>
      </c>
      <c r="AC23" s="384">
        <f t="shared" si="18"/>
        <v>0</v>
      </c>
      <c r="AD23" s="414">
        <f t="shared" si="9"/>
        <v>0</v>
      </c>
      <c r="AE23" s="226">
        <f>+'골재사업소(당월)'!AE23+'[4]골재사업소(누계)'!AE23</f>
        <v>21391.608391608392</v>
      </c>
      <c r="AF23" s="384">
        <f>+'골재사업소(당월)'!AF23+'[4]골재사업소(누계)'!AF23</f>
        <v>0</v>
      </c>
      <c r="AG23" s="226">
        <f t="shared" si="10"/>
        <v>-21391.608391608392</v>
      </c>
      <c r="AH23" s="413">
        <f t="shared" si="19"/>
        <v>27920.941724941724</v>
      </c>
      <c r="AI23" s="384">
        <f t="shared" si="19"/>
        <v>6704</v>
      </c>
      <c r="AJ23" s="414">
        <f t="shared" si="11"/>
        <v>-21216.941724941724</v>
      </c>
    </row>
    <row r="24" spans="4:39" ht="24" customHeight="1" x14ac:dyDescent="0.3">
      <c r="D24" s="76"/>
      <c r="E24" s="165"/>
      <c r="F24" s="220" t="s">
        <v>28</v>
      </c>
      <c r="G24" s="225">
        <f>+'골재사업소(당월)'!G24+'[4]골재사업소(누계)'!G24</f>
        <v>0</v>
      </c>
      <c r="H24" s="384">
        <f>+'골재사업소(당월)'!H24+'[4]골재사업소(누계)'!H24</f>
        <v>0</v>
      </c>
      <c r="I24" s="228">
        <f t="shared" si="2"/>
        <v>0</v>
      </c>
      <c r="J24" s="227">
        <f>+'골재사업소(당월)'!J24+'[4]골재사업소(누계)'!J24</f>
        <v>0</v>
      </c>
      <c r="K24" s="384">
        <f>+'골재사업소(당월)'!K24+'[4]골재사업소(누계)'!K24</f>
        <v>0</v>
      </c>
      <c r="L24" s="226">
        <f t="shared" si="3"/>
        <v>0</v>
      </c>
      <c r="M24" s="227">
        <f>+'골재사업소(당월)'!M24+'[4]골재사업소(누계)'!M24</f>
        <v>0</v>
      </c>
      <c r="N24" s="384">
        <f>+'골재사업소(당월)'!N24+'[4]골재사업소(누계)'!N24</f>
        <v>0</v>
      </c>
      <c r="O24" s="226">
        <f t="shared" si="4"/>
        <v>0</v>
      </c>
      <c r="P24" s="413">
        <f t="shared" si="16"/>
        <v>0</v>
      </c>
      <c r="Q24" s="384">
        <f t="shared" si="16"/>
        <v>0</v>
      </c>
      <c r="R24" s="414">
        <f t="shared" si="5"/>
        <v>0</v>
      </c>
      <c r="S24" s="225">
        <f>+'골재사업소(당월)'!S24+'[4]골재사업소(누계)'!S24</f>
        <v>0</v>
      </c>
      <c r="T24" s="384">
        <f>+'골재사업소(당월)'!T24+'[4]골재사업소(누계)'!T24</f>
        <v>0</v>
      </c>
      <c r="U24" s="228">
        <f t="shared" si="6"/>
        <v>0</v>
      </c>
      <c r="V24" s="227">
        <f>+'골재사업소(당월)'!V24+'[4]골재사업소(누계)'!V24</f>
        <v>0</v>
      </c>
      <c r="W24" s="384">
        <f>+'골재사업소(당월)'!W24+'[4]골재사업소(누계)'!W24</f>
        <v>4768</v>
      </c>
      <c r="X24" s="226">
        <f t="shared" si="7"/>
        <v>4768</v>
      </c>
      <c r="Y24" s="227">
        <f>+'골재사업소(당월)'!Y24+'[4]골재사업소(누계)'!Y24</f>
        <v>0</v>
      </c>
      <c r="Z24" s="384">
        <f>+'골재사업소(당월)'!Z24+'[4]골재사업소(누계)'!Z24</f>
        <v>0</v>
      </c>
      <c r="AA24" s="226">
        <f t="shared" si="8"/>
        <v>0</v>
      </c>
      <c r="AB24" s="413">
        <f t="shared" si="17"/>
        <v>0</v>
      </c>
      <c r="AC24" s="384">
        <f t="shared" si="18"/>
        <v>4768</v>
      </c>
      <c r="AD24" s="414">
        <f t="shared" si="9"/>
        <v>4768</v>
      </c>
      <c r="AE24" s="226">
        <f>+'골재사업소(당월)'!AE24+'[4]골재사업소(누계)'!AE24</f>
        <v>35667.692307692312</v>
      </c>
      <c r="AF24" s="384">
        <f>+'골재사업소(당월)'!AF24+'[4]골재사업소(누계)'!AF24</f>
        <v>0</v>
      </c>
      <c r="AG24" s="226">
        <f t="shared" si="10"/>
        <v>-35667.692307692312</v>
      </c>
      <c r="AH24" s="413">
        <f t="shared" si="19"/>
        <v>35667.692307692312</v>
      </c>
      <c r="AI24" s="384">
        <f t="shared" si="19"/>
        <v>4768</v>
      </c>
      <c r="AJ24" s="414">
        <f t="shared" si="11"/>
        <v>-30899.692307692312</v>
      </c>
    </row>
    <row r="25" spans="4:39" ht="24" customHeight="1" x14ac:dyDescent="0.3">
      <c r="D25" s="76"/>
      <c r="E25" s="165"/>
      <c r="F25" s="220" t="s">
        <v>29</v>
      </c>
      <c r="G25" s="225">
        <f>+'골재사업소(당월)'!G25+'[4]골재사업소(누계)'!G25</f>
        <v>0</v>
      </c>
      <c r="H25" s="384">
        <f>+'골재사업소(당월)'!H25+'[4]골재사업소(누계)'!H25</f>
        <v>0</v>
      </c>
      <c r="I25" s="228">
        <f t="shared" si="2"/>
        <v>0</v>
      </c>
      <c r="J25" s="227">
        <f>+'골재사업소(당월)'!J25+'[4]골재사업소(누계)'!J25</f>
        <v>2679.8268799999996</v>
      </c>
      <c r="K25" s="384">
        <f>+'골재사업소(당월)'!K25+'[4]골재사업소(누계)'!K25</f>
        <v>1216</v>
      </c>
      <c r="L25" s="226">
        <f t="shared" si="3"/>
        <v>-1463.8268799999996</v>
      </c>
      <c r="M25" s="227">
        <f>+'골재사업소(당월)'!M25+'[4]골재사업소(누계)'!M25</f>
        <v>0</v>
      </c>
      <c r="N25" s="384">
        <f>+'골재사업소(당월)'!N25+'[4]골재사업소(누계)'!N25</f>
        <v>0</v>
      </c>
      <c r="O25" s="226">
        <f t="shared" si="4"/>
        <v>0</v>
      </c>
      <c r="P25" s="413">
        <f t="shared" si="16"/>
        <v>2679.8268799999996</v>
      </c>
      <c r="Q25" s="384">
        <f t="shared" si="16"/>
        <v>1216</v>
      </c>
      <c r="R25" s="414">
        <f t="shared" si="5"/>
        <v>-1463.8268799999996</v>
      </c>
      <c r="S25" s="225">
        <f>+'골재사업소(당월)'!S25+'[4]골재사업소(누계)'!S25</f>
        <v>0</v>
      </c>
      <c r="T25" s="384">
        <f>+'골재사업소(당월)'!T25+'[4]골재사업소(누계)'!T25</f>
        <v>0</v>
      </c>
      <c r="U25" s="228">
        <f t="shared" si="6"/>
        <v>0</v>
      </c>
      <c r="V25" s="227">
        <f>+'골재사업소(당월)'!V25+'[4]골재사업소(누계)'!V25</f>
        <v>0</v>
      </c>
      <c r="W25" s="384">
        <f>+'골재사업소(당월)'!W25+'[4]골재사업소(누계)'!W25</f>
        <v>240</v>
      </c>
      <c r="X25" s="226">
        <f t="shared" si="7"/>
        <v>240</v>
      </c>
      <c r="Y25" s="227">
        <f>+'골재사업소(당월)'!Y25+'[4]골재사업소(누계)'!Y25</f>
        <v>0</v>
      </c>
      <c r="Z25" s="384">
        <f>+'골재사업소(당월)'!Z25+'[4]골재사업소(누계)'!Z25</f>
        <v>0</v>
      </c>
      <c r="AA25" s="226">
        <f t="shared" si="8"/>
        <v>0</v>
      </c>
      <c r="AB25" s="413">
        <f t="shared" si="17"/>
        <v>0</v>
      </c>
      <c r="AC25" s="384">
        <f t="shared" si="18"/>
        <v>240</v>
      </c>
      <c r="AD25" s="414">
        <f t="shared" si="9"/>
        <v>240</v>
      </c>
      <c r="AE25" s="226">
        <f>+'골재사업소(당월)'!AE25+'[4]골재사업소(누계)'!AE25</f>
        <v>10161.706293706293</v>
      </c>
      <c r="AF25" s="384">
        <f>+'골재사업소(당월)'!AF25+'[4]골재사업소(누계)'!AF25</f>
        <v>17712</v>
      </c>
      <c r="AG25" s="226">
        <f t="shared" si="10"/>
        <v>7550.2937062937071</v>
      </c>
      <c r="AH25" s="413">
        <f t="shared" si="19"/>
        <v>12841.533173706292</v>
      </c>
      <c r="AI25" s="384">
        <f t="shared" si="19"/>
        <v>19168</v>
      </c>
      <c r="AJ25" s="414">
        <f t="shared" si="11"/>
        <v>6326.4668262937084</v>
      </c>
    </row>
    <row r="26" spans="4:39" ht="24" customHeight="1" x14ac:dyDescent="0.3">
      <c r="D26" s="76"/>
      <c r="E26" s="165"/>
      <c r="F26" s="220" t="s">
        <v>30</v>
      </c>
      <c r="G26" s="225">
        <f>+'골재사업소(당월)'!G26+'[4]골재사업소(누계)'!G26</f>
        <v>4350.9333333333334</v>
      </c>
      <c r="H26" s="384">
        <f>+'골재사업소(당월)'!H26+'[4]골재사업소(누계)'!H26</f>
        <v>3504</v>
      </c>
      <c r="I26" s="228">
        <f t="shared" si="2"/>
        <v>-846.93333333333339</v>
      </c>
      <c r="J26" s="227">
        <f>+'골재사업소(당월)'!J26+'[4]골재사업소(누계)'!J26</f>
        <v>2516.8000000000002</v>
      </c>
      <c r="K26" s="384">
        <f>+'골재사업소(당월)'!K26+'[4]골재사업소(누계)'!K26</f>
        <v>240</v>
      </c>
      <c r="L26" s="226">
        <f t="shared" si="3"/>
        <v>-2276.8000000000002</v>
      </c>
      <c r="M26" s="227">
        <f>+'골재사업소(당월)'!M26+'[4]골재사업소(누계)'!M26</f>
        <v>0</v>
      </c>
      <c r="N26" s="384">
        <f>+'골재사업소(당월)'!N26+'[4]골재사업소(누계)'!N26</f>
        <v>0</v>
      </c>
      <c r="O26" s="226">
        <f t="shared" si="4"/>
        <v>0</v>
      </c>
      <c r="P26" s="413">
        <f t="shared" si="16"/>
        <v>6867.7333333333336</v>
      </c>
      <c r="Q26" s="382">
        <f t="shared" si="16"/>
        <v>3744</v>
      </c>
      <c r="R26" s="432">
        <f t="shared" si="5"/>
        <v>-3123.7333333333336</v>
      </c>
      <c r="S26" s="225">
        <f>+'골재사업소(당월)'!S26+'[4]골재사업소(누계)'!S26</f>
        <v>0</v>
      </c>
      <c r="T26" s="384">
        <f>+'골재사업소(당월)'!T26+'[4]골재사업소(누계)'!T26</f>
        <v>0</v>
      </c>
      <c r="U26" s="228">
        <f t="shared" si="6"/>
        <v>0</v>
      </c>
      <c r="V26" s="227">
        <f>+'골재사업소(당월)'!V26+'[4]골재사업소(누계)'!V26</f>
        <v>0</v>
      </c>
      <c r="W26" s="384">
        <f>+'골재사업소(당월)'!W26+'[4]골재사업소(누계)'!W26</f>
        <v>0</v>
      </c>
      <c r="X26" s="226">
        <f t="shared" si="7"/>
        <v>0</v>
      </c>
      <c r="Y26" s="227">
        <f>+'골재사업소(당월)'!Y26+'[4]골재사업소(누계)'!Y26</f>
        <v>0</v>
      </c>
      <c r="Z26" s="384">
        <f>+'골재사업소(당월)'!Z26+'[4]골재사업소(누계)'!Z26</f>
        <v>0</v>
      </c>
      <c r="AA26" s="226">
        <f t="shared" si="8"/>
        <v>0</v>
      </c>
      <c r="AB26" s="413">
        <f t="shared" si="17"/>
        <v>0</v>
      </c>
      <c r="AC26" s="382">
        <f t="shared" si="18"/>
        <v>0</v>
      </c>
      <c r="AD26" s="432">
        <f t="shared" si="9"/>
        <v>0</v>
      </c>
      <c r="AE26" s="226">
        <f>+'골재사업소(당월)'!AE26+'[4]골재사업소(누계)'!AE26</f>
        <v>0</v>
      </c>
      <c r="AF26" s="384">
        <f>+'골재사업소(당월)'!AF26+'[4]골재사업소(누계)'!AF26</f>
        <v>0</v>
      </c>
      <c r="AG26" s="226">
        <f t="shared" si="10"/>
        <v>0</v>
      </c>
      <c r="AH26" s="413">
        <f t="shared" si="19"/>
        <v>6867.7333333333336</v>
      </c>
      <c r="AI26" s="382">
        <f t="shared" si="19"/>
        <v>3744</v>
      </c>
      <c r="AJ26" s="414">
        <f t="shared" si="11"/>
        <v>-3123.7333333333336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IFERROR(G35/G21,)*1000</f>
        <v>0</v>
      </c>
      <c r="H27" s="385">
        <f t="shared" ref="H27:H32" si="20">IFERROR(H35/H21,)*1000</f>
        <v>12500</v>
      </c>
      <c r="I27" s="192">
        <f t="shared" si="2"/>
        <v>12500</v>
      </c>
      <c r="J27" s="222">
        <f t="shared" ref="J27:K27" si="21">IFERROR(J35/J21,)*1000</f>
        <v>0</v>
      </c>
      <c r="K27" s="385">
        <f t="shared" si="21"/>
        <v>0</v>
      </c>
      <c r="L27" s="204">
        <f t="shared" si="3"/>
        <v>0</v>
      </c>
      <c r="M27" s="222">
        <f t="shared" ref="M27:N27" si="22">IFERROR(M35/M21,)*1000</f>
        <v>0</v>
      </c>
      <c r="N27" s="385">
        <f t="shared" si="22"/>
        <v>0</v>
      </c>
      <c r="O27" s="204">
        <f t="shared" si="4"/>
        <v>0</v>
      </c>
      <c r="P27" s="427">
        <f>+IFERROR(HLOOKUP($A$1,[14]손익!$G$5:$AB$252,48,),)</f>
        <v>9000</v>
      </c>
      <c r="Q27" s="423">
        <f t="shared" ref="Q27:Q32" si="23">IFERROR(Q35/Q21,)*1000</f>
        <v>12500</v>
      </c>
      <c r="R27" s="433">
        <f t="shared" si="5"/>
        <v>3500</v>
      </c>
      <c r="S27" s="191">
        <f t="shared" ref="S27:T27" si="24">IFERROR(S35/S21,)*1000</f>
        <v>16000</v>
      </c>
      <c r="T27" s="385">
        <f t="shared" si="24"/>
        <v>17500</v>
      </c>
      <c r="U27" s="192">
        <f t="shared" si="6"/>
        <v>1500</v>
      </c>
      <c r="V27" s="222">
        <f t="shared" ref="V27:W27" si="25">IFERROR(V35/V21,)*1000</f>
        <v>23000.000000000007</v>
      </c>
      <c r="W27" s="385">
        <f t="shared" si="25"/>
        <v>23500</v>
      </c>
      <c r="X27" s="204">
        <f t="shared" si="7"/>
        <v>499.99999999999272</v>
      </c>
      <c r="Y27" s="222">
        <f t="shared" ref="Y27:Z27" si="26">IFERROR(Y35/Y21,)*1000</f>
        <v>0</v>
      </c>
      <c r="Z27" s="385">
        <f t="shared" si="26"/>
        <v>0</v>
      </c>
      <c r="AA27" s="204">
        <f t="shared" si="8"/>
        <v>0</v>
      </c>
      <c r="AB27" s="427">
        <f t="shared" si="17"/>
        <v>39000.000000000007</v>
      </c>
      <c r="AC27" s="423">
        <f t="shared" si="18"/>
        <v>41000</v>
      </c>
      <c r="AD27" s="433">
        <f t="shared" si="9"/>
        <v>1999.9999999999927</v>
      </c>
      <c r="AE27" s="204">
        <f t="shared" ref="AE27:AF27" si="27">IFERROR(AE35/AE21,)*1000</f>
        <v>31470.250648764151</v>
      </c>
      <c r="AF27" s="385">
        <f t="shared" si="27"/>
        <v>31917.939746327407</v>
      </c>
      <c r="AG27" s="204">
        <f t="shared" si="10"/>
        <v>447.68909756325593</v>
      </c>
      <c r="AH27" s="415">
        <f t="shared" ref="AH27:AH32" si="28">+AH35/AH21*1000</f>
        <v>21269.460335669562</v>
      </c>
      <c r="AI27" s="385">
        <f t="shared" ref="AI27:AI32" si="29">IFERROR(AI35/AI21,)*1000</f>
        <v>22213.822163238223</v>
      </c>
      <c r="AJ27" s="416">
        <f t="shared" si="11"/>
        <v>944.36182756866037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 t="shared" ref="G28" si="30">IFERROR(G36/G22,)*1000</f>
        <v>16000</v>
      </c>
      <c r="H28" s="95">
        <f t="shared" si="20"/>
        <v>17000</v>
      </c>
      <c r="I28" s="190">
        <f t="shared" si="2"/>
        <v>1000</v>
      </c>
      <c r="J28" s="219">
        <f t="shared" ref="J28:K28" si="31">IFERROR(J36/J22,)*1000</f>
        <v>19032.585957985913</v>
      </c>
      <c r="K28" s="95">
        <f t="shared" si="31"/>
        <v>10500</v>
      </c>
      <c r="L28" s="195">
        <f t="shared" si="3"/>
        <v>-8532.5859579859134</v>
      </c>
      <c r="M28" s="219">
        <f t="shared" ref="M28:N28" si="32">IFERROR(M36/M22,)*1000</f>
        <v>0</v>
      </c>
      <c r="N28" s="95">
        <f t="shared" si="32"/>
        <v>0</v>
      </c>
      <c r="O28" s="195">
        <f t="shared" si="4"/>
        <v>0</v>
      </c>
      <c r="P28" s="428">
        <f>+IFERROR(HLOOKUP($A$1,[14]손익!$G$5:$AB$252,49,),)</f>
        <v>10555.727554179568</v>
      </c>
      <c r="Q28" s="424">
        <f t="shared" si="23"/>
        <v>16951.033476152363</v>
      </c>
      <c r="R28" s="434">
        <f t="shared" si="5"/>
        <v>6395.3059219727947</v>
      </c>
      <c r="S28" s="189">
        <f t="shared" ref="S28:T28" si="33">IFERROR(S36/S22,)*1000</f>
        <v>0</v>
      </c>
      <c r="T28" s="95">
        <f t="shared" si="33"/>
        <v>12000</v>
      </c>
      <c r="U28" s="190">
        <f t="shared" si="6"/>
        <v>12000</v>
      </c>
      <c r="V28" s="219">
        <f t="shared" ref="V28:W28" si="34">IFERROR(V36/V22,)*1000</f>
        <v>18999.999999999996</v>
      </c>
      <c r="W28" s="95">
        <f t="shared" si="34"/>
        <v>19628.372497824195</v>
      </c>
      <c r="X28" s="195">
        <f t="shared" si="7"/>
        <v>628.37249782419894</v>
      </c>
      <c r="Y28" s="219">
        <f t="shared" ref="Y28:Z28" si="35">IFERROR(Y36/Y22,)*1000</f>
        <v>0</v>
      </c>
      <c r="Z28" s="95">
        <f t="shared" si="35"/>
        <v>0</v>
      </c>
      <c r="AA28" s="195">
        <f t="shared" si="8"/>
        <v>0</v>
      </c>
      <c r="AB28" s="428">
        <f t="shared" si="17"/>
        <v>18999.999999999996</v>
      </c>
      <c r="AC28" s="424">
        <f t="shared" si="18"/>
        <v>31628.372497824195</v>
      </c>
      <c r="AD28" s="434">
        <f t="shared" si="9"/>
        <v>12628.372497824199</v>
      </c>
      <c r="AE28" s="195">
        <f t="shared" ref="AE28:AF28" si="36">IFERROR(AE36/AE22,)*1000</f>
        <v>28000.000000000004</v>
      </c>
      <c r="AF28" s="95">
        <f t="shared" si="36"/>
        <v>28004.597993827163</v>
      </c>
      <c r="AG28" s="195">
        <f t="shared" si="10"/>
        <v>4.597993827159371</v>
      </c>
      <c r="AH28" s="417">
        <f t="shared" si="28"/>
        <v>19178.754885773244</v>
      </c>
      <c r="AI28" s="95">
        <f t="shared" si="29"/>
        <v>18545.913563661252</v>
      </c>
      <c r="AJ28" s="418">
        <f t="shared" si="11"/>
        <v>-632.84132211199176</v>
      </c>
    </row>
    <row r="29" spans="4:39" ht="24" customHeight="1" x14ac:dyDescent="0.3">
      <c r="D29" s="76"/>
      <c r="E29" s="165"/>
      <c r="F29" s="220" t="s">
        <v>27</v>
      </c>
      <c r="G29" s="189">
        <f t="shared" ref="G29" si="37">IFERROR(G37/G23,)*1000</f>
        <v>10000</v>
      </c>
      <c r="H29" s="95">
        <f t="shared" si="20"/>
        <v>11500</v>
      </c>
      <c r="I29" s="190">
        <f t="shared" si="2"/>
        <v>1500</v>
      </c>
      <c r="J29" s="219">
        <f t="shared" ref="J29:K29" si="38">IFERROR(J37/J23,)*1000</f>
        <v>0</v>
      </c>
      <c r="K29" s="95">
        <f t="shared" si="38"/>
        <v>0</v>
      </c>
      <c r="L29" s="195">
        <f t="shared" si="3"/>
        <v>0</v>
      </c>
      <c r="M29" s="219">
        <f t="shared" ref="M29:N29" si="39">IFERROR(M37/M23,)*1000</f>
        <v>0</v>
      </c>
      <c r="N29" s="95">
        <f t="shared" si="39"/>
        <v>0</v>
      </c>
      <c r="O29" s="195">
        <f t="shared" si="4"/>
        <v>0</v>
      </c>
      <c r="P29" s="429">
        <f>+IFERROR(HLOOKUP($A$1,[14]손익!$G$5:$AB$252,50,),)</f>
        <v>0</v>
      </c>
      <c r="Q29" s="425">
        <f t="shared" si="23"/>
        <v>11500</v>
      </c>
      <c r="R29" s="434">
        <f t="shared" si="5"/>
        <v>11500</v>
      </c>
      <c r="S29" s="189">
        <f t="shared" ref="S29:T29" si="40">IFERROR(S37/S23,)*1000</f>
        <v>0</v>
      </c>
      <c r="T29" s="95">
        <f t="shared" si="40"/>
        <v>0</v>
      </c>
      <c r="U29" s="190">
        <f t="shared" si="6"/>
        <v>0</v>
      </c>
      <c r="V29" s="219">
        <f t="shared" ref="V29:W29" si="41">IFERROR(V37/V23,)*1000</f>
        <v>0</v>
      </c>
      <c r="W29" s="95">
        <f t="shared" si="41"/>
        <v>0</v>
      </c>
      <c r="X29" s="195">
        <f t="shared" si="7"/>
        <v>0</v>
      </c>
      <c r="Y29" s="219">
        <f t="shared" ref="Y29:Z29" si="42">IFERROR(Y37/Y23,)*1000</f>
        <v>0</v>
      </c>
      <c r="Z29" s="95">
        <f t="shared" si="42"/>
        <v>0</v>
      </c>
      <c r="AA29" s="195">
        <f t="shared" si="8"/>
        <v>0</v>
      </c>
      <c r="AB29" s="429">
        <f t="shared" si="17"/>
        <v>0</v>
      </c>
      <c r="AC29" s="425">
        <f t="shared" si="18"/>
        <v>0</v>
      </c>
      <c r="AD29" s="434">
        <f t="shared" si="9"/>
        <v>0</v>
      </c>
      <c r="AE29" s="195">
        <f t="shared" ref="AE29:AF29" si="43">IFERROR(AE37/AE23,)*1000</f>
        <v>27500</v>
      </c>
      <c r="AF29" s="95">
        <f t="shared" si="43"/>
        <v>0</v>
      </c>
      <c r="AG29" s="195">
        <f t="shared" si="10"/>
        <v>-27500</v>
      </c>
      <c r="AH29" s="417">
        <f t="shared" si="28"/>
        <v>23407.611768292827</v>
      </c>
      <c r="AI29" s="95">
        <f t="shared" si="29"/>
        <v>85877.07875894988</v>
      </c>
      <c r="AJ29" s="418">
        <f t="shared" si="11"/>
        <v>62469.466990657049</v>
      </c>
    </row>
    <row r="30" spans="4:39" ht="24" customHeight="1" x14ac:dyDescent="0.3">
      <c r="D30" s="76"/>
      <c r="E30" s="165"/>
      <c r="F30" s="220" t="s">
        <v>28</v>
      </c>
      <c r="G30" s="189">
        <f t="shared" ref="G30" si="44">IFERROR(G38/G24,)*1000</f>
        <v>0</v>
      </c>
      <c r="H30" s="95">
        <f t="shared" si="20"/>
        <v>0</v>
      </c>
      <c r="I30" s="190">
        <f t="shared" si="2"/>
        <v>0</v>
      </c>
      <c r="J30" s="219">
        <f t="shared" ref="J30:K30" si="45">IFERROR(J38/J24,)*1000</f>
        <v>0</v>
      </c>
      <c r="K30" s="95">
        <f t="shared" si="45"/>
        <v>0</v>
      </c>
      <c r="L30" s="195">
        <f t="shared" si="3"/>
        <v>0</v>
      </c>
      <c r="M30" s="219">
        <f t="shared" ref="M30:N30" si="46">IFERROR(M38/M24,)*1000</f>
        <v>0</v>
      </c>
      <c r="N30" s="95">
        <f t="shared" si="46"/>
        <v>0</v>
      </c>
      <c r="O30" s="195">
        <f t="shared" si="4"/>
        <v>0</v>
      </c>
      <c r="P30" s="429">
        <f>+IFERROR(HLOOKUP($A$1,[14]손익!$G$5:$AB$252,51,),)</f>
        <v>16409.292791253843</v>
      </c>
      <c r="Q30" s="55">
        <f t="shared" si="23"/>
        <v>0</v>
      </c>
      <c r="R30" s="435">
        <f t="shared" si="5"/>
        <v>-16409.292791253843</v>
      </c>
      <c r="S30" s="189">
        <f t="shared" ref="S30:T30" si="47">IFERROR(S38/S24,)*1000</f>
        <v>0</v>
      </c>
      <c r="T30" s="95">
        <f t="shared" si="47"/>
        <v>0</v>
      </c>
      <c r="U30" s="190">
        <f t="shared" si="6"/>
        <v>0</v>
      </c>
      <c r="V30" s="219">
        <f t="shared" ref="V30:W30" si="48">IFERROR(V38/V24,)*1000</f>
        <v>0</v>
      </c>
      <c r="W30" s="95">
        <f t="shared" si="48"/>
        <v>18536.912751677854</v>
      </c>
      <c r="X30" s="195">
        <f t="shared" si="7"/>
        <v>18536.912751677854</v>
      </c>
      <c r="Y30" s="219">
        <f t="shared" ref="Y30:Z30" si="49">IFERROR(Y38/Y24,)*1000</f>
        <v>0</v>
      </c>
      <c r="Z30" s="95">
        <f t="shared" si="49"/>
        <v>0</v>
      </c>
      <c r="AA30" s="195">
        <f t="shared" si="8"/>
        <v>0</v>
      </c>
      <c r="AB30" s="429">
        <f t="shared" si="17"/>
        <v>0</v>
      </c>
      <c r="AC30" s="55">
        <f t="shared" si="18"/>
        <v>18536.912751677854</v>
      </c>
      <c r="AD30" s="435">
        <f t="shared" si="9"/>
        <v>18536.912751677854</v>
      </c>
      <c r="AE30" s="195">
        <f t="shared" ref="AE30:AF30" si="50">IFERROR(AE38/AE24,)*1000</f>
        <v>29090.909090909085</v>
      </c>
      <c r="AF30" s="95">
        <f t="shared" si="50"/>
        <v>0</v>
      </c>
      <c r="AG30" s="195">
        <f t="shared" si="10"/>
        <v>-29090.909090909085</v>
      </c>
      <c r="AH30" s="417">
        <f t="shared" si="28"/>
        <v>29090.909090909085</v>
      </c>
      <c r="AI30" s="95">
        <f t="shared" si="29"/>
        <v>195513.5067114094</v>
      </c>
      <c r="AJ30" s="418">
        <f t="shared" si="11"/>
        <v>166422.59762050031</v>
      </c>
    </row>
    <row r="31" spans="4:39" ht="24" customHeight="1" x14ac:dyDescent="0.3">
      <c r="D31" s="76"/>
      <c r="E31" s="165"/>
      <c r="F31" s="220" t="s">
        <v>29</v>
      </c>
      <c r="G31" s="189">
        <f t="shared" ref="G31" si="51">IFERROR(G39/G25,)*1000</f>
        <v>0</v>
      </c>
      <c r="H31" s="95">
        <f t="shared" si="20"/>
        <v>0</v>
      </c>
      <c r="I31" s="190">
        <f t="shared" si="2"/>
        <v>0</v>
      </c>
      <c r="J31" s="219">
        <f t="shared" ref="J31:K31" si="52">IFERROR(J39/J25,)*1000</f>
        <v>15000.000000000002</v>
      </c>
      <c r="K31" s="95">
        <f t="shared" si="52"/>
        <v>9000</v>
      </c>
      <c r="L31" s="195">
        <f t="shared" si="3"/>
        <v>-6000.0000000000018</v>
      </c>
      <c r="M31" s="219">
        <f t="shared" ref="M31:N31" si="53">IFERROR(M39/M25,)*1000</f>
        <v>0</v>
      </c>
      <c r="N31" s="95">
        <f t="shared" si="53"/>
        <v>0</v>
      </c>
      <c r="O31" s="195">
        <f t="shared" si="4"/>
        <v>0</v>
      </c>
      <c r="P31" s="429">
        <f>+IFERROR(HLOOKUP($A$1,[14]손익!$G$5:$AB$252,52,),)</f>
        <v>10000</v>
      </c>
      <c r="Q31" s="55">
        <f t="shared" si="23"/>
        <v>9000</v>
      </c>
      <c r="R31" s="435">
        <f t="shared" si="5"/>
        <v>-1000</v>
      </c>
      <c r="S31" s="189">
        <f t="shared" ref="S31:T31" si="54">IFERROR(S39/S25,)*1000</f>
        <v>0</v>
      </c>
      <c r="T31" s="95">
        <f t="shared" si="54"/>
        <v>0</v>
      </c>
      <c r="U31" s="190">
        <f t="shared" si="6"/>
        <v>0</v>
      </c>
      <c r="V31" s="219">
        <f t="shared" ref="V31:W31" si="55">IFERROR(V39/V25,)*1000</f>
        <v>0</v>
      </c>
      <c r="W31" s="95">
        <f t="shared" si="55"/>
        <v>19000</v>
      </c>
      <c r="X31" s="195">
        <f t="shared" si="7"/>
        <v>19000</v>
      </c>
      <c r="Y31" s="219">
        <f t="shared" ref="Y31:Z31" si="56">IFERROR(Y39/Y25,)*1000</f>
        <v>0</v>
      </c>
      <c r="Z31" s="95">
        <f t="shared" si="56"/>
        <v>0</v>
      </c>
      <c r="AA31" s="195">
        <f t="shared" si="8"/>
        <v>0</v>
      </c>
      <c r="AB31" s="429">
        <f t="shared" si="17"/>
        <v>0</v>
      </c>
      <c r="AC31" s="55">
        <f t="shared" si="18"/>
        <v>19000</v>
      </c>
      <c r="AD31" s="435">
        <f t="shared" si="9"/>
        <v>19000</v>
      </c>
      <c r="AE31" s="195">
        <f t="shared" ref="AE31:AF31" si="57">IFERROR(AE39/AE25,)*1000</f>
        <v>28724.534176023521</v>
      </c>
      <c r="AF31" s="95">
        <f t="shared" si="57"/>
        <v>1825.2032520325204</v>
      </c>
      <c r="AG31" s="195">
        <f t="shared" si="10"/>
        <v>-26899.330923991001</v>
      </c>
      <c r="AH31" s="417">
        <f t="shared" si="28"/>
        <v>25860.438814287889</v>
      </c>
      <c r="AI31" s="95">
        <f t="shared" si="29"/>
        <v>2495.4090150250418</v>
      </c>
      <c r="AJ31" s="418">
        <f t="shared" si="11"/>
        <v>-23365.029799262848</v>
      </c>
    </row>
    <row r="32" spans="4:39" ht="24" customHeight="1" thickBot="1" x14ac:dyDescent="0.35">
      <c r="D32" s="76"/>
      <c r="E32" s="217"/>
      <c r="F32" s="216" t="s">
        <v>30</v>
      </c>
      <c r="G32" s="212">
        <f t="shared" ref="G32" si="58">IFERROR(G40/G26,)*1000</f>
        <v>9999.9999999999982</v>
      </c>
      <c r="H32" s="386">
        <f t="shared" si="20"/>
        <v>11500</v>
      </c>
      <c r="I32" s="215">
        <f t="shared" si="2"/>
        <v>1500.0000000000018</v>
      </c>
      <c r="J32" s="214">
        <f t="shared" ref="J32:K32" si="59">IFERROR(J40/J26,)*1000</f>
        <v>14999.999999999998</v>
      </c>
      <c r="K32" s="386">
        <f t="shared" si="59"/>
        <v>9000</v>
      </c>
      <c r="L32" s="213">
        <f t="shared" si="3"/>
        <v>-5999.9999999999982</v>
      </c>
      <c r="M32" s="214">
        <f t="shared" ref="M32:N32" si="60">IFERROR(M40/M26,)*1000</f>
        <v>0</v>
      </c>
      <c r="N32" s="386">
        <f t="shared" si="60"/>
        <v>0</v>
      </c>
      <c r="O32" s="213">
        <f t="shared" si="4"/>
        <v>0</v>
      </c>
      <c r="P32" s="430">
        <f>+IFERROR(HLOOKUP($A$1,[14]손익!$G$5:$AB$252,53,),)</f>
        <v>0</v>
      </c>
      <c r="Q32" s="426">
        <f t="shared" si="23"/>
        <v>11339.74358974359</v>
      </c>
      <c r="R32" s="436">
        <f t="shared" si="5"/>
        <v>11339.74358974359</v>
      </c>
      <c r="S32" s="212">
        <f t="shared" ref="S32:T32" si="61">IFERROR(S40/S26,)*1000</f>
        <v>0</v>
      </c>
      <c r="T32" s="386">
        <f t="shared" si="61"/>
        <v>0</v>
      </c>
      <c r="U32" s="215">
        <f t="shared" si="6"/>
        <v>0</v>
      </c>
      <c r="V32" s="214">
        <f t="shared" ref="V32:W32" si="62">IFERROR(V40/V26,)*1000</f>
        <v>0</v>
      </c>
      <c r="W32" s="386">
        <f t="shared" si="62"/>
        <v>0</v>
      </c>
      <c r="X32" s="213">
        <f t="shared" si="7"/>
        <v>0</v>
      </c>
      <c r="Y32" s="214">
        <f t="shared" ref="Y32:Z32" si="63">IFERROR(Y40/Y26,)*1000</f>
        <v>0</v>
      </c>
      <c r="Z32" s="386">
        <f t="shared" si="63"/>
        <v>0</v>
      </c>
      <c r="AA32" s="213">
        <f t="shared" si="8"/>
        <v>0</v>
      </c>
      <c r="AB32" s="430">
        <f t="shared" si="17"/>
        <v>0</v>
      </c>
      <c r="AC32" s="426">
        <f t="shared" si="18"/>
        <v>0</v>
      </c>
      <c r="AD32" s="436">
        <f t="shared" si="9"/>
        <v>0</v>
      </c>
      <c r="AE32" s="213">
        <f t="shared" ref="AE32:AF32" si="64">IFERROR(AE40/AE26,)*1000</f>
        <v>0</v>
      </c>
      <c r="AF32" s="386">
        <f t="shared" si="64"/>
        <v>0</v>
      </c>
      <c r="AG32" s="213">
        <f t="shared" si="10"/>
        <v>0</v>
      </c>
      <c r="AH32" s="419">
        <f t="shared" si="28"/>
        <v>11832.336724392326</v>
      </c>
      <c r="AI32" s="420">
        <f t="shared" si="29"/>
        <v>11339.74358974359</v>
      </c>
      <c r="AJ32" s="421">
        <f t="shared" si="11"/>
        <v>-492.59313464873594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65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66">+Q35-P35</f>
        <v>52600</v>
      </c>
      <c r="S35" s="6">
        <f>+'골재사업소(당월)'!S35+'[4]골재사업소(누계)'!S35</f>
        <v>1544192.4450376439</v>
      </c>
      <c r="T35" s="6">
        <f>+'골재사업소(당월)'!T35+'[4]골재사업소(누계)'!T35</f>
        <v>1554245</v>
      </c>
      <c r="U35" s="6">
        <f t="shared" ref="U35:U41" si="67">+T35-S35</f>
        <v>10052.554962356109</v>
      </c>
      <c r="V35" s="76">
        <f>+'골재사업소(당월)'!V35+'[4]골재사업소(누계)'!V35</f>
        <v>1561847.1054138939</v>
      </c>
      <c r="W35" s="6">
        <f>+'골재사업소(당월)'!W35+'[4]골재사업소(누계)'!W35</f>
        <v>1504446.5</v>
      </c>
      <c r="X35" s="6">
        <f>+W35-V35</f>
        <v>-57400.605413893936</v>
      </c>
      <c r="AA35" s="6">
        <f>+Z35-Y35</f>
        <v>0</v>
      </c>
      <c r="AB35" s="6">
        <f t="shared" ref="AB35" si="68">+S35+V35+Y35</f>
        <v>3106039.5504515376</v>
      </c>
      <c r="AC35" s="6">
        <f t="shared" ref="AC35:AC41" si="69">+T35+W35+Z35</f>
        <v>3058691.5</v>
      </c>
      <c r="AD35" s="6">
        <f t="shared" ref="AD35:AD41" si="70">+AC35-AB35</f>
        <v>-47348.050451537594</v>
      </c>
      <c r="AE35" s="437">
        <f>+'골재사업소(당월)'!AE35+'[4]골재사업소(누계)'!AE35</f>
        <v>1206425.3068402172</v>
      </c>
      <c r="AF35" s="6">
        <f>+'골재사업소(당월)'!AF35+'[4]골재사업소(누계)'!AF35</f>
        <v>1240618.3999999999</v>
      </c>
      <c r="AH35" s="76">
        <f t="shared" ref="AH35:AI41" si="71">+P35+AB35+AE35</f>
        <v>4312464.8572917543</v>
      </c>
      <c r="AI35" s="76">
        <f t="shared" si="71"/>
        <v>4351909.9000000004</v>
      </c>
      <c r="AJ35" s="6">
        <f t="shared" ref="AJ35:AJ41" si="72">+AI35-AH35</f>
        <v>39445.042708246037</v>
      </c>
    </row>
    <row r="36" spans="5:36" ht="21.95" customHeight="1" x14ac:dyDescent="0.3">
      <c r="E36" s="26" t="s">
        <v>77</v>
      </c>
      <c r="F36" s="431" t="s">
        <v>26</v>
      </c>
      <c r="G36" s="6">
        <f>+'골재사업소(당월)'!G36+'[4]골재사업소(누계)'!G36</f>
        <v>1415456</v>
      </c>
      <c r="H36" s="6">
        <f>+'골재사업소(당월)'!H36+'[4]골재사업소(누계)'!H36</f>
        <v>1433372</v>
      </c>
      <c r="I36" s="6">
        <f t="shared" si="65"/>
        <v>17916</v>
      </c>
      <c r="J36" s="76">
        <f>+'골재사업소(당월)'!J36+'[4]골재사업소(누계)'!J36</f>
        <v>129196.99999999997</v>
      </c>
      <c r="K36" s="6">
        <f>+'골재사업소(당월)'!K36+'[4]골재사업소(누계)'!K36</f>
        <v>6720</v>
      </c>
      <c r="L36" s="6">
        <f t="shared" ref="L36:L41" si="73">+K36-J36</f>
        <v>-122476.99999999997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74">+N36-M36</f>
        <v>0</v>
      </c>
      <c r="P36" s="6">
        <f t="shared" ref="P36:Q41" si="75">SUM(G36,J36,M36)</f>
        <v>1544653</v>
      </c>
      <c r="Q36" s="6">
        <f t="shared" si="75"/>
        <v>1440092</v>
      </c>
      <c r="R36" s="6">
        <f t="shared" si="66"/>
        <v>-104561</v>
      </c>
      <c r="S36" s="6">
        <f>+'골재사업소(당월)'!S36+'[4]골재사업소(누계)'!S36</f>
        <v>0</v>
      </c>
      <c r="T36" s="6">
        <f>+'골재사업소(당월)'!T36+'[4]골재사업소(누계)'!T36</f>
        <v>184128</v>
      </c>
      <c r="U36" s="6">
        <f t="shared" si="67"/>
        <v>184128</v>
      </c>
      <c r="V36" s="76">
        <f>+'골재사업소(당월)'!V36+'[4]골재사업소(누계)'!V36</f>
        <v>372255.29354838713</v>
      </c>
      <c r="W36" s="6">
        <f>+'골재사업소(당월)'!W36+'[4]골재사업소(누계)'!W36</f>
        <v>721696</v>
      </c>
      <c r="X36" s="6">
        <f t="shared" ref="X36:X41" si="76">+W36-V36</f>
        <v>349440.70645161287</v>
      </c>
      <c r="AA36" s="6">
        <f t="shared" ref="AA36:AA41" si="77">+Z36-Y36</f>
        <v>0</v>
      </c>
      <c r="AB36" s="6">
        <f t="shared" ref="AB36:AB41" si="78">+S36+V36+Y36</f>
        <v>372255.29354838713</v>
      </c>
      <c r="AC36" s="6">
        <f t="shared" si="69"/>
        <v>905824</v>
      </c>
      <c r="AD36" s="6">
        <f>+AC36-AB36</f>
        <v>533568.70645161287</v>
      </c>
      <c r="AE36" s="437">
        <f>+'골재사업소(당월)'!AE36+'[4]골재사업소(누계)'!AE36</f>
        <v>906875.74825174827</v>
      </c>
      <c r="AF36" s="6">
        <f>+'골재사업소(당월)'!AF36+'[4]골재사업소(누계)'!AF36</f>
        <v>580703.34400000004</v>
      </c>
      <c r="AH36" s="6">
        <f t="shared" si="71"/>
        <v>2823784.0418001353</v>
      </c>
      <c r="AI36" s="6">
        <f t="shared" si="71"/>
        <v>2926619.344</v>
      </c>
      <c r="AJ36" s="6">
        <f t="shared" si="72"/>
        <v>102835.30219986476</v>
      </c>
    </row>
    <row r="37" spans="5:36" ht="21.95" customHeight="1" x14ac:dyDescent="0.3">
      <c r="F37" s="431" t="s">
        <v>27</v>
      </c>
      <c r="G37" s="6">
        <f>+'골재사업소(당월)'!G37+'[4]골재사업소(누계)'!G37</f>
        <v>65293.333333333328</v>
      </c>
      <c r="H37" s="6">
        <f>+'골재사업소(당월)'!H37+'[4]골재사업소(누계)'!H37</f>
        <v>77096</v>
      </c>
      <c r="I37" s="6">
        <f t="shared" si="65"/>
        <v>11802.666666666672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73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74"/>
        <v>0</v>
      </c>
      <c r="P37" s="6">
        <f t="shared" si="75"/>
        <v>65293.333333333328</v>
      </c>
      <c r="Q37" s="6">
        <f t="shared" si="75"/>
        <v>77096</v>
      </c>
      <c r="R37" s="6">
        <f t="shared" si="66"/>
        <v>11802.666666666672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67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76"/>
        <v>0</v>
      </c>
      <c r="AA37" s="6">
        <f t="shared" si="77"/>
        <v>0</v>
      </c>
      <c r="AB37" s="6">
        <f t="shared" si="78"/>
        <v>0</v>
      </c>
      <c r="AC37" s="6">
        <f t="shared" si="69"/>
        <v>0</v>
      </c>
      <c r="AD37" s="6">
        <f t="shared" si="70"/>
        <v>0</v>
      </c>
      <c r="AE37" s="437">
        <f>+'골재사업소(당월)'!AE37+'[4]골재사업소(누계)'!AE37</f>
        <v>588269.23076923075</v>
      </c>
      <c r="AF37" s="6">
        <f>+'골재사업소(당월)'!AF37+'[4]골재사업소(누계)'!AF37</f>
        <v>498623.93599999999</v>
      </c>
      <c r="AH37" s="6">
        <f t="shared" si="71"/>
        <v>653562.56410256412</v>
      </c>
      <c r="AI37" s="6">
        <f t="shared" si="71"/>
        <v>575719.93599999999</v>
      </c>
      <c r="AJ37" s="6">
        <f t="shared" si="72"/>
        <v>-77842.628102564136</v>
      </c>
    </row>
    <row r="38" spans="5:36" ht="21.95" customHeight="1" x14ac:dyDescent="0.3">
      <c r="F38" s="431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65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73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74"/>
        <v>0</v>
      </c>
      <c r="P38" s="6">
        <f t="shared" si="75"/>
        <v>0</v>
      </c>
      <c r="Q38" s="6">
        <f t="shared" si="75"/>
        <v>0</v>
      </c>
      <c r="R38" s="6">
        <f t="shared" si="66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67"/>
        <v>0</v>
      </c>
      <c r="V38" s="76">
        <f>+'골재사업소(당월)'!V38+'[4]골재사업소(누계)'!V38</f>
        <v>0</v>
      </c>
      <c r="W38" s="6">
        <f>+'골재사업소(당월)'!W38+'[4]골재사업소(누계)'!W38</f>
        <v>88384</v>
      </c>
      <c r="X38" s="6">
        <f t="shared" si="76"/>
        <v>88384</v>
      </c>
      <c r="AA38" s="6">
        <f t="shared" si="77"/>
        <v>0</v>
      </c>
      <c r="AB38" s="6">
        <f t="shared" si="78"/>
        <v>0</v>
      </c>
      <c r="AC38" s="6">
        <f t="shared" si="69"/>
        <v>88384</v>
      </c>
      <c r="AD38" s="6">
        <f t="shared" si="70"/>
        <v>88384</v>
      </c>
      <c r="AE38" s="437">
        <f>+'골재사업소(당월)'!AE38+'[4]골재사업소(누계)'!AE38</f>
        <v>1037605.5944055944</v>
      </c>
      <c r="AF38" s="6">
        <f>+'골재사업소(당월)'!AF38+'[4]골재사업소(누계)'!AF38</f>
        <v>843824.4</v>
      </c>
      <c r="AH38" s="6">
        <f t="shared" si="71"/>
        <v>1037605.5944055944</v>
      </c>
      <c r="AI38" s="6">
        <f t="shared" si="71"/>
        <v>932208.4</v>
      </c>
      <c r="AJ38" s="6">
        <f t="shared" si="72"/>
        <v>-105397.19440559437</v>
      </c>
    </row>
    <row r="39" spans="5:36" ht="21.95" customHeight="1" x14ac:dyDescent="0.3">
      <c r="F39" s="431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65"/>
        <v>0</v>
      </c>
      <c r="J39" s="76">
        <f>+'골재사업소(당월)'!J39+'[4]골재사업소(누계)'!J39</f>
        <v>40197.403200000001</v>
      </c>
      <c r="K39" s="6">
        <f>+'골재사업소(당월)'!K39+'[4]골재사업소(누계)'!K39</f>
        <v>10944</v>
      </c>
      <c r="L39" s="6">
        <f t="shared" si="73"/>
        <v>-29253.403200000001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74"/>
        <v>0</v>
      </c>
      <c r="P39" s="6">
        <f t="shared" si="75"/>
        <v>40197.403200000001</v>
      </c>
      <c r="Q39" s="6">
        <f t="shared" si="75"/>
        <v>10944</v>
      </c>
      <c r="R39" s="6">
        <f t="shared" si="66"/>
        <v>-29253.403200000001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67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76"/>
        <v>4560</v>
      </c>
      <c r="AA39" s="6">
        <f t="shared" si="77"/>
        <v>0</v>
      </c>
      <c r="AB39" s="6">
        <f t="shared" si="78"/>
        <v>0</v>
      </c>
      <c r="AC39" s="6">
        <f t="shared" si="69"/>
        <v>4560</v>
      </c>
      <c r="AD39" s="6">
        <f t="shared" si="70"/>
        <v>4560</v>
      </c>
      <c r="AE39" s="437">
        <f>+'골재사업소(당월)'!AE39+'[4]골재사업소(누계)'!AE39</f>
        <v>291890.27972027974</v>
      </c>
      <c r="AF39" s="6">
        <f>+'골재사업소(당월)'!AF39+'[4]골재사업소(누계)'!AF39</f>
        <v>32328</v>
      </c>
      <c r="AH39" s="6">
        <f t="shared" si="71"/>
        <v>332087.68292027974</v>
      </c>
      <c r="AI39" s="6">
        <f t="shared" si="71"/>
        <v>47832</v>
      </c>
      <c r="AJ39" s="6">
        <f t="shared" si="72"/>
        <v>-284255.68292027974</v>
      </c>
    </row>
    <row r="40" spans="5:36" ht="21.95" customHeight="1" x14ac:dyDescent="0.3">
      <c r="F40" s="431" t="s">
        <v>30</v>
      </c>
      <c r="G40" s="6">
        <f>+'골재사업소(당월)'!G40+'[4]골재사업소(누계)'!G40</f>
        <v>43509.333333333328</v>
      </c>
      <c r="H40" s="6">
        <f>+'골재사업소(당월)'!H40+'[4]골재사업소(누계)'!H40</f>
        <v>40296</v>
      </c>
      <c r="I40" s="6">
        <f t="shared" si="65"/>
        <v>-3213.3333333333285</v>
      </c>
      <c r="J40" s="76">
        <f>+'골재사업소(당월)'!J40+'[4]골재사업소(누계)'!J40</f>
        <v>37752</v>
      </c>
      <c r="K40" s="6">
        <f>+'골재사업소(당월)'!K40+'[4]골재사업소(누계)'!K40</f>
        <v>2160</v>
      </c>
      <c r="L40" s="6">
        <f t="shared" si="73"/>
        <v>-35592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74"/>
        <v>0</v>
      </c>
      <c r="P40" s="6">
        <f t="shared" si="75"/>
        <v>81261.333333333328</v>
      </c>
      <c r="Q40" s="6">
        <f t="shared" si="75"/>
        <v>42456</v>
      </c>
      <c r="R40" s="6">
        <f t="shared" si="66"/>
        <v>-38805.333333333328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67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76"/>
        <v>0</v>
      </c>
      <c r="AA40" s="6">
        <f t="shared" si="77"/>
        <v>0</v>
      </c>
      <c r="AB40" s="6">
        <f t="shared" si="78"/>
        <v>0</v>
      </c>
      <c r="AC40" s="6">
        <f t="shared" si="69"/>
        <v>0</v>
      </c>
      <c r="AD40" s="6">
        <f t="shared" si="70"/>
        <v>0</v>
      </c>
      <c r="AE40" s="437">
        <f>+'골재사업소(당월)'!AE40+'[4]골재사업소(누계)'!AE40</f>
        <v>0</v>
      </c>
      <c r="AF40" s="6">
        <f>+'골재사업소(당월)'!AF40+'[4]골재사업소(누계)'!AF40</f>
        <v>0</v>
      </c>
      <c r="AH40" s="6">
        <f t="shared" si="71"/>
        <v>81261.333333333328</v>
      </c>
      <c r="AI40" s="6">
        <f t="shared" si="71"/>
        <v>42456</v>
      </c>
      <c r="AJ40" s="6">
        <f t="shared" si="72"/>
        <v>-38805.333333333328</v>
      </c>
    </row>
    <row r="41" spans="5:36" ht="21.95" customHeight="1" x14ac:dyDescent="0.3">
      <c r="F41" s="431" t="s">
        <v>8</v>
      </c>
      <c r="G41" s="6">
        <f>SUM(G35:G40)</f>
        <v>1524258.6666666665</v>
      </c>
      <c r="H41" s="6">
        <f>SUM(H35:H40)</f>
        <v>1603364</v>
      </c>
      <c r="I41" s="6">
        <f t="shared" si="65"/>
        <v>79105.333333333489</v>
      </c>
      <c r="J41" s="76">
        <f>SUM(J35:J40)</f>
        <v>207146.40319999997</v>
      </c>
      <c r="K41" s="76">
        <f>SUM(K35:K40)</f>
        <v>19824</v>
      </c>
      <c r="L41" s="6">
        <f t="shared" si="73"/>
        <v>-187322.40319999997</v>
      </c>
      <c r="M41" s="76">
        <f>SUM(M35:M40)</f>
        <v>0</v>
      </c>
      <c r="N41" s="76">
        <f>SUM(N35:N40)</f>
        <v>0</v>
      </c>
      <c r="O41" s="6">
        <f t="shared" si="74"/>
        <v>0</v>
      </c>
      <c r="P41" s="6">
        <f t="shared" si="75"/>
        <v>1731405.0698666666</v>
      </c>
      <c r="Q41" s="6">
        <f t="shared" si="75"/>
        <v>1623188</v>
      </c>
      <c r="R41" s="6">
        <f t="shared" si="66"/>
        <v>-108217.06986666657</v>
      </c>
      <c r="S41" s="6">
        <f>SUM(S35:S40)</f>
        <v>1544192.4450376439</v>
      </c>
      <c r="T41" s="6">
        <f>SUM(T35:T40)</f>
        <v>1738373</v>
      </c>
      <c r="U41" s="6">
        <f t="shared" si="67"/>
        <v>194180.55496235611</v>
      </c>
      <c r="V41" s="76">
        <f>SUM(V35:V40)</f>
        <v>1934102.3989622812</v>
      </c>
      <c r="W41" s="76">
        <f>SUM(W35:W40)</f>
        <v>2319086.5</v>
      </c>
      <c r="X41" s="6">
        <f t="shared" si="76"/>
        <v>384984.10103771882</v>
      </c>
      <c r="Z41" s="76"/>
      <c r="AA41" s="6">
        <f t="shared" si="77"/>
        <v>0</v>
      </c>
      <c r="AB41" s="6">
        <f t="shared" si="78"/>
        <v>3478294.8439999251</v>
      </c>
      <c r="AC41" s="6">
        <f t="shared" si="69"/>
        <v>4057459.5</v>
      </c>
      <c r="AD41" s="6">
        <f t="shared" si="70"/>
        <v>579164.65600007493</v>
      </c>
      <c r="AE41" s="6">
        <f>SUM(AE35:AE40)</f>
        <v>4031066.1599870701</v>
      </c>
      <c r="AF41" s="6">
        <f>SUM(AF35:AF40)</f>
        <v>3196098.0799999996</v>
      </c>
      <c r="AH41" s="6">
        <f t="shared" si="71"/>
        <v>9240766.0738536622</v>
      </c>
      <c r="AI41" s="6">
        <f t="shared" si="71"/>
        <v>8876745.5800000001</v>
      </c>
      <c r="AJ41" s="6">
        <f t="shared" si="72"/>
        <v>-364020.49385366216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표지</vt:lpstr>
      <vt:lpstr>손익총괄</vt:lpstr>
      <vt:lpstr>사업장별(당월)</vt:lpstr>
      <vt:lpstr>사업장별(누계)</vt:lpstr>
      <vt:lpstr>사업장별(당월)_공장 송부용</vt:lpstr>
      <vt:lpstr>사업장별(누계)_공장 송부용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'사업장별(누계)_공장 송부용'!Print_Area</vt:lpstr>
      <vt:lpstr>'사업장별(당월)'!Print_Area</vt:lpstr>
      <vt:lpstr>'사업장별(당월)_공장 송부용'!Print_Area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2024-10-17T06:26:32Z</cp:lastPrinted>
  <dcterms:created xsi:type="dcterms:W3CDTF">2018-12-20T00:38:36Z</dcterms:created>
  <dcterms:modified xsi:type="dcterms:W3CDTF">2024-10-31T08:01:47Z</dcterms:modified>
</cp:coreProperties>
</file>