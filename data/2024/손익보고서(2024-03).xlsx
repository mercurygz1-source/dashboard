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년\원가손익\202412(최종)\00_보고서\"/>
    </mc:Choice>
  </mc:AlternateContent>
  <xr:revisionPtr revIDLastSave="0" documentId="13_ncr:1_{2D74743B-91F4-4A3A-B4B5-769456306E73}" xr6:coauthVersionLast="36" xr6:coauthVersionMax="36" xr10:uidLastSave="{00000000-0000-0000-0000-000000000000}"/>
  <bookViews>
    <workbookView xWindow="480" yWindow="75" windowWidth="27975" windowHeight="12495" activeTab="2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42" r:id="rId4"/>
    <sheet name="영업이익" sheetId="33" r:id="rId5"/>
    <sheet name="공헌이익" sheetId="34" r:id="rId6"/>
    <sheet name="재료비단가" sheetId="36" r:id="rId7"/>
    <sheet name="원단위" sheetId="37" r:id="rId8"/>
    <sheet name="건자재" sheetId="29" r:id="rId9"/>
    <sheet name="골재사업소(당월)" sheetId="41" r:id="rId10"/>
    <sheet name="골재사업소(누계)" sheetId="4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0" hidden="1">{"Header",#N/A,TRUE,"Summary";"ProjectInfo",#N/A,TRUE,"Total Value"}</definedName>
    <definedName name="edsd" localSheetId="9" hidden="1">{"Header",#N/A,TRUE,"Summary";"ProjectInfo",#N/A,TRUE,"Total Value"}</definedName>
    <definedName name="edsd" localSheetId="5" hidden="1">{"Header",#N/A,TRUE,"Summary";"ProjectInfo",#N/A,TRUE,"Total Value"}</definedName>
    <definedName name="edsd" localSheetId="4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hidden="1">{"Header",#N/A,TRUE,"Summary";"ProjectInfo",#N/A,TRUE,"Total Value"}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0" hidden="1">{"Header",#N/A,TRUE,"Summary";"ProjectInfo",#N/A,TRUE,"Total Value"}</definedName>
    <definedName name="jijk" localSheetId="9" hidden="1">{"Header",#N/A,TRUE,"Summary";"ProjectInfo",#N/A,TRUE,"Total Value"}</definedName>
    <definedName name="jijk" localSheetId="5" hidden="1">{"Header",#N/A,TRUE,"Summary";"ProjectInfo",#N/A,TRUE,"Total Value"}</definedName>
    <definedName name="jijk" localSheetId="4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hidden="1">{"Header",#N/A,TRUE,"Summary";"ProjectInfo",#N/A,TRUE,"Total Value"}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8">건자재!$D$6:$O$34</definedName>
    <definedName name="_xlnm.Print_Area" localSheetId="10">'골재사업소(누계)'!$D$4:$AD$33</definedName>
    <definedName name="_xlnm.Print_Area" localSheetId="9">'골재사업소(당월)'!$D$4:$AD$33</definedName>
    <definedName name="_xlnm.Print_Area" localSheetId="5">공헌이익!$D$4:$V$29</definedName>
    <definedName name="_xlnm.Print_Area" localSheetId="3">'사업장별(누계)'!$H$3:$AG$43</definedName>
    <definedName name="_xlnm.Print_Area" localSheetId="2">'사업장별(당월)'!$H$3:$AG$43</definedName>
    <definedName name="_xlnm.Print_Area" localSheetId="1">손익총괄!$C$3:$X$36</definedName>
    <definedName name="_xlnm.Print_Area" localSheetId="4">영업이익!$D$4:$W$29</definedName>
    <definedName name="_xlnm.Print_Area" localSheetId="7">원단위!$D$4:$V$29</definedName>
    <definedName name="_xlnm.Print_Area" localSheetId="6">재료비단가!$D$4:$V$29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0" hidden="1">{"Header",#N/A,TRUE,"Summary";"ProjectInfo",#N/A,TRUE,"Total Value"}</definedName>
    <definedName name="w" localSheetId="9" hidden="1">{"Header",#N/A,TRUE,"Summary";"ProjectInfo",#N/A,TRUE,"Total Value"}</definedName>
    <definedName name="w" localSheetId="5" hidden="1">{"Header",#N/A,TRUE,"Summary";"ProjectInfo",#N/A,TRUE,"Total Value"}</definedName>
    <definedName name="w" localSheetId="4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hidden="1">{"Header",#N/A,TRUE,"Summary";"ProjectInfo",#N/A,TRUE,"Total Value"}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0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4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0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4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0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4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hidden="1">{"Header",#N/A,TRUE,"Summary";"ProjectInfo",#N/A,TRUE,"Total Value"}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G31" i="2" l="1"/>
  <c r="G30" i="2"/>
  <c r="G29" i="2"/>
  <c r="G39" i="2"/>
  <c r="G38" i="2"/>
  <c r="G37" i="2"/>
  <c r="G36" i="2"/>
  <c r="G35" i="2"/>
  <c r="G34" i="2"/>
  <c r="G33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36" i="29" l="1"/>
  <c r="Z40" i="43" l="1"/>
  <c r="Z26" i="43"/>
  <c r="G18" i="41"/>
  <c r="G18" i="43" s="1"/>
  <c r="T40" i="41" l="1"/>
  <c r="T40" i="43" s="1"/>
  <c r="Q40" i="41"/>
  <c r="Q40" i="43" s="1"/>
  <c r="K40" i="41"/>
  <c r="K40" i="43" s="1"/>
  <c r="H40" i="41"/>
  <c r="H40" i="43" s="1"/>
  <c r="Z39" i="41"/>
  <c r="Z39" i="43" s="1"/>
  <c r="T39" i="41"/>
  <c r="T39" i="43" s="1"/>
  <c r="Q39" i="41"/>
  <c r="Q39" i="43" s="1"/>
  <c r="K39" i="41"/>
  <c r="K39" i="43" s="1"/>
  <c r="H39" i="41"/>
  <c r="H39" i="43" s="1"/>
  <c r="Z38" i="41"/>
  <c r="Z38" i="43" s="1"/>
  <c r="T38" i="41"/>
  <c r="T38" i="43" s="1"/>
  <c r="Q38" i="41"/>
  <c r="Q38" i="43" s="1"/>
  <c r="K38" i="41"/>
  <c r="K38" i="43" s="1"/>
  <c r="H38" i="41"/>
  <c r="H38" i="43" s="1"/>
  <c r="Z37" i="41"/>
  <c r="Z37" i="43" s="1"/>
  <c r="T37" i="41"/>
  <c r="T37" i="43" s="1"/>
  <c r="Q37" i="41"/>
  <c r="Q37" i="43" s="1"/>
  <c r="K37" i="41"/>
  <c r="K37" i="43" s="1"/>
  <c r="H37" i="41"/>
  <c r="H37" i="43" s="1"/>
  <c r="Z36" i="41"/>
  <c r="Z36" i="43" s="1"/>
  <c r="T36" i="41"/>
  <c r="T36" i="43" s="1"/>
  <c r="Q36" i="41"/>
  <c r="Q36" i="43" s="1"/>
  <c r="K36" i="41"/>
  <c r="K36" i="43" s="1"/>
  <c r="H36" i="41"/>
  <c r="H36" i="43" s="1"/>
  <c r="Z35" i="41"/>
  <c r="Z35" i="43" s="1"/>
  <c r="T35" i="41"/>
  <c r="T35" i="43" s="1"/>
  <c r="Q35" i="41"/>
  <c r="Q35" i="43" s="1"/>
  <c r="K35" i="41"/>
  <c r="K35" i="43" s="1"/>
  <c r="H35" i="41"/>
  <c r="H35" i="43" s="1"/>
  <c r="Z25" i="41"/>
  <c r="Z25" i="43" s="1"/>
  <c r="Z24" i="41"/>
  <c r="Z24" i="43" s="1"/>
  <c r="Z23" i="41"/>
  <c r="Z23" i="43" s="1"/>
  <c r="Z22" i="41"/>
  <c r="Z22" i="43" s="1"/>
  <c r="Z21" i="41"/>
  <c r="Z21" i="43" s="1"/>
  <c r="Z19" i="41"/>
  <c r="Z19" i="43" s="1"/>
  <c r="Z18" i="41"/>
  <c r="Z18" i="43" s="1"/>
  <c r="Z15" i="41"/>
  <c r="Z15" i="43" s="1"/>
  <c r="Z13" i="41"/>
  <c r="Z13" i="43" s="1"/>
  <c r="Z10" i="41"/>
  <c r="Z10" i="43" s="1"/>
  <c r="Z8" i="41"/>
  <c r="Z8" i="43" s="1"/>
  <c r="AG39" i="29"/>
  <c r="AG38" i="29"/>
  <c r="AG37" i="29"/>
  <c r="G15" i="29"/>
  <c r="L15" i="29" s="1"/>
  <c r="G12" i="29"/>
  <c r="L12" i="29" s="1"/>
  <c r="G10" i="29"/>
  <c r="L10" i="29" s="1"/>
  <c r="U28" i="37"/>
  <c r="T28" i="37"/>
  <c r="R28" i="37"/>
  <c r="Q28" i="37"/>
  <c r="O28" i="37"/>
  <c r="N28" i="37"/>
  <c r="L28" i="37"/>
  <c r="K28" i="37"/>
  <c r="I28" i="37"/>
  <c r="H28" i="37"/>
  <c r="F28" i="37"/>
  <c r="E28" i="37"/>
  <c r="U27" i="37"/>
  <c r="T27" i="37"/>
  <c r="R27" i="37"/>
  <c r="Q27" i="37"/>
  <c r="O27" i="37"/>
  <c r="N27" i="37"/>
  <c r="L27" i="37"/>
  <c r="K27" i="37"/>
  <c r="I27" i="37"/>
  <c r="H27" i="37"/>
  <c r="F27" i="37"/>
  <c r="E27" i="37"/>
  <c r="U26" i="37"/>
  <c r="T26" i="37"/>
  <c r="R26" i="37"/>
  <c r="Q26" i="37"/>
  <c r="O26" i="37"/>
  <c r="N26" i="37"/>
  <c r="L26" i="37"/>
  <c r="K26" i="37"/>
  <c r="I26" i="37"/>
  <c r="H26" i="37"/>
  <c r="F26" i="37"/>
  <c r="E26" i="37"/>
  <c r="U25" i="37"/>
  <c r="T25" i="37"/>
  <c r="R25" i="37"/>
  <c r="Q25" i="37"/>
  <c r="O25" i="37"/>
  <c r="N25" i="37"/>
  <c r="L25" i="37"/>
  <c r="K25" i="37"/>
  <c r="I25" i="37"/>
  <c r="H25" i="37"/>
  <c r="F25" i="37"/>
  <c r="E25" i="37"/>
  <c r="U24" i="37"/>
  <c r="T24" i="37"/>
  <c r="R24" i="37"/>
  <c r="Q24" i="37"/>
  <c r="O24" i="37"/>
  <c r="N24" i="37"/>
  <c r="L24" i="37"/>
  <c r="K24" i="37"/>
  <c r="I24" i="37"/>
  <c r="H24" i="37"/>
  <c r="F24" i="37"/>
  <c r="E24" i="37"/>
  <c r="U23" i="37"/>
  <c r="T23" i="37"/>
  <c r="R23" i="37"/>
  <c r="Q23" i="37"/>
  <c r="O23" i="37"/>
  <c r="N23" i="37"/>
  <c r="L23" i="37"/>
  <c r="K23" i="37"/>
  <c r="I23" i="37"/>
  <c r="H23" i="37"/>
  <c r="F23" i="37"/>
  <c r="E23" i="37"/>
  <c r="U22" i="37"/>
  <c r="T22" i="37"/>
  <c r="R22" i="37"/>
  <c r="Q22" i="37"/>
  <c r="O22" i="37"/>
  <c r="N22" i="37"/>
  <c r="L22" i="37"/>
  <c r="K22" i="37"/>
  <c r="I22" i="37"/>
  <c r="H22" i="37"/>
  <c r="F22" i="37"/>
  <c r="E22" i="37"/>
  <c r="U21" i="37"/>
  <c r="T21" i="37"/>
  <c r="R21" i="37"/>
  <c r="Q21" i="37"/>
  <c r="O21" i="37"/>
  <c r="N21" i="37"/>
  <c r="L21" i="37"/>
  <c r="K21" i="37"/>
  <c r="I21" i="37"/>
  <c r="H21" i="37"/>
  <c r="F21" i="37"/>
  <c r="E21" i="37"/>
  <c r="U20" i="37"/>
  <c r="T20" i="37"/>
  <c r="R20" i="37"/>
  <c r="Q20" i="37"/>
  <c r="O20" i="37"/>
  <c r="N20" i="37"/>
  <c r="L20" i="37"/>
  <c r="K20" i="37"/>
  <c r="I20" i="37"/>
  <c r="H20" i="37"/>
  <c r="F20" i="37"/>
  <c r="E20" i="37"/>
  <c r="U19" i="37"/>
  <c r="T19" i="37"/>
  <c r="R19" i="37"/>
  <c r="Q19" i="37"/>
  <c r="O19" i="37"/>
  <c r="N19" i="37"/>
  <c r="L19" i="37"/>
  <c r="K19" i="37"/>
  <c r="I19" i="37"/>
  <c r="H19" i="37"/>
  <c r="F19" i="37"/>
  <c r="E19" i="37"/>
  <c r="U18" i="37"/>
  <c r="T18" i="37"/>
  <c r="R18" i="37"/>
  <c r="Q18" i="37"/>
  <c r="O18" i="37"/>
  <c r="N18" i="37"/>
  <c r="L18" i="37"/>
  <c r="K18" i="37"/>
  <c r="I18" i="37"/>
  <c r="H18" i="37"/>
  <c r="F18" i="37"/>
  <c r="E18" i="37"/>
  <c r="U17" i="37"/>
  <c r="T17" i="37"/>
  <c r="R17" i="37"/>
  <c r="Q17" i="37"/>
  <c r="O17" i="37"/>
  <c r="N17" i="37"/>
  <c r="L17" i="37"/>
  <c r="K17" i="37"/>
  <c r="I17" i="37"/>
  <c r="H17" i="37"/>
  <c r="F17" i="37"/>
  <c r="E17" i="37"/>
  <c r="U16" i="37"/>
  <c r="T16" i="37"/>
  <c r="R16" i="37"/>
  <c r="Q16" i="37"/>
  <c r="O16" i="37"/>
  <c r="N16" i="37"/>
  <c r="L16" i="37"/>
  <c r="K16" i="37"/>
  <c r="I16" i="37"/>
  <c r="H16" i="37"/>
  <c r="F16" i="37"/>
  <c r="E16" i="37"/>
  <c r="U15" i="37"/>
  <c r="T15" i="37"/>
  <c r="R15" i="37"/>
  <c r="Q15" i="37"/>
  <c r="O15" i="37"/>
  <c r="N15" i="37"/>
  <c r="L15" i="37"/>
  <c r="K15" i="37"/>
  <c r="I15" i="37"/>
  <c r="H15" i="37"/>
  <c r="F15" i="37"/>
  <c r="E15" i="37"/>
  <c r="U14" i="37"/>
  <c r="T14" i="37"/>
  <c r="R14" i="37"/>
  <c r="Q14" i="37"/>
  <c r="O14" i="37"/>
  <c r="N14" i="37"/>
  <c r="L14" i="37"/>
  <c r="K14" i="37"/>
  <c r="I14" i="37"/>
  <c r="H14" i="37"/>
  <c r="F14" i="37"/>
  <c r="E14" i="37"/>
  <c r="U13" i="37"/>
  <c r="T13" i="37"/>
  <c r="R13" i="37"/>
  <c r="Q13" i="37"/>
  <c r="O13" i="37"/>
  <c r="N13" i="37"/>
  <c r="L13" i="37"/>
  <c r="K13" i="37"/>
  <c r="I13" i="37"/>
  <c r="H13" i="37"/>
  <c r="F13" i="37"/>
  <c r="E13" i="37"/>
  <c r="U12" i="37"/>
  <c r="T12" i="37"/>
  <c r="R12" i="37"/>
  <c r="Q12" i="37"/>
  <c r="O12" i="37"/>
  <c r="N12" i="37"/>
  <c r="L12" i="37"/>
  <c r="K12" i="37"/>
  <c r="I12" i="37"/>
  <c r="H12" i="37"/>
  <c r="F12" i="37"/>
  <c r="E12" i="37"/>
  <c r="U11" i="37"/>
  <c r="T11" i="37"/>
  <c r="R11" i="37"/>
  <c r="Q11" i="37"/>
  <c r="O11" i="37"/>
  <c r="N11" i="37"/>
  <c r="L11" i="37"/>
  <c r="K11" i="37"/>
  <c r="I11" i="37"/>
  <c r="H11" i="37"/>
  <c r="F11" i="37"/>
  <c r="E11" i="37"/>
  <c r="U10" i="37"/>
  <c r="T10" i="37"/>
  <c r="R10" i="37"/>
  <c r="Q10" i="37"/>
  <c r="O10" i="37"/>
  <c r="N10" i="37"/>
  <c r="L10" i="37"/>
  <c r="K10" i="37"/>
  <c r="I10" i="37"/>
  <c r="H10" i="37"/>
  <c r="F10" i="37"/>
  <c r="E10" i="37"/>
  <c r="U9" i="37"/>
  <c r="T9" i="37"/>
  <c r="R9" i="37"/>
  <c r="Q9" i="37"/>
  <c r="O9" i="37"/>
  <c r="N9" i="37"/>
  <c r="L9" i="37"/>
  <c r="K9" i="37"/>
  <c r="I9" i="37"/>
  <c r="H9" i="37"/>
  <c r="F9" i="37"/>
  <c r="E9" i="37"/>
  <c r="U8" i="37"/>
  <c r="T8" i="37"/>
  <c r="R8" i="37"/>
  <c r="Q8" i="37"/>
  <c r="O8" i="37"/>
  <c r="N8" i="37"/>
  <c r="L8" i="37"/>
  <c r="K8" i="37"/>
  <c r="I8" i="37"/>
  <c r="H8" i="37"/>
  <c r="F8" i="37"/>
  <c r="E8" i="37"/>
  <c r="U28" i="36"/>
  <c r="T28" i="36"/>
  <c r="R28" i="36"/>
  <c r="Q28" i="36"/>
  <c r="O28" i="36"/>
  <c r="N28" i="36"/>
  <c r="L28" i="36"/>
  <c r="K28" i="36"/>
  <c r="I28" i="36"/>
  <c r="H28" i="36"/>
  <c r="F28" i="36"/>
  <c r="E28" i="36"/>
  <c r="U27" i="36"/>
  <c r="T27" i="36"/>
  <c r="R27" i="36"/>
  <c r="Q27" i="36"/>
  <c r="O27" i="36"/>
  <c r="N27" i="36"/>
  <c r="L27" i="36"/>
  <c r="K27" i="36"/>
  <c r="I27" i="36"/>
  <c r="H27" i="36"/>
  <c r="F27" i="36"/>
  <c r="E27" i="36"/>
  <c r="U26" i="36"/>
  <c r="T26" i="36"/>
  <c r="R26" i="36"/>
  <c r="Q26" i="36"/>
  <c r="O26" i="36"/>
  <c r="N26" i="36"/>
  <c r="L26" i="36"/>
  <c r="K26" i="36"/>
  <c r="I26" i="36"/>
  <c r="H26" i="36"/>
  <c r="F26" i="36"/>
  <c r="E26" i="36"/>
  <c r="U25" i="36"/>
  <c r="T25" i="36"/>
  <c r="R25" i="36"/>
  <c r="Q25" i="36"/>
  <c r="O25" i="36"/>
  <c r="N25" i="36"/>
  <c r="L25" i="36"/>
  <c r="K25" i="36"/>
  <c r="I25" i="36"/>
  <c r="H25" i="36"/>
  <c r="F25" i="36"/>
  <c r="E25" i="36"/>
  <c r="U24" i="36"/>
  <c r="T24" i="36"/>
  <c r="R24" i="36"/>
  <c r="Q24" i="36"/>
  <c r="O24" i="36"/>
  <c r="N24" i="36"/>
  <c r="L24" i="36"/>
  <c r="K24" i="36"/>
  <c r="I24" i="36"/>
  <c r="H24" i="36"/>
  <c r="F24" i="36"/>
  <c r="E24" i="36"/>
  <c r="U23" i="36"/>
  <c r="T23" i="36"/>
  <c r="R23" i="36"/>
  <c r="Q23" i="36"/>
  <c r="O23" i="36"/>
  <c r="N23" i="36"/>
  <c r="L23" i="36"/>
  <c r="K23" i="36"/>
  <c r="I23" i="36"/>
  <c r="H23" i="36"/>
  <c r="F23" i="36"/>
  <c r="E23" i="36"/>
  <c r="U22" i="36"/>
  <c r="T22" i="36"/>
  <c r="R22" i="36"/>
  <c r="Q22" i="36"/>
  <c r="O22" i="36"/>
  <c r="N22" i="36"/>
  <c r="L22" i="36"/>
  <c r="K22" i="36"/>
  <c r="I22" i="36"/>
  <c r="H22" i="36"/>
  <c r="F22" i="36"/>
  <c r="E22" i="36"/>
  <c r="U21" i="36"/>
  <c r="T21" i="36"/>
  <c r="R21" i="36"/>
  <c r="Q21" i="36"/>
  <c r="O21" i="36"/>
  <c r="N21" i="36"/>
  <c r="L21" i="36"/>
  <c r="K21" i="36"/>
  <c r="I21" i="36"/>
  <c r="H21" i="36"/>
  <c r="F21" i="36"/>
  <c r="E21" i="36"/>
  <c r="U20" i="36"/>
  <c r="T20" i="36"/>
  <c r="R20" i="36"/>
  <c r="Q20" i="36"/>
  <c r="O20" i="36"/>
  <c r="N20" i="36"/>
  <c r="L20" i="36"/>
  <c r="K20" i="36"/>
  <c r="I20" i="36"/>
  <c r="H20" i="36"/>
  <c r="F20" i="36"/>
  <c r="E20" i="36"/>
  <c r="U19" i="36"/>
  <c r="T19" i="36"/>
  <c r="R19" i="36"/>
  <c r="Q19" i="36"/>
  <c r="O19" i="36"/>
  <c r="N19" i="36"/>
  <c r="L19" i="36"/>
  <c r="K19" i="36"/>
  <c r="I19" i="36"/>
  <c r="H19" i="36"/>
  <c r="F19" i="36"/>
  <c r="E19" i="36"/>
  <c r="U18" i="36"/>
  <c r="T18" i="36"/>
  <c r="R18" i="36"/>
  <c r="Q18" i="36"/>
  <c r="O18" i="36"/>
  <c r="N18" i="36"/>
  <c r="L18" i="36"/>
  <c r="K18" i="36"/>
  <c r="I18" i="36"/>
  <c r="H18" i="36"/>
  <c r="F18" i="36"/>
  <c r="E18" i="36"/>
  <c r="U17" i="36"/>
  <c r="T17" i="36"/>
  <c r="R17" i="36"/>
  <c r="Q17" i="36"/>
  <c r="O17" i="36"/>
  <c r="N17" i="36"/>
  <c r="L17" i="36"/>
  <c r="K17" i="36"/>
  <c r="I17" i="36"/>
  <c r="H17" i="36"/>
  <c r="F17" i="36"/>
  <c r="E17" i="36"/>
  <c r="U16" i="36"/>
  <c r="T16" i="36"/>
  <c r="R16" i="36"/>
  <c r="Q16" i="36"/>
  <c r="O16" i="36"/>
  <c r="N16" i="36"/>
  <c r="L16" i="36"/>
  <c r="K16" i="36"/>
  <c r="I16" i="36"/>
  <c r="H16" i="36"/>
  <c r="F16" i="36"/>
  <c r="E16" i="36"/>
  <c r="U15" i="36"/>
  <c r="T15" i="36"/>
  <c r="R15" i="36"/>
  <c r="Q15" i="36"/>
  <c r="O15" i="36"/>
  <c r="N15" i="36"/>
  <c r="L15" i="36"/>
  <c r="K15" i="36"/>
  <c r="I15" i="36"/>
  <c r="H15" i="36"/>
  <c r="F15" i="36"/>
  <c r="E15" i="36"/>
  <c r="U14" i="36"/>
  <c r="T14" i="36"/>
  <c r="R14" i="36"/>
  <c r="Q14" i="36"/>
  <c r="O14" i="36"/>
  <c r="N14" i="36"/>
  <c r="L14" i="36"/>
  <c r="K14" i="36"/>
  <c r="I14" i="36"/>
  <c r="H14" i="36"/>
  <c r="F14" i="36"/>
  <c r="E14" i="36"/>
  <c r="U13" i="36"/>
  <c r="T13" i="36"/>
  <c r="R13" i="36"/>
  <c r="Q13" i="36"/>
  <c r="O13" i="36"/>
  <c r="N13" i="36"/>
  <c r="L13" i="36"/>
  <c r="K13" i="36"/>
  <c r="I13" i="36"/>
  <c r="H13" i="36"/>
  <c r="F13" i="36"/>
  <c r="E13" i="36"/>
  <c r="U12" i="36"/>
  <c r="T12" i="36"/>
  <c r="R12" i="36"/>
  <c r="Q12" i="36"/>
  <c r="O12" i="36"/>
  <c r="N12" i="36"/>
  <c r="L12" i="36"/>
  <c r="K12" i="36"/>
  <c r="I12" i="36"/>
  <c r="H12" i="36"/>
  <c r="F12" i="36"/>
  <c r="E12" i="36"/>
  <c r="U11" i="36"/>
  <c r="T11" i="36"/>
  <c r="R11" i="36"/>
  <c r="Q11" i="36"/>
  <c r="O11" i="36"/>
  <c r="N11" i="36"/>
  <c r="L11" i="36"/>
  <c r="K11" i="36"/>
  <c r="I11" i="36"/>
  <c r="H11" i="36"/>
  <c r="F11" i="36"/>
  <c r="E11" i="36"/>
  <c r="U10" i="36"/>
  <c r="T10" i="36"/>
  <c r="R10" i="36"/>
  <c r="Q10" i="36"/>
  <c r="O10" i="36"/>
  <c r="N10" i="36"/>
  <c r="L10" i="36"/>
  <c r="K10" i="36"/>
  <c r="I10" i="36"/>
  <c r="H10" i="36"/>
  <c r="F10" i="36"/>
  <c r="E10" i="36"/>
  <c r="U9" i="36"/>
  <c r="T9" i="36"/>
  <c r="R9" i="36"/>
  <c r="Q9" i="36"/>
  <c r="O9" i="36"/>
  <c r="N9" i="36"/>
  <c r="L9" i="36"/>
  <c r="K9" i="36"/>
  <c r="I9" i="36"/>
  <c r="H9" i="36"/>
  <c r="F9" i="36"/>
  <c r="E9" i="36"/>
  <c r="U8" i="36"/>
  <c r="T8" i="36"/>
  <c r="R8" i="36"/>
  <c r="Q8" i="36"/>
  <c r="O8" i="36"/>
  <c r="N8" i="36"/>
  <c r="L8" i="36"/>
  <c r="K8" i="36"/>
  <c r="I8" i="36"/>
  <c r="H8" i="36"/>
  <c r="F8" i="36"/>
  <c r="E8" i="36"/>
  <c r="O28" i="34"/>
  <c r="N28" i="34"/>
  <c r="L28" i="34"/>
  <c r="K28" i="34"/>
  <c r="I28" i="34"/>
  <c r="H28" i="34"/>
  <c r="F28" i="34"/>
  <c r="E28" i="34"/>
  <c r="O27" i="34"/>
  <c r="N27" i="34"/>
  <c r="L27" i="34"/>
  <c r="K27" i="34"/>
  <c r="I27" i="34"/>
  <c r="H27" i="34"/>
  <c r="F27" i="34"/>
  <c r="E27" i="34"/>
  <c r="O26" i="34"/>
  <c r="N26" i="34"/>
  <c r="L26" i="34"/>
  <c r="K26" i="34"/>
  <c r="I26" i="34"/>
  <c r="H26" i="34"/>
  <c r="F26" i="34"/>
  <c r="E26" i="34"/>
  <c r="O25" i="34"/>
  <c r="N25" i="34"/>
  <c r="L25" i="34"/>
  <c r="K25" i="34"/>
  <c r="I25" i="34"/>
  <c r="H25" i="34"/>
  <c r="F25" i="34"/>
  <c r="E25" i="34"/>
  <c r="O24" i="34"/>
  <c r="N24" i="34"/>
  <c r="L24" i="34"/>
  <c r="K24" i="34"/>
  <c r="I24" i="34"/>
  <c r="H24" i="34"/>
  <c r="F24" i="34"/>
  <c r="E24" i="34"/>
  <c r="O23" i="34"/>
  <c r="N23" i="34"/>
  <c r="L23" i="34"/>
  <c r="K23" i="34"/>
  <c r="I23" i="34"/>
  <c r="H23" i="34"/>
  <c r="F23" i="34"/>
  <c r="E23" i="34"/>
  <c r="O22" i="34"/>
  <c r="N22" i="34"/>
  <c r="L22" i="34"/>
  <c r="K22" i="34"/>
  <c r="I22" i="34"/>
  <c r="H22" i="34"/>
  <c r="F22" i="34"/>
  <c r="E22" i="34"/>
  <c r="O21" i="34"/>
  <c r="N21" i="34"/>
  <c r="L21" i="34"/>
  <c r="K21" i="34"/>
  <c r="I21" i="34"/>
  <c r="H21" i="34"/>
  <c r="F21" i="34"/>
  <c r="E21" i="34"/>
  <c r="O20" i="34"/>
  <c r="N20" i="34"/>
  <c r="L20" i="34"/>
  <c r="K20" i="34"/>
  <c r="I20" i="34"/>
  <c r="H20" i="34"/>
  <c r="F20" i="34"/>
  <c r="E20" i="34"/>
  <c r="O19" i="34"/>
  <c r="N19" i="34"/>
  <c r="L19" i="34"/>
  <c r="K19" i="34"/>
  <c r="I19" i="34"/>
  <c r="H19" i="34"/>
  <c r="F19" i="34"/>
  <c r="E19" i="34"/>
  <c r="O18" i="34"/>
  <c r="N18" i="34"/>
  <c r="L18" i="34"/>
  <c r="K18" i="34"/>
  <c r="I18" i="34"/>
  <c r="H18" i="34"/>
  <c r="F18" i="34"/>
  <c r="E18" i="34"/>
  <c r="O17" i="34"/>
  <c r="N17" i="34"/>
  <c r="L17" i="34"/>
  <c r="K17" i="34"/>
  <c r="I17" i="34"/>
  <c r="H17" i="34"/>
  <c r="F17" i="34"/>
  <c r="E17" i="34"/>
  <c r="O16" i="34"/>
  <c r="N16" i="34"/>
  <c r="L16" i="34"/>
  <c r="K16" i="34"/>
  <c r="I16" i="34"/>
  <c r="H16" i="34"/>
  <c r="F16" i="34"/>
  <c r="E16" i="34"/>
  <c r="O15" i="34"/>
  <c r="N15" i="34"/>
  <c r="L15" i="34"/>
  <c r="K15" i="34"/>
  <c r="I15" i="34"/>
  <c r="H15" i="34"/>
  <c r="F15" i="34"/>
  <c r="E15" i="34"/>
  <c r="O14" i="34"/>
  <c r="N14" i="34"/>
  <c r="L14" i="34"/>
  <c r="K14" i="34"/>
  <c r="I14" i="34"/>
  <c r="H14" i="34"/>
  <c r="F14" i="34"/>
  <c r="E14" i="34"/>
  <c r="O13" i="34"/>
  <c r="N13" i="34"/>
  <c r="L13" i="34"/>
  <c r="K13" i="34"/>
  <c r="I13" i="34"/>
  <c r="H13" i="34"/>
  <c r="F13" i="34"/>
  <c r="E13" i="34"/>
  <c r="O12" i="34"/>
  <c r="N12" i="34"/>
  <c r="L12" i="34"/>
  <c r="K12" i="34"/>
  <c r="I12" i="34"/>
  <c r="H12" i="34"/>
  <c r="F12" i="34"/>
  <c r="E12" i="34"/>
  <c r="O11" i="34"/>
  <c r="N11" i="34"/>
  <c r="L11" i="34"/>
  <c r="K11" i="34"/>
  <c r="I11" i="34"/>
  <c r="H11" i="34"/>
  <c r="F11" i="34"/>
  <c r="E11" i="34"/>
  <c r="O10" i="34"/>
  <c r="N10" i="34"/>
  <c r="L10" i="34"/>
  <c r="K10" i="34"/>
  <c r="I10" i="34"/>
  <c r="H10" i="34"/>
  <c r="F10" i="34"/>
  <c r="E10" i="34"/>
  <c r="O9" i="34"/>
  <c r="N9" i="34"/>
  <c r="L9" i="34"/>
  <c r="K9" i="34"/>
  <c r="I9" i="34"/>
  <c r="H9" i="34"/>
  <c r="F9" i="34"/>
  <c r="E9" i="34"/>
  <c r="O8" i="34"/>
  <c r="N8" i="34"/>
  <c r="L8" i="34"/>
  <c r="K8" i="34"/>
  <c r="I8" i="34"/>
  <c r="H8" i="34"/>
  <c r="F8" i="34"/>
  <c r="E8" i="34"/>
  <c r="W28" i="33"/>
  <c r="U28" i="33"/>
  <c r="T28" i="33"/>
  <c r="S28" i="33"/>
  <c r="Q28" i="33"/>
  <c r="P28" i="33"/>
  <c r="O28" i="33"/>
  <c r="M28" i="33"/>
  <c r="L28" i="33"/>
  <c r="K28" i="33"/>
  <c r="I28" i="33"/>
  <c r="H28" i="33"/>
  <c r="F28" i="33"/>
  <c r="E28" i="33"/>
  <c r="W27" i="33"/>
  <c r="U27" i="33"/>
  <c r="T27" i="33"/>
  <c r="S27" i="33"/>
  <c r="Q27" i="33"/>
  <c r="P27" i="33"/>
  <c r="O27" i="33"/>
  <c r="M27" i="33"/>
  <c r="L27" i="33"/>
  <c r="K27" i="33"/>
  <c r="I27" i="33"/>
  <c r="H27" i="33"/>
  <c r="F27" i="33"/>
  <c r="E27" i="33"/>
  <c r="W26" i="33"/>
  <c r="U26" i="33"/>
  <c r="T26" i="33"/>
  <c r="S26" i="33"/>
  <c r="Q26" i="33"/>
  <c r="P26" i="33"/>
  <c r="O26" i="33"/>
  <c r="M26" i="33"/>
  <c r="L26" i="33"/>
  <c r="K26" i="33"/>
  <c r="I26" i="33"/>
  <c r="H26" i="33"/>
  <c r="F26" i="33"/>
  <c r="E26" i="33"/>
  <c r="W25" i="33"/>
  <c r="U25" i="33"/>
  <c r="T25" i="33"/>
  <c r="S25" i="33"/>
  <c r="Q25" i="33"/>
  <c r="P25" i="33"/>
  <c r="O25" i="33"/>
  <c r="M25" i="33"/>
  <c r="L25" i="33"/>
  <c r="K25" i="33"/>
  <c r="I25" i="33"/>
  <c r="H25" i="33"/>
  <c r="F25" i="33"/>
  <c r="E25" i="33"/>
  <c r="W24" i="33"/>
  <c r="U24" i="33"/>
  <c r="T24" i="33"/>
  <c r="S24" i="33"/>
  <c r="Q24" i="33"/>
  <c r="P24" i="33"/>
  <c r="O24" i="33"/>
  <c r="M24" i="33"/>
  <c r="L24" i="33"/>
  <c r="K24" i="33"/>
  <c r="I24" i="33"/>
  <c r="H24" i="33"/>
  <c r="F24" i="33"/>
  <c r="E24" i="33"/>
  <c r="W23" i="33"/>
  <c r="U23" i="33"/>
  <c r="T23" i="33"/>
  <c r="S23" i="33"/>
  <c r="Q23" i="33"/>
  <c r="P23" i="33"/>
  <c r="O23" i="33"/>
  <c r="M23" i="33"/>
  <c r="L23" i="33"/>
  <c r="K23" i="33"/>
  <c r="I23" i="33"/>
  <c r="H23" i="33"/>
  <c r="F23" i="33"/>
  <c r="E23" i="33"/>
  <c r="W22" i="33"/>
  <c r="U22" i="33"/>
  <c r="T22" i="33"/>
  <c r="S22" i="33"/>
  <c r="Q22" i="33"/>
  <c r="P22" i="33"/>
  <c r="O22" i="33"/>
  <c r="M22" i="33"/>
  <c r="L22" i="33"/>
  <c r="K22" i="33"/>
  <c r="I22" i="33"/>
  <c r="H22" i="33"/>
  <c r="F22" i="33"/>
  <c r="E22" i="33"/>
  <c r="W21" i="33"/>
  <c r="U21" i="33"/>
  <c r="T21" i="33"/>
  <c r="S21" i="33"/>
  <c r="Q21" i="33"/>
  <c r="P21" i="33"/>
  <c r="O21" i="33"/>
  <c r="M21" i="33"/>
  <c r="L21" i="33"/>
  <c r="K21" i="33"/>
  <c r="I21" i="33"/>
  <c r="H21" i="33"/>
  <c r="F21" i="33"/>
  <c r="E21" i="33"/>
  <c r="W20" i="33"/>
  <c r="U20" i="33"/>
  <c r="T20" i="33"/>
  <c r="S20" i="33"/>
  <c r="Q20" i="33"/>
  <c r="P20" i="33"/>
  <c r="O20" i="33"/>
  <c r="M20" i="33"/>
  <c r="L20" i="33"/>
  <c r="K20" i="33"/>
  <c r="I20" i="33"/>
  <c r="H20" i="33"/>
  <c r="F20" i="33"/>
  <c r="E20" i="33"/>
  <c r="W19" i="33"/>
  <c r="U19" i="33"/>
  <c r="T19" i="33"/>
  <c r="S19" i="33"/>
  <c r="Q19" i="33"/>
  <c r="P19" i="33"/>
  <c r="O19" i="33"/>
  <c r="M19" i="33"/>
  <c r="L19" i="33"/>
  <c r="K19" i="33"/>
  <c r="I19" i="33"/>
  <c r="H19" i="33"/>
  <c r="F19" i="33"/>
  <c r="E19" i="33"/>
  <c r="W18" i="33"/>
  <c r="U18" i="33"/>
  <c r="T18" i="33"/>
  <c r="S18" i="33"/>
  <c r="Q18" i="33"/>
  <c r="P18" i="33"/>
  <c r="O18" i="33"/>
  <c r="M18" i="33"/>
  <c r="L18" i="33"/>
  <c r="K18" i="33"/>
  <c r="I18" i="33"/>
  <c r="H18" i="33"/>
  <c r="F18" i="33"/>
  <c r="E18" i="33"/>
  <c r="W17" i="33"/>
  <c r="U17" i="33"/>
  <c r="T17" i="33"/>
  <c r="S17" i="33"/>
  <c r="Q17" i="33"/>
  <c r="P17" i="33"/>
  <c r="O17" i="33"/>
  <c r="M17" i="33"/>
  <c r="L17" i="33"/>
  <c r="K17" i="33"/>
  <c r="I17" i="33"/>
  <c r="H17" i="33"/>
  <c r="F17" i="33"/>
  <c r="E17" i="33"/>
  <c r="W16" i="33"/>
  <c r="U16" i="33"/>
  <c r="T16" i="33"/>
  <c r="S16" i="33"/>
  <c r="Q16" i="33"/>
  <c r="P16" i="33"/>
  <c r="O16" i="33"/>
  <c r="M16" i="33"/>
  <c r="L16" i="33"/>
  <c r="K16" i="33"/>
  <c r="I16" i="33"/>
  <c r="H16" i="33"/>
  <c r="F16" i="33"/>
  <c r="E16" i="33"/>
  <c r="W15" i="33"/>
  <c r="U15" i="33"/>
  <c r="T15" i="33"/>
  <c r="S15" i="33"/>
  <c r="Q15" i="33"/>
  <c r="P15" i="33"/>
  <c r="O15" i="33"/>
  <c r="M15" i="33"/>
  <c r="L15" i="33"/>
  <c r="K15" i="33"/>
  <c r="I15" i="33"/>
  <c r="H15" i="33"/>
  <c r="F15" i="33"/>
  <c r="E15" i="33"/>
  <c r="W14" i="33"/>
  <c r="U14" i="33"/>
  <c r="T14" i="33"/>
  <c r="S14" i="33"/>
  <c r="Q14" i="33"/>
  <c r="P14" i="33"/>
  <c r="O14" i="33"/>
  <c r="M14" i="33"/>
  <c r="L14" i="33"/>
  <c r="K14" i="33"/>
  <c r="I14" i="33"/>
  <c r="H14" i="33"/>
  <c r="F14" i="33"/>
  <c r="E14" i="33"/>
  <c r="W13" i="33"/>
  <c r="U13" i="33"/>
  <c r="T13" i="33"/>
  <c r="S13" i="33"/>
  <c r="Q13" i="33"/>
  <c r="P13" i="33"/>
  <c r="O13" i="33"/>
  <c r="M13" i="33"/>
  <c r="L13" i="33"/>
  <c r="K13" i="33"/>
  <c r="I13" i="33"/>
  <c r="H13" i="33"/>
  <c r="F13" i="33"/>
  <c r="E13" i="33"/>
  <c r="W12" i="33"/>
  <c r="U12" i="33"/>
  <c r="T12" i="33"/>
  <c r="S12" i="33"/>
  <c r="Q12" i="33"/>
  <c r="P12" i="33"/>
  <c r="O12" i="33"/>
  <c r="M12" i="33"/>
  <c r="L12" i="33"/>
  <c r="K12" i="33"/>
  <c r="I12" i="33"/>
  <c r="H12" i="33"/>
  <c r="F12" i="33"/>
  <c r="E12" i="33"/>
  <c r="W11" i="33"/>
  <c r="U11" i="33"/>
  <c r="T11" i="33"/>
  <c r="S11" i="33"/>
  <c r="Q11" i="33"/>
  <c r="P11" i="33"/>
  <c r="O11" i="33"/>
  <c r="M11" i="33"/>
  <c r="L11" i="33"/>
  <c r="K11" i="33"/>
  <c r="I11" i="33"/>
  <c r="H11" i="33"/>
  <c r="F11" i="33"/>
  <c r="E11" i="33"/>
  <c r="W10" i="33"/>
  <c r="U10" i="33"/>
  <c r="T10" i="33"/>
  <c r="S10" i="33"/>
  <c r="Q10" i="33"/>
  <c r="P10" i="33"/>
  <c r="O10" i="33"/>
  <c r="M10" i="33"/>
  <c r="L10" i="33"/>
  <c r="K10" i="33"/>
  <c r="I10" i="33"/>
  <c r="H10" i="33"/>
  <c r="F10" i="33"/>
  <c r="E10" i="33"/>
  <c r="W9" i="33"/>
  <c r="U9" i="33"/>
  <c r="T9" i="33"/>
  <c r="S9" i="33"/>
  <c r="Q9" i="33"/>
  <c r="P9" i="33"/>
  <c r="O9" i="33"/>
  <c r="M9" i="33"/>
  <c r="L9" i="33"/>
  <c r="K9" i="33"/>
  <c r="I9" i="33"/>
  <c r="H9" i="33"/>
  <c r="F9" i="33"/>
  <c r="E9" i="33"/>
  <c r="W8" i="33"/>
  <c r="U8" i="33"/>
  <c r="T8" i="33"/>
  <c r="S8" i="33"/>
  <c r="Q8" i="33"/>
  <c r="P8" i="33"/>
  <c r="O8" i="33"/>
  <c r="M8" i="33"/>
  <c r="L8" i="33"/>
  <c r="K8" i="33"/>
  <c r="I8" i="33"/>
  <c r="H8" i="33"/>
  <c r="F8" i="33"/>
  <c r="E8" i="33"/>
  <c r="W37" i="2" l="1"/>
  <c r="W40" i="42" l="1"/>
  <c r="U40" i="42"/>
  <c r="T40" i="42"/>
  <c r="R40" i="42"/>
  <c r="P40" i="42"/>
  <c r="O40" i="42"/>
  <c r="R38" i="42"/>
  <c r="P38" i="42"/>
  <c r="O38" i="42"/>
  <c r="W37" i="42"/>
  <c r="T37" i="42"/>
  <c r="R37" i="42"/>
  <c r="P37" i="42"/>
  <c r="O37" i="42"/>
  <c r="R36" i="42"/>
  <c r="P36" i="42"/>
  <c r="O36" i="42"/>
  <c r="R35" i="42"/>
  <c r="P35" i="42"/>
  <c r="O35" i="42"/>
  <c r="AD27" i="42"/>
  <c r="AC27" i="42"/>
  <c r="AB27" i="42"/>
  <c r="AA27" i="42"/>
  <c r="Z27" i="42"/>
  <c r="Y27" i="42"/>
  <c r="AD26" i="42"/>
  <c r="AC26" i="42"/>
  <c r="AB26" i="42"/>
  <c r="AA26" i="42"/>
  <c r="Z26" i="42"/>
  <c r="Y26" i="42"/>
  <c r="AD25" i="42"/>
  <c r="AC25" i="42"/>
  <c r="AB25" i="42"/>
  <c r="AA25" i="42"/>
  <c r="Z25" i="42"/>
  <c r="Y25" i="42"/>
  <c r="AD24" i="42"/>
  <c r="AC24" i="42"/>
  <c r="AB24" i="42"/>
  <c r="AA24" i="42"/>
  <c r="Z24" i="42"/>
  <c r="Y24" i="42"/>
  <c r="AD23" i="42"/>
  <c r="AC23" i="42"/>
  <c r="AB23" i="42"/>
  <c r="AA23" i="42"/>
  <c r="Z23" i="42"/>
  <c r="Y23" i="42"/>
  <c r="AD22" i="42"/>
  <c r="AC22" i="42"/>
  <c r="AB22" i="42"/>
  <c r="AA22" i="42"/>
  <c r="Z22" i="42"/>
  <c r="Y22" i="42"/>
  <c r="AD21" i="42"/>
  <c r="AC21" i="42"/>
  <c r="AB21" i="42"/>
  <c r="AA21" i="42"/>
  <c r="Z21" i="42"/>
  <c r="Y21" i="42"/>
  <c r="AD20" i="42"/>
  <c r="AC20" i="42"/>
  <c r="AB20" i="42"/>
  <c r="AA20" i="42"/>
  <c r="Z20" i="42"/>
  <c r="Y20" i="42"/>
  <c r="AD19" i="42"/>
  <c r="AC19" i="42"/>
  <c r="AB19" i="42"/>
  <c r="AA19" i="42"/>
  <c r="Z19" i="42"/>
  <c r="Y19" i="42"/>
  <c r="AD18" i="42"/>
  <c r="AC18" i="42"/>
  <c r="AB18" i="42"/>
  <c r="AA18" i="42"/>
  <c r="Z18" i="42"/>
  <c r="Y18" i="42"/>
  <c r="AD17" i="42"/>
  <c r="AC17" i="42"/>
  <c r="AB17" i="42"/>
  <c r="AA17" i="42"/>
  <c r="Z17" i="42"/>
  <c r="Y17" i="42"/>
  <c r="AD16" i="42"/>
  <c r="AC16" i="42"/>
  <c r="AB16" i="42"/>
  <c r="AA16" i="42"/>
  <c r="Z16" i="42"/>
  <c r="Y16" i="42"/>
  <c r="AD15" i="42"/>
  <c r="AC15" i="42"/>
  <c r="AB15" i="42"/>
  <c r="AA15" i="42"/>
  <c r="Z15" i="42"/>
  <c r="Y15" i="42"/>
  <c r="AD14" i="42"/>
  <c r="AC14" i="42"/>
  <c r="AB14" i="42"/>
  <c r="AA14" i="42"/>
  <c r="Z14" i="42"/>
  <c r="Y14" i="42"/>
  <c r="AD13" i="42"/>
  <c r="AC13" i="42"/>
  <c r="AB13" i="42"/>
  <c r="AA13" i="42"/>
  <c r="Z13" i="42"/>
  <c r="Y13" i="42"/>
  <c r="AD12" i="42"/>
  <c r="AC12" i="42"/>
  <c r="AB12" i="42"/>
  <c r="AA12" i="42"/>
  <c r="Z12" i="42"/>
  <c r="Y12" i="42"/>
  <c r="AD11" i="42"/>
  <c r="AC11" i="42"/>
  <c r="AB11" i="42"/>
  <c r="AA11" i="42"/>
  <c r="Z11" i="42"/>
  <c r="Y11" i="42"/>
  <c r="AD10" i="42"/>
  <c r="AC10" i="42"/>
  <c r="AB10" i="42"/>
  <c r="AA10" i="42"/>
  <c r="Z10" i="42"/>
  <c r="Y10" i="42"/>
  <c r="AD9" i="42"/>
  <c r="AC9" i="42"/>
  <c r="AB9" i="42"/>
  <c r="AA9" i="42"/>
  <c r="Z9" i="42"/>
  <c r="Y9" i="42"/>
  <c r="AD8" i="42"/>
  <c r="AC8" i="42"/>
  <c r="AB8" i="42"/>
  <c r="AA8" i="42"/>
  <c r="Z8" i="42"/>
  <c r="Y8" i="42"/>
  <c r="AD7" i="42"/>
  <c r="AC7" i="42"/>
  <c r="AB7" i="42"/>
  <c r="AA7" i="42"/>
  <c r="Z7" i="42"/>
  <c r="Y7" i="42"/>
  <c r="W46" i="2"/>
  <c r="W46" i="42" s="1"/>
  <c r="T46" i="2"/>
  <c r="T46" i="42" s="1"/>
  <c r="R46" i="2"/>
  <c r="R46" i="42" s="1"/>
  <c r="O46" i="2"/>
  <c r="O46" i="42" s="1"/>
  <c r="M46" i="2"/>
  <c r="M46" i="42" s="1"/>
  <c r="J46" i="2"/>
  <c r="J46" i="42" s="1"/>
  <c r="W39" i="2"/>
  <c r="W39" i="42" s="1"/>
  <c r="T39" i="2"/>
  <c r="T39" i="42" s="1"/>
  <c r="R39" i="2"/>
  <c r="R39" i="42" s="1"/>
  <c r="O39" i="2"/>
  <c r="O39" i="42" s="1"/>
  <c r="W38" i="2"/>
  <c r="W38" i="42" s="1"/>
  <c r="T38" i="2"/>
  <c r="T38" i="42" s="1"/>
  <c r="W36" i="2"/>
  <c r="W36" i="42" s="1"/>
  <c r="T36" i="2"/>
  <c r="T36" i="42" s="1"/>
  <c r="W35" i="2"/>
  <c r="W35" i="42" s="1"/>
  <c r="T35" i="2"/>
  <c r="T35" i="42" s="1"/>
  <c r="W34" i="2"/>
  <c r="W34" i="42" s="1"/>
  <c r="T34" i="2"/>
  <c r="T34" i="42" s="1"/>
  <c r="R34" i="2"/>
  <c r="R34" i="42" s="1"/>
  <c r="O34" i="2"/>
  <c r="O34" i="42" s="1"/>
  <c r="W33" i="2"/>
  <c r="W33" i="42" s="1"/>
  <c r="T33" i="2"/>
  <c r="T33" i="42" s="1"/>
  <c r="R33" i="2"/>
  <c r="R33" i="42" s="1"/>
  <c r="O33" i="2"/>
  <c r="O33" i="42" s="1"/>
  <c r="W31" i="2"/>
  <c r="W31" i="42" s="1"/>
  <c r="T31" i="2"/>
  <c r="T31" i="42" s="1"/>
  <c r="R31" i="2"/>
  <c r="R31" i="42" s="1"/>
  <c r="O31" i="2"/>
  <c r="O31" i="42" s="1"/>
  <c r="M31" i="2"/>
  <c r="M31" i="42" s="1"/>
  <c r="J31" i="2"/>
  <c r="J31" i="42" s="1"/>
  <c r="W30" i="2"/>
  <c r="W30" i="42" s="1"/>
  <c r="T30" i="2"/>
  <c r="T30" i="42" s="1"/>
  <c r="R30" i="2"/>
  <c r="R30" i="42" s="1"/>
  <c r="O30" i="2"/>
  <c r="O30" i="42" s="1"/>
  <c r="M30" i="2"/>
  <c r="M30" i="42" s="1"/>
  <c r="J30" i="2"/>
  <c r="J30" i="42" s="1"/>
  <c r="W29" i="2"/>
  <c r="W29" i="42" s="1"/>
  <c r="T29" i="2"/>
  <c r="T29" i="42" s="1"/>
  <c r="R29" i="2"/>
  <c r="R29" i="42" s="1"/>
  <c r="O29" i="2"/>
  <c r="O29" i="42" s="1"/>
  <c r="M29" i="2"/>
  <c r="M29" i="42" s="1"/>
  <c r="J29" i="2"/>
  <c r="J29" i="42" s="1"/>
  <c r="W28" i="2"/>
  <c r="W28" i="42" s="1"/>
  <c r="T28" i="2"/>
  <c r="T28" i="42" s="1"/>
  <c r="R28" i="2"/>
  <c r="R28" i="42" s="1"/>
  <c r="O28" i="2"/>
  <c r="O28" i="42" s="1"/>
  <c r="M28" i="2"/>
  <c r="M28" i="42" s="1"/>
  <c r="J28" i="2"/>
  <c r="J28" i="42" s="1"/>
  <c r="W23" i="2"/>
  <c r="T23" i="2"/>
  <c r="R23" i="2"/>
  <c r="O23" i="2"/>
  <c r="M23" i="2"/>
  <c r="J23" i="2"/>
  <c r="W22" i="2"/>
  <c r="T22" i="2"/>
  <c r="R22" i="2"/>
  <c r="O22" i="2"/>
  <c r="M22" i="2"/>
  <c r="J22" i="2"/>
  <c r="W21" i="2"/>
  <c r="T21" i="2"/>
  <c r="R21" i="2"/>
  <c r="O21" i="2"/>
  <c r="M21" i="2"/>
  <c r="J21" i="2"/>
  <c r="W20" i="2"/>
  <c r="T20" i="2"/>
  <c r="R20" i="2"/>
  <c r="O20" i="2"/>
  <c r="M20" i="2"/>
  <c r="J20" i="2"/>
  <c r="W19" i="2"/>
  <c r="T19" i="2"/>
  <c r="R19" i="2"/>
  <c r="O19" i="2"/>
  <c r="M19" i="2"/>
  <c r="J19" i="2"/>
  <c r="W18" i="2"/>
  <c r="T18" i="2"/>
  <c r="R18" i="2"/>
  <c r="O18" i="2"/>
  <c r="M18" i="2"/>
  <c r="J18" i="2"/>
  <c r="W17" i="2"/>
  <c r="T17" i="2"/>
  <c r="R17" i="2"/>
  <c r="O17" i="2"/>
  <c r="M17" i="2"/>
  <c r="J17" i="2"/>
  <c r="W16" i="2"/>
  <c r="T16" i="2"/>
  <c r="R16" i="2"/>
  <c r="O16" i="2"/>
  <c r="M16" i="2"/>
  <c r="J16" i="2"/>
  <c r="W15" i="2"/>
  <c r="T15" i="2"/>
  <c r="R15" i="2"/>
  <c r="O15" i="2"/>
  <c r="M15" i="2"/>
  <c r="J15" i="2"/>
  <c r="W14" i="2"/>
  <c r="T14" i="2"/>
  <c r="R14" i="2"/>
  <c r="O14" i="2"/>
  <c r="M14" i="2"/>
  <c r="J14" i="2"/>
  <c r="W13" i="2"/>
  <c r="T13" i="2"/>
  <c r="R13" i="2"/>
  <c r="O13" i="2"/>
  <c r="M13" i="2"/>
  <c r="J13" i="2"/>
  <c r="W12" i="2"/>
  <c r="T12" i="2"/>
  <c r="R12" i="2"/>
  <c r="O12" i="2"/>
  <c r="M12" i="2"/>
  <c r="J12" i="2"/>
  <c r="W11" i="2"/>
  <c r="T11" i="2"/>
  <c r="R11" i="2"/>
  <c r="O11" i="2"/>
  <c r="M11" i="2"/>
  <c r="J11" i="2"/>
  <c r="W10" i="2"/>
  <c r="T10" i="2"/>
  <c r="R10" i="2"/>
  <c r="O10" i="2"/>
  <c r="M10" i="2"/>
  <c r="J10" i="2"/>
  <c r="W9" i="2"/>
  <c r="T9" i="2"/>
  <c r="R9" i="2"/>
  <c r="O9" i="2"/>
  <c r="M9" i="2"/>
  <c r="J9" i="2"/>
  <c r="W8" i="2"/>
  <c r="T8" i="2"/>
  <c r="R8" i="2"/>
  <c r="O8" i="2"/>
  <c r="M8" i="2"/>
  <c r="J8" i="2"/>
  <c r="W7" i="2"/>
  <c r="T7" i="2"/>
  <c r="R7" i="2"/>
  <c r="O7" i="2"/>
  <c r="M7" i="2"/>
  <c r="J7" i="2"/>
  <c r="AD27" i="2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AD19" i="2"/>
  <c r="AC19" i="2"/>
  <c r="AB19" i="2"/>
  <c r="AA19" i="2"/>
  <c r="Z19" i="2"/>
  <c r="Y19" i="2"/>
  <c r="AD18" i="2"/>
  <c r="AC18" i="2"/>
  <c r="AB18" i="2"/>
  <c r="AA18" i="2"/>
  <c r="Z18" i="2"/>
  <c r="Y18" i="2"/>
  <c r="AD17" i="2"/>
  <c r="AC17" i="2"/>
  <c r="AB17" i="2"/>
  <c r="AA17" i="2"/>
  <c r="Z17" i="2"/>
  <c r="Y17" i="2"/>
  <c r="AD16" i="2"/>
  <c r="AC16" i="2"/>
  <c r="AB16" i="2"/>
  <c r="AA16" i="2"/>
  <c r="Z16" i="2"/>
  <c r="Y16" i="2"/>
  <c r="AD15" i="2"/>
  <c r="AC15" i="2"/>
  <c r="AB15" i="2"/>
  <c r="AA15" i="2"/>
  <c r="Z15" i="2"/>
  <c r="Y15" i="2"/>
  <c r="AD14" i="2"/>
  <c r="AC14" i="2"/>
  <c r="AB14" i="2"/>
  <c r="AA14" i="2"/>
  <c r="Z14" i="2"/>
  <c r="Y14" i="2"/>
  <c r="AD13" i="2"/>
  <c r="AC13" i="2"/>
  <c r="AB13" i="2"/>
  <c r="AA13" i="2"/>
  <c r="Z13" i="2"/>
  <c r="Y13" i="2"/>
  <c r="AD12" i="2"/>
  <c r="AC12" i="2"/>
  <c r="AB12" i="2"/>
  <c r="AA12" i="2"/>
  <c r="Z12" i="2"/>
  <c r="Y12" i="2"/>
  <c r="AD11" i="2"/>
  <c r="AC11" i="2"/>
  <c r="AB11" i="2"/>
  <c r="AA11" i="2"/>
  <c r="Z11" i="2"/>
  <c r="Y11" i="2"/>
  <c r="AD10" i="2"/>
  <c r="AC10" i="2"/>
  <c r="AB10" i="2"/>
  <c r="AA10" i="2"/>
  <c r="Z10" i="2"/>
  <c r="Y10" i="2"/>
  <c r="AD9" i="2"/>
  <c r="AC9" i="2"/>
  <c r="AB9" i="2"/>
  <c r="AA9" i="2"/>
  <c r="Z9" i="2"/>
  <c r="Y9" i="2"/>
  <c r="AD8" i="2"/>
  <c r="AC8" i="2"/>
  <c r="AB8" i="2"/>
  <c r="AA8" i="2"/>
  <c r="Z8" i="2"/>
  <c r="Y8" i="2"/>
  <c r="AD7" i="2"/>
  <c r="AC7" i="2"/>
  <c r="AB7" i="2"/>
  <c r="AA7" i="2"/>
  <c r="Z7" i="2"/>
  <c r="Y7" i="2"/>
  <c r="V28" i="1"/>
  <c r="V27" i="1"/>
  <c r="V20" i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V24" i="1"/>
  <c r="T24" i="1"/>
  <c r="V23" i="1"/>
  <c r="T23" i="1"/>
  <c r="H38" i="1"/>
  <c r="M38" i="1" s="1"/>
  <c r="E38" i="1"/>
  <c r="J38" i="1" s="1"/>
  <c r="H27" i="1"/>
  <c r="M27" i="1" s="1"/>
  <c r="E27" i="1"/>
  <c r="J27" i="1" s="1"/>
  <c r="H26" i="1"/>
  <c r="M26" i="1" s="1"/>
  <c r="E26" i="1"/>
  <c r="J26" i="1" s="1"/>
  <c r="H25" i="1"/>
  <c r="M25" i="1" s="1"/>
  <c r="E25" i="1"/>
  <c r="H17" i="1"/>
  <c r="E17" i="1"/>
  <c r="J17" i="1" s="1"/>
  <c r="H16" i="1"/>
  <c r="M16" i="1" s="1"/>
  <c r="E16" i="1"/>
  <c r="J16" i="1" s="1"/>
  <c r="H15" i="1"/>
  <c r="M15" i="1" s="1"/>
  <c r="E15" i="1"/>
  <c r="J15" i="1" s="1"/>
  <c r="H12" i="1"/>
  <c r="M12" i="1" s="1"/>
  <c r="E12" i="1"/>
  <c r="J12" i="1" s="1"/>
  <c r="H11" i="1"/>
  <c r="E11" i="1"/>
  <c r="J11" i="1" s="1"/>
  <c r="H10" i="1"/>
  <c r="M10" i="1" s="1"/>
  <c r="E10" i="1"/>
  <c r="H9" i="1"/>
  <c r="M9" i="1" s="1"/>
  <c r="E9" i="1"/>
  <c r="J9" i="1" s="1"/>
  <c r="H8" i="1"/>
  <c r="M8" i="1" s="1"/>
  <c r="E8" i="1"/>
  <c r="J8" i="1" s="1"/>
  <c r="H7" i="1"/>
  <c r="M7" i="1" s="1"/>
  <c r="E7" i="1"/>
  <c r="J7" i="1" s="1"/>
  <c r="AF38" i="29"/>
  <c r="AE38" i="29"/>
  <c r="L36" i="29"/>
  <c r="W19" i="42" l="1"/>
  <c r="T16" i="42"/>
  <c r="W16" i="42"/>
  <c r="O20" i="42"/>
  <c r="M7" i="42"/>
  <c r="R10" i="42"/>
  <c r="W13" i="42"/>
  <c r="M17" i="42"/>
  <c r="R20" i="42"/>
  <c r="W23" i="42"/>
  <c r="O7" i="42"/>
  <c r="T10" i="42"/>
  <c r="J14" i="42"/>
  <c r="O17" i="42"/>
  <c r="T20" i="42"/>
  <c r="R16" i="42"/>
  <c r="J7" i="42"/>
  <c r="M14" i="42"/>
  <c r="O11" i="42"/>
  <c r="T14" i="42"/>
  <c r="J18" i="42"/>
  <c r="O21" i="42"/>
  <c r="M10" i="42"/>
  <c r="W20" i="42"/>
  <c r="M21" i="42"/>
  <c r="M8" i="42"/>
  <c r="R11" i="42"/>
  <c r="W14" i="42"/>
  <c r="M18" i="42"/>
  <c r="R21" i="42"/>
  <c r="O13" i="42"/>
  <c r="O10" i="42"/>
  <c r="R7" i="42"/>
  <c r="T7" i="42"/>
  <c r="M11" i="42"/>
  <c r="T11" i="42"/>
  <c r="J15" i="42"/>
  <c r="O18" i="42"/>
  <c r="T21" i="42"/>
  <c r="O16" i="42"/>
  <c r="O23" i="42"/>
  <c r="T23" i="42"/>
  <c r="T17" i="42"/>
  <c r="W7" i="42"/>
  <c r="R8" i="42"/>
  <c r="W11" i="42"/>
  <c r="M15" i="42"/>
  <c r="R18" i="42"/>
  <c r="W21" i="42"/>
  <c r="W9" i="42"/>
  <c r="J8" i="42"/>
  <c r="T8" i="42"/>
  <c r="J12" i="42"/>
  <c r="O15" i="42"/>
  <c r="T18" i="42"/>
  <c r="J22" i="42"/>
  <c r="T19" i="42"/>
  <c r="W10" i="42"/>
  <c r="O8" i="42"/>
  <c r="M12" i="42"/>
  <c r="R15" i="42"/>
  <c r="W18" i="42"/>
  <c r="M22" i="42"/>
  <c r="T9" i="42"/>
  <c r="J20" i="42"/>
  <c r="R17" i="42"/>
  <c r="O14" i="42"/>
  <c r="R14" i="42"/>
  <c r="T15" i="42"/>
  <c r="J19" i="42"/>
  <c r="O22" i="42"/>
  <c r="M13" i="42"/>
  <c r="M20" i="42"/>
  <c r="M9" i="42"/>
  <c r="M19" i="42"/>
  <c r="R22" i="42"/>
  <c r="J13" i="42"/>
  <c r="M23" i="42"/>
  <c r="R23" i="42"/>
  <c r="J17" i="42"/>
  <c r="J21" i="42"/>
  <c r="W17" i="42"/>
  <c r="W8" i="42"/>
  <c r="J9" i="42"/>
  <c r="O12" i="42"/>
  <c r="R12" i="42"/>
  <c r="O9" i="42"/>
  <c r="T12" i="42"/>
  <c r="J16" i="42"/>
  <c r="O19" i="42"/>
  <c r="T22" i="42"/>
  <c r="J23" i="42"/>
  <c r="J10" i="42"/>
  <c r="R13" i="42"/>
  <c r="T13" i="42"/>
  <c r="J11" i="42"/>
  <c r="W15" i="42"/>
  <c r="R9" i="42"/>
  <c r="W12" i="42"/>
  <c r="M16" i="42"/>
  <c r="R19" i="42"/>
  <c r="W22" i="42"/>
  <c r="H13" i="1"/>
  <c r="M13" i="1" s="1"/>
  <c r="M11" i="1"/>
  <c r="H18" i="1"/>
  <c r="M18" i="1" s="1"/>
  <c r="E28" i="1"/>
  <c r="J28" i="1" s="1"/>
  <c r="H28" i="1"/>
  <c r="M28" i="1" s="1"/>
  <c r="M17" i="1"/>
  <c r="E13" i="1"/>
  <c r="J13" i="1" s="1"/>
  <c r="J10" i="1"/>
  <c r="J25" i="1"/>
  <c r="E18" i="1"/>
  <c r="J18" i="1" s="1"/>
  <c r="AA21" i="1"/>
  <c r="AA19" i="1"/>
  <c r="AA18" i="1"/>
  <c r="AA17" i="1"/>
  <c r="AA16" i="1"/>
  <c r="AA15" i="1"/>
  <c r="AA13" i="1"/>
  <c r="AA12" i="1"/>
  <c r="AA11" i="1"/>
  <c r="AA10" i="1"/>
  <c r="AA9" i="1"/>
  <c r="AA8" i="1"/>
  <c r="AA7" i="1"/>
  <c r="AG5" i="1"/>
  <c r="AK6" i="1"/>
  <c r="AJ6" i="1"/>
  <c r="AI6" i="1"/>
  <c r="AH6" i="1"/>
  <c r="AG6" i="1"/>
  <c r="AF6" i="1"/>
  <c r="AE6" i="1"/>
  <c r="AD6" i="1"/>
  <c r="AC6" i="1"/>
  <c r="AB6" i="1"/>
  <c r="AB5" i="1"/>
  <c r="Z32" i="43" l="1"/>
  <c r="V32" i="43" l="1"/>
  <c r="M32" i="43"/>
  <c r="V31" i="43"/>
  <c r="M31" i="43"/>
  <c r="V30" i="43"/>
  <c r="M30" i="43"/>
  <c r="V29" i="43"/>
  <c r="M29" i="43"/>
  <c r="V28" i="43"/>
  <c r="M28" i="43"/>
  <c r="V27" i="43"/>
  <c r="M27" i="43"/>
  <c r="Z27" i="43"/>
  <c r="AF39" i="29"/>
  <c r="AF37" i="29"/>
  <c r="AG26" i="42"/>
  <c r="AE26" i="42"/>
  <c r="AG25" i="42"/>
  <c r="AF25" i="42"/>
  <c r="AE25" i="42"/>
  <c r="AG23" i="42"/>
  <c r="AF22" i="42"/>
  <c r="AE22" i="42"/>
  <c r="AG21" i="42"/>
  <c r="AG20" i="42"/>
  <c r="AF20" i="42"/>
  <c r="AE20" i="42"/>
  <c r="AG18" i="42"/>
  <c r="AF18" i="42"/>
  <c r="AG16" i="42"/>
  <c r="AG15" i="42"/>
  <c r="AF15" i="42"/>
  <c r="AE15" i="42"/>
  <c r="AG14" i="42"/>
  <c r="AF14" i="42"/>
  <c r="AE12" i="42"/>
  <c r="AG11" i="42"/>
  <c r="AF9" i="42"/>
  <c r="AG8" i="42"/>
  <c r="AF8" i="42"/>
  <c r="V40" i="42"/>
  <c r="K41" i="42"/>
  <c r="J41" i="42"/>
  <c r="N40" i="42"/>
  <c r="N39" i="42"/>
  <c r="L39" i="42"/>
  <c r="M38" i="42"/>
  <c r="N38" i="42" s="1"/>
  <c r="N37" i="42"/>
  <c r="N36" i="42"/>
  <c r="N35" i="42"/>
  <c r="L35" i="42"/>
  <c r="N34" i="42"/>
  <c r="L34" i="42"/>
  <c r="N33" i="42"/>
  <c r="L33" i="42"/>
  <c r="AE23" i="42"/>
  <c r="AE13" i="42"/>
  <c r="AF12" i="42"/>
  <c r="AG9" i="42"/>
  <c r="AE7" i="42" l="1"/>
  <c r="AE17" i="42"/>
  <c r="AE11" i="42"/>
  <c r="AE8" i="42"/>
  <c r="AE18" i="42"/>
  <c r="Q35" i="42"/>
  <c r="Q40" i="42"/>
  <c r="S38" i="42"/>
  <c r="S40" i="42"/>
  <c r="AE9" i="42"/>
  <c r="Q36" i="42"/>
  <c r="AE27" i="42"/>
  <c r="Q38" i="42"/>
  <c r="AF17" i="42"/>
  <c r="AF27" i="42"/>
  <c r="AG7" i="42"/>
  <c r="AE14" i="42"/>
  <c r="AG17" i="42"/>
  <c r="AE24" i="42"/>
  <c r="AG27" i="42"/>
  <c r="Z31" i="43"/>
  <c r="Z20" i="43"/>
  <c r="Z28" i="43"/>
  <c r="Z14" i="43"/>
  <c r="Z12" i="43"/>
  <c r="Z11" i="43" s="1"/>
  <c r="AF24" i="42"/>
  <c r="AG24" i="42"/>
  <c r="S37" i="42"/>
  <c r="AF11" i="42"/>
  <c r="AF21" i="42"/>
  <c r="S36" i="42"/>
  <c r="AG12" i="42"/>
  <c r="AE19" i="42"/>
  <c r="AG22" i="42"/>
  <c r="Z29" i="43"/>
  <c r="AF19" i="42"/>
  <c r="AE21" i="42"/>
  <c r="AE16" i="42"/>
  <c r="AG19" i="42"/>
  <c r="S35" i="42"/>
  <c r="Z41" i="43"/>
  <c r="Z42" i="43" s="1"/>
  <c r="AF13" i="42"/>
  <c r="AF23" i="42"/>
  <c r="Z30" i="43"/>
  <c r="AE10" i="42"/>
  <c r="AG13" i="42"/>
  <c r="AF16" i="42"/>
  <c r="AF26" i="42"/>
  <c r="AF10" i="42"/>
  <c r="AF7" i="42"/>
  <c r="AG10" i="42"/>
  <c r="Z16" i="43"/>
  <c r="Z17" i="43"/>
  <c r="Q37" i="42"/>
  <c r="L41" i="42"/>
  <c r="M41" i="42"/>
  <c r="N41" i="42" s="1"/>
  <c r="Z9" i="43" l="1"/>
  <c r="AE12" i="1" l="1"/>
  <c r="AE11" i="1"/>
  <c r="AE10" i="1"/>
  <c r="AE9" i="1"/>
  <c r="AE8" i="1"/>
  <c r="AE7" i="1"/>
  <c r="AB10" i="1" l="1"/>
  <c r="AB11" i="1"/>
  <c r="AB8" i="1"/>
  <c r="AB12" i="1"/>
  <c r="AB7" i="1"/>
  <c r="AB9" i="1"/>
  <c r="AE13" i="1"/>
  <c r="AE14" i="1" s="1"/>
  <c r="P19" i="41"/>
  <c r="P19" i="43" s="1"/>
  <c r="P18" i="41"/>
  <c r="P18" i="43" s="1"/>
  <c r="AB13" i="1" l="1"/>
  <c r="AB14" i="1"/>
  <c r="Y40" i="41"/>
  <c r="Y40" i="43" s="1"/>
  <c r="Y39" i="41"/>
  <c r="Y39" i="43" s="1"/>
  <c r="Y38" i="41"/>
  <c r="Y38" i="43" s="1"/>
  <c r="Y37" i="41"/>
  <c r="Y37" i="43" s="1"/>
  <c r="Y36" i="41"/>
  <c r="Y36" i="43" s="1"/>
  <c r="Y35" i="41"/>
  <c r="Y35" i="43" s="1"/>
  <c r="Y19" i="41"/>
  <c r="Y19" i="43" s="1"/>
  <c r="Y18" i="41"/>
  <c r="Y18" i="43" s="1"/>
  <c r="Y26" i="41" l="1"/>
  <c r="Y26" i="43" s="1"/>
  <c r="Y25" i="41"/>
  <c r="Y25" i="43" s="1"/>
  <c r="Y24" i="41"/>
  <c r="Y24" i="43" s="1"/>
  <c r="Y23" i="41"/>
  <c r="Y23" i="43" s="1"/>
  <c r="Y22" i="41"/>
  <c r="Y22" i="43" s="1"/>
  <c r="Y21" i="41"/>
  <c r="Y21" i="43" s="1"/>
  <c r="Y15" i="41"/>
  <c r="Y15" i="43" s="1"/>
  <c r="Y13" i="41"/>
  <c r="Y13" i="43" s="1"/>
  <c r="Y10" i="41"/>
  <c r="Y10" i="43" s="1"/>
  <c r="Y8" i="41"/>
  <c r="Y8" i="43" s="1"/>
  <c r="S19" i="41" l="1"/>
  <c r="S19" i="43" s="1"/>
  <c r="S18" i="41" l="1"/>
  <c r="S18" i="43" s="1"/>
  <c r="S40" i="41" l="1"/>
  <c r="S40" i="43" s="1"/>
  <c r="P40" i="41"/>
  <c r="P40" i="43" s="1"/>
  <c r="S39" i="41"/>
  <c r="S39" i="43" s="1"/>
  <c r="P39" i="41"/>
  <c r="P39" i="43" s="1"/>
  <c r="S38" i="41"/>
  <c r="S38" i="43" s="1"/>
  <c r="P38" i="41"/>
  <c r="P38" i="43" s="1"/>
  <c r="S37" i="41"/>
  <c r="S37" i="43" s="1"/>
  <c r="P37" i="41"/>
  <c r="P37" i="43" s="1"/>
  <c r="S36" i="41"/>
  <c r="S36" i="43" s="1"/>
  <c r="P36" i="41"/>
  <c r="P36" i="43" s="1"/>
  <c r="S35" i="41"/>
  <c r="S35" i="43" s="1"/>
  <c r="P35" i="41"/>
  <c r="P35" i="43" s="1"/>
  <c r="V32" i="41"/>
  <c r="S32" i="41"/>
  <c r="P32" i="41"/>
  <c r="V31" i="41"/>
  <c r="S31" i="41"/>
  <c r="P31" i="41"/>
  <c r="V30" i="41"/>
  <c r="S30" i="41"/>
  <c r="P30" i="41"/>
  <c r="V29" i="41"/>
  <c r="S29" i="41"/>
  <c r="P29" i="41"/>
  <c r="V28" i="41"/>
  <c r="S28" i="41"/>
  <c r="P28" i="41"/>
  <c r="V27" i="41"/>
  <c r="S27" i="41"/>
  <c r="P27" i="41"/>
  <c r="S26" i="41"/>
  <c r="S26" i="43" s="1"/>
  <c r="P26" i="41"/>
  <c r="P26" i="43" s="1"/>
  <c r="S25" i="41"/>
  <c r="S25" i="43" s="1"/>
  <c r="P25" i="41"/>
  <c r="P25" i="43" s="1"/>
  <c r="S24" i="41"/>
  <c r="S24" i="43" s="1"/>
  <c r="P24" i="41"/>
  <c r="P24" i="43" s="1"/>
  <c r="S23" i="41"/>
  <c r="S23" i="43" s="1"/>
  <c r="P23" i="41"/>
  <c r="P23" i="43" s="1"/>
  <c r="S22" i="41"/>
  <c r="S22" i="43" s="1"/>
  <c r="P22" i="41"/>
  <c r="P22" i="43" s="1"/>
  <c r="S21" i="41"/>
  <c r="S21" i="43" s="1"/>
  <c r="P21" i="41"/>
  <c r="P21" i="43" s="1"/>
  <c r="S15" i="41"/>
  <c r="S15" i="43" s="1"/>
  <c r="P15" i="41"/>
  <c r="P15" i="43" s="1"/>
  <c r="S13" i="41"/>
  <c r="S13" i="43" s="1"/>
  <c r="P13" i="41"/>
  <c r="P13" i="43" s="1"/>
  <c r="S10" i="41"/>
  <c r="S10" i="43" s="1"/>
  <c r="P10" i="41"/>
  <c r="P10" i="43" s="1"/>
  <c r="S8" i="41"/>
  <c r="S8" i="43" s="1"/>
  <c r="P8" i="41"/>
  <c r="P8" i="43" s="1"/>
  <c r="J40" i="41"/>
  <c r="J40" i="43" s="1"/>
  <c r="J39" i="41"/>
  <c r="J39" i="43" s="1"/>
  <c r="J38" i="41"/>
  <c r="J38" i="43" s="1"/>
  <c r="J37" i="41"/>
  <c r="J37" i="43" s="1"/>
  <c r="J36" i="41"/>
  <c r="J36" i="43" s="1"/>
  <c r="J35" i="41"/>
  <c r="J35" i="43" s="1"/>
  <c r="J32" i="41"/>
  <c r="J31" i="41"/>
  <c r="J30" i="41"/>
  <c r="J29" i="41"/>
  <c r="J28" i="41"/>
  <c r="J27" i="41"/>
  <c r="J19" i="41"/>
  <c r="J19" i="43" s="1"/>
  <c r="J18" i="41"/>
  <c r="J18" i="43" s="1"/>
  <c r="J15" i="41"/>
  <c r="J15" i="43" s="1"/>
  <c r="J13" i="41"/>
  <c r="J13" i="43" s="1"/>
  <c r="G40" i="41"/>
  <c r="G40" i="43" s="1"/>
  <c r="G39" i="41"/>
  <c r="G39" i="43" s="1"/>
  <c r="G38" i="41"/>
  <c r="G38" i="43" s="1"/>
  <c r="G37" i="41"/>
  <c r="G37" i="43" s="1"/>
  <c r="G36" i="41"/>
  <c r="G36" i="43" s="1"/>
  <c r="G35" i="41"/>
  <c r="G35" i="43" s="1"/>
  <c r="G32" i="41"/>
  <c r="G31" i="41"/>
  <c r="G30" i="41"/>
  <c r="G29" i="41"/>
  <c r="G28" i="41"/>
  <c r="G27" i="41"/>
  <c r="G19" i="41"/>
  <c r="G19" i="43" s="1"/>
  <c r="G15" i="41"/>
  <c r="G15" i="43" s="1"/>
  <c r="G13" i="41"/>
  <c r="G13" i="43" s="1"/>
  <c r="M32" i="41" l="1"/>
  <c r="M31" i="41"/>
  <c r="M30" i="41"/>
  <c r="M29" i="41"/>
  <c r="M28" i="41"/>
  <c r="M27" i="41"/>
  <c r="J26" i="41"/>
  <c r="J26" i="43" s="1"/>
  <c r="G26" i="41"/>
  <c r="G26" i="43" s="1"/>
  <c r="J25" i="41"/>
  <c r="J25" i="43" s="1"/>
  <c r="G25" i="41"/>
  <c r="G25" i="43" s="1"/>
  <c r="J24" i="41"/>
  <c r="J24" i="43" s="1"/>
  <c r="G24" i="41"/>
  <c r="G24" i="43" s="1"/>
  <c r="J23" i="41"/>
  <c r="J23" i="43" s="1"/>
  <c r="G23" i="41"/>
  <c r="G23" i="43" s="1"/>
  <c r="J22" i="41"/>
  <c r="J22" i="43" s="1"/>
  <c r="G22" i="41"/>
  <c r="G22" i="43" s="1"/>
  <c r="J21" i="41"/>
  <c r="J21" i="43" s="1"/>
  <c r="G21" i="41"/>
  <c r="G21" i="43" s="1"/>
  <c r="J10" i="41"/>
  <c r="J10" i="43" s="1"/>
  <c r="G10" i="41"/>
  <c r="G10" i="43" s="1"/>
  <c r="J8" i="41"/>
  <c r="J8" i="43" s="1"/>
  <c r="G8" i="41"/>
  <c r="G8" i="43" s="1"/>
  <c r="V40" i="41" l="1"/>
  <c r="M39" i="41"/>
  <c r="M38" i="41"/>
  <c r="Y29" i="41"/>
  <c r="M37" i="41"/>
  <c r="Y28" i="41"/>
  <c r="M36" i="41"/>
  <c r="V35" i="41"/>
  <c r="Z32" i="41"/>
  <c r="Y30" i="41"/>
  <c r="AA26" i="41"/>
  <c r="M26" i="41"/>
  <c r="Y31" i="41"/>
  <c r="M25" i="41"/>
  <c r="AA24" i="41"/>
  <c r="V24" i="41"/>
  <c r="M24" i="41"/>
  <c r="V23" i="41"/>
  <c r="M23" i="41"/>
  <c r="V22" i="41"/>
  <c r="M22" i="41"/>
  <c r="M21" i="41"/>
  <c r="V19" i="41"/>
  <c r="S20" i="41"/>
  <c r="P20" i="41"/>
  <c r="J20" i="41"/>
  <c r="J17" i="41"/>
  <c r="V15" i="41"/>
  <c r="J14" i="41"/>
  <c r="Y14" i="41"/>
  <c r="S17" i="41"/>
  <c r="V13" i="41"/>
  <c r="G14" i="41"/>
  <c r="G12" i="41"/>
  <c r="G9" i="41" s="1"/>
  <c r="S16" i="41"/>
  <c r="M8" i="41"/>
  <c r="G11" i="41" l="1"/>
  <c r="AB22" i="41"/>
  <c r="V26" i="41"/>
  <c r="AB26" i="41" s="1"/>
  <c r="P14" i="41"/>
  <c r="Y20" i="41"/>
  <c r="Y32" i="41"/>
  <c r="AA32" i="41" s="1"/>
  <c r="V36" i="41"/>
  <c r="AB36" i="41" s="1"/>
  <c r="V39" i="41"/>
  <c r="V25" i="41"/>
  <c r="AB25" i="41" s="1"/>
  <c r="V21" i="41"/>
  <c r="AB21" i="41" s="1"/>
  <c r="V17" i="41"/>
  <c r="AB24" i="41"/>
  <c r="S41" i="41"/>
  <c r="S42" i="41" s="1"/>
  <c r="V37" i="41"/>
  <c r="AB37" i="41" s="1"/>
  <c r="M40" i="41"/>
  <c r="AB40" i="41" s="1"/>
  <c r="J41" i="41"/>
  <c r="J42" i="41" s="1"/>
  <c r="Y17" i="41"/>
  <c r="Y16" i="41"/>
  <c r="M19" i="41"/>
  <c r="AB19" i="41" s="1"/>
  <c r="G20" i="41"/>
  <c r="AB23" i="41"/>
  <c r="M35" i="41"/>
  <c r="AB35" i="41" s="1"/>
  <c r="S12" i="41"/>
  <c r="S11" i="41" s="1"/>
  <c r="M15" i="41"/>
  <c r="G16" i="41"/>
  <c r="M18" i="41"/>
  <c r="Y41" i="41"/>
  <c r="Y42" i="41" s="1"/>
  <c r="Y27" i="41"/>
  <c r="G41" i="41"/>
  <c r="P41" i="41"/>
  <c r="V38" i="41"/>
  <c r="AB38" i="41" s="1"/>
  <c r="J16" i="41"/>
  <c r="M10" i="41"/>
  <c r="S14" i="41"/>
  <c r="P12" i="41"/>
  <c r="P9" i="41" s="1"/>
  <c r="V8" i="41"/>
  <c r="AB8" i="41" s="1"/>
  <c r="P16" i="41"/>
  <c r="V10" i="41"/>
  <c r="P17" i="41"/>
  <c r="AA23" i="41"/>
  <c r="Y12" i="41"/>
  <c r="Y11" i="41" s="1"/>
  <c r="G17" i="41"/>
  <c r="V18" i="41"/>
  <c r="V20" i="41" s="1"/>
  <c r="J12" i="41"/>
  <c r="J9" i="41" s="1"/>
  <c r="M13" i="41"/>
  <c r="AB28" i="41" l="1"/>
  <c r="S9" i="41"/>
  <c r="Y9" i="41"/>
  <c r="AB32" i="41"/>
  <c r="V14" i="41"/>
  <c r="AB39" i="41"/>
  <c r="AB31" i="41" s="1"/>
  <c r="AB27" i="41"/>
  <c r="M17" i="41"/>
  <c r="AB13" i="41"/>
  <c r="M14" i="41"/>
  <c r="AB10" i="41"/>
  <c r="AB12" i="41" s="1"/>
  <c r="J11" i="41"/>
  <c r="AB30" i="41"/>
  <c r="AB18" i="41"/>
  <c r="AB20" i="41" s="1"/>
  <c r="M20" i="41"/>
  <c r="AB29" i="41"/>
  <c r="M16" i="41"/>
  <c r="AB15" i="41"/>
  <c r="P11" i="41"/>
  <c r="M41" i="41"/>
  <c r="G42" i="41"/>
  <c r="V16" i="41"/>
  <c r="V41" i="41"/>
  <c r="V42" i="41" s="1"/>
  <c r="P42" i="41"/>
  <c r="M12" i="41"/>
  <c r="M9" i="41" s="1"/>
  <c r="V12" i="41"/>
  <c r="V11" i="41" s="1"/>
  <c r="AB16" i="41" l="1"/>
  <c r="AB11" i="41"/>
  <c r="M11" i="41"/>
  <c r="V9" i="41"/>
  <c r="AB9" i="41"/>
  <c r="AB17" i="41"/>
  <c r="AB14" i="41"/>
  <c r="M42" i="41"/>
  <c r="AB41" i="41"/>
  <c r="AB42" i="41" s="1"/>
  <c r="AE39" i="29" l="1"/>
  <c r="AE37" i="29"/>
  <c r="I36" i="29"/>
  <c r="N36" i="29" s="1"/>
  <c r="I25" i="29" l="1"/>
  <c r="N25" i="29" s="1"/>
  <c r="I24" i="29"/>
  <c r="N24" i="29" s="1"/>
  <c r="I16" i="29"/>
  <c r="N16" i="29" s="1"/>
  <c r="I15" i="29"/>
  <c r="N15" i="29" s="1"/>
  <c r="I13" i="29"/>
  <c r="N13" i="29" s="1"/>
  <c r="I12" i="29"/>
  <c r="N12" i="29" s="1"/>
  <c r="I10" i="29"/>
  <c r="N10" i="29" s="1"/>
  <c r="F16" i="29"/>
  <c r="K16" i="29" s="1"/>
  <c r="F15" i="29"/>
  <c r="K15" i="29" s="1"/>
  <c r="F13" i="29"/>
  <c r="K13" i="29" s="1"/>
  <c r="F12" i="29"/>
  <c r="K12" i="29" s="1"/>
  <c r="F10" i="29"/>
  <c r="K10" i="29" s="1"/>
  <c r="F25" i="29" l="1"/>
  <c r="K25" i="29" s="1"/>
  <c r="F24" i="29"/>
  <c r="K24" i="29" s="1"/>
  <c r="F36" i="29" l="1"/>
  <c r="K36" i="29" s="1"/>
  <c r="AD39" i="29" l="1"/>
  <c r="AD38" i="29"/>
  <c r="AD37" i="29"/>
  <c r="AC39" i="29"/>
  <c r="AB39" i="29"/>
  <c r="AA39" i="29"/>
  <c r="Z39" i="29"/>
  <c r="Y39" i="29"/>
  <c r="X39" i="29"/>
  <c r="W39" i="29"/>
  <c r="V39" i="29"/>
  <c r="U39" i="29"/>
  <c r="T39" i="29"/>
  <c r="S39" i="29"/>
  <c r="AC38" i="29"/>
  <c r="AB38" i="29"/>
  <c r="AA38" i="29"/>
  <c r="Z38" i="29"/>
  <c r="Y38" i="29"/>
  <c r="X38" i="29"/>
  <c r="W38" i="29"/>
  <c r="V38" i="29"/>
  <c r="U38" i="29"/>
  <c r="T38" i="29"/>
  <c r="S38" i="29"/>
  <c r="AC37" i="29" l="1"/>
  <c r="AB37" i="29" l="1"/>
  <c r="AA37" i="29" l="1"/>
  <c r="Z37" i="29" l="1"/>
  <c r="G11" i="29" l="1"/>
  <c r="V40" i="2" l="1"/>
  <c r="Q40" i="2"/>
  <c r="Q38" i="2"/>
  <c r="Q37" i="2"/>
  <c r="Q36" i="2"/>
  <c r="Q35" i="2"/>
  <c r="S40" i="2"/>
  <c r="S37" i="2"/>
  <c r="S36" i="2"/>
  <c r="S35" i="2"/>
  <c r="K41" i="2"/>
  <c r="J41" i="2"/>
  <c r="N40" i="2"/>
  <c r="N39" i="2"/>
  <c r="N37" i="2"/>
  <c r="N36" i="2"/>
  <c r="N35" i="2"/>
  <c r="N34" i="2"/>
  <c r="M38" i="2"/>
  <c r="N38" i="2" l="1"/>
  <c r="S38" i="2"/>
  <c r="M41" i="2"/>
  <c r="N41" i="2" s="1"/>
  <c r="L41" i="2"/>
  <c r="I11" i="29" l="1"/>
  <c r="J11" i="29" l="1"/>
  <c r="F11" i="29"/>
  <c r="J32" i="2"/>
  <c r="O32" i="2"/>
  <c r="T32" i="2"/>
  <c r="AF20" i="41" l="1"/>
  <c r="AF20" i="43" s="1"/>
  <c r="AF12" i="41"/>
  <c r="AF12" i="43" s="1"/>
  <c r="AF17" i="41"/>
  <c r="AF17" i="43" s="1"/>
  <c r="AF22" i="41"/>
  <c r="AF21" i="41"/>
  <c r="S33" i="1"/>
  <c r="AF13" i="41" l="1"/>
  <c r="AF18" i="41"/>
  <c r="S32" i="1"/>
  <c r="O41" i="2" l="1"/>
  <c r="T41" i="2"/>
  <c r="V29" i="1" l="1"/>
  <c r="W24" i="1" l="1"/>
  <c r="S34" i="1" l="1"/>
  <c r="G18" i="29" l="1"/>
  <c r="G19" i="29" l="1"/>
  <c r="I20" i="29"/>
  <c r="I18" i="29"/>
  <c r="I19" i="29" l="1"/>
  <c r="I21" i="29"/>
  <c r="I22" i="29"/>
  <c r="I26" i="29"/>
  <c r="I17" i="29"/>
  <c r="I14" i="29"/>
  <c r="J18" i="29"/>
  <c r="J15" i="29"/>
  <c r="J12" i="29"/>
  <c r="J10" i="29"/>
  <c r="I27" i="29" l="1"/>
  <c r="I23" i="29"/>
  <c r="F18" i="29"/>
  <c r="F20" i="29"/>
  <c r="H10" i="29"/>
  <c r="H11" i="29"/>
  <c r="F14" i="29"/>
  <c r="H12" i="29"/>
  <c r="F26" i="29"/>
  <c r="J19" i="29"/>
  <c r="H15" i="29"/>
  <c r="F17" i="29"/>
  <c r="I37" i="29" l="1"/>
  <c r="I28" i="29"/>
  <c r="F22" i="29"/>
  <c r="F19" i="29"/>
  <c r="H18" i="29"/>
  <c r="F21" i="29"/>
  <c r="H19" i="29" l="1"/>
  <c r="F23" i="29"/>
  <c r="F27" i="29"/>
  <c r="F37" i="29" l="1"/>
  <c r="F28" i="29"/>
  <c r="L39" i="2" l="1"/>
  <c r="L35" i="2"/>
  <c r="L34" i="2"/>
  <c r="N33" i="2"/>
  <c r="L33" i="2"/>
  <c r="AG27" i="2" l="1"/>
  <c r="AG25" i="2"/>
  <c r="AG23" i="2"/>
  <c r="AG20" i="2"/>
  <c r="AG18" i="2"/>
  <c r="AG17" i="2"/>
  <c r="AG15" i="2"/>
  <c r="AG13" i="2"/>
  <c r="AG11" i="2"/>
  <c r="AG9" i="2"/>
  <c r="AG16" i="2" l="1"/>
  <c r="AG21" i="2"/>
  <c r="AG8" i="2"/>
  <c r="AG10" i="2"/>
  <c r="AG12" i="2"/>
  <c r="AG14" i="2"/>
  <c r="AG19" i="2"/>
  <c r="AG22" i="2"/>
  <c r="AG24" i="2"/>
  <c r="AG26" i="2"/>
  <c r="AG7" i="2"/>
  <c r="O25" i="2" l="1"/>
  <c r="O24" i="2"/>
  <c r="O26" i="2"/>
  <c r="J26" i="2"/>
  <c r="T25" i="2"/>
  <c r="J25" i="2"/>
  <c r="T24" i="2"/>
  <c r="T26" i="2"/>
  <c r="J24" i="2"/>
  <c r="T27" i="2" l="1"/>
  <c r="J27" i="2"/>
  <c r="O27" i="2"/>
  <c r="E21" i="1" l="1"/>
  <c r="E32" i="1" l="1"/>
  <c r="AB17" i="1" s="1"/>
  <c r="E23" i="1"/>
  <c r="O43" i="2" l="1"/>
  <c r="O47" i="2" l="1"/>
  <c r="J47" i="2"/>
  <c r="E14" i="1"/>
  <c r="E22" i="1" l="1"/>
  <c r="E33" i="1" l="1"/>
  <c r="AB18" i="1" s="1"/>
  <c r="S36" i="1"/>
  <c r="S35" i="1" s="1"/>
  <c r="E34" i="1" l="1"/>
  <c r="AB19" i="1" s="1"/>
  <c r="E29" i="1"/>
  <c r="E19" i="1" l="1"/>
  <c r="E20" i="1"/>
  <c r="T43" i="2" l="1"/>
  <c r="T44" i="2" s="1"/>
  <c r="E30" i="1"/>
  <c r="AB15" i="1" s="1"/>
  <c r="AB20" i="1" s="1"/>
  <c r="E24" i="1"/>
  <c r="E35" i="1" l="1"/>
  <c r="E31" i="1"/>
  <c r="AB16" i="1" s="1"/>
  <c r="E40" i="1" l="1"/>
  <c r="E36" i="1"/>
  <c r="AB21" i="1" s="1"/>
  <c r="E39" i="1"/>
  <c r="T47" i="2"/>
  <c r="V12" i="1" l="1"/>
  <c r="W23" i="1" l="1"/>
  <c r="R15" i="34" l="1"/>
  <c r="U15" i="34" l="1"/>
  <c r="AF10" i="2"/>
  <c r="R26" i="34" l="1"/>
  <c r="R20" i="34"/>
  <c r="R13" i="34"/>
  <c r="R22" i="34"/>
  <c r="R14" i="34"/>
  <c r="R18" i="34"/>
  <c r="R28" i="34"/>
  <c r="R25" i="34"/>
  <c r="R17" i="34"/>
  <c r="R27" i="34"/>
  <c r="R16" i="34"/>
  <c r="R19" i="34"/>
  <c r="R24" i="34"/>
  <c r="R23" i="34"/>
  <c r="R21" i="34"/>
  <c r="R11" i="34" l="1"/>
  <c r="R9" i="34" l="1"/>
  <c r="R12" i="34" l="1"/>
  <c r="R10" i="34" l="1"/>
  <c r="R8" i="34" l="1"/>
  <c r="W11" i="1" l="1"/>
  <c r="T12" i="1"/>
  <c r="W9" i="1"/>
  <c r="W10" i="1"/>
  <c r="W12" i="1" l="1"/>
  <c r="AF8" i="2" l="1"/>
  <c r="AF16" i="2" l="1"/>
  <c r="AF15" i="2"/>
  <c r="W16" i="1"/>
  <c r="AF13" i="2"/>
  <c r="AF17" i="2"/>
  <c r="W13" i="1"/>
  <c r="AF20" i="2"/>
  <c r="U13" i="34"/>
  <c r="AF9" i="2"/>
  <c r="AF21" i="2"/>
  <c r="AF18" i="2"/>
  <c r="W14" i="1"/>
  <c r="AF14" i="2"/>
  <c r="AF7" i="2"/>
  <c r="AF19" i="2"/>
  <c r="AF11" i="2"/>
  <c r="AF23" i="2"/>
  <c r="AF22" i="2"/>
  <c r="W15" i="1"/>
  <c r="AF12" i="2"/>
  <c r="U28" i="34" l="1"/>
  <c r="U12" i="34"/>
  <c r="AF25" i="2"/>
  <c r="U25" i="34"/>
  <c r="U21" i="34"/>
  <c r="U16" i="34"/>
  <c r="U23" i="34"/>
  <c r="U26" i="34"/>
  <c r="U14" i="34"/>
  <c r="U22" i="34"/>
  <c r="U18" i="34"/>
  <c r="U27" i="34"/>
  <c r="U24" i="34"/>
  <c r="U19" i="34"/>
  <c r="U20" i="34"/>
  <c r="AF27" i="2"/>
  <c r="AF24" i="2"/>
  <c r="AF26" i="2"/>
  <c r="U17" i="34"/>
  <c r="W19" i="1" l="1"/>
  <c r="U11" i="34"/>
  <c r="W18" i="1"/>
  <c r="W17" i="1"/>
  <c r="U9" i="34"/>
  <c r="U8" i="34"/>
  <c r="U10" i="34"/>
  <c r="W20" i="1" l="1"/>
  <c r="V15" i="36" l="1"/>
  <c r="S15" i="36"/>
  <c r="P15" i="36"/>
  <c r="M15" i="36"/>
  <c r="J15" i="36"/>
  <c r="G15" i="36"/>
  <c r="G15" i="37" l="1"/>
  <c r="V15" i="37"/>
  <c r="P15" i="34"/>
  <c r="S15" i="37"/>
  <c r="P15" i="37"/>
  <c r="J15" i="33"/>
  <c r="V15" i="33"/>
  <c r="M15" i="34" l="1"/>
  <c r="N15" i="33"/>
  <c r="G15" i="34"/>
  <c r="J15" i="37"/>
  <c r="G15" i="33"/>
  <c r="M15" i="37" l="1"/>
  <c r="Q15" i="34" l="1"/>
  <c r="J15" i="34"/>
  <c r="AE10" i="2"/>
  <c r="R15" i="33"/>
  <c r="T15" i="34" l="1"/>
  <c r="V15" i="34" s="1"/>
  <c r="S15" i="34"/>
  <c r="Y15" i="33" l="1"/>
  <c r="Z15" i="33" s="1"/>
  <c r="S28" i="36" l="1"/>
  <c r="P28" i="36"/>
  <c r="M28" i="36"/>
  <c r="J28" i="36"/>
  <c r="G28" i="36"/>
  <c r="J25" i="36"/>
  <c r="J26" i="36"/>
  <c r="J27" i="36"/>
  <c r="J23" i="36"/>
  <c r="J22" i="36"/>
  <c r="J21" i="36"/>
  <c r="J20" i="36"/>
  <c r="M18" i="36"/>
  <c r="J14" i="36"/>
  <c r="J13" i="36"/>
  <c r="P25" i="34" l="1"/>
  <c r="P22" i="34"/>
  <c r="M16" i="36"/>
  <c r="J24" i="36"/>
  <c r="S19" i="36"/>
  <c r="V28" i="36"/>
  <c r="G17" i="36"/>
  <c r="P18" i="36"/>
  <c r="G25" i="36"/>
  <c r="J17" i="36"/>
  <c r="G18" i="36"/>
  <c r="S18" i="36"/>
  <c r="G24" i="36"/>
  <c r="S14" i="36"/>
  <c r="G20" i="36"/>
  <c r="V22" i="36"/>
  <c r="M27" i="36"/>
  <c r="S25" i="36"/>
  <c r="V13" i="36"/>
  <c r="V19" i="36"/>
  <c r="S22" i="36"/>
  <c r="V18" i="36"/>
  <c r="G23" i="36"/>
  <c r="P23" i="36"/>
  <c r="G19" i="36"/>
  <c r="P20" i="36"/>
  <c r="J16" i="36"/>
  <c r="S20" i="36"/>
  <c r="P16" i="36"/>
  <c r="J19" i="36"/>
  <c r="G21" i="36"/>
  <c r="P13" i="36"/>
  <c r="G14" i="36"/>
  <c r="G22" i="36"/>
  <c r="M22" i="36"/>
  <c r="M26" i="36"/>
  <c r="P25" i="36"/>
  <c r="V27" i="36"/>
  <c r="P24" i="36"/>
  <c r="G16" i="36"/>
  <c r="V21" i="36"/>
  <c r="M17" i="36"/>
  <c r="M20" i="36"/>
  <c r="S16" i="36"/>
  <c r="S21" i="36"/>
  <c r="V20" i="36"/>
  <c r="M23" i="36"/>
  <c r="M25" i="36"/>
  <c r="V26" i="36"/>
  <c r="S26" i="36"/>
  <c r="G26" i="36"/>
  <c r="P26" i="36"/>
  <c r="S27" i="36"/>
  <c r="P27" i="36"/>
  <c r="M24" i="36"/>
  <c r="V24" i="36"/>
  <c r="S23" i="36"/>
  <c r="V23" i="36"/>
  <c r="P22" i="36"/>
  <c r="M21" i="36"/>
  <c r="P21" i="36"/>
  <c r="P19" i="36"/>
  <c r="M19" i="36"/>
  <c r="J18" i="36"/>
  <c r="V17" i="36"/>
  <c r="S17" i="36"/>
  <c r="P17" i="36"/>
  <c r="M14" i="36"/>
  <c r="P14" i="36"/>
  <c r="V14" i="36"/>
  <c r="M13" i="36"/>
  <c r="S13" i="36"/>
  <c r="J28" i="33"/>
  <c r="V25" i="37"/>
  <c r="P25" i="37"/>
  <c r="S25" i="37"/>
  <c r="V25" i="36"/>
  <c r="G25" i="37"/>
  <c r="G27" i="36"/>
  <c r="J27" i="33"/>
  <c r="S24" i="36"/>
  <c r="J23" i="33"/>
  <c r="S22" i="37"/>
  <c r="P22" i="37"/>
  <c r="G22" i="37"/>
  <c r="V22" i="37"/>
  <c r="J19" i="33"/>
  <c r="J17" i="33"/>
  <c r="V16" i="36"/>
  <c r="J14" i="33"/>
  <c r="J13" i="33"/>
  <c r="G13" i="36"/>
  <c r="M25" i="34" l="1"/>
  <c r="M22" i="34"/>
  <c r="S21" i="37"/>
  <c r="P21" i="34"/>
  <c r="P24" i="34"/>
  <c r="P17" i="34"/>
  <c r="P20" i="34"/>
  <c r="P26" i="37"/>
  <c r="P26" i="34"/>
  <c r="P27" i="34"/>
  <c r="P16" i="34"/>
  <c r="P13" i="34"/>
  <c r="P18" i="34"/>
  <c r="P23" i="34"/>
  <c r="P14" i="34"/>
  <c r="P19" i="34"/>
  <c r="P28" i="34"/>
  <c r="V22" i="33"/>
  <c r="V23" i="33"/>
  <c r="V17" i="33"/>
  <c r="V28" i="33"/>
  <c r="V14" i="33"/>
  <c r="V24" i="33"/>
  <c r="V26" i="33"/>
  <c r="V19" i="33"/>
  <c r="V13" i="33"/>
  <c r="V16" i="33"/>
  <c r="V21" i="33"/>
  <c r="V27" i="33"/>
  <c r="V25" i="33"/>
  <c r="V18" i="33"/>
  <c r="J11" i="36"/>
  <c r="J26" i="33"/>
  <c r="P11" i="36"/>
  <c r="G24" i="37"/>
  <c r="P24" i="37"/>
  <c r="V24" i="37"/>
  <c r="S24" i="37"/>
  <c r="G11" i="36"/>
  <c r="V11" i="36"/>
  <c r="M10" i="36"/>
  <c r="G10" i="36"/>
  <c r="M11" i="36"/>
  <c r="S10" i="36"/>
  <c r="V16" i="37"/>
  <c r="S16" i="37"/>
  <c r="J10" i="36"/>
  <c r="P16" i="37"/>
  <c r="G16" i="37"/>
  <c r="V10" i="36"/>
  <c r="S11" i="36"/>
  <c r="P10" i="36"/>
  <c r="P14" i="37"/>
  <c r="G27" i="37"/>
  <c r="G21" i="37"/>
  <c r="P21" i="37"/>
  <c r="P28" i="37"/>
  <c r="V28" i="37"/>
  <c r="G28" i="37"/>
  <c r="S28" i="37"/>
  <c r="S23" i="37"/>
  <c r="S27" i="37"/>
  <c r="G23" i="37"/>
  <c r="P23" i="37"/>
  <c r="P27" i="37"/>
  <c r="V27" i="37"/>
  <c r="V23" i="37"/>
  <c r="S14" i="37"/>
  <c r="V14" i="37"/>
  <c r="G19" i="37"/>
  <c r="P19" i="37"/>
  <c r="G14" i="37"/>
  <c r="V19" i="37"/>
  <c r="S19" i="37"/>
  <c r="V26" i="37"/>
  <c r="S26" i="37"/>
  <c r="G26" i="37"/>
  <c r="V21" i="37"/>
  <c r="S17" i="37"/>
  <c r="V17" i="37"/>
  <c r="G17" i="37"/>
  <c r="P17" i="37"/>
  <c r="J25" i="37"/>
  <c r="J25" i="33"/>
  <c r="J24" i="33"/>
  <c r="J22" i="33"/>
  <c r="J22" i="37"/>
  <c r="J21" i="33"/>
  <c r="J20" i="33"/>
  <c r="V20" i="37"/>
  <c r="G20" i="37"/>
  <c r="P20" i="37"/>
  <c r="S20" i="37"/>
  <c r="V18" i="37"/>
  <c r="P18" i="37"/>
  <c r="G18" i="37"/>
  <c r="S18" i="37"/>
  <c r="J18" i="33"/>
  <c r="J16" i="33"/>
  <c r="S13" i="37"/>
  <c r="V13" i="37"/>
  <c r="G13" i="37"/>
  <c r="P13" i="37"/>
  <c r="G14" i="34" l="1"/>
  <c r="N14" i="33"/>
  <c r="G27" i="34"/>
  <c r="N27" i="33"/>
  <c r="M14" i="34"/>
  <c r="M23" i="34"/>
  <c r="M20" i="34"/>
  <c r="M25" i="37"/>
  <c r="N17" i="33"/>
  <c r="G17" i="34"/>
  <c r="G28" i="34"/>
  <c r="N28" i="33"/>
  <c r="M28" i="34"/>
  <c r="M19" i="34"/>
  <c r="M16" i="34"/>
  <c r="M26" i="34"/>
  <c r="M17" i="34"/>
  <c r="M24" i="34"/>
  <c r="M22" i="37"/>
  <c r="N19" i="33"/>
  <c r="G19" i="34"/>
  <c r="M27" i="34"/>
  <c r="M21" i="34"/>
  <c r="N13" i="33"/>
  <c r="G13" i="34"/>
  <c r="N23" i="33"/>
  <c r="G23" i="34"/>
  <c r="M18" i="34"/>
  <c r="M13" i="34"/>
  <c r="G18" i="33"/>
  <c r="G19" i="33"/>
  <c r="G17" i="33"/>
  <c r="G25" i="33"/>
  <c r="G26" i="33"/>
  <c r="G21" i="33"/>
  <c r="G28" i="33"/>
  <c r="P11" i="34"/>
  <c r="P10" i="34"/>
  <c r="V20" i="33"/>
  <c r="J24" i="37"/>
  <c r="J16" i="37"/>
  <c r="P10" i="37"/>
  <c r="V10" i="37"/>
  <c r="G10" i="37"/>
  <c r="S10" i="37"/>
  <c r="U15" i="1"/>
  <c r="U14" i="1"/>
  <c r="S11" i="37"/>
  <c r="V11" i="37"/>
  <c r="G11" i="37"/>
  <c r="P11" i="37"/>
  <c r="J19" i="37"/>
  <c r="J23" i="37"/>
  <c r="J28" i="37"/>
  <c r="J27" i="37"/>
  <c r="J17" i="37"/>
  <c r="J14" i="37"/>
  <c r="J26" i="37"/>
  <c r="G24" i="33"/>
  <c r="J21" i="37"/>
  <c r="J20" i="37"/>
  <c r="J18" i="37"/>
  <c r="J13" i="37"/>
  <c r="N18" i="33" l="1"/>
  <c r="Q25" i="34"/>
  <c r="S25" i="34" s="1"/>
  <c r="J25" i="34"/>
  <c r="M21" i="37"/>
  <c r="M19" i="37"/>
  <c r="M27" i="37"/>
  <c r="N24" i="33"/>
  <c r="N20" i="33"/>
  <c r="N22" i="33"/>
  <c r="M24" i="37"/>
  <c r="M14" i="37"/>
  <c r="J11" i="33"/>
  <c r="U11" i="1"/>
  <c r="J10" i="33"/>
  <c r="U10" i="1"/>
  <c r="N26" i="33"/>
  <c r="Q22" i="34"/>
  <c r="S22" i="34" s="1"/>
  <c r="J22" i="34"/>
  <c r="M16" i="37"/>
  <c r="M20" i="37"/>
  <c r="M26" i="37"/>
  <c r="N16" i="33"/>
  <c r="N25" i="33"/>
  <c r="N21" i="33"/>
  <c r="M10" i="34"/>
  <c r="M11" i="34"/>
  <c r="M23" i="37"/>
  <c r="M17" i="37"/>
  <c r="M18" i="37"/>
  <c r="M28" i="37"/>
  <c r="M13" i="37"/>
  <c r="G14" i="33"/>
  <c r="G13" i="33"/>
  <c r="G22" i="33"/>
  <c r="G23" i="33"/>
  <c r="G27" i="33"/>
  <c r="V11" i="33"/>
  <c r="V10" i="33"/>
  <c r="G16" i="33"/>
  <c r="J11" i="37"/>
  <c r="J10" i="37"/>
  <c r="N10" i="33" l="1"/>
  <c r="Q26" i="34"/>
  <c r="S26" i="34" s="1"/>
  <c r="J26" i="34"/>
  <c r="Q28" i="34"/>
  <c r="J28" i="34"/>
  <c r="Q23" i="34"/>
  <c r="J23" i="34"/>
  <c r="M11" i="37"/>
  <c r="N11" i="33"/>
  <c r="G11" i="34"/>
  <c r="Q14" i="34"/>
  <c r="J14" i="34"/>
  <c r="Q16" i="34"/>
  <c r="S16" i="34" s="1"/>
  <c r="J16" i="34"/>
  <c r="Q27" i="34"/>
  <c r="J27" i="34"/>
  <c r="T26" i="34"/>
  <c r="V26" i="34" s="1"/>
  <c r="G26" i="34"/>
  <c r="M10" i="37"/>
  <c r="Q17" i="34"/>
  <c r="J17" i="34"/>
  <c r="Q18" i="34"/>
  <c r="S18" i="34" s="1"/>
  <c r="J18" i="34"/>
  <c r="Q21" i="34"/>
  <c r="S21" i="34" s="1"/>
  <c r="J21" i="34"/>
  <c r="Q24" i="34"/>
  <c r="S24" i="34" s="1"/>
  <c r="J24" i="34"/>
  <c r="T25" i="34"/>
  <c r="V25" i="34" s="1"/>
  <c r="G25" i="34"/>
  <c r="T22" i="34"/>
  <c r="V22" i="34" s="1"/>
  <c r="G22" i="34"/>
  <c r="Q13" i="34"/>
  <c r="J13" i="34"/>
  <c r="Q19" i="34"/>
  <c r="J19" i="34"/>
  <c r="Q20" i="34"/>
  <c r="S20" i="34" s="1"/>
  <c r="J20" i="34"/>
  <c r="T21" i="34"/>
  <c r="V21" i="34" s="1"/>
  <c r="G21" i="34"/>
  <c r="AE20" i="2"/>
  <c r="G16" i="34"/>
  <c r="AE17" i="2"/>
  <c r="G20" i="34"/>
  <c r="G24" i="34"/>
  <c r="G18" i="34"/>
  <c r="G20" i="33"/>
  <c r="AE14" i="2"/>
  <c r="AE18" i="2"/>
  <c r="G11" i="33"/>
  <c r="AE9" i="2"/>
  <c r="AE19" i="2"/>
  <c r="AE11" i="2"/>
  <c r="AE23" i="2"/>
  <c r="AE22" i="2"/>
  <c r="AE16" i="2"/>
  <c r="AE21" i="2"/>
  <c r="AE12" i="2"/>
  <c r="R25" i="33"/>
  <c r="R22" i="33"/>
  <c r="T20" i="34" l="1"/>
  <c r="V20" i="34" s="1"/>
  <c r="T24" i="34"/>
  <c r="V24" i="34" s="1"/>
  <c r="T16" i="34"/>
  <c r="V16" i="34" s="1"/>
  <c r="T18" i="34"/>
  <c r="V18" i="34" s="1"/>
  <c r="T19" i="34"/>
  <c r="V19" i="34" s="1"/>
  <c r="S19" i="34"/>
  <c r="T17" i="34"/>
  <c r="V17" i="34" s="1"/>
  <c r="S17" i="34"/>
  <c r="T28" i="34"/>
  <c r="V28" i="34" s="1"/>
  <c r="S28" i="34"/>
  <c r="Q10" i="34"/>
  <c r="S10" i="34" s="1"/>
  <c r="J10" i="34"/>
  <c r="G10" i="34"/>
  <c r="T13" i="34"/>
  <c r="V13" i="34" s="1"/>
  <c r="S13" i="34"/>
  <c r="T23" i="34"/>
  <c r="V23" i="34" s="1"/>
  <c r="S23" i="34"/>
  <c r="Q11" i="34"/>
  <c r="J11" i="34"/>
  <c r="T27" i="34"/>
  <c r="V27" i="34" s="1"/>
  <c r="S27" i="34"/>
  <c r="T14" i="34"/>
  <c r="V14" i="34" s="1"/>
  <c r="S14" i="34"/>
  <c r="G10" i="33"/>
  <c r="R24" i="33"/>
  <c r="R21" i="33"/>
  <c r="R26" i="33"/>
  <c r="R19" i="33"/>
  <c r="R16" i="33"/>
  <c r="R27" i="33"/>
  <c r="R23" i="33"/>
  <c r="R14" i="33"/>
  <c r="AE26" i="2"/>
  <c r="AE25" i="2"/>
  <c r="R17" i="33"/>
  <c r="R28" i="33"/>
  <c r="R20" i="33"/>
  <c r="AE15" i="2"/>
  <c r="AE13" i="2"/>
  <c r="R18" i="33"/>
  <c r="AE8" i="2"/>
  <c r="R13" i="33"/>
  <c r="T10" i="34" l="1"/>
  <c r="V10" i="34" s="1"/>
  <c r="T11" i="34"/>
  <c r="V11" i="34" s="1"/>
  <c r="S11" i="34"/>
  <c r="U19" i="1"/>
  <c r="U18" i="1"/>
  <c r="R11" i="33"/>
  <c r="R10" i="33"/>
  <c r="V12" i="33" l="1"/>
  <c r="J9" i="36" l="1"/>
  <c r="M9" i="36"/>
  <c r="V9" i="36"/>
  <c r="V9" i="33"/>
  <c r="V8" i="33"/>
  <c r="P9" i="36"/>
  <c r="G9" i="36"/>
  <c r="S9" i="36"/>
  <c r="M8" i="36"/>
  <c r="V8" i="36"/>
  <c r="P8" i="36"/>
  <c r="G8" i="36"/>
  <c r="S8" i="36"/>
  <c r="J8" i="36"/>
  <c r="G12" i="34" l="1"/>
  <c r="N12" i="33"/>
  <c r="P8" i="34"/>
  <c r="P9" i="34"/>
  <c r="U13" i="1"/>
  <c r="J8" i="33"/>
  <c r="S9" i="37"/>
  <c r="P9" i="37"/>
  <c r="G9" i="37"/>
  <c r="V9" i="37"/>
  <c r="U16" i="1"/>
  <c r="V8" i="37"/>
  <c r="G8" i="37"/>
  <c r="S8" i="37"/>
  <c r="P8" i="37"/>
  <c r="M8" i="34" l="1"/>
  <c r="J9" i="33"/>
  <c r="M9" i="34"/>
  <c r="J8" i="37"/>
  <c r="J9" i="37"/>
  <c r="N9" i="33" l="1"/>
  <c r="M9" i="37"/>
  <c r="N8" i="33"/>
  <c r="S12" i="1"/>
  <c r="U12" i="1" s="1"/>
  <c r="U9" i="1"/>
  <c r="M8" i="37"/>
  <c r="G9" i="34" l="1"/>
  <c r="Q8" i="34"/>
  <c r="S8" i="34" s="1"/>
  <c r="J8" i="34"/>
  <c r="J9" i="34"/>
  <c r="Q9" i="34"/>
  <c r="S9" i="34" s="1"/>
  <c r="G8" i="34"/>
  <c r="T8" i="34" l="1"/>
  <c r="V8" i="34" s="1"/>
  <c r="T9" i="34"/>
  <c r="V9" i="34" s="1"/>
  <c r="AE27" i="2"/>
  <c r="AE24" i="2"/>
  <c r="U17" i="1" l="1"/>
  <c r="U20" i="1"/>
  <c r="V12" i="36" l="1"/>
  <c r="S12" i="36"/>
  <c r="P12" i="36"/>
  <c r="M12" i="36"/>
  <c r="J12" i="36"/>
  <c r="G12" i="36"/>
  <c r="J12" i="33"/>
  <c r="G8" i="33" l="1"/>
  <c r="G9" i="33"/>
  <c r="P12" i="37"/>
  <c r="S12" i="37"/>
  <c r="V12" i="37"/>
  <c r="P12" i="34"/>
  <c r="G12" i="37"/>
  <c r="M12" i="34" l="1"/>
  <c r="J12" i="37"/>
  <c r="M12" i="37" l="1"/>
  <c r="Q12" i="34" l="1"/>
  <c r="J12" i="34"/>
  <c r="R12" i="33"/>
  <c r="AE7" i="2"/>
  <c r="T12" i="34" l="1"/>
  <c r="V12" i="34" s="1"/>
  <c r="S12" i="34"/>
  <c r="R8" i="33"/>
  <c r="R9" i="33"/>
  <c r="G12" i="33" l="1"/>
  <c r="Y26" i="33" l="1"/>
  <c r="Z26" i="33" s="1"/>
  <c r="Y28" i="33"/>
  <c r="Z28" i="33" s="1"/>
  <c r="Y25" i="33"/>
  <c r="Z25" i="33" s="1"/>
  <c r="Y14" i="33"/>
  <c r="Z14" i="33" s="1"/>
  <c r="Y24" i="33"/>
  <c r="Z24" i="33" s="1"/>
  <c r="Y27" i="33"/>
  <c r="Z27" i="33" s="1"/>
  <c r="Y12" i="33"/>
  <c r="Z12" i="33" s="1"/>
  <c r="Y13" i="33"/>
  <c r="Z13" i="33" s="1"/>
  <c r="Y9" i="33" l="1"/>
  <c r="Z9" i="33" s="1"/>
  <c r="Y11" i="33" l="1"/>
  <c r="Z11" i="33" s="1"/>
  <c r="Y19" i="33" l="1"/>
  <c r="Z19" i="33" s="1"/>
  <c r="Y22" i="33"/>
  <c r="Z22" i="33" s="1"/>
  <c r="Y16" i="33"/>
  <c r="Z16" i="33" s="1"/>
  <c r="Y21" i="33"/>
  <c r="Z21" i="33" s="1"/>
  <c r="Y20" i="33"/>
  <c r="Z20" i="33" s="1"/>
  <c r="Y23" i="33"/>
  <c r="Z23" i="33" s="1"/>
  <c r="Y17" i="33"/>
  <c r="Z17" i="33" s="1"/>
  <c r="Y18" i="33"/>
  <c r="Z18" i="33" s="1"/>
  <c r="Y8" i="33" l="1"/>
  <c r="Z8" i="33" s="1"/>
  <c r="Y10" i="33"/>
  <c r="Z10" i="33" s="1"/>
  <c r="L18" i="29" l="1"/>
  <c r="L19" i="29" s="1"/>
  <c r="L11" i="29"/>
  <c r="R26" i="2" l="1"/>
  <c r="W26" i="2" l="1"/>
  <c r="V34" i="1" l="1"/>
  <c r="R24" i="2" l="1"/>
  <c r="R25" i="2"/>
  <c r="R32" i="2"/>
  <c r="R27" i="2" l="1"/>
  <c r="H14" i="1" l="1"/>
  <c r="R41" i="2"/>
  <c r="R43" i="2" l="1"/>
  <c r="R47" i="2" l="1"/>
  <c r="H21" i="1" l="1"/>
  <c r="H20" i="1" l="1"/>
  <c r="H22" i="1"/>
  <c r="H23" i="1" l="1"/>
  <c r="H19" i="1"/>
  <c r="H24" i="1" l="1"/>
  <c r="W24" i="2" l="1"/>
  <c r="W25" i="2" l="1"/>
  <c r="W27" i="2" l="1"/>
  <c r="V32" i="1" l="1"/>
  <c r="V33" i="1" l="1"/>
  <c r="H33" i="1" l="1"/>
  <c r="AE18" i="1" s="1"/>
  <c r="W32" i="2" l="1"/>
  <c r="H32" i="1" l="1"/>
  <c r="AE17" i="1" s="1"/>
  <c r="H30" i="1" l="1"/>
  <c r="AE15" i="1" s="1"/>
  <c r="H31" i="1" l="1"/>
  <c r="AE16" i="1" s="1"/>
  <c r="H34" i="1" l="1"/>
  <c r="AE19" i="1" s="1"/>
  <c r="AE20" i="1" s="1"/>
  <c r="H29" i="1"/>
  <c r="H35" i="1" l="1"/>
  <c r="H36" i="1" l="1"/>
  <c r="AE21" i="1" s="1"/>
  <c r="W41" i="2" l="1"/>
  <c r="H40" i="1"/>
  <c r="H39" i="1"/>
  <c r="V36" i="1" l="1"/>
  <c r="W43" i="2"/>
  <c r="W47" i="2" l="1"/>
  <c r="V35" i="1"/>
  <c r="Z29" i="41" l="1"/>
  <c r="AA29" i="41" s="1"/>
  <c r="Z30" i="41"/>
  <c r="AA30" i="41" s="1"/>
  <c r="AA25" i="41"/>
  <c r="Z31" i="41"/>
  <c r="AA31" i="41" s="1"/>
  <c r="AA18" i="41" l="1"/>
  <c r="AA22" i="41" l="1"/>
  <c r="Z28" i="41"/>
  <c r="AA28" i="41" s="1"/>
  <c r="AA21" i="41" l="1"/>
  <c r="Z27" i="41"/>
  <c r="AA27" i="41" s="1"/>
  <c r="Z41" i="41"/>
  <c r="AA15" i="41" l="1"/>
  <c r="Z14" i="41"/>
  <c r="AA14" i="41" s="1"/>
  <c r="Z42" i="41"/>
  <c r="AA13" i="41"/>
  <c r="Z17" i="41"/>
  <c r="AA17" i="41" s="1"/>
  <c r="Z12" i="41"/>
  <c r="AA8" i="41"/>
  <c r="Z9" i="41" l="1"/>
  <c r="AA9" i="41" s="1"/>
  <c r="AA12" i="41"/>
  <c r="AA10" i="41"/>
  <c r="Z11" i="41"/>
  <c r="AA11" i="41" s="1"/>
  <c r="Z16" i="41"/>
  <c r="AA16" i="41" s="1"/>
  <c r="Z20" i="41" l="1"/>
  <c r="AA20" i="41" s="1"/>
  <c r="AA19" i="41"/>
  <c r="M26" i="2" l="1"/>
  <c r="M24" i="2" l="1"/>
  <c r="M25" i="2"/>
  <c r="M32" i="2"/>
  <c r="M27" i="2" l="1"/>
  <c r="M47" i="2"/>
  <c r="W35" i="41" l="1"/>
  <c r="R35" i="41"/>
  <c r="Q41" i="41"/>
  <c r="R36" i="41"/>
  <c r="W36" i="41"/>
  <c r="W37" i="41"/>
  <c r="R37" i="41"/>
  <c r="R38" i="41"/>
  <c r="W38" i="41"/>
  <c r="W39" i="41"/>
  <c r="R39" i="41"/>
  <c r="R40" i="41"/>
  <c r="W40" i="41"/>
  <c r="U35" i="41"/>
  <c r="T41" i="41"/>
  <c r="U36" i="41"/>
  <c r="U37" i="41"/>
  <c r="U38" i="41"/>
  <c r="U39" i="41"/>
  <c r="U40" i="41"/>
  <c r="W39" i="43" l="1"/>
  <c r="X37" i="41"/>
  <c r="X38" i="41"/>
  <c r="W36" i="43"/>
  <c r="X39" i="41"/>
  <c r="W38" i="43"/>
  <c r="W37" i="43"/>
  <c r="U41" i="41"/>
  <c r="X36" i="41"/>
  <c r="X40" i="41"/>
  <c r="W41" i="41"/>
  <c r="R41" i="41"/>
  <c r="T41" i="43"/>
  <c r="W40" i="43"/>
  <c r="X35" i="41"/>
  <c r="Q41" i="43"/>
  <c r="W35" i="43"/>
  <c r="W41" i="43" l="1"/>
  <c r="X41" i="41"/>
  <c r="L35" i="41" l="1"/>
  <c r="K41" i="41"/>
  <c r="N35" i="41"/>
  <c r="H41" i="41"/>
  <c r="I35" i="41"/>
  <c r="L36" i="41"/>
  <c r="N36" i="41"/>
  <c r="I36" i="41"/>
  <c r="L37" i="41"/>
  <c r="I37" i="41"/>
  <c r="N37" i="41"/>
  <c r="L38" i="41"/>
  <c r="I38" i="41"/>
  <c r="N38" i="41"/>
  <c r="L39" i="41"/>
  <c r="N39" i="41"/>
  <c r="I39" i="41"/>
  <c r="L40" i="41"/>
  <c r="N40" i="41"/>
  <c r="I40" i="41"/>
  <c r="N39" i="43" l="1"/>
  <c r="O36" i="41"/>
  <c r="AC36" i="41"/>
  <c r="N36" i="43"/>
  <c r="N38" i="43"/>
  <c r="N41" i="41"/>
  <c r="I41" i="41"/>
  <c r="O35" i="41"/>
  <c r="AC35" i="41"/>
  <c r="O38" i="41"/>
  <c r="AC38" i="41"/>
  <c r="N35" i="43"/>
  <c r="H41" i="43"/>
  <c r="L41" i="41"/>
  <c r="N37" i="43"/>
  <c r="O40" i="41"/>
  <c r="AC40" i="41"/>
  <c r="O37" i="41"/>
  <c r="AC37" i="41"/>
  <c r="O39" i="41"/>
  <c r="AC39" i="41"/>
  <c r="N40" i="43"/>
  <c r="K41" i="43"/>
  <c r="N41" i="43" l="1"/>
  <c r="AC36" i="43"/>
  <c r="AC37" i="43"/>
  <c r="AD36" i="41"/>
  <c r="AC40" i="43"/>
  <c r="AD38" i="41"/>
  <c r="O41" i="41"/>
  <c r="AC41" i="41"/>
  <c r="AC35" i="43"/>
  <c r="AC38" i="43"/>
  <c r="AD39" i="41"/>
  <c r="AD37" i="41"/>
  <c r="AD35" i="41"/>
  <c r="AD40" i="41"/>
  <c r="AC39" i="43"/>
  <c r="AC41" i="43" l="1"/>
  <c r="AD41" i="41"/>
  <c r="T41" i="42" l="1"/>
  <c r="T26" i="42"/>
  <c r="O41" i="42"/>
  <c r="T24" i="42"/>
  <c r="J25" i="42"/>
  <c r="J24" i="42"/>
  <c r="J26" i="42"/>
  <c r="T32" i="42"/>
  <c r="T25" i="42" l="1"/>
  <c r="T27" i="42" s="1"/>
  <c r="T43" i="42" s="1"/>
  <c r="O26" i="42"/>
  <c r="J27" i="42"/>
  <c r="J47" i="42" s="1"/>
  <c r="O32" i="42"/>
  <c r="J32" i="42"/>
  <c r="O25" i="42"/>
  <c r="O24" i="42"/>
  <c r="O27" i="42" l="1"/>
  <c r="O43" i="42" s="1"/>
  <c r="O47" i="42" s="1"/>
  <c r="T47" i="42"/>
  <c r="T44" i="42" l="1"/>
  <c r="AG8" i="1" l="1"/>
  <c r="AG11" i="1" l="1"/>
  <c r="J21" i="1" l="1"/>
  <c r="AG9" i="1"/>
  <c r="AG12" i="1" l="1"/>
  <c r="J32" i="1"/>
  <c r="AG17" i="1" s="1"/>
  <c r="J22" i="1" l="1"/>
  <c r="J33" i="1" l="1"/>
  <c r="AG18" i="1" s="1"/>
  <c r="AG10" i="1" l="1"/>
  <c r="AG7" i="1"/>
  <c r="J29" i="1" l="1"/>
  <c r="AG13" i="1" l="1"/>
  <c r="AG14" i="1" s="1"/>
  <c r="J14" i="1"/>
  <c r="J20" i="1"/>
  <c r="J30" i="1" s="1"/>
  <c r="AG15" i="1" l="1"/>
  <c r="J31" i="1"/>
  <c r="AG16" i="1" s="1"/>
  <c r="J23" i="1" l="1"/>
  <c r="J19" i="1"/>
  <c r="J24" i="1" l="1"/>
  <c r="J34" i="1"/>
  <c r="AG19" i="1" l="1"/>
  <c r="AG20" i="1" s="1"/>
  <c r="J35" i="1"/>
  <c r="J36" i="1" l="1"/>
  <c r="AG21" i="1" s="1"/>
  <c r="J40" i="1"/>
  <c r="J39" i="1"/>
  <c r="I40" i="43" l="1"/>
  <c r="AA26" i="43"/>
  <c r="AA25" i="43"/>
  <c r="AA24" i="43"/>
  <c r="AA23" i="43"/>
  <c r="AA22" i="43"/>
  <c r="AA21" i="43"/>
  <c r="AA19" i="43"/>
  <c r="AA10" i="43"/>
  <c r="R32" i="42" l="1"/>
  <c r="M25" i="42"/>
  <c r="M26" i="42"/>
  <c r="M24" i="42"/>
  <c r="W25" i="42"/>
  <c r="G32" i="43"/>
  <c r="M26" i="43"/>
  <c r="P12" i="43"/>
  <c r="V8" i="43"/>
  <c r="P28" i="43"/>
  <c r="V22" i="43"/>
  <c r="S29" i="43"/>
  <c r="U37" i="43"/>
  <c r="R39" i="43"/>
  <c r="P31" i="43"/>
  <c r="V39" i="43"/>
  <c r="X39" i="43" s="1"/>
  <c r="S16" i="43"/>
  <c r="S27" i="43"/>
  <c r="U35" i="43"/>
  <c r="R26" i="42"/>
  <c r="W41" i="42"/>
  <c r="V13" i="43"/>
  <c r="P17" i="43"/>
  <c r="P14" i="43"/>
  <c r="V24" i="43"/>
  <c r="R37" i="43"/>
  <c r="P29" i="43"/>
  <c r="V37" i="43"/>
  <c r="X37" i="43" s="1"/>
  <c r="V26" i="43"/>
  <c r="Y27" i="43"/>
  <c r="AA27" i="43" s="1"/>
  <c r="Y41" i="43"/>
  <c r="Y42" i="43" s="1"/>
  <c r="S41" i="43"/>
  <c r="S31" i="43"/>
  <c r="U39" i="43"/>
  <c r="S17" i="43"/>
  <c r="M39" i="43"/>
  <c r="G31" i="43"/>
  <c r="I39" i="43"/>
  <c r="M8" i="43"/>
  <c r="G12" i="43"/>
  <c r="J12" i="43"/>
  <c r="J9" i="43" s="1"/>
  <c r="S14" i="43"/>
  <c r="S12" i="43"/>
  <c r="Y29" i="43"/>
  <c r="AA29" i="43" s="1"/>
  <c r="R24" i="42"/>
  <c r="W26" i="42"/>
  <c r="AA8" i="43"/>
  <c r="Y12" i="43"/>
  <c r="Y9" i="43" s="1"/>
  <c r="AA9" i="43" s="1"/>
  <c r="J20" i="43"/>
  <c r="M36" i="43"/>
  <c r="G28" i="43"/>
  <c r="I36" i="43"/>
  <c r="M38" i="43"/>
  <c r="I38" i="43"/>
  <c r="G30" i="43"/>
  <c r="Y31" i="43"/>
  <c r="AA31" i="43" s="1"/>
  <c r="R41" i="42"/>
  <c r="Y14" i="43"/>
  <c r="AA14" i="43" s="1"/>
  <c r="AA13" i="43"/>
  <c r="Y17" i="43"/>
  <c r="AA17" i="43" s="1"/>
  <c r="M21" i="43"/>
  <c r="L37" i="43"/>
  <c r="J29" i="43"/>
  <c r="M10" i="43"/>
  <c r="V18" i="43"/>
  <c r="M23" i="43"/>
  <c r="L36" i="43"/>
  <c r="J28" i="43"/>
  <c r="J30" i="43"/>
  <c r="L38" i="43"/>
  <c r="W24" i="42"/>
  <c r="M25" i="43"/>
  <c r="M27" i="42"/>
  <c r="M47" i="42" s="1"/>
  <c r="M24" i="43"/>
  <c r="R25" i="42"/>
  <c r="M32" i="42"/>
  <c r="J16" i="43"/>
  <c r="S20" i="43"/>
  <c r="V36" i="43"/>
  <c r="X36" i="43" s="1"/>
  <c r="R36" i="43"/>
  <c r="M40" i="43"/>
  <c r="J32" i="43"/>
  <c r="L40" i="43"/>
  <c r="M22" i="43"/>
  <c r="L39" i="43"/>
  <c r="J31" i="43"/>
  <c r="G16" i="43"/>
  <c r="M15" i="43"/>
  <c r="P41" i="43"/>
  <c r="P30" i="43"/>
  <c r="V38" i="43"/>
  <c r="X38" i="43" s="1"/>
  <c r="R38" i="43"/>
  <c r="V10" i="43"/>
  <c r="AA18" i="43"/>
  <c r="Y20" i="43"/>
  <c r="AA20" i="43" s="1"/>
  <c r="P27" i="43"/>
  <c r="V21" i="43"/>
  <c r="V23" i="43"/>
  <c r="S28" i="43"/>
  <c r="U36" i="43"/>
  <c r="V40" i="43"/>
  <c r="X40" i="43" s="1"/>
  <c r="P32" i="43"/>
  <c r="R40" i="43"/>
  <c r="G14" i="43"/>
  <c r="G17" i="43"/>
  <c r="Y16" i="43"/>
  <c r="AA16" i="43" s="1"/>
  <c r="AA15" i="43"/>
  <c r="U38" i="43"/>
  <c r="S30" i="43"/>
  <c r="S11" i="43"/>
  <c r="M19" i="43"/>
  <c r="V25" i="43"/>
  <c r="Y28" i="43"/>
  <c r="AA28" i="43" s="1"/>
  <c r="U40" i="43"/>
  <c r="S32" i="43"/>
  <c r="J27" i="43"/>
  <c r="L35" i="43"/>
  <c r="J41" i="43"/>
  <c r="I35" i="43"/>
  <c r="M35" i="43"/>
  <c r="G27" i="43"/>
  <c r="G41" i="43"/>
  <c r="Y30" i="43"/>
  <c r="AA30" i="43" s="1"/>
  <c r="R35" i="43"/>
  <c r="V35" i="43"/>
  <c r="X35" i="43" s="1"/>
  <c r="W32" i="42"/>
  <c r="G29" i="43"/>
  <c r="M37" i="43"/>
  <c r="I37" i="43"/>
  <c r="Y32" i="43"/>
  <c r="AA32" i="43" s="1"/>
  <c r="W27" i="42" l="1"/>
  <c r="O39" i="43"/>
  <c r="AB39" i="43"/>
  <c r="P20" i="43"/>
  <c r="V19" i="43"/>
  <c r="AB10" i="43"/>
  <c r="V14" i="43"/>
  <c r="G11" i="43"/>
  <c r="G20" i="43"/>
  <c r="M18" i="43"/>
  <c r="J17" i="43"/>
  <c r="J14" i="43"/>
  <c r="W43" i="42"/>
  <c r="W47" i="42" s="1"/>
  <c r="L41" i="43"/>
  <c r="J42" i="43"/>
  <c r="AB24" i="43"/>
  <c r="R27" i="42"/>
  <c r="R43" i="42" s="1"/>
  <c r="R47" i="42" s="1"/>
  <c r="G42" i="43"/>
  <c r="I41" i="43"/>
  <c r="M41" i="43"/>
  <c r="S9" i="43"/>
  <c r="O37" i="43"/>
  <c r="AB37" i="43"/>
  <c r="AB35" i="43"/>
  <c r="O35" i="43"/>
  <c r="Y11" i="43"/>
  <c r="AA11" i="43" s="1"/>
  <c r="AA12" i="43"/>
  <c r="AB22" i="43"/>
  <c r="AB38" i="43"/>
  <c r="O38" i="43"/>
  <c r="AB26" i="43"/>
  <c r="P16" i="43"/>
  <c r="V15" i="43"/>
  <c r="AB25" i="43"/>
  <c r="AB21" i="43"/>
  <c r="M16" i="43"/>
  <c r="P11" i="43"/>
  <c r="J11" i="43"/>
  <c r="R41" i="43"/>
  <c r="P42" i="43"/>
  <c r="V41" i="43"/>
  <c r="M13" i="43"/>
  <c r="AB23" i="43"/>
  <c r="AB36" i="43"/>
  <c r="O36" i="43"/>
  <c r="U41" i="43"/>
  <c r="S42" i="43"/>
  <c r="V12" i="43"/>
  <c r="V9" i="43"/>
  <c r="AB8" i="43"/>
  <c r="M12" i="43"/>
  <c r="AB40" i="43"/>
  <c r="O40" i="43"/>
  <c r="G9" i="43"/>
  <c r="P9" i="43"/>
  <c r="AB19" i="43" l="1"/>
  <c r="V20" i="43"/>
  <c r="AD40" i="43"/>
  <c r="AB32" i="43"/>
  <c r="M9" i="43"/>
  <c r="V16" i="43"/>
  <c r="AB15" i="43"/>
  <c r="AD38" i="43"/>
  <c r="AB30" i="43"/>
  <c r="V17" i="43"/>
  <c r="M11" i="43"/>
  <c r="AB29" i="43"/>
  <c r="AD37" i="43"/>
  <c r="AD35" i="43"/>
  <c r="AB27" i="43"/>
  <c r="X41" i="43"/>
  <c r="V42" i="43"/>
  <c r="AB41" i="43"/>
  <c r="M42" i="43"/>
  <c r="O41" i="43"/>
  <c r="AB28" i="43"/>
  <c r="AD36" i="43"/>
  <c r="AB12" i="43"/>
  <c r="AB9" i="43" s="1"/>
  <c r="V11" i="43"/>
  <c r="AB18" i="43"/>
  <c r="M20" i="43"/>
  <c r="AB31" i="43"/>
  <c r="AD39" i="43"/>
  <c r="M17" i="43"/>
  <c r="AB13" i="43"/>
  <c r="M14" i="43"/>
  <c r="AB20" i="43" l="1"/>
  <c r="AF13" i="43"/>
  <c r="AB42" i="43"/>
  <c r="AD41" i="43"/>
  <c r="AB14" i="43"/>
  <c r="AB17" i="43"/>
  <c r="AB11" i="43"/>
  <c r="AB16" i="43"/>
  <c r="AF18" i="43" l="1"/>
  <c r="AF21" i="43"/>
  <c r="AF22" i="43"/>
  <c r="O10" i="29" l="1"/>
  <c r="M10" i="29"/>
  <c r="K20" i="29" l="1"/>
  <c r="M15" i="29"/>
  <c r="K17" i="29"/>
  <c r="N11" i="29"/>
  <c r="O11" i="29" s="1"/>
  <c r="N18" i="29"/>
  <c r="N14" i="29"/>
  <c r="O12" i="29"/>
  <c r="N20" i="29"/>
  <c r="O15" i="29"/>
  <c r="N17" i="29"/>
  <c r="N26" i="29"/>
  <c r="K14" i="29"/>
  <c r="M12" i="29"/>
  <c r="K11" i="29"/>
  <c r="M11" i="29" s="1"/>
  <c r="K18" i="29"/>
  <c r="K19" i="29" l="1"/>
  <c r="M19" i="29" s="1"/>
  <c r="M18" i="29"/>
  <c r="K26" i="29"/>
  <c r="N21" i="29"/>
  <c r="N22" i="29"/>
  <c r="K22" i="29"/>
  <c r="N19" i="29"/>
  <c r="O19" i="29" s="1"/>
  <c r="O18" i="29"/>
  <c r="K21" i="29"/>
  <c r="K27" i="29" l="1"/>
  <c r="K23" i="29"/>
  <c r="N23" i="29"/>
  <c r="N27" i="29"/>
  <c r="N28" i="29" l="1"/>
  <c r="N37" i="29"/>
  <c r="N38" i="29"/>
  <c r="K37" i="29"/>
  <c r="K38" i="29"/>
  <c r="K28" i="29"/>
  <c r="AJ12" i="1" l="1"/>
  <c r="AJ11" i="1"/>
  <c r="AJ10" i="1" l="1"/>
  <c r="AJ13" i="1" l="1"/>
  <c r="AJ14" i="1" s="1"/>
  <c r="M14" i="1"/>
  <c r="M21" i="1" l="1"/>
  <c r="M22" i="1" l="1"/>
  <c r="M20" i="1" l="1"/>
  <c r="M23" i="1" l="1"/>
  <c r="M19" i="1"/>
  <c r="M24" i="1" l="1"/>
  <c r="M33" i="1" l="1"/>
  <c r="AJ18" i="1" s="1"/>
  <c r="M32" i="1" l="1"/>
  <c r="AJ17" i="1" s="1"/>
  <c r="M30" i="1" l="1"/>
  <c r="AJ15" i="1" l="1"/>
  <c r="M31" i="1"/>
  <c r="AJ16" i="1" s="1"/>
  <c r="M34" i="1" l="1"/>
  <c r="M29" i="1"/>
  <c r="AJ19" i="1" l="1"/>
  <c r="AJ20" i="1" s="1"/>
  <c r="M35" i="1"/>
  <c r="M36" i="1" l="1"/>
  <c r="AJ21" i="1" s="1"/>
  <c r="M40" i="1" l="1"/>
  <c r="M39" i="1"/>
  <c r="AJ8" i="1" l="1"/>
  <c r="AJ9" i="1" l="1"/>
  <c r="AJ7" i="1" l="1"/>
  <c r="G25" i="29" l="1"/>
  <c r="G16" i="29"/>
  <c r="S24" i="1"/>
  <c r="U24" i="1" s="1"/>
  <c r="G13" i="29"/>
  <c r="L25" i="29" l="1"/>
  <c r="J25" i="29"/>
  <c r="H25" i="29"/>
  <c r="G24" i="29"/>
  <c r="L16" i="29"/>
  <c r="G17" i="29"/>
  <c r="H16" i="29"/>
  <c r="J16" i="29"/>
  <c r="L13" i="29"/>
  <c r="G20" i="29"/>
  <c r="G14" i="29"/>
  <c r="H13" i="29"/>
  <c r="J13" i="29"/>
  <c r="S23" i="1"/>
  <c r="U23" i="1" s="1"/>
  <c r="G22" i="29" l="1"/>
  <c r="H20" i="29"/>
  <c r="G21" i="29"/>
  <c r="J20" i="29"/>
  <c r="L20" i="29"/>
  <c r="L14" i="29"/>
  <c r="M13" i="29"/>
  <c r="O13" i="29"/>
  <c r="J17" i="29"/>
  <c r="H17" i="29"/>
  <c r="J14" i="29"/>
  <c r="H14" i="29"/>
  <c r="L24" i="29"/>
  <c r="H24" i="29"/>
  <c r="J24" i="29"/>
  <c r="G26" i="29"/>
  <c r="L17" i="29"/>
  <c r="M16" i="29"/>
  <c r="O16" i="29"/>
  <c r="O25" i="29"/>
  <c r="M25" i="29"/>
  <c r="J26" i="29" l="1"/>
  <c r="H26" i="29"/>
  <c r="L26" i="29"/>
  <c r="O24" i="29"/>
  <c r="M24" i="29"/>
  <c r="L22" i="29"/>
  <c r="O14" i="29"/>
  <c r="M14" i="29"/>
  <c r="J21" i="29"/>
  <c r="H21" i="29"/>
  <c r="O17" i="29"/>
  <c r="M17" i="29"/>
  <c r="L21" i="29"/>
  <c r="O20" i="29"/>
  <c r="M20" i="29"/>
  <c r="G23" i="29"/>
  <c r="H22" i="29"/>
  <c r="J22" i="29"/>
  <c r="G27" i="29"/>
  <c r="J23" i="29" l="1"/>
  <c r="H23" i="29"/>
  <c r="L23" i="29"/>
  <c r="L27" i="29"/>
  <c r="O22" i="29"/>
  <c r="M22" i="29"/>
  <c r="O26" i="29"/>
  <c r="M26" i="29"/>
  <c r="H27" i="29"/>
  <c r="G37" i="29"/>
  <c r="G28" i="29"/>
  <c r="J27" i="29"/>
  <c r="M21" i="29"/>
  <c r="O21" i="29"/>
  <c r="O23" i="29" l="1"/>
  <c r="M23" i="29"/>
  <c r="H28" i="29"/>
  <c r="J28" i="29"/>
  <c r="L28" i="29"/>
  <c r="L38" i="29"/>
  <c r="L37" i="29"/>
  <c r="O27" i="29"/>
  <c r="M27" i="29"/>
  <c r="M28" i="29" l="1"/>
  <c r="O28" i="29"/>
  <c r="P22" i="2" l="1"/>
  <c r="P9" i="2"/>
  <c r="P16" i="2"/>
  <c r="P21" i="2"/>
  <c r="P10" i="2"/>
  <c r="P14" i="2"/>
  <c r="P13" i="2"/>
  <c r="P31" i="2"/>
  <c r="P20" i="2"/>
  <c r="P29" i="2"/>
  <c r="P18" i="2"/>
  <c r="P15" i="2"/>
  <c r="P12" i="2"/>
  <c r="P23" i="2"/>
  <c r="P11" i="2"/>
  <c r="P30" i="2"/>
  <c r="P7" i="2"/>
  <c r="P17" i="2"/>
  <c r="F16" i="1"/>
  <c r="P19" i="2"/>
  <c r="P8" i="2"/>
  <c r="P32" i="2" l="1"/>
  <c r="P31" i="42"/>
  <c r="Q31" i="2"/>
  <c r="S31" i="2"/>
  <c r="Q10" i="2"/>
  <c r="P10" i="42"/>
  <c r="S10" i="2"/>
  <c r="Q13" i="2"/>
  <c r="P13" i="42"/>
  <c r="S13" i="2"/>
  <c r="P12" i="42"/>
  <c r="Q12" i="2"/>
  <c r="S12" i="2"/>
  <c r="Q19" i="2"/>
  <c r="P26" i="2"/>
  <c r="P19" i="42"/>
  <c r="S19" i="2"/>
  <c r="S11" i="2"/>
  <c r="P11" i="42"/>
  <c r="Q11" i="2"/>
  <c r="P25" i="2"/>
  <c r="P16" i="42"/>
  <c r="Q16" i="2"/>
  <c r="S16" i="2"/>
  <c r="P15" i="42"/>
  <c r="S15" i="2"/>
  <c r="Q15" i="2"/>
  <c r="P24" i="2"/>
  <c r="S9" i="2"/>
  <c r="Q9" i="2"/>
  <c r="P9" i="42"/>
  <c r="S29" i="2"/>
  <c r="P29" i="42"/>
  <c r="Q29" i="2"/>
  <c r="P7" i="42"/>
  <c r="Q7" i="2"/>
  <c r="S7" i="2"/>
  <c r="I16" i="1"/>
  <c r="K16" i="1"/>
  <c r="G16" i="1"/>
  <c r="S30" i="2"/>
  <c r="P30" i="42"/>
  <c r="Q30" i="2"/>
  <c r="F11" i="1"/>
  <c r="P28" i="2"/>
  <c r="Q21" i="2"/>
  <c r="S21" i="2"/>
  <c r="P21" i="42"/>
  <c r="Q20" i="2"/>
  <c r="P20" i="42"/>
  <c r="S20" i="2"/>
  <c r="Q22" i="2"/>
  <c r="P22" i="42"/>
  <c r="S22" i="2"/>
  <c r="Q23" i="2"/>
  <c r="P23" i="42"/>
  <c r="S23" i="2"/>
  <c r="P18" i="42"/>
  <c r="Q18" i="2"/>
  <c r="S18" i="2"/>
  <c r="P8" i="42"/>
  <c r="Q8" i="2"/>
  <c r="S8" i="2"/>
  <c r="P17" i="42"/>
  <c r="Q17" i="2"/>
  <c r="S17" i="2"/>
  <c r="P14" i="42"/>
  <c r="Q14" i="2"/>
  <c r="S14" i="2"/>
  <c r="U19" i="2"/>
  <c r="F10" i="1"/>
  <c r="P34" i="2"/>
  <c r="U13" i="2"/>
  <c r="U18" i="2"/>
  <c r="P33" i="2"/>
  <c r="U21" i="2"/>
  <c r="U12" i="2"/>
  <c r="F15" i="1"/>
  <c r="F17" i="1"/>
  <c r="U15" i="2"/>
  <c r="F12" i="1"/>
  <c r="S14" i="42" l="1"/>
  <c r="Q14" i="42"/>
  <c r="Q29" i="42"/>
  <c r="S29" i="42"/>
  <c r="P32" i="42"/>
  <c r="Q25" i="2"/>
  <c r="S25" i="2"/>
  <c r="S17" i="42"/>
  <c r="Q17" i="42"/>
  <c r="K11" i="1"/>
  <c r="F21" i="1"/>
  <c r="AC11" i="1"/>
  <c r="I11" i="1"/>
  <c r="G11" i="1"/>
  <c r="Q31" i="42"/>
  <c r="S31" i="42"/>
  <c r="F22" i="1"/>
  <c r="K17" i="1"/>
  <c r="G17" i="1"/>
  <c r="I17" i="1"/>
  <c r="S32" i="2"/>
  <c r="Q32" i="2"/>
  <c r="AG17" i="41"/>
  <c r="U19" i="42"/>
  <c r="V19" i="2"/>
  <c r="X19" i="2"/>
  <c r="P28" i="42"/>
  <c r="S28" i="2"/>
  <c r="Q28" i="2"/>
  <c r="V13" i="2"/>
  <c r="U13" i="42"/>
  <c r="X13" i="2"/>
  <c r="Q22" i="42"/>
  <c r="S22" i="42"/>
  <c r="Q24" i="2"/>
  <c r="S24" i="2"/>
  <c r="P27" i="2"/>
  <c r="S19" i="42"/>
  <c r="Q19" i="42"/>
  <c r="P26" i="42"/>
  <c r="V12" i="2"/>
  <c r="U12" i="42"/>
  <c r="X12" i="2"/>
  <c r="S8" i="42"/>
  <c r="Q8" i="42"/>
  <c r="S26" i="2"/>
  <c r="Q26" i="2"/>
  <c r="AC12" i="1"/>
  <c r="K12" i="1"/>
  <c r="G12" i="1"/>
  <c r="I12" i="1"/>
  <c r="S30" i="42"/>
  <c r="Q30" i="42"/>
  <c r="S16" i="42"/>
  <c r="Q16" i="42"/>
  <c r="P33" i="42"/>
  <c r="Q33" i="2"/>
  <c r="S33" i="2"/>
  <c r="K15" i="1"/>
  <c r="G15" i="1"/>
  <c r="I15" i="1"/>
  <c r="Q15" i="42"/>
  <c r="S15" i="42"/>
  <c r="U21" i="42"/>
  <c r="X21" i="2"/>
  <c r="V21" i="2"/>
  <c r="K10" i="1"/>
  <c r="F20" i="1"/>
  <c r="G10" i="1"/>
  <c r="AC10" i="1"/>
  <c r="I10" i="1"/>
  <c r="N16" i="1"/>
  <c r="L16" i="1"/>
  <c r="S34" i="2"/>
  <c r="P34" i="42"/>
  <c r="Q34" i="2"/>
  <c r="S12" i="42"/>
  <c r="Q12" i="42"/>
  <c r="Q18" i="42"/>
  <c r="S18" i="42"/>
  <c r="Q21" i="42"/>
  <c r="S21" i="42"/>
  <c r="U15" i="42"/>
  <c r="X15" i="2"/>
  <c r="V15" i="2"/>
  <c r="Q7" i="42"/>
  <c r="S7" i="42"/>
  <c r="S13" i="42"/>
  <c r="Q13" i="42"/>
  <c r="P24" i="42"/>
  <c r="Q9" i="42"/>
  <c r="S9" i="42"/>
  <c r="U18" i="42"/>
  <c r="X18" i="2"/>
  <c r="V18" i="2"/>
  <c r="Q23" i="42"/>
  <c r="S23" i="42"/>
  <c r="S11" i="42"/>
  <c r="Q11" i="42"/>
  <c r="P25" i="42"/>
  <c r="Q20" i="42"/>
  <c r="S20" i="42"/>
  <c r="S10" i="42"/>
  <c r="Q10" i="42"/>
  <c r="U30" i="2"/>
  <c r="U20" i="2"/>
  <c r="U8" i="2"/>
  <c r="U14" i="2"/>
  <c r="U16" i="2"/>
  <c r="U23" i="2"/>
  <c r="U17" i="2"/>
  <c r="U11" i="2"/>
  <c r="F27" i="1"/>
  <c r="U31" i="2"/>
  <c r="U38" i="2"/>
  <c r="U35" i="2"/>
  <c r="U9" i="2"/>
  <c r="U37" i="2"/>
  <c r="U10" i="2"/>
  <c r="U33" i="2"/>
  <c r="F26" i="1"/>
  <c r="U22" i="2"/>
  <c r="U36" i="2"/>
  <c r="U36" i="42" l="1"/>
  <c r="X36" i="2"/>
  <c r="V36" i="2"/>
  <c r="S24" i="42"/>
  <c r="Q24" i="42"/>
  <c r="P27" i="42"/>
  <c r="K22" i="1"/>
  <c r="N17" i="1"/>
  <c r="L17" i="1"/>
  <c r="I22" i="1"/>
  <c r="G22" i="1"/>
  <c r="V33" i="2"/>
  <c r="U33" i="42"/>
  <c r="X33" i="2"/>
  <c r="T32" i="1"/>
  <c r="U38" i="42"/>
  <c r="V38" i="2"/>
  <c r="X38" i="2"/>
  <c r="Q34" i="42"/>
  <c r="S34" i="42"/>
  <c r="V21" i="42"/>
  <c r="X21" i="42"/>
  <c r="U31" i="42"/>
  <c r="V31" i="2"/>
  <c r="X31" i="2"/>
  <c r="X13" i="42"/>
  <c r="V13" i="42"/>
  <c r="U17" i="42"/>
  <c r="X17" i="2"/>
  <c r="V17" i="2"/>
  <c r="U20" i="42"/>
  <c r="X20" i="2"/>
  <c r="V20" i="2"/>
  <c r="AF11" i="1"/>
  <c r="AD11" i="1"/>
  <c r="U9" i="42"/>
  <c r="X9" i="2"/>
  <c r="V9" i="2"/>
  <c r="L12" i="1"/>
  <c r="AH12" i="1"/>
  <c r="N12" i="1"/>
  <c r="I21" i="1"/>
  <c r="G21" i="1"/>
  <c r="V23" i="2"/>
  <c r="U23" i="42"/>
  <c r="X23" i="2"/>
  <c r="S25" i="42"/>
  <c r="Q25" i="42"/>
  <c r="AD12" i="1"/>
  <c r="AF12" i="1"/>
  <c r="AH11" i="1"/>
  <c r="N11" i="1"/>
  <c r="L11" i="1"/>
  <c r="K21" i="1"/>
  <c r="Q33" i="42"/>
  <c r="S33" i="42"/>
  <c r="U16" i="42"/>
  <c r="X16" i="2"/>
  <c r="V16" i="2"/>
  <c r="V22" i="2"/>
  <c r="X22" i="2"/>
  <c r="U22" i="42"/>
  <c r="F33" i="1"/>
  <c r="I27" i="1"/>
  <c r="K27" i="1"/>
  <c r="G27" i="1"/>
  <c r="X15" i="42"/>
  <c r="V15" i="42"/>
  <c r="S28" i="42"/>
  <c r="Q28" i="42"/>
  <c r="U10" i="42"/>
  <c r="V10" i="2"/>
  <c r="X10" i="2"/>
  <c r="U26" i="2"/>
  <c r="X37" i="2"/>
  <c r="U37" i="42"/>
  <c r="V37" i="2"/>
  <c r="AD10" i="1"/>
  <c r="AF10" i="1"/>
  <c r="Q32" i="42"/>
  <c r="S32" i="42"/>
  <c r="X11" i="2"/>
  <c r="V11" i="2"/>
  <c r="U11" i="42"/>
  <c r="U25" i="2"/>
  <c r="X14" i="2"/>
  <c r="V14" i="2"/>
  <c r="U14" i="42"/>
  <c r="G20" i="1"/>
  <c r="I20" i="1"/>
  <c r="F30" i="1"/>
  <c r="L15" i="1"/>
  <c r="N15" i="1"/>
  <c r="X12" i="42"/>
  <c r="V12" i="42"/>
  <c r="X19" i="42"/>
  <c r="V19" i="42"/>
  <c r="Q27" i="2"/>
  <c r="S27" i="2"/>
  <c r="V8" i="2"/>
  <c r="U8" i="42"/>
  <c r="X8" i="2"/>
  <c r="V30" i="2"/>
  <c r="X30" i="2"/>
  <c r="U30" i="42"/>
  <c r="L10" i="1"/>
  <c r="N10" i="1"/>
  <c r="AH10" i="1"/>
  <c r="K20" i="1"/>
  <c r="AG17" i="43"/>
  <c r="F32" i="1"/>
  <c r="I26" i="1"/>
  <c r="G26" i="1"/>
  <c r="K26" i="1"/>
  <c r="V35" i="2"/>
  <c r="X35" i="2"/>
  <c r="U35" i="42"/>
  <c r="T34" i="1"/>
  <c r="S26" i="42"/>
  <c r="Q26" i="42"/>
  <c r="X18" i="42"/>
  <c r="V18" i="42"/>
  <c r="U28" i="2"/>
  <c r="U7" i="2"/>
  <c r="F25" i="1"/>
  <c r="U29" i="2"/>
  <c r="X26" i="2" l="1"/>
  <c r="V26" i="2"/>
  <c r="P46" i="2"/>
  <c r="F13" i="1"/>
  <c r="P39" i="2"/>
  <c r="AI10" i="1"/>
  <c r="AK10" i="1"/>
  <c r="X16" i="42"/>
  <c r="V16" i="42"/>
  <c r="X14" i="42"/>
  <c r="V14" i="42"/>
  <c r="X10" i="42"/>
  <c r="V10" i="42"/>
  <c r="V9" i="42"/>
  <c r="X9" i="42"/>
  <c r="AK11" i="1"/>
  <c r="AI11" i="1"/>
  <c r="AK12" i="1"/>
  <c r="AI12" i="1"/>
  <c r="X31" i="42"/>
  <c r="V31" i="42"/>
  <c r="W34" i="1"/>
  <c r="U34" i="1"/>
  <c r="L21" i="1"/>
  <c r="N21" i="1"/>
  <c r="X28" i="2"/>
  <c r="U28" i="42"/>
  <c r="V28" i="2"/>
  <c r="X35" i="42"/>
  <c r="V35" i="42"/>
  <c r="X8" i="42"/>
  <c r="V8" i="42"/>
  <c r="X25" i="2"/>
  <c r="V25" i="2"/>
  <c r="Q27" i="42"/>
  <c r="S27" i="42"/>
  <c r="X29" i="2"/>
  <c r="U32" i="2"/>
  <c r="V29" i="2"/>
  <c r="U29" i="42"/>
  <c r="U25" i="42"/>
  <c r="V11" i="42"/>
  <c r="X11" i="42"/>
  <c r="V30" i="42"/>
  <c r="X30" i="42"/>
  <c r="G25" i="1"/>
  <c r="I25" i="1"/>
  <c r="K25" i="1"/>
  <c r="K32" i="1"/>
  <c r="L26" i="1"/>
  <c r="N26" i="1"/>
  <c r="N27" i="1"/>
  <c r="L27" i="1"/>
  <c r="V38" i="42"/>
  <c r="X38" i="42"/>
  <c r="AC15" i="1"/>
  <c r="G30" i="1"/>
  <c r="I30" i="1"/>
  <c r="F31" i="1"/>
  <c r="I33" i="1"/>
  <c r="AC18" i="1"/>
  <c r="G33" i="1"/>
  <c r="AC17" i="1"/>
  <c r="G32" i="1"/>
  <c r="I32" i="1"/>
  <c r="V22" i="42"/>
  <c r="X22" i="42"/>
  <c r="X23" i="42"/>
  <c r="V23" i="42"/>
  <c r="V20" i="42"/>
  <c r="X20" i="42"/>
  <c r="U32" i="1"/>
  <c r="W32" i="1"/>
  <c r="U26" i="42"/>
  <c r="N22" i="1"/>
  <c r="L22" i="1"/>
  <c r="K33" i="1"/>
  <c r="F18" i="1"/>
  <c r="X33" i="42"/>
  <c r="V33" i="42"/>
  <c r="V36" i="42"/>
  <c r="X36" i="42"/>
  <c r="U24" i="2"/>
  <c r="U7" i="42"/>
  <c r="V7" i="2"/>
  <c r="X7" i="2"/>
  <c r="X17" i="42"/>
  <c r="V17" i="42"/>
  <c r="N20" i="1"/>
  <c r="L20" i="1"/>
  <c r="V37" i="42"/>
  <c r="X37" i="42"/>
  <c r="U34" i="2"/>
  <c r="L25" i="1" l="1"/>
  <c r="N25" i="1"/>
  <c r="AF17" i="1"/>
  <c r="AD17" i="1"/>
  <c r="AD18" i="1"/>
  <c r="AF18" i="1"/>
  <c r="X28" i="42"/>
  <c r="V28" i="42"/>
  <c r="X7" i="42"/>
  <c r="U24" i="42"/>
  <c r="V7" i="42"/>
  <c r="V24" i="2"/>
  <c r="U27" i="2"/>
  <c r="X24" i="2"/>
  <c r="G18" i="1"/>
  <c r="I18" i="1"/>
  <c r="K18" i="1"/>
  <c r="F19" i="1"/>
  <c r="G31" i="1"/>
  <c r="AC16" i="1"/>
  <c r="I31" i="1"/>
  <c r="N33" i="1"/>
  <c r="AH18" i="1"/>
  <c r="L33" i="1"/>
  <c r="X25" i="42"/>
  <c r="V25" i="42"/>
  <c r="AD15" i="1"/>
  <c r="AF15" i="1"/>
  <c r="X29" i="42"/>
  <c r="U32" i="42"/>
  <c r="V29" i="42"/>
  <c r="Q39" i="2"/>
  <c r="P39" i="42"/>
  <c r="S39" i="2"/>
  <c r="P41" i="2"/>
  <c r="X26" i="42"/>
  <c r="V26" i="42"/>
  <c r="K13" i="1"/>
  <c r="AC13" i="1"/>
  <c r="G13" i="1"/>
  <c r="I13" i="1"/>
  <c r="F23" i="1"/>
  <c r="F14" i="1"/>
  <c r="AH17" i="1"/>
  <c r="N32" i="1"/>
  <c r="L32" i="1"/>
  <c r="AG20" i="41"/>
  <c r="V32" i="2"/>
  <c r="X32" i="2"/>
  <c r="P46" i="42"/>
  <c r="T33" i="1"/>
  <c r="U34" i="42"/>
  <c r="X34" i="2"/>
  <c r="V34" i="2"/>
  <c r="K30" i="1"/>
  <c r="F28" i="1"/>
  <c r="X27" i="2" l="1"/>
  <c r="V27" i="2"/>
  <c r="X32" i="42"/>
  <c r="V32" i="42"/>
  <c r="K31" i="1"/>
  <c r="L30" i="1"/>
  <c r="AH15" i="1"/>
  <c r="N30" i="1"/>
  <c r="V24" i="42"/>
  <c r="X24" i="42"/>
  <c r="U27" i="42"/>
  <c r="AG20" i="43"/>
  <c r="Q41" i="2"/>
  <c r="S41" i="2"/>
  <c r="P43" i="2"/>
  <c r="G43" i="2" s="1"/>
  <c r="L18" i="1"/>
  <c r="N18" i="1"/>
  <c r="K19" i="1"/>
  <c r="S39" i="42"/>
  <c r="Q39" i="42"/>
  <c r="P41" i="42"/>
  <c r="I14" i="1"/>
  <c r="G14" i="1"/>
  <c r="W33" i="1"/>
  <c r="U33" i="1"/>
  <c r="F34" i="1"/>
  <c r="G23" i="1"/>
  <c r="I23" i="1"/>
  <c r="F24" i="1"/>
  <c r="F29" i="1"/>
  <c r="K28" i="1"/>
  <c r="I28" i="1"/>
  <c r="G28" i="1"/>
  <c r="AI18" i="1"/>
  <c r="AK18" i="1"/>
  <c r="G19" i="1"/>
  <c r="I19" i="1"/>
  <c r="V34" i="42"/>
  <c r="X34" i="42"/>
  <c r="AI17" i="1"/>
  <c r="AK17" i="1"/>
  <c r="AD13" i="1"/>
  <c r="AF13" i="1"/>
  <c r="AC14" i="1"/>
  <c r="N13" i="1"/>
  <c r="AH13" i="1"/>
  <c r="L13" i="1"/>
  <c r="K23" i="1"/>
  <c r="K14" i="1"/>
  <c r="AD16" i="1"/>
  <c r="AF16" i="1"/>
  <c r="I29" i="1" l="1"/>
  <c r="G29" i="1"/>
  <c r="G24" i="1"/>
  <c r="I24" i="1"/>
  <c r="AI13" i="1"/>
  <c r="AK13" i="1"/>
  <c r="AH14" i="1"/>
  <c r="AH16" i="1"/>
  <c r="L31" i="1"/>
  <c r="N31" i="1"/>
  <c r="L14" i="1"/>
  <c r="N14" i="1"/>
  <c r="AK15" i="1"/>
  <c r="AI15" i="1"/>
  <c r="Q43" i="2"/>
  <c r="S43" i="2"/>
  <c r="P47" i="2"/>
  <c r="N28" i="1"/>
  <c r="L28" i="1"/>
  <c r="K29" i="1"/>
  <c r="K34" i="1"/>
  <c r="L23" i="1"/>
  <c r="N23" i="1"/>
  <c r="K24" i="1"/>
  <c r="N19" i="1"/>
  <c r="L19" i="1"/>
  <c r="I34" i="1"/>
  <c r="G34" i="1"/>
  <c r="AC19" i="1"/>
  <c r="F35" i="1"/>
  <c r="AD14" i="1"/>
  <c r="AF14" i="1"/>
  <c r="Q41" i="42"/>
  <c r="S41" i="42"/>
  <c r="P43" i="42"/>
  <c r="X27" i="42"/>
  <c r="V27" i="42"/>
  <c r="S43" i="42" l="1"/>
  <c r="G43" i="42"/>
  <c r="Q43" i="42"/>
  <c r="P47" i="42"/>
  <c r="AF19" i="1"/>
  <c r="AD19" i="1"/>
  <c r="AC20" i="1"/>
  <c r="AI16" i="1"/>
  <c r="AK16" i="1"/>
  <c r="AI14" i="1"/>
  <c r="AK14" i="1"/>
  <c r="L24" i="1"/>
  <c r="N24" i="1"/>
  <c r="L34" i="1"/>
  <c r="N34" i="1"/>
  <c r="AH19" i="1"/>
  <c r="K35" i="1"/>
  <c r="I35" i="1"/>
  <c r="F36" i="1"/>
  <c r="G35" i="1"/>
  <c r="L29" i="1"/>
  <c r="N29" i="1"/>
  <c r="AC21" i="1" l="1"/>
  <c r="I36" i="1"/>
  <c r="AF21" i="1" s="1"/>
  <c r="G36" i="1"/>
  <c r="AD21" i="1" s="1"/>
  <c r="AI19" i="1"/>
  <c r="AK19" i="1"/>
  <c r="AH20" i="1"/>
  <c r="U46" i="2"/>
  <c r="F38" i="1"/>
  <c r="U39" i="2"/>
  <c r="AD20" i="1"/>
  <c r="AF20" i="1"/>
  <c r="N35" i="1"/>
  <c r="K36" i="1"/>
  <c r="L35" i="1"/>
  <c r="L36" i="1" l="1"/>
  <c r="AI21" i="1" s="1"/>
  <c r="AH21" i="1"/>
  <c r="N36" i="1"/>
  <c r="AK21" i="1" s="1"/>
  <c r="X39" i="2"/>
  <c r="V39" i="2"/>
  <c r="U39" i="42"/>
  <c r="U41" i="2"/>
  <c r="K38" i="1"/>
  <c r="F39" i="1"/>
  <c r="F40" i="1"/>
  <c r="U46" i="42"/>
  <c r="AI20" i="1"/>
  <c r="AK20" i="1"/>
  <c r="K40" i="1" l="1"/>
  <c r="K39" i="1"/>
  <c r="V41" i="2"/>
  <c r="T36" i="1"/>
  <c r="X41" i="2"/>
  <c r="U43" i="2"/>
  <c r="G44" i="2" s="1"/>
  <c r="V39" i="42"/>
  <c r="X39" i="42"/>
  <c r="U41" i="42"/>
  <c r="X41" i="42" l="1"/>
  <c r="V41" i="42"/>
  <c r="U43" i="42"/>
  <c r="V43" i="2"/>
  <c r="X43" i="2"/>
  <c r="U44" i="2"/>
  <c r="U47" i="2"/>
  <c r="T35" i="1"/>
  <c r="U36" i="1"/>
  <c r="W36" i="1"/>
  <c r="U35" i="1" l="1"/>
  <c r="W35" i="1"/>
  <c r="G44" i="42"/>
  <c r="U44" i="42"/>
  <c r="V43" i="42"/>
  <c r="X43" i="42"/>
  <c r="U47" i="42"/>
  <c r="F8" i="1" l="1"/>
  <c r="K28" i="2"/>
  <c r="K28" i="42" l="1"/>
  <c r="N28" i="2"/>
  <c r="L28" i="2"/>
  <c r="AC8" i="1"/>
  <c r="G8" i="1"/>
  <c r="K8" i="1"/>
  <c r="I8" i="1"/>
  <c r="AH8" i="1" l="1"/>
  <c r="N8" i="1"/>
  <c r="L8" i="1"/>
  <c r="AF8" i="1"/>
  <c r="AD8" i="1"/>
  <c r="N28" i="42"/>
  <c r="L28" i="42"/>
  <c r="AI8" i="1" l="1"/>
  <c r="AK8" i="1"/>
  <c r="K20" i="2" l="1"/>
  <c r="K21" i="2"/>
  <c r="K31" i="2"/>
  <c r="K19" i="2"/>
  <c r="K13" i="2"/>
  <c r="K18" i="2"/>
  <c r="K12" i="2"/>
  <c r="K17" i="2"/>
  <c r="K16" i="2"/>
  <c r="K15" i="2"/>
  <c r="K14" i="2"/>
  <c r="K10" i="2"/>
  <c r="K9" i="2"/>
  <c r="K8" i="2"/>
  <c r="K30" i="2"/>
  <c r="K23" i="2"/>
  <c r="N23" i="2" l="1"/>
  <c r="K23" i="42"/>
  <c r="L23" i="2"/>
  <c r="K30" i="42"/>
  <c r="L30" i="2"/>
  <c r="N30" i="2"/>
  <c r="K13" i="42"/>
  <c r="N13" i="2"/>
  <c r="L13" i="2"/>
  <c r="L17" i="2"/>
  <c r="N17" i="2"/>
  <c r="K17" i="42"/>
  <c r="L8" i="2"/>
  <c r="K8" i="42"/>
  <c r="N8" i="2"/>
  <c r="L9" i="2"/>
  <c r="K9" i="42"/>
  <c r="N9" i="2"/>
  <c r="L31" i="2"/>
  <c r="N31" i="2"/>
  <c r="K31" i="42"/>
  <c r="L10" i="2"/>
  <c r="N10" i="2"/>
  <c r="K10" i="42"/>
  <c r="L21" i="2"/>
  <c r="K21" i="42"/>
  <c r="N21" i="2"/>
  <c r="K20" i="42"/>
  <c r="N20" i="2"/>
  <c r="L20" i="2"/>
  <c r="L14" i="2"/>
  <c r="N14" i="2"/>
  <c r="K14" i="42"/>
  <c r="K18" i="42"/>
  <c r="N18" i="2"/>
  <c r="L18" i="2"/>
  <c r="N15" i="2"/>
  <c r="L15" i="2"/>
  <c r="K15" i="42"/>
  <c r="N12" i="2"/>
  <c r="K12" i="42"/>
  <c r="L12" i="2"/>
  <c r="N19" i="2"/>
  <c r="K19" i="42"/>
  <c r="L19" i="2"/>
  <c r="L16" i="2"/>
  <c r="N16" i="2"/>
  <c r="K16" i="42"/>
  <c r="K7" i="2"/>
  <c r="K11" i="2"/>
  <c r="K29" i="2"/>
  <c r="K22" i="2"/>
  <c r="K26" i="2" l="1"/>
  <c r="L26" i="2"/>
  <c r="N26" i="2"/>
  <c r="L9" i="42"/>
  <c r="N9" i="42"/>
  <c r="L18" i="42"/>
  <c r="N18" i="42"/>
  <c r="L8" i="42"/>
  <c r="N8" i="42"/>
  <c r="K29" i="42"/>
  <c r="L29" i="2"/>
  <c r="N29" i="2"/>
  <c r="K32" i="2"/>
  <c r="N17" i="42"/>
  <c r="L17" i="42"/>
  <c r="L14" i="42"/>
  <c r="N14" i="42"/>
  <c r="N16" i="42"/>
  <c r="L16" i="42"/>
  <c r="N20" i="42"/>
  <c r="L20" i="42"/>
  <c r="L13" i="42"/>
  <c r="N13" i="42"/>
  <c r="N21" i="42"/>
  <c r="L21" i="42"/>
  <c r="L11" i="2"/>
  <c r="N11" i="2"/>
  <c r="K25" i="2"/>
  <c r="K11" i="42"/>
  <c r="K22" i="42"/>
  <c r="L22" i="2"/>
  <c r="N22" i="2"/>
  <c r="L15" i="42"/>
  <c r="N15" i="42"/>
  <c r="N19" i="42"/>
  <c r="L19" i="42"/>
  <c r="K26" i="42"/>
  <c r="L10" i="42"/>
  <c r="N10" i="42"/>
  <c r="N30" i="42"/>
  <c r="L30" i="42"/>
  <c r="N23" i="42"/>
  <c r="L23" i="42"/>
  <c r="K24" i="2"/>
  <c r="N7" i="2"/>
  <c r="K7" i="42"/>
  <c r="L7" i="2"/>
  <c r="L12" i="42"/>
  <c r="N12" i="42"/>
  <c r="N31" i="42"/>
  <c r="L31" i="42"/>
  <c r="F9" i="1"/>
  <c r="F7" i="1"/>
  <c r="L32" i="2" l="1"/>
  <c r="AG12" i="41"/>
  <c r="N32" i="2"/>
  <c r="K7" i="1"/>
  <c r="I7" i="1"/>
  <c r="AC7" i="1"/>
  <c r="G7" i="1"/>
  <c r="N22" i="42"/>
  <c r="L22" i="42"/>
  <c r="N29" i="42"/>
  <c r="K32" i="42"/>
  <c r="L29" i="42"/>
  <c r="L11" i="42"/>
  <c r="N11" i="42"/>
  <c r="K25" i="42"/>
  <c r="L25" i="2"/>
  <c r="N25" i="2"/>
  <c r="K24" i="42"/>
  <c r="N7" i="42"/>
  <c r="L7" i="42"/>
  <c r="K27" i="2"/>
  <c r="G27" i="2" s="1"/>
  <c r="L24" i="2"/>
  <c r="N24" i="2"/>
  <c r="N26" i="42"/>
  <c r="L26" i="42"/>
  <c r="AC9" i="1"/>
  <c r="I9" i="1"/>
  <c r="K9" i="1"/>
  <c r="G9" i="1"/>
  <c r="K46" i="2"/>
  <c r="N25" i="42" l="1"/>
  <c r="L25" i="42"/>
  <c r="N32" i="42"/>
  <c r="L32" i="42"/>
  <c r="K46" i="42"/>
  <c r="K47" i="2"/>
  <c r="L9" i="1"/>
  <c r="N9" i="1"/>
  <c r="AH9" i="1"/>
  <c r="AD9" i="1"/>
  <c r="AF9" i="1"/>
  <c r="AD7" i="1"/>
  <c r="AF7" i="1"/>
  <c r="L7" i="1"/>
  <c r="AH7" i="1"/>
  <c r="N7" i="1"/>
  <c r="L24" i="42"/>
  <c r="K27" i="42"/>
  <c r="N24" i="42"/>
  <c r="AG12" i="43"/>
  <c r="L27" i="2"/>
  <c r="N27" i="2"/>
  <c r="AI9" i="1" l="1"/>
  <c r="AK9" i="1"/>
  <c r="AI7" i="1"/>
  <c r="AK7" i="1"/>
  <c r="L27" i="42"/>
  <c r="N27" i="42"/>
  <c r="K47" i="42"/>
  <c r="Q22" i="41" l="1"/>
  <c r="T22" i="41"/>
  <c r="Q15" i="41"/>
  <c r="Q23" i="41"/>
  <c r="T23" i="41"/>
  <c r="Q13" i="41"/>
  <c r="T13" i="41"/>
  <c r="Q24" i="41"/>
  <c r="Q21" i="41"/>
  <c r="T24" i="41"/>
  <c r="T21" i="41"/>
  <c r="Q25" i="41"/>
  <c r="T25" i="41"/>
  <c r="T15" i="41"/>
  <c r="T10" i="41"/>
  <c r="Q26" i="41"/>
  <c r="T26" i="41"/>
  <c r="Q10" i="41"/>
  <c r="Q21" i="43" l="1"/>
  <c r="R21" i="41"/>
  <c r="W21" i="41"/>
  <c r="Q27" i="41"/>
  <c r="R27" i="41" s="1"/>
  <c r="T13" i="43"/>
  <c r="T17" i="41"/>
  <c r="U17" i="41" s="1"/>
  <c r="U13" i="41"/>
  <c r="T42" i="41"/>
  <c r="Q10" i="43"/>
  <c r="W10" i="41"/>
  <c r="R10" i="41"/>
  <c r="T10" i="43"/>
  <c r="U10" i="43" s="1"/>
  <c r="U10" i="41"/>
  <c r="T26" i="43"/>
  <c r="U26" i="41"/>
  <c r="T32" i="41"/>
  <c r="U32" i="41" s="1"/>
  <c r="Q26" i="43"/>
  <c r="R26" i="41"/>
  <c r="W26" i="41"/>
  <c r="Q32" i="41"/>
  <c r="R32" i="41" s="1"/>
  <c r="Q25" i="43"/>
  <c r="W25" i="41"/>
  <c r="R25" i="41"/>
  <c r="Q31" i="41"/>
  <c r="R31" i="41" s="1"/>
  <c r="Q23" i="43"/>
  <c r="R23" i="41"/>
  <c r="W23" i="41"/>
  <c r="Q29" i="41"/>
  <c r="R29" i="41" s="1"/>
  <c r="T25" i="43"/>
  <c r="U25" i="41"/>
  <c r="T31" i="41"/>
  <c r="U31" i="41" s="1"/>
  <c r="T24" i="43"/>
  <c r="U24" i="41"/>
  <c r="T30" i="41"/>
  <c r="U30" i="41" s="1"/>
  <c r="Q24" i="43"/>
  <c r="W24" i="41"/>
  <c r="R24" i="41"/>
  <c r="Q30" i="41"/>
  <c r="R30" i="41" s="1"/>
  <c r="Q13" i="43"/>
  <c r="W13" i="41"/>
  <c r="Q17" i="41"/>
  <c r="R17" i="41" s="1"/>
  <c r="R13" i="41"/>
  <c r="Q42" i="41"/>
  <c r="T21" i="43"/>
  <c r="U21" i="41"/>
  <c r="T27" i="41"/>
  <c r="U27" i="41" s="1"/>
  <c r="Q22" i="43"/>
  <c r="R22" i="41"/>
  <c r="W22" i="41"/>
  <c r="Q28" i="41"/>
  <c r="R28" i="41" s="1"/>
  <c r="T23" i="43"/>
  <c r="U23" i="41"/>
  <c r="T29" i="41"/>
  <c r="U29" i="41" s="1"/>
  <c r="T15" i="43"/>
  <c r="U15" i="41"/>
  <c r="T16" i="41"/>
  <c r="U16" i="41" s="1"/>
  <c r="Q15" i="43"/>
  <c r="R15" i="41"/>
  <c r="W15" i="41"/>
  <c r="Q16" i="41"/>
  <c r="R16" i="41" s="1"/>
  <c r="T22" i="43"/>
  <c r="U22" i="41"/>
  <c r="T28" i="41"/>
  <c r="U28" i="41" s="1"/>
  <c r="K13" i="41"/>
  <c r="H13" i="41"/>
  <c r="K15" i="41"/>
  <c r="H15" i="41"/>
  <c r="X24" i="41" l="1"/>
  <c r="W30" i="41"/>
  <c r="X30" i="41" s="1"/>
  <c r="W24" i="43"/>
  <c r="Q30" i="43"/>
  <c r="R30" i="43" s="1"/>
  <c r="R24" i="43"/>
  <c r="T32" i="43"/>
  <c r="U32" i="43" s="1"/>
  <c r="U26" i="43"/>
  <c r="H24" i="41"/>
  <c r="K13" i="43"/>
  <c r="K17" i="41"/>
  <c r="L17" i="41" s="1"/>
  <c r="L13" i="41"/>
  <c r="K42" i="41"/>
  <c r="K24" i="41"/>
  <c r="T29" i="43"/>
  <c r="U29" i="43" s="1"/>
  <c r="U23" i="43"/>
  <c r="T30" i="43"/>
  <c r="U30" i="43" s="1"/>
  <c r="U24" i="43"/>
  <c r="K15" i="43"/>
  <c r="L15" i="41"/>
  <c r="H23" i="41"/>
  <c r="H25" i="41"/>
  <c r="K25" i="41"/>
  <c r="T31" i="43"/>
  <c r="U31" i="43" s="1"/>
  <c r="U25" i="43"/>
  <c r="W22" i="43"/>
  <c r="Q28" i="43"/>
  <c r="R28" i="43" s="1"/>
  <c r="R22" i="43"/>
  <c r="X10" i="41"/>
  <c r="H26" i="41"/>
  <c r="X23" i="41"/>
  <c r="W29" i="41"/>
  <c r="X29" i="41" s="1"/>
  <c r="W10" i="43"/>
  <c r="R10" i="43"/>
  <c r="K26" i="41"/>
  <c r="K23" i="41"/>
  <c r="H10" i="41"/>
  <c r="H16" i="41" s="1"/>
  <c r="I16" i="41" s="1"/>
  <c r="T27" i="43"/>
  <c r="U27" i="43" s="1"/>
  <c r="U21" i="43"/>
  <c r="W23" i="43"/>
  <c r="Q29" i="43"/>
  <c r="R29" i="43" s="1"/>
  <c r="R23" i="43"/>
  <c r="K10" i="41"/>
  <c r="T16" i="43"/>
  <c r="U16" i="43" s="1"/>
  <c r="U15" i="43"/>
  <c r="H21" i="41"/>
  <c r="T28" i="43"/>
  <c r="U28" i="43" s="1"/>
  <c r="U22" i="43"/>
  <c r="X25" i="41"/>
  <c r="W31" i="41"/>
  <c r="X31" i="41" s="1"/>
  <c r="T17" i="43"/>
  <c r="U17" i="43" s="1"/>
  <c r="T42" i="43"/>
  <c r="U13" i="43"/>
  <c r="W26" i="43"/>
  <c r="Q32" i="43"/>
  <c r="R32" i="43" s="1"/>
  <c r="R26" i="43"/>
  <c r="H13" i="43"/>
  <c r="H17" i="41"/>
  <c r="I17" i="41" s="1"/>
  <c r="I13" i="41"/>
  <c r="N13" i="41"/>
  <c r="H42" i="41"/>
  <c r="K21" i="41"/>
  <c r="W25" i="43"/>
  <c r="Q31" i="43"/>
  <c r="R31" i="43" s="1"/>
  <c r="R25" i="43"/>
  <c r="X22" i="41"/>
  <c r="W28" i="41"/>
  <c r="X28" i="41" s="1"/>
  <c r="X15" i="41"/>
  <c r="W16" i="41"/>
  <c r="X16" i="41" s="1"/>
  <c r="W17" i="41"/>
  <c r="X17" i="41" s="1"/>
  <c r="X13" i="41"/>
  <c r="W42" i="41"/>
  <c r="X21" i="41"/>
  <c r="W27" i="41"/>
  <c r="X27" i="41" s="1"/>
  <c r="H22" i="41"/>
  <c r="W13" i="43"/>
  <c r="Q17" i="43"/>
  <c r="R17" i="43" s="1"/>
  <c r="Q42" i="43"/>
  <c r="R13" i="43"/>
  <c r="X26" i="41"/>
  <c r="W32" i="41"/>
  <c r="X32" i="41" s="1"/>
  <c r="K22" i="41"/>
  <c r="H15" i="43"/>
  <c r="N15" i="41"/>
  <c r="I15" i="41"/>
  <c r="W15" i="43"/>
  <c r="Q16" i="43"/>
  <c r="R16" i="43" s="1"/>
  <c r="R15" i="43"/>
  <c r="W21" i="43"/>
  <c r="Q27" i="43"/>
  <c r="R27" i="43" s="1"/>
  <c r="R21" i="43"/>
  <c r="W31" i="43" l="1"/>
  <c r="X31" i="43" s="1"/>
  <c r="X25" i="43"/>
  <c r="O13" i="41"/>
  <c r="N17" i="41"/>
  <c r="O17" i="41" s="1"/>
  <c r="AC13" i="41"/>
  <c r="N42" i="41"/>
  <c r="K21" i="43"/>
  <c r="L21" i="41"/>
  <c r="K27" i="41"/>
  <c r="L27" i="41" s="1"/>
  <c r="H22" i="43"/>
  <c r="N22" i="41"/>
  <c r="I22" i="41"/>
  <c r="H28" i="41"/>
  <c r="I28" i="41" s="1"/>
  <c r="N13" i="43"/>
  <c r="H17" i="43"/>
  <c r="I17" i="43" s="1"/>
  <c r="H42" i="43"/>
  <c r="I13" i="43"/>
  <c r="W29" i="43"/>
  <c r="X29" i="43" s="1"/>
  <c r="X23" i="43"/>
  <c r="W28" i="43"/>
  <c r="X28" i="43" s="1"/>
  <c r="X22" i="43"/>
  <c r="K24" i="43"/>
  <c r="L24" i="41"/>
  <c r="K30" i="41"/>
  <c r="L30" i="41" s="1"/>
  <c r="W27" i="43"/>
  <c r="X27" i="43" s="1"/>
  <c r="X21" i="43"/>
  <c r="H26" i="43"/>
  <c r="I26" i="41"/>
  <c r="N26" i="41"/>
  <c r="H32" i="41"/>
  <c r="I32" i="41" s="1"/>
  <c r="W17" i="43"/>
  <c r="X17" i="43" s="1"/>
  <c r="W42" i="43"/>
  <c r="X13" i="43"/>
  <c r="K17" i="43"/>
  <c r="L17" i="43" s="1"/>
  <c r="K42" i="43"/>
  <c r="L13" i="43"/>
  <c r="W32" i="43"/>
  <c r="X32" i="43" s="1"/>
  <c r="X26" i="43"/>
  <c r="H10" i="43"/>
  <c r="H16" i="43" s="1"/>
  <c r="I16" i="43" s="1"/>
  <c r="N10" i="41"/>
  <c r="N16" i="41" s="1"/>
  <c r="O16" i="41" s="1"/>
  <c r="I10" i="41"/>
  <c r="K25" i="43"/>
  <c r="L25" i="41"/>
  <c r="K31" i="41"/>
  <c r="L31" i="41" s="1"/>
  <c r="H24" i="43"/>
  <c r="N24" i="41"/>
  <c r="I24" i="41"/>
  <c r="H30" i="41"/>
  <c r="I30" i="41" s="1"/>
  <c r="W16" i="43"/>
  <c r="X16" i="43" s="1"/>
  <c r="X15" i="43"/>
  <c r="K10" i="43"/>
  <c r="L10" i="43" s="1"/>
  <c r="L10" i="41"/>
  <c r="K23" i="43"/>
  <c r="L23" i="41"/>
  <c r="K29" i="41"/>
  <c r="L29" i="41" s="1"/>
  <c r="H25" i="43"/>
  <c r="I25" i="41"/>
  <c r="N25" i="41"/>
  <c r="H31" i="41"/>
  <c r="I31" i="41" s="1"/>
  <c r="O15" i="41"/>
  <c r="AC15" i="41"/>
  <c r="K26" i="43"/>
  <c r="L26" i="41"/>
  <c r="K32" i="41"/>
  <c r="L32" i="41" s="1"/>
  <c r="H23" i="43"/>
  <c r="N23" i="41"/>
  <c r="I23" i="41"/>
  <c r="H29" i="41"/>
  <c r="I29" i="41" s="1"/>
  <c r="K22" i="43"/>
  <c r="L22" i="41"/>
  <c r="K28" i="41"/>
  <c r="L28" i="41" s="1"/>
  <c r="K16" i="41"/>
  <c r="L16" i="41" s="1"/>
  <c r="W30" i="43"/>
  <c r="X30" i="43" s="1"/>
  <c r="X24" i="43"/>
  <c r="H21" i="43"/>
  <c r="N21" i="41"/>
  <c r="I21" i="41"/>
  <c r="H27" i="41"/>
  <c r="I27" i="41" s="1"/>
  <c r="N15" i="43"/>
  <c r="I15" i="43"/>
  <c r="X10" i="43"/>
  <c r="L15" i="43"/>
  <c r="AC23" i="41" l="1"/>
  <c r="O23" i="41"/>
  <c r="N29" i="41"/>
  <c r="O29" i="41" s="1"/>
  <c r="K29" i="43"/>
  <c r="L29" i="43" s="1"/>
  <c r="L23" i="43"/>
  <c r="K28" i="43"/>
  <c r="L28" i="43" s="1"/>
  <c r="L22" i="43"/>
  <c r="AC24" i="41"/>
  <c r="O24" i="41"/>
  <c r="N30" i="41"/>
  <c r="O30" i="41" s="1"/>
  <c r="AC26" i="41"/>
  <c r="O26" i="41"/>
  <c r="N32" i="41"/>
  <c r="O32" i="41" s="1"/>
  <c r="O22" i="41"/>
  <c r="AC22" i="41"/>
  <c r="N28" i="41"/>
  <c r="O28" i="41" s="1"/>
  <c r="N24" i="43"/>
  <c r="H30" i="43"/>
  <c r="I30" i="43" s="1"/>
  <c r="I24" i="43"/>
  <c r="N22" i="43"/>
  <c r="H28" i="43"/>
  <c r="I28" i="43" s="1"/>
  <c r="I22" i="43"/>
  <c r="N26" i="43"/>
  <c r="H32" i="43"/>
  <c r="I32" i="43" s="1"/>
  <c r="I26" i="43"/>
  <c r="N16" i="43"/>
  <c r="O16" i="43" s="1"/>
  <c r="AC15" i="43"/>
  <c r="O15" i="43"/>
  <c r="K27" i="43"/>
  <c r="L27" i="43" s="1"/>
  <c r="L21" i="43"/>
  <c r="K16" i="43"/>
  <c r="L16" i="43" s="1"/>
  <c r="AC10" i="41"/>
  <c r="O10" i="41"/>
  <c r="K30" i="43"/>
  <c r="L30" i="43" s="1"/>
  <c r="L24" i="43"/>
  <c r="AD13" i="41"/>
  <c r="AC17" i="41"/>
  <c r="AC42" i="41"/>
  <c r="N23" i="43"/>
  <c r="H29" i="43"/>
  <c r="I29" i="43" s="1"/>
  <c r="I23" i="43"/>
  <c r="N10" i="43"/>
  <c r="I10" i="43"/>
  <c r="O21" i="41"/>
  <c r="AC21" i="41"/>
  <c r="N27" i="41"/>
  <c r="O27" i="41" s="1"/>
  <c r="N21" i="43"/>
  <c r="H27" i="43"/>
  <c r="I27" i="43" s="1"/>
  <c r="I21" i="43"/>
  <c r="N25" i="43"/>
  <c r="H31" i="43"/>
  <c r="I31" i="43" s="1"/>
  <c r="I25" i="43"/>
  <c r="K32" i="43"/>
  <c r="L32" i="43" s="1"/>
  <c r="L26" i="43"/>
  <c r="AD15" i="41"/>
  <c r="AC16" i="41"/>
  <c r="AD16" i="41" s="1"/>
  <c r="O25" i="41"/>
  <c r="AC25" i="41"/>
  <c r="N31" i="41"/>
  <c r="O31" i="41" s="1"/>
  <c r="AC13" i="43"/>
  <c r="N17" i="43"/>
  <c r="O17" i="43" s="1"/>
  <c r="N42" i="43"/>
  <c r="O13" i="43"/>
  <c r="K31" i="43"/>
  <c r="L31" i="43" s="1"/>
  <c r="L25" i="43"/>
  <c r="AD22" i="41" l="1"/>
  <c r="AC28" i="41"/>
  <c r="AD28" i="41" s="1"/>
  <c r="AD17" i="41"/>
  <c r="AG18" i="41"/>
  <c r="AD24" i="41"/>
  <c r="AC30" i="41"/>
  <c r="AD30" i="41" s="1"/>
  <c r="AC24" i="43"/>
  <c r="N30" i="43"/>
  <c r="O30" i="43" s="1"/>
  <c r="O24" i="43"/>
  <c r="AD10" i="41"/>
  <c r="AC10" i="43"/>
  <c r="AD10" i="43" s="1"/>
  <c r="O10" i="43"/>
  <c r="AC22" i="43"/>
  <c r="N28" i="43"/>
  <c r="O28" i="43" s="1"/>
  <c r="O22" i="43"/>
  <c r="AC25" i="43"/>
  <c r="N31" i="43"/>
  <c r="O31" i="43" s="1"/>
  <c r="O25" i="43"/>
  <c r="AC21" i="43"/>
  <c r="N27" i="43"/>
  <c r="O27" i="43" s="1"/>
  <c r="O21" i="43"/>
  <c r="AC26" i="43"/>
  <c r="N32" i="43"/>
  <c r="O32" i="43" s="1"/>
  <c r="O26" i="43"/>
  <c r="AD26" i="41"/>
  <c r="AC32" i="41"/>
  <c r="AD32" i="41" s="1"/>
  <c r="AC17" i="43"/>
  <c r="AD15" i="43"/>
  <c r="AD21" i="41"/>
  <c r="AC27" i="41"/>
  <c r="AD27" i="41" s="1"/>
  <c r="AC42" i="43"/>
  <c r="AD13" i="43"/>
  <c r="AD25" i="41"/>
  <c r="AC31" i="41"/>
  <c r="AD31" i="41" s="1"/>
  <c r="N29" i="43"/>
  <c r="O29" i="43" s="1"/>
  <c r="O23" i="43"/>
  <c r="AC23" i="43"/>
  <c r="AD23" i="41"/>
  <c r="AC29" i="41"/>
  <c r="AD29" i="41" s="1"/>
  <c r="AC28" i="43" l="1"/>
  <c r="AD28" i="43" s="1"/>
  <c r="AD22" i="43"/>
  <c r="AC16" i="43"/>
  <c r="AD16" i="43" s="1"/>
  <c r="AC31" i="43"/>
  <c r="AD31" i="43" s="1"/>
  <c r="AD25" i="43"/>
  <c r="AC30" i="43"/>
  <c r="AD30" i="43" s="1"/>
  <c r="AD24" i="43"/>
  <c r="AC32" i="43"/>
  <c r="AD32" i="43" s="1"/>
  <c r="AD26" i="43"/>
  <c r="AD17" i="43"/>
  <c r="AG18" i="43"/>
  <c r="AC29" i="43"/>
  <c r="AD29" i="43" s="1"/>
  <c r="AD23" i="43"/>
  <c r="AC27" i="43"/>
  <c r="AD27" i="43" s="1"/>
  <c r="AD21" i="43"/>
  <c r="S28" i="1" l="1"/>
  <c r="S27" i="1" l="1"/>
  <c r="S29" i="1" s="1"/>
  <c r="T8" i="41" l="1"/>
  <c r="Q8" i="41"/>
  <c r="Q8" i="43" l="1"/>
  <c r="W8" i="41"/>
  <c r="R8" i="41"/>
  <c r="Q12" i="41"/>
  <c r="Q9" i="41"/>
  <c r="R9" i="41" s="1"/>
  <c r="Q14" i="41"/>
  <c r="R14" i="41" s="1"/>
  <c r="T8" i="43"/>
  <c r="U8" i="41"/>
  <c r="T12" i="41"/>
  <c r="T9" i="41" s="1"/>
  <c r="U9" i="41" s="1"/>
  <c r="T14" i="41"/>
  <c r="U14" i="41" s="1"/>
  <c r="U12" i="41" l="1"/>
  <c r="T11" i="41"/>
  <c r="U11" i="41" s="1"/>
  <c r="T12" i="43"/>
  <c r="T9" i="43"/>
  <c r="U9" i="43" s="1"/>
  <c r="U8" i="43"/>
  <c r="T14" i="43"/>
  <c r="U14" i="43" s="1"/>
  <c r="R12" i="41"/>
  <c r="Q11" i="41"/>
  <c r="R11" i="41" s="1"/>
  <c r="X8" i="41"/>
  <c r="W12" i="41"/>
  <c r="W9" i="41"/>
  <c r="X9" i="41" s="1"/>
  <c r="W14" i="41"/>
  <c r="X14" i="41" s="1"/>
  <c r="W8" i="43"/>
  <c r="Q12" i="43"/>
  <c r="R8" i="43"/>
  <c r="Q14" i="43"/>
  <c r="R14" i="43" s="1"/>
  <c r="T19" i="41"/>
  <c r="T19" i="43" l="1"/>
  <c r="U19" i="43" s="1"/>
  <c r="U19" i="41"/>
  <c r="Q9" i="43"/>
  <c r="R9" i="43" s="1"/>
  <c r="R12" i="43"/>
  <c r="Q11" i="43"/>
  <c r="R11" i="43" s="1"/>
  <c r="W12" i="43"/>
  <c r="X8" i="43"/>
  <c r="W14" i="43"/>
  <c r="X14" i="43" s="1"/>
  <c r="X12" i="41"/>
  <c r="W11" i="41"/>
  <c r="X11" i="41" s="1"/>
  <c r="T11" i="43"/>
  <c r="U11" i="43" s="1"/>
  <c r="U12" i="43"/>
  <c r="Q19" i="41"/>
  <c r="Q18" i="41"/>
  <c r="Q18" i="43" l="1"/>
  <c r="R18" i="41"/>
  <c r="Q20" i="41"/>
  <c r="R20" i="41" s="1"/>
  <c r="W9" i="43"/>
  <c r="X9" i="43" s="1"/>
  <c r="X12" i="43"/>
  <c r="W11" i="43"/>
  <c r="X11" i="43" s="1"/>
  <c r="Q19" i="43"/>
  <c r="R19" i="41"/>
  <c r="W19" i="41"/>
  <c r="X19" i="41" s="1"/>
  <c r="T18" i="41"/>
  <c r="W19" i="43" l="1"/>
  <c r="X19" i="43" s="1"/>
  <c r="R19" i="43"/>
  <c r="T18" i="43"/>
  <c r="T20" i="41"/>
  <c r="U20" i="41" s="1"/>
  <c r="U18" i="41"/>
  <c r="W18" i="41"/>
  <c r="W18" i="43"/>
  <c r="Q20" i="43"/>
  <c r="R20" i="43" s="1"/>
  <c r="R18" i="43"/>
  <c r="W20" i="43" l="1"/>
  <c r="X20" i="43" s="1"/>
  <c r="X18" i="43"/>
  <c r="W20" i="41"/>
  <c r="X20" i="41" s="1"/>
  <c r="X18" i="41"/>
  <c r="T20" i="43"/>
  <c r="U20" i="43" s="1"/>
  <c r="U18" i="43"/>
  <c r="K8" i="41" l="1"/>
  <c r="H8" i="41"/>
  <c r="K8" i="43" l="1"/>
  <c r="L8" i="41"/>
  <c r="K12" i="41"/>
  <c r="K9" i="41"/>
  <c r="L9" i="41" s="1"/>
  <c r="K14" i="41"/>
  <c r="L14" i="41" s="1"/>
  <c r="T28" i="1"/>
  <c r="H8" i="43"/>
  <c r="I8" i="41"/>
  <c r="N8" i="41"/>
  <c r="H12" i="41"/>
  <c r="H9" i="41" s="1"/>
  <c r="I9" i="41" s="1"/>
  <c r="H14" i="41"/>
  <c r="I14" i="41" s="1"/>
  <c r="I12" i="41" l="1"/>
  <c r="H11" i="41"/>
  <c r="I11" i="41" s="1"/>
  <c r="O8" i="41"/>
  <c r="N12" i="41"/>
  <c r="AC8" i="41"/>
  <c r="N9" i="41"/>
  <c r="O9" i="41" s="1"/>
  <c r="N14" i="41"/>
  <c r="O14" i="41" s="1"/>
  <c r="N8" i="43"/>
  <c r="H12" i="43"/>
  <c r="I8" i="43"/>
  <c r="H14" i="43"/>
  <c r="I14" i="43" s="1"/>
  <c r="U28" i="1"/>
  <c r="W28" i="1"/>
  <c r="T27" i="1"/>
  <c r="L12" i="41"/>
  <c r="K11" i="41"/>
  <c r="L11" i="41" s="1"/>
  <c r="K12" i="43"/>
  <c r="L8" i="43"/>
  <c r="K14" i="43"/>
  <c r="L14" i="43" s="1"/>
  <c r="K11" i="43" l="1"/>
  <c r="L11" i="43" s="1"/>
  <c r="L12" i="43"/>
  <c r="H9" i="43"/>
  <c r="I9" i="43" s="1"/>
  <c r="I12" i="43"/>
  <c r="H11" i="43"/>
  <c r="I11" i="43" s="1"/>
  <c r="K9" i="43"/>
  <c r="L9" i="43" s="1"/>
  <c r="O8" i="43"/>
  <c r="N14" i="43"/>
  <c r="O14" i="43" s="1"/>
  <c r="N12" i="43"/>
  <c r="AC8" i="43"/>
  <c r="T29" i="1"/>
  <c r="W27" i="1"/>
  <c r="U27" i="1"/>
  <c r="AC12" i="41"/>
  <c r="AD8" i="41"/>
  <c r="AC9" i="41"/>
  <c r="AD9" i="41" s="1"/>
  <c r="AC14" i="41"/>
  <c r="AD14" i="41" s="1"/>
  <c r="O12" i="41"/>
  <c r="N11" i="41"/>
  <c r="O11" i="41" s="1"/>
  <c r="K18" i="41"/>
  <c r="H18" i="41"/>
  <c r="K19" i="41"/>
  <c r="N9" i="43" l="1"/>
  <c r="O9" i="43" s="1"/>
  <c r="O12" i="43"/>
  <c r="N11" i="43"/>
  <c r="O11" i="43" s="1"/>
  <c r="AD12" i="41"/>
  <c r="AG13" i="41"/>
  <c r="AC11" i="41"/>
  <c r="AD11" i="41" s="1"/>
  <c r="AC12" i="43"/>
  <c r="AC9" i="43"/>
  <c r="AD9" i="43" s="1"/>
  <c r="AD8" i="43"/>
  <c r="AC14" i="43"/>
  <c r="AD14" i="43" s="1"/>
  <c r="U29" i="1"/>
  <c r="W29" i="1"/>
  <c r="H19" i="41"/>
  <c r="H18" i="43"/>
  <c r="I18" i="41"/>
  <c r="H20" i="41"/>
  <c r="I20" i="41" s="1"/>
  <c r="N18" i="41"/>
  <c r="K19" i="43"/>
  <c r="L19" i="43" s="1"/>
  <c r="L19" i="41"/>
  <c r="K18" i="43"/>
  <c r="K20" i="41"/>
  <c r="L20" i="41" s="1"/>
  <c r="L18" i="41"/>
  <c r="O18" i="41" l="1"/>
  <c r="AC18" i="41"/>
  <c r="N18" i="43"/>
  <c r="I18" i="43"/>
  <c r="AC11" i="43"/>
  <c r="AD11" i="43" s="1"/>
  <c r="AD12" i="43"/>
  <c r="AG13" i="43"/>
  <c r="H19" i="43"/>
  <c r="N19" i="41"/>
  <c r="I19" i="41"/>
  <c r="K20" i="43"/>
  <c r="L20" i="43" s="1"/>
  <c r="L18" i="43"/>
  <c r="N19" i="43" l="1"/>
  <c r="I19" i="43"/>
  <c r="H20" i="43"/>
  <c r="I20" i="43" s="1"/>
  <c r="O19" i="41"/>
  <c r="AC19" i="41"/>
  <c r="AD19" i="41" s="1"/>
  <c r="AC18" i="43"/>
  <c r="N20" i="43"/>
  <c r="O20" i="43" s="1"/>
  <c r="O18" i="43"/>
  <c r="AD18" i="41"/>
  <c r="AC20" i="41"/>
  <c r="N20" i="41"/>
  <c r="O20" i="41" s="1"/>
  <c r="AD20" i="41" l="1"/>
  <c r="AG22" i="41"/>
  <c r="AG21" i="41"/>
  <c r="AD18" i="43"/>
  <c r="AC19" i="43"/>
  <c r="AD19" i="43" s="1"/>
  <c r="O19" i="43"/>
  <c r="AC20" i="43" l="1"/>
  <c r="AD20" i="43" l="1"/>
  <c r="AG22" i="43"/>
  <c r="AG21" i="43"/>
</calcChain>
</file>

<file path=xl/sharedStrings.xml><?xml version="1.0" encoding="utf-8"?>
<sst xmlns="http://schemas.openxmlformats.org/spreadsheetml/2006/main" count="753" uniqueCount="234">
  <si>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</si>
  <si>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</si>
  <si>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</si>
  <si>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</si>
  <si>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</si>
  <si>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</si>
  <si>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</si>
  <si>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</si>
  <si>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</si>
  <si>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</si>
  <si>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</si>
  <si>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</si>
  <si>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</si>
  <si>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</si>
  <si>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전년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</si>
  <si>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</si>
  <si>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</si>
  <si>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</si>
  <si>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</si>
  <si>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</si>
  <si>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</si>
  <si>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판매단가</t>
    <phoneticPr fontId="1" type="noConversion"/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</si>
  <si>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</si>
  <si>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</si>
  <si>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</si>
  <si>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</si>
  <si>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</si>
  <si>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</si>
  <si>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</si>
  <si>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</si>
  <si>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</si>
  <si>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</si>
  <si>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원주</t>
  </si>
  <si>
    <t>군산</t>
  </si>
  <si>
    <t>전주</t>
  </si>
  <si>
    <t>제주</t>
  </si>
  <si>
    <t>차이</t>
  </si>
  <si>
    <t>차이</t>
    <phoneticPr fontId="1" type="noConversion"/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</si>
  <si>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</si>
  <si>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</si>
  <si>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</si>
  <si>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</si>
  <si>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</si>
  <si>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(소계)</t>
  </si>
  <si>
    <t>변동비</t>
    <phoneticPr fontId="1" type="noConversion"/>
  </si>
  <si>
    <t>재료비</t>
    <phoneticPr fontId="1" type="noConversion"/>
  </si>
  <si>
    <t>운반비</t>
    <phoneticPr fontId="1" type="noConversion"/>
  </si>
  <si>
    <t>평균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</si>
  <si>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</si>
  <si>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</si>
  <si>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</si>
  <si>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</si>
  <si>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</si>
  <si>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</si>
  <si>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</si>
  <si>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</si>
  <si>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</si>
  <si>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기타권</t>
    <phoneticPr fontId="1" type="noConversion"/>
  </si>
  <si>
    <t>(소계)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</si>
  <si>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</si>
  <si>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</si>
  <si>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</si>
  <si>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</si>
  <si>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</si>
  <si>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</si>
  <si>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</si>
  <si>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</si>
  <si>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</si>
  <si>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</si>
  <si>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</si>
  <si>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</si>
  <si>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</si>
  <si>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</si>
  <si>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</si>
  <si>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</si>
  <si>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</si>
  <si>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[단위 : 톤, 천원]</t>
    <phoneticPr fontId="1" type="noConversion"/>
  </si>
  <si>
    <t>매출액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</si>
  <si>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</si>
  <si>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</si>
  <si>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</si>
  <si>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</si>
  <si>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</si>
  <si>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</si>
  <si>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</si>
  <si>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</si>
  <si>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</si>
  <si>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</si>
  <si>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</si>
  <si>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</si>
  <si>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</si>
  <si>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</si>
  <si>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</si>
  <si>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</si>
  <si>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</si>
  <si>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</si>
  <si>
    <t>대구</t>
    <phoneticPr fontId="1" type="noConversion"/>
  </si>
  <si>
    <t>울산</t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</si>
  <si>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</si>
  <si>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</si>
  <si>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</si>
  <si>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</si>
  <si>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</si>
  <si>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유류비</t>
    <phoneticPr fontId="1" type="noConversion"/>
  </si>
  <si>
    <t>변동비 계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</si>
  <si>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</si>
  <si>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</si>
  <si>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</si>
  <si>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</si>
  <si>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</si>
  <si>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</si>
  <si>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</si>
  <si>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</si>
  <si>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</si>
  <si>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</si>
  <si>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</si>
  <si>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</si>
  <si>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</si>
  <si>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</si>
  <si>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</si>
  <si>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</si>
  <si>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구분</t>
  </si>
  <si>
    <t>철강재</t>
  </si>
  <si>
    <t>기타</t>
  </si>
  <si>
    <t>판관비</t>
  </si>
  <si>
    <t>노무비</t>
  </si>
  <si>
    <t>경비</t>
  </si>
  <si>
    <t>판매단가</t>
  </si>
  <si>
    <t>마진률</t>
  </si>
  <si>
    <t>철강재 단가
및
마진률</t>
    <phoneticPr fontId="1" type="noConversion"/>
  </si>
  <si>
    <t xml:space="preserve"> * 자가이송 운반비 : 부산 3,500 / 김해 3,500 / 정관 8,000 / 양산 5,000 / 창원 8,000</t>
    <phoneticPr fontId="1" type="noConversion"/>
  </si>
  <si>
    <t>단가</t>
    <phoneticPr fontId="1" type="noConversion"/>
  </si>
  <si>
    <t>자가이송</t>
    <phoneticPr fontId="1" type="noConversion"/>
  </si>
  <si>
    <t>외부판매</t>
  </si>
  <si>
    <t>자가이송</t>
  </si>
  <si>
    <t>외부판매</t>
    <phoneticPr fontId="1" type="noConversion"/>
  </si>
  <si>
    <t>골재사업소 계</t>
    <phoneticPr fontId="1" type="noConversion"/>
  </si>
  <si>
    <t>부산 모래</t>
    <phoneticPr fontId="1" type="noConversion"/>
  </si>
  <si>
    <t>서부산 소계</t>
    <phoneticPr fontId="1" type="noConversion"/>
  </si>
  <si>
    <t>서부산 쇄사</t>
    <phoneticPr fontId="1" type="noConversion"/>
  </si>
  <si>
    <t>서부산 쇄석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</si>
  <si>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</si>
  <si>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</si>
  <si>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영업이익(공통비 미배부)</t>
    <phoneticPr fontId="1" type="noConversion"/>
  </si>
  <si>
    <t>물량 차이</t>
    <phoneticPr fontId="1" type="noConversion"/>
  </si>
  <si>
    <t>판매단가 차이</t>
    <phoneticPr fontId="1" type="noConversion"/>
  </si>
  <si>
    <t>제조원가 차이</t>
    <phoneticPr fontId="1" type="noConversion"/>
  </si>
  <si>
    <t>판관비 등 차이</t>
    <phoneticPr fontId="1" type="noConversion"/>
  </si>
  <si>
    <t>손익</t>
    <phoneticPr fontId="1" type="noConversion"/>
  </si>
  <si>
    <t>[단위 : 백만원, 천㎥]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</si>
  <si>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</si>
  <si>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</si>
  <si>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</si>
  <si>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</si>
  <si>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</si>
  <si>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</si>
  <si>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</si>
  <si>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[단위 : kg/㎥]</t>
    <phoneticPr fontId="1" type="noConversion"/>
  </si>
  <si>
    <t>OPC</t>
    <phoneticPr fontId="1" type="noConversion"/>
  </si>
  <si>
    <t>분체류</t>
    <phoneticPr fontId="1" type="noConversion"/>
  </si>
  <si>
    <t>분체류 치환률</t>
    <phoneticPr fontId="1" type="noConversion"/>
  </si>
  <si>
    <t>자갈</t>
    <phoneticPr fontId="1" type="noConversion"/>
  </si>
  <si>
    <t>모래</t>
    <phoneticPr fontId="1" type="noConversion"/>
  </si>
  <si>
    <t>혼화제</t>
    <phoneticPr fontId="1" type="noConversion"/>
  </si>
  <si>
    <t>* 공통비</t>
    <phoneticPr fontId="1" type="noConversion"/>
  </si>
  <si>
    <t>합계</t>
    <phoneticPr fontId="1" type="noConversion"/>
  </si>
  <si>
    <t>기타</t>
    <phoneticPr fontId="1" type="noConversion"/>
  </si>
  <si>
    <t>[단위 : ㎥, 천원]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</si>
  <si>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</si>
  <si>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</si>
  <si>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</si>
  <si>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</si>
  <si>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</si>
  <si>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4월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</si>
  <si>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</si>
  <si>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</si>
  <si>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</si>
  <si>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</si>
  <si>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김포</t>
    <phoneticPr fontId="1" type="noConversion"/>
  </si>
  <si>
    <t>2월</t>
  </si>
  <si>
    <t>1월</t>
    <phoneticPr fontId="1" type="noConversion"/>
  </si>
  <si>
    <t>3월</t>
    <phoneticPr fontId="1" type="noConversion"/>
  </si>
  <si>
    <t>5월</t>
    <phoneticPr fontId="1" type="noConversion"/>
  </si>
  <si>
    <t>6월</t>
  </si>
  <si>
    <t>□ 기타내역(영업이익)</t>
    <phoneticPr fontId="1" type="noConversion"/>
  </si>
  <si>
    <t>7월</t>
    <phoneticPr fontId="1" type="noConversion"/>
  </si>
  <si>
    <t>부산크라샤 쇄석</t>
    <phoneticPr fontId="1" type="noConversion"/>
  </si>
  <si>
    <t>부산크라샤 쇄사</t>
    <phoneticPr fontId="1" type="noConversion"/>
  </si>
  <si>
    <t>부산크라샤 소계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</si>
  <si>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</si>
  <si>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</si>
  <si>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</si>
  <si>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</si>
  <si>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</si>
  <si>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</si>
  <si>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</si>
  <si>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</si>
  <si>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</si>
  <si>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</si>
  <si>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</si>
  <si>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</si>
  <si>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</si>
  <si>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</si>
  <si>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</si>
  <si>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2월 누계</t>
  </si>
  <si>
    <t>2월</t>
    <phoneticPr fontId="1" type="noConversion"/>
  </si>
  <si>
    <t>구분</t>
    <phoneticPr fontId="1" type="noConversion"/>
  </si>
  <si>
    <t>물량</t>
    <phoneticPr fontId="1" type="noConversion"/>
  </si>
  <si>
    <t>매출액</t>
    <phoneticPr fontId="1" type="noConversion"/>
  </si>
  <si>
    <t>영업이익</t>
    <phoneticPr fontId="1" type="noConversion"/>
  </si>
  <si>
    <t>계</t>
    <phoneticPr fontId="1" type="noConversion"/>
  </si>
  <si>
    <t>(단위 : 천㎥, 천톤, 억원)</t>
    <phoneticPr fontId="1" type="noConversion"/>
  </si>
  <si>
    <t>2024년 3월 마감 손익</t>
    <phoneticPr fontId="1" type="noConversion"/>
  </si>
  <si>
    <t>3월</t>
  </si>
  <si>
    <t>3월 누계</t>
  </si>
  <si>
    <t>3월 주요지표</t>
  </si>
  <si>
    <t>□ 사업장별 손익실적(2024-03)</t>
  </si>
  <si>
    <t>□ 사업장별 손익실적(2024-03누계)</t>
  </si>
  <si>
    <t>□ 레미콘 영업이익 차이분석(2024-03)</t>
  </si>
  <si>
    <t>□ 레미콘 단위당 공헌이익(2024-03)</t>
  </si>
  <si>
    <t>□ 2024년 레미콘 원재료단가(2024-03)</t>
  </si>
  <si>
    <t>□ 레미콘 원재료 원단위(2024-03)</t>
  </si>
  <si>
    <t>□ 건자재 손익실적(2024-03)</t>
    <phoneticPr fontId="1" type="noConversion"/>
  </si>
  <si>
    <t>□ 2024년 골재사업소 손익(2024-03)</t>
  </si>
  <si>
    <t>□ 건재사업본부 손익실적(2024-03)</t>
    <phoneticPr fontId="1" type="noConversion"/>
  </si>
  <si>
    <t>3월</t>
    <phoneticPr fontId="1" type="noConversion"/>
  </si>
  <si>
    <t>□ 2024년 골재사업소 손익(2024-03누계)</t>
    <phoneticPr fontId="1" type="noConversion"/>
  </si>
  <si>
    <t>□ 건재부문 실적(3월)</t>
    <phoneticPr fontId="1" type="noConversion"/>
  </si>
  <si>
    <t xml:space="preserve">  - 대손 19억 : 개별 10억(선원건설 7.9억, 송학건설 1억, 계원토건 1.2억) + 집합 9억</t>
    <phoneticPr fontId="1" type="noConversion"/>
  </si>
  <si>
    <t xml:space="preserve">  - 대손 16억 : 개별 10억(선원건설 7.9억, 송학건설 1억, 계원토건 1.2억) + 집합 9억</t>
    <phoneticPr fontId="1" type="noConversion"/>
  </si>
  <si>
    <t xml:space="preserve">                     태영건설 3억 환입</t>
    <phoneticPr fontId="1" type="noConversion"/>
  </si>
  <si>
    <t>부산모래장</t>
  </si>
  <si>
    <t>서부산CR</t>
  </si>
  <si>
    <t>부산CR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</si>
</sst>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#,##0.000_);[Red]\(#,##0.000\)"/>
    <numFmt numFmtId="182" formatCode="#,##0.00_);[Red]\(#,##0.00\)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8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/>
  </cellStyleXfs>
  <cellXfs count="844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9" fontId="0" fillId="0" borderId="0" xfId="0" applyNumberFormat="1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6" xfId="0" applyNumberFormat="1" applyFont="1" applyBorder="1" applyAlignment="1">
      <alignment horizontal="centerContinuous" vertical="center"/>
    </xf>
    <xf numFmtId="178" fontId="0" fillId="0" borderId="10" xfId="0" applyNumberFormat="1" applyBorder="1">
      <alignment vertical="center"/>
    </xf>
    <xf numFmtId="178" fontId="0" fillId="0" borderId="30" xfId="0" applyNumberFormat="1" applyBorder="1">
      <alignment vertical="center"/>
    </xf>
    <xf numFmtId="178" fontId="0" fillId="0" borderId="0" xfId="0" applyNumberFormat="1" applyBorder="1">
      <alignment vertical="center"/>
    </xf>
    <xf numFmtId="178" fontId="0" fillId="0" borderId="0" xfId="0" applyNumberForma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centerContinuous"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68" xfId="0" applyNumberFormat="1" applyFont="1" applyBorder="1" applyAlignment="1">
      <alignment horizontal="centerContinuous" vertical="center"/>
    </xf>
    <xf numFmtId="178" fontId="2" fillId="0" borderId="13" xfId="0" applyNumberFormat="1" applyFont="1" applyBorder="1">
      <alignment vertical="center"/>
    </xf>
    <xf numFmtId="0" fontId="10" fillId="0" borderId="0" xfId="0" applyFont="1">
      <alignment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5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5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5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5" fillId="0" borderId="13" xfId="0" applyNumberFormat="1" applyFont="1" applyBorder="1">
      <alignment vertical="center"/>
    </xf>
    <xf numFmtId="177" fontId="15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5" fillId="0" borderId="16" xfId="0" applyNumberFormat="1" applyFont="1" applyBorder="1">
      <alignment vertical="center"/>
    </xf>
    <xf numFmtId="177" fontId="15" fillId="0" borderId="17" xfId="0" applyNumberFormat="1" applyFont="1" applyBorder="1">
      <alignment vertical="center"/>
    </xf>
    <xf numFmtId="0" fontId="15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16" fillId="6" borderId="1" xfId="0" applyFont="1" applyFill="1" applyBorder="1" applyAlignment="1">
      <alignment horizontal="centerContinuous" vertical="center"/>
    </xf>
    <xf numFmtId="0" fontId="16" fillId="6" borderId="2" xfId="0" applyFont="1" applyFill="1" applyBorder="1" applyAlignment="1">
      <alignment horizontal="centerContinuous" vertical="center"/>
    </xf>
    <xf numFmtId="0" fontId="16" fillId="6" borderId="3" xfId="0" applyFont="1" applyFill="1" applyBorder="1" applyAlignment="1">
      <alignment horizontal="centerContinuous" vertical="center"/>
    </xf>
    <xf numFmtId="0" fontId="17" fillId="0" borderId="0" xfId="0" applyFont="1">
      <alignment vertical="center"/>
    </xf>
    <xf numFmtId="0" fontId="16" fillId="6" borderId="10" xfId="0" applyFont="1" applyFill="1" applyBorder="1" applyAlignment="1">
      <alignment horizontal="centerContinuous" vertical="center"/>
    </xf>
    <xf numFmtId="0" fontId="16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4" xfId="0" applyFont="1" applyBorder="1" applyAlignment="1">
      <alignment horizontal="centerContinuous" vertical="center"/>
    </xf>
    <xf numFmtId="176" fontId="2" fillId="0" borderId="66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0" fillId="0" borderId="7" xfId="0" applyNumberForma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8" fillId="10" borderId="34" xfId="0" applyFont="1" applyFill="1" applyBorder="1" applyAlignment="1">
      <alignment horizontal="centerContinuous" vertical="center"/>
    </xf>
    <xf numFmtId="0" fontId="18" fillId="10" borderId="35" xfId="0" applyFont="1" applyFill="1" applyBorder="1" applyAlignment="1">
      <alignment horizontal="centerContinuous" vertical="center"/>
    </xf>
    <xf numFmtId="0" fontId="18" fillId="10" borderId="36" xfId="0" applyFont="1" applyFill="1" applyBorder="1" applyAlignment="1">
      <alignment horizontal="centerContinuous" vertical="center"/>
    </xf>
    <xf numFmtId="0" fontId="18" fillId="10" borderId="9" xfId="0" applyFont="1" applyFill="1" applyBorder="1" applyAlignment="1">
      <alignment horizontal="center" vertical="center"/>
    </xf>
    <xf numFmtId="0" fontId="18" fillId="10" borderId="10" xfId="0" applyFont="1" applyFill="1" applyBorder="1" applyAlignment="1">
      <alignment horizontal="center" vertical="center"/>
    </xf>
    <xf numFmtId="0" fontId="18" fillId="10" borderId="45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0" fontId="18" fillId="10" borderId="15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50" xfId="0" applyFont="1" applyFill="1" applyBorder="1" applyAlignment="1">
      <alignment horizontal="center" vertical="center"/>
    </xf>
    <xf numFmtId="0" fontId="18" fillId="10" borderId="47" xfId="0" applyFont="1" applyFill="1" applyBorder="1" applyAlignment="1">
      <alignment horizontal="center" vertical="center"/>
    </xf>
    <xf numFmtId="178" fontId="9" fillId="0" borderId="0" xfId="0" applyNumberFormat="1" applyFont="1">
      <alignment vertical="center"/>
    </xf>
    <xf numFmtId="178" fontId="19" fillId="0" borderId="0" xfId="0" applyNumberFormat="1" applyFont="1">
      <alignment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 applyFill="1" applyBorder="1" applyAlignment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0" fillId="0" borderId="5" xfId="0" applyNumberForma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18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8" fontId="2" fillId="0" borderId="33" xfId="0" applyNumberFormat="1" applyFont="1" applyBorder="1" applyAlignment="1">
      <alignment horizontal="right" vertical="center"/>
    </xf>
    <xf numFmtId="178" fontId="6" fillId="0" borderId="0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0" fillId="0" borderId="8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0" fillId="0" borderId="55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7" xfId="0" applyNumberFormat="1" applyFont="1" applyBorder="1">
      <alignment vertical="center"/>
    </xf>
    <xf numFmtId="0" fontId="16" fillId="6" borderId="74" xfId="0" applyFont="1" applyFill="1" applyBorder="1" applyAlignment="1">
      <alignment horizontal="centerContinuous" vertical="center"/>
    </xf>
    <xf numFmtId="178" fontId="0" fillId="0" borderId="30" xfId="0" applyNumberFormat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178" fontId="6" fillId="0" borderId="8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63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8" fontId="6" fillId="0" borderId="5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54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2" fillId="0" borderId="30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2" fillId="0" borderId="33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6" fillId="0" borderId="68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2" fillId="0" borderId="68" xfId="0" applyNumberFormat="1" applyFont="1" applyBorder="1" applyAlignment="1">
      <alignment horizontal="center" vertical="center"/>
    </xf>
    <xf numFmtId="178" fontId="20" fillId="0" borderId="22" xfId="0" applyNumberFormat="1" applyFont="1" applyBorder="1" applyAlignment="1">
      <alignment vertical="center"/>
    </xf>
    <xf numFmtId="178" fontId="20" fillId="0" borderId="23" xfId="0" applyNumberFormat="1" applyFont="1" applyBorder="1" applyAlignment="1">
      <alignment vertical="center"/>
    </xf>
    <xf numFmtId="178" fontId="20" fillId="0" borderId="33" xfId="0" applyNumberFormat="1" applyFont="1" applyBorder="1" applyAlignment="1">
      <alignment vertical="center"/>
    </xf>
    <xf numFmtId="178" fontId="20" fillId="0" borderId="49" xfId="0" applyNumberFormat="1" applyFont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6" fillId="0" borderId="0" xfId="0" applyNumberFormat="1" applyFont="1" applyFill="1" applyBorder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6" fillId="0" borderId="74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2" fillId="0" borderId="66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center" vertical="center"/>
    </xf>
    <xf numFmtId="9" fontId="6" fillId="0" borderId="22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2" fillId="0" borderId="33" xfId="0" applyNumberFormat="1" applyFont="1" applyFill="1" applyBorder="1" applyAlignment="1">
      <alignment horizontal="right" vertical="center"/>
    </xf>
    <xf numFmtId="178" fontId="6" fillId="0" borderId="18" xfId="0" applyNumberFormat="1" applyFont="1" applyFill="1" applyBorder="1" applyAlignment="1">
      <alignment vertical="center"/>
    </xf>
    <xf numFmtId="178" fontId="6" fillId="0" borderId="68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6" fillId="0" borderId="4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2" fillId="0" borderId="31" xfId="0" applyNumberFormat="1" applyFont="1" applyFill="1" applyBorder="1" applyAlignment="1">
      <alignment horizontal="right" vertical="center"/>
    </xf>
    <xf numFmtId="178" fontId="18" fillId="6" borderId="74" xfId="0" applyNumberFormat="1" applyFont="1" applyFill="1" applyBorder="1" applyAlignment="1">
      <alignment horizontal="center" vertical="center"/>
    </xf>
    <xf numFmtId="178" fontId="18" fillId="6" borderId="66" xfId="0" applyNumberFormat="1" applyFont="1" applyFill="1" applyBorder="1" applyAlignment="1">
      <alignment horizontal="center" vertical="center"/>
    </xf>
    <xf numFmtId="178" fontId="18" fillId="6" borderId="64" xfId="0" applyNumberFormat="1" applyFont="1" applyFill="1" applyBorder="1" applyAlignment="1">
      <alignment horizontal="center" vertical="center"/>
    </xf>
    <xf numFmtId="178" fontId="18" fillId="6" borderId="45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8" fillId="6" borderId="29" xfId="0" applyNumberFormat="1" applyFont="1" applyFill="1" applyBorder="1" applyAlignment="1">
      <alignment horizontal="centerContinuous" vertical="center"/>
    </xf>
    <xf numFmtId="178" fontId="18" fillId="6" borderId="28" xfId="0" applyNumberFormat="1" applyFont="1" applyFill="1" applyBorder="1" applyAlignment="1">
      <alignment horizontal="centerContinuous" vertical="center"/>
    </xf>
    <xf numFmtId="178" fontId="18" fillId="6" borderId="27" xfId="0" applyNumberFormat="1" applyFont="1" applyFill="1" applyBorder="1" applyAlignment="1">
      <alignment horizontal="centerContinuous" vertical="center"/>
    </xf>
    <xf numFmtId="178" fontId="18" fillId="0" borderId="0" xfId="0" applyNumberFormat="1" applyFont="1" applyFill="1" applyBorder="1" applyAlignment="1">
      <alignment horizontal="centerContinuous"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5" xfId="0" applyFont="1" applyBorder="1" applyAlignment="1">
      <alignment horizontal="centerContinuous" vertical="center"/>
    </xf>
    <xf numFmtId="176" fontId="2" fillId="0" borderId="76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5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5" fillId="0" borderId="1" xfId="0" applyNumberFormat="1" applyFont="1" applyBorder="1">
      <alignment vertical="center"/>
    </xf>
    <xf numFmtId="176" fontId="15" fillId="0" borderId="4" xfId="0" applyNumberFormat="1" applyFont="1" applyBorder="1">
      <alignment vertical="center"/>
    </xf>
    <xf numFmtId="176" fontId="15" fillId="0" borderId="22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176" fontId="15" fillId="9" borderId="1" xfId="0" applyNumberFormat="1" applyFont="1" applyFill="1" applyBorder="1">
      <alignment vertical="center"/>
    </xf>
    <xf numFmtId="176" fontId="15" fillId="9" borderId="4" xfId="0" applyNumberFormat="1" applyFont="1" applyFill="1" applyBorder="1">
      <alignment vertical="center"/>
    </xf>
    <xf numFmtId="176" fontId="15" fillId="9" borderId="22" xfId="0" applyNumberFormat="1" applyFont="1" applyFill="1" applyBorder="1">
      <alignment vertical="center"/>
    </xf>
    <xf numFmtId="176" fontId="15" fillId="9" borderId="6" xfId="0" applyNumberFormat="1" applyFont="1" applyFill="1" applyBorder="1">
      <alignment vertical="center"/>
    </xf>
    <xf numFmtId="177" fontId="15" fillId="0" borderId="4" xfId="0" applyNumberFormat="1" applyFont="1" applyBorder="1">
      <alignment vertical="center"/>
    </xf>
    <xf numFmtId="177" fontId="15" fillId="0" borderId="6" xfId="0" applyNumberFormat="1" applyFont="1" applyBorder="1">
      <alignment vertical="center"/>
    </xf>
    <xf numFmtId="0" fontId="16" fillId="6" borderId="45" xfId="0" applyFont="1" applyFill="1" applyBorder="1" applyAlignment="1">
      <alignment horizontal="centerContinuous" vertical="center"/>
    </xf>
    <xf numFmtId="177" fontId="15" fillId="0" borderId="46" xfId="0" applyNumberFormat="1" applyFont="1" applyBorder="1">
      <alignment vertical="center"/>
    </xf>
    <xf numFmtId="177" fontId="15" fillId="0" borderId="47" xfId="0" applyNumberFormat="1" applyFont="1" applyBorder="1">
      <alignment vertical="center"/>
    </xf>
    <xf numFmtId="0" fontId="16" fillId="6" borderId="81" xfId="0" applyFont="1" applyFill="1" applyBorder="1" applyAlignment="1">
      <alignment horizontal="centerContinuous" vertical="center"/>
    </xf>
    <xf numFmtId="177" fontId="15" fillId="0" borderId="78" xfId="0" applyNumberFormat="1" applyFont="1" applyBorder="1">
      <alignment vertical="center"/>
    </xf>
    <xf numFmtId="177" fontId="15" fillId="0" borderId="80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4" xfId="0" applyNumberFormat="1" applyBorder="1">
      <alignment vertical="center"/>
    </xf>
    <xf numFmtId="178" fontId="0" fillId="0" borderId="74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6" xfId="0" applyNumberFormat="1" applyBorder="1">
      <alignment vertical="center"/>
    </xf>
    <xf numFmtId="178" fontId="0" fillId="0" borderId="66" xfId="0" applyNumberFormat="1" applyBorder="1">
      <alignment vertical="center"/>
    </xf>
    <xf numFmtId="178" fontId="2" fillId="3" borderId="65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2" borderId="48" xfId="0" applyFont="1" applyFill="1" applyBorder="1" applyAlignment="1">
      <alignment horizontal="centerContinuous" vertical="center"/>
    </xf>
    <xf numFmtId="0" fontId="7" fillId="12" borderId="69" xfId="0" applyFont="1" applyFill="1" applyBorder="1" applyAlignment="1">
      <alignment horizontal="centerContinuous" vertical="center"/>
    </xf>
    <xf numFmtId="0" fontId="7" fillId="12" borderId="1" xfId="0" applyFont="1" applyFill="1" applyBorder="1" applyAlignment="1">
      <alignment horizontal="centerContinuous" vertical="center"/>
    </xf>
    <xf numFmtId="0" fontId="7" fillId="12" borderId="29" xfId="0" applyFont="1" applyFill="1" applyBorder="1" applyAlignment="1">
      <alignment horizontal="centerContinuous" vertical="center"/>
    </xf>
    <xf numFmtId="0" fontId="7" fillId="12" borderId="39" xfId="0" applyFont="1" applyFill="1" applyBorder="1" applyAlignment="1">
      <alignment horizontal="centerContinuous" vertical="center"/>
    </xf>
    <xf numFmtId="0" fontId="7" fillId="12" borderId="30" xfId="0" applyFont="1" applyFill="1" applyBorder="1" applyAlignment="1">
      <alignment horizontal="centerContinuous" vertical="center"/>
    </xf>
    <xf numFmtId="0" fontId="2" fillId="12" borderId="48" xfId="0" applyFont="1" applyFill="1" applyBorder="1" applyAlignment="1">
      <alignment horizontal="centerContinuous" vertical="center"/>
    </xf>
    <xf numFmtId="0" fontId="2" fillId="12" borderId="69" xfId="0" applyFont="1" applyFill="1" applyBorder="1" applyAlignment="1">
      <alignment horizontal="centerContinuous" vertical="center"/>
    </xf>
    <xf numFmtId="178" fontId="2" fillId="12" borderId="1" xfId="0" applyNumberFormat="1" applyFont="1" applyFill="1" applyBorder="1" applyAlignment="1">
      <alignment horizontal="centerContinuous" vertical="center"/>
    </xf>
    <xf numFmtId="178" fontId="2" fillId="12" borderId="29" xfId="0" applyNumberFormat="1" applyFont="1" applyFill="1" applyBorder="1" applyAlignment="1">
      <alignment horizontal="centerContinuous" vertical="center"/>
    </xf>
    <xf numFmtId="178" fontId="2" fillId="12" borderId="2" xfId="0" applyNumberFormat="1" applyFont="1" applyFill="1" applyBorder="1" applyAlignment="1">
      <alignment horizontal="centerContinuous" vertical="center"/>
    </xf>
    <xf numFmtId="178" fontId="2" fillId="12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3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7" fontId="6" fillId="0" borderId="8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Continuous" vertical="center"/>
    </xf>
    <xf numFmtId="0" fontId="16" fillId="6" borderId="67" xfId="0" applyFont="1" applyFill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2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83" xfId="0" applyNumberFormat="1" applyFont="1" applyBorder="1">
      <alignment vertical="center"/>
    </xf>
    <xf numFmtId="178" fontId="6" fillId="0" borderId="84" xfId="0" applyNumberFormat="1" applyFont="1" applyBorder="1">
      <alignment vertical="center"/>
    </xf>
    <xf numFmtId="177" fontId="6" fillId="0" borderId="71" xfId="0" applyNumberFormat="1" applyFont="1" applyBorder="1">
      <alignment vertical="center"/>
    </xf>
    <xf numFmtId="177" fontId="6" fillId="0" borderId="83" xfId="0" applyNumberFormat="1" applyFont="1" applyBorder="1">
      <alignment vertical="center"/>
    </xf>
    <xf numFmtId="177" fontId="6" fillId="0" borderId="72" xfId="0" applyNumberFormat="1" applyFont="1" applyBorder="1">
      <alignment vertical="center"/>
    </xf>
    <xf numFmtId="0" fontId="16" fillId="6" borderId="69" xfId="0" applyFont="1" applyFill="1" applyBorder="1" applyAlignment="1">
      <alignment horizontal="centerContinuous" vertical="center"/>
    </xf>
    <xf numFmtId="0" fontId="16" fillId="6" borderId="55" xfId="0" applyFont="1" applyFill="1" applyBorder="1" applyAlignment="1">
      <alignment horizontal="centerContinuous"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76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18" fillId="6" borderId="10" xfId="0" applyNumberFormat="1" applyFont="1" applyFill="1" applyBorder="1" applyAlignment="1">
      <alignment horizontal="center" vertical="center"/>
    </xf>
    <xf numFmtId="178" fontId="2" fillId="0" borderId="29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2" fillId="0" borderId="20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18" fillId="6" borderId="39" xfId="0" applyNumberFormat="1" applyFont="1" applyFill="1" applyBorder="1" applyAlignment="1">
      <alignment horizontal="centerContinuous" vertical="center"/>
    </xf>
    <xf numFmtId="178" fontId="18" fillId="6" borderId="85" xfId="0" applyNumberFormat="1" applyFont="1" applyFill="1" applyBorder="1" applyAlignment="1">
      <alignment horizontal="centerContinuous" vertical="center"/>
    </xf>
    <xf numFmtId="178" fontId="18" fillId="6" borderId="86" xfId="0" applyNumberFormat="1" applyFont="1" applyFill="1" applyBorder="1" applyAlignment="1">
      <alignment horizontal="centerContinuous" vertical="center"/>
    </xf>
    <xf numFmtId="178" fontId="18" fillId="6" borderId="87" xfId="0" applyNumberFormat="1" applyFont="1" applyFill="1" applyBorder="1" applyAlignment="1">
      <alignment horizontal="centerContinuous" vertical="center"/>
    </xf>
    <xf numFmtId="178" fontId="18" fillId="6" borderId="88" xfId="0" applyNumberFormat="1" applyFont="1" applyFill="1" applyBorder="1" applyAlignment="1">
      <alignment horizontal="center" vertical="center"/>
    </xf>
    <xf numFmtId="178" fontId="18" fillId="6" borderId="89" xfId="0" applyNumberFormat="1" applyFont="1" applyFill="1" applyBorder="1" applyAlignment="1">
      <alignment horizontal="center" vertical="center"/>
    </xf>
    <xf numFmtId="178" fontId="6" fillId="0" borderId="90" xfId="0" applyNumberFormat="1" applyFont="1" applyFill="1" applyBorder="1" applyAlignment="1">
      <alignment vertical="center"/>
    </xf>
    <xf numFmtId="178" fontId="6" fillId="0" borderId="91" xfId="0" applyNumberFormat="1" applyFont="1" applyFill="1" applyBorder="1" applyAlignment="1">
      <alignment vertical="center"/>
    </xf>
    <xf numFmtId="9" fontId="6" fillId="0" borderId="92" xfId="0" applyNumberFormat="1" applyFont="1" applyFill="1" applyBorder="1" applyAlignment="1">
      <alignment vertical="center"/>
    </xf>
    <xf numFmtId="9" fontId="6" fillId="0" borderId="93" xfId="0" applyNumberFormat="1" applyFont="1" applyFill="1" applyBorder="1" applyAlignment="1">
      <alignment vertical="center"/>
    </xf>
    <xf numFmtId="178" fontId="6" fillId="0" borderId="94" xfId="0" applyNumberFormat="1" applyFont="1" applyFill="1" applyBorder="1" applyAlignment="1">
      <alignment vertical="center"/>
    </xf>
    <xf numFmtId="178" fontId="6" fillId="0" borderId="95" xfId="0" applyNumberFormat="1" applyFont="1" applyFill="1" applyBorder="1" applyAlignment="1">
      <alignment vertical="center"/>
    </xf>
    <xf numFmtId="9" fontId="6" fillId="0" borderId="96" xfId="0" applyNumberFormat="1" applyFont="1" applyFill="1" applyBorder="1" applyAlignment="1">
      <alignment vertical="center"/>
    </xf>
    <xf numFmtId="9" fontId="6" fillId="0" borderId="97" xfId="0" applyNumberFormat="1" applyFont="1" applyFill="1" applyBorder="1" applyAlignment="1">
      <alignment vertical="center"/>
    </xf>
    <xf numFmtId="178" fontId="6" fillId="0" borderId="88" xfId="0" applyNumberFormat="1" applyFont="1" applyFill="1" applyBorder="1" applyAlignment="1">
      <alignment vertical="center"/>
    </xf>
    <xf numFmtId="178" fontId="6" fillId="0" borderId="89" xfId="0" applyNumberFormat="1" applyFont="1" applyFill="1" applyBorder="1" applyAlignment="1">
      <alignment vertical="center"/>
    </xf>
    <xf numFmtId="178" fontId="20" fillId="0" borderId="96" xfId="0" applyNumberFormat="1" applyFont="1" applyBorder="1" applyAlignment="1">
      <alignment vertical="center"/>
    </xf>
    <xf numFmtId="178" fontId="20" fillId="0" borderId="97" xfId="0" applyNumberFormat="1" applyFont="1" applyBorder="1" applyAlignment="1">
      <alignment vertical="center"/>
    </xf>
    <xf numFmtId="178" fontId="6" fillId="0" borderId="94" xfId="0" applyNumberFormat="1" applyFont="1" applyBorder="1" applyAlignment="1">
      <alignment vertical="center"/>
    </xf>
    <xf numFmtId="178" fontId="6" fillId="0" borderId="95" xfId="0" applyNumberFormat="1" applyFont="1" applyBorder="1" applyAlignment="1">
      <alignment vertical="center"/>
    </xf>
    <xf numFmtId="178" fontId="6" fillId="0" borderId="90" xfId="0" applyNumberFormat="1" applyFont="1" applyBorder="1" applyAlignment="1">
      <alignment vertical="center"/>
    </xf>
    <xf numFmtId="178" fontId="6" fillId="0" borderId="91" xfId="0" applyNumberFormat="1" applyFont="1" applyBorder="1" applyAlignment="1">
      <alignment vertical="center"/>
    </xf>
    <xf numFmtId="178" fontId="6" fillId="0" borderId="96" xfId="0" applyNumberFormat="1" applyFont="1" applyBorder="1" applyAlignment="1">
      <alignment vertical="center"/>
    </xf>
    <xf numFmtId="178" fontId="6" fillId="0" borderId="97" xfId="0" applyNumberFormat="1" applyFont="1" applyBorder="1" applyAlignment="1">
      <alignment vertical="center"/>
    </xf>
    <xf numFmtId="178" fontId="6" fillId="0" borderId="98" xfId="0" applyNumberFormat="1" applyFont="1" applyBorder="1" applyAlignment="1">
      <alignment vertical="center"/>
    </xf>
    <xf numFmtId="178" fontId="6" fillId="0" borderId="99" xfId="0" applyNumberFormat="1" applyFont="1" applyBorder="1" applyAlignment="1">
      <alignment vertical="center"/>
    </xf>
    <xf numFmtId="178" fontId="6" fillId="0" borderId="92" xfId="0" applyNumberFormat="1" applyFont="1" applyBorder="1" applyAlignment="1">
      <alignment vertical="center"/>
    </xf>
    <xf numFmtId="178" fontId="6" fillId="0" borderId="93" xfId="0" applyNumberFormat="1" applyFont="1" applyBorder="1" applyAlignment="1">
      <alignment vertical="center"/>
    </xf>
    <xf numFmtId="178" fontId="6" fillId="0" borderId="94" xfId="0" applyNumberFormat="1" applyFont="1" applyBorder="1">
      <alignment vertical="center"/>
    </xf>
    <xf numFmtId="178" fontId="6" fillId="0" borderId="95" xfId="0" applyNumberFormat="1" applyFont="1" applyBorder="1">
      <alignment vertical="center"/>
    </xf>
    <xf numFmtId="178" fontId="6" fillId="0" borderId="92" xfId="0" applyNumberFormat="1" applyFont="1" applyBorder="1">
      <alignment vertical="center"/>
    </xf>
    <xf numFmtId="178" fontId="6" fillId="0" borderId="93" xfId="0" applyNumberFormat="1" applyFont="1" applyBorder="1">
      <alignment vertical="center"/>
    </xf>
    <xf numFmtId="178" fontId="6" fillId="0" borderId="100" xfId="0" applyNumberFormat="1" applyFont="1" applyBorder="1">
      <alignment vertical="center"/>
    </xf>
    <xf numFmtId="178" fontId="2" fillId="0" borderId="73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4" borderId="0" xfId="0" applyNumberFormat="1" applyFont="1" applyFill="1">
      <alignment vertical="center"/>
    </xf>
    <xf numFmtId="178" fontId="22" fillId="0" borderId="20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horizontal="center" vertical="center"/>
    </xf>
    <xf numFmtId="178" fontId="6" fillId="0" borderId="73" xfId="0" applyNumberFormat="1" applyFont="1" applyFill="1" applyBorder="1">
      <alignment vertical="center"/>
    </xf>
    <xf numFmtId="41" fontId="8" fillId="0" borderId="94" xfId="1" applyFont="1" applyFill="1" applyBorder="1" applyAlignment="1">
      <alignment vertical="center"/>
    </xf>
    <xf numFmtId="41" fontId="8" fillId="0" borderId="92" xfId="1" applyFont="1" applyFill="1" applyBorder="1" applyAlignment="1">
      <alignment vertical="center"/>
    </xf>
    <xf numFmtId="41" fontId="8" fillId="0" borderId="92" xfId="1" applyFont="1" applyFill="1" applyBorder="1" applyAlignment="1">
      <alignment horizontal="center" vertical="center"/>
    </xf>
    <xf numFmtId="41" fontId="8" fillId="0" borderId="100" xfId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6" fillId="0" borderId="93" xfId="0" applyNumberFormat="1" applyFont="1" applyBorder="1" applyAlignment="1">
      <alignment horizontal="right" vertical="center"/>
    </xf>
    <xf numFmtId="178" fontId="22" fillId="0" borderId="95" xfId="0" applyNumberFormat="1" applyFont="1" applyFill="1" applyBorder="1" applyAlignment="1">
      <alignment horizontal="right" vertical="center"/>
    </xf>
    <xf numFmtId="178" fontId="22" fillId="0" borderId="93" xfId="0" applyNumberFormat="1" applyFont="1" applyFill="1" applyBorder="1" applyAlignment="1">
      <alignment horizontal="right" vertical="center"/>
    </xf>
    <xf numFmtId="178" fontId="6" fillId="0" borderId="93" xfId="0" applyNumberFormat="1" applyFont="1" applyFill="1" applyBorder="1" applyAlignment="1">
      <alignment horizontal="right" vertical="center"/>
    </xf>
    <xf numFmtId="178" fontId="6" fillId="0" borderId="101" xfId="0" applyNumberFormat="1" applyFont="1" applyFill="1" applyBorder="1" applyAlignment="1">
      <alignment horizontal="right" vertical="center"/>
    </xf>
    <xf numFmtId="41" fontId="0" fillId="0" borderId="0" xfId="1" applyFont="1" applyFill="1" applyBorder="1">
      <alignment vertical="center"/>
    </xf>
    <xf numFmtId="178" fontId="18" fillId="11" borderId="1" xfId="0" applyNumberFormat="1" applyFont="1" applyFill="1" applyBorder="1" applyAlignment="1">
      <alignment horizontal="centerContinuous" vertical="center"/>
    </xf>
    <xf numFmtId="178" fontId="18" fillId="11" borderId="2" xfId="0" applyNumberFormat="1" applyFont="1" applyFill="1" applyBorder="1" applyAlignment="1">
      <alignment horizontal="centerContinuous" vertical="center"/>
    </xf>
    <xf numFmtId="178" fontId="18" fillId="11" borderId="3" xfId="0" applyNumberFormat="1" applyFont="1" applyFill="1" applyBorder="1" applyAlignment="1">
      <alignment horizontal="centerContinuous" vertical="center"/>
    </xf>
    <xf numFmtId="178" fontId="18" fillId="11" borderId="74" xfId="0" applyNumberFormat="1" applyFont="1" applyFill="1" applyBorder="1" applyAlignment="1">
      <alignment horizontal="centerContinuous" vertical="center"/>
    </xf>
    <xf numFmtId="178" fontId="18" fillId="11" borderId="102" xfId="0" applyNumberFormat="1" applyFont="1" applyFill="1" applyBorder="1" applyAlignment="1">
      <alignment horizontal="centerContinuous" vertical="center"/>
    </xf>
    <xf numFmtId="178" fontId="18" fillId="11" borderId="50" xfId="0" applyNumberFormat="1" applyFont="1" applyFill="1" applyBorder="1" applyAlignment="1">
      <alignment horizontal="centerContinuous" vertical="center"/>
    </xf>
    <xf numFmtId="178" fontId="18" fillId="11" borderId="66" xfId="0" applyNumberFormat="1" applyFont="1" applyFill="1" applyBorder="1" applyAlignment="1">
      <alignment horizontal="centerContinuous" vertical="center"/>
    </xf>
    <xf numFmtId="178" fontId="18" fillId="11" borderId="11" xfId="0" applyNumberFormat="1" applyFont="1" applyFill="1" applyBorder="1" applyAlignment="1">
      <alignment horizontal="centerContinuous" vertical="center"/>
    </xf>
    <xf numFmtId="178" fontId="0" fillId="0" borderId="1" xfId="0" applyNumberFormat="1" applyBorder="1">
      <alignment vertical="center"/>
    </xf>
    <xf numFmtId="178" fontId="2" fillId="0" borderId="105" xfId="0" applyNumberFormat="1" applyFont="1" applyBorder="1">
      <alignment vertical="center"/>
    </xf>
    <xf numFmtId="178" fontId="0" fillId="0" borderId="3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4" xfId="0" applyNumberFormat="1" applyBorder="1">
      <alignment vertical="center"/>
    </xf>
    <xf numFmtId="178" fontId="2" fillId="0" borderId="109" xfId="0" applyNumberFormat="1" applyFont="1" applyBorder="1">
      <alignment vertical="center"/>
    </xf>
    <xf numFmtId="178" fontId="0" fillId="0" borderId="14" xfId="0" applyNumberFormat="1" applyBorder="1">
      <alignment vertical="center"/>
    </xf>
    <xf numFmtId="178" fontId="0" fillId="0" borderId="18" xfId="0" applyNumberFormat="1" applyBorder="1">
      <alignment vertical="center"/>
    </xf>
    <xf numFmtId="178" fontId="2" fillId="0" borderId="110" xfId="0" applyNumberFormat="1" applyFont="1" applyBorder="1">
      <alignment vertical="center"/>
    </xf>
    <xf numFmtId="178" fontId="0" fillId="0" borderId="54" xfId="0" applyNumberFormat="1" applyBorder="1">
      <alignment vertical="center"/>
    </xf>
    <xf numFmtId="178" fontId="2" fillId="0" borderId="68" xfId="0" applyNumberFormat="1" applyFont="1" applyBorder="1">
      <alignment vertical="center"/>
    </xf>
    <xf numFmtId="178" fontId="0" fillId="0" borderId="21" xfId="0" applyNumberFormat="1" applyBorder="1">
      <alignment vertical="center"/>
    </xf>
    <xf numFmtId="178" fontId="23" fillId="13" borderId="48" xfId="0" applyNumberFormat="1" applyFont="1" applyFill="1" applyBorder="1" applyAlignment="1">
      <alignment horizontal="right" vertical="center"/>
    </xf>
    <xf numFmtId="178" fontId="23" fillId="13" borderId="69" xfId="0" applyNumberFormat="1" applyFont="1" applyFill="1" applyBorder="1" applyAlignment="1">
      <alignment horizontal="right" vertical="center"/>
    </xf>
    <xf numFmtId="178" fontId="23" fillId="13" borderId="103" xfId="0" applyNumberFormat="1" applyFont="1" applyFill="1" applyBorder="1" applyAlignment="1">
      <alignment horizontal="right" vertical="center"/>
    </xf>
    <xf numFmtId="178" fontId="2" fillId="0" borderId="111" xfId="0" applyNumberFormat="1" applyFont="1" applyBorder="1">
      <alignment vertical="center"/>
    </xf>
    <xf numFmtId="178" fontId="23" fillId="13" borderId="112" xfId="0" applyNumberFormat="1" applyFont="1" applyFill="1" applyBorder="1" applyAlignment="1">
      <alignment horizontal="right" vertical="center"/>
    </xf>
    <xf numFmtId="178" fontId="24" fillId="14" borderId="1" xfId="0" applyNumberFormat="1" applyFont="1" applyFill="1" applyBorder="1" applyAlignment="1">
      <alignment horizontal="right" vertical="center"/>
    </xf>
    <xf numFmtId="178" fontId="24" fillId="14" borderId="2" xfId="0" applyNumberFormat="1" applyFont="1" applyFill="1" applyBorder="1" applyAlignment="1">
      <alignment horizontal="right" vertical="center"/>
    </xf>
    <xf numFmtId="178" fontId="24" fillId="14" borderId="106" xfId="0" applyNumberFormat="1" applyFont="1" applyFill="1" applyBorder="1" applyAlignment="1">
      <alignment horizontal="right" vertical="center"/>
    </xf>
    <xf numFmtId="178" fontId="24" fillId="14" borderId="4" xfId="0" applyNumberFormat="1" applyFont="1" applyFill="1" applyBorder="1" applyAlignment="1">
      <alignment horizontal="right" vertical="center"/>
    </xf>
    <xf numFmtId="178" fontId="23" fillId="13" borderId="104" xfId="0" applyNumberFormat="1" applyFont="1" applyFill="1" applyBorder="1" applyAlignment="1">
      <alignment horizontal="right" vertical="center"/>
    </xf>
    <xf numFmtId="178" fontId="23" fillId="13" borderId="67" xfId="0" applyNumberFormat="1" applyFont="1" applyFill="1" applyBorder="1" applyAlignment="1">
      <alignment horizontal="center" vertical="center"/>
    </xf>
    <xf numFmtId="178" fontId="24" fillId="14" borderId="70" xfId="0" applyNumberFormat="1" applyFont="1" applyFill="1" applyBorder="1" applyAlignment="1">
      <alignment horizontal="center" vertical="center"/>
    </xf>
    <xf numFmtId="178" fontId="24" fillId="14" borderId="113" xfId="0" applyNumberFormat="1" applyFont="1" applyFill="1" applyBorder="1" applyAlignment="1">
      <alignment horizontal="center" vertical="center"/>
    </xf>
    <xf numFmtId="178" fontId="24" fillId="14" borderId="71" xfId="0" applyNumberFormat="1" applyFont="1" applyFill="1" applyBorder="1" applyAlignment="1">
      <alignment horizontal="center" vertical="center"/>
    </xf>
    <xf numFmtId="178" fontId="0" fillId="0" borderId="70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84" xfId="0" applyNumberFormat="1" applyBorder="1" applyAlignment="1">
      <alignment horizontal="center" vertical="center"/>
    </xf>
    <xf numFmtId="178" fontId="24" fillId="14" borderId="108" xfId="0" applyNumberFormat="1" applyFont="1" applyFill="1" applyBorder="1" applyAlignment="1">
      <alignment horizontal="right" vertical="center"/>
    </xf>
    <xf numFmtId="178" fontId="24" fillId="14" borderId="0" xfId="0" applyNumberFormat="1" applyFont="1" applyFill="1" applyBorder="1" applyAlignment="1">
      <alignment horizontal="right" vertical="center"/>
    </xf>
    <xf numFmtId="178" fontId="24" fillId="14" borderId="105" xfId="0" applyNumberFormat="1" applyFont="1" applyFill="1" applyBorder="1" applyAlignment="1">
      <alignment horizontal="right" vertical="center"/>
    </xf>
    <xf numFmtId="178" fontId="24" fillId="14" borderId="107" xfId="0" applyNumberFormat="1" applyFont="1" applyFill="1" applyBorder="1" applyAlignment="1">
      <alignment horizontal="right" vertical="center"/>
    </xf>
    <xf numFmtId="178" fontId="24" fillId="14" borderId="109" xfId="0" applyNumberFormat="1" applyFont="1" applyFill="1" applyBorder="1" applyAlignment="1">
      <alignment horizontal="right" vertical="center"/>
    </xf>
    <xf numFmtId="178" fontId="24" fillId="14" borderId="30" xfId="0" applyNumberFormat="1" applyFont="1" applyFill="1" applyBorder="1" applyAlignment="1">
      <alignment horizontal="right" vertical="center"/>
    </xf>
    <xf numFmtId="178" fontId="24" fillId="14" borderId="44" xfId="0" applyNumberFormat="1" applyFont="1" applyFill="1" applyBorder="1" applyAlignment="1">
      <alignment horizontal="right" vertical="center"/>
    </xf>
    <xf numFmtId="178" fontId="24" fillId="14" borderId="17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23" fillId="13" borderId="55" xfId="0" applyNumberFormat="1" applyFont="1" applyFill="1" applyBorder="1" applyAlignment="1">
      <alignment horizontal="right" vertical="center"/>
    </xf>
    <xf numFmtId="178" fontId="24" fillId="14" borderId="3" xfId="0" applyNumberFormat="1" applyFont="1" applyFill="1" applyBorder="1" applyAlignment="1">
      <alignment horizontal="right" vertical="center"/>
    </xf>
    <xf numFmtId="178" fontId="24" fillId="14" borderId="52" xfId="0" applyNumberFormat="1" applyFont="1" applyFill="1" applyBorder="1" applyAlignment="1">
      <alignment horizontal="right" vertical="center"/>
    </xf>
    <xf numFmtId="178" fontId="24" fillId="14" borderId="5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2" fillId="0" borderId="105" xfId="0" applyNumberFormat="1" applyFont="1" applyBorder="1" applyAlignment="1">
      <alignment horizontal="right" vertical="center"/>
    </xf>
    <xf numFmtId="178" fontId="0" fillId="0" borderId="3" xfId="0" applyNumberForma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2" fillId="0" borderId="109" xfId="0" applyNumberFormat="1" applyFon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2" fillId="0" borderId="110" xfId="0" applyNumberFormat="1" applyFon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0" fillId="0" borderId="6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right" vertical="center"/>
    </xf>
    <xf numFmtId="178" fontId="2" fillId="0" borderId="114" xfId="0" applyNumberFormat="1" applyFont="1" applyBorder="1" applyAlignment="1">
      <alignment horizontal="right" vertical="center"/>
    </xf>
    <xf numFmtId="178" fontId="0" fillId="0" borderId="8" xfId="0" applyNumberForma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9" fontId="0" fillId="0" borderId="1" xfId="0" applyNumberFormat="1" applyBorder="1">
      <alignment vertical="center"/>
    </xf>
    <xf numFmtId="9" fontId="2" fillId="0" borderId="105" xfId="0" applyNumberFormat="1" applyFont="1" applyBorder="1">
      <alignment vertical="center"/>
    </xf>
    <xf numFmtId="9" fontId="0" fillId="0" borderId="3" xfId="0" applyNumberFormat="1" applyBorder="1">
      <alignment vertical="center"/>
    </xf>
    <xf numFmtId="179" fontId="0" fillId="0" borderId="1" xfId="0" applyNumberFormat="1" applyBorder="1">
      <alignment vertical="center"/>
    </xf>
    <xf numFmtId="179" fontId="2" fillId="0" borderId="105" xfId="0" applyNumberFormat="1" applyFont="1" applyBorder="1">
      <alignment vertical="center"/>
    </xf>
    <xf numFmtId="179" fontId="0" fillId="0" borderId="3" xfId="0" applyNumberFormat="1" applyBorder="1">
      <alignment vertical="center"/>
    </xf>
    <xf numFmtId="9" fontId="0" fillId="0" borderId="4" xfId="0" applyNumberFormat="1" applyBorder="1">
      <alignment vertical="center"/>
    </xf>
    <xf numFmtId="9" fontId="2" fillId="0" borderId="109" xfId="0" applyNumberFormat="1" applyFont="1" applyBorder="1">
      <alignment vertical="center"/>
    </xf>
    <xf numFmtId="9" fontId="0" fillId="0" borderId="5" xfId="0" applyNumberFormat="1" applyBorder="1">
      <alignment vertical="center"/>
    </xf>
    <xf numFmtId="179" fontId="0" fillId="0" borderId="4" xfId="0" applyNumberFormat="1" applyBorder="1">
      <alignment vertical="center"/>
    </xf>
    <xf numFmtId="179" fontId="2" fillId="0" borderId="109" xfId="0" applyNumberFormat="1" applyFont="1" applyBorder="1">
      <alignment vertical="center"/>
    </xf>
    <xf numFmtId="179" fontId="0" fillId="0" borderId="5" xfId="0" applyNumberFormat="1" applyBorder="1">
      <alignment vertical="center"/>
    </xf>
    <xf numFmtId="9" fontId="0" fillId="0" borderId="18" xfId="0" applyNumberFormat="1" applyBorder="1">
      <alignment vertical="center"/>
    </xf>
    <xf numFmtId="9" fontId="2" fillId="0" borderId="110" xfId="0" applyNumberFormat="1" applyFont="1" applyBorder="1">
      <alignment vertical="center"/>
    </xf>
    <xf numFmtId="9" fontId="0" fillId="0" borderId="54" xfId="0" applyNumberFormat="1" applyBorder="1">
      <alignment vertical="center"/>
    </xf>
    <xf numFmtId="179" fontId="0" fillId="0" borderId="18" xfId="0" applyNumberFormat="1" applyBorder="1">
      <alignment vertical="center"/>
    </xf>
    <xf numFmtId="179" fontId="2" fillId="0" borderId="110" xfId="0" applyNumberFormat="1" applyFont="1" applyBorder="1">
      <alignment vertical="center"/>
    </xf>
    <xf numFmtId="179" fontId="0" fillId="0" borderId="54" xfId="0" applyNumberFormat="1" applyBorder="1">
      <alignment vertical="center"/>
    </xf>
    <xf numFmtId="178" fontId="0" fillId="0" borderId="6" xfId="0" applyNumberFormat="1" applyBorder="1">
      <alignment vertical="center"/>
    </xf>
    <xf numFmtId="178" fontId="2" fillId="0" borderId="11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9" fontId="2" fillId="0" borderId="11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179" fontId="0" fillId="0" borderId="6" xfId="0" applyNumberFormat="1" applyBorder="1">
      <alignment vertical="center"/>
    </xf>
    <xf numFmtId="179" fontId="2" fillId="0" borderId="114" xfId="0" applyNumberFormat="1" applyFont="1" applyBorder="1">
      <alignment vertical="center"/>
    </xf>
    <xf numFmtId="179" fontId="0" fillId="0" borderId="8" xfId="0" applyNumberFormat="1" applyBorder="1">
      <alignment vertical="center"/>
    </xf>
    <xf numFmtId="9" fontId="23" fillId="13" borderId="48" xfId="0" applyNumberFormat="1" applyFont="1" applyFill="1" applyBorder="1" applyAlignment="1">
      <alignment horizontal="right" vertical="center"/>
    </xf>
    <xf numFmtId="9" fontId="23" fillId="13" borderId="103" xfId="0" applyNumberFormat="1" applyFont="1" applyFill="1" applyBorder="1" applyAlignment="1">
      <alignment horizontal="right" vertical="center"/>
    </xf>
    <xf numFmtId="9" fontId="23" fillId="13" borderId="55" xfId="0" applyNumberFormat="1" applyFont="1" applyFill="1" applyBorder="1" applyAlignment="1">
      <alignment horizontal="right" vertical="center"/>
    </xf>
    <xf numFmtId="9" fontId="24" fillId="14" borderId="3" xfId="0" applyNumberFormat="1" applyFont="1" applyFill="1" applyBorder="1" applyAlignment="1">
      <alignment horizontal="right" vertical="center"/>
    </xf>
    <xf numFmtId="9" fontId="24" fillId="14" borderId="52" xfId="0" applyNumberFormat="1" applyFont="1" applyFill="1" applyBorder="1" applyAlignment="1">
      <alignment horizontal="right" vertical="center"/>
    </xf>
    <xf numFmtId="9" fontId="24" fillId="14" borderId="5" xfId="0" applyNumberFormat="1" applyFont="1" applyFill="1" applyBorder="1" applyAlignment="1">
      <alignment horizontal="right" vertical="center"/>
    </xf>
    <xf numFmtId="9" fontId="24" fillId="14" borderId="1" xfId="0" applyNumberFormat="1" applyFont="1" applyFill="1" applyBorder="1" applyAlignment="1">
      <alignment horizontal="right" vertical="center"/>
    </xf>
    <xf numFmtId="9" fontId="24" fillId="14" borderId="105" xfId="0" applyNumberFormat="1" applyFont="1" applyFill="1" applyBorder="1" applyAlignment="1">
      <alignment horizontal="right" vertical="center"/>
    </xf>
    <xf numFmtId="9" fontId="24" fillId="14" borderId="106" xfId="0" applyNumberFormat="1" applyFont="1" applyFill="1" applyBorder="1" applyAlignment="1">
      <alignment horizontal="right" vertical="center"/>
    </xf>
    <xf numFmtId="9" fontId="24" fillId="14" borderId="107" xfId="0" applyNumberFormat="1" applyFont="1" applyFill="1" applyBorder="1" applyAlignment="1">
      <alignment horizontal="right" vertical="center"/>
    </xf>
    <xf numFmtId="9" fontId="24" fillId="14" borderId="4" xfId="0" applyNumberFormat="1" applyFont="1" applyFill="1" applyBorder="1" applyAlignment="1">
      <alignment horizontal="right" vertical="center"/>
    </xf>
    <xf numFmtId="9" fontId="24" fillId="14" borderId="109" xfId="0" applyNumberFormat="1" applyFont="1" applyFill="1" applyBorder="1" applyAlignment="1">
      <alignment horizontal="right" vertical="center"/>
    </xf>
    <xf numFmtId="178" fontId="0" fillId="0" borderId="0" xfId="0" quotePrefix="1" applyNumberFormat="1">
      <alignment vertical="center"/>
    </xf>
    <xf numFmtId="178" fontId="23" fillId="13" borderId="48" xfId="1" applyNumberFormat="1" applyFont="1" applyFill="1" applyBorder="1" applyAlignment="1">
      <alignment horizontal="right" vertical="center"/>
    </xf>
    <xf numFmtId="178" fontId="23" fillId="13" borderId="103" xfId="1" applyNumberFormat="1" applyFont="1" applyFill="1" applyBorder="1" applyAlignment="1">
      <alignment horizontal="right" vertical="center"/>
    </xf>
    <xf numFmtId="178" fontId="23" fillId="13" borderId="55" xfId="1" applyNumberFormat="1" applyFont="1" applyFill="1" applyBorder="1" applyAlignment="1">
      <alignment horizontal="right" vertical="center"/>
    </xf>
    <xf numFmtId="178" fontId="24" fillId="14" borderId="1" xfId="1" applyNumberFormat="1" applyFont="1" applyFill="1" applyBorder="1" applyAlignment="1">
      <alignment horizontal="right" vertical="center"/>
    </xf>
    <xf numFmtId="178" fontId="24" fillId="14" borderId="105" xfId="1" applyNumberFormat="1" applyFont="1" applyFill="1" applyBorder="1" applyAlignment="1">
      <alignment horizontal="right" vertical="center"/>
    </xf>
    <xf numFmtId="178" fontId="24" fillId="14" borderId="3" xfId="1" applyNumberFormat="1" applyFont="1" applyFill="1" applyBorder="1" applyAlignment="1">
      <alignment horizontal="right" vertical="center"/>
    </xf>
    <xf numFmtId="178" fontId="24" fillId="14" borderId="106" xfId="1" applyNumberFormat="1" applyFont="1" applyFill="1" applyBorder="1" applyAlignment="1">
      <alignment horizontal="right" vertical="center"/>
    </xf>
    <xf numFmtId="178" fontId="24" fillId="14" borderId="107" xfId="1" applyNumberFormat="1" applyFont="1" applyFill="1" applyBorder="1" applyAlignment="1">
      <alignment horizontal="right" vertical="center"/>
    </xf>
    <xf numFmtId="178" fontId="24" fillId="14" borderId="52" xfId="1" applyNumberFormat="1" applyFont="1" applyFill="1" applyBorder="1" applyAlignment="1">
      <alignment horizontal="right" vertical="center"/>
    </xf>
    <xf numFmtId="178" fontId="24" fillId="14" borderId="4" xfId="1" applyNumberFormat="1" applyFont="1" applyFill="1" applyBorder="1" applyAlignment="1">
      <alignment horizontal="right" vertical="center"/>
    </xf>
    <xf numFmtId="178" fontId="24" fillId="14" borderId="109" xfId="1" applyNumberFormat="1" applyFont="1" applyFill="1" applyBorder="1" applyAlignment="1">
      <alignment horizontal="right" vertical="center"/>
    </xf>
    <xf numFmtId="178" fontId="24" fillId="14" borderId="5" xfId="1" applyNumberFormat="1" applyFont="1" applyFill="1" applyBorder="1" applyAlignment="1">
      <alignment horizontal="right" vertical="center"/>
    </xf>
    <xf numFmtId="178" fontId="0" fillId="0" borderId="1" xfId="1" applyNumberFormat="1" applyFont="1" applyBorder="1">
      <alignment vertical="center"/>
    </xf>
    <xf numFmtId="178" fontId="2" fillId="0" borderId="105" xfId="1" applyNumberFormat="1" applyFont="1" applyBorder="1">
      <alignment vertical="center"/>
    </xf>
    <xf numFmtId="178" fontId="0" fillId="0" borderId="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2" fillId="0" borderId="109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2" fillId="0" borderId="110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2" fillId="0" borderId="114" xfId="1" applyNumberFormat="1" applyFont="1" applyBorder="1">
      <alignment vertical="center"/>
    </xf>
    <xf numFmtId="178" fontId="0" fillId="0" borderId="8" xfId="1" applyNumberFormat="1" applyFont="1" applyBorder="1">
      <alignment vertical="center"/>
    </xf>
    <xf numFmtId="178" fontId="2" fillId="0" borderId="7" xfId="0" applyNumberFormat="1" applyFont="1" applyBorder="1" applyAlignment="1">
      <alignment horizontal="right" vertical="center"/>
    </xf>
    <xf numFmtId="0" fontId="16" fillId="6" borderId="118" xfId="0" applyFont="1" applyFill="1" applyBorder="1" applyAlignment="1">
      <alignment horizontal="centerContinuous" vertical="center"/>
    </xf>
    <xf numFmtId="0" fontId="16" fillId="6" borderId="119" xfId="0" applyFont="1" applyFill="1" applyBorder="1" applyAlignment="1">
      <alignment horizontal="centerContinuous" vertical="center"/>
    </xf>
    <xf numFmtId="178" fontId="6" fillId="0" borderId="90" xfId="0" applyNumberFormat="1" applyFont="1" applyBorder="1">
      <alignment vertical="center"/>
    </xf>
    <xf numFmtId="178" fontId="6" fillId="0" borderId="91" xfId="0" applyNumberFormat="1" applyFont="1" applyBorder="1">
      <alignment vertical="center"/>
    </xf>
    <xf numFmtId="178" fontId="6" fillId="0" borderId="98" xfId="0" applyNumberFormat="1" applyFont="1" applyBorder="1">
      <alignment vertical="center"/>
    </xf>
    <xf numFmtId="178" fontId="6" fillId="0" borderId="99" xfId="0" applyNumberFormat="1" applyFont="1" applyBorder="1">
      <alignment vertical="center"/>
    </xf>
    <xf numFmtId="178" fontId="6" fillId="0" borderId="96" xfId="0" applyNumberFormat="1" applyFont="1" applyBorder="1">
      <alignment vertical="center"/>
    </xf>
    <xf numFmtId="178" fontId="6" fillId="0" borderId="97" xfId="0" applyNumberFormat="1" applyFont="1" applyBorder="1">
      <alignment vertical="center"/>
    </xf>
    <xf numFmtId="178" fontId="6" fillId="0" borderId="88" xfId="0" applyNumberFormat="1" applyFont="1" applyBorder="1">
      <alignment vertical="center"/>
    </xf>
    <xf numFmtId="178" fontId="6" fillId="0" borderId="89" xfId="0" applyNumberFormat="1" applyFont="1" applyBorder="1">
      <alignment vertical="center"/>
    </xf>
    <xf numFmtId="177" fontId="6" fillId="0" borderId="92" xfId="0" applyNumberFormat="1" applyFont="1" applyBorder="1">
      <alignment vertical="center"/>
    </xf>
    <xf numFmtId="177" fontId="6" fillId="0" borderId="93" xfId="0" applyNumberFormat="1" applyFont="1" applyBorder="1">
      <alignment vertical="center"/>
    </xf>
    <xf numFmtId="177" fontId="6" fillId="0" borderId="96" xfId="0" applyNumberFormat="1" applyFont="1" applyBorder="1">
      <alignment vertical="center"/>
    </xf>
    <xf numFmtId="177" fontId="6" fillId="0" borderId="97" xfId="0" applyNumberFormat="1" applyFont="1" applyBorder="1">
      <alignment vertical="center"/>
    </xf>
    <xf numFmtId="177" fontId="6" fillId="0" borderId="100" xfId="0" applyNumberFormat="1" applyFont="1" applyBorder="1">
      <alignment vertical="center"/>
    </xf>
    <xf numFmtId="177" fontId="6" fillId="0" borderId="120" xfId="0" applyNumberFormat="1" applyFont="1" applyBorder="1">
      <alignment vertical="center"/>
    </xf>
    <xf numFmtId="177" fontId="6" fillId="0" borderId="121" xfId="0" applyNumberFormat="1" applyFont="1" applyBorder="1">
      <alignment vertical="center"/>
    </xf>
    <xf numFmtId="177" fontId="6" fillId="0" borderId="101" xfId="0" applyNumberFormat="1" applyFont="1" applyBorder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81" fontId="0" fillId="0" borderId="0" xfId="0" applyNumberFormat="1">
      <alignment vertical="center"/>
    </xf>
    <xf numFmtId="178" fontId="0" fillId="0" borderId="0" xfId="0" applyNumberFormat="1" applyAlignment="1">
      <alignment horizontal="center" vertical="center" wrapText="1"/>
    </xf>
    <xf numFmtId="182" fontId="0" fillId="0" borderId="0" xfId="0" applyNumberFormat="1">
      <alignment vertical="center"/>
    </xf>
    <xf numFmtId="178" fontId="0" fillId="4" borderId="0" xfId="0" applyNumberFormat="1" applyFill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5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5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106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106" xfId="0" applyNumberFormat="1" applyFont="1" applyBorder="1" applyAlignment="1">
      <alignment horizontal="centerContinuous" vertical="center"/>
    </xf>
    <xf numFmtId="178" fontId="6" fillId="0" borderId="108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4" xfId="0" applyNumberFormat="1" applyFont="1" applyFill="1" applyBorder="1" applyAlignment="1">
      <alignment vertical="center"/>
    </xf>
    <xf numFmtId="178" fontId="2" fillId="3" borderId="66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9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178" fontId="2" fillId="0" borderId="122" xfId="0" applyNumberFormat="1" applyFont="1" applyBorder="1">
      <alignment vertical="center"/>
    </xf>
    <xf numFmtId="178" fontId="0" fillId="0" borderId="17" xfId="0" applyNumberFormat="1" applyBorder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178" fontId="6" fillId="9" borderId="1" xfId="0" applyNumberFormat="1" applyFont="1" applyFill="1" applyBorder="1" applyAlignment="1">
      <alignment vertical="center"/>
    </xf>
    <xf numFmtId="9" fontId="0" fillId="0" borderId="0" xfId="0" applyNumberFormat="1" applyFont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9" fontId="2" fillId="0" borderId="0" xfId="0" applyNumberFormat="1" applyFo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178" fontId="15" fillId="0" borderId="71" xfId="0" applyNumberFormat="1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178" fontId="15" fillId="0" borderId="71" xfId="1" applyNumberFormat="1" applyFont="1" applyBorder="1" applyAlignment="1">
      <alignment horizontal="right" vertical="center"/>
    </xf>
    <xf numFmtId="178" fontId="15" fillId="0" borderId="72" xfId="1" applyNumberFormat="1" applyFont="1" applyBorder="1" applyAlignment="1">
      <alignment horizontal="right" vertical="center"/>
    </xf>
    <xf numFmtId="179" fontId="15" fillId="0" borderId="71" xfId="0" applyNumberFormat="1" applyFont="1" applyBorder="1" applyAlignment="1">
      <alignment horizontal="right" vertical="center"/>
    </xf>
    <xf numFmtId="0" fontId="12" fillId="0" borderId="0" xfId="0" applyFont="1">
      <alignment vertical="center"/>
    </xf>
    <xf numFmtId="178" fontId="15" fillId="0" borderId="4" xfId="1" applyNumberFormat="1" applyFont="1" applyBorder="1" applyAlignment="1">
      <alignment horizontal="right" vertical="center"/>
    </xf>
    <xf numFmtId="178" fontId="15" fillId="0" borderId="6" xfId="1" applyNumberFormat="1" applyFont="1" applyBorder="1" applyAlignment="1">
      <alignment horizontal="right" vertical="center"/>
    </xf>
    <xf numFmtId="179" fontId="15" fillId="0" borderId="4" xfId="0" applyNumberFormat="1" applyFont="1" applyBorder="1" applyAlignment="1">
      <alignment horizontal="right" vertical="center"/>
    </xf>
    <xf numFmtId="178" fontId="15" fillId="0" borderId="5" xfId="1" applyNumberFormat="1" applyFont="1" applyBorder="1" applyAlignment="1">
      <alignment horizontal="right" vertical="center"/>
    </xf>
    <xf numFmtId="178" fontId="15" fillId="0" borderId="8" xfId="1" applyNumberFormat="1" applyFont="1" applyBorder="1" applyAlignment="1">
      <alignment horizontal="right" vertical="center"/>
    </xf>
    <xf numFmtId="179" fontId="15" fillId="0" borderId="5" xfId="0" applyNumberFormat="1" applyFont="1" applyBorder="1" applyAlignment="1">
      <alignment horizontal="right" vertical="center"/>
    </xf>
    <xf numFmtId="178" fontId="15" fillId="0" borderId="124" xfId="1" applyNumberFormat="1" applyFont="1" applyBorder="1" applyAlignment="1">
      <alignment horizontal="right" vertical="center"/>
    </xf>
    <xf numFmtId="178" fontId="15" fillId="0" borderId="125" xfId="1" applyNumberFormat="1" applyFont="1" applyBorder="1" applyAlignment="1">
      <alignment horizontal="right" vertical="center"/>
    </xf>
    <xf numFmtId="179" fontId="15" fillId="0" borderId="124" xfId="0" applyNumberFormat="1" applyFont="1" applyBorder="1" applyAlignment="1">
      <alignment horizontal="right" vertical="center"/>
    </xf>
    <xf numFmtId="178" fontId="15" fillId="0" borderId="0" xfId="1" applyNumberFormat="1" applyFont="1" applyBorder="1" applyAlignment="1">
      <alignment horizontal="right" vertical="center"/>
    </xf>
    <xf numFmtId="178" fontId="15" fillId="0" borderId="7" xfId="1" applyNumberFormat="1" applyFont="1" applyBorder="1" applyAlignment="1">
      <alignment horizontal="right" vertical="center"/>
    </xf>
    <xf numFmtId="179" fontId="15" fillId="0" borderId="0" xfId="0" applyNumberFormat="1" applyFont="1" applyBorder="1" applyAlignment="1">
      <alignment horizontal="right" vertical="center"/>
    </xf>
    <xf numFmtId="178" fontId="15" fillId="0" borderId="130" xfId="1" applyNumberFormat="1" applyFont="1" applyBorder="1" applyAlignment="1">
      <alignment horizontal="right" vertical="center"/>
    </xf>
    <xf numFmtId="178" fontId="15" fillId="0" borderId="131" xfId="1" applyNumberFormat="1" applyFont="1" applyBorder="1" applyAlignment="1">
      <alignment horizontal="right" vertical="center"/>
    </xf>
    <xf numFmtId="179" fontId="15" fillId="0" borderId="130" xfId="0" applyNumberFormat="1" applyFont="1" applyBorder="1" applyAlignment="1">
      <alignment horizontal="right" vertical="center"/>
    </xf>
    <xf numFmtId="0" fontId="14" fillId="15" borderId="133" xfId="0" applyFont="1" applyFill="1" applyBorder="1" applyAlignment="1">
      <alignment horizontal="center" vertical="center"/>
    </xf>
    <xf numFmtId="0" fontId="14" fillId="15" borderId="134" xfId="0" applyFont="1" applyFill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0" fontId="14" fillId="15" borderId="136" xfId="0" applyFont="1" applyFill="1" applyBorder="1" applyAlignment="1">
      <alignment horizontal="center" vertical="center"/>
    </xf>
    <xf numFmtId="0" fontId="14" fillId="15" borderId="137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177" fontId="6" fillId="0" borderId="71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right" vertical="center"/>
    </xf>
    <xf numFmtId="177" fontId="6" fillId="0" borderId="124" xfId="0" applyNumberFormat="1" applyFont="1" applyBorder="1" applyAlignment="1">
      <alignment horizontal="right" vertical="center"/>
    </xf>
    <xf numFmtId="177" fontId="6" fillId="0" borderId="5" xfId="0" applyNumberFormat="1" applyFont="1" applyBorder="1" applyAlignment="1">
      <alignment horizontal="right" vertical="center"/>
    </xf>
    <xf numFmtId="177" fontId="6" fillId="0" borderId="71" xfId="0" applyNumberFormat="1" applyFont="1" applyBorder="1" applyAlignment="1">
      <alignment horizontal="right" vertical="center"/>
    </xf>
    <xf numFmtId="177" fontId="6" fillId="0" borderId="130" xfId="0" applyNumberFormat="1" applyFont="1" applyBorder="1" applyAlignment="1">
      <alignment horizontal="right" vertical="center"/>
    </xf>
    <xf numFmtId="177" fontId="6" fillId="0" borderId="0" xfId="0" applyNumberFormat="1" applyFont="1" applyBorder="1" applyAlignment="1">
      <alignment horizontal="right" vertical="center"/>
    </xf>
    <xf numFmtId="177" fontId="6" fillId="0" borderId="0" xfId="0" applyNumberFormat="1" applyFont="1">
      <alignment vertical="center"/>
    </xf>
    <xf numFmtId="0" fontId="7" fillId="16" borderId="55" xfId="0" applyFont="1" applyFill="1" applyBorder="1" applyAlignment="1">
      <alignment horizontal="center" vertical="center"/>
    </xf>
    <xf numFmtId="178" fontId="7" fillId="16" borderId="48" xfId="1" applyNumberFormat="1" applyFont="1" applyFill="1" applyBorder="1" applyAlignment="1">
      <alignment horizontal="right" vertical="center"/>
    </xf>
    <xf numFmtId="178" fontId="7" fillId="16" borderId="55" xfId="1" applyNumberFormat="1" applyFont="1" applyFill="1" applyBorder="1" applyAlignment="1">
      <alignment horizontal="right" vertical="center"/>
    </xf>
    <xf numFmtId="178" fontId="7" fillId="16" borderId="67" xfId="1" applyNumberFormat="1" applyFont="1" applyFill="1" applyBorder="1" applyAlignment="1">
      <alignment horizontal="right" vertical="center"/>
    </xf>
    <xf numFmtId="178" fontId="7" fillId="16" borderId="129" xfId="1" applyNumberFormat="1" applyFont="1" applyFill="1" applyBorder="1" applyAlignment="1">
      <alignment horizontal="right" vertical="center"/>
    </xf>
    <xf numFmtId="178" fontId="7" fillId="16" borderId="69" xfId="1" applyNumberFormat="1" applyFont="1" applyFill="1" applyBorder="1" applyAlignment="1">
      <alignment horizontal="right" vertical="center"/>
    </xf>
    <xf numFmtId="178" fontId="7" fillId="16" borderId="3" xfId="0" applyNumberFormat="1" applyFont="1" applyFill="1" applyBorder="1" applyAlignment="1">
      <alignment horizontal="center" vertical="center"/>
    </xf>
    <xf numFmtId="179" fontId="7" fillId="16" borderId="1" xfId="0" applyNumberFormat="1" applyFont="1" applyFill="1" applyBorder="1" applyAlignment="1">
      <alignment horizontal="right" vertical="center"/>
    </xf>
    <xf numFmtId="179" fontId="7" fillId="16" borderId="3" xfId="0" applyNumberFormat="1" applyFont="1" applyFill="1" applyBorder="1" applyAlignment="1">
      <alignment horizontal="right" vertical="center"/>
    </xf>
    <xf numFmtId="179" fontId="7" fillId="16" borderId="70" xfId="0" applyNumberFormat="1" applyFont="1" applyFill="1" applyBorder="1" applyAlignment="1">
      <alignment horizontal="right" vertical="center"/>
    </xf>
    <xf numFmtId="179" fontId="7" fillId="16" borderId="128" xfId="0" applyNumberFormat="1" applyFont="1" applyFill="1" applyBorder="1" applyAlignment="1">
      <alignment horizontal="right" vertical="center"/>
    </xf>
    <xf numFmtId="179" fontId="7" fillId="16" borderId="2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center" vertical="center"/>
    </xf>
    <xf numFmtId="177" fontId="6" fillId="9" borderId="139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right" vertical="center"/>
    </xf>
    <xf numFmtId="177" fontId="6" fillId="9" borderId="140" xfId="0" applyNumberFormat="1" applyFont="1" applyFill="1" applyBorder="1" applyAlignment="1">
      <alignment horizontal="right" vertical="center"/>
    </xf>
    <xf numFmtId="177" fontId="6" fillId="9" borderId="141" xfId="0" applyNumberFormat="1" applyFont="1" applyFill="1" applyBorder="1" applyAlignment="1">
      <alignment horizontal="right" vertical="center"/>
    </xf>
    <xf numFmtId="177" fontId="6" fillId="9" borderId="60" xfId="0" applyNumberFormat="1" applyFont="1" applyFill="1" applyBorder="1" applyAlignment="1">
      <alignment horizontal="right" vertical="center"/>
    </xf>
    <xf numFmtId="178" fontId="14" fillId="7" borderId="126" xfId="1" applyNumberFormat="1" applyFont="1" applyFill="1" applyBorder="1" applyAlignment="1">
      <alignment horizontal="right" vertical="center"/>
    </xf>
    <xf numFmtId="179" fontId="14" fillId="5" borderId="123" xfId="0" applyNumberFormat="1" applyFont="1" applyFill="1" applyBorder="1" applyAlignment="1">
      <alignment horizontal="right" vertical="center"/>
    </xf>
    <xf numFmtId="177" fontId="6" fillId="9" borderId="127" xfId="0" applyNumberFormat="1" applyFont="1" applyFill="1" applyBorder="1" applyAlignment="1">
      <alignment horizontal="right" vertical="center"/>
    </xf>
    <xf numFmtId="179" fontId="15" fillId="0" borderId="4" xfId="1" applyNumberFormat="1" applyFont="1" applyBorder="1" applyAlignment="1">
      <alignment horizontal="right" vertical="center"/>
    </xf>
    <xf numFmtId="179" fontId="15" fillId="0" borderId="124" xfId="1" applyNumberFormat="1" applyFont="1" applyBorder="1" applyAlignment="1">
      <alignment horizontal="right" vertical="center"/>
    </xf>
    <xf numFmtId="179" fontId="15" fillId="0" borderId="5" xfId="1" applyNumberFormat="1" applyFont="1" applyBorder="1" applyAlignment="1">
      <alignment horizontal="right" vertical="center"/>
    </xf>
    <xf numFmtId="179" fontId="15" fillId="0" borderId="71" xfId="1" applyNumberFormat="1" applyFont="1" applyBorder="1" applyAlignment="1">
      <alignment horizontal="right" vertical="center"/>
    </xf>
    <xf numFmtId="179" fontId="15" fillId="0" borderId="130" xfId="1" applyNumberFormat="1" applyFont="1" applyBorder="1" applyAlignment="1">
      <alignment horizontal="right" vertical="center"/>
    </xf>
    <xf numFmtId="179" fontId="15" fillId="0" borderId="0" xfId="1" applyNumberFormat="1" applyFont="1" applyBorder="1" applyAlignment="1">
      <alignment horizontal="right" vertical="center"/>
    </xf>
    <xf numFmtId="0" fontId="15" fillId="12" borderId="71" xfId="0" applyFont="1" applyFill="1" applyBorder="1" applyAlignment="1">
      <alignment horizontal="center" vertical="center"/>
    </xf>
    <xf numFmtId="178" fontId="15" fillId="12" borderId="4" xfId="1" applyNumberFormat="1" applyFont="1" applyFill="1" applyBorder="1" applyAlignment="1">
      <alignment horizontal="right" vertical="center"/>
    </xf>
    <xf numFmtId="178" fontId="15" fillId="12" borderId="124" xfId="1" applyNumberFormat="1" applyFont="1" applyFill="1" applyBorder="1" applyAlignment="1">
      <alignment horizontal="right" vertical="center"/>
    </xf>
    <xf numFmtId="178" fontId="15" fillId="12" borderId="5" xfId="1" applyNumberFormat="1" applyFont="1" applyFill="1" applyBorder="1" applyAlignment="1">
      <alignment horizontal="right" vertical="center"/>
    </xf>
    <xf numFmtId="178" fontId="15" fillId="12" borderId="71" xfId="1" applyNumberFormat="1" applyFont="1" applyFill="1" applyBorder="1" applyAlignment="1">
      <alignment horizontal="right" vertical="center"/>
    </xf>
    <xf numFmtId="178" fontId="15" fillId="12" borderId="130" xfId="1" applyNumberFormat="1" applyFont="1" applyFill="1" applyBorder="1" applyAlignment="1">
      <alignment horizontal="right" vertical="center"/>
    </xf>
    <xf numFmtId="178" fontId="15" fillId="12" borderId="0" xfId="1" applyNumberFormat="1" applyFont="1" applyFill="1" applyBorder="1" applyAlignment="1">
      <alignment horizontal="right" vertical="center"/>
    </xf>
    <xf numFmtId="178" fontId="15" fillId="12" borderId="70" xfId="0" applyNumberFormat="1" applyFont="1" applyFill="1" applyBorder="1" applyAlignment="1">
      <alignment horizontal="center" vertical="center"/>
    </xf>
    <xf numFmtId="179" fontId="15" fillId="12" borderId="1" xfId="0" applyNumberFormat="1" applyFont="1" applyFill="1" applyBorder="1" applyAlignment="1">
      <alignment horizontal="right" vertical="center"/>
    </xf>
    <xf numFmtId="179" fontId="15" fillId="12" borderId="123" xfId="0" applyNumberFormat="1" applyFont="1" applyFill="1" applyBorder="1" applyAlignment="1">
      <alignment horizontal="right" vertical="center"/>
    </xf>
    <xf numFmtId="179" fontId="15" fillId="12" borderId="3" xfId="0" applyNumberFormat="1" applyFont="1" applyFill="1" applyBorder="1" applyAlignment="1">
      <alignment horizontal="right" vertical="center"/>
    </xf>
    <xf numFmtId="179" fontId="15" fillId="12" borderId="70" xfId="0" applyNumberFormat="1" applyFont="1" applyFill="1" applyBorder="1" applyAlignment="1">
      <alignment horizontal="right" vertical="center"/>
    </xf>
    <xf numFmtId="179" fontId="15" fillId="12" borderId="128" xfId="0" applyNumberFormat="1" applyFont="1" applyFill="1" applyBorder="1" applyAlignment="1">
      <alignment horizontal="right" vertical="center"/>
    </xf>
    <xf numFmtId="179" fontId="15" fillId="12" borderId="2" xfId="0" applyNumberFormat="1" applyFont="1" applyFill="1" applyBorder="1" applyAlignment="1">
      <alignment horizontal="right" vertical="center"/>
    </xf>
    <xf numFmtId="178" fontId="15" fillId="0" borderId="39" xfId="0" applyNumberFormat="1" applyFont="1" applyBorder="1">
      <alignment vertical="center"/>
    </xf>
    <xf numFmtId="178" fontId="15" fillId="0" borderId="29" xfId="0" applyNumberFormat="1" applyFont="1" applyBorder="1">
      <alignment vertical="center"/>
    </xf>
    <xf numFmtId="178" fontId="15" fillId="0" borderId="30" xfId="0" applyNumberFormat="1" applyFont="1" applyBorder="1">
      <alignment vertical="center"/>
    </xf>
    <xf numFmtId="178" fontId="15" fillId="0" borderId="46" xfId="0" applyNumberFormat="1" applyFont="1" applyBorder="1">
      <alignment vertical="center"/>
    </xf>
    <xf numFmtId="178" fontId="15" fillId="0" borderId="13" xfId="0" applyNumberFormat="1" applyFont="1" applyBorder="1">
      <alignment vertical="center"/>
    </xf>
    <xf numFmtId="178" fontId="15" fillId="0" borderId="14" xfId="0" applyNumberFormat="1" applyFont="1" applyBorder="1">
      <alignment vertical="center"/>
    </xf>
    <xf numFmtId="178" fontId="15" fillId="0" borderId="49" xfId="0" applyNumberFormat="1" applyFont="1" applyBorder="1">
      <alignment vertical="center"/>
    </xf>
    <xf numFmtId="178" fontId="15" fillId="0" borderId="25" xfId="0" applyNumberFormat="1" applyFont="1" applyBorder="1">
      <alignment vertical="center"/>
    </xf>
    <xf numFmtId="178" fontId="15" fillId="0" borderId="26" xfId="0" applyNumberFormat="1" applyFont="1" applyBorder="1">
      <alignment vertical="center"/>
    </xf>
    <xf numFmtId="178" fontId="15" fillId="0" borderId="47" xfId="0" applyNumberFormat="1" applyFont="1" applyBorder="1">
      <alignment vertical="center"/>
    </xf>
    <xf numFmtId="178" fontId="15" fillId="0" borderId="16" xfId="0" applyNumberFormat="1" applyFont="1" applyBorder="1">
      <alignment vertical="center"/>
    </xf>
    <xf numFmtId="178" fontId="15" fillId="0" borderId="17" xfId="0" applyNumberFormat="1" applyFont="1" applyBorder="1">
      <alignment vertical="center"/>
    </xf>
    <xf numFmtId="178" fontId="15" fillId="9" borderId="39" xfId="0" applyNumberFormat="1" applyFont="1" applyFill="1" applyBorder="1">
      <alignment vertical="center"/>
    </xf>
    <xf numFmtId="178" fontId="15" fillId="9" borderId="29" xfId="0" applyNumberFormat="1" applyFont="1" applyFill="1" applyBorder="1">
      <alignment vertical="center"/>
    </xf>
    <xf numFmtId="178" fontId="15" fillId="9" borderId="30" xfId="0" applyNumberFormat="1" applyFont="1" applyFill="1" applyBorder="1">
      <alignment vertical="center"/>
    </xf>
    <xf numFmtId="178" fontId="15" fillId="9" borderId="46" xfId="0" applyNumberFormat="1" applyFont="1" applyFill="1" applyBorder="1">
      <alignment vertical="center"/>
    </xf>
    <xf numFmtId="178" fontId="15" fillId="9" borderId="13" xfId="0" applyNumberFormat="1" applyFont="1" applyFill="1" applyBorder="1">
      <alignment vertical="center"/>
    </xf>
    <xf numFmtId="178" fontId="15" fillId="9" borderId="14" xfId="0" applyNumberFormat="1" applyFont="1" applyFill="1" applyBorder="1">
      <alignment vertical="center"/>
    </xf>
    <xf numFmtId="178" fontId="15" fillId="9" borderId="49" xfId="0" applyNumberFormat="1" applyFont="1" applyFill="1" applyBorder="1">
      <alignment vertical="center"/>
    </xf>
    <xf numFmtId="178" fontId="15" fillId="9" borderId="25" xfId="0" applyNumberFormat="1" applyFont="1" applyFill="1" applyBorder="1">
      <alignment vertical="center"/>
    </xf>
    <xf numFmtId="178" fontId="15" fillId="9" borderId="26" xfId="0" applyNumberFormat="1" applyFont="1" applyFill="1" applyBorder="1">
      <alignment vertical="center"/>
    </xf>
    <xf numFmtId="178" fontId="15" fillId="9" borderId="47" xfId="0" applyNumberFormat="1" applyFont="1" applyFill="1" applyBorder="1">
      <alignment vertical="center"/>
    </xf>
    <xf numFmtId="178" fontId="15" fillId="9" borderId="16" xfId="0" applyNumberFormat="1" applyFont="1" applyFill="1" applyBorder="1">
      <alignment vertical="center"/>
    </xf>
    <xf numFmtId="178" fontId="15" fillId="9" borderId="17" xfId="0" applyNumberFormat="1" applyFont="1" applyFill="1" applyBorder="1">
      <alignment vertical="center"/>
    </xf>
    <xf numFmtId="178" fontId="15" fillId="0" borderId="1" xfId="0" applyNumberFormat="1" applyFont="1" applyBorder="1">
      <alignment vertical="center"/>
    </xf>
    <xf numFmtId="178" fontId="15" fillId="0" borderId="77" xfId="0" applyNumberFormat="1" applyFont="1" applyBorder="1">
      <alignment vertical="center"/>
    </xf>
    <xf numFmtId="178" fontId="15" fillId="0" borderId="4" xfId="0" applyNumberFormat="1" applyFont="1" applyBorder="1">
      <alignment vertical="center"/>
    </xf>
    <xf numFmtId="178" fontId="15" fillId="0" borderId="78" xfId="0" applyNumberFormat="1" applyFont="1" applyBorder="1">
      <alignment vertical="center"/>
    </xf>
    <xf numFmtId="178" fontId="15" fillId="0" borderId="18" xfId="0" applyNumberFormat="1" applyFont="1" applyBorder="1">
      <alignment vertical="center"/>
    </xf>
    <xf numFmtId="178" fontId="15" fillId="0" borderId="82" xfId="0" applyNumberFormat="1" applyFont="1" applyBorder="1">
      <alignment vertical="center"/>
    </xf>
    <xf numFmtId="178" fontId="15" fillId="0" borderId="53" xfId="0" applyNumberFormat="1" applyFont="1" applyBorder="1">
      <alignment vertical="center"/>
    </xf>
    <xf numFmtId="178" fontId="15" fillId="0" borderId="20" xfId="0" applyNumberFormat="1" applyFont="1" applyBorder="1">
      <alignment vertical="center"/>
    </xf>
    <xf numFmtId="178" fontId="15" fillId="0" borderId="21" xfId="0" applyNumberFormat="1" applyFont="1" applyBorder="1">
      <alignment vertical="center"/>
    </xf>
    <xf numFmtId="178" fontId="15" fillId="0" borderId="22" xfId="0" applyNumberFormat="1" applyFont="1" applyBorder="1">
      <alignment vertical="center"/>
    </xf>
    <xf numFmtId="178" fontId="15" fillId="0" borderId="79" xfId="0" applyNumberFormat="1" applyFont="1" applyBorder="1">
      <alignment vertical="center"/>
    </xf>
    <xf numFmtId="178" fontId="14" fillId="7" borderId="82" xfId="0" applyNumberFormat="1" applyFont="1" applyFill="1" applyBorder="1">
      <alignment vertical="center"/>
    </xf>
    <xf numFmtId="178" fontId="14" fillId="5" borderId="78" xfId="0" applyNumberFormat="1" applyFont="1" applyFill="1" applyBorder="1">
      <alignment vertical="center"/>
    </xf>
    <xf numFmtId="3" fontId="0" fillId="0" borderId="0" xfId="0" applyNumberFormat="1" applyFont="1">
      <alignment vertical="center"/>
    </xf>
    <xf numFmtId="178" fontId="6" fillId="4" borderId="1" xfId="0" applyNumberFormat="1" applyFont="1" applyFill="1" applyBorder="1" applyAlignment="1">
      <alignment vertical="center"/>
    </xf>
    <xf numFmtId="14" fontId="0" fillId="0" borderId="0" xfId="0" applyNumberFormat="1" applyFont="1">
      <alignment vertical="center"/>
    </xf>
    <xf numFmtId="0" fontId="11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4" fillId="15" borderId="67" xfId="0" applyFont="1" applyFill="1" applyBorder="1" applyAlignment="1">
      <alignment horizontal="center" vertical="center"/>
    </xf>
    <xf numFmtId="0" fontId="14" fillId="15" borderId="70" xfId="0" applyFont="1" applyFill="1" applyBorder="1" applyAlignment="1">
      <alignment horizontal="center" vertical="center"/>
    </xf>
    <xf numFmtId="0" fontId="14" fillId="15" borderId="129" xfId="0" applyFont="1" applyFill="1" applyBorder="1" applyAlignment="1">
      <alignment horizontal="center" vertical="center"/>
    </xf>
    <xf numFmtId="0" fontId="14" fillId="15" borderId="55" xfId="0" applyFont="1" applyFill="1" applyBorder="1" applyAlignment="1">
      <alignment horizontal="center" vertical="center"/>
    </xf>
    <xf numFmtId="0" fontId="14" fillId="15" borderId="4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9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8" fillId="11" borderId="70" xfId="0" applyNumberFormat="1" applyFont="1" applyFill="1" applyBorder="1" applyAlignment="1">
      <alignment horizontal="center" vertical="center"/>
    </xf>
    <xf numFmtId="178" fontId="18" fillId="11" borderId="72" xfId="0" applyNumberFormat="1" applyFont="1" applyFill="1" applyBorder="1" applyAlignment="1">
      <alignment horizontal="center" vertical="center"/>
    </xf>
    <xf numFmtId="178" fontId="18" fillId="11" borderId="1" xfId="0" applyNumberFormat="1" applyFont="1" applyFill="1" applyBorder="1" applyAlignment="1">
      <alignment horizontal="center" vertical="center"/>
    </xf>
    <xf numFmtId="178" fontId="18" fillId="11" borderId="2" xfId="0" applyNumberFormat="1" applyFont="1" applyFill="1" applyBorder="1" applyAlignment="1">
      <alignment horizontal="center" vertical="center"/>
    </xf>
    <xf numFmtId="178" fontId="18" fillId="11" borderId="6" xfId="0" applyNumberFormat="1" applyFont="1" applyFill="1" applyBorder="1" applyAlignment="1">
      <alignment horizontal="center" vertical="center"/>
    </xf>
    <xf numFmtId="178" fontId="18" fillId="11" borderId="7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16" fillId="6" borderId="115" xfId="0" applyFont="1" applyFill="1" applyBorder="1" applyAlignment="1">
      <alignment horizontal="center" vertical="center"/>
    </xf>
    <xf numFmtId="0" fontId="16" fillId="6" borderId="116" xfId="0" applyFont="1" applyFill="1" applyBorder="1" applyAlignment="1">
      <alignment horizontal="center" vertical="center"/>
    </xf>
    <xf numFmtId="0" fontId="16" fillId="6" borderId="117" xfId="0" applyFont="1" applyFill="1" applyBorder="1" applyAlignment="1">
      <alignment horizontal="center" vertical="center"/>
    </xf>
    <xf numFmtId="178" fontId="18" fillId="6" borderId="1" xfId="0" applyNumberFormat="1" applyFont="1" applyFill="1" applyBorder="1" applyAlignment="1">
      <alignment horizontal="center" vertical="center"/>
    </xf>
    <xf numFmtId="178" fontId="18" fillId="6" borderId="3" xfId="0" applyNumberFormat="1" applyFont="1" applyFill="1" applyBorder="1" applyAlignment="1">
      <alignment horizontal="center" vertical="center"/>
    </xf>
    <xf numFmtId="178" fontId="18" fillId="6" borderId="6" xfId="0" applyNumberFormat="1" applyFont="1" applyFill="1" applyBorder="1" applyAlignment="1">
      <alignment horizontal="center" vertical="center"/>
    </xf>
    <xf numFmtId="178" fontId="18" fillId="6" borderId="8" xfId="0" applyNumberFormat="1" applyFont="1" applyFill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건자재!$U$37:$AG$37</c:f>
              <c:strCache>
                <c:ptCount val="13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  <c:pt idx="4">
                  <c:v>7월</c:v>
                </c:pt>
                <c:pt idx="5">
                  <c:v>8월</c:v>
                </c:pt>
                <c:pt idx="6">
                  <c:v>9월</c:v>
                </c:pt>
                <c:pt idx="7">
                  <c:v>10월</c:v>
                </c:pt>
                <c:pt idx="8">
                  <c:v>11월</c:v>
                </c:pt>
                <c:pt idx="9">
                  <c:v>12월</c:v>
                </c:pt>
                <c:pt idx="10">
                  <c:v>1월</c:v>
                </c:pt>
                <c:pt idx="11">
                  <c:v>2월</c:v>
                </c:pt>
                <c:pt idx="12">
                  <c:v>3월</c:v>
                </c:pt>
              </c:strCache>
            </c:strRef>
          </c:cat>
          <c:val>
            <c:numRef>
              <c:f>건자재!$U$38:$AG$38</c:f>
              <c:numCache>
                <c:formatCode>#,##0_);[Red]\(#,##0\)</c:formatCode>
                <c:ptCount val="13"/>
                <c:pt idx="0">
                  <c:v>1030973.3939193247</c:v>
                </c:pt>
                <c:pt idx="1">
                  <c:v>1048311.1321207784</c:v>
                </c:pt>
                <c:pt idx="2">
                  <c:v>1064717.6492676102</c:v>
                </c:pt>
                <c:pt idx="3">
                  <c:v>1043902.0889611768</c:v>
                </c:pt>
                <c:pt idx="4">
                  <c:v>1025254.3120930659</c:v>
                </c:pt>
                <c:pt idx="5">
                  <c:v>957693.63511625899</c:v>
                </c:pt>
                <c:pt idx="6">
                  <c:v>1007624.1816933632</c:v>
                </c:pt>
                <c:pt idx="7">
                  <c:v>964243.14311560732</c:v>
                </c:pt>
                <c:pt idx="8">
                  <c:v>985246.58044154115</c:v>
                </c:pt>
                <c:pt idx="9">
                  <c:v>951341.4287927025</c:v>
                </c:pt>
                <c:pt idx="10">
                  <c:v>920730.85338998202</c:v>
                </c:pt>
                <c:pt idx="11">
                  <c:v>886130.8859870329</c:v>
                </c:pt>
                <c:pt idx="12">
                  <c:v>873530.5235919673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lineChart>
        <c:grouping val="standard"/>
        <c:varyColors val="0"/>
        <c:ser>
          <c:idx val="1"/>
          <c:order val="1"/>
          <c:tx>
            <c:strRef>
              <c:f>건자재!$R$39</c:f>
              <c:strCache>
                <c:ptCount val="1"/>
                <c:pt idx="0">
                  <c:v>마진률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건자재!$U$37:$AG$37</c:f>
              <c:strCache>
                <c:ptCount val="13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  <c:pt idx="4">
                  <c:v>7월</c:v>
                </c:pt>
                <c:pt idx="5">
                  <c:v>8월</c:v>
                </c:pt>
                <c:pt idx="6">
                  <c:v>9월</c:v>
                </c:pt>
                <c:pt idx="7">
                  <c:v>10월</c:v>
                </c:pt>
                <c:pt idx="8">
                  <c:v>11월</c:v>
                </c:pt>
                <c:pt idx="9">
                  <c:v>12월</c:v>
                </c:pt>
                <c:pt idx="10">
                  <c:v>1월</c:v>
                </c:pt>
                <c:pt idx="11">
                  <c:v>2월</c:v>
                </c:pt>
                <c:pt idx="12">
                  <c:v>3월</c:v>
                </c:pt>
              </c:strCache>
            </c:strRef>
          </c:cat>
          <c:val>
            <c:numRef>
              <c:f>건자재!$U$39:$AG$39</c:f>
              <c:numCache>
                <c:formatCode>0.0%</c:formatCode>
                <c:ptCount val="13"/>
                <c:pt idx="0">
                  <c:v>1.815970186077798E-2</c:v>
                </c:pt>
                <c:pt idx="1">
                  <c:v>2.0783119934692784E-2</c:v>
                </c:pt>
                <c:pt idx="2">
                  <c:v>1.8530156032889104E-2</c:v>
                </c:pt>
                <c:pt idx="3">
                  <c:v>2.338088905753952E-2</c:v>
                </c:pt>
                <c:pt idx="4">
                  <c:v>2.4066421287530761E-2</c:v>
                </c:pt>
                <c:pt idx="5">
                  <c:v>2.751551238666371E-2</c:v>
                </c:pt>
                <c:pt idx="6">
                  <c:v>1.6738202604907604E-2</c:v>
                </c:pt>
                <c:pt idx="7">
                  <c:v>1.8118540365804674E-2</c:v>
                </c:pt>
                <c:pt idx="8">
                  <c:v>1.7419708473984639E-2</c:v>
                </c:pt>
                <c:pt idx="9">
                  <c:v>2.0746012557623313E-2</c:v>
                </c:pt>
                <c:pt idx="10">
                  <c:v>1.9263299607757241E-2</c:v>
                </c:pt>
                <c:pt idx="11">
                  <c:v>2.0328430506478493E-2</c:v>
                </c:pt>
                <c:pt idx="12">
                  <c:v>1.815970186077798E-2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496360"/>
        <c:axId val="62226988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400000"/>
          <c:min val="3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valAx>
        <c:axId val="622269880"/>
        <c:scaling>
          <c:orientation val="minMax"/>
          <c:max val="0.15000000000000002"/>
          <c:min val="1.0000000000000002E-3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496360"/>
        <c:crosses val="max"/>
        <c:crossBetween val="between"/>
      </c:valAx>
      <c:catAx>
        <c:axId val="725496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2269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394607</xdr:colOff>
      <xdr:row>27</xdr:row>
      <xdr:rowOff>299358</xdr:rowOff>
    </xdr:from>
    <xdr:to>
      <xdr:col>14</xdr:col>
      <xdr:colOff>830036</xdr:colOff>
      <xdr:row>33</xdr:row>
      <xdr:rowOff>317500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B01E3CC-2C56-45D5-94BE-AA7FCAC4D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1_&#51665;&#44228;/2024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4&#45380;_&#54637;&#47785;&#48324;&#49552;&#51061;&#49892;&#51201;_&#54620;&#49457;&#54252;&#5463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0_&#48372;&#44256;&#49436;/2023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4-0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3/01_&#47112;&#48120;&#53080;/&#47112;&#48120;&#53080;&#50896;&#44032;&#49552;&#51061;(2024-03)&#44228;&#54925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3/01_&#47112;&#48120;&#53080;/&#47112;&#48120;&#53080;&#50896;&#44032;&#49552;&#51061;(2024-03)&#51204;&#45380;&#45824;&#4870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3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2_&#44148;&#51088;&#51116;/&#44148;&#51088;&#51116;&#50689;&#50629;&#49552;&#51061;(202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3/03_&#44264;&#51116;/&#44264;&#51116;&#50896;&#44032;&#49552;&#51061;(2024-03)&#44228;&#54925;&#45824;&#48708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3_&#44264;&#51116;/&#44264;&#51116;&#50896;&#44032;&#49552;&#51061;(2023-03)&#44228;&#54925;&#45824;&#48708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3/01_&#47112;&#48120;&#53080;/&#47112;&#48120;&#53080;&#50896;&#44032;&#49552;&#51061;(2024-03&#45572;&#44228;)&#44228;&#54925;&#45824;&#48708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3/01_&#47112;&#48120;&#53080;/&#47112;&#48120;&#53080;&#50896;&#44032;&#49552;&#51061;(2024-03&#45572;&#44228;)&#51204;&#45380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148;&#51088;&#51116;/2024&#45380;_&#50696;&#49328;&#50836;&#44396;&#50504;_&#44148;&#51088;&#51116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9436;&#48512;&#49328;&#53356;&#46972;&#4938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53356;&#46972;&#49380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47784;&#47000;&#51109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3/03_&#44264;&#51116;/&#44264;&#51116;&#49892;&#51201;(2024-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2"/>
      <sheetName val="Sheet2 (2)"/>
    </sheetNames>
    <sheetDataSet>
      <sheetData sheetId="0"/>
      <sheetData sheetId="1"/>
      <sheetData sheetId="2"/>
      <sheetData sheetId="3">
        <row r="7">
          <cell r="Z7">
            <v>241000</v>
          </cell>
        </row>
      </sheetData>
      <sheetData sheetId="4">
        <row r="6">
          <cell r="D6" t="str">
            <v>구분</v>
          </cell>
        </row>
      </sheetData>
      <sheetData sheetId="5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임금인상</v>
          </cell>
          <cell r="AS6" t="str">
            <v>시멘트소급</v>
          </cell>
          <cell r="AT6" t="str">
            <v>기타</v>
          </cell>
          <cell r="AU6" t="str">
            <v>기타 계</v>
          </cell>
          <cell r="AV6"/>
        </row>
        <row r="7">
          <cell r="D7" t="str">
            <v>물     량</v>
          </cell>
          <cell r="E7"/>
          <cell r="F7">
            <v>41000</v>
          </cell>
          <cell r="G7">
            <v>28000</v>
          </cell>
          <cell r="H7">
            <v>27000</v>
          </cell>
          <cell r="I7">
            <v>12500</v>
          </cell>
          <cell r="J7">
            <v>19000</v>
          </cell>
          <cell r="K7">
            <v>24000</v>
          </cell>
          <cell r="L7">
            <v>12000</v>
          </cell>
          <cell r="M7">
            <v>18000</v>
          </cell>
          <cell r="N7">
            <v>11000</v>
          </cell>
          <cell r="O7">
            <v>18000</v>
          </cell>
          <cell r="P7">
            <v>16000</v>
          </cell>
          <cell r="Q7">
            <v>7000</v>
          </cell>
          <cell r="R7">
            <v>24000</v>
          </cell>
          <cell r="S7">
            <v>12000</v>
          </cell>
          <cell r="T7">
            <v>7500</v>
          </cell>
          <cell r="U7">
            <v>5000</v>
          </cell>
          <cell r="V7">
            <v>4000</v>
          </cell>
          <cell r="W7">
            <v>0</v>
          </cell>
          <cell r="X7">
            <v>0</v>
          </cell>
          <cell r="Y7">
            <v>0</v>
          </cell>
          <cell r="Z7">
            <v>286000</v>
          </cell>
          <cell r="AA7">
            <v>7300</v>
          </cell>
          <cell r="AB7">
            <v>0</v>
          </cell>
          <cell r="AC7">
            <v>41770.327835024887</v>
          </cell>
          <cell r="AD7">
            <v>14876.697431329176</v>
          </cell>
          <cell r="AE7">
            <v>56647.02526635406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/>
          <cell r="AV7"/>
          <cell r="AW7"/>
          <cell r="AX7"/>
          <cell r="AY7"/>
          <cell r="AZ7"/>
        </row>
        <row r="8">
          <cell r="D8" t="str">
            <v>매 출 액</v>
          </cell>
          <cell r="E8">
            <v>39434780.894553751</v>
          </cell>
          <cell r="F8">
            <v>4131022.9500000007</v>
          </cell>
          <cell r="G8">
            <v>2879324.4499999997</v>
          </cell>
          <cell r="H8">
            <v>2619671.9780851072</v>
          </cell>
          <cell r="I8">
            <v>1175187.5</v>
          </cell>
          <cell r="J8">
            <v>2044404.8162500001</v>
          </cell>
          <cell r="K8">
            <v>2488256.6800000002</v>
          </cell>
          <cell r="L8">
            <v>1212002.3999999999</v>
          </cell>
          <cell r="M8">
            <v>1872000</v>
          </cell>
          <cell r="N8">
            <v>1063869.4700000002</v>
          </cell>
          <cell r="O8">
            <v>1793442.5</v>
          </cell>
          <cell r="P8">
            <v>1564800.0000000002</v>
          </cell>
          <cell r="Q8">
            <v>686177.8</v>
          </cell>
          <cell r="R8">
            <v>2423989.4</v>
          </cell>
          <cell r="S8">
            <v>1245325.8959999999</v>
          </cell>
          <cell r="T8">
            <v>822964.29500000016</v>
          </cell>
          <cell r="U8">
            <v>539500</v>
          </cell>
          <cell r="V8">
            <v>506800</v>
          </cell>
          <cell r="W8">
            <v>0</v>
          </cell>
          <cell r="X8">
            <v>0</v>
          </cell>
          <cell r="Y8">
            <v>0</v>
          </cell>
          <cell r="Z8">
            <v>29068740.13533511</v>
          </cell>
          <cell r="AA8">
            <v>8929315.7894736845</v>
          </cell>
          <cell r="AB8">
            <v>0</v>
          </cell>
          <cell r="AC8">
            <v>749455.94230335439</v>
          </cell>
          <cell r="AD8">
            <v>522361.52710826986</v>
          </cell>
          <cell r="AE8">
            <v>1271817.4694116241</v>
          </cell>
          <cell r="AF8">
            <v>12500</v>
          </cell>
          <cell r="AG8">
            <v>50000</v>
          </cell>
          <cell r="AH8">
            <v>28340</v>
          </cell>
          <cell r="AI8">
            <v>67047.50033333333</v>
          </cell>
          <cell r="AJ8">
            <v>5250</v>
          </cell>
          <cell r="AK8">
            <v>0</v>
          </cell>
          <cell r="AL8">
            <v>163137.50033333333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  <cell r="AV8"/>
          <cell r="AW8"/>
          <cell r="AX8"/>
          <cell r="AY8"/>
          <cell r="AZ8"/>
        </row>
        <row r="9">
          <cell r="D9" t="str">
            <v xml:space="preserve"> - 단  위  당</v>
          </cell>
          <cell r="E9"/>
          <cell r="F9">
            <v>100756.65731707319</v>
          </cell>
          <cell r="G9">
            <v>102833.01607142856</v>
          </cell>
          <cell r="H9">
            <v>97024.888077226191</v>
          </cell>
          <cell r="I9">
            <v>94015</v>
          </cell>
          <cell r="J9">
            <v>107600.25348684211</v>
          </cell>
          <cell r="K9">
            <v>103677.36166666666</v>
          </cell>
          <cell r="L9">
            <v>101000.2</v>
          </cell>
          <cell r="M9">
            <v>104000</v>
          </cell>
          <cell r="N9">
            <v>96715.406363636372</v>
          </cell>
          <cell r="O9">
            <v>99635.694444444438</v>
          </cell>
          <cell r="P9">
            <v>97800.000000000015</v>
          </cell>
          <cell r="Q9">
            <v>98025.400000000009</v>
          </cell>
          <cell r="R9">
            <v>100999.55833333332</v>
          </cell>
          <cell r="S9">
            <v>103777.158</v>
          </cell>
          <cell r="T9">
            <v>109728.57266666669</v>
          </cell>
          <cell r="U9">
            <v>107900</v>
          </cell>
          <cell r="V9">
            <v>126700</v>
          </cell>
          <cell r="W9">
            <v>0</v>
          </cell>
          <cell r="X9">
            <v>0</v>
          </cell>
          <cell r="Y9">
            <v>0</v>
          </cell>
          <cell r="Z9">
            <v>101638.95152215073</v>
          </cell>
          <cell r="AA9">
            <v>1223193.9437635185</v>
          </cell>
          <cell r="AB9">
            <v>0</v>
          </cell>
          <cell r="AC9">
            <v>17942.30452926748</v>
          </cell>
          <cell r="AD9">
            <v>35112.734497659192</v>
          </cell>
          <cell r="AE9">
            <v>22451.619717567588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/>
          <cell r="AV9"/>
          <cell r="AW9"/>
          <cell r="AX9"/>
          <cell r="AY9"/>
          <cell r="AZ9"/>
        </row>
        <row r="10">
          <cell r="D10" t="str">
            <v>매출원가</v>
          </cell>
          <cell r="E10">
            <v>33998897.976888761</v>
          </cell>
          <cell r="F10">
            <v>3485283.8231574721</v>
          </cell>
          <cell r="G10">
            <v>2503798.7814122667</v>
          </cell>
          <cell r="H10">
            <v>2235612.0963390209</v>
          </cell>
          <cell r="I10">
            <v>1001243.1472271318</v>
          </cell>
          <cell r="J10">
            <v>1657900.8757503664</v>
          </cell>
          <cell r="K10">
            <v>2022578.7499159432</v>
          </cell>
          <cell r="L10">
            <v>1023734.5107193886</v>
          </cell>
          <cell r="M10">
            <v>1556469.0035858117</v>
          </cell>
          <cell r="N10">
            <v>892143.11603001971</v>
          </cell>
          <cell r="O10">
            <v>1425655.2155958754</v>
          </cell>
          <cell r="P10">
            <v>1260437.8219858566</v>
          </cell>
          <cell r="Q10">
            <v>657973.48917217494</v>
          </cell>
          <cell r="R10">
            <v>1984185.0801008188</v>
          </cell>
          <cell r="S10">
            <v>997472.7552847066</v>
          </cell>
          <cell r="T10">
            <v>580932.18794813263</v>
          </cell>
          <cell r="U10">
            <v>447222.40613447927</v>
          </cell>
          <cell r="V10">
            <v>440092.71129112114</v>
          </cell>
          <cell r="W10">
            <v>0</v>
          </cell>
          <cell r="X10">
            <v>0</v>
          </cell>
          <cell r="Y10">
            <v>0</v>
          </cell>
          <cell r="Z10">
            <v>24172735.771650586</v>
          </cell>
          <cell r="AA10">
            <v>8700442.2863157876</v>
          </cell>
          <cell r="AB10">
            <v>0</v>
          </cell>
          <cell r="AC10">
            <v>637436.67484517419</v>
          </cell>
          <cell r="AD10">
            <v>450029.32907721691</v>
          </cell>
          <cell r="AE10">
            <v>1087466.0039223912</v>
          </cell>
          <cell r="AF10">
            <v>141.58099999999999</v>
          </cell>
          <cell r="AG10">
            <v>780.69200000000001</v>
          </cell>
          <cell r="AH10">
            <v>459.28500000000003</v>
          </cell>
          <cell r="AI10">
            <v>273.40800000000002</v>
          </cell>
          <cell r="AJ10">
            <v>191.119</v>
          </cell>
          <cell r="AK10">
            <v>0</v>
          </cell>
          <cell r="AL10">
            <v>1846.0849999999998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36407.829999999994</v>
          </cell>
          <cell r="AS10">
            <v>0</v>
          </cell>
          <cell r="AT10">
            <v>0</v>
          </cell>
          <cell r="AU10">
            <v>36407.829999999994</v>
          </cell>
          <cell r="AV10"/>
          <cell r="AW10"/>
          <cell r="AX10"/>
          <cell r="AY10"/>
          <cell r="AZ10"/>
        </row>
        <row r="11">
          <cell r="D11" t="str">
            <v xml:space="preserve"> - 단  위  당</v>
          </cell>
          <cell r="E11"/>
          <cell r="F11">
            <v>85006.922516035906</v>
          </cell>
          <cell r="G11">
            <v>89421.385050438097</v>
          </cell>
          <cell r="H11">
            <v>82800.448012556328</v>
          </cell>
          <cell r="I11">
            <v>80099.451778170551</v>
          </cell>
          <cell r="J11">
            <v>87257.940828966646</v>
          </cell>
          <cell r="K11">
            <v>84274.114579830959</v>
          </cell>
          <cell r="L11">
            <v>85311.209226615712</v>
          </cell>
          <cell r="M11">
            <v>86470.500199211761</v>
          </cell>
          <cell r="N11">
            <v>81103.919639092695</v>
          </cell>
          <cell r="O11">
            <v>79203.067533104186</v>
          </cell>
          <cell r="P11">
            <v>78777.363874116039</v>
          </cell>
          <cell r="Q11">
            <v>93996.212738882139</v>
          </cell>
          <cell r="R11">
            <v>82674.378337534115</v>
          </cell>
          <cell r="S11">
            <v>83122.729607058893</v>
          </cell>
          <cell r="T11">
            <v>77457.625059751022</v>
          </cell>
          <cell r="U11">
            <v>89444.481226895863</v>
          </cell>
          <cell r="V11">
            <v>110023.17782278029</v>
          </cell>
          <cell r="W11">
            <v>0</v>
          </cell>
          <cell r="X11">
            <v>0</v>
          </cell>
          <cell r="Y11">
            <v>0</v>
          </cell>
          <cell r="Z11">
            <v>84520.055145631413</v>
          </cell>
          <cell r="AA11">
            <v>1191841.4090843543</v>
          </cell>
          <cell r="AB11">
            <v>0</v>
          </cell>
          <cell r="AC11">
            <v>15260.51405109338</v>
          </cell>
          <cell r="AD11">
            <v>30250.620553019373</v>
          </cell>
          <cell r="AE11">
            <v>19197.230548455649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/>
          <cell r="AV11"/>
          <cell r="AW11"/>
          <cell r="AX11"/>
          <cell r="AY11"/>
          <cell r="AZ11"/>
        </row>
        <row r="12">
          <cell r="D12" t="str">
            <v>매출이익</v>
          </cell>
          <cell r="E12">
            <v>5435882.9176649898</v>
          </cell>
          <cell r="F12">
            <v>645739.12684252858</v>
          </cell>
          <cell r="G12">
            <v>375525.66858773306</v>
          </cell>
          <cell r="H12">
            <v>384059.88174608629</v>
          </cell>
          <cell r="I12">
            <v>173944.35277286824</v>
          </cell>
          <cell r="J12">
            <v>386503.94049963378</v>
          </cell>
          <cell r="K12">
            <v>465677.93008405692</v>
          </cell>
          <cell r="L12">
            <v>188267.8892806113</v>
          </cell>
          <cell r="M12">
            <v>315530.9964141883</v>
          </cell>
          <cell r="N12">
            <v>171726.3539699805</v>
          </cell>
          <cell r="O12">
            <v>367787.2844041246</v>
          </cell>
          <cell r="P12">
            <v>304362.1780141436</v>
          </cell>
          <cell r="Q12">
            <v>28204.310827825102</v>
          </cell>
          <cell r="R12">
            <v>439804.31989918114</v>
          </cell>
          <cell r="S12">
            <v>247853.14071529335</v>
          </cell>
          <cell r="T12">
            <v>242032.10705186753</v>
          </cell>
          <cell r="U12">
            <v>92277.593865520728</v>
          </cell>
          <cell r="V12">
            <v>66707.288708878856</v>
          </cell>
          <cell r="W12">
            <v>0</v>
          </cell>
          <cell r="X12">
            <v>0</v>
          </cell>
          <cell r="Y12">
            <v>0</v>
          </cell>
          <cell r="Z12">
            <v>4896004.3636845239</v>
          </cell>
          <cell r="AA12">
            <v>228873.50315789692</v>
          </cell>
          <cell r="AB12">
            <v>0</v>
          </cell>
          <cell r="AC12">
            <v>112019.2674581802</v>
          </cell>
          <cell r="AD12">
            <v>72332.198031052947</v>
          </cell>
          <cell r="AE12">
            <v>184351.46548923291</v>
          </cell>
          <cell r="AF12">
            <v>12358.419</v>
          </cell>
          <cell r="AG12">
            <v>49219.307999999997</v>
          </cell>
          <cell r="AH12">
            <v>27880.715</v>
          </cell>
          <cell r="AI12">
            <v>66774.092333333334</v>
          </cell>
          <cell r="AJ12">
            <v>5058.8810000000003</v>
          </cell>
          <cell r="AK12">
            <v>0</v>
          </cell>
          <cell r="AL12">
            <v>161291.41533333334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-36407.829999999994</v>
          </cell>
          <cell r="AS12">
            <v>0</v>
          </cell>
          <cell r="AT12">
            <v>1770</v>
          </cell>
          <cell r="AU12">
            <v>-34637.829999999994</v>
          </cell>
          <cell r="AV12"/>
          <cell r="AW12"/>
          <cell r="AX12"/>
          <cell r="AY12"/>
          <cell r="AZ12"/>
        </row>
        <row r="13">
          <cell r="D13" t="str">
            <v>판 관 비</v>
          </cell>
          <cell r="E13">
            <v>908429.97200000007</v>
          </cell>
          <cell r="F13">
            <v>73445.389999999985</v>
          </cell>
          <cell r="G13">
            <v>72390.14</v>
          </cell>
          <cell r="H13">
            <v>48398.55</v>
          </cell>
          <cell r="I13">
            <v>35767.67</v>
          </cell>
          <cell r="J13">
            <v>56426.09</v>
          </cell>
          <cell r="K13">
            <v>45480</v>
          </cell>
          <cell r="L13">
            <v>33527.57</v>
          </cell>
          <cell r="M13">
            <v>46548.46</v>
          </cell>
          <cell r="N13">
            <v>43049.919999999998</v>
          </cell>
          <cell r="O13">
            <v>39206.69</v>
          </cell>
          <cell r="P13">
            <v>37450.869999999995</v>
          </cell>
          <cell r="Q13">
            <v>25635.420000000002</v>
          </cell>
          <cell r="R13">
            <v>42295.039999999994</v>
          </cell>
          <cell r="S13">
            <v>27794.400000000001</v>
          </cell>
          <cell r="T13">
            <v>9843.1500000000015</v>
          </cell>
          <cell r="U13">
            <v>9776.630000000001</v>
          </cell>
          <cell r="V13">
            <v>14381.390000000001</v>
          </cell>
          <cell r="W13">
            <v>0</v>
          </cell>
          <cell r="X13">
            <v>0</v>
          </cell>
          <cell r="Y13">
            <v>0</v>
          </cell>
          <cell r="Z13">
            <v>661417.38</v>
          </cell>
          <cell r="AA13">
            <v>129557.48000000001</v>
          </cell>
          <cell r="AB13">
            <v>80124.53</v>
          </cell>
          <cell r="AC13">
            <v>0</v>
          </cell>
          <cell r="AD13">
            <v>0</v>
          </cell>
          <cell r="AE13">
            <v>80124.53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414.08499999999998</v>
          </cell>
          <cell r="AN13">
            <v>237.679</v>
          </cell>
          <cell r="AO13">
            <v>145.50200000000001</v>
          </cell>
          <cell r="AP13">
            <v>150</v>
          </cell>
          <cell r="AQ13">
            <v>9494.7459999999992</v>
          </cell>
          <cell r="AR13">
            <v>26888.569999999996</v>
          </cell>
          <cell r="AS13">
            <v>0</v>
          </cell>
          <cell r="AT13">
            <v>0</v>
          </cell>
          <cell r="AU13">
            <v>37330.581999999995</v>
          </cell>
          <cell r="AV13"/>
          <cell r="AW13"/>
          <cell r="AX13"/>
          <cell r="AY13"/>
          <cell r="AZ13"/>
        </row>
        <row r="14">
          <cell r="D14" t="str">
            <v xml:space="preserve"> - 노   무   비</v>
          </cell>
          <cell r="E14">
            <v>604015.99000000011</v>
          </cell>
          <cell r="F14">
            <v>48296.539999999994</v>
          </cell>
          <cell r="G14">
            <v>46077.93</v>
          </cell>
          <cell r="H14">
            <v>34163.040000000001</v>
          </cell>
          <cell r="I14">
            <v>25384.5</v>
          </cell>
          <cell r="J14">
            <v>40364</v>
          </cell>
          <cell r="K14">
            <v>33482.83</v>
          </cell>
          <cell r="L14">
            <v>25437.74</v>
          </cell>
          <cell r="M14">
            <v>33056.31</v>
          </cell>
          <cell r="N14">
            <v>26198.02</v>
          </cell>
          <cell r="O14">
            <v>30100.890000000003</v>
          </cell>
          <cell r="P14">
            <v>25518.92</v>
          </cell>
          <cell r="Q14">
            <v>18858.050000000003</v>
          </cell>
          <cell r="R14">
            <v>29242.879999999997</v>
          </cell>
          <cell r="S14">
            <v>17960.63</v>
          </cell>
          <cell r="T14">
            <v>6740.76</v>
          </cell>
          <cell r="U14">
            <v>5981.55</v>
          </cell>
          <cell r="V14">
            <v>10553.53</v>
          </cell>
          <cell r="W14">
            <v>0</v>
          </cell>
          <cell r="X14">
            <v>0</v>
          </cell>
          <cell r="Y14">
            <v>0</v>
          </cell>
          <cell r="Z14">
            <v>457418.12000000005</v>
          </cell>
          <cell r="AA14">
            <v>83504.47</v>
          </cell>
          <cell r="AB14">
            <v>38227.43</v>
          </cell>
          <cell r="AC14">
            <v>0</v>
          </cell>
          <cell r="AD14">
            <v>0</v>
          </cell>
          <cell r="AE14">
            <v>38227.43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24865.969999999998</v>
          </cell>
          <cell r="AS14">
            <v>0</v>
          </cell>
          <cell r="AT14">
            <v>0</v>
          </cell>
          <cell r="AU14">
            <v>24865.969999999998</v>
          </cell>
          <cell r="AV14"/>
          <cell r="AW14"/>
          <cell r="AX14"/>
          <cell r="AY14"/>
          <cell r="AZ14"/>
        </row>
        <row r="15">
          <cell r="D15" t="str">
            <v xml:space="preserve"> - 경        비</v>
          </cell>
          <cell r="E15">
            <v>304413.98199999996</v>
          </cell>
          <cell r="F15">
            <v>25148.85</v>
          </cell>
          <cell r="G15">
            <v>26312.21</v>
          </cell>
          <cell r="H15">
            <v>14235.51</v>
          </cell>
          <cell r="I15">
            <v>10383.169999999998</v>
          </cell>
          <cell r="J15">
            <v>16062.09</v>
          </cell>
          <cell r="K15">
            <v>11997.17</v>
          </cell>
          <cell r="L15">
            <v>8089.83</v>
          </cell>
          <cell r="M15">
            <v>13492.15</v>
          </cell>
          <cell r="N15">
            <v>16851.900000000001</v>
          </cell>
          <cell r="O15">
            <v>9105.7999999999993</v>
          </cell>
          <cell r="P15">
            <v>11931.949999999999</v>
          </cell>
          <cell r="Q15">
            <v>6777.37</v>
          </cell>
          <cell r="R15">
            <v>13052.16</v>
          </cell>
          <cell r="S15">
            <v>9833.77</v>
          </cell>
          <cell r="T15">
            <v>3102.3900000000003</v>
          </cell>
          <cell r="U15">
            <v>3795.08</v>
          </cell>
          <cell r="V15">
            <v>3827.86</v>
          </cell>
          <cell r="W15">
            <v>0</v>
          </cell>
          <cell r="X15">
            <v>0</v>
          </cell>
          <cell r="Y15">
            <v>0</v>
          </cell>
          <cell r="Z15">
            <v>203999.25999999995</v>
          </cell>
          <cell r="AA15">
            <v>46053.01</v>
          </cell>
          <cell r="AB15">
            <v>41897.1</v>
          </cell>
          <cell r="AC15">
            <v>0</v>
          </cell>
          <cell r="AD15">
            <v>0</v>
          </cell>
          <cell r="AE15">
            <v>41897.1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414.08499999999998</v>
          </cell>
          <cell r="AN15">
            <v>237.679</v>
          </cell>
          <cell r="AO15">
            <v>145.50200000000001</v>
          </cell>
          <cell r="AP15">
            <v>150</v>
          </cell>
          <cell r="AQ15">
            <v>9494.7459999999992</v>
          </cell>
          <cell r="AR15">
            <v>2022.6</v>
          </cell>
          <cell r="AS15">
            <v>0</v>
          </cell>
          <cell r="AT15">
            <v>0</v>
          </cell>
          <cell r="AU15">
            <v>12464.611999999999</v>
          </cell>
          <cell r="AV15"/>
          <cell r="AW15"/>
          <cell r="AX15"/>
          <cell r="AY15"/>
          <cell r="AZ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/>
          <cell r="AW16"/>
          <cell r="AX16"/>
          <cell r="AY16"/>
          <cell r="AZ16"/>
        </row>
        <row r="17">
          <cell r="D17" t="str">
            <v>EBITDA</v>
          </cell>
          <cell r="E17">
            <v>4527452.9456649898</v>
          </cell>
          <cell r="F17">
            <v>572293.73684252857</v>
          </cell>
          <cell r="G17">
            <v>303135.52858773305</v>
          </cell>
          <cell r="H17">
            <v>335661.3317460863</v>
          </cell>
          <cell r="I17">
            <v>138176.68277286825</v>
          </cell>
          <cell r="J17">
            <v>330077.85049963382</v>
          </cell>
          <cell r="K17">
            <v>420197.93008405692</v>
          </cell>
          <cell r="L17">
            <v>154740.31928061129</v>
          </cell>
          <cell r="M17">
            <v>268982.53641418827</v>
          </cell>
          <cell r="N17">
            <v>128676.4339699805</v>
          </cell>
          <cell r="O17">
            <v>328580.5944041246</v>
          </cell>
          <cell r="P17">
            <v>266911.30801414361</v>
          </cell>
          <cell r="Q17">
            <v>2568.8908278251001</v>
          </cell>
          <cell r="R17">
            <v>397509.27989918116</v>
          </cell>
          <cell r="S17">
            <v>220058.74071529336</v>
          </cell>
          <cell r="T17">
            <v>232188.95705186753</v>
          </cell>
          <cell r="U17">
            <v>82500.963865520724</v>
          </cell>
          <cell r="V17">
            <v>52325.898708878856</v>
          </cell>
          <cell r="W17">
            <v>0</v>
          </cell>
          <cell r="X17">
            <v>0</v>
          </cell>
          <cell r="Y17">
            <v>0</v>
          </cell>
          <cell r="Z17">
            <v>4234586.983684524</v>
          </cell>
          <cell r="AA17">
            <v>99316.023157896911</v>
          </cell>
          <cell r="AB17">
            <v>-80124.53</v>
          </cell>
          <cell r="AC17">
            <v>112019.2674581802</v>
          </cell>
          <cell r="AD17">
            <v>72332.198031052947</v>
          </cell>
          <cell r="AE17">
            <v>104226.93548923291</v>
          </cell>
          <cell r="AF17">
            <v>12358.419</v>
          </cell>
          <cell r="AG17">
            <v>49219.307999999997</v>
          </cell>
          <cell r="AH17">
            <v>27880.715</v>
          </cell>
          <cell r="AI17">
            <v>66774.092333333334</v>
          </cell>
          <cell r="AJ17">
            <v>5058.8810000000003</v>
          </cell>
          <cell r="AK17">
            <v>0</v>
          </cell>
          <cell r="AL17">
            <v>161291.41533333334</v>
          </cell>
          <cell r="AM17">
            <v>-414.08499999999998</v>
          </cell>
          <cell r="AN17">
            <v>-237.679</v>
          </cell>
          <cell r="AO17">
            <v>-145.50200000000001</v>
          </cell>
          <cell r="AP17">
            <v>-150</v>
          </cell>
          <cell r="AQ17">
            <v>-9494.7459999999992</v>
          </cell>
          <cell r="AR17">
            <v>-63296.399999999994</v>
          </cell>
          <cell r="AS17">
            <v>0</v>
          </cell>
          <cell r="AT17">
            <v>1770</v>
          </cell>
          <cell r="AU17">
            <v>-71968.411999999982</v>
          </cell>
          <cell r="AV17"/>
          <cell r="AW17"/>
          <cell r="AX17"/>
          <cell r="AY17"/>
          <cell r="AZ17"/>
        </row>
        <row r="18">
          <cell r="D18" t="str">
            <v>감가상각비</v>
          </cell>
          <cell r="E18">
            <v>440778.0093341723</v>
          </cell>
          <cell r="F18">
            <v>29969.910777777772</v>
          </cell>
          <cell r="G18">
            <v>34148.701683911124</v>
          </cell>
          <cell r="H18">
            <v>17060.498555555554</v>
          </cell>
          <cell r="I18">
            <v>19199.545555555553</v>
          </cell>
          <cell r="J18">
            <v>46892.19733333333</v>
          </cell>
          <cell r="K18">
            <v>-595.38266666666641</v>
          </cell>
          <cell r="L18">
            <v>12044.764777777777</v>
          </cell>
          <cell r="M18">
            <v>23068.608222222225</v>
          </cell>
          <cell r="N18">
            <v>10628.195666666668</v>
          </cell>
          <cell r="O18">
            <v>32456.825222222222</v>
          </cell>
          <cell r="P18">
            <v>13753.094696898528</v>
          </cell>
          <cell r="Q18">
            <v>11498.593888888889</v>
          </cell>
          <cell r="R18">
            <v>22868.705999999998</v>
          </cell>
          <cell r="S18">
            <v>23400.329333333335</v>
          </cell>
          <cell r="T18">
            <v>10107.480666666666</v>
          </cell>
          <cell r="U18">
            <v>5428.9927777777775</v>
          </cell>
          <cell r="V18">
            <v>9966.608953347426</v>
          </cell>
          <cell r="W18">
            <v>0</v>
          </cell>
          <cell r="X18">
            <v>0</v>
          </cell>
          <cell r="Y18">
            <v>0</v>
          </cell>
          <cell r="Z18">
            <v>321897.67144526821</v>
          </cell>
          <cell r="AA18">
            <v>4908.0999999999995</v>
          </cell>
          <cell r="AB18">
            <v>12255.822555555556</v>
          </cell>
          <cell r="AC18">
            <v>56856.659666666674</v>
          </cell>
          <cell r="AD18">
            <v>34019.718222222225</v>
          </cell>
          <cell r="AE18">
            <v>103132.20044444446</v>
          </cell>
          <cell r="AF18">
            <v>3169.12</v>
          </cell>
          <cell r="AG18">
            <v>5255.8180000000002</v>
          </cell>
          <cell r="AH18">
            <v>5673.2289999999994</v>
          </cell>
          <cell r="AI18">
            <v>-4103.3359999999993</v>
          </cell>
          <cell r="AJ18">
            <v>1312.8920000000001</v>
          </cell>
          <cell r="AK18">
            <v>0</v>
          </cell>
          <cell r="AL18">
            <v>11307.723</v>
          </cell>
          <cell r="AM18">
            <v>5225.2884444596393</v>
          </cell>
          <cell r="AN18">
            <v>1056.4570000000001</v>
          </cell>
          <cell r="AO18">
            <v>353.67200000000003</v>
          </cell>
          <cell r="AP18">
            <v>432.17</v>
          </cell>
          <cell r="AQ18">
            <v>-14097.802</v>
          </cell>
          <cell r="AR18">
            <v>0</v>
          </cell>
          <cell r="AS18">
            <v>0</v>
          </cell>
          <cell r="AT18">
            <v>6562.5290000000005</v>
          </cell>
          <cell r="AU18">
            <v>-467.68555554035993</v>
          </cell>
          <cell r="AV18"/>
          <cell r="AW18"/>
          <cell r="AX18"/>
          <cell r="AY18"/>
          <cell r="AZ18"/>
        </row>
        <row r="19">
          <cell r="D19" t="str">
            <v xml:space="preserve"> - 제        조</v>
          </cell>
          <cell r="E19">
            <v>399183.5583341571</v>
          </cell>
          <cell r="F19">
            <v>27642.288777777772</v>
          </cell>
          <cell r="G19">
            <v>31538.819683911126</v>
          </cell>
          <cell r="H19">
            <v>15463.690555555555</v>
          </cell>
          <cell r="I19">
            <v>18007.557555555552</v>
          </cell>
          <cell r="J19">
            <v>43789.895333333327</v>
          </cell>
          <cell r="K19">
            <v>-2159.7846666666665</v>
          </cell>
          <cell r="L19">
            <v>10851.165777777776</v>
          </cell>
          <cell r="M19">
            <v>21210.956222222223</v>
          </cell>
          <cell r="N19">
            <v>9140.9436666666679</v>
          </cell>
          <cell r="O19">
            <v>31238.059222222222</v>
          </cell>
          <cell r="P19">
            <v>12547.706696898527</v>
          </cell>
          <cell r="Q19">
            <v>10396.438888888888</v>
          </cell>
          <cell r="R19">
            <v>21280.504999999997</v>
          </cell>
          <cell r="S19">
            <v>22557.171333333335</v>
          </cell>
          <cell r="T19">
            <v>9664.6116666666658</v>
          </cell>
          <cell r="U19">
            <v>5058.5927777777779</v>
          </cell>
          <cell r="V19">
            <v>9141.2389533474252</v>
          </cell>
          <cell r="W19">
            <v>0</v>
          </cell>
          <cell r="X19">
            <v>0</v>
          </cell>
          <cell r="Y19">
            <v>0</v>
          </cell>
          <cell r="Z19">
            <v>297369.85744526819</v>
          </cell>
          <cell r="AA19">
            <v>0</v>
          </cell>
          <cell r="AB19">
            <v>0</v>
          </cell>
          <cell r="AC19">
            <v>56856.659666666674</v>
          </cell>
          <cell r="AD19">
            <v>33649.318222222224</v>
          </cell>
          <cell r="AE19">
            <v>90505.977888888898</v>
          </cell>
          <cell r="AF19">
            <v>3169.12</v>
          </cell>
          <cell r="AG19">
            <v>5255.8180000000002</v>
          </cell>
          <cell r="AH19">
            <v>5673.2289999999994</v>
          </cell>
          <cell r="AI19">
            <v>-4103.3359999999993</v>
          </cell>
          <cell r="AJ19">
            <v>1312.8920000000001</v>
          </cell>
          <cell r="AK19">
            <v>0</v>
          </cell>
          <cell r="AL19">
            <v>11307.723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/>
          <cell r="AW19"/>
          <cell r="AX19"/>
          <cell r="AY19"/>
          <cell r="AZ19"/>
        </row>
        <row r="20">
          <cell r="D20" t="str">
            <v xml:space="preserve"> - 판        매</v>
          </cell>
          <cell r="E20">
            <v>41594.451000015193</v>
          </cell>
          <cell r="F20">
            <v>2327.6220000000003</v>
          </cell>
          <cell r="G20">
            <v>2609.8820000000001</v>
          </cell>
          <cell r="H20">
            <v>1596.808</v>
          </cell>
          <cell r="I20">
            <v>1191.9880000000001</v>
          </cell>
          <cell r="J20">
            <v>3102.3020000000001</v>
          </cell>
          <cell r="K20">
            <v>1564.402</v>
          </cell>
          <cell r="L20">
            <v>1193.5990000000002</v>
          </cell>
          <cell r="M20">
            <v>1857.652</v>
          </cell>
          <cell r="N20">
            <v>1487.2520000000002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843.15800000000002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24527.813999999998</v>
          </cell>
          <cell r="AA20">
            <v>4908.0999999999995</v>
          </cell>
          <cell r="AB20">
            <v>12255.822555555556</v>
          </cell>
          <cell r="AC20">
            <v>0</v>
          </cell>
          <cell r="AD20">
            <v>370.4</v>
          </cell>
          <cell r="AE20">
            <v>12626.222555555556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5225.2884444596393</v>
          </cell>
          <cell r="AN20">
            <v>1056.4570000000001</v>
          </cell>
          <cell r="AO20">
            <v>353.67200000000003</v>
          </cell>
          <cell r="AP20">
            <v>432.17</v>
          </cell>
          <cell r="AQ20">
            <v>-14097.802</v>
          </cell>
          <cell r="AR20">
            <v>0</v>
          </cell>
          <cell r="AS20">
            <v>0</v>
          </cell>
          <cell r="AT20">
            <v>6562.5290000000005</v>
          </cell>
          <cell r="AU20">
            <v>-467.68555554035993</v>
          </cell>
          <cell r="AV20"/>
          <cell r="AW20"/>
          <cell r="AX20"/>
          <cell r="AY20"/>
          <cell r="AZ20"/>
        </row>
        <row r="21">
          <cell r="D21" t="str">
            <v>영업이익 I</v>
          </cell>
          <cell r="E21">
            <v>4086674.9363308176</v>
          </cell>
          <cell r="F21">
            <v>542323.82606475079</v>
          </cell>
          <cell r="G21">
            <v>268986.8269038219</v>
          </cell>
          <cell r="H21">
            <v>318600.83319053077</v>
          </cell>
          <cell r="I21">
            <v>118977.1372173127</v>
          </cell>
          <cell r="J21">
            <v>283185.6531663005</v>
          </cell>
          <cell r="K21">
            <v>420793.31275072356</v>
          </cell>
          <cell r="L21">
            <v>142695.55450283352</v>
          </cell>
          <cell r="M21">
            <v>245913.92819196606</v>
          </cell>
          <cell r="N21">
            <v>118048.23830331383</v>
          </cell>
          <cell r="O21">
            <v>296123.7691819024</v>
          </cell>
          <cell r="P21">
            <v>253158.21331724507</v>
          </cell>
          <cell r="Q21">
            <v>-8929.7030610637885</v>
          </cell>
          <cell r="R21">
            <v>374640.57389918115</v>
          </cell>
          <cell r="S21">
            <v>196658.41138196003</v>
          </cell>
          <cell r="T21">
            <v>222081.47638520086</v>
          </cell>
          <cell r="U21">
            <v>77071.971087742946</v>
          </cell>
          <cell r="V21">
            <v>42359.289755531427</v>
          </cell>
          <cell r="W21">
            <v>0</v>
          </cell>
          <cell r="X21">
            <v>0</v>
          </cell>
          <cell r="Y21">
            <v>0</v>
          </cell>
          <cell r="Z21">
            <v>3912689.3122392558</v>
          </cell>
          <cell r="AA21">
            <v>94407.923157896905</v>
          </cell>
          <cell r="AB21">
            <v>-92380.352555555553</v>
          </cell>
          <cell r="AC21">
            <v>55162.607791513525</v>
          </cell>
          <cell r="AD21">
            <v>38312.479808830722</v>
          </cell>
          <cell r="AE21">
            <v>1094.7350447884528</v>
          </cell>
          <cell r="AF21">
            <v>9189.2989999999991</v>
          </cell>
          <cell r="AG21">
            <v>43963.49</v>
          </cell>
          <cell r="AH21">
            <v>22207.486000000001</v>
          </cell>
          <cell r="AI21">
            <v>70877.42833333333</v>
          </cell>
          <cell r="AJ21">
            <v>3745.9890000000005</v>
          </cell>
          <cell r="AK21">
            <v>0</v>
          </cell>
          <cell r="AL21">
            <v>149983.69233333334</v>
          </cell>
          <cell r="AM21">
            <v>-5639.3734444596394</v>
          </cell>
          <cell r="AN21">
            <v>-1294.1360000000002</v>
          </cell>
          <cell r="AO21">
            <v>-499.17400000000004</v>
          </cell>
          <cell r="AP21">
            <v>-582.17000000000007</v>
          </cell>
          <cell r="AQ21">
            <v>4603.0560000000005</v>
          </cell>
          <cell r="AR21">
            <v>-63296.399999999994</v>
          </cell>
          <cell r="AS21">
            <v>0</v>
          </cell>
          <cell r="AT21">
            <v>-4792.5290000000005</v>
          </cell>
          <cell r="AU21">
            <v>-71500.726444459622</v>
          </cell>
          <cell r="AV21"/>
          <cell r="AW21"/>
          <cell r="AX21"/>
          <cell r="AY21"/>
          <cell r="AZ21"/>
        </row>
        <row r="22">
          <cell r="D22" t="str">
            <v>공    통    비</v>
          </cell>
          <cell r="E22">
            <v>1191666.5727792657</v>
          </cell>
          <cell r="F22">
            <v>165027.27495875402</v>
          </cell>
          <cell r="G22">
            <v>115024.06872506312</v>
          </cell>
          <cell r="H22">
            <v>104651.39822793624</v>
          </cell>
          <cell r="I22">
            <v>46946.723133211039</v>
          </cell>
          <cell r="J22">
            <v>82484.38141278</v>
          </cell>
          <cell r="K22">
            <v>100392.20775388724</v>
          </cell>
          <cell r="L22">
            <v>48899.93774235942</v>
          </cell>
          <cell r="M22">
            <v>75528.467149649892</v>
          </cell>
          <cell r="N22">
            <v>42923.306792954303</v>
          </cell>
          <cell r="O22">
            <v>72358.954565190157</v>
          </cell>
          <cell r="P22">
            <v>63134.052027656078</v>
          </cell>
          <cell r="Q22">
            <v>27684.80631737128</v>
          </cell>
          <cell r="R22">
            <v>92693.950047959021</v>
          </cell>
          <cell r="S22">
            <v>47621.568145988509</v>
          </cell>
          <cell r="T22">
            <v>31470.356781256483</v>
          </cell>
          <cell r="U22">
            <v>20630.612514590161</v>
          </cell>
          <cell r="V22">
            <v>19380.15648265856</v>
          </cell>
          <cell r="W22">
            <v>0</v>
          </cell>
          <cell r="X22">
            <v>0</v>
          </cell>
          <cell r="Y22">
            <v>0</v>
          </cell>
          <cell r="Z22">
            <v>1156852.2227792656</v>
          </cell>
          <cell r="AA22">
            <v>0</v>
          </cell>
          <cell r="AB22">
            <v>0</v>
          </cell>
          <cell r="AC22">
            <v>20515.382208894764</v>
          </cell>
          <cell r="AD22">
            <v>14298.967791105246</v>
          </cell>
          <cell r="AE22">
            <v>34814.350000000006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/>
          <cell r="AW22"/>
          <cell r="AX22"/>
          <cell r="AY22"/>
          <cell r="AZ22"/>
        </row>
        <row r="23">
          <cell r="D23" t="str">
            <v xml:space="preserve"> - 영업공통비</v>
          </cell>
          <cell r="E23">
            <v>228575.42333333337</v>
          </cell>
          <cell r="F23">
            <v>28160.261707401722</v>
          </cell>
          <cell r="G23">
            <v>19627.712320630049</v>
          </cell>
          <cell r="H23">
            <v>17857.719355062734</v>
          </cell>
          <cell r="I23">
            <v>8010.9909714413843</v>
          </cell>
          <cell r="J23">
            <v>14750.170186280484</v>
          </cell>
          <cell r="K23">
            <v>17952.515668824923</v>
          </cell>
          <cell r="L23">
            <v>8744.4724861156246</v>
          </cell>
          <cell r="M23">
            <v>13506.287193827709</v>
          </cell>
          <cell r="N23">
            <v>7675.7086530797405</v>
          </cell>
          <cell r="O23">
            <v>12939.502922337795</v>
          </cell>
          <cell r="P23">
            <v>11289.870833814959</v>
          </cell>
          <cell r="Q23">
            <v>4950.702154288927</v>
          </cell>
          <cell r="R23">
            <v>12383.52976066979</v>
          </cell>
          <cell r="S23">
            <v>6362.0452691949758</v>
          </cell>
          <cell r="T23">
            <v>4204.3099854731763</v>
          </cell>
          <cell r="U23">
            <v>2756.1648189886273</v>
          </cell>
          <cell r="V23">
            <v>2589.109045900716</v>
          </cell>
          <cell r="W23">
            <v>0</v>
          </cell>
          <cell r="X23">
            <v>0</v>
          </cell>
          <cell r="Y23">
            <v>0</v>
          </cell>
          <cell r="Z23">
            <v>193761.07333333336</v>
          </cell>
          <cell r="AA23">
            <v>0</v>
          </cell>
          <cell r="AB23">
            <v>0</v>
          </cell>
          <cell r="AC23">
            <v>20515.382208894764</v>
          </cell>
          <cell r="AD23">
            <v>14298.967791105246</v>
          </cell>
          <cell r="AE23">
            <v>34814.350000000006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/>
          <cell r="AW23"/>
          <cell r="AX23"/>
          <cell r="AY23"/>
          <cell r="AZ23"/>
        </row>
        <row r="24">
          <cell r="D24" t="str">
            <v xml:space="preserve"> - 부문공통비</v>
          </cell>
          <cell r="E24">
            <v>350775.7302222221</v>
          </cell>
          <cell r="F24">
            <v>49849.514808850305</v>
          </cell>
          <cell r="G24">
            <v>34745.129365538793</v>
          </cell>
          <cell r="H24">
            <v>31611.874019214461</v>
          </cell>
          <cell r="I24">
            <v>14181.118670479851</v>
          </cell>
          <cell r="J24">
            <v>24670.060998557085</v>
          </cell>
          <cell r="K24">
            <v>30026.070956076546</v>
          </cell>
          <cell r="L24">
            <v>14625.368175977355</v>
          </cell>
          <cell r="M24">
            <v>22589.632846791072</v>
          </cell>
          <cell r="N24">
            <v>12837.831583445624</v>
          </cell>
          <cell r="O24">
            <v>21641.670730144815</v>
          </cell>
          <cell r="P24">
            <v>18882.616174497154</v>
          </cell>
          <cell r="Q24">
            <v>8280.1840649673268</v>
          </cell>
          <cell r="R24">
            <v>29250.550518436634</v>
          </cell>
          <cell r="S24">
            <v>15027.486519893759</v>
          </cell>
          <cell r="T24">
            <v>9930.8019605065492</v>
          </cell>
          <cell r="U24">
            <v>6510.2066884849264</v>
          </cell>
          <cell r="V24">
            <v>6115.61214035989</v>
          </cell>
          <cell r="W24">
            <v>0</v>
          </cell>
          <cell r="X24">
            <v>0</v>
          </cell>
          <cell r="Y24">
            <v>0</v>
          </cell>
          <cell r="Z24">
            <v>350775.7302222221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/>
          <cell r="AW24"/>
          <cell r="AX24"/>
          <cell r="AY24"/>
          <cell r="AZ24"/>
        </row>
        <row r="25">
          <cell r="D25" t="str">
            <v xml:space="preserve"> - 본사공통비</v>
          </cell>
          <cell r="E25">
            <v>612315.41922371008</v>
          </cell>
          <cell r="F25">
            <v>87017.498442501994</v>
          </cell>
          <cell r="G25">
            <v>60651.227038894278</v>
          </cell>
          <cell r="H25">
            <v>55181.804853659036</v>
          </cell>
          <cell r="I25">
            <v>24754.613491289801</v>
          </cell>
          <cell r="J25">
            <v>43064.150227942431</v>
          </cell>
          <cell r="K25">
            <v>52413.621128985775</v>
          </cell>
          <cell r="L25">
            <v>25530.097080266438</v>
          </cell>
          <cell r="M25">
            <v>39432.547109031118</v>
          </cell>
          <cell r="N25">
            <v>22409.766556428938</v>
          </cell>
          <cell r="O25">
            <v>37777.780912707552</v>
          </cell>
          <cell r="P25">
            <v>32961.565019343965</v>
          </cell>
          <cell r="Q25">
            <v>14453.920098115028</v>
          </cell>
          <cell r="R25">
            <v>51059.869768852601</v>
          </cell>
          <cell r="S25">
            <v>26232.036356899775</v>
          </cell>
          <cell r="T25">
            <v>17335.244835276757</v>
          </cell>
          <cell r="U25">
            <v>11364.241007116607</v>
          </cell>
          <cell r="V25">
            <v>10675.435296397955</v>
          </cell>
          <cell r="W25">
            <v>0</v>
          </cell>
          <cell r="X25">
            <v>0</v>
          </cell>
          <cell r="Y25">
            <v>0</v>
          </cell>
          <cell r="Z25">
            <v>612315.41922371008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/>
          <cell r="AW25"/>
          <cell r="AX25"/>
          <cell r="AY25"/>
          <cell r="AZ25"/>
        </row>
        <row r="26">
          <cell r="D26" t="str">
            <v>영업이익 II</v>
          </cell>
          <cell r="E26">
            <v>2895008.3635515519</v>
          </cell>
          <cell r="F26">
            <v>377296.55110599677</v>
          </cell>
          <cell r="G26">
            <v>153962.75817875878</v>
          </cell>
          <cell r="H26">
            <v>213949.43496259453</v>
          </cell>
          <cell r="I26">
            <v>72030.414084101663</v>
          </cell>
          <cell r="J26">
            <v>200701.2717535205</v>
          </cell>
          <cell r="K26">
            <v>320401.10499683634</v>
          </cell>
          <cell r="L26">
            <v>93795.616760474106</v>
          </cell>
          <cell r="M26">
            <v>170385.46104231616</v>
          </cell>
          <cell r="N26">
            <v>75124.931510359529</v>
          </cell>
          <cell r="O26">
            <v>223764.81461671225</v>
          </cell>
          <cell r="P26">
            <v>190024.16128958898</v>
          </cell>
          <cell r="Q26">
            <v>-36614.509378435068</v>
          </cell>
          <cell r="R26">
            <v>281946.6238512221</v>
          </cell>
          <cell r="S26">
            <v>149036.84323597152</v>
          </cell>
          <cell r="T26">
            <v>190611.11960394439</v>
          </cell>
          <cell r="U26">
            <v>56441.358573152786</v>
          </cell>
          <cell r="V26">
            <v>22979.133272872867</v>
          </cell>
          <cell r="W26">
            <v>0</v>
          </cell>
          <cell r="X26">
            <v>0</v>
          </cell>
          <cell r="Y26">
            <v>0</v>
          </cell>
          <cell r="Z26">
            <v>2755837.0894599902</v>
          </cell>
          <cell r="AA26">
            <v>94407.923157896905</v>
          </cell>
          <cell r="AB26">
            <v>-92380.352555555553</v>
          </cell>
          <cell r="AC26">
            <v>34647.225582618761</v>
          </cell>
          <cell r="AD26">
            <v>24013.512017725476</v>
          </cell>
          <cell r="AE26">
            <v>-33719.614955211553</v>
          </cell>
          <cell r="AF26">
            <v>9189.2989999999991</v>
          </cell>
          <cell r="AG26">
            <v>43963.49</v>
          </cell>
          <cell r="AH26">
            <v>22207.486000000001</v>
          </cell>
          <cell r="AI26">
            <v>70877.42833333333</v>
          </cell>
          <cell r="AJ26">
            <v>3745.9890000000005</v>
          </cell>
          <cell r="AK26">
            <v>0</v>
          </cell>
          <cell r="AL26">
            <v>149983.69233333334</v>
          </cell>
          <cell r="AM26">
            <v>-5639.3734444596394</v>
          </cell>
          <cell r="AN26">
            <v>-1294.1360000000002</v>
          </cell>
          <cell r="AO26">
            <v>-499.17400000000004</v>
          </cell>
          <cell r="AP26">
            <v>-582.17000000000007</v>
          </cell>
          <cell r="AQ26">
            <v>4603.0560000000005</v>
          </cell>
          <cell r="AR26">
            <v>-63296.399999999994</v>
          </cell>
          <cell r="AS26">
            <v>0</v>
          </cell>
          <cell r="AT26">
            <v>-4792.5290000000005</v>
          </cell>
          <cell r="AU26">
            <v>-71500.726444459622</v>
          </cell>
          <cell r="AV26"/>
          <cell r="AW26"/>
          <cell r="AX26"/>
          <cell r="AY26"/>
          <cell r="AZ26"/>
        </row>
        <row r="27">
          <cell r="E27">
            <v>2927894.4815515475</v>
          </cell>
          <cell r="F27">
            <v>377296.55110599677</v>
          </cell>
          <cell r="G27">
            <v>153962.75817875884</v>
          </cell>
          <cell r="H27">
            <v>213949.43496259447</v>
          </cell>
          <cell r="I27">
            <v>72030.414084101649</v>
          </cell>
          <cell r="J27">
            <v>200701.2717535205</v>
          </cell>
          <cell r="K27">
            <v>320401.10499683634</v>
          </cell>
          <cell r="L27">
            <v>93795.616760474106</v>
          </cell>
          <cell r="M27">
            <v>170385.46104231619</v>
          </cell>
          <cell r="N27">
            <v>75124.931510359529</v>
          </cell>
          <cell r="O27">
            <v>223764.81461671225</v>
          </cell>
          <cell r="P27">
            <v>190024.16128958898</v>
          </cell>
          <cell r="Q27">
            <v>-36614.509378435068</v>
          </cell>
          <cell r="R27">
            <v>281946.6238512221</v>
          </cell>
          <cell r="S27">
            <v>149036.84323597149</v>
          </cell>
          <cell r="T27">
            <v>190611.11960394439</v>
          </cell>
          <cell r="U27">
            <v>56441.358573152786</v>
          </cell>
          <cell r="V27">
            <v>22979.133272872867</v>
          </cell>
          <cell r="W27">
            <v>0</v>
          </cell>
          <cell r="X27">
            <v>0</v>
          </cell>
          <cell r="Y27">
            <v>0</v>
          </cell>
          <cell r="Z27">
            <v>2755837.0894599883</v>
          </cell>
          <cell r="AA27">
            <v>94407.923157896905</v>
          </cell>
          <cell r="AB27">
            <v>-92380.352555555553</v>
          </cell>
          <cell r="AC27">
            <v>34647.225582618761</v>
          </cell>
          <cell r="AD27">
            <v>24013.512017725476</v>
          </cell>
          <cell r="AE27">
            <v>-33719.61495521132</v>
          </cell>
          <cell r="AF27">
            <v>9189.2989999999991</v>
          </cell>
          <cell r="AG27">
            <v>43963.49</v>
          </cell>
          <cell r="AH27">
            <v>22207.486000000001</v>
          </cell>
          <cell r="AI27">
            <v>70877.42833333333</v>
          </cell>
          <cell r="AJ27">
            <v>3745.9890000000005</v>
          </cell>
          <cell r="AK27">
            <v>0</v>
          </cell>
          <cell r="AL27">
            <v>149983.69233333331</v>
          </cell>
          <cell r="AM27">
            <v>-5639.3734444596394</v>
          </cell>
          <cell r="AN27">
            <v>-1294.1360000000002</v>
          </cell>
          <cell r="AO27">
            <v>0</v>
          </cell>
          <cell r="AP27">
            <v>0</v>
          </cell>
          <cell r="AQ27">
            <v>-6562.5290000000005</v>
          </cell>
          <cell r="AR27">
            <v>0</v>
          </cell>
          <cell r="AS27">
            <v>0</v>
          </cell>
          <cell r="AT27">
            <v>-25118.569999999996</v>
          </cell>
          <cell r="AU27">
            <v>-38614.608444459634</v>
          </cell>
          <cell r="AV27"/>
          <cell r="AW27"/>
          <cell r="AX27"/>
          <cell r="AY27"/>
          <cell r="AZ27"/>
        </row>
        <row r="28">
          <cell r="E28">
            <v>-32886.117999995593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-499.17400000000004</v>
          </cell>
          <cell r="AP28">
            <v>-582.17000000000007</v>
          </cell>
          <cell r="AQ28">
            <v>11165.585000000001</v>
          </cell>
          <cell r="AR28">
            <v>-63296.399999999994</v>
          </cell>
          <cell r="AS28">
            <v>0</v>
          </cell>
          <cell r="AT28">
            <v>20326.040999999997</v>
          </cell>
          <cell r="AU28">
            <v>-32886.117999999988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</row>
        <row r="30">
          <cell r="E30">
            <v>349947.02526635409</v>
          </cell>
          <cell r="F30">
            <v>41000</v>
          </cell>
          <cell r="G30">
            <v>28000</v>
          </cell>
          <cell r="H30">
            <v>27000</v>
          </cell>
          <cell r="I30">
            <v>12500</v>
          </cell>
          <cell r="J30">
            <v>19000</v>
          </cell>
          <cell r="K30">
            <v>24000</v>
          </cell>
          <cell r="L30">
            <v>12000</v>
          </cell>
          <cell r="M30">
            <v>18000</v>
          </cell>
          <cell r="N30">
            <v>11000</v>
          </cell>
          <cell r="O30">
            <v>18000</v>
          </cell>
          <cell r="P30">
            <v>16000</v>
          </cell>
          <cell r="Q30">
            <v>7000</v>
          </cell>
          <cell r="R30">
            <v>24000</v>
          </cell>
          <cell r="S30">
            <v>12000</v>
          </cell>
          <cell r="T30">
            <v>7500</v>
          </cell>
          <cell r="U30">
            <v>5000</v>
          </cell>
          <cell r="V30">
            <v>4000</v>
          </cell>
          <cell r="W30">
            <v>0</v>
          </cell>
          <cell r="X30">
            <v>0</v>
          </cell>
          <cell r="Y30">
            <v>0</v>
          </cell>
          <cell r="Z30">
            <v>286000</v>
          </cell>
          <cell r="AA30">
            <v>7300</v>
          </cell>
          <cell r="AB30">
            <v>0</v>
          </cell>
          <cell r="AC30">
            <v>41770.327835024887</v>
          </cell>
          <cell r="AD30">
            <v>14876.697431329176</v>
          </cell>
          <cell r="AE30">
            <v>56647.02526635406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39434780.894553751</v>
          </cell>
          <cell r="F31">
            <v>4131022.9500000007</v>
          </cell>
          <cell r="G31">
            <v>2879324.4499999997</v>
          </cell>
          <cell r="H31">
            <v>2619671.9780851072</v>
          </cell>
          <cell r="I31">
            <v>1175187.5</v>
          </cell>
          <cell r="J31">
            <v>2044404.8162500001</v>
          </cell>
          <cell r="K31">
            <v>2488256.6800000002</v>
          </cell>
          <cell r="L31">
            <v>1212002.3999999999</v>
          </cell>
          <cell r="M31">
            <v>1872000</v>
          </cell>
          <cell r="N31">
            <v>1063869.4700000002</v>
          </cell>
          <cell r="O31">
            <v>1793442.5</v>
          </cell>
          <cell r="P31">
            <v>1564800.0000000002</v>
          </cell>
          <cell r="Q31">
            <v>686177.8</v>
          </cell>
          <cell r="R31">
            <v>2423989.4</v>
          </cell>
          <cell r="S31">
            <v>1245325.8959999999</v>
          </cell>
          <cell r="T31">
            <v>822964.29500000016</v>
          </cell>
          <cell r="U31">
            <v>539500</v>
          </cell>
          <cell r="V31">
            <v>506800</v>
          </cell>
          <cell r="W31">
            <v>0</v>
          </cell>
          <cell r="X31">
            <v>0</v>
          </cell>
          <cell r="Y31">
            <v>0</v>
          </cell>
          <cell r="Z31">
            <v>29068740.13533511</v>
          </cell>
          <cell r="AA31">
            <v>8929315.7894736845</v>
          </cell>
          <cell r="AB31">
            <v>0</v>
          </cell>
          <cell r="AC31">
            <v>749455.94230335439</v>
          </cell>
          <cell r="AD31">
            <v>522361.52710826986</v>
          </cell>
          <cell r="AE31">
            <v>1271817.4694116241</v>
          </cell>
          <cell r="AF31">
            <v>12500</v>
          </cell>
          <cell r="AG31">
            <v>50000</v>
          </cell>
          <cell r="AH31">
            <v>28340</v>
          </cell>
          <cell r="AI31">
            <v>67047.50033333333</v>
          </cell>
          <cell r="AJ31">
            <v>5250</v>
          </cell>
          <cell r="AK31">
            <v>0</v>
          </cell>
          <cell r="AL31">
            <v>163137.50033333333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34398081.535222918</v>
          </cell>
          <cell r="F32">
            <v>3512926.11193525</v>
          </cell>
          <cell r="G32">
            <v>2535337.6010961779</v>
          </cell>
          <cell r="H32">
            <v>2251075.7868945766</v>
          </cell>
          <cell r="I32">
            <v>1019250.7047826874</v>
          </cell>
          <cell r="J32">
            <v>1701690.7710836998</v>
          </cell>
          <cell r="K32">
            <v>2020418.9652492765</v>
          </cell>
          <cell r="L32">
            <v>1034585.6764971664</v>
          </cell>
          <cell r="M32">
            <v>1577679.9598080339</v>
          </cell>
          <cell r="N32">
            <v>901284.05969668634</v>
          </cell>
          <cell r="O32">
            <v>1456893.2748180977</v>
          </cell>
          <cell r="P32">
            <v>1272985.5286827551</v>
          </cell>
          <cell r="Q32">
            <v>668369.92806106387</v>
          </cell>
          <cell r="R32">
            <v>2005465.5851008187</v>
          </cell>
          <cell r="S32">
            <v>1020029.92661804</v>
          </cell>
          <cell r="T32">
            <v>590596.79961479933</v>
          </cell>
          <cell r="U32">
            <v>452280.99891225703</v>
          </cell>
          <cell r="V32">
            <v>449233.95024446858</v>
          </cell>
          <cell r="W32">
            <v>0</v>
          </cell>
          <cell r="X32">
            <v>0</v>
          </cell>
          <cell r="Y32">
            <v>0</v>
          </cell>
          <cell r="Z32">
            <v>24470105.629095856</v>
          </cell>
          <cell r="AA32">
            <v>8700442.2863157876</v>
          </cell>
          <cell r="AB32">
            <v>0</v>
          </cell>
          <cell r="AC32">
            <v>694293.33451184083</v>
          </cell>
          <cell r="AD32">
            <v>483678.64729943912</v>
          </cell>
          <cell r="AE32">
            <v>1177971.9818112801</v>
          </cell>
          <cell r="AF32">
            <v>3310.701</v>
          </cell>
          <cell r="AG32">
            <v>6036.51</v>
          </cell>
          <cell r="AH32">
            <v>6132.5139999999992</v>
          </cell>
          <cell r="AI32">
            <v>-3829.9279999999994</v>
          </cell>
          <cell r="AJ32">
            <v>1504.011</v>
          </cell>
          <cell r="AK32">
            <v>0</v>
          </cell>
          <cell r="AL32">
            <v>13153.807999999999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36407.829999999994</v>
          </cell>
          <cell r="AS32">
            <v>0</v>
          </cell>
          <cell r="AT32">
            <v>0</v>
          </cell>
          <cell r="AU32">
            <v>36407.829999999994</v>
          </cell>
        </row>
        <row r="33">
          <cell r="D33" t="str">
            <v>매출이익</v>
          </cell>
          <cell r="E33">
            <v>5036699.3593308283</v>
          </cell>
          <cell r="F33">
            <v>618096.83806475066</v>
          </cell>
          <cell r="G33">
            <v>343986.84890382178</v>
          </cell>
          <cell r="H33">
            <v>368596.19119053055</v>
          </cell>
          <cell r="I33">
            <v>155936.79521731264</v>
          </cell>
          <cell r="J33">
            <v>342714.04516630038</v>
          </cell>
          <cell r="K33">
            <v>467837.71475072368</v>
          </cell>
          <cell r="L33">
            <v>177416.72350283351</v>
          </cell>
          <cell r="M33">
            <v>294320.04019196611</v>
          </cell>
          <cell r="N33">
            <v>162585.41030331387</v>
          </cell>
          <cell r="O33">
            <v>336549.22518190229</v>
          </cell>
          <cell r="P33">
            <v>291814.47131724516</v>
          </cell>
          <cell r="Q33">
            <v>17807.87193893618</v>
          </cell>
          <cell r="R33">
            <v>418523.81489918125</v>
          </cell>
          <cell r="S33">
            <v>225295.96938195999</v>
          </cell>
          <cell r="T33">
            <v>232367.49538520083</v>
          </cell>
          <cell r="U33">
            <v>87219.001087742974</v>
          </cell>
          <cell r="V33">
            <v>57566.049755531421</v>
          </cell>
          <cell r="W33">
            <v>0</v>
          </cell>
          <cell r="X33">
            <v>0</v>
          </cell>
          <cell r="Y33">
            <v>0</v>
          </cell>
          <cell r="Z33">
            <v>4598634.506239254</v>
          </cell>
          <cell r="AA33">
            <v>228873.50315789692</v>
          </cell>
          <cell r="AB33">
            <v>0</v>
          </cell>
          <cell r="AC33">
            <v>55162.607791513554</v>
          </cell>
          <cell r="AD33">
            <v>38682.879808830738</v>
          </cell>
          <cell r="AE33">
            <v>93845.487600344</v>
          </cell>
          <cell r="AF33">
            <v>9189.2989999999991</v>
          </cell>
          <cell r="AG33">
            <v>43963.49</v>
          </cell>
          <cell r="AH33">
            <v>22207.486000000001</v>
          </cell>
          <cell r="AI33">
            <v>70877.42833333333</v>
          </cell>
          <cell r="AJ33">
            <v>3745.989</v>
          </cell>
          <cell r="AK33">
            <v>0</v>
          </cell>
          <cell r="AL33">
            <v>149983.69233333334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-36407.829999999994</v>
          </cell>
          <cell r="AS33">
            <v>0</v>
          </cell>
          <cell r="AT33">
            <v>1770</v>
          </cell>
          <cell r="AU33">
            <v>-34637.829999999994</v>
          </cell>
        </row>
        <row r="34">
          <cell r="D34" t="str">
            <v>판관비</v>
          </cell>
          <cell r="E34">
            <v>2141690.9957792806</v>
          </cell>
          <cell r="F34">
            <v>240800.286958754</v>
          </cell>
          <cell r="G34">
            <v>190024.09072506314</v>
          </cell>
          <cell r="H34">
            <v>154646.75622793622</v>
          </cell>
          <cell r="I34">
            <v>83906.381133211034</v>
          </cell>
          <cell r="J34">
            <v>142012.77341277999</v>
          </cell>
          <cell r="K34">
            <v>147436.60975388723</v>
          </cell>
          <cell r="L34">
            <v>83621.106742359421</v>
          </cell>
          <cell r="M34">
            <v>123934.57914964989</v>
          </cell>
          <cell r="N34">
            <v>87460.478792954294</v>
          </cell>
          <cell r="O34">
            <v>112784.41056519016</v>
          </cell>
          <cell r="P34">
            <v>101790.31002765609</v>
          </cell>
          <cell r="Q34">
            <v>54422.381317371284</v>
          </cell>
          <cell r="R34">
            <v>136577.19104795903</v>
          </cell>
          <cell r="S34">
            <v>76259.126145988499</v>
          </cell>
          <cell r="T34">
            <v>41756.37578125648</v>
          </cell>
          <cell r="U34">
            <v>30777.642514590163</v>
          </cell>
          <cell r="V34">
            <v>34586.916482658562</v>
          </cell>
          <cell r="W34">
            <v>0</v>
          </cell>
          <cell r="X34">
            <v>0</v>
          </cell>
          <cell r="Y34">
            <v>0</v>
          </cell>
          <cell r="Z34">
            <v>1842797.4167792655</v>
          </cell>
          <cell r="AA34">
            <v>134465.58000000002</v>
          </cell>
          <cell r="AB34">
            <v>92380.352555555553</v>
          </cell>
          <cell r="AC34">
            <v>20515.382208894764</v>
          </cell>
          <cell r="AD34">
            <v>14669.367791105245</v>
          </cell>
          <cell r="AE34">
            <v>127565.10255555555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5639.3734444596394</v>
          </cell>
          <cell r="AN34">
            <v>1294.1360000000002</v>
          </cell>
          <cell r="AO34">
            <v>499.17400000000004</v>
          </cell>
          <cell r="AP34">
            <v>582.17000000000007</v>
          </cell>
          <cell r="AQ34">
            <v>-4603.0560000000005</v>
          </cell>
          <cell r="AR34">
            <v>26888.569999999996</v>
          </cell>
          <cell r="AS34">
            <v>0</v>
          </cell>
          <cell r="AT34">
            <v>6562.5290000000005</v>
          </cell>
          <cell r="AU34">
            <v>36862.896444459635</v>
          </cell>
        </row>
        <row r="35">
          <cell r="D35" t="str">
            <v>영업이익</v>
          </cell>
          <cell r="E35">
            <v>2895008.3635515473</v>
          </cell>
          <cell r="F35">
            <v>377296.55110599665</v>
          </cell>
          <cell r="G35">
            <v>153962.75817875864</v>
          </cell>
          <cell r="H35">
            <v>213949.43496259433</v>
          </cell>
          <cell r="I35">
            <v>72030.414084101605</v>
          </cell>
          <cell r="J35">
            <v>200701.27175352038</v>
          </cell>
          <cell r="K35">
            <v>320401.10499683645</v>
          </cell>
          <cell r="L35">
            <v>93795.616760474091</v>
          </cell>
          <cell r="M35">
            <v>170385.46104231622</v>
          </cell>
          <cell r="N35">
            <v>75124.931510359573</v>
          </cell>
          <cell r="O35">
            <v>223764.81461671213</v>
          </cell>
          <cell r="P35">
            <v>190024.16128958907</v>
          </cell>
          <cell r="Q35">
            <v>-36614.509378435105</v>
          </cell>
          <cell r="R35">
            <v>281946.62385122222</v>
          </cell>
          <cell r="S35">
            <v>149036.84323597149</v>
          </cell>
          <cell r="T35">
            <v>190611.11960394436</v>
          </cell>
          <cell r="U35">
            <v>56441.358573152815</v>
          </cell>
          <cell r="V35">
            <v>22979.133272872859</v>
          </cell>
          <cell r="W35">
            <v>0</v>
          </cell>
          <cell r="X35">
            <v>0</v>
          </cell>
          <cell r="Y35">
            <v>0</v>
          </cell>
          <cell r="Z35">
            <v>2755837.0894599883</v>
          </cell>
          <cell r="AA35">
            <v>94407.923157896905</v>
          </cell>
          <cell r="AB35">
            <v>-92380.352555555553</v>
          </cell>
          <cell r="AC35">
            <v>34647.22558261879</v>
          </cell>
          <cell r="AD35">
            <v>24013.512017725494</v>
          </cell>
          <cell r="AE35">
            <v>-33719.614955211553</v>
          </cell>
          <cell r="AF35">
            <v>9189.2989999999991</v>
          </cell>
          <cell r="AG35">
            <v>43963.49</v>
          </cell>
          <cell r="AH35">
            <v>22207.486000000001</v>
          </cell>
          <cell r="AI35">
            <v>70877.42833333333</v>
          </cell>
          <cell r="AJ35">
            <v>3745.989</v>
          </cell>
          <cell r="AK35">
            <v>0</v>
          </cell>
          <cell r="AL35">
            <v>149983.69233333334</v>
          </cell>
          <cell r="AM35">
            <v>-5639.3734444596394</v>
          </cell>
          <cell r="AN35">
            <v>-1294.1360000000002</v>
          </cell>
          <cell r="AO35">
            <v>-499.17400000000004</v>
          </cell>
          <cell r="AP35">
            <v>-582.17000000000007</v>
          </cell>
          <cell r="AQ35">
            <v>4603.0560000000005</v>
          </cell>
          <cell r="AR35">
            <v>-63296.399999999994</v>
          </cell>
          <cell r="AS35">
            <v>0</v>
          </cell>
          <cell r="AT35">
            <v>-4792.5290000000005</v>
          </cell>
          <cell r="AU35">
            <v>-71500.726444459637</v>
          </cell>
        </row>
      </sheetData>
      <sheetData sheetId="6">
        <row r="6">
          <cell r="D6" t="str">
            <v>구분</v>
          </cell>
        </row>
      </sheetData>
      <sheetData sheetId="7">
        <row r="6">
          <cell r="D6" t="str">
            <v>구분</v>
          </cell>
        </row>
      </sheetData>
      <sheetData sheetId="8">
        <row r="6">
          <cell r="D6" t="str">
            <v>구분</v>
          </cell>
        </row>
      </sheetData>
      <sheetData sheetId="9">
        <row r="6">
          <cell r="D6" t="str">
            <v>구분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D6" t="str">
            <v>구분</v>
          </cell>
        </row>
      </sheetData>
      <sheetData sheetId="18">
        <row r="6">
          <cell r="D6" t="str">
            <v>구분</v>
          </cell>
        </row>
      </sheetData>
      <sheetData sheetId="19">
        <row r="6">
          <cell r="D6" t="str">
            <v>구분</v>
          </cell>
        </row>
      </sheetData>
      <sheetData sheetId="20">
        <row r="6">
          <cell r="D6" t="str">
            <v>구분</v>
          </cell>
        </row>
      </sheetData>
      <sheetData sheetId="21"/>
      <sheetData sheetId="22"/>
      <sheetData sheetId="23"/>
      <sheetData sheetId="24"/>
      <sheetData sheetId="25">
        <row r="6">
          <cell r="D6" t="str">
            <v>구분</v>
          </cell>
        </row>
      </sheetData>
      <sheetData sheetId="26">
        <row r="6">
          <cell r="D6" t="str">
            <v>구분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40978</v>
          </cell>
          <cell r="H7">
            <v>31816</v>
          </cell>
          <cell r="I7">
            <v>24852</v>
          </cell>
          <cell r="J7">
            <v>12401</v>
          </cell>
          <cell r="K7">
            <v>21643</v>
          </cell>
          <cell r="L7">
            <v>23104</v>
          </cell>
          <cell r="M7">
            <v>14128</v>
          </cell>
          <cell r="N7">
            <v>20677</v>
          </cell>
          <cell r="O7">
            <v>13470</v>
          </cell>
          <cell r="P7">
            <v>18723</v>
          </cell>
          <cell r="Q7">
            <v>15572</v>
          </cell>
          <cell r="R7">
            <v>7183</v>
          </cell>
          <cell r="S7">
            <v>27772</v>
          </cell>
          <cell r="T7">
            <v>6208.5</v>
          </cell>
          <cell r="U7">
            <v>8978</v>
          </cell>
          <cell r="V7">
            <v>7133</v>
          </cell>
          <cell r="W7">
            <v>3848</v>
          </cell>
          <cell r="X7"/>
          <cell r="Y7"/>
          <cell r="Z7">
            <v>298486.5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298486.5</v>
          </cell>
          <cell r="AJ7">
            <v>20278</v>
          </cell>
          <cell r="AK7">
            <v>21556</v>
          </cell>
          <cell r="AL7">
            <v>43094</v>
          </cell>
          <cell r="AM7"/>
          <cell r="AN7">
            <v>84928</v>
          </cell>
          <cell r="AO7">
            <v>8665.0679999999993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41194726.291000001</v>
          </cell>
          <cell r="G8">
            <v>4078374.9139999999</v>
          </cell>
          <cell r="H8">
            <v>3319812.1</v>
          </cell>
          <cell r="I8">
            <v>2542436.966</v>
          </cell>
          <cell r="J8">
            <v>1206243.936</v>
          </cell>
          <cell r="K8">
            <v>2301596.642</v>
          </cell>
          <cell r="L8">
            <v>2353710.9</v>
          </cell>
          <cell r="M8">
            <v>1362629.5</v>
          </cell>
          <cell r="N8">
            <v>2137773.7000000002</v>
          </cell>
          <cell r="O8">
            <v>1230127.28</v>
          </cell>
          <cell r="P8">
            <v>1905079</v>
          </cell>
          <cell r="Q8">
            <v>1576595.8419999999</v>
          </cell>
          <cell r="R8">
            <v>760208.34199999995</v>
          </cell>
          <cell r="S8">
            <v>2853217.2</v>
          </cell>
          <cell r="T8">
            <v>692270.4</v>
          </cell>
          <cell r="U8">
            <v>1017831.5499999999</v>
          </cell>
          <cell r="V8">
            <v>668371.19299999997</v>
          </cell>
          <cell r="W8">
            <v>498972.5</v>
          </cell>
          <cell r="X8"/>
          <cell r="Y8"/>
          <cell r="Z8">
            <v>30505251.965000004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/>
          <cell r="AF8"/>
          <cell r="AG8"/>
          <cell r="AH8">
            <v>90840</v>
          </cell>
          <cell r="AI8">
            <v>30596091.965000004</v>
          </cell>
          <cell r="AJ8">
            <v>667149.67200000002</v>
          </cell>
          <cell r="AK8">
            <v>310084</v>
          </cell>
          <cell r="AL8">
            <v>787769</v>
          </cell>
          <cell r="AM8"/>
          <cell r="AN8">
            <v>1765002.672</v>
          </cell>
          <cell r="AO8">
            <v>8759917.7860000003</v>
          </cell>
          <cell r="AP8">
            <v>0</v>
          </cell>
          <cell r="AQ8"/>
          <cell r="AR8"/>
          <cell r="AS8">
            <v>8759917.7860000003</v>
          </cell>
          <cell r="AT8">
            <v>5250</v>
          </cell>
          <cell r="AU8">
            <v>5450</v>
          </cell>
          <cell r="AV8">
            <v>61311.468000000001</v>
          </cell>
          <cell r="AW8"/>
          <cell r="AX8"/>
          <cell r="AY8"/>
          <cell r="AZ8"/>
          <cell r="BA8">
            <v>72011.467999999993</v>
          </cell>
          <cell r="BB8">
            <v>0</v>
          </cell>
          <cell r="BC8">
            <v>1702.4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1702.4</v>
          </cell>
          <cell r="BK8"/>
          <cell r="BL8"/>
          <cell r="BM8"/>
          <cell r="BN8"/>
          <cell r="BO8"/>
        </row>
        <row r="9">
          <cell r="F9"/>
          <cell r="G9">
            <v>99525.963053345695</v>
          </cell>
          <cell r="H9">
            <v>104344.1067387478</v>
          </cell>
          <cell r="I9">
            <v>102303.11306937068</v>
          </cell>
          <cell r="J9">
            <v>97269.892428029983</v>
          </cell>
          <cell r="K9">
            <v>106343.69736173359</v>
          </cell>
          <cell r="L9">
            <v>101874.60612880887</v>
          </cell>
          <cell r="M9">
            <v>96448.860419026052</v>
          </cell>
          <cell r="N9">
            <v>103388.96841901631</v>
          </cell>
          <cell r="O9">
            <v>91323.480326651814</v>
          </cell>
          <cell r="P9">
            <v>101750.73439085616</v>
          </cell>
          <cell r="Q9">
            <v>101245.55882352941</v>
          </cell>
          <cell r="R9">
            <v>105834.37867186412</v>
          </cell>
          <cell r="S9">
            <v>102737.18853521533</v>
          </cell>
          <cell r="T9">
            <v>111503.64822420875</v>
          </cell>
          <cell r="U9">
            <v>113369.5199376253</v>
          </cell>
          <cell r="V9">
            <v>93701.274779195286</v>
          </cell>
          <cell r="W9">
            <v>129670.60810810809</v>
          </cell>
          <cell r="X9"/>
          <cell r="Y9"/>
          <cell r="Z9">
            <v>102199.77106167281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102504.10643362431</v>
          </cell>
          <cell r="AJ9">
            <v>32900.171220041419</v>
          </cell>
          <cell r="AK9">
            <v>14385.043607348303</v>
          </cell>
          <cell r="AL9">
            <v>18280.247830324406</v>
          </cell>
          <cell r="AM9"/>
          <cell r="AN9"/>
          <cell r="AO9">
            <v>1010946.2252344702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35880873.729860008</v>
          </cell>
          <cell r="G10">
            <v>3581355.3738500001</v>
          </cell>
          <cell r="H10">
            <v>2838508.3598000002</v>
          </cell>
          <cell r="I10">
            <v>2233432.9427199997</v>
          </cell>
          <cell r="J10">
            <v>1040082.86281</v>
          </cell>
          <cell r="K10">
            <v>1943387.3362100001</v>
          </cell>
          <cell r="L10">
            <v>1947758.92499</v>
          </cell>
          <cell r="M10">
            <v>1212533.7646900001</v>
          </cell>
          <cell r="N10">
            <v>1817594.4653900003</v>
          </cell>
          <cell r="O10">
            <v>1058548.66872</v>
          </cell>
          <cell r="P10">
            <v>1508403.5001300001</v>
          </cell>
          <cell r="Q10">
            <v>1327896.1568099998</v>
          </cell>
          <cell r="R10">
            <v>692083.22300999996</v>
          </cell>
          <cell r="S10">
            <v>2402548.2806799999</v>
          </cell>
          <cell r="T10">
            <v>529908.70481000002</v>
          </cell>
          <cell r="U10">
            <v>684802.02655999991</v>
          </cell>
          <cell r="V10">
            <v>599640.41240999999</v>
          </cell>
          <cell r="W10">
            <v>399259.48687999998</v>
          </cell>
          <cell r="X10"/>
          <cell r="Y10"/>
          <cell r="Z10">
            <v>25817744.490470007</v>
          </cell>
          <cell r="AA10">
            <v>514.80200000000002</v>
          </cell>
          <cell r="AB10">
            <v>0</v>
          </cell>
          <cell r="AC10">
            <v>3245.587</v>
          </cell>
          <cell r="AD10">
            <v>6116.2209999999995</v>
          </cell>
          <cell r="AE10"/>
          <cell r="AF10"/>
          <cell r="AG10"/>
          <cell r="AH10">
            <v>9876.61</v>
          </cell>
          <cell r="AI10">
            <v>25827621.100470006</v>
          </cell>
          <cell r="AJ10">
            <v>555259.37406000006</v>
          </cell>
          <cell r="AK10">
            <v>245302.10378999999</v>
          </cell>
          <cell r="AL10">
            <v>653923.98753999989</v>
          </cell>
          <cell r="AM10"/>
          <cell r="AN10">
            <v>1454485.46539</v>
          </cell>
          <cell r="AO10">
            <v>8596622.2280000001</v>
          </cell>
          <cell r="AP10">
            <v>0</v>
          </cell>
          <cell r="AQ10"/>
          <cell r="AR10"/>
          <cell r="AS10">
            <v>8596622.2280000001</v>
          </cell>
          <cell r="AT10">
            <v>126.027</v>
          </cell>
          <cell r="AU10">
            <v>180.29</v>
          </cell>
          <cell r="AV10">
            <v>0</v>
          </cell>
          <cell r="AW10"/>
          <cell r="AX10"/>
          <cell r="AY10"/>
          <cell r="AZ10"/>
          <cell r="BA10">
            <v>306.31700000000001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1838.6189999999999</v>
          </cell>
          <cell r="BH10"/>
          <cell r="BI10"/>
          <cell r="BJ10">
            <v>1838.6189999999999</v>
          </cell>
          <cell r="BK10"/>
          <cell r="BL10"/>
          <cell r="BM10"/>
          <cell r="BN10"/>
          <cell r="BO10"/>
        </row>
        <row r="11">
          <cell r="F11"/>
          <cell r="G11">
            <v>87397.027035238425</v>
          </cell>
          <cell r="H11">
            <v>89216.380431229583</v>
          </cell>
          <cell r="I11">
            <v>89869.344226621586</v>
          </cell>
          <cell r="J11">
            <v>83870.886445447948</v>
          </cell>
          <cell r="K11">
            <v>89792.881588042335</v>
          </cell>
          <cell r="L11">
            <v>84303.970091326177</v>
          </cell>
          <cell r="M11">
            <v>85824.870094139304</v>
          </cell>
          <cell r="N11">
            <v>87904.167209459803</v>
          </cell>
          <cell r="O11">
            <v>78585.647269487745</v>
          </cell>
          <cell r="P11">
            <v>80564.199120333287</v>
          </cell>
          <cell r="Q11">
            <v>85274.605497688142</v>
          </cell>
          <cell r="R11">
            <v>96350.163303633584</v>
          </cell>
          <cell r="S11">
            <v>86509.732128762771</v>
          </cell>
          <cell r="T11">
            <v>85352.130918901516</v>
          </cell>
          <cell r="U11">
            <v>76275.565444419684</v>
          </cell>
          <cell r="V11">
            <v>84065.668359736432</v>
          </cell>
          <cell r="W11">
            <v>103757.6629106029</v>
          </cell>
          <cell r="X11"/>
          <cell r="Y11"/>
          <cell r="Z11">
            <v>86495.518190839473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86528.607158012193</v>
          </cell>
          <cell r="AJ11">
            <v>27382.353982641289</v>
          </cell>
          <cell r="AK11">
            <v>11379.759871497494</v>
          </cell>
          <cell r="AL11">
            <v>15174.362731238683</v>
          </cell>
          <cell r="AM11"/>
          <cell r="AN11"/>
          <cell r="AO11">
            <v>992100.95385287225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5313852.5611399934</v>
          </cell>
          <cell r="G12">
            <v>497019.54014999978</v>
          </cell>
          <cell r="H12">
            <v>481303.74019999988</v>
          </cell>
          <cell r="I12">
            <v>309004.02328000031</v>
          </cell>
          <cell r="J12">
            <v>166161.07319000002</v>
          </cell>
          <cell r="K12">
            <v>358209.3057899999</v>
          </cell>
          <cell r="L12">
            <v>405951.97500999994</v>
          </cell>
          <cell r="M12">
            <v>150095.7353099999</v>
          </cell>
          <cell r="N12">
            <v>320179.23460999993</v>
          </cell>
          <cell r="O12">
            <v>171578.61128000007</v>
          </cell>
          <cell r="P12">
            <v>396675.49986999994</v>
          </cell>
          <cell r="Q12">
            <v>248699.68519000011</v>
          </cell>
          <cell r="R12">
            <v>68125.118989999988</v>
          </cell>
          <cell r="S12">
            <v>450668.91932000034</v>
          </cell>
          <cell r="T12">
            <v>162361.69519</v>
          </cell>
          <cell r="U12">
            <v>333029.52344000002</v>
          </cell>
          <cell r="V12">
            <v>68730.78058999998</v>
          </cell>
          <cell r="W12">
            <v>99713.013120000018</v>
          </cell>
          <cell r="X12"/>
          <cell r="Y12"/>
          <cell r="Z12">
            <v>4687507.4745299993</v>
          </cell>
          <cell r="AA12">
            <v>49485.197999999997</v>
          </cell>
          <cell r="AB12">
            <v>0</v>
          </cell>
          <cell r="AC12">
            <v>9254.4130000000005</v>
          </cell>
          <cell r="AD12">
            <v>22223.779000000002</v>
          </cell>
          <cell r="AE12"/>
          <cell r="AF12"/>
          <cell r="AG12"/>
          <cell r="AH12">
            <v>80963.39</v>
          </cell>
          <cell r="AI12">
            <v>4768470.8645299971</v>
          </cell>
          <cell r="AJ12">
            <v>111890.29793999996</v>
          </cell>
          <cell r="AK12">
            <v>64781.896210000006</v>
          </cell>
          <cell r="AL12">
            <v>133845.01246000011</v>
          </cell>
          <cell r="AM12"/>
          <cell r="AN12">
            <v>310517.20660999999</v>
          </cell>
          <cell r="AO12">
            <v>163295.55800000019</v>
          </cell>
          <cell r="AP12">
            <v>0</v>
          </cell>
          <cell r="AQ12"/>
          <cell r="AR12"/>
          <cell r="AS12">
            <v>163295.55800000019</v>
          </cell>
          <cell r="AT12">
            <v>5123.973</v>
          </cell>
          <cell r="AU12">
            <v>5269.71</v>
          </cell>
          <cell r="AV12">
            <v>61311.468000000001</v>
          </cell>
          <cell r="AW12"/>
          <cell r="AX12"/>
          <cell r="AY12"/>
          <cell r="AZ12"/>
          <cell r="BA12">
            <v>71705.150999999998</v>
          </cell>
          <cell r="BB12">
            <v>0</v>
          </cell>
          <cell r="BC12">
            <v>1702.4</v>
          </cell>
          <cell r="BD12">
            <v>0</v>
          </cell>
          <cell r="BE12">
            <v>0</v>
          </cell>
          <cell r="BF12">
            <v>0</v>
          </cell>
          <cell r="BG12">
            <v>-1838.6189999999999</v>
          </cell>
          <cell r="BH12"/>
          <cell r="BI12"/>
          <cell r="BJ12">
            <v>-136.21899999999982</v>
          </cell>
          <cell r="BK12"/>
          <cell r="BL12"/>
          <cell r="BM12"/>
          <cell r="BN12"/>
          <cell r="BO12"/>
        </row>
        <row r="13">
          <cell r="F13">
            <v>757076.54099999997</v>
          </cell>
          <cell r="G13">
            <v>64919.166000000005</v>
          </cell>
          <cell r="H13">
            <v>64118.262000000002</v>
          </cell>
          <cell r="I13">
            <v>46168.57</v>
          </cell>
          <cell r="J13">
            <v>32104.038</v>
          </cell>
          <cell r="K13">
            <v>39383.506000000008</v>
          </cell>
          <cell r="L13">
            <v>43807.413999999997</v>
          </cell>
          <cell r="M13">
            <v>33640.953000000001</v>
          </cell>
          <cell r="N13">
            <v>44086.424999999996</v>
          </cell>
          <cell r="O13">
            <v>28433.611000000001</v>
          </cell>
          <cell r="P13">
            <v>45461.677000000003</v>
          </cell>
          <cell r="Q13">
            <v>36402.773000000001</v>
          </cell>
          <cell r="R13">
            <v>25276.004999999997</v>
          </cell>
          <cell r="S13">
            <v>39905.036999999997</v>
          </cell>
          <cell r="T13">
            <v>10721.769</v>
          </cell>
          <cell r="U13">
            <v>8873.3829999999998</v>
          </cell>
          <cell r="V13">
            <v>37518.69</v>
          </cell>
          <cell r="W13">
            <v>16235.255000000001</v>
          </cell>
          <cell r="X13"/>
          <cell r="Y13"/>
          <cell r="Z13">
            <v>617056.53399999999</v>
          </cell>
          <cell r="AA13">
            <v>0</v>
          </cell>
          <cell r="AB13">
            <v>182.24700000000001</v>
          </cell>
          <cell r="AC13">
            <v>0</v>
          </cell>
          <cell r="AD13">
            <v>0</v>
          </cell>
          <cell r="AE13"/>
          <cell r="AF13"/>
          <cell r="AG13"/>
          <cell r="AH13">
            <v>182.24700000000001</v>
          </cell>
          <cell r="AI13">
            <v>617238.78099999996</v>
          </cell>
          <cell r="AJ13">
            <v>460</v>
          </cell>
          <cell r="AK13">
            <v>3296.0349999999999</v>
          </cell>
          <cell r="AL13">
            <v>0</v>
          </cell>
          <cell r="AM13"/>
          <cell r="AN13">
            <v>3756.0349999999999</v>
          </cell>
          <cell r="AO13">
            <v>126089.82699999999</v>
          </cell>
          <cell r="AP13">
            <v>0</v>
          </cell>
          <cell r="AQ13"/>
          <cell r="AR13"/>
          <cell r="AS13">
            <v>126089.82699999999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9991.8979999999992</v>
          </cell>
          <cell r="BG13">
            <v>0</v>
          </cell>
          <cell r="BH13"/>
          <cell r="BI13"/>
          <cell r="BJ13">
            <v>9991.8979999999992</v>
          </cell>
          <cell r="BK13"/>
          <cell r="BL13"/>
          <cell r="BM13"/>
          <cell r="BN13"/>
          <cell r="BO13"/>
        </row>
        <row r="14">
          <cell r="F14">
            <v>510779.935</v>
          </cell>
          <cell r="G14">
            <v>45670.694000000003</v>
          </cell>
          <cell r="H14">
            <v>40752.876000000004</v>
          </cell>
          <cell r="I14">
            <v>29380.965</v>
          </cell>
          <cell r="J14">
            <v>22243.138999999999</v>
          </cell>
          <cell r="K14">
            <v>30727.017000000003</v>
          </cell>
          <cell r="L14">
            <v>33510.364999999998</v>
          </cell>
          <cell r="M14">
            <v>25023.947</v>
          </cell>
          <cell r="N14">
            <v>31551.251999999997</v>
          </cell>
          <cell r="O14">
            <v>17444.576000000001</v>
          </cell>
          <cell r="P14">
            <v>31334.240000000002</v>
          </cell>
          <cell r="Q14">
            <v>24689.920000000002</v>
          </cell>
          <cell r="R14">
            <v>17153.637999999999</v>
          </cell>
          <cell r="S14">
            <v>28886.291000000001</v>
          </cell>
          <cell r="T14">
            <v>6936.1619999999994</v>
          </cell>
          <cell r="U14">
            <v>6915.8850000000002</v>
          </cell>
          <cell r="V14">
            <v>20078.488000000001</v>
          </cell>
          <cell r="W14">
            <v>10558.592000000001</v>
          </cell>
          <cell r="X14"/>
          <cell r="Y14"/>
          <cell r="Z14">
            <v>422858.04700000002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422858.04700000002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87921.887999999992</v>
          </cell>
          <cell r="AP14">
            <v>0</v>
          </cell>
          <cell r="AQ14"/>
          <cell r="AR14"/>
          <cell r="AS14">
            <v>87921.887999999992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246296.60599999997</v>
          </cell>
          <cell r="G15">
            <v>19248.472000000002</v>
          </cell>
          <cell r="H15">
            <v>23365.386000000002</v>
          </cell>
          <cell r="I15">
            <v>16787.605</v>
          </cell>
          <cell r="J15">
            <v>9860.8989999999994</v>
          </cell>
          <cell r="K15">
            <v>8656.4890000000014</v>
          </cell>
          <cell r="L15">
            <v>10297.048999999999</v>
          </cell>
          <cell r="M15">
            <v>8617.0059999999994</v>
          </cell>
          <cell r="N15">
            <v>12535.173000000001</v>
          </cell>
          <cell r="O15">
            <v>10989.035</v>
          </cell>
          <cell r="P15">
            <v>14127.437</v>
          </cell>
          <cell r="Q15">
            <v>11712.852999999999</v>
          </cell>
          <cell r="R15">
            <v>8122.3670000000002</v>
          </cell>
          <cell r="S15">
            <v>11018.745999999999</v>
          </cell>
          <cell r="T15">
            <v>3785.607</v>
          </cell>
          <cell r="U15">
            <v>1957.4979999999998</v>
          </cell>
          <cell r="V15">
            <v>17440.201999999997</v>
          </cell>
          <cell r="W15">
            <v>5676.6630000000005</v>
          </cell>
          <cell r="X15"/>
          <cell r="Y15"/>
          <cell r="Z15">
            <v>194198.48699999996</v>
          </cell>
          <cell r="AA15">
            <v>0</v>
          </cell>
          <cell r="AB15">
            <v>182.24700000000001</v>
          </cell>
          <cell r="AC15">
            <v>0</v>
          </cell>
          <cell r="AD15">
            <v>0</v>
          </cell>
          <cell r="AE15"/>
          <cell r="AF15"/>
          <cell r="AG15"/>
          <cell r="AH15">
            <v>182.24700000000001</v>
          </cell>
          <cell r="AI15">
            <v>194380.73399999997</v>
          </cell>
          <cell r="AJ15">
            <v>460</v>
          </cell>
          <cell r="AK15">
            <v>3296.0349999999999</v>
          </cell>
          <cell r="AL15">
            <v>0</v>
          </cell>
          <cell r="AM15"/>
          <cell r="AN15">
            <v>3756.0349999999999</v>
          </cell>
          <cell r="AO15">
            <v>38167.938999999998</v>
          </cell>
          <cell r="AP15">
            <v>0</v>
          </cell>
          <cell r="AQ15"/>
          <cell r="AR15"/>
          <cell r="AS15">
            <v>38167.938999999998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9991.8979999999992</v>
          </cell>
          <cell r="BG15">
            <v>0</v>
          </cell>
          <cell r="BH15"/>
          <cell r="BI15"/>
          <cell r="BJ15">
            <v>9991.8979999999992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4556776.0201399932</v>
          </cell>
          <cell r="G17">
            <v>432100.37414999976</v>
          </cell>
          <cell r="H17">
            <v>417185.4781999999</v>
          </cell>
          <cell r="I17">
            <v>262835.45328000031</v>
          </cell>
          <cell r="J17">
            <v>134057.03519000002</v>
          </cell>
          <cell r="K17">
            <v>318825.7997899999</v>
          </cell>
          <cell r="L17">
            <v>362144.56100999995</v>
          </cell>
          <cell r="M17">
            <v>116454.78230999989</v>
          </cell>
          <cell r="N17">
            <v>276092.80960999994</v>
          </cell>
          <cell r="O17">
            <v>143145.00028000007</v>
          </cell>
          <cell r="P17">
            <v>351213.82286999992</v>
          </cell>
          <cell r="Q17">
            <v>212296.91219000012</v>
          </cell>
          <cell r="R17">
            <v>42849.113989999991</v>
          </cell>
          <cell r="S17">
            <v>410763.88232000032</v>
          </cell>
          <cell r="T17">
            <v>151639.92619</v>
          </cell>
          <cell r="U17">
            <v>324156.14044000005</v>
          </cell>
          <cell r="V17">
            <v>31212.090589999978</v>
          </cell>
          <cell r="W17">
            <v>83477.758120000013</v>
          </cell>
          <cell r="X17"/>
          <cell r="Y17"/>
          <cell r="Z17">
            <v>4070450.9405299993</v>
          </cell>
          <cell r="AA17">
            <v>49485.197999999997</v>
          </cell>
          <cell r="AB17">
            <v>-182.24700000000001</v>
          </cell>
          <cell r="AC17">
            <v>9254.4130000000005</v>
          </cell>
          <cell r="AD17">
            <v>22223.779000000002</v>
          </cell>
          <cell r="AE17"/>
          <cell r="AF17"/>
          <cell r="AG17"/>
          <cell r="AH17">
            <v>80781.142999999996</v>
          </cell>
          <cell r="AI17">
            <v>4151232.0835299972</v>
          </cell>
          <cell r="AJ17">
            <v>111430.29793999996</v>
          </cell>
          <cell r="AK17">
            <v>61485.861210000003</v>
          </cell>
          <cell r="AL17">
            <v>133845.01246000011</v>
          </cell>
          <cell r="AM17"/>
          <cell r="AN17">
            <v>306761.17161000002</v>
          </cell>
          <cell r="AO17">
            <v>37205.731000000203</v>
          </cell>
          <cell r="AP17">
            <v>0</v>
          </cell>
          <cell r="AQ17"/>
          <cell r="AR17"/>
          <cell r="AS17">
            <v>37205.731000000203</v>
          </cell>
          <cell r="AT17">
            <v>5123.973</v>
          </cell>
          <cell r="AU17">
            <v>5269.71</v>
          </cell>
          <cell r="AV17">
            <v>61311.468000000001</v>
          </cell>
          <cell r="AW17"/>
          <cell r="AX17"/>
          <cell r="AY17"/>
          <cell r="AZ17"/>
          <cell r="BA17">
            <v>71705.150999999998</v>
          </cell>
          <cell r="BB17">
            <v>0</v>
          </cell>
          <cell r="BC17">
            <v>1702.4</v>
          </cell>
          <cell r="BD17">
            <v>0</v>
          </cell>
          <cell r="BE17">
            <v>0</v>
          </cell>
          <cell r="BF17">
            <v>-9991.8979999999992</v>
          </cell>
          <cell r="BG17">
            <v>-1838.6189999999999</v>
          </cell>
          <cell r="BH17"/>
          <cell r="BI17"/>
          <cell r="BJ17">
            <v>-10128.116999999998</v>
          </cell>
          <cell r="BK17"/>
          <cell r="BL17"/>
          <cell r="BM17"/>
          <cell r="BN17"/>
          <cell r="BO17"/>
        </row>
        <row r="18">
          <cell r="F18">
            <v>494798.68215000001</v>
          </cell>
          <cell r="G18">
            <v>29471.614149999998</v>
          </cell>
          <cell r="H18">
            <v>33542.288200000003</v>
          </cell>
          <cell r="I18">
            <v>16757.632279999998</v>
          </cell>
          <cell r="J18">
            <v>18672.983190000003</v>
          </cell>
          <cell r="K18">
            <v>81751.208790000019</v>
          </cell>
          <cell r="L18">
            <v>15966.67801</v>
          </cell>
          <cell r="M18">
            <v>15782.25531</v>
          </cell>
          <cell r="N18">
            <v>29790.150610000001</v>
          </cell>
          <cell r="O18">
            <v>10178.39128</v>
          </cell>
          <cell r="P18">
            <v>29376.354869999999</v>
          </cell>
          <cell r="Q18">
            <v>14144.139189999998</v>
          </cell>
          <cell r="R18">
            <v>11986.380990000001</v>
          </cell>
          <cell r="S18">
            <v>24236.150320000001</v>
          </cell>
          <cell r="T18">
            <v>5721.3811900000001</v>
          </cell>
          <cell r="U18">
            <v>10169.033439999999</v>
          </cell>
          <cell r="V18">
            <v>20773.16059</v>
          </cell>
          <cell r="W18">
            <v>10232.56812</v>
          </cell>
          <cell r="X18"/>
          <cell r="Y18"/>
          <cell r="Z18">
            <v>378552.37053000001</v>
          </cell>
          <cell r="AA18">
            <v>5305.8140000000003</v>
          </cell>
          <cell r="AB18">
            <v>353.67200000000003</v>
          </cell>
          <cell r="AC18">
            <v>0</v>
          </cell>
          <cell r="AD18">
            <v>0</v>
          </cell>
          <cell r="AE18"/>
          <cell r="AF18"/>
          <cell r="AG18"/>
          <cell r="AH18">
            <v>5659.4860000000008</v>
          </cell>
          <cell r="AI18">
            <v>384211.85653000005</v>
          </cell>
          <cell r="AJ18">
            <v>33339.305950000002</v>
          </cell>
          <cell r="AK18">
            <v>9022.4172100000014</v>
          </cell>
          <cell r="AL18">
            <v>67612.617459999994</v>
          </cell>
          <cell r="AM18"/>
          <cell r="AN18">
            <v>109974.34062</v>
          </cell>
          <cell r="AO18">
            <v>5550.3850000000002</v>
          </cell>
          <cell r="AP18">
            <v>855.83600000000001</v>
          </cell>
          <cell r="AQ18"/>
          <cell r="AR18"/>
          <cell r="AS18">
            <v>6406.2210000000005</v>
          </cell>
          <cell r="AT18">
            <v>1312.8920000000001</v>
          </cell>
          <cell r="AU18">
            <v>-4103.3360000000002</v>
          </cell>
          <cell r="AV18">
            <v>0</v>
          </cell>
          <cell r="AW18"/>
          <cell r="AX18"/>
          <cell r="AY18"/>
          <cell r="AZ18"/>
          <cell r="BA18">
            <v>-2790.4440000000004</v>
          </cell>
          <cell r="BB18">
            <v>0</v>
          </cell>
          <cell r="BC18">
            <v>5374.4539999999997</v>
          </cell>
          <cell r="BD18">
            <v>0</v>
          </cell>
          <cell r="BE18">
            <v>0</v>
          </cell>
          <cell r="BF18">
            <v>-8377.7459999999992</v>
          </cell>
          <cell r="BG18">
            <v>0</v>
          </cell>
          <cell r="BH18"/>
          <cell r="BI18"/>
          <cell r="BJ18">
            <v>-3003.2919999999995</v>
          </cell>
          <cell r="BK18"/>
          <cell r="BL18"/>
          <cell r="BM18"/>
          <cell r="BN18"/>
          <cell r="BO18"/>
        </row>
        <row r="19">
          <cell r="F19">
            <v>469447.45415000001</v>
          </cell>
          <cell r="G19">
            <v>27143.992149999998</v>
          </cell>
          <cell r="H19">
            <v>31597.153200000001</v>
          </cell>
          <cell r="I19">
            <v>15455.171279999999</v>
          </cell>
          <cell r="J19">
            <v>17480.995190000001</v>
          </cell>
          <cell r="K19">
            <v>79875.142790000013</v>
          </cell>
          <cell r="L19">
            <v>14402.27601</v>
          </cell>
          <cell r="M19">
            <v>14588.65631</v>
          </cell>
          <cell r="N19">
            <v>28226.84561</v>
          </cell>
          <cell r="O19">
            <v>9428.3552799999998</v>
          </cell>
          <cell r="P19">
            <v>28157.58887</v>
          </cell>
          <cell r="Q19">
            <v>12938.751189999999</v>
          </cell>
          <cell r="R19">
            <v>10884.225990000001</v>
          </cell>
          <cell r="S19">
            <v>22647.94932</v>
          </cell>
          <cell r="T19">
            <v>5350.9811900000004</v>
          </cell>
          <cell r="U19">
            <v>9726.1644399999986</v>
          </cell>
          <cell r="V19">
            <v>19646.296589999998</v>
          </cell>
          <cell r="W19">
            <v>9407.1981199999991</v>
          </cell>
          <cell r="X19"/>
          <cell r="Y19"/>
          <cell r="Z19">
            <v>356957.74353000004</v>
          </cell>
          <cell r="AA19">
            <v>5305.8140000000003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5305.8140000000003</v>
          </cell>
          <cell r="AI19">
            <v>362263.55753000005</v>
          </cell>
          <cell r="AJ19">
            <v>33339.305950000002</v>
          </cell>
          <cell r="AK19">
            <v>9022.4172100000014</v>
          </cell>
          <cell r="AL19">
            <v>67612.617459999994</v>
          </cell>
          <cell r="AM19"/>
          <cell r="AN19">
            <v>109974.34062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-4103.3360000000002</v>
          </cell>
          <cell r="AV19">
            <v>0</v>
          </cell>
          <cell r="AW19"/>
          <cell r="AX19"/>
          <cell r="AY19"/>
          <cell r="AZ19"/>
          <cell r="BA19">
            <v>-2790.4440000000004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25351.228000000003</v>
          </cell>
          <cell r="G20">
            <v>2327.6219999999998</v>
          </cell>
          <cell r="H20">
            <v>1945.135</v>
          </cell>
          <cell r="I20">
            <v>1302.461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1126.864</v>
          </cell>
          <cell r="W20">
            <v>825.37</v>
          </cell>
          <cell r="X20"/>
          <cell r="Y20"/>
          <cell r="Z20">
            <v>21594.627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/>
          <cell r="AF20"/>
          <cell r="AG20"/>
          <cell r="AH20">
            <v>353.67200000000003</v>
          </cell>
          <cell r="AI20">
            <v>21948.298999999999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5550.3850000000002</v>
          </cell>
          <cell r="AP20">
            <v>855.83600000000001</v>
          </cell>
          <cell r="AQ20"/>
          <cell r="AR20"/>
          <cell r="AS20">
            <v>6406.2210000000005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5374.4539999999997</v>
          </cell>
          <cell r="BD20">
            <v>0</v>
          </cell>
          <cell r="BE20">
            <v>0</v>
          </cell>
          <cell r="BF20">
            <v>-8377.7459999999992</v>
          </cell>
          <cell r="BG20">
            <v>0</v>
          </cell>
          <cell r="BH20"/>
          <cell r="BI20"/>
          <cell r="BJ20">
            <v>-3003.2919999999995</v>
          </cell>
          <cell r="BK20"/>
          <cell r="BL20"/>
          <cell r="BM20"/>
          <cell r="BN20"/>
          <cell r="BO20"/>
        </row>
        <row r="21">
          <cell r="F21">
            <v>4061977.3379899934</v>
          </cell>
          <cell r="G21">
            <v>402628.75999999978</v>
          </cell>
          <cell r="H21">
            <v>383643.18999999989</v>
          </cell>
          <cell r="I21">
            <v>246077.82100000032</v>
          </cell>
          <cell r="J21">
            <v>115384.05200000003</v>
          </cell>
          <cell r="K21">
            <v>237074.5909999999</v>
          </cell>
          <cell r="L21">
            <v>346177.88299999997</v>
          </cell>
          <cell r="M21">
            <v>100672.52699999989</v>
          </cell>
          <cell r="N21">
            <v>246302.65899999993</v>
          </cell>
          <cell r="O21">
            <v>132966.60900000005</v>
          </cell>
          <cell r="P21">
            <v>321837.46799999994</v>
          </cell>
          <cell r="Q21">
            <v>198152.77300000013</v>
          </cell>
          <cell r="R21">
            <v>30862.732999999989</v>
          </cell>
          <cell r="S21">
            <v>386527.73200000031</v>
          </cell>
          <cell r="T21">
            <v>145918.54499999998</v>
          </cell>
          <cell r="U21">
            <v>313987.10700000008</v>
          </cell>
          <cell r="V21">
            <v>10438.929999999978</v>
          </cell>
          <cell r="W21">
            <v>73245.190000000017</v>
          </cell>
          <cell r="X21"/>
          <cell r="Y21"/>
          <cell r="Z21">
            <v>3691898.5699999994</v>
          </cell>
          <cell r="AA21">
            <v>44179.383999999998</v>
          </cell>
          <cell r="AB21">
            <v>-535.9190000000001</v>
          </cell>
          <cell r="AC21">
            <v>9254.4130000000005</v>
          </cell>
          <cell r="AD21">
            <v>22223.779000000002</v>
          </cell>
          <cell r="AE21"/>
          <cell r="AF21"/>
          <cell r="AG21"/>
          <cell r="AH21">
            <v>75121.656999999992</v>
          </cell>
          <cell r="AI21">
            <v>3767020.2269999972</v>
          </cell>
          <cell r="AJ21">
            <v>78090.991989999951</v>
          </cell>
          <cell r="AK21">
            <v>52463.444000000003</v>
          </cell>
          <cell r="AL21">
            <v>66232.39500000012</v>
          </cell>
          <cell r="AM21"/>
          <cell r="AN21">
            <v>196786.83099000002</v>
          </cell>
          <cell r="AO21">
            <v>31655.346000000201</v>
          </cell>
          <cell r="AP21">
            <v>-855.83600000000001</v>
          </cell>
          <cell r="AQ21"/>
          <cell r="AR21"/>
          <cell r="AS21">
            <v>30799.510000000202</v>
          </cell>
          <cell r="AT21">
            <v>3811.0810000000001</v>
          </cell>
          <cell r="AU21">
            <v>9373.0460000000003</v>
          </cell>
          <cell r="AV21">
            <v>61311.468000000001</v>
          </cell>
          <cell r="AW21"/>
          <cell r="AX21"/>
          <cell r="AY21"/>
          <cell r="AZ21"/>
          <cell r="BA21">
            <v>74495.595000000001</v>
          </cell>
          <cell r="BB21">
            <v>0</v>
          </cell>
          <cell r="BC21">
            <v>-3672.0539999999996</v>
          </cell>
          <cell r="BD21">
            <v>0</v>
          </cell>
          <cell r="BE21">
            <v>0</v>
          </cell>
          <cell r="BF21">
            <v>-1614.152</v>
          </cell>
          <cell r="BG21">
            <v>-1838.6189999999999</v>
          </cell>
          <cell r="BH21"/>
          <cell r="BI21"/>
          <cell r="BJ21">
            <v>-7124.8249999999989</v>
          </cell>
          <cell r="BK21"/>
          <cell r="BL21"/>
          <cell r="BM21"/>
          <cell r="BN21"/>
          <cell r="BO21"/>
        </row>
        <row r="22">
          <cell r="F22">
            <v>3185283.2230015257</v>
          </cell>
          <cell r="G22">
            <v>164074.85438660841</v>
          </cell>
          <cell r="H22">
            <v>133557.53170916074</v>
          </cell>
          <cell r="I22">
            <v>102283.3809495084</v>
          </cell>
          <cell r="J22">
            <v>48527.735268903591</v>
          </cell>
          <cell r="K22">
            <v>95835.368895649415</v>
          </cell>
          <cell r="L22">
            <v>98005.336060622823</v>
          </cell>
          <cell r="M22">
            <v>56738.048021793351</v>
          </cell>
          <cell r="N22">
            <v>89014.00332983167</v>
          </cell>
          <cell r="O22">
            <v>51220.834926557836</v>
          </cell>
          <cell r="P22">
            <v>79324.910980798566</v>
          </cell>
          <cell r="Q22">
            <v>65647.316893077485</v>
          </cell>
          <cell r="R22">
            <v>31654.046397031554</v>
          </cell>
          <cell r="S22">
            <v>110486.66722303367</v>
          </cell>
          <cell r="T22">
            <v>26807.159760973125</v>
          </cell>
          <cell r="U22">
            <v>39414.039616035734</v>
          </cell>
          <cell r="V22">
            <v>25881.697889124247</v>
          </cell>
          <cell r="W22">
            <v>19321.981011801407</v>
          </cell>
          <cell r="X22"/>
          <cell r="Y22"/>
          <cell r="Z22">
            <v>1237794.913320512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1237794.913320512</v>
          </cell>
          <cell r="AJ22">
            <v>15466.976393371133</v>
          </cell>
          <cell r="AK22">
            <v>7188.8844576425054</v>
          </cell>
          <cell r="AL22">
            <v>18263.374829999997</v>
          </cell>
          <cell r="AM22"/>
          <cell r="AN22">
            <v>40919.235681013641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1906569.074</v>
          </cell>
          <cell r="BF22">
            <v>0</v>
          </cell>
          <cell r="BG22">
            <v>0</v>
          </cell>
          <cell r="BH22"/>
          <cell r="BI22"/>
          <cell r="BJ22">
            <v>1906569.074</v>
          </cell>
          <cell r="BK22"/>
          <cell r="BL22"/>
          <cell r="BM22"/>
          <cell r="BN22"/>
          <cell r="BO22"/>
        </row>
        <row r="23">
          <cell r="F23">
            <v>238498.9640015258</v>
          </cell>
          <cell r="G23">
            <v>25004.12910516038</v>
          </cell>
          <cell r="H23">
            <v>20353.4525647275</v>
          </cell>
          <cell r="I23">
            <v>15587.439477761622</v>
          </cell>
          <cell r="J23">
            <v>7395.3669645538666</v>
          </cell>
          <cell r="K23">
            <v>17351.972675866436</v>
          </cell>
          <cell r="L23">
            <v>17744.867401352854</v>
          </cell>
          <cell r="M23">
            <v>10273.003279490164</v>
          </cell>
          <cell r="N23">
            <v>16116.894747183898</v>
          </cell>
          <cell r="O23">
            <v>9274.0554799601159</v>
          </cell>
          <cell r="P23">
            <v>14362.58558521435</v>
          </cell>
          <cell r="Q23">
            <v>11886.117433459756</v>
          </cell>
          <cell r="R23">
            <v>5731.2885053947375</v>
          </cell>
          <cell r="S23">
            <v>13193.26145315342</v>
          </cell>
          <cell r="T23">
            <v>3201.0547193810203</v>
          </cell>
          <cell r="U23">
            <v>4706.4477791660574</v>
          </cell>
          <cell r="V23">
            <v>3090.5449108483799</v>
          </cell>
          <cell r="W23">
            <v>2307.2462378376226</v>
          </cell>
          <cell r="X23"/>
          <cell r="Y23"/>
          <cell r="Z23">
            <v>197579.72832051216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197579.72832051216</v>
          </cell>
          <cell r="AJ23">
            <v>15466.976393371133</v>
          </cell>
          <cell r="AK23">
            <v>7188.8844576425054</v>
          </cell>
          <cell r="AL23">
            <v>18263.374829999997</v>
          </cell>
          <cell r="AM23"/>
          <cell r="AN23">
            <v>40919.235681013641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359343.72899999999</v>
          </cell>
          <cell r="G24">
            <v>48042.168330171138</v>
          </cell>
          <cell r="H24">
            <v>39106.500774425607</v>
          </cell>
          <cell r="I24">
            <v>29949.229108420714</v>
          </cell>
          <cell r="J24">
            <v>14209.23172649747</v>
          </cell>
          <cell r="K24">
            <v>27112.194350634596</v>
          </cell>
          <cell r="L24">
            <v>27726.086405198654</v>
          </cell>
          <cell r="M24">
            <v>16051.411944972782</v>
          </cell>
          <cell r="N24">
            <v>25182.403803696208</v>
          </cell>
          <cell r="O24">
            <v>14490.571146470027</v>
          </cell>
          <cell r="P24">
            <v>22441.322323285094</v>
          </cell>
          <cell r="Q24">
            <v>18571.878365082524</v>
          </cell>
          <cell r="R24">
            <v>8955.0514365399795</v>
          </cell>
          <cell r="S24">
            <v>33610.137345244468</v>
          </cell>
          <cell r="T24">
            <v>8154.7606063945386</v>
          </cell>
          <cell r="U24">
            <v>11989.784089982024</v>
          </cell>
          <cell r="V24">
            <v>7873.2343245144093</v>
          </cell>
          <cell r="W24">
            <v>5877.762918469718</v>
          </cell>
          <cell r="X24"/>
          <cell r="Y24"/>
          <cell r="Z24">
            <v>359343.72899999999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359343.72899999999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2587440.5299999998</v>
          </cell>
          <cell r="G25">
            <v>91028.5569512769</v>
          </cell>
          <cell r="H25">
            <v>74097.578370007643</v>
          </cell>
          <cell r="I25">
            <v>56746.712363326071</v>
          </cell>
          <cell r="J25">
            <v>26923.136577852252</v>
          </cell>
          <cell r="K25">
            <v>51371.20186914839</v>
          </cell>
          <cell r="L25">
            <v>52534.382254071315</v>
          </cell>
          <cell r="M25">
            <v>30413.632797330407</v>
          </cell>
          <cell r="N25">
            <v>47714.704778951564</v>
          </cell>
          <cell r="O25">
            <v>27456.208300127691</v>
          </cell>
          <cell r="P25">
            <v>42521.003072299121</v>
          </cell>
          <cell r="Q25">
            <v>35189.321094535197</v>
          </cell>
          <cell r="R25">
            <v>16967.706455096835</v>
          </cell>
          <cell r="S25">
            <v>63683.268424635782</v>
          </cell>
          <cell r="T25">
            <v>15451.344435197567</v>
          </cell>
          <cell r="U25">
            <v>22717.807746887647</v>
          </cell>
          <cell r="V25">
            <v>14917.918653761461</v>
          </cell>
          <cell r="W25">
            <v>11136.971855494065</v>
          </cell>
          <cell r="X25"/>
          <cell r="Y25"/>
          <cell r="Z25">
            <v>680871.45599999989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680871.45599999989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1906569.074</v>
          </cell>
          <cell r="BF25">
            <v>0</v>
          </cell>
          <cell r="BG25">
            <v>0</v>
          </cell>
          <cell r="BH25"/>
          <cell r="BI25"/>
          <cell r="BJ25">
            <v>1906569.074</v>
          </cell>
          <cell r="BK25"/>
          <cell r="BL25"/>
          <cell r="BM25"/>
          <cell r="BN25"/>
          <cell r="BO25"/>
        </row>
        <row r="26">
          <cell r="F26">
            <v>876694.11498846766</v>
          </cell>
          <cell r="G26">
            <v>238553.90561339137</v>
          </cell>
          <cell r="H26">
            <v>250085.65829083914</v>
          </cell>
          <cell r="I26">
            <v>143794.44005049192</v>
          </cell>
          <cell r="J26">
            <v>66856.316731096435</v>
          </cell>
          <cell r="K26">
            <v>141239.22210435048</v>
          </cell>
          <cell r="L26">
            <v>248172.54693937715</v>
          </cell>
          <cell r="M26">
            <v>43934.478978206535</v>
          </cell>
          <cell r="N26">
            <v>157288.65567016826</v>
          </cell>
          <cell r="O26">
            <v>81745.774073442211</v>
          </cell>
          <cell r="P26">
            <v>242512.55701920137</v>
          </cell>
          <cell r="Q26">
            <v>132505.45610692265</v>
          </cell>
          <cell r="R26">
            <v>-791.31339703156482</v>
          </cell>
          <cell r="S26">
            <v>276041.06477696664</v>
          </cell>
          <cell r="T26">
            <v>119111.38523902686</v>
          </cell>
          <cell r="U26">
            <v>274573.06738396431</v>
          </cell>
          <cell r="V26">
            <v>-15442.767889124269</v>
          </cell>
          <cell r="W26">
            <v>53923.20898819861</v>
          </cell>
          <cell r="X26"/>
          <cell r="Y26"/>
          <cell r="Z26">
            <v>2454103.6566794873</v>
          </cell>
          <cell r="AA26">
            <v>44179.383999999998</v>
          </cell>
          <cell r="AB26">
            <v>-535.9190000000001</v>
          </cell>
          <cell r="AC26">
            <v>9254.4130000000005</v>
          </cell>
          <cell r="AD26">
            <v>22223.779000000002</v>
          </cell>
          <cell r="AE26"/>
          <cell r="AF26"/>
          <cell r="AG26"/>
          <cell r="AH26">
            <v>75121.656999999992</v>
          </cell>
          <cell r="AI26">
            <v>2529225.3136794851</v>
          </cell>
          <cell r="AJ26">
            <v>62624.015596628815</v>
          </cell>
          <cell r="AK26">
            <v>45274.5595423575</v>
          </cell>
          <cell r="AL26">
            <v>47969.02017000012</v>
          </cell>
          <cell r="AM26"/>
          <cell r="AN26">
            <v>155867.59530898638</v>
          </cell>
          <cell r="AO26">
            <v>31655.346000000201</v>
          </cell>
          <cell r="AP26">
            <v>-855.83600000000001</v>
          </cell>
          <cell r="AQ26"/>
          <cell r="AR26"/>
          <cell r="AS26">
            <v>30799.510000000202</v>
          </cell>
          <cell r="AT26">
            <v>3811.0810000000001</v>
          </cell>
          <cell r="AU26">
            <v>9373.0460000000003</v>
          </cell>
          <cell r="AV26">
            <v>61311.468000000001</v>
          </cell>
          <cell r="AW26"/>
          <cell r="AX26"/>
          <cell r="AY26"/>
          <cell r="AZ26"/>
          <cell r="BA26">
            <v>74495.595000000001</v>
          </cell>
          <cell r="BB26">
            <v>0</v>
          </cell>
          <cell r="BC26">
            <v>-3672.0539999999996</v>
          </cell>
          <cell r="BD26">
            <v>0</v>
          </cell>
          <cell r="BE26">
            <v>-1906569.074</v>
          </cell>
          <cell r="BF26">
            <v>-1614.152</v>
          </cell>
          <cell r="BG26">
            <v>-1838.6189999999999</v>
          </cell>
          <cell r="BH26"/>
          <cell r="BI26"/>
          <cell r="BJ26">
            <v>-1913693.899</v>
          </cell>
          <cell r="BK26"/>
          <cell r="BL26"/>
          <cell r="BM26"/>
          <cell r="BN26"/>
          <cell r="BO26"/>
        </row>
        <row r="27">
          <cell r="F27">
            <v>876694.11498847394</v>
          </cell>
          <cell r="G27">
            <v>238553.90561339134</v>
          </cell>
          <cell r="H27">
            <v>250085.65829083911</v>
          </cell>
          <cell r="I27">
            <v>143794.44005049186</v>
          </cell>
          <cell r="J27">
            <v>66856.316731096449</v>
          </cell>
          <cell r="K27">
            <v>141239.22210435048</v>
          </cell>
          <cell r="L27">
            <v>248172.54693937712</v>
          </cell>
          <cell r="M27">
            <v>43934.478978206549</v>
          </cell>
          <cell r="N27">
            <v>157288.65567016829</v>
          </cell>
          <cell r="O27">
            <v>81745.77407344224</v>
          </cell>
          <cell r="P27">
            <v>242512.55701920137</v>
          </cell>
          <cell r="Q27">
            <v>132505.45610692259</v>
          </cell>
          <cell r="R27">
            <v>-791.31339703156414</v>
          </cell>
          <cell r="S27">
            <v>276041.06477696658</v>
          </cell>
          <cell r="T27">
            <v>119111.38523902687</v>
          </cell>
          <cell r="U27">
            <v>274573.0673839642</v>
          </cell>
          <cell r="V27">
            <v>-15442.767889124261</v>
          </cell>
          <cell r="W27">
            <v>53923.20898819861</v>
          </cell>
          <cell r="X27"/>
          <cell r="Y27"/>
          <cell r="Z27">
            <v>2454103.6566794878</v>
          </cell>
          <cell r="AA27">
            <v>44179.383999999998</v>
          </cell>
          <cell r="AB27">
            <v>-535.9190000000001</v>
          </cell>
          <cell r="AC27">
            <v>9254.4130000000005</v>
          </cell>
          <cell r="AD27">
            <v>22223.779000000002</v>
          </cell>
          <cell r="AE27"/>
          <cell r="AF27"/>
          <cell r="AG27"/>
          <cell r="AH27">
            <v>75121.657000000007</v>
          </cell>
          <cell r="AI27">
            <v>2529225.3136794879</v>
          </cell>
          <cell r="AJ27">
            <v>62624.015596628822</v>
          </cell>
          <cell r="AK27">
            <v>45274.5595423575</v>
          </cell>
          <cell r="AL27">
            <v>47969.02017000012</v>
          </cell>
          <cell r="AM27"/>
          <cell r="AN27">
            <v>155867.59530898643</v>
          </cell>
          <cell r="AO27">
            <v>31655.346000000201</v>
          </cell>
          <cell r="AP27">
            <v>-855.83600000000001</v>
          </cell>
          <cell r="AQ27"/>
          <cell r="AR27"/>
          <cell r="AS27">
            <v>30799.510000000202</v>
          </cell>
          <cell r="AT27">
            <v>3811.0810000000001</v>
          </cell>
          <cell r="AU27">
            <v>9373.0460000000003</v>
          </cell>
          <cell r="AV27">
            <v>61311.468000000001</v>
          </cell>
          <cell r="AW27"/>
          <cell r="AX27"/>
          <cell r="AY27"/>
          <cell r="AZ27"/>
          <cell r="BA27">
            <v>74495.595000000001</v>
          </cell>
          <cell r="BB27">
            <v>0</v>
          </cell>
          <cell r="BC27">
            <v>-3672.0539999999996</v>
          </cell>
          <cell r="BD27">
            <v>0</v>
          </cell>
          <cell r="BE27">
            <v>-1906569.074</v>
          </cell>
          <cell r="BF27">
            <v>-1614.152</v>
          </cell>
          <cell r="BG27">
            <v>-1838.6189999999999</v>
          </cell>
          <cell r="BH27"/>
          <cell r="BI27"/>
          <cell r="BJ27">
            <v>-1913693.899</v>
          </cell>
          <cell r="BK27"/>
          <cell r="BL27"/>
          <cell r="BM27"/>
          <cell r="BN27"/>
          <cell r="BO27"/>
        </row>
        <row r="28">
          <cell r="F28">
            <v>-6.28642737865448E-9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40978</v>
          </cell>
          <cell r="H31">
            <v>31816</v>
          </cell>
          <cell r="I31">
            <v>24852</v>
          </cell>
          <cell r="J31">
            <v>12401</v>
          </cell>
          <cell r="K31">
            <v>21643</v>
          </cell>
          <cell r="L31">
            <v>23104</v>
          </cell>
          <cell r="M31">
            <v>14128</v>
          </cell>
          <cell r="N31">
            <v>20677</v>
          </cell>
          <cell r="O31">
            <v>13470</v>
          </cell>
          <cell r="P31">
            <v>18723</v>
          </cell>
          <cell r="Q31">
            <v>15572</v>
          </cell>
          <cell r="R31">
            <v>7183</v>
          </cell>
          <cell r="S31">
            <v>27772</v>
          </cell>
          <cell r="T31">
            <v>6208.5</v>
          </cell>
          <cell r="U31">
            <v>8978</v>
          </cell>
          <cell r="V31">
            <v>7133</v>
          </cell>
          <cell r="W31">
            <v>3848</v>
          </cell>
          <cell r="X31">
            <v>0</v>
          </cell>
          <cell r="Y31">
            <v>0</v>
          </cell>
          <cell r="Z31">
            <v>298486.5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298486.5</v>
          </cell>
          <cell r="AJ31">
            <v>20278</v>
          </cell>
          <cell r="AK31">
            <v>21556</v>
          </cell>
          <cell r="AL31">
            <v>43094</v>
          </cell>
          <cell r="AM31"/>
          <cell r="AN31">
            <v>84928</v>
          </cell>
          <cell r="AO31">
            <v>8665.0679999999993</v>
          </cell>
          <cell r="AP31">
            <v>0</v>
          </cell>
          <cell r="AQ31"/>
          <cell r="AR31"/>
          <cell r="AS31">
            <v>8665.0679999999993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41194726.291000001</v>
          </cell>
          <cell r="G32">
            <v>4078374.9139999999</v>
          </cell>
          <cell r="H32">
            <v>3319812.1</v>
          </cell>
          <cell r="I32">
            <v>2542436.966</v>
          </cell>
          <cell r="J32">
            <v>1206243.936</v>
          </cell>
          <cell r="K32">
            <v>2301596.642</v>
          </cell>
          <cell r="L32">
            <v>2353710.9</v>
          </cell>
          <cell r="M32">
            <v>1362629.5</v>
          </cell>
          <cell r="N32">
            <v>2137773.7000000002</v>
          </cell>
          <cell r="O32">
            <v>1230127.28</v>
          </cell>
          <cell r="P32">
            <v>1905079</v>
          </cell>
          <cell r="Q32">
            <v>1576595.8419999999</v>
          </cell>
          <cell r="R32">
            <v>760208.34199999995</v>
          </cell>
          <cell r="S32">
            <v>2853217.2</v>
          </cell>
          <cell r="T32">
            <v>692270.4</v>
          </cell>
          <cell r="U32">
            <v>1017831.5499999999</v>
          </cell>
          <cell r="V32">
            <v>668371.19299999997</v>
          </cell>
          <cell r="W32">
            <v>498972.5</v>
          </cell>
          <cell r="X32">
            <v>0</v>
          </cell>
          <cell r="Y32">
            <v>0</v>
          </cell>
          <cell r="Z32">
            <v>30505251.965000004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/>
          <cell r="AF32"/>
          <cell r="AG32"/>
          <cell r="AH32">
            <v>90840</v>
          </cell>
          <cell r="AI32">
            <v>30596091.965000004</v>
          </cell>
          <cell r="AJ32">
            <v>667149.67200000002</v>
          </cell>
          <cell r="AK32">
            <v>310084</v>
          </cell>
          <cell r="AL32">
            <v>787769</v>
          </cell>
          <cell r="AM32"/>
          <cell r="AN32">
            <v>1765002.672</v>
          </cell>
          <cell r="AO32">
            <v>8759917.7860000003</v>
          </cell>
          <cell r="AP32">
            <v>0</v>
          </cell>
          <cell r="AQ32"/>
          <cell r="AR32"/>
          <cell r="AS32">
            <v>8759917.7860000003</v>
          </cell>
          <cell r="AT32">
            <v>5250</v>
          </cell>
          <cell r="AU32">
            <v>5450</v>
          </cell>
          <cell r="AV32">
            <v>61311.468000000001</v>
          </cell>
          <cell r="AW32"/>
          <cell r="AX32"/>
          <cell r="AY32"/>
          <cell r="AZ32"/>
          <cell r="BA32">
            <v>72011.467999999993</v>
          </cell>
          <cell r="BB32">
            <v>0</v>
          </cell>
          <cell r="BC32">
            <v>1702.4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1702.4</v>
          </cell>
        </row>
        <row r="33">
          <cell r="F33">
            <v>36350321.184010006</v>
          </cell>
          <cell r="G33">
            <v>3608499.3659999999</v>
          </cell>
          <cell r="H33">
            <v>2870105.5130000003</v>
          </cell>
          <cell r="I33">
            <v>2248888.1139999996</v>
          </cell>
          <cell r="J33">
            <v>1057563.858</v>
          </cell>
          <cell r="K33">
            <v>2023262.4790000001</v>
          </cell>
          <cell r="L33">
            <v>1962161.2009999999</v>
          </cell>
          <cell r="M33">
            <v>1227122.4210000001</v>
          </cell>
          <cell r="N33">
            <v>1845821.3110000002</v>
          </cell>
          <cell r="O33">
            <v>1067977.024</v>
          </cell>
          <cell r="P33">
            <v>1536561.0890000002</v>
          </cell>
          <cell r="Q33">
            <v>1340834.9079999998</v>
          </cell>
          <cell r="R33">
            <v>702967.44899999991</v>
          </cell>
          <cell r="S33">
            <v>2425196.23</v>
          </cell>
          <cell r="T33">
            <v>535259.68599999999</v>
          </cell>
          <cell r="U33">
            <v>694528.19099999988</v>
          </cell>
          <cell r="V33">
            <v>619286.70900000003</v>
          </cell>
          <cell r="W33">
            <v>408666.685</v>
          </cell>
          <cell r="X33">
            <v>0</v>
          </cell>
          <cell r="Y33">
            <v>0</v>
          </cell>
          <cell r="Z33">
            <v>26174702.234000001</v>
          </cell>
          <cell r="AA33">
            <v>5820.616</v>
          </cell>
          <cell r="AB33">
            <v>0</v>
          </cell>
          <cell r="AC33">
            <v>3245.587</v>
          </cell>
          <cell r="AD33">
            <v>6116.2209999999995</v>
          </cell>
          <cell r="AE33"/>
          <cell r="AF33"/>
          <cell r="AG33"/>
          <cell r="AH33">
            <v>15182.423999999999</v>
          </cell>
          <cell r="AI33">
            <v>26189884.658</v>
          </cell>
          <cell r="AJ33">
            <v>588598.68001000001</v>
          </cell>
          <cell r="AK33">
            <v>254324.52100000001</v>
          </cell>
          <cell r="AL33">
            <v>721536.60499999986</v>
          </cell>
          <cell r="AM33"/>
          <cell r="AN33">
            <v>1564459.8060099999</v>
          </cell>
          <cell r="AO33">
            <v>8596622.2280000001</v>
          </cell>
          <cell r="AP33">
            <v>0</v>
          </cell>
          <cell r="AQ33"/>
          <cell r="AR33"/>
          <cell r="AS33">
            <v>8596622.2280000001</v>
          </cell>
          <cell r="AT33">
            <v>1438.9190000000001</v>
          </cell>
          <cell r="AU33">
            <v>-3923.0460000000003</v>
          </cell>
          <cell r="AV33">
            <v>0</v>
          </cell>
          <cell r="AW33"/>
          <cell r="AX33"/>
          <cell r="AY33"/>
          <cell r="AZ33"/>
          <cell r="BA33">
            <v>-2484.1270000000004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1838.6189999999999</v>
          </cell>
          <cell r="BH33"/>
          <cell r="BI33"/>
          <cell r="BJ33">
            <v>1838.6189999999999</v>
          </cell>
        </row>
        <row r="34">
          <cell r="F34">
            <v>4844405.1069899946</v>
          </cell>
          <cell r="G34">
            <v>469875.54799999995</v>
          </cell>
          <cell r="H34">
            <v>449706.58699999982</v>
          </cell>
          <cell r="I34">
            <v>293548.85200000042</v>
          </cell>
          <cell r="J34">
            <v>148680.07799999998</v>
          </cell>
          <cell r="K34">
            <v>278334.16299999994</v>
          </cell>
          <cell r="L34">
            <v>391549.69900000002</v>
          </cell>
          <cell r="M34">
            <v>135507.07899999991</v>
          </cell>
          <cell r="N34">
            <v>291952.38899999997</v>
          </cell>
          <cell r="O34">
            <v>162150.25600000005</v>
          </cell>
          <cell r="P34">
            <v>368517.91099999985</v>
          </cell>
          <cell r="Q34">
            <v>235760.93400000012</v>
          </cell>
          <cell r="R34">
            <v>57240.89300000004</v>
          </cell>
          <cell r="S34">
            <v>428020.9700000002</v>
          </cell>
          <cell r="T34">
            <v>157010.71400000004</v>
          </cell>
          <cell r="U34">
            <v>323303.35900000005</v>
          </cell>
          <cell r="V34">
            <v>49084.483999999939</v>
          </cell>
          <cell r="W34">
            <v>90305.815000000002</v>
          </cell>
          <cell r="X34">
            <v>0</v>
          </cell>
          <cell r="Y34">
            <v>0</v>
          </cell>
          <cell r="Z34">
            <v>4330549.7310000025</v>
          </cell>
          <cell r="AA34">
            <v>44179.383999999998</v>
          </cell>
          <cell r="AB34">
            <v>0</v>
          </cell>
          <cell r="AC34">
            <v>9254.4130000000005</v>
          </cell>
          <cell r="AD34">
            <v>22223.779000000002</v>
          </cell>
          <cell r="AE34"/>
          <cell r="AF34"/>
          <cell r="AG34"/>
          <cell r="AH34">
            <v>75657.576000000001</v>
          </cell>
          <cell r="AI34">
            <v>4406207.3070000038</v>
          </cell>
          <cell r="AJ34">
            <v>78550.99199000001</v>
          </cell>
          <cell r="AK34">
            <v>55759.478999999992</v>
          </cell>
          <cell r="AL34">
            <v>66232.395000000135</v>
          </cell>
          <cell r="AM34"/>
          <cell r="AN34">
            <v>200542.86599000008</v>
          </cell>
          <cell r="AO34">
            <v>163295.55800000019</v>
          </cell>
          <cell r="AP34">
            <v>0</v>
          </cell>
          <cell r="AQ34"/>
          <cell r="AR34"/>
          <cell r="AS34">
            <v>163295.55800000019</v>
          </cell>
          <cell r="AT34">
            <v>3811.0810000000001</v>
          </cell>
          <cell r="AU34">
            <v>9373.0460000000003</v>
          </cell>
          <cell r="AV34">
            <v>61311.468000000001</v>
          </cell>
          <cell r="AW34"/>
          <cell r="AX34"/>
          <cell r="AY34"/>
          <cell r="AZ34"/>
          <cell r="BA34">
            <v>74495.595000000001</v>
          </cell>
          <cell r="BB34">
            <v>0</v>
          </cell>
          <cell r="BC34">
            <v>1702.4</v>
          </cell>
          <cell r="BD34">
            <v>0</v>
          </cell>
          <cell r="BE34">
            <v>0</v>
          </cell>
          <cell r="BF34">
            <v>0</v>
          </cell>
          <cell r="BG34">
            <v>-1838.6189999999999</v>
          </cell>
          <cell r="BH34"/>
          <cell r="BI34"/>
          <cell r="BJ34">
            <v>-136.21899999999982</v>
          </cell>
        </row>
        <row r="35">
          <cell r="F35">
            <v>3967710.9920015261</v>
          </cell>
          <cell r="G35">
            <v>231321.64238660841</v>
          </cell>
          <cell r="H35">
            <v>199620.92870916077</v>
          </cell>
          <cell r="I35">
            <v>149754.41194950842</v>
          </cell>
          <cell r="J35">
            <v>81823.761268903589</v>
          </cell>
          <cell r="K35">
            <v>137094.94089564943</v>
          </cell>
          <cell r="L35">
            <v>143377.15206062282</v>
          </cell>
          <cell r="M35">
            <v>91572.600021793347</v>
          </cell>
          <cell r="N35">
            <v>134663.73332983165</v>
          </cell>
          <cell r="O35">
            <v>80404.481926557826</v>
          </cell>
          <cell r="P35">
            <v>126005.35398079857</v>
          </cell>
          <cell r="Q35">
            <v>103255.47789307749</v>
          </cell>
          <cell r="R35">
            <v>58032.20639703155</v>
          </cell>
          <cell r="S35">
            <v>151979.90522303368</v>
          </cell>
          <cell r="T35">
            <v>37899.328760973127</v>
          </cell>
          <cell r="U35">
            <v>48730.291616035734</v>
          </cell>
          <cell r="V35">
            <v>64527.251889124251</v>
          </cell>
          <cell r="W35">
            <v>36382.606011801407</v>
          </cell>
          <cell r="X35">
            <v>0</v>
          </cell>
          <cell r="Y35">
            <v>0</v>
          </cell>
          <cell r="Z35">
            <v>1876446.0743205124</v>
          </cell>
          <cell r="AA35">
            <v>0</v>
          </cell>
          <cell r="AB35">
            <v>535.9190000000001</v>
          </cell>
          <cell r="AC35">
            <v>0</v>
          </cell>
          <cell r="AD35">
            <v>0</v>
          </cell>
          <cell r="AE35"/>
          <cell r="AF35"/>
          <cell r="AG35"/>
          <cell r="AH35">
            <v>535.9190000000001</v>
          </cell>
          <cell r="AI35">
            <v>1876981.9933205124</v>
          </cell>
          <cell r="AJ35">
            <v>15926.976393371133</v>
          </cell>
          <cell r="AK35">
            <v>10484.919457642505</v>
          </cell>
          <cell r="AL35">
            <v>18263.374829999997</v>
          </cell>
          <cell r="AM35"/>
          <cell r="AN35">
            <v>44675.27068101363</v>
          </cell>
          <cell r="AO35">
            <v>131640.212</v>
          </cell>
          <cell r="AP35">
            <v>855.83600000000001</v>
          </cell>
          <cell r="AQ35"/>
          <cell r="AR35"/>
          <cell r="AS35">
            <v>132496.04800000001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5374.4539999999997</v>
          </cell>
          <cell r="BD35">
            <v>0</v>
          </cell>
          <cell r="BE35">
            <v>1906569.074</v>
          </cell>
          <cell r="BF35">
            <v>1614.152</v>
          </cell>
          <cell r="BG35">
            <v>0</v>
          </cell>
          <cell r="BH35"/>
          <cell r="BI35"/>
          <cell r="BJ35">
            <v>1913557.68</v>
          </cell>
        </row>
        <row r="36">
          <cell r="F36">
            <v>876694.11498846859</v>
          </cell>
          <cell r="G36">
            <v>238553.90561339154</v>
          </cell>
          <cell r="H36">
            <v>250085.65829083906</v>
          </cell>
          <cell r="I36">
            <v>143794.440050492</v>
          </cell>
          <cell r="J36">
            <v>66856.316731096391</v>
          </cell>
          <cell r="K36">
            <v>141239.22210435051</v>
          </cell>
          <cell r="L36">
            <v>248172.54693937721</v>
          </cell>
          <cell r="M36">
            <v>43934.478978206564</v>
          </cell>
          <cell r="N36">
            <v>157288.65567016831</v>
          </cell>
          <cell r="O36">
            <v>81745.774073442226</v>
          </cell>
          <cell r="P36">
            <v>242512.55701920128</v>
          </cell>
          <cell r="Q36">
            <v>132505.45610692265</v>
          </cell>
          <cell r="R36">
            <v>-791.31339703151025</v>
          </cell>
          <cell r="S36">
            <v>276041.06477696652</v>
          </cell>
          <cell r="T36">
            <v>119111.38523902692</v>
          </cell>
          <cell r="U36">
            <v>274573.06738396431</v>
          </cell>
          <cell r="V36">
            <v>-15442.767889124312</v>
          </cell>
          <cell r="W36">
            <v>53923.208988198596</v>
          </cell>
          <cell r="X36">
            <v>0</v>
          </cell>
          <cell r="Y36">
            <v>0</v>
          </cell>
          <cell r="Z36">
            <v>2454103.6566794901</v>
          </cell>
          <cell r="AA36">
            <v>44179.383999999998</v>
          </cell>
          <cell r="AB36">
            <v>-535.9190000000001</v>
          </cell>
          <cell r="AC36">
            <v>9254.4130000000005</v>
          </cell>
          <cell r="AD36">
            <v>22223.779000000002</v>
          </cell>
          <cell r="AE36"/>
          <cell r="AF36"/>
          <cell r="AG36"/>
          <cell r="AH36">
            <v>75121.657000000007</v>
          </cell>
          <cell r="AI36">
            <v>2529225.3136794912</v>
          </cell>
          <cell r="AJ36">
            <v>62624.015596628873</v>
          </cell>
          <cell r="AK36">
            <v>45274.559542357485</v>
          </cell>
          <cell r="AL36">
            <v>47969.020170000134</v>
          </cell>
          <cell r="AM36"/>
          <cell r="AN36">
            <v>155867.59530898643</v>
          </cell>
          <cell r="AO36">
            <v>31655.346000000194</v>
          </cell>
          <cell r="AP36">
            <v>-855.83600000000001</v>
          </cell>
          <cell r="AQ36"/>
          <cell r="AR36"/>
          <cell r="AS36">
            <v>30799.510000000184</v>
          </cell>
          <cell r="AT36">
            <v>3811.0810000000001</v>
          </cell>
          <cell r="AU36">
            <v>9373.0460000000003</v>
          </cell>
          <cell r="AV36">
            <v>61311.468000000001</v>
          </cell>
          <cell r="AW36"/>
          <cell r="AX36"/>
          <cell r="AY36"/>
          <cell r="AZ36"/>
          <cell r="BA36">
            <v>74495.595000000001</v>
          </cell>
          <cell r="BB36">
            <v>0</v>
          </cell>
          <cell r="BC36">
            <v>-3672.0539999999996</v>
          </cell>
          <cell r="BD36">
            <v>0</v>
          </cell>
          <cell r="BE36">
            <v>-1906569.074</v>
          </cell>
          <cell r="BF36">
            <v>-1614.152</v>
          </cell>
          <cell r="BG36">
            <v>-1838.6189999999999</v>
          </cell>
          <cell r="BH36"/>
          <cell r="BI36"/>
          <cell r="BJ36">
            <v>-1913693.899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-9832</v>
          </cell>
          <cell r="AK38">
            <v>-14804</v>
          </cell>
          <cell r="AL38">
            <v>-25014</v>
          </cell>
          <cell r="AM38"/>
          <cell r="AN38">
            <v>-49650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-1057590.672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-316969.67200000002</v>
          </cell>
          <cell r="AK39">
            <v>-239348</v>
          </cell>
          <cell r="AL39">
            <v>-501273</v>
          </cell>
          <cell r="AM39"/>
          <cell r="AN39">
            <v>-1057590.672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-1057590.672</v>
          </cell>
          <cell r="G40"/>
          <cell r="H40"/>
          <cell r="I40"/>
          <cell r="J40"/>
          <cell r="K40">
            <v>-82281.930999999997</v>
          </cell>
          <cell r="L40">
            <v>-71665.444000000003</v>
          </cell>
          <cell r="M40">
            <v>-4020.35</v>
          </cell>
          <cell r="N40">
            <v>-11552.904</v>
          </cell>
          <cell r="O40">
            <v>-1083.575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-170604.20400000003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-170604.20400000003</v>
          </cell>
          <cell r="AJ40">
            <v>-284087.13099999999</v>
          </cell>
          <cell r="AK40">
            <v>-184060.23300000001</v>
          </cell>
          <cell r="AL40">
            <v>-418839.10399999999</v>
          </cell>
          <cell r="AM40"/>
          <cell r="AN40">
            <v>-886986.46799999999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82281.930999999997</v>
          </cell>
          <cell r="L41">
            <v>71665.444000000003</v>
          </cell>
          <cell r="M41">
            <v>4020.35</v>
          </cell>
          <cell r="N41">
            <v>11552.904</v>
          </cell>
          <cell r="O41">
            <v>1083.575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170604.20400000003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170604.20400000003</v>
          </cell>
          <cell r="AJ41">
            <v>-32882.541000000027</v>
          </cell>
          <cell r="AK41">
            <v>-55287.766999999993</v>
          </cell>
          <cell r="AL41">
            <v>-82433.896000000008</v>
          </cell>
          <cell r="AM41"/>
          <cell r="AN41">
            <v>-170604.20400000003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82281.930999999997</v>
          </cell>
          <cell r="L43">
            <v>71665.444000000003</v>
          </cell>
          <cell r="M43">
            <v>4020.35</v>
          </cell>
          <cell r="N43">
            <v>11552.904</v>
          </cell>
          <cell r="O43">
            <v>1083.575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170604.20400000003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170604.20400000003</v>
          </cell>
          <cell r="AJ43">
            <v>-32882.541000000027</v>
          </cell>
          <cell r="AK43">
            <v>-55287.766999999993</v>
          </cell>
          <cell r="AL43">
            <v>-82433.896000000008</v>
          </cell>
          <cell r="AM43"/>
          <cell r="AN43">
            <v>-170604.20400000003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40978</v>
          </cell>
          <cell r="H45">
            <v>31816</v>
          </cell>
          <cell r="I45">
            <v>24852</v>
          </cell>
          <cell r="J45">
            <v>12401</v>
          </cell>
          <cell r="K45">
            <v>21643</v>
          </cell>
          <cell r="L45">
            <v>23104</v>
          </cell>
          <cell r="M45">
            <v>14128</v>
          </cell>
          <cell r="N45">
            <v>20677</v>
          </cell>
          <cell r="O45">
            <v>13470</v>
          </cell>
          <cell r="P45">
            <v>18723</v>
          </cell>
          <cell r="Q45">
            <v>15572</v>
          </cell>
          <cell r="R45">
            <v>7183</v>
          </cell>
          <cell r="S45">
            <v>27772</v>
          </cell>
          <cell r="T45">
            <v>6208.5</v>
          </cell>
          <cell r="U45">
            <v>8978</v>
          </cell>
          <cell r="V45">
            <v>7133</v>
          </cell>
          <cell r="W45">
            <v>3848</v>
          </cell>
          <cell r="X45">
            <v>0</v>
          </cell>
          <cell r="Y45">
            <v>0</v>
          </cell>
          <cell r="Z45">
            <v>298486.5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298486.5</v>
          </cell>
          <cell r="AJ45">
            <v>10446</v>
          </cell>
          <cell r="AK45">
            <v>6752</v>
          </cell>
          <cell r="AL45">
            <v>18080</v>
          </cell>
          <cell r="AM45"/>
          <cell r="AN45">
            <v>35278</v>
          </cell>
          <cell r="AO45">
            <v>8665.0679999999993</v>
          </cell>
          <cell r="AP45">
            <v>0</v>
          </cell>
          <cell r="AQ45"/>
          <cell r="AR45"/>
          <cell r="AS45">
            <v>8665.0679999999993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40137135.619000003</v>
          </cell>
          <cell r="G46">
            <v>4078374.9139999999</v>
          </cell>
          <cell r="H46">
            <v>3319812.1</v>
          </cell>
          <cell r="I46">
            <v>2542436.966</v>
          </cell>
          <cell r="J46">
            <v>1206243.936</v>
          </cell>
          <cell r="K46">
            <v>2301596.642</v>
          </cell>
          <cell r="L46">
            <v>2353710.9</v>
          </cell>
          <cell r="M46">
            <v>1362629.5</v>
          </cell>
          <cell r="N46">
            <v>2137773.7000000002</v>
          </cell>
          <cell r="O46">
            <v>1230127.28</v>
          </cell>
          <cell r="P46">
            <v>1905079</v>
          </cell>
          <cell r="Q46">
            <v>1576595.8419999999</v>
          </cell>
          <cell r="R46">
            <v>760208.34199999995</v>
          </cell>
          <cell r="S46">
            <v>2853217.2</v>
          </cell>
          <cell r="T46">
            <v>692270.4</v>
          </cell>
          <cell r="U46">
            <v>1017831.5499999999</v>
          </cell>
          <cell r="V46">
            <v>668371.19299999997</v>
          </cell>
          <cell r="W46">
            <v>498972.5</v>
          </cell>
          <cell r="X46">
            <v>0</v>
          </cell>
          <cell r="Y46">
            <v>0</v>
          </cell>
          <cell r="Z46">
            <v>30505251.965000004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/>
          <cell r="AF46"/>
          <cell r="AG46"/>
          <cell r="AH46">
            <v>90840</v>
          </cell>
          <cell r="AI46">
            <v>30596091.965000004</v>
          </cell>
          <cell r="AJ46">
            <v>350180</v>
          </cell>
          <cell r="AK46">
            <v>70736</v>
          </cell>
          <cell r="AL46">
            <v>286496</v>
          </cell>
          <cell r="AM46"/>
          <cell r="AN46">
            <v>707412</v>
          </cell>
          <cell r="AO46">
            <v>8759917.7860000003</v>
          </cell>
          <cell r="AP46">
            <v>0</v>
          </cell>
          <cell r="AQ46"/>
          <cell r="AR46"/>
          <cell r="AS46">
            <v>8759917.7860000003</v>
          </cell>
          <cell r="AT46">
            <v>5250</v>
          </cell>
          <cell r="AU46">
            <v>5450</v>
          </cell>
          <cell r="AV46">
            <v>61311.468000000001</v>
          </cell>
          <cell r="AW46"/>
          <cell r="AX46"/>
          <cell r="AY46"/>
          <cell r="AZ46"/>
          <cell r="BA46">
            <v>72011.467999999993</v>
          </cell>
          <cell r="BB46">
            <v>0</v>
          </cell>
          <cell r="BC46">
            <v>1702.4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1702.4</v>
          </cell>
        </row>
        <row r="47">
          <cell r="F47">
            <v>35292730.512010001</v>
          </cell>
          <cell r="G47">
            <v>3608499.3659999999</v>
          </cell>
          <cell r="H47">
            <v>2870105.5130000003</v>
          </cell>
          <cell r="I47">
            <v>2248888.1139999996</v>
          </cell>
          <cell r="J47">
            <v>1057563.858</v>
          </cell>
          <cell r="K47">
            <v>1940980.548</v>
          </cell>
          <cell r="L47">
            <v>1890495.757</v>
          </cell>
          <cell r="M47">
            <v>1223102.071</v>
          </cell>
          <cell r="N47">
            <v>1834268.4070000001</v>
          </cell>
          <cell r="O47">
            <v>1066893.449</v>
          </cell>
          <cell r="P47">
            <v>1536561.0890000002</v>
          </cell>
          <cell r="Q47">
            <v>1340834.9079999998</v>
          </cell>
          <cell r="R47">
            <v>702967.44899999991</v>
          </cell>
          <cell r="S47">
            <v>2425196.23</v>
          </cell>
          <cell r="T47">
            <v>535259.68599999999</v>
          </cell>
          <cell r="U47">
            <v>694528.19099999988</v>
          </cell>
          <cell r="V47">
            <v>619286.70900000003</v>
          </cell>
          <cell r="W47">
            <v>408666.685</v>
          </cell>
          <cell r="X47">
            <v>0</v>
          </cell>
          <cell r="Y47">
            <v>0</v>
          </cell>
          <cell r="Z47">
            <v>26004098.030000001</v>
          </cell>
          <cell r="AA47">
            <v>5820.616</v>
          </cell>
          <cell r="AB47">
            <v>0</v>
          </cell>
          <cell r="AC47">
            <v>3245.587</v>
          </cell>
          <cell r="AD47">
            <v>6116.2209999999995</v>
          </cell>
          <cell r="AE47"/>
          <cell r="AF47"/>
          <cell r="AG47"/>
          <cell r="AH47">
            <v>15182.423999999999</v>
          </cell>
          <cell r="AI47">
            <v>26019280.454</v>
          </cell>
          <cell r="AJ47">
            <v>304511.54901000002</v>
          </cell>
          <cell r="AK47">
            <v>70264.288</v>
          </cell>
          <cell r="AL47">
            <v>302697.50099999987</v>
          </cell>
          <cell r="AM47"/>
          <cell r="AN47">
            <v>677473.33800999983</v>
          </cell>
          <cell r="AO47">
            <v>8596622.2280000001</v>
          </cell>
          <cell r="AP47">
            <v>0</v>
          </cell>
          <cell r="AQ47"/>
          <cell r="AR47"/>
          <cell r="AS47">
            <v>8596622.2280000001</v>
          </cell>
          <cell r="AT47">
            <v>1438.9190000000001</v>
          </cell>
          <cell r="AU47">
            <v>-3923.0460000000003</v>
          </cell>
          <cell r="AV47">
            <v>0</v>
          </cell>
          <cell r="AW47"/>
          <cell r="AX47"/>
          <cell r="AY47"/>
          <cell r="AZ47"/>
          <cell r="BA47">
            <v>-2484.1270000000004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1838.6189999999999</v>
          </cell>
          <cell r="BH47"/>
          <cell r="BI47"/>
          <cell r="BJ47">
            <v>1838.6189999999999</v>
          </cell>
        </row>
        <row r="48">
          <cell r="F48">
            <v>4844405.1069900021</v>
          </cell>
          <cell r="G48">
            <v>469875.54799999995</v>
          </cell>
          <cell r="H48">
            <v>449706.58699999982</v>
          </cell>
          <cell r="I48">
            <v>293548.85200000042</v>
          </cell>
          <cell r="J48">
            <v>148680.07799999998</v>
          </cell>
          <cell r="K48">
            <v>360616.09400000004</v>
          </cell>
          <cell r="L48">
            <v>463215.14299999992</v>
          </cell>
          <cell r="M48">
            <v>139527.429</v>
          </cell>
          <cell r="N48">
            <v>303505.29300000006</v>
          </cell>
          <cell r="O48">
            <v>163233.83100000001</v>
          </cell>
          <cell r="P48">
            <v>368517.91099999985</v>
          </cell>
          <cell r="Q48">
            <v>235760.93400000012</v>
          </cell>
          <cell r="R48">
            <v>57240.89300000004</v>
          </cell>
          <cell r="S48">
            <v>428020.9700000002</v>
          </cell>
          <cell r="T48">
            <v>157010.71400000004</v>
          </cell>
          <cell r="U48">
            <v>323303.35900000005</v>
          </cell>
          <cell r="V48">
            <v>49084.483999999939</v>
          </cell>
          <cell r="W48">
            <v>90305.815000000002</v>
          </cell>
          <cell r="X48">
            <v>0</v>
          </cell>
          <cell r="Y48">
            <v>0</v>
          </cell>
          <cell r="Z48">
            <v>4501153.9350000024</v>
          </cell>
          <cell r="AA48">
            <v>44179.383999999998</v>
          </cell>
          <cell r="AB48">
            <v>0</v>
          </cell>
          <cell r="AC48">
            <v>9254.4130000000005</v>
          </cell>
          <cell r="AD48">
            <v>22223.779000000002</v>
          </cell>
          <cell r="AE48"/>
          <cell r="AF48"/>
          <cell r="AG48"/>
          <cell r="AH48">
            <v>75657.576000000001</v>
          </cell>
          <cell r="AI48">
            <v>4576811.5110000037</v>
          </cell>
          <cell r="AJ48">
            <v>45668.450989999983</v>
          </cell>
          <cell r="AK48">
            <v>471.71199999999953</v>
          </cell>
          <cell r="AL48">
            <v>-16201.500999999873</v>
          </cell>
          <cell r="AM48"/>
          <cell r="AN48">
            <v>29938.661990000168</v>
          </cell>
          <cell r="AO48">
            <v>163295.55800000019</v>
          </cell>
          <cell r="AP48">
            <v>0</v>
          </cell>
          <cell r="AQ48"/>
          <cell r="AR48"/>
          <cell r="AS48">
            <v>163295.55800000019</v>
          </cell>
          <cell r="AT48">
            <v>3811.0810000000001</v>
          </cell>
          <cell r="AU48">
            <v>9373.0460000000003</v>
          </cell>
          <cell r="AV48">
            <v>61311.468000000001</v>
          </cell>
          <cell r="AW48"/>
          <cell r="AX48"/>
          <cell r="AY48"/>
          <cell r="AZ48"/>
          <cell r="BA48">
            <v>74495.595000000001</v>
          </cell>
          <cell r="BB48">
            <v>0</v>
          </cell>
          <cell r="BC48">
            <v>1702.4</v>
          </cell>
          <cell r="BD48">
            <v>0</v>
          </cell>
          <cell r="BE48">
            <v>0</v>
          </cell>
          <cell r="BF48">
            <v>0</v>
          </cell>
          <cell r="BG48">
            <v>-1838.6189999999999</v>
          </cell>
          <cell r="BH48"/>
          <cell r="BI48"/>
          <cell r="BJ48">
            <v>-136.21899999999982</v>
          </cell>
        </row>
        <row r="49">
          <cell r="F49">
            <v>3967710.9920015261</v>
          </cell>
          <cell r="G49">
            <v>231321.64238660841</v>
          </cell>
          <cell r="H49">
            <v>199620.92870916077</v>
          </cell>
          <cell r="I49">
            <v>149754.41194950842</v>
          </cell>
          <cell r="J49">
            <v>81823.761268903589</v>
          </cell>
          <cell r="K49">
            <v>137094.94089564943</v>
          </cell>
          <cell r="L49">
            <v>143377.15206062282</v>
          </cell>
          <cell r="M49">
            <v>91572.600021793347</v>
          </cell>
          <cell r="N49">
            <v>134663.73332983165</v>
          </cell>
          <cell r="O49">
            <v>80404.481926557826</v>
          </cell>
          <cell r="P49">
            <v>126005.35398079857</v>
          </cell>
          <cell r="Q49">
            <v>103255.47789307749</v>
          </cell>
          <cell r="R49">
            <v>58032.20639703155</v>
          </cell>
          <cell r="S49">
            <v>151979.90522303368</v>
          </cell>
          <cell r="T49">
            <v>37899.328760973127</v>
          </cell>
          <cell r="U49">
            <v>48730.291616035734</v>
          </cell>
          <cell r="V49">
            <v>64527.251889124251</v>
          </cell>
          <cell r="W49">
            <v>36382.606011801407</v>
          </cell>
          <cell r="X49">
            <v>0</v>
          </cell>
          <cell r="Y49">
            <v>0</v>
          </cell>
          <cell r="Z49">
            <v>1876446.0743205124</v>
          </cell>
          <cell r="AA49">
            <v>0</v>
          </cell>
          <cell r="AB49">
            <v>535.9190000000001</v>
          </cell>
          <cell r="AC49">
            <v>0</v>
          </cell>
          <cell r="AD49">
            <v>0</v>
          </cell>
          <cell r="AE49"/>
          <cell r="AF49"/>
          <cell r="AG49"/>
          <cell r="AH49">
            <v>535.9190000000001</v>
          </cell>
          <cell r="AI49">
            <v>1876981.9933205124</v>
          </cell>
          <cell r="AJ49">
            <v>15926.976393371133</v>
          </cell>
          <cell r="AK49">
            <v>10484.919457642505</v>
          </cell>
          <cell r="AL49">
            <v>18263.374829999997</v>
          </cell>
          <cell r="AM49"/>
          <cell r="AN49">
            <v>44675.27068101363</v>
          </cell>
          <cell r="AO49">
            <v>131640.212</v>
          </cell>
          <cell r="AP49">
            <v>855.83600000000001</v>
          </cell>
          <cell r="AQ49"/>
          <cell r="AR49"/>
          <cell r="AS49">
            <v>132496.04800000001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5374.4539999999997</v>
          </cell>
          <cell r="BD49">
            <v>0</v>
          </cell>
          <cell r="BE49">
            <v>1906569.074</v>
          </cell>
          <cell r="BF49">
            <v>1614.152</v>
          </cell>
          <cell r="BG49">
            <v>0</v>
          </cell>
          <cell r="BH49"/>
          <cell r="BI49"/>
          <cell r="BJ49">
            <v>1913557.68</v>
          </cell>
        </row>
        <row r="50">
          <cell r="F50">
            <v>876694.11498847604</v>
          </cell>
          <cell r="G50">
            <v>238553.90561339154</v>
          </cell>
          <cell r="H50">
            <v>250085.65829083906</v>
          </cell>
          <cell r="I50">
            <v>143794.440050492</v>
          </cell>
          <cell r="J50">
            <v>66856.316731096391</v>
          </cell>
          <cell r="K50">
            <v>223521.15310435061</v>
          </cell>
          <cell r="L50">
            <v>319837.99093937711</v>
          </cell>
          <cell r="M50">
            <v>47954.828978206657</v>
          </cell>
          <cell r="N50">
            <v>168841.55967016841</v>
          </cell>
          <cell r="O50">
            <v>82829.349073442179</v>
          </cell>
          <cell r="P50">
            <v>242512.55701920128</v>
          </cell>
          <cell r="Q50">
            <v>132505.45610692265</v>
          </cell>
          <cell r="R50">
            <v>-791.31339703151025</v>
          </cell>
          <cell r="S50">
            <v>276041.06477696652</v>
          </cell>
          <cell r="T50">
            <v>119111.38523902692</v>
          </cell>
          <cell r="U50">
            <v>274573.06738396431</v>
          </cell>
          <cell r="V50">
            <v>-15442.767889124312</v>
          </cell>
          <cell r="W50">
            <v>53923.208988198596</v>
          </cell>
          <cell r="X50">
            <v>0</v>
          </cell>
          <cell r="Y50">
            <v>0</v>
          </cell>
          <cell r="Z50">
            <v>2624707.86067949</v>
          </cell>
          <cell r="AA50">
            <v>44179.383999999998</v>
          </cell>
          <cell r="AB50">
            <v>-535.9190000000001</v>
          </cell>
          <cell r="AC50">
            <v>9254.4130000000005</v>
          </cell>
          <cell r="AD50">
            <v>22223.779000000002</v>
          </cell>
          <cell r="AE50"/>
          <cell r="AF50"/>
          <cell r="AG50"/>
          <cell r="AH50">
            <v>75121.657000000007</v>
          </cell>
          <cell r="AI50">
            <v>2699829.5176794911</v>
          </cell>
          <cell r="AJ50">
            <v>29741.47459662885</v>
          </cell>
          <cell r="AK50">
            <v>-10013.207457642506</v>
          </cell>
          <cell r="AL50">
            <v>-34464.875829999874</v>
          </cell>
          <cell r="AM50"/>
          <cell r="AN50">
            <v>-14736.608691013462</v>
          </cell>
          <cell r="AO50">
            <v>31655.346000000194</v>
          </cell>
          <cell r="AP50">
            <v>-855.83600000000001</v>
          </cell>
          <cell r="AQ50"/>
          <cell r="AR50"/>
          <cell r="AS50">
            <v>30799.510000000184</v>
          </cell>
          <cell r="AT50">
            <v>3811.0810000000001</v>
          </cell>
          <cell r="AU50">
            <v>9373.0460000000003</v>
          </cell>
          <cell r="AV50">
            <v>61311.468000000001</v>
          </cell>
          <cell r="AW50"/>
          <cell r="AX50"/>
          <cell r="AY50"/>
          <cell r="AZ50"/>
          <cell r="BA50">
            <v>74495.595000000001</v>
          </cell>
          <cell r="BB50">
            <v>0</v>
          </cell>
          <cell r="BC50">
            <v>-3672.0539999999996</v>
          </cell>
          <cell r="BD50">
            <v>0</v>
          </cell>
          <cell r="BE50">
            <v>-1906569.074</v>
          </cell>
          <cell r="BF50">
            <v>-1614.152</v>
          </cell>
          <cell r="BG50">
            <v>-1838.6189999999999</v>
          </cell>
          <cell r="BH50"/>
          <cell r="BI50"/>
          <cell r="BJ50">
            <v>-1913693.899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8">
        <row r="6">
          <cell r="F6" t="str">
            <v>합계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7">
          <cell r="Z7">
            <v>3378228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2023년_항목별손익실적_한성포함"/>
    </sheetNames>
    <sheetDataSet>
      <sheetData sheetId="0"/>
      <sheetData sheetId="1"/>
      <sheetData sheetId="2"/>
      <sheetData sheetId="3"/>
      <sheetData sheetId="4">
        <row r="6">
          <cell r="G6" t="str">
            <v>안양</v>
          </cell>
        </row>
      </sheetData>
      <sheetData sheetId="5">
        <row r="6">
          <cell r="F6" t="str">
            <v>합계</v>
          </cell>
        </row>
      </sheetData>
      <sheetData sheetId="6"/>
      <sheetData sheetId="7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 t="str">
            <v>포항</v>
          </cell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경포임대</v>
          </cell>
          <cell r="AW6" t="str">
            <v>기타임대</v>
          </cell>
          <cell r="AX6" t="str">
            <v>한스타워</v>
          </cell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44440</v>
          </cell>
          <cell r="H7">
            <v>42674</v>
          </cell>
          <cell r="I7">
            <v>25552</v>
          </cell>
          <cell r="J7">
            <v>21686</v>
          </cell>
          <cell r="K7">
            <v>26724</v>
          </cell>
          <cell r="L7">
            <v>24087</v>
          </cell>
          <cell r="M7">
            <v>15829</v>
          </cell>
          <cell r="N7">
            <v>23173</v>
          </cell>
          <cell r="O7">
            <v>18102</v>
          </cell>
          <cell r="P7">
            <v>22044</v>
          </cell>
          <cell r="Q7">
            <v>21704.5</v>
          </cell>
          <cell r="R7">
            <v>11369</v>
          </cell>
          <cell r="S7">
            <v>30829</v>
          </cell>
          <cell r="T7">
            <v>7021.5</v>
          </cell>
          <cell r="U7">
            <v>8996.5</v>
          </cell>
          <cell r="V7">
            <v>11945</v>
          </cell>
          <cell r="W7">
            <v>8114</v>
          </cell>
          <cell r="X7"/>
          <cell r="Y7"/>
          <cell r="Z7">
            <v>364290.5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/>
          <cell r="AG7"/>
          <cell r="AH7">
            <v>0</v>
          </cell>
          <cell r="AI7">
            <v>364290.5</v>
          </cell>
          <cell r="AJ7">
            <v>16092</v>
          </cell>
          <cell r="AK7">
            <v>40368</v>
          </cell>
          <cell r="AL7">
            <v>0</v>
          </cell>
          <cell r="AM7"/>
          <cell r="AN7">
            <v>56460</v>
          </cell>
          <cell r="AO7">
            <v>9838.5779999999995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47038179.365999997</v>
          </cell>
          <cell r="G8">
            <v>4017108.6570000001</v>
          </cell>
          <cell r="H8">
            <v>3907191.8810000001</v>
          </cell>
          <cell r="I8">
            <v>2311842.6750000003</v>
          </cell>
          <cell r="J8">
            <v>1891971.078</v>
          </cell>
          <cell r="K8">
            <v>2712127.6</v>
          </cell>
          <cell r="L8">
            <v>2411661.7000000002</v>
          </cell>
          <cell r="M8">
            <v>1540555.9</v>
          </cell>
          <cell r="N8">
            <v>2297117.7000000002</v>
          </cell>
          <cell r="O8">
            <v>1686485.4</v>
          </cell>
          <cell r="P8">
            <v>2043243.5</v>
          </cell>
          <cell r="Q8">
            <v>2074421</v>
          </cell>
          <cell r="R8">
            <v>1063213</v>
          </cell>
          <cell r="S8">
            <v>2876187.15</v>
          </cell>
          <cell r="T8">
            <v>709569.91799999995</v>
          </cell>
          <cell r="U8">
            <v>873914.34900000005</v>
          </cell>
          <cell r="V8">
            <v>1080142.209</v>
          </cell>
          <cell r="W8">
            <v>969006.93599999999</v>
          </cell>
          <cell r="X8"/>
          <cell r="Y8"/>
          <cell r="Z8">
            <v>34465760.652999997</v>
          </cell>
          <cell r="AA8">
            <v>50000</v>
          </cell>
          <cell r="AB8">
            <v>0</v>
          </cell>
          <cell r="AC8">
            <v>0</v>
          </cell>
          <cell r="AD8">
            <v>28340</v>
          </cell>
          <cell r="AE8">
            <v>0</v>
          </cell>
          <cell r="AF8"/>
          <cell r="AG8"/>
          <cell r="AH8">
            <v>78340</v>
          </cell>
          <cell r="AI8">
            <v>34544100.652999997</v>
          </cell>
          <cell r="AJ8">
            <v>541572.1</v>
          </cell>
          <cell r="AK8">
            <v>473216</v>
          </cell>
          <cell r="AL8">
            <v>0</v>
          </cell>
          <cell r="AM8"/>
          <cell r="AN8">
            <v>1014788.1</v>
          </cell>
          <cell r="AO8">
            <v>11359969.265000001</v>
          </cell>
          <cell r="AP8">
            <v>0</v>
          </cell>
          <cell r="AQ8"/>
          <cell r="AR8"/>
          <cell r="AS8">
            <v>11359969.265000001</v>
          </cell>
          <cell r="AT8">
            <v>5000</v>
          </cell>
          <cell r="AU8">
            <v>31898</v>
          </cell>
          <cell r="AV8">
            <v>0</v>
          </cell>
          <cell r="AW8">
            <v>80624.448000000004</v>
          </cell>
          <cell r="AX8">
            <v>0</v>
          </cell>
          <cell r="AY8"/>
          <cell r="AZ8"/>
          <cell r="BA8">
            <v>117522.448</v>
          </cell>
          <cell r="BB8">
            <v>0</v>
          </cell>
          <cell r="BC8">
            <v>1798.9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1798.9</v>
          </cell>
          <cell r="BK8"/>
          <cell r="BL8"/>
          <cell r="BM8"/>
          <cell r="BN8"/>
          <cell r="BO8"/>
        </row>
        <row r="9">
          <cell r="F9"/>
          <cell r="G9">
            <v>90393.984180918094</v>
          </cell>
          <cell r="H9">
            <v>91559.072995266441</v>
          </cell>
          <cell r="I9">
            <v>90475.99698653727</v>
          </cell>
          <cell r="J9">
            <v>87243.893664115094</v>
          </cell>
          <cell r="K9">
            <v>101486.58883400689</v>
          </cell>
          <cell r="L9">
            <v>100122.95844231329</v>
          </cell>
          <cell r="M9">
            <v>97324.903657843199</v>
          </cell>
          <cell r="N9">
            <v>99129.05968152592</v>
          </cell>
          <cell r="O9">
            <v>93165.694398409018</v>
          </cell>
          <cell r="P9">
            <v>92689.325893667221</v>
          </cell>
          <cell r="Q9">
            <v>95575.617959409341</v>
          </cell>
          <cell r="R9">
            <v>93518.6032192805</v>
          </cell>
          <cell r="S9">
            <v>93294.857115053994</v>
          </cell>
          <cell r="T9">
            <v>101056.74257637256</v>
          </cell>
          <cell r="U9">
            <v>97139.370755293727</v>
          </cell>
          <cell r="V9">
            <v>90426.304646295524</v>
          </cell>
          <cell r="W9">
            <v>119424.07394626571</v>
          </cell>
          <cell r="X9"/>
          <cell r="Y9"/>
          <cell r="Z9">
            <v>94610.649064414247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/>
          <cell r="AG9"/>
          <cell r="AH9">
            <v>0</v>
          </cell>
          <cell r="AI9">
            <v>94825.697219663969</v>
          </cell>
          <cell r="AJ9">
            <v>33654.741486452891</v>
          </cell>
          <cell r="AK9">
            <v>11722.552516845026</v>
          </cell>
          <cell r="AL9">
            <v>0</v>
          </cell>
          <cell r="AM9"/>
          <cell r="AN9"/>
          <cell r="AO9">
            <v>1154635.2801187327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39855133.741869994</v>
          </cell>
          <cell r="G10">
            <v>3550196.76076</v>
          </cell>
          <cell r="H10">
            <v>3394227.9726300002</v>
          </cell>
          <cell r="I10">
            <v>2051979.22322</v>
          </cell>
          <cell r="J10">
            <v>1547666.7873</v>
          </cell>
          <cell r="K10">
            <v>2086557.6408800001</v>
          </cell>
          <cell r="L10">
            <v>1797904.4231500002</v>
          </cell>
          <cell r="M10">
            <v>1251793.85565</v>
          </cell>
          <cell r="N10">
            <v>1847578.6603499998</v>
          </cell>
          <cell r="O10">
            <v>1322657.43319</v>
          </cell>
          <cell r="P10">
            <v>1553591.90035</v>
          </cell>
          <cell r="Q10">
            <v>1585955.5061300001</v>
          </cell>
          <cell r="R10">
            <v>904084.26137999992</v>
          </cell>
          <cell r="S10">
            <v>2281278.1703900001</v>
          </cell>
          <cell r="T10">
            <v>524196.78413999995</v>
          </cell>
          <cell r="U10">
            <v>633218.68190999993</v>
          </cell>
          <cell r="V10">
            <v>885899.30005999992</v>
          </cell>
          <cell r="W10">
            <v>718422.32078999991</v>
          </cell>
          <cell r="X10"/>
          <cell r="Y10"/>
          <cell r="Z10">
            <v>27937209.682279993</v>
          </cell>
          <cell r="AA10">
            <v>329.089</v>
          </cell>
          <cell r="AB10">
            <v>0</v>
          </cell>
          <cell r="AC10">
            <v>0</v>
          </cell>
          <cell r="AD10">
            <v>6058.7659999999996</v>
          </cell>
          <cell r="AE10">
            <v>0</v>
          </cell>
          <cell r="AF10"/>
          <cell r="AG10"/>
          <cell r="AH10">
            <v>6387.8549999999996</v>
          </cell>
          <cell r="AI10">
            <v>27943597.537279993</v>
          </cell>
          <cell r="AJ10">
            <v>443020.51453000004</v>
          </cell>
          <cell r="AK10">
            <v>341326.51605999994</v>
          </cell>
          <cell r="AL10">
            <v>0</v>
          </cell>
          <cell r="AM10"/>
          <cell r="AN10">
            <v>784347.03058999998</v>
          </cell>
          <cell r="AO10">
            <v>11153675.609999999</v>
          </cell>
          <cell r="AP10">
            <v>0</v>
          </cell>
          <cell r="AQ10"/>
          <cell r="AR10"/>
          <cell r="AS10">
            <v>11153675.609999999</v>
          </cell>
          <cell r="AT10">
            <v>98.394999999999996</v>
          </cell>
          <cell r="AU10">
            <v>164.834</v>
          </cell>
          <cell r="AV10">
            <v>0</v>
          </cell>
          <cell r="AW10">
            <v>0</v>
          </cell>
          <cell r="AX10">
            <v>0</v>
          </cell>
          <cell r="AY10"/>
          <cell r="AZ10"/>
          <cell r="BA10">
            <v>263.22899999999998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-26749.665000000001</v>
          </cell>
          <cell r="BH10"/>
          <cell r="BI10"/>
          <cell r="BJ10">
            <v>-26749.665000000001</v>
          </cell>
          <cell r="BK10"/>
          <cell r="BL10"/>
          <cell r="BM10"/>
          <cell r="BN10"/>
          <cell r="BO10"/>
        </row>
        <row r="11">
          <cell r="F11"/>
          <cell r="G11">
            <v>79887.415858685868</v>
          </cell>
          <cell r="H11">
            <v>79538.5474206777</v>
          </cell>
          <cell r="I11">
            <v>80306.0121798685</v>
          </cell>
          <cell r="J11">
            <v>71367.09339205017</v>
          </cell>
          <cell r="K11">
            <v>78078.043738961249</v>
          </cell>
          <cell r="L11">
            <v>74642.106661269572</v>
          </cell>
          <cell r="M11">
            <v>79082.308146440089</v>
          </cell>
          <cell r="N11">
            <v>79729.800213610666</v>
          </cell>
          <cell r="O11">
            <v>73066.922615733056</v>
          </cell>
          <cell r="P11">
            <v>70476.859932407926</v>
          </cell>
          <cell r="Q11">
            <v>73070.354356469863</v>
          </cell>
          <cell r="R11">
            <v>79521.880673761989</v>
          </cell>
          <cell r="S11">
            <v>73997.799811541088</v>
          </cell>
          <cell r="T11">
            <v>74655.954445631272</v>
          </cell>
          <cell r="U11">
            <v>70385.003269049063</v>
          </cell>
          <cell r="V11">
            <v>74164.863964838849</v>
          </cell>
          <cell r="W11">
            <v>88541.079712841994</v>
          </cell>
          <cell r="X11"/>
          <cell r="Y11"/>
          <cell r="Z11">
            <v>76689.372032155632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/>
          <cell r="AG11"/>
          <cell r="AH11">
            <v>0</v>
          </cell>
          <cell r="AI11">
            <v>76706.907090028413</v>
          </cell>
          <cell r="AJ11">
            <v>27530.481887273181</v>
          </cell>
          <cell r="AK11">
            <v>8455.3734656163269</v>
          </cell>
          <cell r="AL11">
            <v>0</v>
          </cell>
          <cell r="AM11"/>
          <cell r="AN11"/>
          <cell r="AO11">
            <v>1133667.4476738407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7183045.6241300032</v>
          </cell>
          <cell r="G12">
            <v>466911.89624000015</v>
          </cell>
          <cell r="H12">
            <v>512963.90836999984</v>
          </cell>
          <cell r="I12">
            <v>259863.45178000024</v>
          </cell>
          <cell r="J12">
            <v>344304.29070000001</v>
          </cell>
          <cell r="K12">
            <v>625569.95912000001</v>
          </cell>
          <cell r="L12">
            <v>613757.27685000002</v>
          </cell>
          <cell r="M12">
            <v>288762.04434999987</v>
          </cell>
          <cell r="N12">
            <v>449539.0396500004</v>
          </cell>
          <cell r="O12">
            <v>363827.9668099999</v>
          </cell>
          <cell r="P12">
            <v>489651.59964999999</v>
          </cell>
          <cell r="Q12">
            <v>488465.49386999989</v>
          </cell>
          <cell r="R12">
            <v>159128.73862000008</v>
          </cell>
          <cell r="S12">
            <v>594908.97960999981</v>
          </cell>
          <cell r="T12">
            <v>185373.13386</v>
          </cell>
          <cell r="U12">
            <v>240695.66709000012</v>
          </cell>
          <cell r="V12">
            <v>194242.90894000011</v>
          </cell>
          <cell r="W12">
            <v>250584.61521000008</v>
          </cell>
          <cell r="X12"/>
          <cell r="Y12"/>
          <cell r="Z12">
            <v>6528550.9707200024</v>
          </cell>
          <cell r="AA12">
            <v>49670.911</v>
          </cell>
          <cell r="AB12">
            <v>0</v>
          </cell>
          <cell r="AC12">
            <v>0</v>
          </cell>
          <cell r="AD12">
            <v>22281.234</v>
          </cell>
          <cell r="AE12">
            <v>0</v>
          </cell>
          <cell r="AF12"/>
          <cell r="AG12"/>
          <cell r="AH12">
            <v>71952.145000000004</v>
          </cell>
          <cell r="AI12">
            <v>6600503.1157200038</v>
          </cell>
          <cell r="AJ12">
            <v>98551.585469999933</v>
          </cell>
          <cell r="AK12">
            <v>131889.48394000006</v>
          </cell>
          <cell r="AL12">
            <v>0</v>
          </cell>
          <cell r="AM12"/>
          <cell r="AN12">
            <v>230441.06941</v>
          </cell>
          <cell r="AO12">
            <v>206293.65500000119</v>
          </cell>
          <cell r="AP12">
            <v>0</v>
          </cell>
          <cell r="AQ12"/>
          <cell r="AR12"/>
          <cell r="AS12">
            <v>206293.65500000119</v>
          </cell>
          <cell r="AT12">
            <v>4901.6049999999996</v>
          </cell>
          <cell r="AU12">
            <v>31733.166000000001</v>
          </cell>
          <cell r="AV12">
            <v>0</v>
          </cell>
          <cell r="AW12">
            <v>80624.448000000004</v>
          </cell>
          <cell r="AX12">
            <v>0</v>
          </cell>
          <cell r="AY12"/>
          <cell r="AZ12"/>
          <cell r="BA12">
            <v>117259.21900000001</v>
          </cell>
          <cell r="BB12">
            <v>0</v>
          </cell>
          <cell r="BC12">
            <v>1798.9</v>
          </cell>
          <cell r="BD12">
            <v>0</v>
          </cell>
          <cell r="BE12">
            <v>0</v>
          </cell>
          <cell r="BF12">
            <v>0</v>
          </cell>
          <cell r="BG12">
            <v>26749.665000000001</v>
          </cell>
          <cell r="BH12"/>
          <cell r="BI12"/>
          <cell r="BJ12">
            <v>28548.565000000002</v>
          </cell>
          <cell r="BK12"/>
          <cell r="BL12"/>
          <cell r="BM12"/>
          <cell r="BN12"/>
          <cell r="BO12"/>
        </row>
        <row r="13">
          <cell r="F13">
            <v>812398.08899999992</v>
          </cell>
          <cell r="G13">
            <v>63435.773000000001</v>
          </cell>
          <cell r="H13">
            <v>77320.513000000006</v>
          </cell>
          <cell r="I13">
            <v>48988.506999999998</v>
          </cell>
          <cell r="J13">
            <v>33644.457999999999</v>
          </cell>
          <cell r="K13">
            <v>52843.528999999995</v>
          </cell>
          <cell r="L13">
            <v>43315.718000000001</v>
          </cell>
          <cell r="M13">
            <v>32598.260999999999</v>
          </cell>
          <cell r="N13">
            <v>42285.32</v>
          </cell>
          <cell r="O13">
            <v>41193.591</v>
          </cell>
          <cell r="P13">
            <v>31679.781000000003</v>
          </cell>
          <cell r="Q13">
            <v>30783.992999999999</v>
          </cell>
          <cell r="R13">
            <v>26101.137999999999</v>
          </cell>
          <cell r="S13">
            <v>40215.747000000003</v>
          </cell>
          <cell r="T13">
            <v>9748.4720000000016</v>
          </cell>
          <cell r="U13">
            <v>11001.795</v>
          </cell>
          <cell r="V13">
            <v>30215.881000000001</v>
          </cell>
          <cell r="W13">
            <v>7814.7929999999997</v>
          </cell>
          <cell r="X13"/>
          <cell r="Y13"/>
          <cell r="Z13">
            <v>623187.2699999999</v>
          </cell>
          <cell r="AA13">
            <v>0</v>
          </cell>
          <cell r="AB13">
            <v>249.298</v>
          </cell>
          <cell r="AC13">
            <v>80.150000000000006</v>
          </cell>
          <cell r="AD13">
            <v>0</v>
          </cell>
          <cell r="AE13">
            <v>0</v>
          </cell>
          <cell r="AF13"/>
          <cell r="AG13"/>
          <cell r="AH13">
            <v>329.44799999999998</v>
          </cell>
          <cell r="AI13">
            <v>623516.71799999988</v>
          </cell>
          <cell r="AJ13">
            <v>8319.9189999999999</v>
          </cell>
          <cell r="AK13">
            <v>0</v>
          </cell>
          <cell r="AL13">
            <v>11717.234999999999</v>
          </cell>
          <cell r="AM13"/>
          <cell r="AN13">
            <v>20037.153999999995</v>
          </cell>
          <cell r="AO13">
            <v>148838.03399999999</v>
          </cell>
          <cell r="AP13">
            <v>0</v>
          </cell>
          <cell r="AQ13"/>
          <cell r="AR13"/>
          <cell r="AS13">
            <v>148838.03399999999</v>
          </cell>
          <cell r="AT13">
            <v>0</v>
          </cell>
          <cell r="AU13">
            <v>0</v>
          </cell>
          <cell r="AV13">
            <v>195.33699999999999</v>
          </cell>
          <cell r="AW13">
            <v>0</v>
          </cell>
          <cell r="AX13">
            <v>8018.7180000000008</v>
          </cell>
          <cell r="AY13"/>
          <cell r="AZ13"/>
          <cell r="BA13">
            <v>8214.0550000000003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11792.128000000001</v>
          </cell>
          <cell r="BG13">
            <v>0</v>
          </cell>
          <cell r="BH13"/>
          <cell r="BI13"/>
          <cell r="BJ13">
            <v>11792.128000000001</v>
          </cell>
          <cell r="BK13"/>
          <cell r="BL13"/>
          <cell r="BM13"/>
          <cell r="BN13"/>
          <cell r="BO13"/>
        </row>
        <row r="14">
          <cell r="F14">
            <v>526350.5469999999</v>
          </cell>
          <cell r="G14">
            <v>45488.436000000002</v>
          </cell>
          <cell r="H14">
            <v>44058.317999999999</v>
          </cell>
          <cell r="I14">
            <v>31100.120999999999</v>
          </cell>
          <cell r="J14">
            <v>21080.285000000003</v>
          </cell>
          <cell r="K14">
            <v>37956.337</v>
          </cell>
          <cell r="L14">
            <v>32203.824000000001</v>
          </cell>
          <cell r="M14">
            <v>25141.341999999997</v>
          </cell>
          <cell r="N14">
            <v>32709.402999999998</v>
          </cell>
          <cell r="O14">
            <v>24688.249</v>
          </cell>
          <cell r="P14">
            <v>25690.806</v>
          </cell>
          <cell r="Q14">
            <v>23935.170999999998</v>
          </cell>
          <cell r="R14">
            <v>17170.830999999998</v>
          </cell>
          <cell r="S14">
            <v>27915.153000000002</v>
          </cell>
          <cell r="T14">
            <v>5411.1100000000006</v>
          </cell>
          <cell r="U14">
            <v>6608.0990000000002</v>
          </cell>
          <cell r="V14">
            <v>21894.317999999999</v>
          </cell>
          <cell r="W14">
            <v>5148.6589999999997</v>
          </cell>
          <cell r="X14"/>
          <cell r="Y14"/>
          <cell r="Z14">
            <v>428200.46199999994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/>
          <cell r="AG14"/>
          <cell r="AH14">
            <v>0</v>
          </cell>
          <cell r="AI14">
            <v>428200.46199999994</v>
          </cell>
          <cell r="AJ14">
            <v>7187.2669999999998</v>
          </cell>
          <cell r="AK14">
            <v>0</v>
          </cell>
          <cell r="AL14">
            <v>9518.6259999999984</v>
          </cell>
          <cell r="AM14"/>
          <cell r="AN14">
            <v>16705.892999999996</v>
          </cell>
          <cell r="AO14">
            <v>81444.191999999995</v>
          </cell>
          <cell r="AP14">
            <v>0</v>
          </cell>
          <cell r="AQ14"/>
          <cell r="AR14"/>
          <cell r="AS14">
            <v>81444.191999999995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285927.54200000002</v>
          </cell>
          <cell r="G15">
            <v>17947.337</v>
          </cell>
          <cell r="H15">
            <v>33262.195000000007</v>
          </cell>
          <cell r="I15">
            <v>17888.385999999999</v>
          </cell>
          <cell r="J15">
            <v>12564.172999999999</v>
          </cell>
          <cell r="K15">
            <v>14887.191999999999</v>
          </cell>
          <cell r="L15">
            <v>11111.894</v>
          </cell>
          <cell r="M15">
            <v>7456.9189999999999</v>
          </cell>
          <cell r="N15">
            <v>9575.9170000000013</v>
          </cell>
          <cell r="O15">
            <v>16505.342000000001</v>
          </cell>
          <cell r="P15">
            <v>5988.9750000000004</v>
          </cell>
          <cell r="Q15">
            <v>6848.8220000000001</v>
          </cell>
          <cell r="R15">
            <v>8930.3070000000007</v>
          </cell>
          <cell r="S15">
            <v>12300.594000000001</v>
          </cell>
          <cell r="T15">
            <v>4337.3620000000001</v>
          </cell>
          <cell r="U15">
            <v>4393.6959999999999</v>
          </cell>
          <cell r="V15">
            <v>8321.5630000000019</v>
          </cell>
          <cell r="W15">
            <v>2666.1340000000005</v>
          </cell>
          <cell r="X15"/>
          <cell r="Y15"/>
          <cell r="Z15">
            <v>194986.80799999999</v>
          </cell>
          <cell r="AA15">
            <v>0</v>
          </cell>
          <cell r="AB15">
            <v>249.298</v>
          </cell>
          <cell r="AC15">
            <v>80.150000000000006</v>
          </cell>
          <cell r="AD15">
            <v>0</v>
          </cell>
          <cell r="AE15">
            <v>0</v>
          </cell>
          <cell r="AF15"/>
          <cell r="AG15"/>
          <cell r="AH15">
            <v>329.44799999999998</v>
          </cell>
          <cell r="AI15">
            <v>195316.25599999999</v>
          </cell>
          <cell r="AJ15">
            <v>1132.652</v>
          </cell>
          <cell r="AK15">
            <v>0</v>
          </cell>
          <cell r="AL15">
            <v>2198.6089999999999</v>
          </cell>
          <cell r="AM15"/>
          <cell r="AN15">
            <v>3331.261</v>
          </cell>
          <cell r="AO15">
            <v>67393.84199999999</v>
          </cell>
          <cell r="AP15">
            <v>0</v>
          </cell>
          <cell r="AQ15"/>
          <cell r="AR15"/>
          <cell r="AS15">
            <v>67393.84199999999</v>
          </cell>
          <cell r="AT15">
            <v>0</v>
          </cell>
          <cell r="AU15">
            <v>0</v>
          </cell>
          <cell r="AV15">
            <v>195.33699999999999</v>
          </cell>
          <cell r="AW15">
            <v>0</v>
          </cell>
          <cell r="AX15">
            <v>8018.7180000000008</v>
          </cell>
          <cell r="AY15"/>
          <cell r="AZ15"/>
          <cell r="BA15">
            <v>8214.0550000000003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11672.128000000001</v>
          </cell>
          <cell r="BG15">
            <v>0</v>
          </cell>
          <cell r="BH15"/>
          <cell r="BI15"/>
          <cell r="BJ15">
            <v>11672.128000000001</v>
          </cell>
          <cell r="BK15"/>
          <cell r="BL15"/>
          <cell r="BM15"/>
          <cell r="BN15"/>
          <cell r="BO15"/>
        </row>
        <row r="16">
          <cell r="F16">
            <v>120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120</v>
          </cell>
          <cell r="BG16">
            <v>0</v>
          </cell>
          <cell r="BH16"/>
          <cell r="BI16"/>
          <cell r="BJ16">
            <v>120</v>
          </cell>
          <cell r="BK16"/>
          <cell r="BL16"/>
          <cell r="BM16"/>
          <cell r="BN16"/>
          <cell r="BO16"/>
        </row>
        <row r="17">
          <cell r="F17">
            <v>6370647.5351300035</v>
          </cell>
          <cell r="G17">
            <v>403476.12324000016</v>
          </cell>
          <cell r="H17">
            <v>435643.39536999981</v>
          </cell>
          <cell r="I17">
            <v>210874.94478000025</v>
          </cell>
          <cell r="J17">
            <v>310659.83270000003</v>
          </cell>
          <cell r="K17">
            <v>572726.43012000003</v>
          </cell>
          <cell r="L17">
            <v>570441.55885000003</v>
          </cell>
          <cell r="M17">
            <v>256163.78334999987</v>
          </cell>
          <cell r="N17">
            <v>407253.71965000039</v>
          </cell>
          <cell r="O17">
            <v>322634.37580999988</v>
          </cell>
          <cell r="P17">
            <v>457971.81864999997</v>
          </cell>
          <cell r="Q17">
            <v>457681.50086999987</v>
          </cell>
          <cell r="R17">
            <v>133027.60062000007</v>
          </cell>
          <cell r="S17">
            <v>554693.23260999983</v>
          </cell>
          <cell r="T17">
            <v>175624.66185999999</v>
          </cell>
          <cell r="U17">
            <v>229693.87209000011</v>
          </cell>
          <cell r="V17">
            <v>164027.02794000012</v>
          </cell>
          <cell r="W17">
            <v>242769.82221000007</v>
          </cell>
          <cell r="X17"/>
          <cell r="Y17"/>
          <cell r="Z17">
            <v>5905363.7007200029</v>
          </cell>
          <cell r="AA17">
            <v>49670.911</v>
          </cell>
          <cell r="AB17">
            <v>-249.298</v>
          </cell>
          <cell r="AC17">
            <v>-80.150000000000006</v>
          </cell>
          <cell r="AD17">
            <v>22281.234</v>
          </cell>
          <cell r="AE17">
            <v>0</v>
          </cell>
          <cell r="AF17"/>
          <cell r="AG17"/>
          <cell r="AH17">
            <v>71622.697</v>
          </cell>
          <cell r="AI17">
            <v>5976986.3977200035</v>
          </cell>
          <cell r="AJ17">
            <v>90231.666469999938</v>
          </cell>
          <cell r="AK17">
            <v>131889.48394000006</v>
          </cell>
          <cell r="AL17">
            <v>-11717.234999999999</v>
          </cell>
          <cell r="AM17"/>
          <cell r="AN17">
            <v>210403.91541000002</v>
          </cell>
          <cell r="AO17">
            <v>57455.621000001207</v>
          </cell>
          <cell r="AP17">
            <v>0</v>
          </cell>
          <cell r="AQ17"/>
          <cell r="AR17"/>
          <cell r="AS17">
            <v>57455.621000001207</v>
          </cell>
          <cell r="AT17">
            <v>4901.6049999999996</v>
          </cell>
          <cell r="AU17">
            <v>31733.166000000001</v>
          </cell>
          <cell r="AV17">
            <v>-195.33699999999999</v>
          </cell>
          <cell r="AW17">
            <v>80624.448000000004</v>
          </cell>
          <cell r="AX17">
            <v>-8018.7180000000008</v>
          </cell>
          <cell r="AY17"/>
          <cell r="AZ17"/>
          <cell r="BA17">
            <v>109045.16400000002</v>
          </cell>
          <cell r="BB17">
            <v>0</v>
          </cell>
          <cell r="BC17">
            <v>1798.9</v>
          </cell>
          <cell r="BD17">
            <v>0</v>
          </cell>
          <cell r="BE17">
            <v>0</v>
          </cell>
          <cell r="BF17">
            <v>-11792.128000000001</v>
          </cell>
          <cell r="BG17">
            <v>26749.665000000001</v>
          </cell>
          <cell r="BH17"/>
          <cell r="BI17"/>
          <cell r="BJ17">
            <v>16756.437000000002</v>
          </cell>
          <cell r="BK17"/>
          <cell r="BL17"/>
          <cell r="BM17"/>
          <cell r="BN17"/>
          <cell r="BO17"/>
        </row>
        <row r="18">
          <cell r="F18">
            <v>364590.62112999998</v>
          </cell>
          <cell r="G18">
            <v>29989.35125</v>
          </cell>
          <cell r="H18">
            <v>32471.370370000004</v>
          </cell>
          <cell r="I18">
            <v>15908.316779999999</v>
          </cell>
          <cell r="J18">
            <v>16163.521699999999</v>
          </cell>
          <cell r="K18">
            <v>36513.823120000001</v>
          </cell>
          <cell r="L18">
            <v>4741.2368500000002</v>
          </cell>
          <cell r="M18">
            <v>12443.466350000001</v>
          </cell>
          <cell r="N18">
            <v>27748.683649999999</v>
          </cell>
          <cell r="O18">
            <v>9906.5198099999998</v>
          </cell>
          <cell r="P18">
            <v>32109.852650000001</v>
          </cell>
          <cell r="Q18">
            <v>12439.319869999999</v>
          </cell>
          <cell r="R18">
            <v>10035.26562</v>
          </cell>
          <cell r="S18">
            <v>22018.017609999999</v>
          </cell>
          <cell r="T18">
            <v>5020.0758600000008</v>
          </cell>
          <cell r="U18">
            <v>9318.75209</v>
          </cell>
          <cell r="V18">
            <v>22910.881939999999</v>
          </cell>
          <cell r="W18">
            <v>8300.3502100000005</v>
          </cell>
          <cell r="X18"/>
          <cell r="Y18"/>
          <cell r="Z18">
            <v>308038.80573000002</v>
          </cell>
          <cell r="AA18">
            <v>5164.9920000000002</v>
          </cell>
          <cell r="AB18">
            <v>353.67200000000003</v>
          </cell>
          <cell r="AC18">
            <v>0</v>
          </cell>
          <cell r="AD18">
            <v>0</v>
          </cell>
          <cell r="AE18">
            <v>0</v>
          </cell>
          <cell r="AF18"/>
          <cell r="AG18"/>
          <cell r="AH18">
            <v>5518.6640000000007</v>
          </cell>
          <cell r="AI18">
            <v>313557.46973000001</v>
          </cell>
          <cell r="AJ18">
            <v>31898.68246</v>
          </cell>
          <cell r="AK18">
            <v>15462.086939999999</v>
          </cell>
          <cell r="AL18">
            <v>0</v>
          </cell>
          <cell r="AM18"/>
          <cell r="AN18">
            <v>47360.769399999997</v>
          </cell>
          <cell r="AO18">
            <v>2877.7240000000002</v>
          </cell>
          <cell r="AP18">
            <v>855.83600000000001</v>
          </cell>
          <cell r="AQ18"/>
          <cell r="AR18"/>
          <cell r="AS18">
            <v>3733.5600000000004</v>
          </cell>
          <cell r="AT18">
            <v>1312.8920000000001</v>
          </cell>
          <cell r="AU18">
            <v>-4103.3360000000002</v>
          </cell>
          <cell r="AV18">
            <v>432.17</v>
          </cell>
          <cell r="AW18">
            <v>0</v>
          </cell>
          <cell r="AX18">
            <v>-14097.802</v>
          </cell>
          <cell r="AY18"/>
          <cell r="AZ18"/>
          <cell r="BA18">
            <v>-16456.076000000001</v>
          </cell>
          <cell r="BB18">
            <v>0</v>
          </cell>
          <cell r="BC18">
            <v>6860.5630000000001</v>
          </cell>
          <cell r="BD18">
            <v>0</v>
          </cell>
          <cell r="BE18">
            <v>0</v>
          </cell>
          <cell r="BF18">
            <v>9534.3349999999991</v>
          </cell>
          <cell r="BG18">
            <v>0</v>
          </cell>
          <cell r="BH18"/>
          <cell r="BI18"/>
          <cell r="BJ18">
            <v>16394.898000000001</v>
          </cell>
          <cell r="BK18"/>
          <cell r="BL18"/>
          <cell r="BM18"/>
          <cell r="BN18"/>
          <cell r="BO18"/>
        </row>
        <row r="19">
          <cell r="F19">
            <v>343518.05812999996</v>
          </cell>
          <cell r="G19">
            <v>28259.830249999999</v>
          </cell>
          <cell r="H19">
            <v>30723.986370000002</v>
          </cell>
          <cell r="I19">
            <v>14962.003779999999</v>
          </cell>
          <cell r="J19">
            <v>15259.947699999999</v>
          </cell>
          <cell r="K19">
            <v>35288.251120000001</v>
          </cell>
          <cell r="L19">
            <v>3827.3298500000001</v>
          </cell>
          <cell r="M19">
            <v>11904.74035</v>
          </cell>
          <cell r="N19">
            <v>26541.52665</v>
          </cell>
          <cell r="O19">
            <v>8699.3628100000005</v>
          </cell>
          <cell r="P19">
            <v>31435.578649999999</v>
          </cell>
          <cell r="Q19">
            <v>11778.424869999999</v>
          </cell>
          <cell r="R19">
            <v>9746.3796199999997</v>
          </cell>
          <cell r="S19">
            <v>21080.31061</v>
          </cell>
          <cell r="T19">
            <v>4755.6778600000007</v>
          </cell>
          <cell r="U19">
            <v>9318.75209</v>
          </cell>
          <cell r="V19">
            <v>22241.816940000001</v>
          </cell>
          <cell r="W19">
            <v>8288.2492099999999</v>
          </cell>
          <cell r="X19"/>
          <cell r="Y19"/>
          <cell r="Z19">
            <v>294112.16872999998</v>
          </cell>
          <cell r="AA19">
            <v>5164.9920000000002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/>
          <cell r="AG19"/>
          <cell r="AH19">
            <v>5164.9920000000002</v>
          </cell>
          <cell r="AI19">
            <v>299277.16073</v>
          </cell>
          <cell r="AJ19">
            <v>31569.25446</v>
          </cell>
          <cell r="AK19">
            <v>15462.086939999999</v>
          </cell>
          <cell r="AL19">
            <v>0</v>
          </cell>
          <cell r="AM19"/>
          <cell r="AN19">
            <v>47031.341399999998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-4103.3360000000002</v>
          </cell>
          <cell r="AV19">
            <v>0</v>
          </cell>
          <cell r="AW19">
            <v>0</v>
          </cell>
          <cell r="AX19">
            <v>0</v>
          </cell>
          <cell r="AY19"/>
          <cell r="AZ19"/>
          <cell r="BA19">
            <v>-2790.4440000000004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21072.563000000002</v>
          </cell>
          <cell r="G20">
            <v>1729.521</v>
          </cell>
          <cell r="H20">
            <v>1747.384</v>
          </cell>
          <cell r="I20">
            <v>946.31299999999999</v>
          </cell>
          <cell r="J20">
            <v>903.57399999999996</v>
          </cell>
          <cell r="K20">
            <v>1225.5719999999999</v>
          </cell>
          <cell r="L20">
            <v>913.90700000000004</v>
          </cell>
          <cell r="M20">
            <v>538.726</v>
          </cell>
          <cell r="N20">
            <v>1207.1569999999999</v>
          </cell>
          <cell r="O20">
            <v>1207.1569999999999</v>
          </cell>
          <cell r="P20">
            <v>674.274</v>
          </cell>
          <cell r="Q20">
            <v>660.89499999999998</v>
          </cell>
          <cell r="R20">
            <v>288.88600000000002</v>
          </cell>
          <cell r="S20">
            <v>937.70699999999999</v>
          </cell>
          <cell r="T20">
            <v>264.39800000000002</v>
          </cell>
          <cell r="U20">
            <v>0</v>
          </cell>
          <cell r="V20">
            <v>669.06500000000005</v>
          </cell>
          <cell r="W20">
            <v>12.101000000000001</v>
          </cell>
          <cell r="X20"/>
          <cell r="Y20"/>
          <cell r="Z20">
            <v>13926.636999999999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>
            <v>0</v>
          </cell>
          <cell r="AF20"/>
          <cell r="AG20"/>
          <cell r="AH20">
            <v>353.67200000000003</v>
          </cell>
          <cell r="AI20">
            <v>14280.308999999999</v>
          </cell>
          <cell r="AJ20">
            <v>329.428</v>
          </cell>
          <cell r="AK20">
            <v>0</v>
          </cell>
          <cell r="AL20">
            <v>0</v>
          </cell>
          <cell r="AM20"/>
          <cell r="AN20">
            <v>329.428</v>
          </cell>
          <cell r="AO20">
            <v>2877.7240000000002</v>
          </cell>
          <cell r="AP20">
            <v>855.83600000000001</v>
          </cell>
          <cell r="AQ20"/>
          <cell r="AR20"/>
          <cell r="AS20">
            <v>3733.5600000000004</v>
          </cell>
          <cell r="AT20">
            <v>0</v>
          </cell>
          <cell r="AU20">
            <v>0</v>
          </cell>
          <cell r="AV20">
            <v>432.17</v>
          </cell>
          <cell r="AW20">
            <v>0</v>
          </cell>
          <cell r="AX20">
            <v>-14097.802</v>
          </cell>
          <cell r="AY20"/>
          <cell r="AZ20"/>
          <cell r="BA20">
            <v>-13665.632</v>
          </cell>
          <cell r="BB20">
            <v>0</v>
          </cell>
          <cell r="BC20">
            <v>6860.5630000000001</v>
          </cell>
          <cell r="BD20">
            <v>0</v>
          </cell>
          <cell r="BE20">
            <v>0</v>
          </cell>
          <cell r="BF20">
            <v>9534.3349999999991</v>
          </cell>
          <cell r="BG20">
            <v>0</v>
          </cell>
          <cell r="BH20"/>
          <cell r="BI20"/>
          <cell r="BJ20">
            <v>16394.898000000001</v>
          </cell>
          <cell r="BK20"/>
          <cell r="BL20"/>
          <cell r="BM20"/>
          <cell r="BN20"/>
          <cell r="BO20"/>
        </row>
        <row r="21">
          <cell r="F21">
            <v>6006056.9140000036</v>
          </cell>
          <cell r="G21">
            <v>373486.77199000015</v>
          </cell>
          <cell r="H21">
            <v>403172.02499999979</v>
          </cell>
          <cell r="I21">
            <v>194966.62800000026</v>
          </cell>
          <cell r="J21">
            <v>294496.31100000005</v>
          </cell>
          <cell r="K21">
            <v>536212.60700000008</v>
          </cell>
          <cell r="L21">
            <v>565700.32200000004</v>
          </cell>
          <cell r="M21">
            <v>243720.31699999986</v>
          </cell>
          <cell r="N21">
            <v>379505.03600000037</v>
          </cell>
          <cell r="O21">
            <v>312727.85599999985</v>
          </cell>
          <cell r="P21">
            <v>425861.96599999996</v>
          </cell>
          <cell r="Q21">
            <v>445242.18099999987</v>
          </cell>
          <cell r="R21">
            <v>122992.33500000006</v>
          </cell>
          <cell r="S21">
            <v>532675.21499999985</v>
          </cell>
          <cell r="T21">
            <v>170604.58599999998</v>
          </cell>
          <cell r="U21">
            <v>220375.12000000011</v>
          </cell>
          <cell r="V21">
            <v>141116.14600000012</v>
          </cell>
          <cell r="W21">
            <v>234469.47200000007</v>
          </cell>
          <cell r="X21"/>
          <cell r="Y21"/>
          <cell r="Z21">
            <v>5597324.8949900027</v>
          </cell>
          <cell r="AA21">
            <v>44505.919000000002</v>
          </cell>
          <cell r="AB21">
            <v>-602.97</v>
          </cell>
          <cell r="AC21">
            <v>-80.150000000000006</v>
          </cell>
          <cell r="AD21">
            <v>22281.234</v>
          </cell>
          <cell r="AE21">
            <v>0</v>
          </cell>
          <cell r="AF21"/>
          <cell r="AG21"/>
          <cell r="AH21">
            <v>66104.032999999996</v>
          </cell>
          <cell r="AI21">
            <v>5663428.9279900035</v>
          </cell>
          <cell r="AJ21">
            <v>58332.984009999942</v>
          </cell>
          <cell r="AK21">
            <v>116427.39700000007</v>
          </cell>
          <cell r="AL21">
            <v>-11717.234999999999</v>
          </cell>
          <cell r="AM21"/>
          <cell r="AN21">
            <v>163043.14601000003</v>
          </cell>
          <cell r="AO21">
            <v>54577.897000001205</v>
          </cell>
          <cell r="AP21">
            <v>-855.83600000000001</v>
          </cell>
          <cell r="AQ21"/>
          <cell r="AR21"/>
          <cell r="AS21">
            <v>53722.061000001209</v>
          </cell>
          <cell r="AT21">
            <v>3588.7129999999997</v>
          </cell>
          <cell r="AU21">
            <v>35836.502</v>
          </cell>
          <cell r="AV21">
            <v>-627.50700000000006</v>
          </cell>
          <cell r="AW21">
            <v>80624.448000000004</v>
          </cell>
          <cell r="AX21">
            <v>6079.0839999999989</v>
          </cell>
          <cell r="AY21"/>
          <cell r="AZ21"/>
          <cell r="BA21">
            <v>125501.24000000002</v>
          </cell>
          <cell r="BB21">
            <v>0</v>
          </cell>
          <cell r="BC21">
            <v>-5061.6630000000005</v>
          </cell>
          <cell r="BD21">
            <v>0</v>
          </cell>
          <cell r="BE21">
            <v>0</v>
          </cell>
          <cell r="BF21">
            <v>-21326.463</v>
          </cell>
          <cell r="BG21">
            <v>26749.665000000001</v>
          </cell>
          <cell r="BH21"/>
          <cell r="BI21"/>
          <cell r="BJ21">
            <v>361.53900000000067</v>
          </cell>
          <cell r="BK21"/>
          <cell r="BL21"/>
          <cell r="BM21"/>
          <cell r="BN21"/>
          <cell r="BO21"/>
        </row>
        <row r="22">
          <cell r="F22">
            <v>1265275.6540000001</v>
          </cell>
          <cell r="G22">
            <v>116262.51626231757</v>
          </cell>
          <cell r="H22">
            <v>113081.32251120178</v>
          </cell>
          <cell r="I22">
            <v>66908.980948211203</v>
          </cell>
          <cell r="J22">
            <v>54757.12434128701</v>
          </cell>
          <cell r="K22">
            <v>78272.405732665036</v>
          </cell>
          <cell r="L22">
            <v>69600.915190099739</v>
          </cell>
          <cell r="M22">
            <v>44460.672299729165</v>
          </cell>
          <cell r="N22">
            <v>66295.158321491341</v>
          </cell>
          <cell r="O22">
            <v>48672.219364242257</v>
          </cell>
          <cell r="P22">
            <v>58968.311167450447</v>
          </cell>
          <cell r="Q22">
            <v>59868.098452432969</v>
          </cell>
          <cell r="R22">
            <v>30684.485241861035</v>
          </cell>
          <cell r="S22">
            <v>79138.484926269448</v>
          </cell>
          <cell r="T22">
            <v>19523.86452313343</v>
          </cell>
          <cell r="U22">
            <v>24045.812712565348</v>
          </cell>
          <cell r="V22">
            <v>29720.186297742795</v>
          </cell>
          <cell r="W22">
            <v>26662.291707299559</v>
          </cell>
          <cell r="X22"/>
          <cell r="Y22"/>
          <cell r="Z22">
            <v>986922.85000000021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/>
          <cell r="AG22"/>
          <cell r="AH22">
            <v>0</v>
          </cell>
          <cell r="AI22">
            <v>986922.85000000021</v>
          </cell>
          <cell r="AJ22">
            <v>0</v>
          </cell>
          <cell r="AK22">
            <v>0</v>
          </cell>
          <cell r="AL22">
            <v>0</v>
          </cell>
          <cell r="AM22"/>
          <cell r="AN22">
            <v>0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278352.804</v>
          </cell>
          <cell r="BF22">
            <v>0</v>
          </cell>
          <cell r="BG22">
            <v>0</v>
          </cell>
          <cell r="BH22"/>
          <cell r="BI22"/>
          <cell r="BJ22">
            <v>278352.804</v>
          </cell>
          <cell r="BK22"/>
          <cell r="BL22"/>
          <cell r="BM22"/>
          <cell r="BN22"/>
          <cell r="BO22"/>
        </row>
        <row r="23">
          <cell r="F23">
            <v>140018.62400000001</v>
          </cell>
          <cell r="G23">
            <v>17552.775538276543</v>
          </cell>
          <cell r="H23">
            <v>17072.493658507854</v>
          </cell>
          <cell r="I23">
            <v>10101.607653398312</v>
          </cell>
          <cell r="J23">
            <v>8266.9766970769524</v>
          </cell>
          <cell r="K23">
            <v>11629.097058399408</v>
          </cell>
          <cell r="L23">
            <v>10340.755346955106</v>
          </cell>
          <cell r="M23">
            <v>6605.6162272711099</v>
          </cell>
          <cell r="N23">
            <v>9849.6120491776328</v>
          </cell>
          <cell r="O23">
            <v>7231.3346924287589</v>
          </cell>
          <cell r="P23">
            <v>8761.0468531951483</v>
          </cell>
          <cell r="Q23">
            <v>8894.73015538869</v>
          </cell>
          <cell r="R23">
            <v>4558.85894555699</v>
          </cell>
          <cell r="S23">
            <v>8463.849985639692</v>
          </cell>
          <cell r="T23">
            <v>2088.074602612232</v>
          </cell>
          <cell r="U23">
            <v>2571.696334236794</v>
          </cell>
          <cell r="V23">
            <v>3178.569802084498</v>
          </cell>
          <cell r="W23">
            <v>2851.5283997942774</v>
          </cell>
          <cell r="X23"/>
          <cell r="Y23"/>
          <cell r="Z23">
            <v>140018.62400000001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/>
          <cell r="AG23"/>
          <cell r="AH23">
            <v>0</v>
          </cell>
          <cell r="AI23">
            <v>140018.62400000001</v>
          </cell>
          <cell r="AJ23">
            <v>0</v>
          </cell>
          <cell r="AK23">
            <v>0</v>
          </cell>
          <cell r="AL23">
            <v>0</v>
          </cell>
          <cell r="AM23"/>
          <cell r="AN23">
            <v>0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185895.05899999998</v>
          </cell>
          <cell r="G24">
            <v>21666.739298772034</v>
          </cell>
          <cell r="H24">
            <v>21073.890478015448</v>
          </cell>
          <cell r="I24">
            <v>12469.190359518017</v>
          </cell>
          <cell r="J24">
            <v>10204.564428798991</v>
          </cell>
          <cell r="K24">
            <v>14628.173313611287</v>
          </cell>
          <cell r="L24">
            <v>13007.575794515877</v>
          </cell>
          <cell r="M24">
            <v>8309.1660969441182</v>
          </cell>
          <cell r="N24">
            <v>12389.769506922956</v>
          </cell>
          <cell r="O24">
            <v>9096.2537021027529</v>
          </cell>
          <cell r="P24">
            <v>11020.469700581096</v>
          </cell>
          <cell r="Q24">
            <v>11188.629146134143</v>
          </cell>
          <cell r="R24">
            <v>5734.5620586894947</v>
          </cell>
          <cell r="S24">
            <v>15513.047436478173</v>
          </cell>
          <cell r="T24">
            <v>3827.1472694090603</v>
          </cell>
          <cell r="U24">
            <v>4713.5579308376873</v>
          </cell>
          <cell r="V24">
            <v>5825.8717018325196</v>
          </cell>
          <cell r="W24">
            <v>5226.4507768364001</v>
          </cell>
          <cell r="X24"/>
          <cell r="Y24"/>
          <cell r="Z24">
            <v>185895.05899999998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/>
          <cell r="AG24"/>
          <cell r="AH24">
            <v>0</v>
          </cell>
          <cell r="AI24">
            <v>185895.05899999998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939361.97100000025</v>
          </cell>
          <cell r="G25">
            <v>77043.001425268987</v>
          </cell>
          <cell r="H25">
            <v>74934.938374678488</v>
          </cell>
          <cell r="I25">
            <v>44338.182935294877</v>
          </cell>
          <cell r="J25">
            <v>36285.583215411069</v>
          </cell>
          <cell r="K25">
            <v>52015.135360654342</v>
          </cell>
          <cell r="L25">
            <v>46252.584048628756</v>
          </cell>
          <cell r="M25">
            <v>29545.889975513935</v>
          </cell>
          <cell r="N25">
            <v>44055.77676539075</v>
          </cell>
          <cell r="O25">
            <v>32344.630969710746</v>
          </cell>
          <cell r="P25">
            <v>39186.794613674203</v>
          </cell>
          <cell r="Q25">
            <v>39784.739150910136</v>
          </cell>
          <cell r="R25">
            <v>20391.064237614552</v>
          </cell>
          <cell r="S25">
            <v>55161.587504151583</v>
          </cell>
          <cell r="T25">
            <v>13608.642651112137</v>
          </cell>
          <cell r="U25">
            <v>16760.558447490865</v>
          </cell>
          <cell r="V25">
            <v>20715.744793825776</v>
          </cell>
          <cell r="W25">
            <v>18584.312530668882</v>
          </cell>
          <cell r="X25"/>
          <cell r="Y25"/>
          <cell r="Z25">
            <v>661009.16700000025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/>
          <cell r="AG25"/>
          <cell r="AH25">
            <v>0</v>
          </cell>
          <cell r="AI25">
            <v>661009.16700000025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278352.804</v>
          </cell>
          <cell r="BF25">
            <v>0</v>
          </cell>
          <cell r="BG25">
            <v>0</v>
          </cell>
          <cell r="BH25"/>
          <cell r="BI25"/>
          <cell r="BJ25">
            <v>278352.804</v>
          </cell>
          <cell r="BK25"/>
          <cell r="BL25"/>
          <cell r="BM25"/>
          <cell r="BN25"/>
          <cell r="BO25"/>
        </row>
        <row r="26">
          <cell r="F26">
            <v>4740781.2600000035</v>
          </cell>
          <cell r="G26">
            <v>257224.25572768258</v>
          </cell>
          <cell r="H26">
            <v>290090.70248879801</v>
          </cell>
          <cell r="I26">
            <v>128057.64705178906</v>
          </cell>
          <cell r="J26">
            <v>239739.18665871304</v>
          </cell>
          <cell r="K26">
            <v>457940.20126733504</v>
          </cell>
          <cell r="L26">
            <v>496099.40680990031</v>
          </cell>
          <cell r="M26">
            <v>199259.6447002707</v>
          </cell>
          <cell r="N26">
            <v>313209.87767850904</v>
          </cell>
          <cell r="O26">
            <v>264055.63663575758</v>
          </cell>
          <cell r="P26">
            <v>366893.65483254951</v>
          </cell>
          <cell r="Q26">
            <v>385374.08254756691</v>
          </cell>
          <cell r="R26">
            <v>92307.849758139026</v>
          </cell>
          <cell r="S26">
            <v>453536.7300737304</v>
          </cell>
          <cell r="T26">
            <v>151080.72147686654</v>
          </cell>
          <cell r="U26">
            <v>196329.30728743476</v>
          </cell>
          <cell r="V26">
            <v>111395.95970225733</v>
          </cell>
          <cell r="W26">
            <v>207807.1802927005</v>
          </cell>
          <cell r="X26"/>
          <cell r="Y26"/>
          <cell r="Z26">
            <v>4610402.0449900022</v>
          </cell>
          <cell r="AA26">
            <v>44505.919000000002</v>
          </cell>
          <cell r="AB26">
            <v>-602.97</v>
          </cell>
          <cell r="AC26">
            <v>-80.150000000000006</v>
          </cell>
          <cell r="AD26">
            <v>22281.234</v>
          </cell>
          <cell r="AE26">
            <v>0</v>
          </cell>
          <cell r="AF26"/>
          <cell r="AG26"/>
          <cell r="AH26">
            <v>66104.032999999996</v>
          </cell>
          <cell r="AI26">
            <v>4676506.0779900029</v>
          </cell>
          <cell r="AJ26">
            <v>58332.984009999942</v>
          </cell>
          <cell r="AK26">
            <v>116427.39700000007</v>
          </cell>
          <cell r="AL26">
            <v>-11717.234999999999</v>
          </cell>
          <cell r="AM26"/>
          <cell r="AN26">
            <v>163043.14601000003</v>
          </cell>
          <cell r="AO26">
            <v>54577.897000001205</v>
          </cell>
          <cell r="AP26">
            <v>-855.83600000000001</v>
          </cell>
          <cell r="AQ26"/>
          <cell r="AR26"/>
          <cell r="AS26">
            <v>53722.061000001209</v>
          </cell>
          <cell r="AT26">
            <v>3588.7129999999997</v>
          </cell>
          <cell r="AU26">
            <v>35836.502</v>
          </cell>
          <cell r="AV26">
            <v>-627.50700000000006</v>
          </cell>
          <cell r="AW26">
            <v>80624.448000000004</v>
          </cell>
          <cell r="AX26">
            <v>6079.0839999999989</v>
          </cell>
          <cell r="AY26"/>
          <cell r="AZ26"/>
          <cell r="BA26">
            <v>125501.24000000002</v>
          </cell>
          <cell r="BB26">
            <v>0</v>
          </cell>
          <cell r="BC26">
            <v>-5061.6630000000005</v>
          </cell>
          <cell r="BD26">
            <v>0</v>
          </cell>
          <cell r="BE26">
            <v>-278352.804</v>
          </cell>
          <cell r="BF26">
            <v>-21326.463</v>
          </cell>
          <cell r="BG26">
            <v>26749.665000000001</v>
          </cell>
          <cell r="BH26"/>
          <cell r="BI26"/>
          <cell r="BJ26">
            <v>-277991.26500000001</v>
          </cell>
          <cell r="BK26"/>
          <cell r="BL26"/>
          <cell r="BM26"/>
          <cell r="BN26"/>
          <cell r="BO26"/>
        </row>
        <row r="27">
          <cell r="F27">
            <v>4740781.26</v>
          </cell>
          <cell r="G27">
            <v>257224.25572768261</v>
          </cell>
          <cell r="H27">
            <v>290090.70248879801</v>
          </cell>
          <cell r="I27">
            <v>128057.64705178907</v>
          </cell>
          <cell r="J27">
            <v>239739.18665871304</v>
          </cell>
          <cell r="K27">
            <v>457940.20126733481</v>
          </cell>
          <cell r="L27">
            <v>496099.40680990025</v>
          </cell>
          <cell r="M27">
            <v>199259.64470027067</v>
          </cell>
          <cell r="N27">
            <v>313209.87767850899</v>
          </cell>
          <cell r="O27">
            <v>264055.63663575758</v>
          </cell>
          <cell r="P27">
            <v>366893.65483254957</v>
          </cell>
          <cell r="Q27">
            <v>385374.08254756697</v>
          </cell>
          <cell r="R27">
            <v>92307.849758139026</v>
          </cell>
          <cell r="S27">
            <v>453536.73007373029</v>
          </cell>
          <cell r="T27">
            <v>151080.7214768666</v>
          </cell>
          <cell r="U27">
            <v>196329.30728743481</v>
          </cell>
          <cell r="V27">
            <v>111395.95970225731</v>
          </cell>
          <cell r="W27">
            <v>207807.18029270053</v>
          </cell>
          <cell r="X27"/>
          <cell r="Y27"/>
          <cell r="Z27">
            <v>4610402.0449899994</v>
          </cell>
          <cell r="AA27">
            <v>44505.919000000002</v>
          </cell>
          <cell r="AB27">
            <v>-602.97</v>
          </cell>
          <cell r="AC27">
            <v>-80.150000000000006</v>
          </cell>
          <cell r="AD27">
            <v>22281.234</v>
          </cell>
          <cell r="AE27">
            <v>0</v>
          </cell>
          <cell r="AF27"/>
          <cell r="AG27"/>
          <cell r="AH27">
            <v>66104.032999999996</v>
          </cell>
          <cell r="AI27">
            <v>4676506.0779899992</v>
          </cell>
          <cell r="AJ27">
            <v>58332.984009999942</v>
          </cell>
          <cell r="AK27">
            <v>116427.39700000007</v>
          </cell>
          <cell r="AL27">
            <v>-11717.234999999999</v>
          </cell>
          <cell r="AM27"/>
          <cell r="AN27">
            <v>163043.14601000003</v>
          </cell>
          <cell r="AO27">
            <v>54577.897000001205</v>
          </cell>
          <cell r="AP27">
            <v>-855.83600000000001</v>
          </cell>
          <cell r="AQ27"/>
          <cell r="AR27"/>
          <cell r="AS27">
            <v>53722.061000001202</v>
          </cell>
          <cell r="AT27">
            <v>3588.7129999999997</v>
          </cell>
          <cell r="AU27">
            <v>35836.502</v>
          </cell>
          <cell r="AV27">
            <v>-627.50700000000006</v>
          </cell>
          <cell r="AW27">
            <v>80624.448000000004</v>
          </cell>
          <cell r="AX27">
            <v>6079.0839999999989</v>
          </cell>
          <cell r="AY27"/>
          <cell r="AZ27"/>
          <cell r="BA27">
            <v>125501.24</v>
          </cell>
          <cell r="BB27">
            <v>0</v>
          </cell>
          <cell r="BC27">
            <v>-5061.6630000000005</v>
          </cell>
          <cell r="BD27">
            <v>0</v>
          </cell>
          <cell r="BE27">
            <v>-278352.804</v>
          </cell>
          <cell r="BF27">
            <v>-21326.463000000003</v>
          </cell>
          <cell r="BG27">
            <v>26749.665000000001</v>
          </cell>
          <cell r="BH27"/>
          <cell r="BI27"/>
          <cell r="BJ27">
            <v>-277991.26500000001</v>
          </cell>
          <cell r="BK27"/>
          <cell r="BL27"/>
          <cell r="BM27"/>
          <cell r="BN27"/>
          <cell r="BO27"/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/>
          <cell r="AG28"/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44440</v>
          </cell>
          <cell r="H31">
            <v>42674</v>
          </cell>
          <cell r="I31">
            <v>25552</v>
          </cell>
          <cell r="J31">
            <v>21686</v>
          </cell>
          <cell r="K31">
            <v>26724</v>
          </cell>
          <cell r="L31">
            <v>24087</v>
          </cell>
          <cell r="M31">
            <v>15829</v>
          </cell>
          <cell r="N31">
            <v>23173</v>
          </cell>
          <cell r="O31">
            <v>18102</v>
          </cell>
          <cell r="P31">
            <v>22044</v>
          </cell>
          <cell r="Q31">
            <v>21704.5</v>
          </cell>
          <cell r="R31">
            <v>11369</v>
          </cell>
          <cell r="S31">
            <v>30829</v>
          </cell>
          <cell r="T31">
            <v>7021.5</v>
          </cell>
          <cell r="U31">
            <v>8996.5</v>
          </cell>
          <cell r="V31">
            <v>11945</v>
          </cell>
          <cell r="W31">
            <v>8114</v>
          </cell>
          <cell r="X31">
            <v>0</v>
          </cell>
          <cell r="Y31">
            <v>0</v>
          </cell>
          <cell r="Z31">
            <v>364290.5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/>
          <cell r="AG31"/>
          <cell r="AH31">
            <v>0</v>
          </cell>
          <cell r="AI31">
            <v>364290.5</v>
          </cell>
          <cell r="AJ31">
            <v>16092</v>
          </cell>
          <cell r="AK31">
            <v>40368</v>
          </cell>
          <cell r="AL31">
            <v>0</v>
          </cell>
          <cell r="AM31"/>
          <cell r="AN31">
            <v>56460</v>
          </cell>
          <cell r="AO31">
            <v>9838.5779999999995</v>
          </cell>
          <cell r="AP31">
            <v>0</v>
          </cell>
          <cell r="AQ31"/>
          <cell r="AR31"/>
          <cell r="AS31">
            <v>9838.5779999999995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47038179.365999997</v>
          </cell>
          <cell r="G32">
            <v>4017108.6570000001</v>
          </cell>
          <cell r="H32">
            <v>3907191.8810000001</v>
          </cell>
          <cell r="I32">
            <v>2311842.6750000003</v>
          </cell>
          <cell r="J32">
            <v>1891971.078</v>
          </cell>
          <cell r="K32">
            <v>2712127.6</v>
          </cell>
          <cell r="L32">
            <v>2411661.7000000002</v>
          </cell>
          <cell r="M32">
            <v>1540555.9</v>
          </cell>
          <cell r="N32">
            <v>2297117.7000000002</v>
          </cell>
          <cell r="O32">
            <v>1686485.4</v>
          </cell>
          <cell r="P32">
            <v>2043243.5</v>
          </cell>
          <cell r="Q32">
            <v>2074421</v>
          </cell>
          <cell r="R32">
            <v>1063213</v>
          </cell>
          <cell r="S32">
            <v>2876187.15</v>
          </cell>
          <cell r="T32">
            <v>709569.91799999995</v>
          </cell>
          <cell r="U32">
            <v>873914.34900000005</v>
          </cell>
          <cell r="V32">
            <v>1080142.209</v>
          </cell>
          <cell r="W32">
            <v>969006.93599999999</v>
          </cell>
          <cell r="X32">
            <v>0</v>
          </cell>
          <cell r="Y32">
            <v>0</v>
          </cell>
          <cell r="Z32">
            <v>34465760.652999997</v>
          </cell>
          <cell r="AA32">
            <v>50000</v>
          </cell>
          <cell r="AB32">
            <v>0</v>
          </cell>
          <cell r="AC32">
            <v>0</v>
          </cell>
          <cell r="AD32">
            <v>28340</v>
          </cell>
          <cell r="AE32">
            <v>0</v>
          </cell>
          <cell r="AF32"/>
          <cell r="AG32"/>
          <cell r="AH32">
            <v>78340</v>
          </cell>
          <cell r="AI32">
            <v>34544100.652999997</v>
          </cell>
          <cell r="AJ32">
            <v>541572.1</v>
          </cell>
          <cell r="AK32">
            <v>473216</v>
          </cell>
          <cell r="AL32">
            <v>0</v>
          </cell>
          <cell r="AM32"/>
          <cell r="AN32">
            <v>1014788.1</v>
          </cell>
          <cell r="AO32">
            <v>11359969.265000001</v>
          </cell>
          <cell r="AP32">
            <v>0</v>
          </cell>
          <cell r="AQ32"/>
          <cell r="AR32"/>
          <cell r="AS32">
            <v>11359969.265000001</v>
          </cell>
          <cell r="AT32">
            <v>5000</v>
          </cell>
          <cell r="AU32">
            <v>31898</v>
          </cell>
          <cell r="AV32">
            <v>0</v>
          </cell>
          <cell r="AW32">
            <v>80624.448000000004</v>
          </cell>
          <cell r="AX32">
            <v>0</v>
          </cell>
          <cell r="AY32"/>
          <cell r="AZ32"/>
          <cell r="BA32">
            <v>117522.448</v>
          </cell>
          <cell r="BB32">
            <v>0</v>
          </cell>
          <cell r="BC32">
            <v>1798.9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1798.9</v>
          </cell>
        </row>
        <row r="33">
          <cell r="F33">
            <v>40198651.799999997</v>
          </cell>
          <cell r="G33">
            <v>3578456.5910100001</v>
          </cell>
          <cell r="H33">
            <v>3424951.9590000003</v>
          </cell>
          <cell r="I33">
            <v>2066941.227</v>
          </cell>
          <cell r="J33">
            <v>1562926.7349999999</v>
          </cell>
          <cell r="K33">
            <v>2121845.892</v>
          </cell>
          <cell r="L33">
            <v>1801731.7530000003</v>
          </cell>
          <cell r="M33">
            <v>1263698.5960000001</v>
          </cell>
          <cell r="N33">
            <v>1874120.1869999997</v>
          </cell>
          <cell r="O33">
            <v>1331356.7960000001</v>
          </cell>
          <cell r="P33">
            <v>1585027.4790000001</v>
          </cell>
          <cell r="Q33">
            <v>1597733.9310000001</v>
          </cell>
          <cell r="R33">
            <v>913830.64099999995</v>
          </cell>
          <cell r="S33">
            <v>2302358.4810000001</v>
          </cell>
          <cell r="T33">
            <v>528952.46199999994</v>
          </cell>
          <cell r="U33">
            <v>642537.43399999989</v>
          </cell>
          <cell r="V33">
            <v>908141.11699999997</v>
          </cell>
          <cell r="W33">
            <v>726710.57</v>
          </cell>
          <cell r="X33">
            <v>0</v>
          </cell>
          <cell r="Y33">
            <v>0</v>
          </cell>
          <cell r="Z33">
            <v>28231321.851010002</v>
          </cell>
          <cell r="AA33">
            <v>5494.0810000000001</v>
          </cell>
          <cell r="AB33">
            <v>0</v>
          </cell>
          <cell r="AC33">
            <v>0</v>
          </cell>
          <cell r="AD33">
            <v>6058.7659999999996</v>
          </cell>
          <cell r="AE33">
            <v>0</v>
          </cell>
          <cell r="AF33"/>
          <cell r="AG33"/>
          <cell r="AH33">
            <v>11552.847</v>
          </cell>
          <cell r="AI33">
            <v>28242874.698010001</v>
          </cell>
          <cell r="AJ33">
            <v>474589.76899000007</v>
          </cell>
          <cell r="AK33">
            <v>356788.60299999994</v>
          </cell>
          <cell r="AL33">
            <v>0</v>
          </cell>
          <cell r="AM33"/>
          <cell r="AN33">
            <v>831378.37199000001</v>
          </cell>
          <cell r="AO33">
            <v>11153675.609999999</v>
          </cell>
          <cell r="AP33">
            <v>0</v>
          </cell>
          <cell r="AQ33"/>
          <cell r="AR33"/>
          <cell r="AS33">
            <v>11153675.609999999</v>
          </cell>
          <cell r="AT33">
            <v>1411.287</v>
          </cell>
          <cell r="AU33">
            <v>-3938.5020000000004</v>
          </cell>
          <cell r="AV33">
            <v>0</v>
          </cell>
          <cell r="AW33">
            <v>0</v>
          </cell>
          <cell r="AX33">
            <v>0</v>
          </cell>
          <cell r="AY33"/>
          <cell r="AZ33"/>
          <cell r="BA33">
            <v>-2527.2150000000001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-26749.665000000001</v>
          </cell>
          <cell r="BH33"/>
          <cell r="BI33"/>
          <cell r="BJ33">
            <v>-26749.665000000001</v>
          </cell>
        </row>
        <row r="34">
          <cell r="F34">
            <v>6839527.5659999996</v>
          </cell>
          <cell r="G34">
            <v>438652.06599000003</v>
          </cell>
          <cell r="H34">
            <v>482239.92199999979</v>
          </cell>
          <cell r="I34">
            <v>244901.44800000032</v>
          </cell>
          <cell r="J34">
            <v>329044.34300000011</v>
          </cell>
          <cell r="K34">
            <v>590281.7080000001</v>
          </cell>
          <cell r="L34">
            <v>609929.94699999993</v>
          </cell>
          <cell r="M34">
            <v>276857.30399999977</v>
          </cell>
          <cell r="N34">
            <v>422997.5130000005</v>
          </cell>
          <cell r="O34">
            <v>355128.60399999982</v>
          </cell>
          <cell r="P34">
            <v>458216.02099999995</v>
          </cell>
          <cell r="Q34">
            <v>476687.0689999999</v>
          </cell>
          <cell r="R34">
            <v>149382.35900000005</v>
          </cell>
          <cell r="S34">
            <v>573828.66899999976</v>
          </cell>
          <cell r="T34">
            <v>180617.45600000001</v>
          </cell>
          <cell r="U34">
            <v>231376.91500000015</v>
          </cell>
          <cell r="V34">
            <v>172001.09200000006</v>
          </cell>
          <cell r="W34">
            <v>242296.36600000004</v>
          </cell>
          <cell r="X34">
            <v>0</v>
          </cell>
          <cell r="Y34">
            <v>0</v>
          </cell>
          <cell r="Z34">
            <v>6234438.8019899949</v>
          </cell>
          <cell r="AA34">
            <v>44505.919000000002</v>
          </cell>
          <cell r="AB34">
            <v>0</v>
          </cell>
          <cell r="AC34">
            <v>0</v>
          </cell>
          <cell r="AD34">
            <v>22281.234</v>
          </cell>
          <cell r="AE34">
            <v>0</v>
          </cell>
          <cell r="AF34"/>
          <cell r="AG34"/>
          <cell r="AH34">
            <v>66787.153000000006</v>
          </cell>
          <cell r="AI34">
            <v>6301225.9549899958</v>
          </cell>
          <cell r="AJ34">
            <v>66982.331009999907</v>
          </cell>
          <cell r="AK34">
            <v>116427.39700000006</v>
          </cell>
          <cell r="AL34">
            <v>0</v>
          </cell>
          <cell r="AM34"/>
          <cell r="AN34">
            <v>183409.72800999996</v>
          </cell>
          <cell r="AO34">
            <v>206293.65500000119</v>
          </cell>
          <cell r="AP34">
            <v>0</v>
          </cell>
          <cell r="AQ34"/>
          <cell r="AR34"/>
          <cell r="AS34">
            <v>206293.65500000119</v>
          </cell>
          <cell r="AT34">
            <v>3588.7129999999997</v>
          </cell>
          <cell r="AU34">
            <v>35836.502</v>
          </cell>
          <cell r="AV34">
            <v>0</v>
          </cell>
          <cell r="AW34">
            <v>80624.448000000004</v>
          </cell>
          <cell r="AX34">
            <v>0</v>
          </cell>
          <cell r="AY34"/>
          <cell r="AZ34"/>
          <cell r="BA34">
            <v>120049.663</v>
          </cell>
          <cell r="BB34">
            <v>0</v>
          </cell>
          <cell r="BC34">
            <v>1798.9</v>
          </cell>
          <cell r="BD34">
            <v>0</v>
          </cell>
          <cell r="BE34">
            <v>0</v>
          </cell>
          <cell r="BF34">
            <v>0</v>
          </cell>
          <cell r="BG34">
            <v>26749.665000000001</v>
          </cell>
          <cell r="BH34"/>
          <cell r="BI34"/>
          <cell r="BJ34">
            <v>28548.565000000002</v>
          </cell>
        </row>
        <row r="35">
          <cell r="F35">
            <v>2098746.3060000003</v>
          </cell>
          <cell r="G35">
            <v>181427.81026231759</v>
          </cell>
          <cell r="H35">
            <v>192149.21951120178</v>
          </cell>
          <cell r="I35">
            <v>116843.8009482112</v>
          </cell>
          <cell r="J35">
            <v>89305.156341287002</v>
          </cell>
          <cell r="K35">
            <v>132341.506732665</v>
          </cell>
          <cell r="L35">
            <v>113830.54019009974</v>
          </cell>
          <cell r="M35">
            <v>77597.659299729159</v>
          </cell>
          <cell r="N35">
            <v>109787.63532149134</v>
          </cell>
          <cell r="O35">
            <v>91072.967364242271</v>
          </cell>
          <cell r="P35">
            <v>91322.366167450455</v>
          </cell>
          <cell r="Q35">
            <v>91312.986452432975</v>
          </cell>
          <cell r="R35">
            <v>57074.509241861029</v>
          </cell>
          <cell r="S35">
            <v>120291.93892626945</v>
          </cell>
          <cell r="T35">
            <v>29536.734523133433</v>
          </cell>
          <cell r="U35">
            <v>35047.607712565346</v>
          </cell>
          <cell r="V35">
            <v>60605.132297742799</v>
          </cell>
          <cell r="W35">
            <v>34489.185707299563</v>
          </cell>
          <cell r="X35">
            <v>0</v>
          </cell>
          <cell r="Y35">
            <v>0</v>
          </cell>
          <cell r="Z35">
            <v>1624036.7570000004</v>
          </cell>
          <cell r="AA35">
            <v>0</v>
          </cell>
          <cell r="AB35">
            <v>602.97</v>
          </cell>
          <cell r="AC35">
            <v>80.150000000000006</v>
          </cell>
          <cell r="AD35">
            <v>0</v>
          </cell>
          <cell r="AE35">
            <v>0</v>
          </cell>
          <cell r="AF35"/>
          <cell r="AG35"/>
          <cell r="AH35">
            <v>683.12</v>
          </cell>
          <cell r="AI35">
            <v>1624719.8770000006</v>
          </cell>
          <cell r="AJ35">
            <v>8649.3469999999998</v>
          </cell>
          <cell r="AK35">
            <v>0</v>
          </cell>
          <cell r="AL35">
            <v>11717.234999999999</v>
          </cell>
          <cell r="AM35"/>
          <cell r="AN35">
            <v>20366.581999999999</v>
          </cell>
          <cell r="AO35">
            <v>151715.75799999997</v>
          </cell>
          <cell r="AP35">
            <v>855.83600000000001</v>
          </cell>
          <cell r="AQ35"/>
          <cell r="AR35"/>
          <cell r="AS35">
            <v>152571.59399999998</v>
          </cell>
          <cell r="AT35">
            <v>0</v>
          </cell>
          <cell r="AU35">
            <v>0</v>
          </cell>
          <cell r="AV35">
            <v>627.50700000000006</v>
          </cell>
          <cell r="AW35">
            <v>0</v>
          </cell>
          <cell r="AX35">
            <v>-6079.0839999999989</v>
          </cell>
          <cell r="AY35"/>
          <cell r="AZ35"/>
          <cell r="BA35">
            <v>-5451.5769999999993</v>
          </cell>
          <cell r="BB35">
            <v>0</v>
          </cell>
          <cell r="BC35">
            <v>6860.5630000000001</v>
          </cell>
          <cell r="BD35">
            <v>0</v>
          </cell>
          <cell r="BE35">
            <v>278352.804</v>
          </cell>
          <cell r="BF35">
            <v>21326.463</v>
          </cell>
          <cell r="BG35">
            <v>0</v>
          </cell>
          <cell r="BH35"/>
          <cell r="BI35"/>
          <cell r="BJ35">
            <v>306539.83</v>
          </cell>
        </row>
        <row r="36">
          <cell r="F36">
            <v>4740781.26</v>
          </cell>
          <cell r="G36">
            <v>257224.25572768244</v>
          </cell>
          <cell r="H36">
            <v>290090.70248879801</v>
          </cell>
          <cell r="I36">
            <v>128057.64705178913</v>
          </cell>
          <cell r="J36">
            <v>239739.18665871309</v>
          </cell>
          <cell r="K36">
            <v>457940.2012673351</v>
          </cell>
          <cell r="L36">
            <v>496099.40680990019</v>
          </cell>
          <cell r="M36">
            <v>199259.64470027061</v>
          </cell>
          <cell r="N36">
            <v>313209.87767850916</v>
          </cell>
          <cell r="O36">
            <v>264055.63663575752</v>
          </cell>
          <cell r="P36">
            <v>366893.65483254951</v>
          </cell>
          <cell r="Q36">
            <v>385374.08254756691</v>
          </cell>
          <cell r="R36">
            <v>92307.849758139026</v>
          </cell>
          <cell r="S36">
            <v>453536.73007373034</v>
          </cell>
          <cell r="T36">
            <v>151080.72147686657</v>
          </cell>
          <cell r="U36">
            <v>196329.30728743481</v>
          </cell>
          <cell r="V36">
            <v>111395.95970225727</v>
          </cell>
          <cell r="W36">
            <v>207807.18029270048</v>
          </cell>
          <cell r="X36">
            <v>0</v>
          </cell>
          <cell r="Y36">
            <v>0</v>
          </cell>
          <cell r="Z36">
            <v>4610402.0449899947</v>
          </cell>
          <cell r="AA36">
            <v>44505.919000000002</v>
          </cell>
          <cell r="AB36">
            <v>-602.97</v>
          </cell>
          <cell r="AC36">
            <v>-80.150000000000006</v>
          </cell>
          <cell r="AD36">
            <v>22281.234</v>
          </cell>
          <cell r="AE36">
            <v>0</v>
          </cell>
          <cell r="AF36"/>
          <cell r="AG36"/>
          <cell r="AH36">
            <v>66104.03300000001</v>
          </cell>
          <cell r="AI36">
            <v>4676506.0779899955</v>
          </cell>
          <cell r="AJ36">
            <v>58332.984009999906</v>
          </cell>
          <cell r="AK36">
            <v>116427.39700000006</v>
          </cell>
          <cell r="AL36">
            <v>-11717.234999999999</v>
          </cell>
          <cell r="AM36"/>
          <cell r="AN36">
            <v>163043.14600999997</v>
          </cell>
          <cell r="AO36">
            <v>54577.89700000122</v>
          </cell>
          <cell r="AP36">
            <v>-855.83600000000001</v>
          </cell>
          <cell r="AQ36"/>
          <cell r="AR36"/>
          <cell r="AS36">
            <v>53722.061000001209</v>
          </cell>
          <cell r="AT36">
            <v>3588.7129999999997</v>
          </cell>
          <cell r="AU36">
            <v>35836.502</v>
          </cell>
          <cell r="AV36">
            <v>-627.50700000000006</v>
          </cell>
          <cell r="AW36">
            <v>80624.448000000004</v>
          </cell>
          <cell r="AX36">
            <v>6079.0839999999989</v>
          </cell>
          <cell r="AY36"/>
          <cell r="AZ36"/>
          <cell r="BA36">
            <v>125501.24</v>
          </cell>
          <cell r="BB36">
            <v>0</v>
          </cell>
          <cell r="BC36">
            <v>-5061.6630000000005</v>
          </cell>
          <cell r="BD36">
            <v>0</v>
          </cell>
          <cell r="BE36">
            <v>-278352.804</v>
          </cell>
          <cell r="BF36">
            <v>-21326.463</v>
          </cell>
          <cell r="BG36">
            <v>26749.665000000001</v>
          </cell>
          <cell r="BH36"/>
          <cell r="BI36"/>
          <cell r="BJ36">
            <v>-277991.26500000001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-9700</v>
          </cell>
          <cell r="AK38">
            <v>-24544</v>
          </cell>
          <cell r="AL38"/>
          <cell r="AM38"/>
          <cell r="AN38">
            <v>-34244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-619595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-313019</v>
          </cell>
          <cell r="AK39">
            <v>-306576</v>
          </cell>
          <cell r="AL39"/>
          <cell r="AM39"/>
          <cell r="AN39">
            <v>-619595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-619595</v>
          </cell>
          <cell r="G40"/>
          <cell r="H40"/>
          <cell r="I40"/>
          <cell r="J40"/>
          <cell r="K40">
            <v>-59476.800999999999</v>
          </cell>
          <cell r="L40">
            <v>-83306.013999999996</v>
          </cell>
          <cell r="M40">
            <v>484.91199999999998</v>
          </cell>
          <cell r="N40">
            <v>-10625.248</v>
          </cell>
          <cell r="O40">
            <v>-1390.4</v>
          </cell>
          <cell r="P40">
            <v>-6711.37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-161024.92099999997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-161024.92099999997</v>
          </cell>
          <cell r="AJ40">
            <v>-245312.329</v>
          </cell>
          <cell r="AK40">
            <v>-213257.75</v>
          </cell>
          <cell r="AL40"/>
          <cell r="AM40"/>
          <cell r="AN40">
            <v>-458570.07900000003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59476.800999999999</v>
          </cell>
          <cell r="L41">
            <v>83306.013999999996</v>
          </cell>
          <cell r="M41">
            <v>-484.91199999999998</v>
          </cell>
          <cell r="N41">
            <v>10625.248</v>
          </cell>
          <cell r="O41">
            <v>1390.4</v>
          </cell>
          <cell r="P41">
            <v>6711.37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161024.92099999997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/>
          <cell r="AG41"/>
          <cell r="AH41">
            <v>0</v>
          </cell>
          <cell r="AI41">
            <v>161024.92099999997</v>
          </cell>
          <cell r="AJ41">
            <v>-67706.671000000002</v>
          </cell>
          <cell r="AK41">
            <v>-93318.25</v>
          </cell>
          <cell r="AL41">
            <v>0</v>
          </cell>
          <cell r="AM41"/>
          <cell r="AN41">
            <v>-161024.92099999997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59476.800999999999</v>
          </cell>
          <cell r="L43">
            <v>83306.013999999996</v>
          </cell>
          <cell r="M43">
            <v>-484.91199999999998</v>
          </cell>
          <cell r="N43">
            <v>10625.248</v>
          </cell>
          <cell r="O43">
            <v>1390.4</v>
          </cell>
          <cell r="P43">
            <v>6711.37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161024.92099999997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/>
          <cell r="AG43"/>
          <cell r="AH43">
            <v>0</v>
          </cell>
          <cell r="AI43">
            <v>161024.92099999997</v>
          </cell>
          <cell r="AJ43">
            <v>-67706.671000000002</v>
          </cell>
          <cell r="AK43">
            <v>-93318.25</v>
          </cell>
          <cell r="AL43">
            <v>0</v>
          </cell>
          <cell r="AM43"/>
          <cell r="AN43">
            <v>-161024.92099999997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44440</v>
          </cell>
          <cell r="H45">
            <v>42674</v>
          </cell>
          <cell r="I45">
            <v>25552</v>
          </cell>
          <cell r="J45">
            <v>21686</v>
          </cell>
          <cell r="K45">
            <v>26724</v>
          </cell>
          <cell r="L45">
            <v>24087</v>
          </cell>
          <cell r="M45">
            <v>15829</v>
          </cell>
          <cell r="N45">
            <v>23173</v>
          </cell>
          <cell r="O45">
            <v>18102</v>
          </cell>
          <cell r="P45">
            <v>22044</v>
          </cell>
          <cell r="Q45">
            <v>21704.5</v>
          </cell>
          <cell r="R45">
            <v>11369</v>
          </cell>
          <cell r="S45">
            <v>30829</v>
          </cell>
          <cell r="T45">
            <v>7021.5</v>
          </cell>
          <cell r="U45">
            <v>8996.5</v>
          </cell>
          <cell r="V45">
            <v>11945</v>
          </cell>
          <cell r="W45">
            <v>8114</v>
          </cell>
          <cell r="X45">
            <v>0</v>
          </cell>
          <cell r="Y45">
            <v>0</v>
          </cell>
          <cell r="Z45">
            <v>364290.5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/>
          <cell r="AG45"/>
          <cell r="AH45">
            <v>0</v>
          </cell>
          <cell r="AI45">
            <v>364290.5</v>
          </cell>
          <cell r="AJ45">
            <v>6392</v>
          </cell>
          <cell r="AK45">
            <v>15824</v>
          </cell>
          <cell r="AL45">
            <v>0</v>
          </cell>
          <cell r="AM45"/>
          <cell r="AN45">
            <v>22216</v>
          </cell>
          <cell r="AO45">
            <v>9838.5779999999995</v>
          </cell>
          <cell r="AP45">
            <v>0</v>
          </cell>
          <cell r="AQ45"/>
          <cell r="AR45"/>
          <cell r="AS45">
            <v>9838.5779999999995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46418584.365999997</v>
          </cell>
          <cell r="G46">
            <v>4017108.6570000001</v>
          </cell>
          <cell r="H46">
            <v>3907191.8810000001</v>
          </cell>
          <cell r="I46">
            <v>2311842.6750000003</v>
          </cell>
          <cell r="J46">
            <v>1891971.078</v>
          </cell>
          <cell r="K46">
            <v>2712127.6</v>
          </cell>
          <cell r="L46">
            <v>2411661.7000000002</v>
          </cell>
          <cell r="M46">
            <v>1540555.9</v>
          </cell>
          <cell r="N46">
            <v>2297117.7000000002</v>
          </cell>
          <cell r="O46">
            <v>1686485.4</v>
          </cell>
          <cell r="P46">
            <v>2043243.5</v>
          </cell>
          <cell r="Q46">
            <v>2074421</v>
          </cell>
          <cell r="R46">
            <v>1063213</v>
          </cell>
          <cell r="S46">
            <v>2876187.15</v>
          </cell>
          <cell r="T46">
            <v>709569.91799999995</v>
          </cell>
          <cell r="U46">
            <v>873914.34900000005</v>
          </cell>
          <cell r="V46">
            <v>1080142.209</v>
          </cell>
          <cell r="W46">
            <v>969006.93599999999</v>
          </cell>
          <cell r="X46">
            <v>0</v>
          </cell>
          <cell r="Y46">
            <v>0</v>
          </cell>
          <cell r="Z46">
            <v>34465760.652999997</v>
          </cell>
          <cell r="AA46">
            <v>50000</v>
          </cell>
          <cell r="AB46">
            <v>0</v>
          </cell>
          <cell r="AC46">
            <v>0</v>
          </cell>
          <cell r="AD46">
            <v>28340</v>
          </cell>
          <cell r="AE46">
            <v>0</v>
          </cell>
          <cell r="AF46"/>
          <cell r="AG46"/>
          <cell r="AH46">
            <v>78340</v>
          </cell>
          <cell r="AI46">
            <v>34544100.652999997</v>
          </cell>
          <cell r="AJ46">
            <v>228553.09999999998</v>
          </cell>
          <cell r="AK46">
            <v>166640</v>
          </cell>
          <cell r="AL46">
            <v>0</v>
          </cell>
          <cell r="AM46"/>
          <cell r="AN46">
            <v>395193.1</v>
          </cell>
          <cell r="AO46">
            <v>11359969.265000001</v>
          </cell>
          <cell r="AP46">
            <v>0</v>
          </cell>
          <cell r="AQ46"/>
          <cell r="AR46"/>
          <cell r="AS46">
            <v>11359969.265000001</v>
          </cell>
          <cell r="AT46">
            <v>5000</v>
          </cell>
          <cell r="AU46">
            <v>31898</v>
          </cell>
          <cell r="AV46">
            <v>0</v>
          </cell>
          <cell r="AW46">
            <v>80624.448000000004</v>
          </cell>
          <cell r="AX46">
            <v>0</v>
          </cell>
          <cell r="AY46"/>
          <cell r="AZ46"/>
          <cell r="BA46">
            <v>117522.448</v>
          </cell>
          <cell r="BB46">
            <v>0</v>
          </cell>
          <cell r="BC46">
            <v>1798.9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1798.9</v>
          </cell>
        </row>
        <row r="47">
          <cell r="F47">
            <v>39579056.799999997</v>
          </cell>
          <cell r="G47">
            <v>3578456.5910100001</v>
          </cell>
          <cell r="H47">
            <v>3424951.9590000003</v>
          </cell>
          <cell r="I47">
            <v>2066941.227</v>
          </cell>
          <cell r="J47">
            <v>1562926.7349999999</v>
          </cell>
          <cell r="K47">
            <v>2062369.091</v>
          </cell>
          <cell r="L47">
            <v>1718425.7390000003</v>
          </cell>
          <cell r="M47">
            <v>1264183.5080000001</v>
          </cell>
          <cell r="N47">
            <v>1863494.9389999998</v>
          </cell>
          <cell r="O47">
            <v>1329966.3960000002</v>
          </cell>
          <cell r="P47">
            <v>1578316.1089999999</v>
          </cell>
          <cell r="Q47">
            <v>1597733.9310000001</v>
          </cell>
          <cell r="R47">
            <v>913830.64099999995</v>
          </cell>
          <cell r="S47">
            <v>2302358.4810000001</v>
          </cell>
          <cell r="T47">
            <v>528952.46199999994</v>
          </cell>
          <cell r="U47">
            <v>642537.43399999989</v>
          </cell>
          <cell r="V47">
            <v>908141.11699999997</v>
          </cell>
          <cell r="W47">
            <v>726710.57</v>
          </cell>
          <cell r="X47">
            <v>0</v>
          </cell>
          <cell r="Y47">
            <v>0</v>
          </cell>
          <cell r="Z47">
            <v>28070296.930010002</v>
          </cell>
          <cell r="AA47">
            <v>5494.0810000000001</v>
          </cell>
          <cell r="AB47">
            <v>0</v>
          </cell>
          <cell r="AC47">
            <v>0</v>
          </cell>
          <cell r="AD47">
            <v>6058.7659999999996</v>
          </cell>
          <cell r="AE47">
            <v>0</v>
          </cell>
          <cell r="AF47"/>
          <cell r="AG47"/>
          <cell r="AH47">
            <v>11552.847</v>
          </cell>
          <cell r="AI47">
            <v>28081849.777010001</v>
          </cell>
          <cell r="AJ47">
            <v>229277.43999000007</v>
          </cell>
          <cell r="AK47">
            <v>143530.85299999994</v>
          </cell>
          <cell r="AL47">
            <v>0</v>
          </cell>
          <cell r="AM47"/>
          <cell r="AN47">
            <v>372808.29298999999</v>
          </cell>
          <cell r="AO47">
            <v>11153675.609999999</v>
          </cell>
          <cell r="AP47">
            <v>0</v>
          </cell>
          <cell r="AQ47"/>
          <cell r="AR47"/>
          <cell r="AS47">
            <v>11153675.609999999</v>
          </cell>
          <cell r="AT47">
            <v>1411.287</v>
          </cell>
          <cell r="AU47">
            <v>-3938.5020000000004</v>
          </cell>
          <cell r="AV47">
            <v>0</v>
          </cell>
          <cell r="AW47">
            <v>0</v>
          </cell>
          <cell r="AX47">
            <v>0</v>
          </cell>
          <cell r="AY47"/>
          <cell r="AZ47"/>
          <cell r="BA47">
            <v>-2527.2150000000001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-26749.665000000001</v>
          </cell>
          <cell r="BH47"/>
          <cell r="BI47"/>
          <cell r="BJ47">
            <v>-26749.665000000001</v>
          </cell>
        </row>
        <row r="48">
          <cell r="F48">
            <v>6839527.5659999996</v>
          </cell>
          <cell r="G48">
            <v>438652.06599000003</v>
          </cell>
          <cell r="H48">
            <v>482239.92199999979</v>
          </cell>
          <cell r="I48">
            <v>244901.44800000032</v>
          </cell>
          <cell r="J48">
            <v>329044.34300000011</v>
          </cell>
          <cell r="K48">
            <v>649758.50900000008</v>
          </cell>
          <cell r="L48">
            <v>693235.96099999989</v>
          </cell>
          <cell r="M48">
            <v>276372.39199999976</v>
          </cell>
          <cell r="N48">
            <v>433622.76100000041</v>
          </cell>
          <cell r="O48">
            <v>356519.00399999972</v>
          </cell>
          <cell r="P48">
            <v>464927.39100000006</v>
          </cell>
          <cell r="Q48">
            <v>476687.0689999999</v>
          </cell>
          <cell r="R48">
            <v>149382.35900000005</v>
          </cell>
          <cell r="S48">
            <v>573828.66899999976</v>
          </cell>
          <cell r="T48">
            <v>180617.45600000001</v>
          </cell>
          <cell r="U48">
            <v>231376.91500000015</v>
          </cell>
          <cell r="V48">
            <v>172001.09200000006</v>
          </cell>
          <cell r="W48">
            <v>242296.36600000004</v>
          </cell>
          <cell r="X48">
            <v>0</v>
          </cell>
          <cell r="Y48">
            <v>0</v>
          </cell>
          <cell r="Z48">
            <v>6395463.722989995</v>
          </cell>
          <cell r="AA48">
            <v>44505.919000000002</v>
          </cell>
          <cell r="AB48">
            <v>0</v>
          </cell>
          <cell r="AC48">
            <v>0</v>
          </cell>
          <cell r="AD48">
            <v>22281.234</v>
          </cell>
          <cell r="AE48">
            <v>0</v>
          </cell>
          <cell r="AF48"/>
          <cell r="AG48"/>
          <cell r="AH48">
            <v>66787.153000000006</v>
          </cell>
          <cell r="AI48">
            <v>6462250.8759899959</v>
          </cell>
          <cell r="AJ48">
            <v>-724.33999000009499</v>
          </cell>
          <cell r="AK48">
            <v>23109.147000000055</v>
          </cell>
          <cell r="AL48">
            <v>0</v>
          </cell>
          <cell r="AM48"/>
          <cell r="AN48">
            <v>22384.80700999999</v>
          </cell>
          <cell r="AO48">
            <v>206293.65500000119</v>
          </cell>
          <cell r="AP48">
            <v>0</v>
          </cell>
          <cell r="AQ48"/>
          <cell r="AR48"/>
          <cell r="AS48">
            <v>206293.65500000119</v>
          </cell>
          <cell r="AT48">
            <v>3588.7129999999997</v>
          </cell>
          <cell r="AU48">
            <v>35836.502</v>
          </cell>
          <cell r="AV48">
            <v>0</v>
          </cell>
          <cell r="AW48">
            <v>80624.448000000004</v>
          </cell>
          <cell r="AX48">
            <v>0</v>
          </cell>
          <cell r="AY48"/>
          <cell r="AZ48"/>
          <cell r="BA48">
            <v>120049.663</v>
          </cell>
          <cell r="BB48">
            <v>0</v>
          </cell>
          <cell r="BC48">
            <v>1798.9</v>
          </cell>
          <cell r="BD48">
            <v>0</v>
          </cell>
          <cell r="BE48">
            <v>0</v>
          </cell>
          <cell r="BF48">
            <v>0</v>
          </cell>
          <cell r="BG48">
            <v>26749.665000000001</v>
          </cell>
          <cell r="BH48"/>
          <cell r="BI48"/>
          <cell r="BJ48">
            <v>28548.565000000002</v>
          </cell>
        </row>
        <row r="49">
          <cell r="F49">
            <v>2098746.3060000003</v>
          </cell>
          <cell r="G49">
            <v>181427.81026231759</v>
          </cell>
          <cell r="H49">
            <v>192149.21951120178</v>
          </cell>
          <cell r="I49">
            <v>116843.8009482112</v>
          </cell>
          <cell r="J49">
            <v>89305.156341287002</v>
          </cell>
          <cell r="K49">
            <v>132341.506732665</v>
          </cell>
          <cell r="L49">
            <v>113830.54019009974</v>
          </cell>
          <cell r="M49">
            <v>77597.659299729159</v>
          </cell>
          <cell r="N49">
            <v>109787.63532149134</v>
          </cell>
          <cell r="O49">
            <v>91072.967364242271</v>
          </cell>
          <cell r="P49">
            <v>91322.366167450455</v>
          </cell>
          <cell r="Q49">
            <v>91312.986452432975</v>
          </cell>
          <cell r="R49">
            <v>57074.509241861029</v>
          </cell>
          <cell r="S49">
            <v>120291.93892626945</v>
          </cell>
          <cell r="T49">
            <v>29536.734523133433</v>
          </cell>
          <cell r="U49">
            <v>35047.607712565346</v>
          </cell>
          <cell r="V49">
            <v>60605.132297742799</v>
          </cell>
          <cell r="W49">
            <v>34489.185707299563</v>
          </cell>
          <cell r="X49">
            <v>0</v>
          </cell>
          <cell r="Y49">
            <v>0</v>
          </cell>
          <cell r="Z49">
            <v>1624036.7570000004</v>
          </cell>
          <cell r="AA49">
            <v>0</v>
          </cell>
          <cell r="AB49">
            <v>602.97</v>
          </cell>
          <cell r="AC49">
            <v>80.150000000000006</v>
          </cell>
          <cell r="AD49">
            <v>0</v>
          </cell>
          <cell r="AE49">
            <v>0</v>
          </cell>
          <cell r="AF49"/>
          <cell r="AG49"/>
          <cell r="AH49">
            <v>683.12</v>
          </cell>
          <cell r="AI49">
            <v>1624719.8770000006</v>
          </cell>
          <cell r="AJ49">
            <v>8649.3469999999998</v>
          </cell>
          <cell r="AK49">
            <v>0</v>
          </cell>
          <cell r="AL49">
            <v>11717.234999999999</v>
          </cell>
          <cell r="AM49"/>
          <cell r="AN49">
            <v>20366.581999999999</v>
          </cell>
          <cell r="AO49">
            <v>151715.75799999997</v>
          </cell>
          <cell r="AP49">
            <v>855.83600000000001</v>
          </cell>
          <cell r="AQ49"/>
          <cell r="AR49"/>
          <cell r="AS49">
            <v>152571.59399999998</v>
          </cell>
          <cell r="AT49">
            <v>0</v>
          </cell>
          <cell r="AU49">
            <v>0</v>
          </cell>
          <cell r="AV49">
            <v>627.50700000000006</v>
          </cell>
          <cell r="AW49">
            <v>0</v>
          </cell>
          <cell r="AX49">
            <v>-6079.0839999999989</v>
          </cell>
          <cell r="AY49"/>
          <cell r="AZ49"/>
          <cell r="BA49">
            <v>-5451.5769999999993</v>
          </cell>
          <cell r="BB49">
            <v>0</v>
          </cell>
          <cell r="BC49">
            <v>6860.5630000000001</v>
          </cell>
          <cell r="BD49">
            <v>0</v>
          </cell>
          <cell r="BE49">
            <v>278352.804</v>
          </cell>
          <cell r="BF49">
            <v>21326.463</v>
          </cell>
          <cell r="BG49">
            <v>0</v>
          </cell>
          <cell r="BH49"/>
          <cell r="BI49"/>
          <cell r="BJ49">
            <v>306539.83</v>
          </cell>
        </row>
        <row r="50">
          <cell r="F50">
            <v>4740781.26</v>
          </cell>
          <cell r="G50">
            <v>257224.25572768244</v>
          </cell>
          <cell r="H50">
            <v>290090.70248879801</v>
          </cell>
          <cell r="I50">
            <v>128057.64705178913</v>
          </cell>
          <cell r="J50">
            <v>239739.18665871309</v>
          </cell>
          <cell r="K50">
            <v>517417.00226733508</v>
          </cell>
          <cell r="L50">
            <v>579405.42080990016</v>
          </cell>
          <cell r="M50">
            <v>198774.7327002706</v>
          </cell>
          <cell r="N50">
            <v>323835.12567850907</v>
          </cell>
          <cell r="O50">
            <v>265446.03663575742</v>
          </cell>
          <cell r="P50">
            <v>373605.02483254962</v>
          </cell>
          <cell r="Q50">
            <v>385374.08254756691</v>
          </cell>
          <cell r="R50">
            <v>92307.849758139026</v>
          </cell>
          <cell r="S50">
            <v>453536.73007373034</v>
          </cell>
          <cell r="T50">
            <v>151080.72147686657</v>
          </cell>
          <cell r="U50">
            <v>196329.30728743481</v>
          </cell>
          <cell r="V50">
            <v>111395.95970225727</v>
          </cell>
          <cell r="W50">
            <v>207807.18029270048</v>
          </cell>
          <cell r="X50">
            <v>0</v>
          </cell>
          <cell r="Y50">
            <v>0</v>
          </cell>
          <cell r="Z50">
            <v>4771426.9659899948</v>
          </cell>
          <cell r="AA50">
            <v>44505.919000000002</v>
          </cell>
          <cell r="AB50">
            <v>-602.97</v>
          </cell>
          <cell r="AC50">
            <v>-80.150000000000006</v>
          </cell>
          <cell r="AD50">
            <v>22281.234</v>
          </cell>
          <cell r="AE50">
            <v>0</v>
          </cell>
          <cell r="AF50"/>
          <cell r="AG50"/>
          <cell r="AH50">
            <v>66104.03300000001</v>
          </cell>
          <cell r="AI50">
            <v>4837530.9989899956</v>
          </cell>
          <cell r="AJ50">
            <v>-9373.6869900000947</v>
          </cell>
          <cell r="AK50">
            <v>23109.147000000055</v>
          </cell>
          <cell r="AL50">
            <v>-11717.234999999999</v>
          </cell>
          <cell r="AM50"/>
          <cell r="AN50">
            <v>2018.225009999991</v>
          </cell>
          <cell r="AO50">
            <v>54577.89700000122</v>
          </cell>
          <cell r="AP50">
            <v>-855.83600000000001</v>
          </cell>
          <cell r="AQ50"/>
          <cell r="AR50"/>
          <cell r="AS50">
            <v>53722.061000001209</v>
          </cell>
          <cell r="AT50">
            <v>3588.7129999999997</v>
          </cell>
          <cell r="AU50">
            <v>35836.502</v>
          </cell>
          <cell r="AV50">
            <v>-627.50700000000006</v>
          </cell>
          <cell r="AW50">
            <v>80624.448000000004</v>
          </cell>
          <cell r="AX50">
            <v>6079.0839999999989</v>
          </cell>
          <cell r="AY50"/>
          <cell r="AZ50"/>
          <cell r="BA50">
            <v>125501.24</v>
          </cell>
          <cell r="BB50">
            <v>0</v>
          </cell>
          <cell r="BC50">
            <v>-5061.6630000000005</v>
          </cell>
          <cell r="BD50">
            <v>0</v>
          </cell>
          <cell r="BE50">
            <v>-278352.804</v>
          </cell>
          <cell r="BF50">
            <v>-21326.463</v>
          </cell>
          <cell r="BG50">
            <v>26749.665000000001</v>
          </cell>
          <cell r="BH50"/>
          <cell r="BI50"/>
          <cell r="BJ50">
            <v>-277991.26500000001</v>
          </cell>
        </row>
        <row r="53">
          <cell r="J53"/>
        </row>
        <row r="54">
          <cell r="J54"/>
        </row>
      </sheetData>
      <sheetData sheetId="8"/>
      <sheetData sheetId="9">
        <row r="6">
          <cell r="F6" t="str">
            <v>합계</v>
          </cell>
        </row>
      </sheetData>
      <sheetData sheetId="10">
        <row r="6">
          <cell r="F6" t="str">
            <v>합계</v>
          </cell>
        </row>
      </sheetData>
      <sheetData sheetId="11">
        <row r="6">
          <cell r="F6" t="str">
            <v>합계</v>
          </cell>
        </row>
      </sheetData>
      <sheetData sheetId="12"/>
      <sheetData sheetId="13">
        <row r="6">
          <cell r="F6" t="str">
            <v>합계</v>
          </cell>
        </row>
      </sheetData>
      <sheetData sheetId="14">
        <row r="6">
          <cell r="F6" t="str">
            <v>합계</v>
          </cell>
        </row>
      </sheetData>
      <sheetData sheetId="15">
        <row r="6">
          <cell r="F6" t="str">
            <v>합계</v>
          </cell>
        </row>
      </sheetData>
      <sheetData sheetId="16">
        <row r="6">
          <cell r="F6" t="str">
            <v>합계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F6" t="str">
            <v>합계</v>
          </cell>
        </row>
      </sheetData>
      <sheetData sheetId="27">
        <row r="6">
          <cell r="F6" t="str">
            <v>합계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>
        <row r="7">
          <cell r="J7">
            <v>470</v>
          </cell>
          <cell r="K7">
            <v>496.44200000000001</v>
          </cell>
          <cell r="M7">
            <v>592.58249999999998</v>
          </cell>
        </row>
        <row r="8">
          <cell r="J8">
            <v>13300</v>
          </cell>
          <cell r="K8">
            <v>13070.494999999999</v>
          </cell>
          <cell r="M8">
            <v>15329.127</v>
          </cell>
        </row>
        <row r="9">
          <cell r="J9">
            <v>143.49105183509076</v>
          </cell>
          <cell r="K9">
            <v>149.78899999999999</v>
          </cell>
          <cell r="M9">
            <v>130.63300000000001</v>
          </cell>
        </row>
        <row r="10">
          <cell r="J10">
            <v>47114.619979259565</v>
          </cell>
          <cell r="K10">
            <v>50097.188472999995</v>
          </cell>
          <cell r="M10">
            <v>55039.755888</v>
          </cell>
        </row>
        <row r="11">
          <cell r="J11">
            <v>16278.141052631581</v>
          </cell>
          <cell r="K11">
            <v>14173.615142000001</v>
          </cell>
          <cell r="M11">
            <v>18603.105296000002</v>
          </cell>
        </row>
        <row r="12">
          <cell r="J12">
            <v>3002.6793344193852</v>
          </cell>
          <cell r="K12">
            <v>3016.6064999999999</v>
          </cell>
          <cell r="M12">
            <v>2512.8432000000003</v>
          </cell>
        </row>
        <row r="13">
          <cell r="J13">
            <v>329.81500066665876</v>
          </cell>
          <cell r="K13">
            <v>329.00067000000126</v>
          </cell>
          <cell r="M13">
            <v>348.21019500000079</v>
          </cell>
        </row>
        <row r="15">
          <cell r="J15">
            <v>41328.911725779733</v>
          </cell>
          <cell r="K15">
            <v>44742.196586999999</v>
          </cell>
          <cell r="M15">
            <v>46823.388505990006</v>
          </cell>
        </row>
        <row r="16">
          <cell r="J16">
            <v>15861.563406821053</v>
          </cell>
          <cell r="K16">
            <v>13803.102256999999</v>
          </cell>
          <cell r="M16">
            <v>18234.321037000002</v>
          </cell>
        </row>
        <row r="17">
          <cell r="J17">
            <v>2790.955299459516</v>
          </cell>
          <cell r="K17">
            <v>2664.8506580000003</v>
          </cell>
          <cell r="M17">
            <v>2324.0547459999998</v>
          </cell>
        </row>
        <row r="18">
          <cell r="J18">
            <v>57.763034999997899</v>
          </cell>
          <cell r="K18">
            <v>56.940114000006588</v>
          </cell>
          <cell r="M18">
            <v>49.173497000003408</v>
          </cell>
        </row>
        <row r="25">
          <cell r="J25">
            <v>1323.2925899999998</v>
          </cell>
          <cell r="K25">
            <v>1333.5028889999999</v>
          </cell>
          <cell r="M25">
            <v>1347.6222260000004</v>
          </cell>
        </row>
        <row r="26">
          <cell r="J26">
            <v>250.64597000000003</v>
          </cell>
          <cell r="K26">
            <v>253.40099500000002</v>
          </cell>
          <cell r="M26">
            <v>217.15808200000001</v>
          </cell>
        </row>
        <row r="27">
          <cell r="J27">
            <v>74.018519999999995</v>
          </cell>
          <cell r="K27">
            <v>88.502744447372038</v>
          </cell>
          <cell r="M27">
            <v>36.349198999999999</v>
          </cell>
        </row>
        <row r="28">
          <cell r="J28">
            <v>2621.6459492778722</v>
          </cell>
          <cell r="K28">
            <v>2399.5895875537476</v>
          </cell>
          <cell r="M28">
            <v>2192.3358689999995</v>
          </cell>
        </row>
        <row r="38">
          <cell r="J38">
            <v>2416.4588706390232</v>
          </cell>
          <cell r="K38">
            <v>2274.3249529988711</v>
          </cell>
          <cell r="M38">
            <v>5279.5114170099996</v>
          </cell>
        </row>
      </sheetData>
      <sheetData sheetId="2"/>
      <sheetData sheetId="3">
        <row r="7">
          <cell r="J7">
            <v>73</v>
          </cell>
          <cell r="K7">
            <v>83.473000000000013</v>
          </cell>
          <cell r="M7">
            <v>88.853000000000009</v>
          </cell>
          <cell r="O7">
            <v>7061.5275000000001</v>
          </cell>
          <cell r="P7">
            <v>8145.4069</v>
          </cell>
          <cell r="R7">
            <v>8024.5553599999994</v>
          </cell>
          <cell r="T7">
            <v>622.57957482653819</v>
          </cell>
          <cell r="U7">
            <v>788.53204400000004</v>
          </cell>
          <cell r="W7">
            <v>1021.0494040000005</v>
          </cell>
        </row>
        <row r="8">
          <cell r="J8">
            <v>52</v>
          </cell>
          <cell r="K8">
            <v>51.84</v>
          </cell>
          <cell r="M8">
            <v>62.800000000000004</v>
          </cell>
          <cell r="O8">
            <v>5078.6580599999998</v>
          </cell>
          <cell r="P8">
            <v>5123.5698490000004</v>
          </cell>
          <cell r="R8">
            <v>5646.3011200000001</v>
          </cell>
          <cell r="T8">
            <v>197.8356991611488</v>
          </cell>
          <cell r="U8">
            <v>240.88270400000067</v>
          </cell>
          <cell r="W8">
            <v>402.0419519999997</v>
          </cell>
        </row>
        <row r="9">
          <cell r="J9">
            <v>41</v>
          </cell>
          <cell r="K9">
            <v>41.352000000000004</v>
          </cell>
          <cell r="M9">
            <v>44.329000000000001</v>
          </cell>
          <cell r="O9">
            <v>3937.8058952595693</v>
          </cell>
          <cell r="P9">
            <v>4220.6218449999997</v>
          </cell>
          <cell r="R9">
            <v>3901.5158240000001</v>
          </cell>
          <cell r="T9">
            <v>314.09598725249572</v>
          </cell>
          <cell r="U9">
            <v>241.86419099999995</v>
          </cell>
          <cell r="W9">
            <v>167.75494001000015</v>
          </cell>
        </row>
        <row r="10">
          <cell r="J10">
            <v>18</v>
          </cell>
          <cell r="K10">
            <v>11.157999999999999</v>
          </cell>
          <cell r="M10">
            <v>20.529499999999999</v>
          </cell>
          <cell r="O10">
            <v>1666.0810000000001</v>
          </cell>
          <cell r="P10">
            <v>1056.8849909999999</v>
          </cell>
          <cell r="R10">
            <v>1744.2662909999999</v>
          </cell>
          <cell r="T10">
            <v>13.627931934868629</v>
          </cell>
          <cell r="U10">
            <v>-120.97256200000004</v>
          </cell>
          <cell r="W10">
            <v>71.934781000000001</v>
          </cell>
        </row>
        <row r="11">
          <cell r="J11">
            <v>34</v>
          </cell>
          <cell r="K11">
            <v>40.465000000000003</v>
          </cell>
          <cell r="M11">
            <v>49.607999999999997</v>
          </cell>
          <cell r="O11">
            <v>3658.3966590000005</v>
          </cell>
          <cell r="P11">
            <v>4393.8047659999993</v>
          </cell>
          <cell r="R11">
            <v>5084.8670000000002</v>
          </cell>
          <cell r="T11">
            <v>442.56726111294188</v>
          </cell>
          <cell r="U11">
            <v>500.25937499999986</v>
          </cell>
          <cell r="W11">
            <v>980.79131399999972</v>
          </cell>
        </row>
        <row r="12">
          <cell r="J12">
            <v>40</v>
          </cell>
          <cell r="K12">
            <v>40.751000000000005</v>
          </cell>
          <cell r="M12">
            <v>45.21</v>
          </cell>
          <cell r="O12">
            <v>4141.5398000000005</v>
          </cell>
          <cell r="P12">
            <v>4067.8206200000004</v>
          </cell>
          <cell r="R12">
            <v>4215.3068000000003</v>
          </cell>
          <cell r="T12">
            <v>616.12547407411489</v>
          </cell>
          <cell r="U12">
            <v>316.89600099999996</v>
          </cell>
          <cell r="W12">
            <v>576.25843299999974</v>
          </cell>
        </row>
        <row r="13">
          <cell r="J13">
            <v>21</v>
          </cell>
          <cell r="K13">
            <v>20.978000000000002</v>
          </cell>
          <cell r="M13">
            <v>23.195</v>
          </cell>
          <cell r="O13">
            <v>2120.9916000000003</v>
          </cell>
          <cell r="P13">
            <v>2115.8959</v>
          </cell>
          <cell r="R13">
            <v>2178.922</v>
          </cell>
          <cell r="T13">
            <v>194.41680472880901</v>
          </cell>
          <cell r="U13">
            <v>99.251054999999965</v>
          </cell>
          <cell r="W13">
            <v>202.49287000000004</v>
          </cell>
        </row>
        <row r="14">
          <cell r="J14">
            <v>34</v>
          </cell>
          <cell r="K14">
            <v>36.4955</v>
          </cell>
          <cell r="M14">
            <v>38.427</v>
          </cell>
          <cell r="O14">
            <v>3536</v>
          </cell>
          <cell r="P14">
            <v>3711.5430499999998</v>
          </cell>
          <cell r="R14">
            <v>3798.9180200000001</v>
          </cell>
          <cell r="T14">
            <v>451.18986218235545</v>
          </cell>
          <cell r="U14">
            <v>291.83418799999964</v>
          </cell>
          <cell r="W14">
            <v>622.87115499999993</v>
          </cell>
        </row>
        <row r="15">
          <cell r="J15">
            <v>20</v>
          </cell>
          <cell r="K15">
            <v>23.422000000000001</v>
          </cell>
          <cell r="M15">
            <v>24.981999999999999</v>
          </cell>
          <cell r="O15">
            <v>1923.6864639999997</v>
          </cell>
          <cell r="P15">
            <v>2236.5023300000003</v>
          </cell>
          <cell r="R15">
            <v>2318.7713320000003</v>
          </cell>
          <cell r="T15">
            <v>211.73756275475523</v>
          </cell>
          <cell r="U15">
            <v>250.79478700000004</v>
          </cell>
          <cell r="W15">
            <v>326.81266099999993</v>
          </cell>
        </row>
        <row r="16">
          <cell r="J16">
            <v>28</v>
          </cell>
          <cell r="K16">
            <v>32.768000000000001</v>
          </cell>
          <cell r="M16">
            <v>38.298999999999999</v>
          </cell>
          <cell r="O16">
            <v>2788.4079999999999</v>
          </cell>
          <cell r="P16">
            <v>3382.2042999999999</v>
          </cell>
          <cell r="R16">
            <v>3546.1466</v>
          </cell>
          <cell r="T16">
            <v>382.3016435769282</v>
          </cell>
          <cell r="U16">
            <v>520.35788100000002</v>
          </cell>
          <cell r="W16">
            <v>635.5841039999998</v>
          </cell>
        </row>
        <row r="17">
          <cell r="J17">
            <v>27</v>
          </cell>
          <cell r="K17">
            <v>28.7515</v>
          </cell>
          <cell r="M17">
            <v>42.192999999999998</v>
          </cell>
          <cell r="O17">
            <v>2640.5999999999995</v>
          </cell>
          <cell r="P17">
            <v>2906.5255999999999</v>
          </cell>
          <cell r="R17">
            <v>3708.9423500000003</v>
          </cell>
          <cell r="T17">
            <v>357.25256260454393</v>
          </cell>
          <cell r="U17">
            <v>421.89956799999993</v>
          </cell>
          <cell r="W17">
            <v>572.70908100000008</v>
          </cell>
        </row>
        <row r="18">
          <cell r="J18">
            <v>9</v>
          </cell>
          <cell r="K18">
            <v>10.1715</v>
          </cell>
          <cell r="M18">
            <v>18.570499999999999</v>
          </cell>
          <cell r="O18">
            <v>879.69715999999994</v>
          </cell>
          <cell r="P18">
            <v>1048.3277499999999</v>
          </cell>
          <cell r="R18">
            <v>1758.20145</v>
          </cell>
          <cell r="T18">
            <v>-108.53527516548475</v>
          </cell>
          <cell r="U18">
            <v>-68.738831999999945</v>
          </cell>
          <cell r="W18">
            <v>103.13011499999996</v>
          </cell>
        </row>
        <row r="19">
          <cell r="J19">
            <v>30</v>
          </cell>
          <cell r="K19">
            <v>40.47</v>
          </cell>
          <cell r="M19">
            <v>47.819000000000003</v>
          </cell>
          <cell r="O19">
            <v>3029.9948999999997</v>
          </cell>
          <cell r="P19">
            <v>3979.3380510000006</v>
          </cell>
          <cell r="R19">
            <v>4442.1238919999996</v>
          </cell>
          <cell r="T19">
            <v>252.8671306684968</v>
          </cell>
          <cell r="U19">
            <v>193.74319600000018</v>
          </cell>
          <cell r="W19">
            <v>607.32532299999957</v>
          </cell>
        </row>
        <row r="20">
          <cell r="J20">
            <v>20</v>
          </cell>
          <cell r="K20">
            <v>8.83</v>
          </cell>
          <cell r="M20">
            <v>16.299500000000002</v>
          </cell>
          <cell r="O20">
            <v>2014.9649010000003</v>
          </cell>
          <cell r="P20">
            <v>874.29073600000004</v>
          </cell>
          <cell r="R20">
            <v>1424.6024910000001</v>
          </cell>
          <cell r="T20">
            <v>226.59253591915467</v>
          </cell>
          <cell r="U20">
            <v>-56.857422000000021</v>
          </cell>
          <cell r="W20">
            <v>25.509294999999995</v>
          </cell>
        </row>
        <row r="21">
          <cell r="J21">
            <v>8</v>
          </cell>
          <cell r="K21">
            <v>12.917000000000002</v>
          </cell>
          <cell r="M21">
            <v>13.123999999999999</v>
          </cell>
          <cell r="O21">
            <v>867.36804000000006</v>
          </cell>
          <cell r="P21">
            <v>1329.6202600000001</v>
          </cell>
          <cell r="R21">
            <v>1187.565963</v>
          </cell>
          <cell r="T21">
            <v>133.89785894096619</v>
          </cell>
          <cell r="U21">
            <v>261.78264400000006</v>
          </cell>
          <cell r="W21">
            <v>199.94210899999993</v>
          </cell>
        </row>
        <row r="22">
          <cell r="J22">
            <v>7</v>
          </cell>
          <cell r="K22">
            <v>6.9394999999999998</v>
          </cell>
          <cell r="M22">
            <v>4.7050000000000001</v>
          </cell>
          <cell r="O22">
            <v>755.3</v>
          </cell>
          <cell r="P22">
            <v>776.63979999999992</v>
          </cell>
          <cell r="R22">
            <v>455.71379999999999</v>
          </cell>
          <cell r="T22">
            <v>54.619080173921375</v>
          </cell>
          <cell r="U22">
            <v>89.717245999999989</v>
          </cell>
          <cell r="W22">
            <v>-12.320387000000053</v>
          </cell>
        </row>
        <row r="23">
          <cell r="J23">
            <v>8</v>
          </cell>
          <cell r="K23">
            <v>5.66</v>
          </cell>
          <cell r="M23">
            <v>13.638999999999999</v>
          </cell>
          <cell r="O23">
            <v>1013.6</v>
          </cell>
          <cell r="P23">
            <v>728.19172499999991</v>
          </cell>
          <cell r="R23">
            <v>1603.0355949999998</v>
          </cell>
          <cell r="T23">
            <v>99.243968733285016</v>
          </cell>
          <cell r="U23">
            <v>50.242932999999965</v>
          </cell>
          <cell r="W23">
            <v>364.8580060000001</v>
          </cell>
        </row>
        <row r="28">
          <cell r="J28">
            <v>13300</v>
          </cell>
          <cell r="K28">
            <v>13070.494999999999</v>
          </cell>
          <cell r="M28">
            <v>15329.127</v>
          </cell>
          <cell r="O28">
            <v>16278.141052631581</v>
          </cell>
          <cell r="P28">
            <v>14173.615142000001</v>
          </cell>
          <cell r="R28">
            <v>18603.105296000002</v>
          </cell>
          <cell r="T28">
            <v>165.93167581052865</v>
          </cell>
          <cell r="U28">
            <v>117.11188999999979</v>
          </cell>
          <cell r="W28">
            <v>151.62617699999959</v>
          </cell>
        </row>
        <row r="29">
          <cell r="J29">
            <v>42.65476848315393</v>
          </cell>
          <cell r="K29">
            <v>45.828000000000003</v>
          </cell>
          <cell r="M29">
            <v>57.897000000000006</v>
          </cell>
          <cell r="O29">
            <v>1255.2757857280003</v>
          </cell>
          <cell r="P29">
            <v>1315.6179999999999</v>
          </cell>
          <cell r="R29">
            <v>1659.3871999999999</v>
          </cell>
          <cell r="T29">
            <v>50.949972355951545</v>
          </cell>
          <cell r="U29">
            <v>91.128479639209004</v>
          </cell>
          <cell r="W29">
            <v>41.685130999999906</v>
          </cell>
        </row>
        <row r="30">
          <cell r="J30">
            <v>23.509599999999999</v>
          </cell>
          <cell r="K30">
            <v>50.917999999999999</v>
          </cell>
          <cell r="M30">
            <v>72.736000000000004</v>
          </cell>
          <cell r="O30">
            <v>366.51980000000003</v>
          </cell>
          <cell r="P30">
            <v>692.03</v>
          </cell>
          <cell r="R30">
            <v>853.45600000000002</v>
          </cell>
          <cell r="T30">
            <v>143.89149908397297</v>
          </cell>
          <cell r="U30">
            <v>91.726724213418862</v>
          </cell>
          <cell r="W30">
            <v>129.46054699999999</v>
          </cell>
        </row>
        <row r="31">
          <cell r="J31">
            <v>77.326683351936822</v>
          </cell>
          <cell r="K31">
            <v>53.043000000000006</v>
          </cell>
          <cell r="M31">
            <v>0</v>
          </cell>
          <cell r="O31">
            <v>1380.8837486913849</v>
          </cell>
          <cell r="P31">
            <v>1008.9585</v>
          </cell>
          <cell r="R31">
            <v>0</v>
          </cell>
          <cell r="T31">
            <v>-57.135956480055604</v>
          </cell>
          <cell r="U31">
            <v>80.397893700000012</v>
          </cell>
          <cell r="W31">
            <v>-18.706423000000001</v>
          </cell>
        </row>
        <row r="33">
          <cell r="O33">
            <v>181.68</v>
          </cell>
          <cell r="P33">
            <v>181.68</v>
          </cell>
          <cell r="R33">
            <v>156.68</v>
          </cell>
          <cell r="T33">
            <v>144.42105000000001</v>
          </cell>
          <cell r="U33">
            <v>143.761933</v>
          </cell>
          <cell r="W33">
            <v>122.852002</v>
          </cell>
        </row>
        <row r="34">
          <cell r="O34">
            <v>144.59500066666666</v>
          </cell>
          <cell r="P34">
            <v>143.91586999999998</v>
          </cell>
          <cell r="R34">
            <v>188.17719500000001</v>
          </cell>
          <cell r="T34">
            <v>124.09091566666666</v>
          </cell>
          <cell r="U34">
            <v>123.71799899999999</v>
          </cell>
          <cell r="W34">
            <v>64.074962000000014</v>
          </cell>
        </row>
        <row r="35">
          <cell r="O35">
            <v>0</v>
          </cell>
          <cell r="P35">
            <v>0</v>
          </cell>
          <cell r="R35">
            <v>0</v>
          </cell>
          <cell r="T35">
            <v>-2514.7086813889523</v>
          </cell>
          <cell r="U35">
            <v>-2602.6161175537472</v>
          </cell>
          <cell r="W35">
            <v>-2025.064116</v>
          </cell>
        </row>
        <row r="36">
          <cell r="O36">
            <v>0</v>
          </cell>
          <cell r="P36">
            <v>0</v>
          </cell>
          <cell r="R36">
            <v>0</v>
          </cell>
          <cell r="T36">
            <v>0</v>
          </cell>
          <cell r="U36">
            <v>0</v>
          </cell>
          <cell r="W36">
            <v>0</v>
          </cell>
        </row>
        <row r="37">
          <cell r="O37">
            <v>0</v>
          </cell>
          <cell r="P37">
            <v>0</v>
          </cell>
          <cell r="R37">
            <v>0</v>
          </cell>
          <cell r="T37">
            <v>0</v>
          </cell>
          <cell r="U37">
            <v>310.72652699999998</v>
          </cell>
          <cell r="W37">
            <v>0</v>
          </cell>
        </row>
        <row r="38">
          <cell r="O38">
            <v>0</v>
          </cell>
          <cell r="P38">
            <v>0</v>
          </cell>
          <cell r="R38">
            <v>0</v>
          </cell>
          <cell r="T38">
            <v>-71.426451888919289</v>
          </cell>
          <cell r="U38">
            <v>-71.521523999999999</v>
          </cell>
          <cell r="W38">
            <v>-21.085096</v>
          </cell>
        </row>
        <row r="39">
          <cell r="O39">
            <v>3.54</v>
          </cell>
          <cell r="P39">
            <v>3.40479999999702</v>
          </cell>
          <cell r="R39">
            <v>3.3529999999999998</v>
          </cell>
          <cell r="T39">
            <v>-31.970816000007204</v>
          </cell>
          <cell r="U39">
            <v>-31.597849000008079</v>
          </cell>
          <cell r="W39">
            <v>-34.076922999999482</v>
          </cell>
        </row>
        <row r="40">
          <cell r="O40">
            <v>0</v>
          </cell>
          <cell r="P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</row>
        <row r="46">
          <cell r="J46">
            <v>470</v>
          </cell>
          <cell r="K46">
            <v>496.44200000000001</v>
          </cell>
          <cell r="M46">
            <v>592.58249999999998</v>
          </cell>
          <cell r="O46">
            <v>66725.255366977188</v>
          </cell>
          <cell r="P46">
            <v>67616.410785</v>
          </cell>
          <cell r="R46">
            <v>76503.914579000004</v>
          </cell>
          <cell r="T46">
            <v>2416.4588706390232</v>
          </cell>
          <cell r="U46">
            <v>2274.3249529988711</v>
          </cell>
          <cell r="W46">
            <v>5279.5114170099996</v>
          </cell>
        </row>
      </sheetData>
      <sheetData sheetId="4"/>
      <sheetData sheetId="5"/>
      <sheetData sheetId="6"/>
      <sheetData sheetId="7"/>
      <sheetData sheetId="8">
        <row r="10">
          <cell r="K10">
            <v>13300</v>
          </cell>
          <cell r="L10">
            <v>13070.494999999999</v>
          </cell>
          <cell r="N10">
            <v>15329.127</v>
          </cell>
        </row>
        <row r="12">
          <cell r="K12">
            <v>12995000</v>
          </cell>
          <cell r="L12">
            <v>11804477.322999999</v>
          </cell>
          <cell r="N12">
            <v>16246624.052000001</v>
          </cell>
        </row>
        <row r="13">
          <cell r="K13">
            <v>3283141.0526315812</v>
          </cell>
          <cell r="L13">
            <v>2369137.8190000001</v>
          </cell>
          <cell r="N13">
            <v>2356481.2439999999</v>
          </cell>
        </row>
        <row r="15">
          <cell r="K15">
            <v>12692610</v>
          </cell>
          <cell r="L15">
            <v>11480120.25</v>
          </cell>
          <cell r="N15">
            <v>15928609.27</v>
          </cell>
        </row>
        <row r="16">
          <cell r="K16">
            <v>3168953.4068210525</v>
          </cell>
          <cell r="L16">
            <v>2322982.0070000002</v>
          </cell>
          <cell r="N16">
            <v>2305711.767</v>
          </cell>
        </row>
        <row r="24">
          <cell r="K24">
            <v>164434.12</v>
          </cell>
          <cell r="L24">
            <v>176862.93</v>
          </cell>
          <cell r="N24">
            <v>172345.29399999999</v>
          </cell>
        </row>
        <row r="25">
          <cell r="K25">
            <v>86211.85</v>
          </cell>
          <cell r="L25">
            <v>76538.065000000002</v>
          </cell>
          <cell r="N25">
            <v>44812.788</v>
          </cell>
        </row>
        <row r="36">
          <cell r="K36">
            <v>165931.67581052863</v>
          </cell>
          <cell r="L36">
            <v>117111.88999999978</v>
          </cell>
          <cell r="N36">
            <v>151626.17699999962</v>
          </cell>
        </row>
      </sheetData>
      <sheetData sheetId="9"/>
      <sheetData sheetId="10">
        <row r="8">
          <cell r="G8">
            <v>21758</v>
          </cell>
          <cell r="H8">
            <v>23830</v>
          </cell>
          <cell r="J8">
            <v>1751.6000000000001</v>
          </cell>
          <cell r="K8">
            <v>1408</v>
          </cell>
          <cell r="P8">
            <v>18632.909771880295</v>
          </cell>
          <cell r="Q8">
            <v>20816</v>
          </cell>
          <cell r="S8">
            <v>16693.773580056532</v>
          </cell>
          <cell r="T8">
            <v>21683</v>
          </cell>
          <cell r="Y8">
            <v>28154.76848315393</v>
          </cell>
          <cell r="Z8">
            <v>29721</v>
          </cell>
        </row>
        <row r="10">
          <cell r="G10">
            <v>0</v>
          </cell>
          <cell r="H10">
            <v>22352</v>
          </cell>
          <cell r="J10">
            <v>0</v>
          </cell>
          <cell r="K10">
            <v>3328</v>
          </cell>
          <cell r="P10">
            <v>12000</v>
          </cell>
          <cell r="Q10">
            <v>6352</v>
          </cell>
          <cell r="S10">
            <v>30000</v>
          </cell>
          <cell r="T10">
            <v>4192</v>
          </cell>
          <cell r="Y10">
            <v>14500</v>
          </cell>
          <cell r="Z10">
            <v>16107</v>
          </cell>
        </row>
        <row r="12">
          <cell r="AF12">
            <v>143491.05183509074</v>
          </cell>
          <cell r="AG12">
            <v>149789</v>
          </cell>
        </row>
        <row r="13">
          <cell r="G13">
            <v>348128</v>
          </cell>
          <cell r="H13">
            <v>386742</v>
          </cell>
          <cell r="J13">
            <v>18391.800000000003</v>
          </cell>
          <cell r="K13">
            <v>13632</v>
          </cell>
          <cell r="P13">
            <v>298126.55635008472</v>
          </cell>
          <cell r="Q13">
            <v>363312</v>
          </cell>
          <cell r="S13">
            <v>368757.19234130019</v>
          </cell>
          <cell r="T13">
            <v>483422.5</v>
          </cell>
          <cell r="Y13">
            <v>822525.78572800034</v>
          </cell>
          <cell r="Z13">
            <v>859968</v>
          </cell>
        </row>
        <row r="15">
          <cell r="G15">
            <v>0</v>
          </cell>
          <cell r="H15">
            <v>264904</v>
          </cell>
          <cell r="J15">
            <v>0</v>
          </cell>
          <cell r="K15">
            <v>26752</v>
          </cell>
          <cell r="P15">
            <v>144000</v>
          </cell>
          <cell r="Q15">
            <v>82576</v>
          </cell>
          <cell r="S15">
            <v>570000</v>
          </cell>
          <cell r="T15">
            <v>79648</v>
          </cell>
          <cell r="Y15">
            <v>432750</v>
          </cell>
          <cell r="Z15">
            <v>455650</v>
          </cell>
        </row>
        <row r="17">
          <cell r="AF17">
            <v>3002679.3344193855</v>
          </cell>
          <cell r="AG17">
            <v>3016606.5</v>
          </cell>
        </row>
        <row r="18">
          <cell r="G18">
            <v>141858.19681693712</v>
          </cell>
          <cell r="H18">
            <v>86475.319785589352</v>
          </cell>
          <cell r="J18">
            <v>2033.3022670358764</v>
          </cell>
          <cell r="K18">
            <v>7025.7104366556478</v>
          </cell>
          <cell r="P18">
            <v>-47962.259026500011</v>
          </cell>
          <cell r="Q18">
            <v>-3627.379735786275</v>
          </cell>
          <cell r="S18">
            <v>56235.42852961157</v>
          </cell>
          <cell r="T18">
            <v>107424.12247083012</v>
          </cell>
          <cell r="Y18">
            <v>31181.609585358907</v>
          </cell>
          <cell r="Z18">
            <v>90142.841</v>
          </cell>
        </row>
        <row r="19">
          <cell r="G19">
            <v>0</v>
          </cell>
          <cell r="H19">
            <v>-12269.687890009058</v>
          </cell>
          <cell r="J19">
            <v>0</v>
          </cell>
          <cell r="K19">
            <v>10495.381891182944</v>
          </cell>
          <cell r="P19">
            <v>-77214.301984396225</v>
          </cell>
          <cell r="Q19">
            <v>-30154.486780907588</v>
          </cell>
          <cell r="S19">
            <v>11805.176001229222</v>
          </cell>
          <cell r="T19">
            <v>6755.6377458637489</v>
          </cell>
          <cell r="Y19">
            <v>19768.362770592605</v>
          </cell>
          <cell r="Z19">
            <v>985.63863920899894</v>
          </cell>
        </row>
        <row r="20">
          <cell r="AF20">
            <v>137705.51495986892</v>
          </cell>
          <cell r="AG20">
            <v>263253.09755262791</v>
          </cell>
        </row>
        <row r="21">
          <cell r="G21">
            <v>0</v>
          </cell>
          <cell r="H21">
            <v>1872</v>
          </cell>
          <cell r="J21">
            <v>0</v>
          </cell>
          <cell r="K21">
            <v>0</v>
          </cell>
          <cell r="P21">
            <v>18632.909771880295</v>
          </cell>
          <cell r="Q21">
            <v>20640</v>
          </cell>
          <cell r="S21">
            <v>12893.87358005653</v>
          </cell>
          <cell r="T21">
            <v>14323</v>
          </cell>
          <cell r="Y21">
            <v>7243.1251265105711</v>
          </cell>
          <cell r="Z21">
            <v>8633</v>
          </cell>
        </row>
        <row r="22">
          <cell r="G22">
            <v>21758</v>
          </cell>
          <cell r="H22">
            <v>20150</v>
          </cell>
          <cell r="J22">
            <v>1751.6000000000001</v>
          </cell>
          <cell r="K22">
            <v>640</v>
          </cell>
          <cell r="P22">
            <v>0</v>
          </cell>
          <cell r="Q22">
            <v>176</v>
          </cell>
          <cell r="S22">
            <v>3799.9000000000005</v>
          </cell>
          <cell r="T22">
            <v>6992</v>
          </cell>
          <cell r="Y22">
            <v>6926.8251748251751</v>
          </cell>
          <cell r="Z22">
            <v>7584</v>
          </cell>
        </row>
        <row r="23">
          <cell r="G23">
            <v>0</v>
          </cell>
          <cell r="H23">
            <v>1648</v>
          </cell>
          <cell r="J23">
            <v>0</v>
          </cell>
          <cell r="K23">
            <v>0</v>
          </cell>
          <cell r="P23">
            <v>0</v>
          </cell>
          <cell r="Q23">
            <v>0</v>
          </cell>
          <cell r="S23">
            <v>0</v>
          </cell>
          <cell r="T23">
            <v>0</v>
          </cell>
          <cell r="Y23">
            <v>4118.8811188811187</v>
          </cell>
          <cell r="Z23">
            <v>0</v>
          </cell>
        </row>
        <row r="24">
          <cell r="G24">
            <v>0</v>
          </cell>
          <cell r="H24">
            <v>0</v>
          </cell>
          <cell r="J24">
            <v>0</v>
          </cell>
          <cell r="K24">
            <v>0</v>
          </cell>
          <cell r="P24">
            <v>0</v>
          </cell>
          <cell r="Q24">
            <v>0</v>
          </cell>
          <cell r="S24">
            <v>0</v>
          </cell>
          <cell r="T24">
            <v>128</v>
          </cell>
          <cell r="Y24">
            <v>7874.6853146853136</v>
          </cell>
          <cell r="Z24">
            <v>0</v>
          </cell>
        </row>
        <row r="25">
          <cell r="G25">
            <v>0</v>
          </cell>
          <cell r="H25">
            <v>0</v>
          </cell>
          <cell r="J25">
            <v>0</v>
          </cell>
          <cell r="K25">
            <v>528</v>
          </cell>
          <cell r="P25">
            <v>0</v>
          </cell>
          <cell r="Q25">
            <v>0</v>
          </cell>
          <cell r="S25">
            <v>0</v>
          </cell>
          <cell r="T25">
            <v>240</v>
          </cell>
          <cell r="Y25">
            <v>1991.2517482517483</v>
          </cell>
          <cell r="Z25">
            <v>5168</v>
          </cell>
        </row>
        <row r="26">
          <cell r="G26">
            <v>0</v>
          </cell>
          <cell r="H26">
            <v>160</v>
          </cell>
          <cell r="J26">
            <v>0</v>
          </cell>
          <cell r="K26">
            <v>240</v>
          </cell>
          <cell r="P26">
            <v>0</v>
          </cell>
          <cell r="Q26">
            <v>0</v>
          </cell>
          <cell r="S26">
            <v>0</v>
          </cell>
          <cell r="T26">
            <v>0</v>
          </cell>
          <cell r="Y26">
            <v>0</v>
          </cell>
          <cell r="Z26">
            <v>0</v>
          </cell>
        </row>
        <row r="35">
          <cell r="G35">
            <v>0</v>
          </cell>
          <cell r="H35">
            <v>23400</v>
          </cell>
          <cell r="J35">
            <v>0</v>
          </cell>
          <cell r="K35">
            <v>0</v>
          </cell>
          <cell r="P35">
            <v>298126.55635008472</v>
          </cell>
          <cell r="Q35">
            <v>361200</v>
          </cell>
          <cell r="S35">
            <v>296559.09234130022</v>
          </cell>
          <cell r="T35">
            <v>336590.5</v>
          </cell>
          <cell r="Y35">
            <v>227409.52349023803</v>
          </cell>
          <cell r="Z35">
            <v>276256</v>
          </cell>
        </row>
        <row r="36">
          <cell r="G36">
            <v>348128</v>
          </cell>
          <cell r="H36">
            <v>342550</v>
          </cell>
          <cell r="J36">
            <v>18391.800000000003</v>
          </cell>
          <cell r="K36">
            <v>6720</v>
          </cell>
          <cell r="P36">
            <v>0</v>
          </cell>
          <cell r="Q36">
            <v>2112</v>
          </cell>
          <cell r="S36">
            <v>72198.100000000006</v>
          </cell>
          <cell r="T36">
            <v>139840</v>
          </cell>
          <cell r="Y36">
            <v>193951.10489510489</v>
          </cell>
          <cell r="Z36">
            <v>212352</v>
          </cell>
        </row>
        <row r="37">
          <cell r="G37">
            <v>0</v>
          </cell>
          <cell r="H37">
            <v>18952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S37">
            <v>0</v>
          </cell>
          <cell r="T37">
            <v>0</v>
          </cell>
          <cell r="Y37">
            <v>113269.23076923077</v>
          </cell>
          <cell r="Z37">
            <v>142120</v>
          </cell>
        </row>
        <row r="38">
          <cell r="G38">
            <v>0</v>
          </cell>
          <cell r="H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S38">
            <v>0</v>
          </cell>
          <cell r="T38">
            <v>2432</v>
          </cell>
          <cell r="Y38">
            <v>229523.91608391609</v>
          </cell>
          <cell r="Z38">
            <v>198880</v>
          </cell>
        </row>
        <row r="39">
          <cell r="G39">
            <v>0</v>
          </cell>
          <cell r="H39">
            <v>0</v>
          </cell>
          <cell r="J39">
            <v>0</v>
          </cell>
          <cell r="K39">
            <v>4752</v>
          </cell>
          <cell r="P39">
            <v>0</v>
          </cell>
          <cell r="Q39">
            <v>0</v>
          </cell>
          <cell r="S39">
            <v>0</v>
          </cell>
          <cell r="T39">
            <v>4560</v>
          </cell>
          <cell r="Y39">
            <v>58372.010489510489</v>
          </cell>
          <cell r="Z39">
            <v>30360</v>
          </cell>
        </row>
        <row r="40">
          <cell r="G40">
            <v>0</v>
          </cell>
          <cell r="H40">
            <v>1840</v>
          </cell>
          <cell r="J40">
            <v>0</v>
          </cell>
          <cell r="K40">
            <v>2160</v>
          </cell>
          <cell r="P40">
            <v>0</v>
          </cell>
          <cell r="Q40">
            <v>0</v>
          </cell>
          <cell r="S40">
            <v>0</v>
          </cell>
          <cell r="T40">
            <v>0</v>
          </cell>
          <cell r="Y40">
            <v>0</v>
          </cell>
          <cell r="Z40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T5">
            <v>286000</v>
          </cell>
          <cell r="U5">
            <v>298486.5</v>
          </cell>
        </row>
        <row r="9">
          <cell r="E9">
            <v>254.58041192709851</v>
          </cell>
          <cell r="F9">
            <v>285.71730611491785</v>
          </cell>
          <cell r="G9">
            <v>100322.7688601359</v>
          </cell>
          <cell r="H9">
            <v>100330.17360486925</v>
          </cell>
        </row>
        <row r="10">
          <cell r="E10">
            <v>27.293990498099443</v>
          </cell>
          <cell r="F10">
            <v>23.104482249041808</v>
          </cell>
          <cell r="G10">
            <v>91212.158258513664</v>
          </cell>
          <cell r="H10">
            <v>93060.235703548708</v>
          </cell>
        </row>
        <row r="11">
          <cell r="E11">
            <v>0</v>
          </cell>
          <cell r="F11">
            <v>2.9286292553236097</v>
          </cell>
        </row>
        <row r="12">
          <cell r="E12">
            <v>40.452649820524876</v>
          </cell>
          <cell r="F12">
            <v>31.709638036449633</v>
          </cell>
          <cell r="G12">
            <v>64151.913933363117</v>
          </cell>
          <cell r="H12">
            <v>63268.123044531319</v>
          </cell>
        </row>
        <row r="13">
          <cell r="E13">
            <v>29.208347223391691</v>
          </cell>
          <cell r="F13">
            <v>26.887941559803068</v>
          </cell>
          <cell r="G13">
            <v>39941.621957997471</v>
          </cell>
          <cell r="H13">
            <v>39448.139081227899</v>
          </cell>
        </row>
        <row r="14">
          <cell r="E14">
            <v>0</v>
          </cell>
          <cell r="F14">
            <v>0</v>
          </cell>
        </row>
        <row r="15">
          <cell r="E15">
            <v>351.53539946911451</v>
          </cell>
          <cell r="F15">
            <v>370.34799721553588</v>
          </cell>
        </row>
        <row r="16">
          <cell r="E16">
            <v>823.58497034401455</v>
          </cell>
          <cell r="F16">
            <v>813.09162069561307</v>
          </cell>
          <cell r="G16">
            <v>12683.605951132464</v>
          </cell>
          <cell r="H16">
            <v>13399.310798932122</v>
          </cell>
        </row>
        <row r="17">
          <cell r="E17">
            <v>903.49553493196925</v>
          </cell>
          <cell r="F17">
            <v>900.76453850528003</v>
          </cell>
          <cell r="G17">
            <v>16024.835369400478</v>
          </cell>
          <cell r="H17">
            <v>16278.082113881552</v>
          </cell>
        </row>
        <row r="19">
          <cell r="E19">
            <v>3.142365346561423</v>
          </cell>
          <cell r="F19">
            <v>3.0898435231856944</v>
          </cell>
        </row>
        <row r="20">
          <cell r="Q20">
            <v>59196.601760655125</v>
          </cell>
          <cell r="R20">
            <v>62476.113508844028</v>
          </cell>
        </row>
        <row r="21">
          <cell r="Q21">
            <v>17314.050811544112</v>
          </cell>
          <cell r="R21">
            <v>17193.777628676624</v>
          </cell>
        </row>
        <row r="22">
          <cell r="Q22">
            <v>199.8251748251748</v>
          </cell>
          <cell r="R22">
            <v>198.01764612145962</v>
          </cell>
        </row>
        <row r="50">
          <cell r="Q50">
            <v>84520.055145631428</v>
          </cell>
          <cell r="R50">
            <v>86679.656051596452</v>
          </cell>
        </row>
        <row r="56">
          <cell r="L56">
            <v>-582826.55066523829</v>
          </cell>
        </row>
        <row r="61">
          <cell r="T61">
            <v>101638.95152215073</v>
          </cell>
          <cell r="U61">
            <v>102216.1111960061</v>
          </cell>
        </row>
        <row r="80">
          <cell r="H80">
            <v>661417.38</v>
          </cell>
          <cell r="I80">
            <v>617056.53399999999</v>
          </cell>
          <cell r="L80">
            <v>44360.84599999999</v>
          </cell>
        </row>
        <row r="85">
          <cell r="H85">
            <v>321897.67144526826</v>
          </cell>
          <cell r="I85">
            <v>378552.37053000001</v>
          </cell>
          <cell r="L85">
            <v>-56654.699084731787</v>
          </cell>
          <cell r="Q85">
            <v>101638.95152215073</v>
          </cell>
          <cell r="R85">
            <v>102216.1111960061</v>
          </cell>
        </row>
        <row r="86">
          <cell r="H86">
            <v>3912689.3122392558</v>
          </cell>
          <cell r="I86">
            <v>3691898.570000004</v>
          </cell>
          <cell r="K86">
            <v>171851.312949293</v>
          </cell>
          <cell r="M86">
            <v>202478.34856141987</v>
          </cell>
        </row>
        <row r="89">
          <cell r="Q89">
            <v>76710.477747024415</v>
          </cell>
          <cell r="R89">
            <v>79867.908783642109</v>
          </cell>
        </row>
        <row r="90">
          <cell r="Q90">
            <v>24928.473775126316</v>
          </cell>
          <cell r="R90">
            <v>22348.202412363986</v>
          </cell>
        </row>
      </sheetData>
      <sheetData sheetId="1">
        <row r="5">
          <cell r="T5">
            <v>108500</v>
          </cell>
          <cell r="U5">
            <v>110047</v>
          </cell>
        </row>
        <row r="9">
          <cell r="E9">
            <v>282.23082949308753</v>
          </cell>
          <cell r="F9">
            <v>311.23686806546289</v>
          </cell>
          <cell r="G9">
            <v>100000</v>
          </cell>
          <cell r="H9">
            <v>100000.48731874043</v>
          </cell>
        </row>
        <row r="10">
          <cell r="E10">
            <v>5.8594285714285714</v>
          </cell>
          <cell r="F10">
            <v>0.66176524575863049</v>
          </cell>
          <cell r="G10">
            <v>93102.49658669786</v>
          </cell>
          <cell r="H10">
            <v>98338.296811217195</v>
          </cell>
        </row>
        <row r="11">
          <cell r="E11">
            <v>0</v>
          </cell>
          <cell r="F11">
            <v>7.6334850563849992</v>
          </cell>
        </row>
        <row r="12">
          <cell r="E12">
            <v>37.764718894009214</v>
          </cell>
          <cell r="F12">
            <v>26.849863240251874</v>
          </cell>
          <cell r="G12">
            <v>64313.909649657151</v>
          </cell>
          <cell r="H12">
            <v>62371.810593997114</v>
          </cell>
        </row>
        <row r="13">
          <cell r="E13">
            <v>30.136976958525345</v>
          </cell>
          <cell r="F13">
            <v>26.616986560287863</v>
          </cell>
          <cell r="G13">
            <v>45168.202817121943</v>
          </cell>
          <cell r="H13">
            <v>44418.109644088559</v>
          </cell>
        </row>
        <row r="14">
          <cell r="E14">
            <v>0</v>
          </cell>
          <cell r="F14">
            <v>0</v>
          </cell>
        </row>
        <row r="15">
          <cell r="E15">
            <v>355.99195391705064</v>
          </cell>
          <cell r="F15">
            <v>372.99896816814623</v>
          </cell>
        </row>
        <row r="16">
          <cell r="E16">
            <v>848.34914285714285</v>
          </cell>
          <cell r="F16">
            <v>836.19561301989211</v>
          </cell>
          <cell r="G16">
            <v>15358.99022040624</v>
          </cell>
          <cell r="H16">
            <v>16436.234349828497</v>
          </cell>
        </row>
        <row r="17">
          <cell r="E17">
            <v>884.48941935483867</v>
          </cell>
          <cell r="F17">
            <v>878.55652356720327</v>
          </cell>
          <cell r="G17">
            <v>14722.935767886333</v>
          </cell>
          <cell r="H17">
            <v>15306.411385491638</v>
          </cell>
        </row>
        <row r="19">
          <cell r="E19">
            <v>3.0823428571428573</v>
          </cell>
          <cell r="F19">
            <v>3.0806387452633865</v>
          </cell>
        </row>
        <row r="20">
          <cell r="Q20">
            <v>61060.091972745271</v>
          </cell>
          <cell r="R20">
            <v>64838.589911583236</v>
          </cell>
        </row>
        <row r="21">
          <cell r="Q21">
            <v>17184.441056000425</v>
          </cell>
          <cell r="R21">
            <v>17148.90584931893</v>
          </cell>
        </row>
        <row r="22">
          <cell r="Q22">
            <v>246.82027649769586</v>
          </cell>
          <cell r="R22">
            <v>227.45894935800155</v>
          </cell>
        </row>
        <row r="50">
          <cell r="Q50">
            <v>85031.685236275487</v>
          </cell>
          <cell r="R50">
            <v>88083.759884413026</v>
          </cell>
        </row>
        <row r="56">
          <cell r="L56">
            <v>-335766.84431784274</v>
          </cell>
        </row>
        <row r="61">
          <cell r="T61">
            <v>99587.16016668301</v>
          </cell>
          <cell r="U61">
            <v>101292.86384498632</v>
          </cell>
        </row>
        <row r="80">
          <cell r="H80">
            <v>230001.75</v>
          </cell>
          <cell r="I80">
            <v>207310.03600000002</v>
          </cell>
          <cell r="L80">
            <v>22691.714</v>
          </cell>
        </row>
        <row r="85">
          <cell r="H85">
            <v>100378.65657280001</v>
          </cell>
          <cell r="I85">
            <v>98444.517820000008</v>
          </cell>
          <cell r="L85">
            <v>1934.1387528000087</v>
          </cell>
          <cell r="Q85">
            <v>99587.16016668301</v>
          </cell>
          <cell r="R85">
            <v>101292.86384498632</v>
          </cell>
        </row>
        <row r="86">
          <cell r="H86">
            <v>1248888.6233764142</v>
          </cell>
          <cell r="I86">
            <v>1147733.8229999999</v>
          </cell>
          <cell r="K86">
            <v>187676.87002003498</v>
          </cell>
          <cell r="M86">
            <v>22309.321168593073</v>
          </cell>
        </row>
        <row r="89">
          <cell r="Q89">
            <v>78491.353305243392</v>
          </cell>
          <cell r="R89">
            <v>82214.954710260165</v>
          </cell>
        </row>
        <row r="90">
          <cell r="Q90">
            <v>21095.806861439618</v>
          </cell>
          <cell r="R90">
            <v>19077.909134726156</v>
          </cell>
        </row>
      </sheetData>
      <sheetData sheetId="2">
        <row r="5">
          <cell r="T5">
            <v>125000</v>
          </cell>
          <cell r="U5">
            <v>134500</v>
          </cell>
        </row>
        <row r="9">
          <cell r="E9">
            <v>227.88882248920154</v>
          </cell>
          <cell r="F9">
            <v>255.25205607059087</v>
          </cell>
          <cell r="G9">
            <v>100000</v>
          </cell>
          <cell r="H9">
            <v>99996.922408192157</v>
          </cell>
        </row>
        <row r="10">
          <cell r="E10">
            <v>44.306026259651517</v>
          </cell>
          <cell r="F10">
            <v>50.176197699095304</v>
          </cell>
          <cell r="G10">
            <v>92100</v>
          </cell>
          <cell r="H10">
            <v>92989.295296136654</v>
          </cell>
        </row>
        <row r="11">
          <cell r="E11">
            <v>0</v>
          </cell>
          <cell r="F11">
            <v>0</v>
          </cell>
        </row>
        <row r="12">
          <cell r="E12">
            <v>43.985326789360919</v>
          </cell>
          <cell r="F12">
            <v>34.49659354406343</v>
          </cell>
          <cell r="G12">
            <v>63821.192343339811</v>
          </cell>
          <cell r="H12">
            <v>63373.838716517486</v>
          </cell>
        </row>
        <row r="13">
          <cell r="E13">
            <v>30.555402447120187</v>
          </cell>
          <cell r="F13">
            <v>29.577650619903938</v>
          </cell>
          <cell r="G13">
            <v>35338.530107354389</v>
          </cell>
          <cell r="H13">
            <v>35397.404192594797</v>
          </cell>
        </row>
        <row r="14">
          <cell r="E14">
            <v>0</v>
          </cell>
          <cell r="F14">
            <v>0</v>
          </cell>
        </row>
        <row r="15">
          <cell r="E15">
            <v>346.73557798533415</v>
          </cell>
          <cell r="F15">
            <v>369.50249793365356</v>
          </cell>
        </row>
        <row r="16">
          <cell r="E16">
            <v>808.42815614710537</v>
          </cell>
          <cell r="F16">
            <v>811.34565992777061</v>
          </cell>
          <cell r="G16">
            <v>10369.038594206686</v>
          </cell>
          <cell r="H16">
            <v>11092.086035352311</v>
          </cell>
        </row>
        <row r="17">
          <cell r="E17">
            <v>911.11120792434531</v>
          </cell>
          <cell r="F17">
            <v>903.25794556759365</v>
          </cell>
          <cell r="G17">
            <v>17794.75983106955</v>
          </cell>
          <cell r="H17">
            <v>17823.217300157405</v>
          </cell>
        </row>
        <row r="19">
          <cell r="E19">
            <v>3.2679671129325363</v>
          </cell>
          <cell r="F19">
            <v>3.1666503592836661</v>
          </cell>
        </row>
        <row r="20">
          <cell r="Q20">
            <v>57908.407140344534</v>
          </cell>
          <cell r="R20">
            <v>61277.241051416655</v>
          </cell>
        </row>
        <row r="21">
          <cell r="Q21">
            <v>17495.886827608196</v>
          </cell>
          <cell r="R21">
            <v>17710.213723519119</v>
          </cell>
        </row>
        <row r="22">
          <cell r="Q22">
            <v>163.36000000000001</v>
          </cell>
          <cell r="R22">
            <v>178.27104508730775</v>
          </cell>
        </row>
        <row r="50">
          <cell r="Q50">
            <v>83975.142262043504</v>
          </cell>
          <cell r="R50">
            <v>86000.194452511263</v>
          </cell>
        </row>
        <row r="56">
          <cell r="L56">
            <v>-210995.72825879225</v>
          </cell>
        </row>
        <row r="61">
          <cell r="T61">
            <v>101799.62933000001</v>
          </cell>
          <cell r="U61">
            <v>101364.12572580043</v>
          </cell>
        </row>
        <row r="80">
          <cell r="H80">
            <v>327325.02</v>
          </cell>
          <cell r="I80">
            <v>296492.36399999994</v>
          </cell>
          <cell r="L80">
            <v>30832.656000000046</v>
          </cell>
        </row>
        <row r="85">
          <cell r="H85">
            <v>149746.89714134295</v>
          </cell>
          <cell r="I85">
            <v>208975.55905000004</v>
          </cell>
          <cell r="L85">
            <v>-59228.661908657086</v>
          </cell>
          <cell r="Q85">
            <v>101799.62933000001</v>
          </cell>
          <cell r="R85">
            <v>101364.12572580043</v>
          </cell>
        </row>
        <row r="86">
          <cell r="H86">
            <v>1750988.9663532204</v>
          </cell>
          <cell r="I86">
            <v>1614047.243</v>
          </cell>
          <cell r="K86">
            <v>-58353.127926701352</v>
          </cell>
          <cell r="M86">
            <v>160803.13874092908</v>
          </cell>
        </row>
        <row r="89">
          <cell r="Q89">
            <v>75567.653967952734</v>
          </cell>
          <cell r="R89">
            <v>79165.725820023086</v>
          </cell>
        </row>
        <row r="90">
          <cell r="Q90">
            <v>26231.975362047277</v>
          </cell>
          <cell r="R90">
            <v>22198.399905777347</v>
          </cell>
        </row>
      </sheetData>
      <sheetData sheetId="3">
        <row r="5">
          <cell r="T5">
            <v>52500</v>
          </cell>
          <cell r="U5">
            <v>53939.5</v>
          </cell>
        </row>
        <row r="9">
          <cell r="E9">
            <v>260.98761904761909</v>
          </cell>
          <cell r="F9">
            <v>309.59091206817942</v>
          </cell>
          <cell r="G9">
            <v>101715.15525275785</v>
          </cell>
          <cell r="H9">
            <v>101695.48854218796</v>
          </cell>
        </row>
        <row r="10">
          <cell r="E10">
            <v>31.087238095238096</v>
          </cell>
          <cell r="F10">
            <v>1.4105577730017398</v>
          </cell>
          <cell r="G10">
            <v>87463.033674819875</v>
          </cell>
          <cell r="H10">
            <v>94295.650049443255</v>
          </cell>
        </row>
        <row r="11">
          <cell r="E11">
            <v>0</v>
          </cell>
          <cell r="F11">
            <v>0.61277807240349458</v>
          </cell>
        </row>
        <row r="12">
          <cell r="E12">
            <v>37.59657142857143</v>
          </cell>
          <cell r="F12">
            <v>34.696760357644614</v>
          </cell>
          <cell r="G12">
            <v>64736.865570315444</v>
          </cell>
          <cell r="H12">
            <v>64425.798000532268</v>
          </cell>
        </row>
        <row r="13">
          <cell r="E13">
            <v>24.081904761904763</v>
          </cell>
          <cell r="F13">
            <v>20.721331770266357</v>
          </cell>
          <cell r="G13">
            <v>40329.953333860627</v>
          </cell>
          <cell r="H13">
            <v>40824.257030329733</v>
          </cell>
        </row>
        <row r="14">
          <cell r="E14">
            <v>0</v>
          </cell>
          <cell r="F14">
            <v>0</v>
          </cell>
        </row>
        <row r="15">
          <cell r="E15">
            <v>353.75333333333339</v>
          </cell>
          <cell r="F15">
            <v>367.03234004149567</v>
          </cell>
        </row>
        <row r="16">
          <cell r="E16">
            <v>808.49333333333345</v>
          </cell>
          <cell r="F16">
            <v>770.14354164922179</v>
          </cell>
          <cell r="G16">
            <v>12392.342786150528</v>
          </cell>
          <cell r="H16">
            <v>12721.195850023698</v>
          </cell>
        </row>
        <row r="17">
          <cell r="E17">
            <v>924.64228571428578</v>
          </cell>
          <cell r="F17">
            <v>940.01004828760495</v>
          </cell>
          <cell r="G17">
            <v>14446.150836704974</v>
          </cell>
          <cell r="H17">
            <v>14427.482703213846</v>
          </cell>
        </row>
        <row r="19">
          <cell r="E19">
            <v>2.9673599999999998</v>
          </cell>
          <cell r="F19">
            <v>2.9167558917390046</v>
          </cell>
        </row>
        <row r="20">
          <cell r="Q20">
            <v>58412.51870402741</v>
          </cell>
          <cell r="R20">
            <v>60634.283529181906</v>
          </cell>
        </row>
        <row r="21">
          <cell r="Q21">
            <v>17148.968077610385</v>
          </cell>
          <cell r="R21">
            <v>15995.114038760337</v>
          </cell>
        </row>
        <row r="22">
          <cell r="Q22">
            <v>189.52380952380952</v>
          </cell>
          <cell r="R22">
            <v>187.0751109498423</v>
          </cell>
        </row>
        <row r="50">
          <cell r="Q50">
            <v>84760.097919223976</v>
          </cell>
          <cell r="R50">
            <v>85502.348080125783</v>
          </cell>
        </row>
        <row r="56">
          <cell r="L56">
            <v>-39884.129699459496</v>
          </cell>
        </row>
        <row r="61">
          <cell r="T61">
            <v>105496.75411428572</v>
          </cell>
          <cell r="U61">
            <v>106231.06464189674</v>
          </cell>
        </row>
        <row r="80">
          <cell r="H80">
            <v>104090.61000000002</v>
          </cell>
          <cell r="I80">
            <v>113254.13400000001</v>
          </cell>
          <cell r="L80">
            <v>-9163.5239999999994</v>
          </cell>
        </row>
        <row r="85">
          <cell r="H85">
            <v>71772.117731125196</v>
          </cell>
          <cell r="I85">
            <v>71132.293659999996</v>
          </cell>
          <cell r="L85">
            <v>639.82407112519059</v>
          </cell>
          <cell r="Q85">
            <v>105496.75411428572</v>
          </cell>
          <cell r="R85">
            <v>106231.06464189674</v>
          </cell>
        </row>
        <row r="86">
          <cell r="H86">
            <v>912811.72250961629</v>
          </cell>
          <cell r="I86">
            <v>930117.50400000124</v>
          </cell>
          <cell r="K86">
            <v>39457.809045914059</v>
          </cell>
          <cell r="M86">
            <v>26255.802072803752</v>
          </cell>
        </row>
        <row r="89">
          <cell r="Q89">
            <v>75751.010591161612</v>
          </cell>
          <cell r="R89">
            <v>76816.472678892082</v>
          </cell>
        </row>
        <row r="90">
          <cell r="Q90">
            <v>29745.743523124111</v>
          </cell>
          <cell r="R90">
            <v>29414.591963004656</v>
          </cell>
        </row>
      </sheetData>
      <sheetData sheetId="4">
        <row r="5">
          <cell r="T5">
            <v>41000</v>
          </cell>
          <cell r="U5">
            <v>40978</v>
          </cell>
        </row>
        <row r="9">
          <cell r="E9">
            <v>299.79999999999995</v>
          </cell>
          <cell r="F9">
            <v>328.27108627757144</v>
          </cell>
          <cell r="G9">
            <v>100000</v>
          </cell>
          <cell r="H9">
            <v>100001.43126187225</v>
          </cell>
        </row>
        <row r="10">
          <cell r="E10">
            <v>8</v>
          </cell>
          <cell r="F10">
            <v>0</v>
          </cell>
          <cell r="G10">
            <v>87100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30</v>
          </cell>
          <cell r="F12">
            <v>19.395427483896135</v>
          </cell>
          <cell r="G12">
            <v>64000</v>
          </cell>
          <cell r="H12">
            <v>60740.365292736707</v>
          </cell>
        </row>
        <row r="13">
          <cell r="E13">
            <v>28.200000000000003</v>
          </cell>
          <cell r="F13">
            <v>24.194714766738226</v>
          </cell>
          <cell r="G13">
            <v>45000</v>
          </cell>
          <cell r="H13">
            <v>42998.356014256191</v>
          </cell>
        </row>
        <row r="14">
          <cell r="E14">
            <v>0</v>
          </cell>
          <cell r="F14">
            <v>0</v>
          </cell>
        </row>
        <row r="15">
          <cell r="E15">
            <v>365.99999999999994</v>
          </cell>
          <cell r="F15">
            <v>371.8612285282058</v>
          </cell>
        </row>
        <row r="16">
          <cell r="E16">
            <v>848.09999999999991</v>
          </cell>
          <cell r="F16">
            <v>857.12626878782044</v>
          </cell>
          <cell r="G16">
            <v>15333.333333333332</v>
          </cell>
          <cell r="H16">
            <v>17314.051884365093</v>
          </cell>
        </row>
        <row r="17">
          <cell r="E17">
            <v>875</v>
          </cell>
          <cell r="F17">
            <v>854.28935682217502</v>
          </cell>
          <cell r="G17">
            <v>15161.290322580648</v>
          </cell>
          <cell r="H17">
            <v>16395.628494585948</v>
          </cell>
        </row>
        <row r="19">
          <cell r="E19">
            <v>3.29</v>
          </cell>
          <cell r="F19">
            <v>3.1183644837009554</v>
          </cell>
        </row>
        <row r="20">
          <cell r="Q20">
            <v>62917.824032258068</v>
          </cell>
          <cell r="R20">
            <v>66515.798043138784</v>
          </cell>
        </row>
        <row r="21">
          <cell r="Q21">
            <v>16657.419133504492</v>
          </cell>
          <cell r="R21">
            <v>16127.113824907283</v>
          </cell>
        </row>
        <row r="22">
          <cell r="Q22">
            <v>182.92682926829269</v>
          </cell>
          <cell r="R22">
            <v>192.21032598087058</v>
          </cell>
        </row>
        <row r="50">
          <cell r="Q50">
            <v>85006.922516035906</v>
          </cell>
          <cell r="R50">
            <v>87396.931314659378</v>
          </cell>
        </row>
        <row r="56">
          <cell r="L56">
            <v>-97941.702987880839</v>
          </cell>
        </row>
        <row r="80">
          <cell r="H80">
            <v>73445.389999999985</v>
          </cell>
          <cell r="I80">
            <v>64919.166000000005</v>
          </cell>
          <cell r="L80">
            <v>8526.2239999999892</v>
          </cell>
        </row>
        <row r="85">
          <cell r="H85">
            <v>29969.910777777772</v>
          </cell>
          <cell r="I85">
            <v>29471.614149999998</v>
          </cell>
          <cell r="L85">
            <v>498.29662777777412</v>
          </cell>
          <cell r="Q85">
            <v>100756.65731707319</v>
          </cell>
          <cell r="R85">
            <v>99525.963053345695</v>
          </cell>
        </row>
        <row r="86">
          <cell r="H86">
            <v>542323.82606475079</v>
          </cell>
          <cell r="I86">
            <v>402628.75999999978</v>
          </cell>
          <cell r="K86">
            <v>-50431.389539025142</v>
          </cell>
          <cell r="M86">
            <v>-346.49416562282022</v>
          </cell>
        </row>
        <row r="89">
          <cell r="Q89">
            <v>79758.169995030854</v>
          </cell>
          <cell r="R89">
            <v>82835.122194026932</v>
          </cell>
        </row>
      </sheetData>
      <sheetData sheetId="5">
        <row r="5">
          <cell r="T5">
            <v>28000</v>
          </cell>
          <cell r="U5">
            <v>31816</v>
          </cell>
        </row>
        <row r="9">
          <cell r="E9">
            <v>302.65000000000003</v>
          </cell>
          <cell r="F9">
            <v>303.55666551442425</v>
          </cell>
          <cell r="G9">
            <v>100000</v>
          </cell>
          <cell r="H9">
            <v>99999.951551692619</v>
          </cell>
        </row>
        <row r="10">
          <cell r="E10">
            <v>10.991</v>
          </cell>
          <cell r="F10">
            <v>0</v>
          </cell>
          <cell r="G10">
            <v>99500</v>
          </cell>
          <cell r="H10">
            <v>0</v>
          </cell>
        </row>
        <row r="11">
          <cell r="E11">
            <v>0</v>
          </cell>
          <cell r="F11">
            <v>26.398156306957446</v>
          </cell>
        </row>
        <row r="12">
          <cell r="E12">
            <v>37.064</v>
          </cell>
          <cell r="F12">
            <v>21.588089372132472</v>
          </cell>
          <cell r="G12">
            <v>64500</v>
          </cell>
          <cell r="H12">
            <v>64361.854584244866</v>
          </cell>
        </row>
        <row r="13">
          <cell r="E13">
            <v>18.379000000000001</v>
          </cell>
          <cell r="F13">
            <v>27.534413927471551</v>
          </cell>
          <cell r="G13">
            <v>45000</v>
          </cell>
          <cell r="H13">
            <v>44461.139767933397</v>
          </cell>
        </row>
        <row r="14">
          <cell r="E14">
            <v>0</v>
          </cell>
          <cell r="F14">
            <v>0</v>
          </cell>
        </row>
        <row r="15">
          <cell r="E15">
            <v>369.08400000000006</v>
          </cell>
          <cell r="F15">
            <v>379.07732512098573</v>
          </cell>
        </row>
        <row r="16">
          <cell r="E16">
            <v>886.21399999999994</v>
          </cell>
          <cell r="F16">
            <v>865.05012255672318</v>
          </cell>
          <cell r="G16">
            <v>15733.333333333332</v>
          </cell>
          <cell r="H16">
            <v>15867.211464846649</v>
          </cell>
        </row>
        <row r="17">
          <cell r="E17">
            <v>850.42399999999998</v>
          </cell>
          <cell r="F17">
            <v>847.67315065049308</v>
          </cell>
          <cell r="G17">
            <v>15504.138303445719</v>
          </cell>
          <cell r="H17">
            <v>15644.378435980001</v>
          </cell>
        </row>
        <row r="19">
          <cell r="E19">
            <v>3.3220000000000001</v>
          </cell>
          <cell r="F19">
            <v>3.2310728426874493</v>
          </cell>
        </row>
        <row r="20">
          <cell r="Q20">
            <v>64494.959079236192</v>
          </cell>
          <cell r="R20">
            <v>66347.038621079759</v>
          </cell>
        </row>
        <row r="21">
          <cell r="Q21">
            <v>17202.00528227786</v>
          </cell>
          <cell r="R21">
            <v>16828.790836528187</v>
          </cell>
        </row>
        <row r="22">
          <cell r="Q22">
            <v>392.85714285714283</v>
          </cell>
          <cell r="R22">
            <v>388.0104644585507</v>
          </cell>
        </row>
        <row r="50">
          <cell r="Q50">
            <v>89421.385050438097</v>
          </cell>
          <cell r="R50">
            <v>89217.195022311615</v>
          </cell>
        </row>
        <row r="56">
          <cell r="L56">
            <v>6522.4269647380734</v>
          </cell>
        </row>
        <row r="80">
          <cell r="H80">
            <v>72390.14</v>
          </cell>
          <cell r="I80">
            <v>64118.262000000002</v>
          </cell>
          <cell r="L80">
            <v>8271.8779999999933</v>
          </cell>
        </row>
        <row r="85">
          <cell r="H85">
            <v>34148.701683911124</v>
          </cell>
          <cell r="I85">
            <v>33542.288200000003</v>
          </cell>
          <cell r="L85">
            <v>606.41348391112547</v>
          </cell>
          <cell r="Q85">
            <v>102833.01607142856</v>
          </cell>
          <cell r="R85">
            <v>104344.1067387478</v>
          </cell>
        </row>
        <row r="86">
          <cell r="H86">
            <v>268986.8269038219</v>
          </cell>
          <cell r="I86">
            <v>383643.18999999989</v>
          </cell>
          <cell r="K86">
            <v>48076.86067142884</v>
          </cell>
          <cell r="M86">
            <v>51178.78397609957</v>
          </cell>
        </row>
        <row r="89">
          <cell r="Q89">
            <v>82089.821504371197</v>
          </cell>
          <cell r="R89">
            <v>83563.839922066501</v>
          </cell>
        </row>
      </sheetData>
      <sheetData sheetId="6">
        <row r="5">
          <cell r="T5">
            <v>27000</v>
          </cell>
          <cell r="U5">
            <v>24852</v>
          </cell>
        </row>
        <row r="9">
          <cell r="E9">
            <v>269.20537037037042</v>
          </cell>
          <cell r="F9">
            <v>316.03990217391299</v>
          </cell>
          <cell r="G9">
            <v>100000</v>
          </cell>
          <cell r="H9">
            <v>99999.867650581553</v>
          </cell>
        </row>
        <row r="10">
          <cell r="E10">
            <v>0</v>
          </cell>
          <cell r="F10">
            <v>2.9317745571658618</v>
          </cell>
          <cell r="G10">
            <v>0</v>
          </cell>
          <cell r="H10">
            <v>98338.296811217195</v>
          </cell>
        </row>
        <row r="11">
          <cell r="E11">
            <v>0</v>
          </cell>
          <cell r="F11">
            <v>0</v>
          </cell>
        </row>
        <row r="12">
          <cell r="E12">
            <v>40.451111111111111</v>
          </cell>
          <cell r="F12">
            <v>41.455128824476638</v>
          </cell>
          <cell r="G12">
            <v>64500</v>
          </cell>
          <cell r="H12">
            <v>64431.63815055645</v>
          </cell>
        </row>
        <row r="13">
          <cell r="E13">
            <v>38.853703703703701</v>
          </cell>
          <cell r="F13">
            <v>30.303233896940398</v>
          </cell>
          <cell r="G13">
            <v>45000</v>
          </cell>
          <cell r="H13">
            <v>45438.789642528071</v>
          </cell>
        </row>
        <row r="14">
          <cell r="E14">
            <v>0</v>
          </cell>
          <cell r="F14">
            <v>0</v>
          </cell>
        </row>
        <row r="15">
          <cell r="E15">
            <v>348.51018518518526</v>
          </cell>
          <cell r="F15">
            <v>390.73003945249587</v>
          </cell>
        </row>
        <row r="16">
          <cell r="E16">
            <v>868.88111111111107</v>
          </cell>
          <cell r="F16">
            <v>802.82651473429928</v>
          </cell>
          <cell r="G16">
            <v>15266.666666666666</v>
          </cell>
          <cell r="H16">
            <v>16495.99195242198</v>
          </cell>
        </row>
        <row r="17">
          <cell r="E17">
            <v>871.49</v>
          </cell>
          <cell r="F17">
            <v>909.92289649758447</v>
          </cell>
          <cell r="G17">
            <v>13419.354838709678</v>
          </cell>
          <cell r="H17">
            <v>13510.175734705903</v>
          </cell>
        </row>
        <row r="19">
          <cell r="E19">
            <v>2.7880814814814818</v>
          </cell>
          <cell r="F19">
            <v>3.092975120772945</v>
          </cell>
        </row>
        <row r="20">
          <cell r="Q20">
            <v>58245.22088172043</v>
          </cell>
          <cell r="R20">
            <v>63808.342270531393</v>
          </cell>
        </row>
        <row r="21">
          <cell r="Q21">
            <v>18011.674444444445</v>
          </cell>
          <cell r="R21">
            <v>19231.242673107892</v>
          </cell>
        </row>
        <row r="22">
          <cell r="Q22">
            <v>202.5</v>
          </cell>
          <cell r="R22">
            <v>165.12355072463765</v>
          </cell>
        </row>
        <row r="50">
          <cell r="Q50">
            <v>82800.448012556313</v>
          </cell>
          <cell r="R50">
            <v>89868.166384863114</v>
          </cell>
        </row>
        <row r="56">
          <cell r="L56">
            <v>-175505.21677617589</v>
          </cell>
        </row>
        <row r="80">
          <cell r="H80">
            <v>48398.55</v>
          </cell>
          <cell r="I80">
            <v>46168.57</v>
          </cell>
          <cell r="L80">
            <v>2229.9800000000018</v>
          </cell>
        </row>
        <row r="85">
          <cell r="H85">
            <v>17060.498555555554</v>
          </cell>
          <cell r="I85">
            <v>16757.632279999998</v>
          </cell>
          <cell r="L85">
            <v>302.86627555555629</v>
          </cell>
          <cell r="Q85">
            <v>97024.888077226191</v>
          </cell>
          <cell r="R85">
            <v>102308.18901506001</v>
          </cell>
        </row>
        <row r="86">
          <cell r="H86">
            <v>318600.83319053077</v>
          </cell>
          <cell r="I86">
            <v>246077.82100000032</v>
          </cell>
          <cell r="K86">
            <v>131205.49549016502</v>
          </cell>
          <cell r="M86">
            <v>-30756.137180074933</v>
          </cell>
        </row>
        <row r="89">
          <cell r="Q89">
            <v>76459.395326164871</v>
          </cell>
          <cell r="R89">
            <v>83204.70849436392</v>
          </cell>
        </row>
      </sheetData>
      <sheetData sheetId="7">
        <row r="5">
          <cell r="T5">
            <v>12500</v>
          </cell>
          <cell r="U5">
            <v>12401</v>
          </cell>
        </row>
        <row r="9">
          <cell r="E9">
            <v>207</v>
          </cell>
          <cell r="F9">
            <v>265.02782356261605</v>
          </cell>
          <cell r="G9">
            <v>100000</v>
          </cell>
          <cell r="H9">
            <v>99999.678087759938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59</v>
          </cell>
          <cell r="F12">
            <v>35.732853802112722</v>
          </cell>
          <cell r="G12">
            <v>64300</v>
          </cell>
          <cell r="H12">
            <v>57426.522904063342</v>
          </cell>
        </row>
        <row r="13">
          <cell r="E13">
            <v>44</v>
          </cell>
          <cell r="F13">
            <v>24.884354487541302</v>
          </cell>
          <cell r="G13">
            <v>46000</v>
          </cell>
          <cell r="H13">
            <v>46368.330781518926</v>
          </cell>
        </row>
        <row r="14">
          <cell r="E14">
            <v>0</v>
          </cell>
          <cell r="F14">
            <v>0</v>
          </cell>
        </row>
        <row r="15">
          <cell r="E15">
            <v>310</v>
          </cell>
          <cell r="F15">
            <v>325.64503185227011</v>
          </cell>
        </row>
        <row r="16">
          <cell r="E16">
            <v>720</v>
          </cell>
          <cell r="F16">
            <v>759.81936940569324</v>
          </cell>
          <cell r="G16">
            <v>14666.666666666666</v>
          </cell>
          <cell r="H16">
            <v>14699.51944914948</v>
          </cell>
        </row>
        <row r="17">
          <cell r="E17">
            <v>1020</v>
          </cell>
          <cell r="F17">
            <v>975.17740504798019</v>
          </cell>
          <cell r="G17">
            <v>14436.32358393858</v>
          </cell>
          <cell r="H17">
            <v>14756.263264196537</v>
          </cell>
        </row>
        <row r="19">
          <cell r="E19">
            <v>2.5</v>
          </cell>
          <cell r="F19">
            <v>2.5452221595032669</v>
          </cell>
        </row>
        <row r="20">
          <cell r="Q20">
            <v>53352.750055617347</v>
          </cell>
          <cell r="R20">
            <v>57488.440609628255</v>
          </cell>
        </row>
        <row r="21">
          <cell r="Q21">
            <v>17086.904975886526</v>
          </cell>
          <cell r="R21">
            <v>17176.20828965406</v>
          </cell>
        </row>
        <row r="22">
          <cell r="Q22">
            <v>225</v>
          </cell>
          <cell r="R22">
            <v>56.825175389081522</v>
          </cell>
        </row>
        <row r="50">
          <cell r="Q50">
            <v>80099.451778170536</v>
          </cell>
          <cell r="R50">
            <v>83870.88605757599</v>
          </cell>
        </row>
        <row r="56">
          <cell r="L56">
            <v>-46769.561308907003</v>
          </cell>
        </row>
        <row r="80">
          <cell r="H80">
            <v>35767.67</v>
          </cell>
          <cell r="I80">
            <v>32104.038</v>
          </cell>
          <cell r="L80">
            <v>3663.6320000000001</v>
          </cell>
        </row>
        <row r="85">
          <cell r="H85">
            <v>19199.545555555553</v>
          </cell>
          <cell r="I85">
            <v>18672.983190000003</v>
          </cell>
          <cell r="L85">
            <v>526.56236555555006</v>
          </cell>
          <cell r="Q85">
            <v>94015</v>
          </cell>
          <cell r="R85">
            <v>97269.892428029983</v>
          </cell>
        </row>
        <row r="86">
          <cell r="H86">
            <v>118977.1372173127</v>
          </cell>
          <cell r="I86">
            <v>115384.05200000003</v>
          </cell>
          <cell r="K86">
            <v>40363.92099999982</v>
          </cell>
          <cell r="M86">
            <v>-1377.6392739611165</v>
          </cell>
        </row>
        <row r="89">
          <cell r="Q89">
            <v>70664.655031503877</v>
          </cell>
          <cell r="R89">
            <v>74721.474074671394</v>
          </cell>
        </row>
      </sheetData>
      <sheetData sheetId="8">
        <row r="5">
          <cell r="T5">
            <v>19000</v>
          </cell>
          <cell r="U5">
            <v>21643</v>
          </cell>
        </row>
        <row r="9">
          <cell r="E9">
            <v>230.87951637632582</v>
          </cell>
          <cell r="F9">
            <v>234.22462563307016</v>
          </cell>
          <cell r="G9">
            <v>100000</v>
          </cell>
          <cell r="H9">
            <v>100010.56296643023</v>
          </cell>
        </row>
        <row r="10">
          <cell r="E10">
            <v>40.884383287181116</v>
          </cell>
          <cell r="F10">
            <v>117.89050280604116</v>
          </cell>
          <cell r="G10">
            <v>92099.999999999985</v>
          </cell>
          <cell r="H10">
            <v>93870.444189475907</v>
          </cell>
        </row>
        <row r="11">
          <cell r="E11">
            <v>0</v>
          </cell>
          <cell r="F11">
            <v>0</v>
          </cell>
        </row>
        <row r="12">
          <cell r="E12">
            <v>42.64530782474295</v>
          </cell>
          <cell r="F12">
            <v>0</v>
          </cell>
          <cell r="G12">
            <v>65000</v>
          </cell>
          <cell r="H12">
            <v>0</v>
          </cell>
        </row>
        <row r="13">
          <cell r="E13">
            <v>34.280542415264399</v>
          </cell>
          <cell r="F13">
            <v>30.415571930464917</v>
          </cell>
          <cell r="G13">
            <v>36500</v>
          </cell>
          <cell r="H13">
            <v>36499.99657225026</v>
          </cell>
        </row>
        <row r="14">
          <cell r="E14">
            <v>0</v>
          </cell>
          <cell r="F14">
            <v>0</v>
          </cell>
        </row>
        <row r="15">
          <cell r="E15">
            <v>348.68974990351427</v>
          </cell>
          <cell r="F15">
            <v>382.53070036957627</v>
          </cell>
        </row>
        <row r="16">
          <cell r="E16">
            <v>842.67904069346571</v>
          </cell>
          <cell r="F16">
            <v>868.21303098051624</v>
          </cell>
          <cell r="G16">
            <v>10739.024822122245</v>
          </cell>
          <cell r="H16">
            <v>11934.914214768554</v>
          </cell>
        </row>
        <row r="17">
          <cell r="E17">
            <v>886.94731694475445</v>
          </cell>
          <cell r="F17">
            <v>847.65250718620246</v>
          </cell>
          <cell r="G17">
            <v>18742.186591957652</v>
          </cell>
          <cell r="H17">
            <v>18368.941436107223</v>
          </cell>
        </row>
        <row r="19">
          <cell r="E19">
            <v>2.8621956377140565</v>
          </cell>
          <cell r="F19">
            <v>3.4474818633937123</v>
          </cell>
        </row>
        <row r="20">
          <cell r="Q20">
            <v>59170.668798993895</v>
          </cell>
          <cell r="R20">
            <v>65020.112287265591</v>
          </cell>
        </row>
        <row r="21">
          <cell r="Q21">
            <v>19164.297002923973</v>
          </cell>
          <cell r="R21">
            <v>19380.342519505408</v>
          </cell>
        </row>
        <row r="22">
          <cell r="Q22">
            <v>52.631578947368418</v>
          </cell>
          <cell r="R22">
            <v>0</v>
          </cell>
        </row>
        <row r="50">
          <cell r="Q50">
            <v>87257.940828966675</v>
          </cell>
          <cell r="R50">
            <v>91265.513117671217</v>
          </cell>
        </row>
        <row r="56">
          <cell r="L56">
            <v>-54863.722848675141</v>
          </cell>
        </row>
        <row r="80">
          <cell r="H80">
            <v>56426.09</v>
          </cell>
          <cell r="I80">
            <v>39383.506000000008</v>
          </cell>
          <cell r="L80">
            <v>17042.583999999995</v>
          </cell>
        </row>
        <row r="85">
          <cell r="H85">
            <v>46892.19733333333</v>
          </cell>
          <cell r="I85">
            <v>81751.208790000019</v>
          </cell>
          <cell r="L85">
            <v>-34859.011456666689</v>
          </cell>
          <cell r="Q85">
            <v>107600.25348684211</v>
          </cell>
          <cell r="R85">
            <v>106343.69736173359</v>
          </cell>
        </row>
        <row r="86">
          <cell r="H86">
            <v>283185.6531663005</v>
          </cell>
          <cell r="I86">
            <v>237074.5909999999</v>
          </cell>
          <cell r="K86">
            <v>-27195.644215723623</v>
          </cell>
          <cell r="M86">
            <v>53764.732354764856</v>
          </cell>
        </row>
        <row r="89">
          <cell r="Q89">
            <v>78387.597380865234</v>
          </cell>
          <cell r="R89">
            <v>84400.454806770998</v>
          </cell>
        </row>
      </sheetData>
      <sheetData sheetId="9">
        <row r="5">
          <cell r="T5">
            <v>24000</v>
          </cell>
          <cell r="U5">
            <v>23104</v>
          </cell>
        </row>
        <row r="9">
          <cell r="E9">
            <v>240.79999999999998</v>
          </cell>
          <cell r="F9">
            <v>263.57899714335173</v>
          </cell>
          <cell r="G9">
            <v>100000</v>
          </cell>
          <cell r="H9">
            <v>100006.16168618931</v>
          </cell>
        </row>
        <row r="10">
          <cell r="E10">
            <v>59.899999999999991</v>
          </cell>
          <cell r="F10">
            <v>53.062286617036037</v>
          </cell>
          <cell r="G10">
            <v>92100</v>
          </cell>
          <cell r="H10">
            <v>92184.680747495033</v>
          </cell>
        </row>
        <row r="11">
          <cell r="E11">
            <v>0</v>
          </cell>
          <cell r="F11">
            <v>0</v>
          </cell>
        </row>
        <row r="12">
          <cell r="E12">
            <v>31.5</v>
          </cell>
          <cell r="F12">
            <v>19.78800467451525</v>
          </cell>
          <cell r="G12">
            <v>65000</v>
          </cell>
          <cell r="H12">
            <v>64806.18683943979</v>
          </cell>
        </row>
        <row r="13">
          <cell r="E13">
            <v>21.2</v>
          </cell>
          <cell r="F13">
            <v>28.035675207756238</v>
          </cell>
          <cell r="G13">
            <v>35199.999999999993</v>
          </cell>
          <cell r="H13">
            <v>35364.613843437248</v>
          </cell>
        </row>
        <row r="14">
          <cell r="E14">
            <v>0</v>
          </cell>
          <cell r="F14">
            <v>0</v>
          </cell>
        </row>
        <row r="15">
          <cell r="E15">
            <v>353.4</v>
          </cell>
          <cell r="F15">
            <v>364.46496364265926</v>
          </cell>
        </row>
        <row r="16">
          <cell r="E16">
            <v>815.1</v>
          </cell>
          <cell r="F16">
            <v>830.0757444598338</v>
          </cell>
          <cell r="G16">
            <v>10666.666666666666</v>
          </cell>
          <cell r="H16">
            <v>11254.79159268894</v>
          </cell>
        </row>
        <row r="17">
          <cell r="E17">
            <v>916.1</v>
          </cell>
          <cell r="F17">
            <v>900.65910664819944</v>
          </cell>
          <cell r="G17">
            <v>19086.925629867575</v>
          </cell>
          <cell r="H17">
            <v>19089.4079186007</v>
          </cell>
        </row>
        <row r="19">
          <cell r="E19">
            <v>4.54</v>
          </cell>
          <cell r="F19">
            <v>3.181795360110804</v>
          </cell>
        </row>
        <row r="20">
          <cell r="Q20">
            <v>62410.062569521695</v>
          </cell>
          <cell r="R20">
            <v>62815.212257617721</v>
          </cell>
        </row>
        <row r="21">
          <cell r="Q21">
            <v>16193.300343642612</v>
          </cell>
          <cell r="R21">
            <v>15880.351411011083</v>
          </cell>
        </row>
        <row r="22">
          <cell r="Q22">
            <v>83.333333333333329</v>
          </cell>
          <cell r="R22">
            <v>241.27194425207753</v>
          </cell>
        </row>
        <row r="50">
          <cell r="Q50">
            <v>84274.114579830974</v>
          </cell>
          <cell r="R50">
            <v>84981.89460699445</v>
          </cell>
        </row>
        <row r="56">
          <cell r="L56">
            <v>-689.78173758551202</v>
          </cell>
        </row>
        <row r="80">
          <cell r="H80">
            <v>45480</v>
          </cell>
          <cell r="I80">
            <v>43807.413999999997</v>
          </cell>
          <cell r="L80">
            <v>1672.5860000000034</v>
          </cell>
        </row>
        <row r="85">
          <cell r="H85">
            <v>-595.38266666666641</v>
          </cell>
          <cell r="I85">
            <v>15966.67801</v>
          </cell>
          <cell r="L85">
            <v>-16562.060676666668</v>
          </cell>
          <cell r="Q85">
            <v>103677.36166666666</v>
          </cell>
          <cell r="R85">
            <v>101874.60612880887</v>
          </cell>
        </row>
        <row r="86">
          <cell r="H86">
            <v>420793.31275072356</v>
          </cell>
          <cell r="I86">
            <v>346177.88299999997</v>
          </cell>
          <cell r="K86">
            <v>-41650.863946666526</v>
          </cell>
          <cell r="M86">
            <v>-17385.309389804796</v>
          </cell>
        </row>
        <row r="89">
          <cell r="Q89">
            <v>78686.696246497639</v>
          </cell>
          <cell r="R89">
            <v>78936.835612880881</v>
          </cell>
        </row>
      </sheetData>
      <sheetData sheetId="10">
        <row r="5">
          <cell r="T5">
            <v>12000</v>
          </cell>
          <cell r="U5">
            <v>14128</v>
          </cell>
        </row>
        <row r="9">
          <cell r="E9">
            <v>161.91</v>
          </cell>
          <cell r="F9">
            <v>197.94749963283891</v>
          </cell>
          <cell r="G9">
            <v>100000</v>
          </cell>
          <cell r="H9">
            <v>100007.8181542215</v>
          </cell>
        </row>
        <row r="10">
          <cell r="E10">
            <v>155.85000000000002</v>
          </cell>
          <cell r="F10">
            <v>134.47202966661769</v>
          </cell>
          <cell r="G10">
            <v>92100.000000000015</v>
          </cell>
          <cell r="H10">
            <v>92099.145819272962</v>
          </cell>
        </row>
        <row r="11">
          <cell r="E11">
            <v>0</v>
          </cell>
          <cell r="F11">
            <v>0</v>
          </cell>
        </row>
        <row r="12">
          <cell r="E12">
            <v>6.0600000000000005</v>
          </cell>
          <cell r="F12">
            <v>4.9728322808048171</v>
          </cell>
          <cell r="G12">
            <v>64000</v>
          </cell>
          <cell r="H12">
            <v>61745.557407461281</v>
          </cell>
        </row>
        <row r="13">
          <cell r="E13">
            <v>19.18</v>
          </cell>
          <cell r="F13">
            <v>18.064331032457034</v>
          </cell>
          <cell r="G13">
            <v>35000</v>
          </cell>
          <cell r="H13">
            <v>34999.889837425268</v>
          </cell>
        </row>
        <row r="14">
          <cell r="E14">
            <v>0</v>
          </cell>
          <cell r="F14">
            <v>0</v>
          </cell>
        </row>
        <row r="15">
          <cell r="E15">
            <v>343</v>
          </cell>
          <cell r="F15">
            <v>355.45669261271848</v>
          </cell>
        </row>
        <row r="16">
          <cell r="E16">
            <v>830</v>
          </cell>
          <cell r="F16">
            <v>741.73887501835827</v>
          </cell>
          <cell r="G16">
            <v>9533.3333333333339</v>
          </cell>
          <cell r="H16">
            <v>9839.8936738936736</v>
          </cell>
        </row>
        <row r="17">
          <cell r="E17">
            <v>890</v>
          </cell>
          <cell r="F17">
            <v>978.04404464679078</v>
          </cell>
          <cell r="G17">
            <v>18179.375335891316</v>
          </cell>
          <cell r="H17">
            <v>16486.2932166143</v>
          </cell>
        </row>
        <row r="19">
          <cell r="E19">
            <v>3.3</v>
          </cell>
          <cell r="F19">
            <v>3.5088228814803948</v>
          </cell>
        </row>
        <row r="20">
          <cell r="Q20">
            <v>58328.83571560993</v>
          </cell>
          <cell r="R20">
            <v>59840.394184168013</v>
          </cell>
        </row>
        <row r="21">
          <cell r="Q21">
            <v>17742.640073099417</v>
          </cell>
          <cell r="R21">
            <v>19278.198707592892</v>
          </cell>
        </row>
        <row r="22">
          <cell r="Q22">
            <v>320.83333333333331</v>
          </cell>
          <cell r="R22">
            <v>411.88155382581874</v>
          </cell>
        </row>
        <row r="50">
          <cell r="Q50">
            <v>85311.209226615698</v>
          </cell>
          <cell r="R50">
            <v>85969.693567337352</v>
          </cell>
        </row>
        <row r="56">
          <cell r="L56">
            <v>-5384.7174419473567</v>
          </cell>
        </row>
        <row r="80">
          <cell r="H80">
            <v>33527.57</v>
          </cell>
          <cell r="I80">
            <v>33640.953000000001</v>
          </cell>
          <cell r="L80">
            <v>-113.38299999999879</v>
          </cell>
        </row>
        <row r="85">
          <cell r="H85">
            <v>12044.764777777777</v>
          </cell>
          <cell r="I85">
            <v>15782.25531</v>
          </cell>
          <cell r="L85">
            <v>-3737.4905322222239</v>
          </cell>
          <cell r="Q85">
            <v>101000.2</v>
          </cell>
          <cell r="R85">
            <v>96687.288882361579</v>
          </cell>
        </row>
        <row r="86">
          <cell r="H86">
            <v>142695.55450283352</v>
          </cell>
          <cell r="I86">
            <v>100672.52699999989</v>
          </cell>
          <cell r="K86">
            <v>-58733.223599999968</v>
          </cell>
          <cell r="M86">
            <v>25945.78707133577</v>
          </cell>
        </row>
        <row r="89">
          <cell r="Q89">
            <v>76392.309122042672</v>
          </cell>
          <cell r="R89">
            <v>79530.474445586719</v>
          </cell>
        </row>
      </sheetData>
      <sheetData sheetId="11">
        <row r="5">
          <cell r="T5">
            <v>18000</v>
          </cell>
          <cell r="U5">
            <v>20677</v>
          </cell>
        </row>
        <row r="9">
          <cell r="E9">
            <v>205.8</v>
          </cell>
          <cell r="F9">
            <v>266.98410336991753</v>
          </cell>
          <cell r="G9">
            <v>100000</v>
          </cell>
          <cell r="H9">
            <v>99999.930279291075</v>
          </cell>
        </row>
        <row r="10">
          <cell r="E10">
            <v>74.5</v>
          </cell>
          <cell r="F10">
            <v>41.345556253928336</v>
          </cell>
          <cell r="G10">
            <v>92100.000000000015</v>
          </cell>
          <cell r="H10">
            <v>92083.110692117785</v>
          </cell>
        </row>
        <row r="11">
          <cell r="E11">
            <v>0</v>
          </cell>
          <cell r="F11">
            <v>0</v>
          </cell>
        </row>
        <row r="12">
          <cell r="E12">
            <v>41.4</v>
          </cell>
          <cell r="F12">
            <v>38.303735434898194</v>
          </cell>
          <cell r="G12">
            <v>63499.999999999993</v>
          </cell>
          <cell r="H12">
            <v>63292.453098833612</v>
          </cell>
        </row>
        <row r="13">
          <cell r="E13">
            <v>35.200000000000003</v>
          </cell>
          <cell r="F13">
            <v>30.384985737078782</v>
          </cell>
          <cell r="G13">
            <v>35500</v>
          </cell>
          <cell r="H13">
            <v>35500.000906989524</v>
          </cell>
        </row>
        <row r="14">
          <cell r="E14">
            <v>0</v>
          </cell>
          <cell r="F14">
            <v>0</v>
          </cell>
        </row>
        <row r="15">
          <cell r="E15">
            <v>356.9</v>
          </cell>
          <cell r="F15">
            <v>377.01838079582291</v>
          </cell>
        </row>
        <row r="16">
          <cell r="E16">
            <v>795</v>
          </cell>
          <cell r="F16">
            <v>798.89276217183192</v>
          </cell>
          <cell r="G16">
            <v>10733.333333333332</v>
          </cell>
          <cell r="H16">
            <v>11785.612720405043</v>
          </cell>
        </row>
        <row r="17">
          <cell r="E17">
            <v>920</v>
          </cell>
          <cell r="F17">
            <v>936.10501377943285</v>
          </cell>
          <cell r="G17">
            <v>18315.171013635976</v>
          </cell>
          <cell r="H17">
            <v>19462.753945208668</v>
          </cell>
        </row>
        <row r="19">
          <cell r="E19">
            <v>3.052095</v>
          </cell>
          <cell r="F19">
            <v>2.6512503021805354</v>
          </cell>
        </row>
        <row r="20">
          <cell r="Q20">
            <v>59011.840532545088</v>
          </cell>
          <cell r="R20">
            <v>63764.330561330571</v>
          </cell>
        </row>
        <row r="21">
          <cell r="Q21">
            <v>18577.502777777776</v>
          </cell>
          <cell r="R21">
            <v>18355.288884591209</v>
          </cell>
        </row>
        <row r="22">
          <cell r="Q22">
            <v>250</v>
          </cell>
          <cell r="R22">
            <v>196.50548759851085</v>
          </cell>
        </row>
        <row r="50">
          <cell r="Q50">
            <v>86470.500199211747</v>
          </cell>
          <cell r="R50">
            <v>88230.008992892719</v>
          </cell>
        </row>
        <row r="56">
          <cell r="L56">
            <v>-29643.932770898766</v>
          </cell>
        </row>
        <row r="80">
          <cell r="H80">
            <v>46548.46</v>
          </cell>
          <cell r="I80">
            <v>44086.424999999996</v>
          </cell>
          <cell r="L80">
            <v>2462.0350000000008</v>
          </cell>
        </row>
        <row r="85">
          <cell r="H85">
            <v>23068.608222222225</v>
          </cell>
          <cell r="I85">
            <v>29790.150610000001</v>
          </cell>
          <cell r="L85">
            <v>-6721.5423877777775</v>
          </cell>
          <cell r="Q85">
            <v>104000</v>
          </cell>
          <cell r="R85">
            <v>103388.96841901631</v>
          </cell>
        </row>
        <row r="86">
          <cell r="H86">
            <v>245913.92819196606</v>
          </cell>
          <cell r="I86">
            <v>246302.65899999993</v>
          </cell>
          <cell r="K86">
            <v>-12634.299999999763</v>
          </cell>
          <cell r="M86">
            <v>46926.470966710127</v>
          </cell>
        </row>
        <row r="89">
          <cell r="Q89">
            <v>77839.34331032286</v>
          </cell>
          <cell r="R89">
            <v>82316.124933520288</v>
          </cell>
        </row>
      </sheetData>
      <sheetData sheetId="12">
        <row r="5">
          <cell r="T5">
            <v>11000</v>
          </cell>
          <cell r="U5">
            <v>13470</v>
          </cell>
        </row>
        <row r="9">
          <cell r="E9">
            <v>251.60654545454548</v>
          </cell>
          <cell r="F9">
            <v>222.56986117297697</v>
          </cell>
          <cell r="G9">
            <v>100000.00000000001</v>
          </cell>
          <cell r="H9">
            <v>99932.636450913182</v>
          </cell>
        </row>
        <row r="10">
          <cell r="E10">
            <v>10.240909090909092</v>
          </cell>
          <cell r="F10">
            <v>17.985524127691164</v>
          </cell>
          <cell r="G10">
            <v>92100.000000000015</v>
          </cell>
          <cell r="H10">
            <v>97590.460958435564</v>
          </cell>
        </row>
        <row r="11">
          <cell r="E11">
            <v>0</v>
          </cell>
          <cell r="F11">
            <v>0</v>
          </cell>
        </row>
        <row r="12">
          <cell r="E12">
            <v>35.716818181818184</v>
          </cell>
          <cell r="F12">
            <v>85.859205642167751</v>
          </cell>
          <cell r="G12">
            <v>63000.000000000007</v>
          </cell>
          <cell r="H12">
            <v>63380.406018554757</v>
          </cell>
        </row>
        <row r="13">
          <cell r="E13">
            <v>34.69409090909091</v>
          </cell>
          <cell r="F13">
            <v>29.052238307349661</v>
          </cell>
          <cell r="G13">
            <v>36000</v>
          </cell>
          <cell r="H13">
            <v>35999.988756397521</v>
          </cell>
        </row>
        <row r="14">
          <cell r="E14">
            <v>0</v>
          </cell>
          <cell r="F14">
            <v>0</v>
          </cell>
        </row>
        <row r="15">
          <cell r="E15">
            <v>332.25836363636364</v>
          </cell>
          <cell r="F15">
            <v>355.46682925018558</v>
          </cell>
        </row>
        <row r="16">
          <cell r="E16">
            <v>783.27272727272725</v>
          </cell>
          <cell r="F16">
            <v>806.41685226429024</v>
          </cell>
          <cell r="G16">
            <v>9066.6666666666661</v>
          </cell>
          <cell r="H16">
            <v>9610.1479088252399</v>
          </cell>
        </row>
        <row r="17">
          <cell r="E17">
            <v>908.48002545454517</v>
          </cell>
          <cell r="F17">
            <v>877.35746102449878</v>
          </cell>
          <cell r="G17">
            <v>17371.770748472212</v>
          </cell>
          <cell r="H17">
            <v>16609.012434839897</v>
          </cell>
        </row>
        <row r="19">
          <cell r="E19">
            <v>2.7062238181818175</v>
          </cell>
          <cell r="F19">
            <v>2.9703853006681502</v>
          </cell>
        </row>
        <row r="20">
          <cell r="Q20">
            <v>54388.938997944388</v>
          </cell>
          <cell r="R20">
            <v>54798.478990348929</v>
          </cell>
        </row>
        <row r="21">
          <cell r="Q21">
            <v>17018.113277511966</v>
          </cell>
          <cell r="R21">
            <v>16535.218040089083</v>
          </cell>
        </row>
        <row r="22">
          <cell r="Q22">
            <v>86.36363636363636</v>
          </cell>
          <cell r="R22">
            <v>22.180623608017822</v>
          </cell>
        </row>
        <row r="50">
          <cell r="Q50">
            <v>81103.919639092725</v>
          </cell>
          <cell r="R50">
            <v>78606.51128433556</v>
          </cell>
        </row>
        <row r="56">
          <cell r="L56">
            <v>33921.128818578683</v>
          </cell>
        </row>
        <row r="80">
          <cell r="H80">
            <v>43049.919999999998</v>
          </cell>
          <cell r="I80">
            <v>28433.611000000001</v>
          </cell>
          <cell r="L80">
            <v>14616.309000000001</v>
          </cell>
        </row>
        <row r="85">
          <cell r="H85">
            <v>10628.195666666668</v>
          </cell>
          <cell r="I85">
            <v>10178.39128</v>
          </cell>
          <cell r="L85">
            <v>449.80438666666839</v>
          </cell>
          <cell r="Q85">
            <v>96715.406363636372</v>
          </cell>
          <cell r="R85">
            <v>91323.480326651814</v>
          </cell>
        </row>
        <row r="86">
          <cell r="H86">
            <v>118048.23830331383</v>
          </cell>
          <cell r="I86">
            <v>132966.60900000005</v>
          </cell>
          <cell r="K86">
            <v>-72629.243718181999</v>
          </cell>
          <cell r="M86">
            <v>38560.372209622903</v>
          </cell>
        </row>
        <row r="89">
          <cell r="Q89">
            <v>71493.41591181999</v>
          </cell>
          <cell r="R89">
            <v>71355.877654046024</v>
          </cell>
        </row>
      </sheetData>
      <sheetData sheetId="13">
        <row r="5">
          <cell r="T5">
            <v>18000</v>
          </cell>
          <cell r="U5">
            <v>18723</v>
          </cell>
        </row>
        <row r="9">
          <cell r="E9">
            <v>239.1</v>
          </cell>
          <cell r="F9">
            <v>278.80532393313024</v>
          </cell>
          <cell r="G9">
            <v>100000</v>
          </cell>
          <cell r="H9">
            <v>99998.93909510925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69</v>
          </cell>
          <cell r="F12">
            <v>53.738189926827957</v>
          </cell>
          <cell r="G12">
            <v>65000</v>
          </cell>
          <cell r="H12">
            <v>64904.932278170847</v>
          </cell>
        </row>
        <row r="13">
          <cell r="E13">
            <v>34.799999999999997</v>
          </cell>
          <cell r="F13">
            <v>30.560925065427512</v>
          </cell>
          <cell r="G13">
            <v>33000</v>
          </cell>
          <cell r="H13">
            <v>33000.005942059375</v>
          </cell>
        </row>
        <row r="14">
          <cell r="E14">
            <v>0</v>
          </cell>
          <cell r="F14">
            <v>0</v>
          </cell>
        </row>
        <row r="15">
          <cell r="E15">
            <v>342.90000000000003</v>
          </cell>
          <cell r="F15">
            <v>363.10443892538569</v>
          </cell>
        </row>
        <row r="16">
          <cell r="E16">
            <v>837.7</v>
          </cell>
          <cell r="F16">
            <v>866.82601078886933</v>
          </cell>
          <cell r="G16">
            <v>10400</v>
          </cell>
          <cell r="H16">
            <v>11266.419075180944</v>
          </cell>
        </row>
        <row r="17">
          <cell r="E17">
            <v>880.59999999999991</v>
          </cell>
          <cell r="F17">
            <v>845.85830262244269</v>
          </cell>
          <cell r="G17">
            <v>17019.616516901086</v>
          </cell>
          <cell r="H17">
            <v>17591.755196137157</v>
          </cell>
        </row>
        <row r="19">
          <cell r="E19">
            <v>3.08</v>
          </cell>
          <cell r="F19">
            <v>2.9876568925919984</v>
          </cell>
        </row>
        <row r="20">
          <cell r="Q20">
            <v>55702.154304783093</v>
          </cell>
          <cell r="R20">
            <v>59571.934038348554</v>
          </cell>
        </row>
        <row r="21">
          <cell r="Q21">
            <v>16117.4804964539</v>
          </cell>
          <cell r="R21">
            <v>15333.711531271698</v>
          </cell>
        </row>
        <row r="22">
          <cell r="Q22">
            <v>66.666666666666671</v>
          </cell>
          <cell r="R22">
            <v>84.610692730865779</v>
          </cell>
        </row>
        <row r="50">
          <cell r="Q50">
            <v>79203.067533104186</v>
          </cell>
          <cell r="R50">
            <v>80564.206911285582</v>
          </cell>
        </row>
        <row r="56">
          <cell r="L56">
            <v>-25484.46670769047</v>
          </cell>
        </row>
        <row r="80">
          <cell r="H80">
            <v>39206.69</v>
          </cell>
          <cell r="I80">
            <v>45461.677000000003</v>
          </cell>
          <cell r="L80">
            <v>-6254.9869999999992</v>
          </cell>
        </row>
        <row r="85">
          <cell r="H85">
            <v>32456.825222222222</v>
          </cell>
          <cell r="I85">
            <v>29376.354869999999</v>
          </cell>
          <cell r="L85">
            <v>3080.4703522222226</v>
          </cell>
          <cell r="Q85">
            <v>99635.694444444438</v>
          </cell>
          <cell r="R85">
            <v>101750.73439085616</v>
          </cell>
        </row>
        <row r="86">
          <cell r="H86">
            <v>296123.7691819024</v>
          </cell>
          <cell r="I86">
            <v>321837.46799999994</v>
          </cell>
          <cell r="K86">
            <v>39599.892916666664</v>
          </cell>
          <cell r="M86">
            <v>14772.789256898992</v>
          </cell>
        </row>
        <row r="89">
          <cell r="Q89">
            <v>71886.301467903671</v>
          </cell>
          <cell r="R89">
            <v>74990.256262351118</v>
          </cell>
        </row>
      </sheetData>
      <sheetData sheetId="14">
        <row r="5">
          <cell r="T5">
            <v>16000</v>
          </cell>
          <cell r="U5">
            <v>15572</v>
          </cell>
        </row>
        <row r="9">
          <cell r="E9">
            <v>252</v>
          </cell>
          <cell r="F9">
            <v>305.91729771384564</v>
          </cell>
          <cell r="G9">
            <v>100000</v>
          </cell>
          <cell r="H9">
            <v>99999.781474410585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50.4</v>
          </cell>
          <cell r="F12">
            <v>42.807674030310793</v>
          </cell>
          <cell r="G12">
            <v>62500</v>
          </cell>
          <cell r="H12">
            <v>62277.354477812929</v>
          </cell>
        </row>
        <row r="13">
          <cell r="E13">
            <v>33.6</v>
          </cell>
          <cell r="F13">
            <v>31.597682378628285</v>
          </cell>
          <cell r="G13">
            <v>35500</v>
          </cell>
          <cell r="H13">
            <v>35255.616164332983</v>
          </cell>
        </row>
        <row r="14">
          <cell r="E14">
            <v>0</v>
          </cell>
          <cell r="F14">
            <v>0</v>
          </cell>
        </row>
        <row r="15">
          <cell r="E15">
            <v>336</v>
          </cell>
          <cell r="F15">
            <v>380.32265412278474</v>
          </cell>
        </row>
        <row r="16">
          <cell r="E16">
            <v>775.3511090757703</v>
          </cell>
          <cell r="F16">
            <v>750.08701515540702</v>
          </cell>
          <cell r="G16">
            <v>10466.666666666664</v>
          </cell>
          <cell r="H16">
            <v>10516.949870102408</v>
          </cell>
        </row>
        <row r="17">
          <cell r="E17">
            <v>947.6513555370525</v>
          </cell>
          <cell r="F17">
            <v>943.91792961726139</v>
          </cell>
          <cell r="G17">
            <v>14718.131256952169</v>
          </cell>
          <cell r="H17">
            <v>15002.124475038256</v>
          </cell>
        </row>
        <row r="19">
          <cell r="E19">
            <v>2.6880000000000002</v>
          </cell>
          <cell r="F19">
            <v>3.5323240431543801</v>
          </cell>
        </row>
        <row r="20">
          <cell r="Q20">
            <v>53218.598644949379</v>
          </cell>
          <cell r="R20">
            <v>59589.854803493457</v>
          </cell>
        </row>
        <row r="21">
          <cell r="Q21">
            <v>16604.654479166671</v>
          </cell>
          <cell r="R21">
            <v>17316.501412792193</v>
          </cell>
        </row>
        <row r="22">
          <cell r="Q22">
            <v>318.75</v>
          </cell>
          <cell r="R22">
            <v>287.08367582840992</v>
          </cell>
        </row>
        <row r="50">
          <cell r="Q50">
            <v>78777.363874116039</v>
          </cell>
          <cell r="R50">
            <v>85274.60480349345</v>
          </cell>
        </row>
        <row r="56">
          <cell r="L56">
            <v>-101175.04656226479</v>
          </cell>
        </row>
        <row r="80">
          <cell r="H80">
            <v>37450.869999999995</v>
          </cell>
          <cell r="I80">
            <v>36402.773000000001</v>
          </cell>
          <cell r="L80">
            <v>1048.0969999999959</v>
          </cell>
        </row>
        <row r="85">
          <cell r="H85">
            <v>13753.094696898528</v>
          </cell>
          <cell r="I85">
            <v>14144.139189999998</v>
          </cell>
          <cell r="L85">
            <v>-391.04449310147174</v>
          </cell>
          <cell r="Q85">
            <v>97800.000000000015</v>
          </cell>
          <cell r="R85">
            <v>101245.55882352941</v>
          </cell>
        </row>
        <row r="86">
          <cell r="H86">
            <v>253158.21331724507</v>
          </cell>
          <cell r="I86">
            <v>198152.77300000013</v>
          </cell>
          <cell r="K86">
            <v>53654.241999999787</v>
          </cell>
          <cell r="M86">
            <v>-8141.688261878342</v>
          </cell>
        </row>
        <row r="89">
          <cell r="Q89">
            <v>70142.003124116047</v>
          </cell>
          <cell r="R89">
            <v>77193.439892114067</v>
          </cell>
        </row>
      </sheetData>
      <sheetData sheetId="15">
        <row r="5">
          <cell r="T5">
            <v>7000</v>
          </cell>
          <cell r="U5">
            <v>7183</v>
          </cell>
        </row>
        <row r="9">
          <cell r="E9">
            <v>224.20000000000002</v>
          </cell>
          <cell r="F9">
            <v>257.53760682574909</v>
          </cell>
          <cell r="G9">
            <v>100000</v>
          </cell>
          <cell r="H9">
            <v>99994.93678678773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96.100000000000009</v>
          </cell>
          <cell r="F12">
            <v>67.469069089900074</v>
          </cell>
          <cell r="G12">
            <v>61300</v>
          </cell>
          <cell r="H12">
            <v>60706.294381412314</v>
          </cell>
        </row>
        <row r="13">
          <cell r="E13">
            <v>35.700000000000003</v>
          </cell>
          <cell r="F13">
            <v>45.471501109877913</v>
          </cell>
          <cell r="G13">
            <v>37000</v>
          </cell>
          <cell r="H13">
            <v>37000.013851658739</v>
          </cell>
        </row>
        <row r="14">
          <cell r="E14">
            <v>0</v>
          </cell>
          <cell r="F14">
            <v>0</v>
          </cell>
        </row>
        <row r="15">
          <cell r="E15">
            <v>356</v>
          </cell>
          <cell r="F15">
            <v>370.47817702552709</v>
          </cell>
        </row>
        <row r="16">
          <cell r="E16">
            <v>730</v>
          </cell>
          <cell r="F16">
            <v>743.07685904550465</v>
          </cell>
          <cell r="G16">
            <v>10546.666666666666</v>
          </cell>
          <cell r="H16">
            <v>11468.585152848214</v>
          </cell>
        </row>
        <row r="17">
          <cell r="E17">
            <v>972</v>
          </cell>
          <cell r="F17">
            <v>954.77719200887896</v>
          </cell>
          <cell r="G17">
            <v>18685.562032802791</v>
          </cell>
          <cell r="H17">
            <v>19139.366355934886</v>
          </cell>
        </row>
        <row r="19">
          <cell r="E19">
            <v>3.2</v>
          </cell>
          <cell r="F19">
            <v>3.138367092119867</v>
          </cell>
        </row>
        <row r="20">
          <cell r="Q20">
            <v>57413.262962550987</v>
          </cell>
          <cell r="R20">
            <v>60727.030105438411</v>
          </cell>
        </row>
        <row r="21">
          <cell r="Q21">
            <v>20561.414945054945</v>
          </cell>
          <cell r="R21">
            <v>22903.241953385128</v>
          </cell>
        </row>
        <row r="22">
          <cell r="Q22">
            <v>260</v>
          </cell>
          <cell r="R22">
            <v>324.61584350721421</v>
          </cell>
        </row>
        <row r="50">
          <cell r="Q50">
            <v>93996.212738882139</v>
          </cell>
          <cell r="R50">
            <v>96418.161487236415</v>
          </cell>
        </row>
        <row r="56">
          <cell r="L56">
            <v>-16908.426906609631</v>
          </cell>
        </row>
        <row r="80">
          <cell r="H80">
            <v>25635.420000000002</v>
          </cell>
          <cell r="I80">
            <v>25276.004999999997</v>
          </cell>
          <cell r="L80">
            <v>359.41500000000383</v>
          </cell>
        </row>
        <row r="85">
          <cell r="H85">
            <v>11498.593888888889</v>
          </cell>
          <cell r="I85">
            <v>11986.380990000001</v>
          </cell>
          <cell r="L85">
            <v>-487.78710111111286</v>
          </cell>
          <cell r="Q85">
            <v>98025.400000000009</v>
          </cell>
          <cell r="R85">
            <v>105834.37867186412</v>
          </cell>
        </row>
        <row r="86">
          <cell r="H86">
            <v>-8929.7030610637885</v>
          </cell>
          <cell r="I86">
            <v>30862.732999999989</v>
          </cell>
          <cell r="K86">
            <v>56091.893799999918</v>
          </cell>
          <cell r="M86">
            <v>737.34126878457027</v>
          </cell>
        </row>
        <row r="89">
          <cell r="Q89">
            <v>78234.677907605932</v>
          </cell>
          <cell r="R89">
            <v>83954.887902330753</v>
          </cell>
        </row>
      </sheetData>
      <sheetData sheetId="16">
        <row r="5">
          <cell r="T5">
            <v>24000</v>
          </cell>
          <cell r="U5">
            <v>27772</v>
          </cell>
        </row>
        <row r="9">
          <cell r="E9">
            <v>231.38416666666666</v>
          </cell>
          <cell r="F9">
            <v>337.71700090497711</v>
          </cell>
          <cell r="G9">
            <v>100000</v>
          </cell>
          <cell r="H9">
            <v>100579.02966795258</v>
          </cell>
        </row>
        <row r="10">
          <cell r="E10">
            <v>64.87833333333333</v>
          </cell>
          <cell r="F10">
            <v>0</v>
          </cell>
          <cell r="G10">
            <v>87100.000000000015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32.523333333333326</v>
          </cell>
          <cell r="F12">
            <v>24.10270081447964</v>
          </cell>
          <cell r="G12">
            <v>64500.000000000015</v>
          </cell>
          <cell r="H12">
            <v>64307.082553569286</v>
          </cell>
        </row>
        <row r="13">
          <cell r="E13">
            <v>32.523333333333326</v>
          </cell>
          <cell r="F13">
            <v>24.315008868778254</v>
          </cell>
          <cell r="G13">
            <v>42000</v>
          </cell>
          <cell r="H13">
            <v>40946.299231570134</v>
          </cell>
        </row>
        <row r="14">
          <cell r="E14">
            <v>0</v>
          </cell>
          <cell r="F14">
            <v>0</v>
          </cell>
        </row>
        <row r="15">
          <cell r="E15">
            <v>361.30916666666661</v>
          </cell>
          <cell r="F15">
            <v>386.13471058823501</v>
          </cell>
        </row>
        <row r="16">
          <cell r="E16">
            <v>854.9133333333333</v>
          </cell>
          <cell r="F16">
            <v>800.81194570135744</v>
          </cell>
          <cell r="G16">
            <v>10933.333333333334</v>
          </cell>
          <cell r="H16">
            <v>11446.15175638481</v>
          </cell>
        </row>
        <row r="17">
          <cell r="E17">
            <v>864.74416666666662</v>
          </cell>
          <cell r="F17">
            <v>902.33212669683337</v>
          </cell>
          <cell r="G17">
            <v>13742.253874325719</v>
          </cell>
          <cell r="H17">
            <v>13468.054362902752</v>
          </cell>
        </row>
        <row r="19">
          <cell r="E19">
            <v>3.0019333333333331</v>
          </cell>
          <cell r="F19">
            <v>3.3093502262443435</v>
          </cell>
        </row>
        <row r="20">
          <cell r="Q20">
            <v>56035.284152453351</v>
          </cell>
          <cell r="R20">
            <v>61088.75833484163</v>
          </cell>
        </row>
        <row r="21">
          <cell r="Q21">
            <v>19763.523670212766</v>
          </cell>
          <cell r="R21">
            <v>18115.861067873306</v>
          </cell>
        </row>
        <row r="22">
          <cell r="Q22">
            <v>208.33333333333334</v>
          </cell>
          <cell r="R22">
            <v>170.99724886877829</v>
          </cell>
        </row>
        <row r="50">
          <cell r="Q50">
            <v>82674.378337534115</v>
          </cell>
          <cell r="R50">
            <v>86390.587764705881</v>
          </cell>
        </row>
        <row r="56">
          <cell r="L56">
            <v>-102660.27910562031</v>
          </cell>
        </row>
        <row r="80">
          <cell r="H80">
            <v>42295.039999999994</v>
          </cell>
          <cell r="I80">
            <v>39905.036999999997</v>
          </cell>
          <cell r="L80">
            <v>2390.002999999997</v>
          </cell>
        </row>
        <row r="85">
          <cell r="H85">
            <v>22868.705999999998</v>
          </cell>
          <cell r="I85">
            <v>24236.150320000001</v>
          </cell>
          <cell r="L85">
            <v>-1367.4443200000023</v>
          </cell>
          <cell r="Q85">
            <v>100999.55833333332</v>
          </cell>
          <cell r="R85">
            <v>102685.23800904979</v>
          </cell>
        </row>
        <row r="86">
          <cell r="H86">
            <v>374640.57389918115</v>
          </cell>
          <cell r="I86">
            <v>386527.73200000031</v>
          </cell>
          <cell r="K86">
            <v>46566.901041667494</v>
          </cell>
          <cell r="M86">
            <v>66957.977484772156</v>
          </cell>
        </row>
        <row r="89">
          <cell r="Q89">
            <v>76007.141155999445</v>
          </cell>
          <cell r="R89">
            <v>79375.61665158371</v>
          </cell>
        </row>
      </sheetData>
      <sheetData sheetId="17">
        <row r="5">
          <cell r="T5">
            <v>5000</v>
          </cell>
          <cell r="U5">
            <v>6208.5</v>
          </cell>
        </row>
        <row r="9">
          <cell r="E9">
            <v>318.60000000000002</v>
          </cell>
          <cell r="F9">
            <v>311.05843339511665</v>
          </cell>
          <cell r="G9">
            <v>100000</v>
          </cell>
          <cell r="H9">
            <v>100051.02069234983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5.3075993230719636</v>
          </cell>
        </row>
        <row r="12">
          <cell r="E12">
            <v>13.700000000000001</v>
          </cell>
          <cell r="F12">
            <v>24.57555806269643</v>
          </cell>
          <cell r="G12">
            <v>64000</v>
          </cell>
          <cell r="H12">
            <v>62799.755113899257</v>
          </cell>
        </row>
        <row r="13">
          <cell r="E13">
            <v>8.5</v>
          </cell>
          <cell r="F13">
            <v>17.352573132403908</v>
          </cell>
          <cell r="G13">
            <v>49000</v>
          </cell>
          <cell r="H13">
            <v>48999.991083373781</v>
          </cell>
        </row>
        <row r="14">
          <cell r="E14">
            <v>0</v>
          </cell>
          <cell r="F14">
            <v>0</v>
          </cell>
        </row>
        <row r="15">
          <cell r="E15">
            <v>340.8</v>
          </cell>
          <cell r="F15">
            <v>358.29416391328891</v>
          </cell>
        </row>
        <row r="16">
          <cell r="E16">
            <v>818.6</v>
          </cell>
          <cell r="F16">
            <v>828.1527923281493</v>
          </cell>
          <cell r="G16">
            <v>13666.666666666666</v>
          </cell>
          <cell r="H16">
            <v>14046.720747083547</v>
          </cell>
        </row>
        <row r="17">
          <cell r="E17">
            <v>964.6</v>
          </cell>
          <cell r="F17">
            <v>954.85292932548919</v>
          </cell>
          <cell r="G17">
            <v>13419.354838709678</v>
          </cell>
          <cell r="H17">
            <v>14101.665911314009</v>
          </cell>
        </row>
        <row r="19">
          <cell r="E19">
            <v>2.8479999999999999</v>
          </cell>
          <cell r="F19">
            <v>2.6336110887259245</v>
          </cell>
        </row>
        <row r="20">
          <cell r="Q20">
            <v>58993.943010752693</v>
          </cell>
          <cell r="R20">
            <v>60805.204448384233</v>
          </cell>
        </row>
        <row r="21">
          <cell r="Q21">
            <v>15897.761887172597</v>
          </cell>
          <cell r="R21">
            <v>12754.946571037151</v>
          </cell>
        </row>
        <row r="22">
          <cell r="Q22">
            <v>300</v>
          </cell>
          <cell r="R22">
            <v>315.82093641711663</v>
          </cell>
        </row>
        <row r="50">
          <cell r="Q50">
            <v>89444.481226895849</v>
          </cell>
          <cell r="R50">
            <v>85346.942541703596</v>
          </cell>
        </row>
        <row r="56">
          <cell r="L56">
            <v>25423.178962275324</v>
          </cell>
        </row>
        <row r="80">
          <cell r="H80">
            <v>9776.630000000001</v>
          </cell>
          <cell r="I80">
            <v>10721.769</v>
          </cell>
          <cell r="L80">
            <v>-945.13899999999921</v>
          </cell>
        </row>
        <row r="85">
          <cell r="H85">
            <v>5428.9927777777775</v>
          </cell>
          <cell r="I85">
            <v>5721.3811900000001</v>
          </cell>
          <cell r="L85">
            <v>-292.38841222222254</v>
          </cell>
          <cell r="Q85">
            <v>107900</v>
          </cell>
          <cell r="R85">
            <v>111513.96567007818</v>
          </cell>
        </row>
        <row r="86">
          <cell r="H86">
            <v>77071.971087742946</v>
          </cell>
          <cell r="I86">
            <v>145918.54499999998</v>
          </cell>
          <cell r="K86">
            <v>22422.850000000057</v>
          </cell>
          <cell r="M86">
            <v>22238.072362203922</v>
          </cell>
        </row>
        <row r="89">
          <cell r="Q89">
            <v>75191.704897925287</v>
          </cell>
          <cell r="R89">
            <v>73875.971955838497</v>
          </cell>
        </row>
      </sheetData>
      <sheetData sheetId="18">
        <row r="5">
          <cell r="T5">
            <v>7500</v>
          </cell>
          <cell r="U5">
            <v>8978</v>
          </cell>
        </row>
        <row r="9">
          <cell r="E9">
            <v>228.5</v>
          </cell>
          <cell r="F9">
            <v>249.56859031824303</v>
          </cell>
          <cell r="G9">
            <v>100000</v>
          </cell>
          <cell r="H9">
            <v>99999.997305974073</v>
          </cell>
        </row>
        <row r="10">
          <cell r="E10">
            <v>10</v>
          </cell>
          <cell r="F10">
            <v>6.9061004034065432</v>
          </cell>
          <cell r="G10">
            <v>95000</v>
          </cell>
          <cell r="H10">
            <v>94653.581273028554</v>
          </cell>
        </row>
        <row r="11">
          <cell r="E11">
            <v>0</v>
          </cell>
          <cell r="F11">
            <v>0</v>
          </cell>
        </row>
        <row r="12">
          <cell r="E12">
            <v>80.8</v>
          </cell>
          <cell r="F12">
            <v>72.941509412819386</v>
          </cell>
          <cell r="G12">
            <v>64900.000000000007</v>
          </cell>
          <cell r="H12">
            <v>64848.856335603356</v>
          </cell>
        </row>
        <row r="13">
          <cell r="E13">
            <v>21.2</v>
          </cell>
          <cell r="F13">
            <v>22.41826311071268</v>
          </cell>
          <cell r="G13">
            <v>37500</v>
          </cell>
          <cell r="H13">
            <v>39249.531316964094</v>
          </cell>
        </row>
        <row r="14">
          <cell r="E14">
            <v>0</v>
          </cell>
          <cell r="F14">
            <v>0</v>
          </cell>
        </row>
        <row r="15">
          <cell r="E15">
            <v>340.5</v>
          </cell>
          <cell r="F15">
            <v>351.83446324518161</v>
          </cell>
        </row>
        <row r="16">
          <cell r="E16">
            <v>785</v>
          </cell>
          <cell r="F16">
            <v>778.80154639175271</v>
          </cell>
          <cell r="G16">
            <v>13666.666666666666</v>
          </cell>
          <cell r="H16">
            <v>13955.661310570824</v>
          </cell>
        </row>
        <row r="17">
          <cell r="E17">
            <v>935</v>
          </cell>
          <cell r="F17">
            <v>913.63570147915766</v>
          </cell>
          <cell r="G17">
            <v>14837.329653268933</v>
          </cell>
          <cell r="H17">
            <v>15160.920046337147</v>
          </cell>
        </row>
        <row r="19">
          <cell r="E19">
            <v>2.84</v>
          </cell>
          <cell r="F19">
            <v>2.6915340654415059</v>
          </cell>
        </row>
        <row r="20">
          <cell r="Q20">
            <v>56996.156559139781</v>
          </cell>
          <cell r="R20">
            <v>57557.913715822498</v>
          </cell>
        </row>
        <row r="21">
          <cell r="Q21">
            <v>12670.57211340206</v>
          </cell>
          <cell r="R21">
            <v>12808.660129986552</v>
          </cell>
        </row>
        <row r="22">
          <cell r="Q22">
            <v>60</v>
          </cell>
          <cell r="R22">
            <v>47.194867772299411</v>
          </cell>
        </row>
        <row r="50">
          <cell r="Q50">
            <v>77457.625059751022</v>
          </cell>
          <cell r="R50">
            <v>76137.452487673683</v>
          </cell>
        </row>
        <row r="56">
          <cell r="L56">
            <v>11781.219473218238</v>
          </cell>
        </row>
        <row r="80">
          <cell r="H80">
            <v>9843.1500000000015</v>
          </cell>
          <cell r="I80">
            <v>8873.3829999999998</v>
          </cell>
          <cell r="L80">
            <v>969.76700000000005</v>
          </cell>
        </row>
        <row r="85">
          <cell r="H85">
            <v>10107.480666666666</v>
          </cell>
          <cell r="I85">
            <v>10169.033439999999</v>
          </cell>
          <cell r="L85">
            <v>-61.55277333333288</v>
          </cell>
          <cell r="Q85">
            <v>109728.57266666669</v>
          </cell>
          <cell r="R85">
            <v>113442.5537875392</v>
          </cell>
        </row>
        <row r="86">
          <cell r="H86">
            <v>222081.47638520086</v>
          </cell>
          <cell r="I86">
            <v>313987.10700000008</v>
          </cell>
          <cell r="K86">
            <v>33143.567522666322</v>
          </cell>
          <cell r="M86">
            <v>46072.629392247938</v>
          </cell>
        </row>
        <row r="89">
          <cell r="Q89">
            <v>69726.728672541838</v>
          </cell>
          <cell r="R89">
            <v>70413.768713581347</v>
          </cell>
        </row>
      </sheetData>
      <sheetData sheetId="19">
        <row r="5">
          <cell r="T5">
            <v>12000</v>
          </cell>
          <cell r="U5">
            <v>7133</v>
          </cell>
        </row>
        <row r="9">
          <cell r="E9">
            <v>288.29000000000002</v>
          </cell>
          <cell r="F9">
            <v>252.82785824345154</v>
          </cell>
          <cell r="G9">
            <v>100000</v>
          </cell>
          <cell r="H9">
            <v>99909.294949331394</v>
          </cell>
        </row>
        <row r="10">
          <cell r="E10">
            <v>0</v>
          </cell>
          <cell r="F10">
            <v>1.9854377363776443</v>
          </cell>
          <cell r="G10">
            <v>0</v>
          </cell>
          <cell r="H10">
            <v>92739.331905370651</v>
          </cell>
        </row>
        <row r="11">
          <cell r="E11">
            <v>0</v>
          </cell>
          <cell r="F11">
            <v>0</v>
          </cell>
        </row>
        <row r="12">
          <cell r="E12">
            <v>43.23</v>
          </cell>
          <cell r="F12">
            <v>55.38241490404819</v>
          </cell>
          <cell r="G12">
            <v>65000</v>
          </cell>
          <cell r="H12">
            <v>64556.310152693994</v>
          </cell>
        </row>
        <row r="13">
          <cell r="E13">
            <v>23.52</v>
          </cell>
          <cell r="F13">
            <v>18.79086566746043</v>
          </cell>
          <cell r="G13">
            <v>36000</v>
          </cell>
          <cell r="H13">
            <v>35999.97286578799</v>
          </cell>
        </row>
        <row r="14">
          <cell r="E14">
            <v>0</v>
          </cell>
          <cell r="F14">
            <v>0</v>
          </cell>
        </row>
        <row r="15">
          <cell r="E15">
            <v>355.04</v>
          </cell>
          <cell r="F15">
            <v>328.98657655133781</v>
          </cell>
        </row>
        <row r="16">
          <cell r="E16">
            <v>764.8900000000001</v>
          </cell>
          <cell r="F16">
            <v>667.00728393332429</v>
          </cell>
          <cell r="G16">
            <v>12533.333333333334</v>
          </cell>
          <cell r="H16">
            <v>12756.914295434566</v>
          </cell>
        </row>
        <row r="17">
          <cell r="E17">
            <v>980.73</v>
          </cell>
          <cell r="F17">
            <v>1076.3132091329317</v>
          </cell>
          <cell r="G17">
            <v>14400.037964047733</v>
          </cell>
          <cell r="H17">
            <v>14819.913844712251</v>
          </cell>
        </row>
        <row r="19">
          <cell r="E19">
            <v>3.01</v>
          </cell>
          <cell r="F19">
            <v>2.4676075080543498</v>
          </cell>
        </row>
        <row r="20">
          <cell r="Q20">
            <v>58331.940565813871</v>
          </cell>
          <cell r="R20">
            <v>56182.436895923798</v>
          </cell>
        </row>
        <row r="21">
          <cell r="Q21">
            <v>15926.876223118279</v>
          </cell>
          <cell r="R21">
            <v>14880.316570948313</v>
          </cell>
        </row>
        <row r="22">
          <cell r="Q22">
            <v>250</v>
          </cell>
          <cell r="R22">
            <v>205.28519400476256</v>
          </cell>
        </row>
        <row r="50">
          <cell r="Q50">
            <v>83122.729607058864</v>
          </cell>
          <cell r="R50">
            <v>84066.918335901399</v>
          </cell>
        </row>
        <row r="56">
          <cell r="L56">
            <v>-6725.9821228488863</v>
          </cell>
        </row>
        <row r="80">
          <cell r="H80">
            <v>27794.400000000001</v>
          </cell>
          <cell r="I80">
            <v>37518.69</v>
          </cell>
          <cell r="L80">
            <v>-9724.2899999999991</v>
          </cell>
        </row>
        <row r="85">
          <cell r="H85">
            <v>23400.329333333335</v>
          </cell>
          <cell r="I85">
            <v>20773.16059</v>
          </cell>
          <cell r="L85">
            <v>2627.1687433333373</v>
          </cell>
          <cell r="Q85">
            <v>103777.158</v>
          </cell>
          <cell r="R85">
            <v>93701.274779195286</v>
          </cell>
        </row>
        <row r="86">
          <cell r="H86">
            <v>196658.41138196003</v>
          </cell>
          <cell r="I86">
            <v>10438.929999999978</v>
          </cell>
          <cell r="K86">
            <v>-71871.275013999999</v>
          </cell>
          <cell r="M86">
            <v>-100525.10298844439</v>
          </cell>
        </row>
        <row r="89">
          <cell r="Q89">
            <v>74508.816788932148</v>
          </cell>
          <cell r="R89">
            <v>71268.038660876875</v>
          </cell>
        </row>
      </sheetData>
      <sheetData sheetId="20">
        <row r="5">
          <cell r="T5">
            <v>4000</v>
          </cell>
          <cell r="U5">
            <v>3848</v>
          </cell>
        </row>
        <row r="9">
          <cell r="E9">
            <v>345.6</v>
          </cell>
          <cell r="F9">
            <v>349.8149766112266</v>
          </cell>
          <cell r="G9">
            <v>116999.99999999999</v>
          </cell>
          <cell r="H9">
            <v>116991.49423385036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345.6</v>
          </cell>
          <cell r="F15">
            <v>349.8149766112266</v>
          </cell>
        </row>
        <row r="16">
          <cell r="E16">
            <v>692.2</v>
          </cell>
          <cell r="F16">
            <v>627.70400207900207</v>
          </cell>
          <cell r="G16">
            <v>18143.333333333336</v>
          </cell>
          <cell r="H16">
            <v>17956.969949138969</v>
          </cell>
        </row>
        <row r="17">
          <cell r="E17">
            <v>1046.4000000000001</v>
          </cell>
          <cell r="F17">
            <v>994.858367983368</v>
          </cell>
          <cell r="G17">
            <v>18593.79179380419</v>
          </cell>
          <cell r="H17">
            <v>18829.162416426454</v>
          </cell>
        </row>
        <row r="19">
          <cell r="E19">
            <v>3.02</v>
          </cell>
          <cell r="F19">
            <v>1.9104417879417879</v>
          </cell>
        </row>
        <row r="20">
          <cell r="Q20">
            <v>74846.559066370042</v>
          </cell>
          <cell r="R20">
            <v>72489.770010395019</v>
          </cell>
        </row>
        <row r="21">
          <cell r="Q21">
            <v>15088.910256410256</v>
          </cell>
          <cell r="R21">
            <v>15452.607848232848</v>
          </cell>
        </row>
        <row r="22">
          <cell r="Q22">
            <v>0</v>
          </cell>
          <cell r="R22">
            <v>385.52546777546775</v>
          </cell>
        </row>
        <row r="50">
          <cell r="Q50">
            <v>110023.1778227803</v>
          </cell>
          <cell r="R50">
            <v>103757.66346153847</v>
          </cell>
        </row>
        <row r="56">
          <cell r="L56">
            <v>24109.701382058582</v>
          </cell>
        </row>
        <row r="80">
          <cell r="H80">
            <v>14381.390000000001</v>
          </cell>
          <cell r="I80">
            <v>16235.255000000001</v>
          </cell>
          <cell r="L80">
            <v>-1853.8649999999998</v>
          </cell>
        </row>
        <row r="85">
          <cell r="H85">
            <v>9966.608953347426</v>
          </cell>
          <cell r="I85">
            <v>10232.56812</v>
          </cell>
          <cell r="L85">
            <v>-265.95916665257391</v>
          </cell>
          <cell r="Q85">
            <v>126700</v>
          </cell>
          <cell r="R85">
            <v>129670.60810810809</v>
          </cell>
        </row>
        <row r="86">
          <cell r="H86">
            <v>42359.289755531427</v>
          </cell>
          <cell r="I86">
            <v>73245.190000000017</v>
          </cell>
          <cell r="K86">
            <v>11430.899999999938</v>
          </cell>
          <cell r="M86">
            <v>-2534.8769709373992</v>
          </cell>
        </row>
        <row r="89">
          <cell r="Q89">
            <v>89935.469322780293</v>
          </cell>
          <cell r="R89">
            <v>88327.903326403335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94616.76586851808</v>
          </cell>
        </row>
        <row r="89">
          <cell r="Q89">
            <v>71219.80763534065</v>
          </cell>
        </row>
        <row r="90">
          <cell r="Q90">
            <v>23396.958233177429</v>
          </cell>
        </row>
      </sheetData>
      <sheetData sheetId="1">
        <row r="5">
          <cell r="T5">
            <v>134352</v>
          </cell>
        </row>
        <row r="85">
          <cell r="Q85">
            <v>90214.451950314309</v>
          </cell>
        </row>
        <row r="89">
          <cell r="Q89">
            <v>73584.916488692994</v>
          </cell>
        </row>
        <row r="90">
          <cell r="Q90">
            <v>16629.535461621315</v>
          </cell>
        </row>
      </sheetData>
      <sheetData sheetId="2">
        <row r="5">
          <cell r="T5">
            <v>163032.5</v>
          </cell>
        </row>
        <row r="85">
          <cell r="Q85">
            <v>97096.926104321508</v>
          </cell>
        </row>
        <row r="89">
          <cell r="Q89">
            <v>70457.661503929558</v>
          </cell>
        </row>
        <row r="90">
          <cell r="Q90">
            <v>26639.264600391951</v>
          </cell>
        </row>
      </sheetData>
      <sheetData sheetId="3">
        <row r="5">
          <cell r="T5">
            <v>66906</v>
          </cell>
        </row>
        <row r="85">
          <cell r="Q85">
            <v>97398.179539072167</v>
          </cell>
        </row>
        <row r="89">
          <cell r="Q89">
            <v>68270.173383744099</v>
          </cell>
        </row>
        <row r="90">
          <cell r="Q90">
            <v>29128.006155328068</v>
          </cell>
        </row>
      </sheetData>
      <sheetData sheetId="4">
        <row r="85">
          <cell r="Q85">
            <v>90393.984180918094</v>
          </cell>
        </row>
        <row r="89">
          <cell r="Q89">
            <v>76169.730405831026</v>
          </cell>
        </row>
      </sheetData>
      <sheetData sheetId="5">
        <row r="85">
          <cell r="Q85">
            <v>91552.937834161901</v>
          </cell>
        </row>
        <row r="89">
          <cell r="Q89">
            <v>75174.237946721696</v>
          </cell>
        </row>
      </sheetData>
      <sheetData sheetId="6">
        <row r="85">
          <cell r="Q85">
            <v>90248.343544123214</v>
          </cell>
        </row>
        <row r="89">
          <cell r="Q89">
            <v>73041.20662162728</v>
          </cell>
        </row>
      </sheetData>
      <sheetData sheetId="7">
        <row r="85">
          <cell r="Q85">
            <v>87095.130381245574</v>
          </cell>
        </row>
        <row r="89">
          <cell r="Q89">
            <v>65547.122377456777</v>
          </cell>
        </row>
      </sheetData>
      <sheetData sheetId="8">
        <row r="85">
          <cell r="Q85">
            <v>101486.58883400689</v>
          </cell>
        </row>
        <row r="89">
          <cell r="Q89">
            <v>73440.19464086341</v>
          </cell>
        </row>
      </sheetData>
      <sheetData sheetId="9">
        <row r="85">
          <cell r="Q85">
            <v>100122.95844231329</v>
          </cell>
        </row>
        <row r="89">
          <cell r="Q89">
            <v>69676.893718603402</v>
          </cell>
        </row>
      </sheetData>
      <sheetData sheetId="10">
        <row r="85">
          <cell r="Q85">
            <v>97324.903657843199</v>
          </cell>
        </row>
        <row r="89">
          <cell r="Q89">
            <v>73868.047634089336</v>
          </cell>
        </row>
      </sheetData>
      <sheetData sheetId="11">
        <row r="85">
          <cell r="Q85">
            <v>99129.05968152592</v>
          </cell>
        </row>
        <row r="89">
          <cell r="Q89">
            <v>74933.675398092615</v>
          </cell>
        </row>
      </sheetData>
      <sheetData sheetId="12">
        <row r="85">
          <cell r="Q85">
            <v>93165.694398409018</v>
          </cell>
        </row>
        <row r="89">
          <cell r="Q89">
            <v>67449.58662026294</v>
          </cell>
        </row>
      </sheetData>
      <sheetData sheetId="13">
        <row r="85">
          <cell r="Q85">
            <v>92689.325893667221</v>
          </cell>
        </row>
        <row r="89">
          <cell r="Q89">
            <v>66107.698874977315</v>
          </cell>
        </row>
      </sheetData>
      <sheetData sheetId="14">
        <row r="85">
          <cell r="Q85">
            <v>95589.95676600466</v>
          </cell>
        </row>
        <row r="89">
          <cell r="Q89">
            <v>66842.167017219457</v>
          </cell>
        </row>
      </sheetData>
      <sheetData sheetId="15">
        <row r="85">
          <cell r="Q85">
            <v>93554.315080630869</v>
          </cell>
        </row>
        <row r="89">
          <cell r="Q89">
            <v>71298.056173820878</v>
          </cell>
        </row>
      </sheetData>
      <sheetData sheetId="16">
        <row r="85">
          <cell r="Q85">
            <v>93236.814327119195</v>
          </cell>
        </row>
        <row r="89">
          <cell r="Q89">
            <v>67429.619994990528</v>
          </cell>
        </row>
      </sheetData>
      <sheetData sheetId="17">
        <row r="85">
          <cell r="Q85">
            <v>101026.22260894786</v>
          </cell>
        </row>
        <row r="89">
          <cell r="Q89">
            <v>64707.622652454505</v>
          </cell>
        </row>
      </sheetData>
      <sheetData sheetId="18">
        <row r="85">
          <cell r="Q85">
            <v>97056.907763992596</v>
          </cell>
        </row>
        <row r="89">
          <cell r="Q89">
            <v>64107.545388199622</v>
          </cell>
        </row>
      </sheetData>
      <sheetData sheetId="19">
        <row r="85">
          <cell r="Q85">
            <v>90426.304646295524</v>
          </cell>
        </row>
        <row r="89">
          <cell r="Q89">
            <v>66717.704897446631</v>
          </cell>
        </row>
      </sheetData>
      <sheetData sheetId="20">
        <row r="85">
          <cell r="Q85">
            <v>119468.40263452219</v>
          </cell>
        </row>
        <row r="89">
          <cell r="Q89">
            <v>81150.679836004478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/>
          <cell r="I3"/>
          <cell r="J3"/>
          <cell r="K3"/>
          <cell r="L3"/>
          <cell r="M3"/>
          <cell r="N3"/>
          <cell r="O3"/>
          <cell r="P3"/>
          <cell r="Q3">
            <v>21735.562999999998</v>
          </cell>
        </row>
        <row r="4">
          <cell r="E4">
            <v>0</v>
          </cell>
          <cell r="F4">
            <v>0</v>
          </cell>
          <cell r="G4">
            <v>0</v>
          </cell>
          <cell r="H4"/>
          <cell r="I4"/>
          <cell r="J4"/>
          <cell r="K4"/>
          <cell r="L4"/>
          <cell r="M4"/>
          <cell r="N4"/>
          <cell r="O4"/>
          <cell r="P4"/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/>
          <cell r="I5"/>
          <cell r="J5"/>
          <cell r="K5"/>
          <cell r="L5"/>
          <cell r="M5"/>
          <cell r="N5"/>
          <cell r="O5"/>
          <cell r="P5"/>
          <cell r="Q5">
            <v>21735.562999999998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/>
          <cell r="I6"/>
          <cell r="J6"/>
          <cell r="K6"/>
          <cell r="L6"/>
          <cell r="M6"/>
          <cell r="N6"/>
          <cell r="O6"/>
          <cell r="P6"/>
          <cell r="Q6">
            <v>19373678.710000001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/>
          <cell r="I7"/>
          <cell r="J7"/>
          <cell r="K7"/>
          <cell r="L7"/>
          <cell r="M7"/>
          <cell r="N7"/>
          <cell r="O7"/>
          <cell r="P7"/>
          <cell r="Q7">
            <v>3559854.2180000003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/>
          <cell r="I8"/>
          <cell r="J8"/>
          <cell r="K8"/>
          <cell r="L8"/>
          <cell r="M8"/>
          <cell r="N8"/>
          <cell r="O8"/>
          <cell r="P8"/>
          <cell r="Q8">
            <v>22933532.928000003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/>
          <cell r="I9"/>
          <cell r="J9"/>
          <cell r="K9"/>
          <cell r="L9"/>
          <cell r="M9"/>
          <cell r="N9"/>
          <cell r="O9"/>
          <cell r="P9"/>
          <cell r="Q9">
            <v>18907043.357000001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>
            <v>3492681.1280000005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>
            <v>22399724.484999999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>
            <v>466635.35300000012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>
            <v>67173.089999999851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>
            <v>533808.4430000037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>
            <v>198243.34999999998</v>
          </cell>
          <cell r="S15">
            <v>0</v>
          </cell>
        </row>
        <row r="16">
          <cell r="E16">
            <v>14873.76</v>
          </cell>
          <cell r="F16">
            <v>14873.76</v>
          </cell>
          <cell r="G16">
            <v>14860.963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>
            <v>44608.483</v>
          </cell>
          <cell r="S16">
            <v>0</v>
          </cell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>
            <v>21932.985000000001</v>
          </cell>
          <cell r="S17">
            <v>0</v>
          </cell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>
            <v>264784.81799999997</v>
          </cell>
          <cell r="S18">
            <v>0</v>
          </cell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>
            <v>37634.865999999995</v>
          </cell>
          <cell r="S19">
            <v>0</v>
          </cell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>
            <v>4042.4709999999995</v>
          </cell>
          <cell r="S20">
            <v>0</v>
          </cell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>
            <v>7465.8530000000001</v>
          </cell>
          <cell r="S21">
            <v>0</v>
          </cell>
        </row>
        <row r="22">
          <cell r="E22">
            <v>800</v>
          </cell>
          <cell r="F22">
            <v>450</v>
          </cell>
          <cell r="G22">
            <v>0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>
            <v>1250</v>
          </cell>
          <cell r="S22">
            <v>0</v>
          </cell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>
            <v>4712.9390000000003</v>
          </cell>
          <cell r="S23">
            <v>0</v>
          </cell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>
            <v>710.28</v>
          </cell>
          <cell r="S24">
            <v>0</v>
          </cell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>
            <v>644.27700000000004</v>
          </cell>
          <cell r="S25">
            <v>0</v>
          </cell>
        </row>
        <row r="26">
          <cell r="E26">
            <v>3221.82</v>
          </cell>
          <cell r="F26">
            <v>3221.82</v>
          </cell>
          <cell r="G26">
            <v>3221.82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>
            <v>9665.4600000000009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>
            <v>0</v>
          </cell>
          <cell r="S27">
            <v>0</v>
          </cell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>
            <v>1284.25</v>
          </cell>
          <cell r="S28">
            <v>0</v>
          </cell>
        </row>
        <row r="29">
          <cell r="E29">
            <v>62.219000000000001</v>
          </cell>
          <cell r="F29">
            <v>64.25</v>
          </cell>
          <cell r="G29">
            <v>106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>
            <v>232.46899999999999</v>
          </cell>
          <cell r="S29">
            <v>0</v>
          </cell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>
            <v>17622.888999999999</v>
          </cell>
          <cell r="S30">
            <v>0</v>
          </cell>
        </row>
        <row r="31">
          <cell r="E31">
            <v>7875.04</v>
          </cell>
          <cell r="F31">
            <v>12385.5</v>
          </cell>
          <cell r="G31">
            <v>5449.3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>
            <v>25709.84</v>
          </cell>
          <cell r="S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>
            <v>0</v>
          </cell>
          <cell r="S32">
            <v>0</v>
          </cell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>
            <v>-6509.7809999999999</v>
          </cell>
          <cell r="S33">
            <v>0</v>
          </cell>
        </row>
        <row r="34">
          <cell r="E34">
            <v>0</v>
          </cell>
          <cell r="F34">
            <v>0</v>
          </cell>
          <cell r="G34">
            <v>0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>
            <v>0</v>
          </cell>
          <cell r="S35">
            <v>0</v>
          </cell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>
            <v>104465.81299999998</v>
          </cell>
          <cell r="S36">
            <v>0</v>
          </cell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>
            <v>369250.63099999994</v>
          </cell>
          <cell r="S37">
            <v>0</v>
          </cell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>
            <v>164557.81200000376</v>
          </cell>
          <cell r="S38">
            <v>0</v>
          </cell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>
            <v>15790.575999999999</v>
          </cell>
          <cell r="S39">
            <v>0</v>
          </cell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>
            <v>148767.23600000376</v>
          </cell>
          <cell r="S40">
            <v>0</v>
          </cell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>
            <v>6.4868869731959568E-3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>
            <v>891335.49059667799</v>
          </cell>
        </row>
        <row r="44">
          <cell r="E44">
            <v>2.6651369945751794E-2</v>
          </cell>
          <cell r="F44">
            <v>2.5582238806566245E-2</v>
          </cell>
          <cell r="G44">
            <v>1.8641220384622476E-2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>
            <v>2.3276328364927431E-2</v>
          </cell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E49">
            <v>122164.99599999998</v>
          </cell>
          <cell r="F49">
            <v>131235.99900000001</v>
          </cell>
          <cell r="G49">
            <v>131640.212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E50">
            <v>152164.99599999998</v>
          </cell>
          <cell r="F50">
            <v>161235.99900000001</v>
          </cell>
          <cell r="G50">
            <v>161640.212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E52">
            <v>0.79857121573986001</v>
          </cell>
          <cell r="F52">
            <v>0.87038038040934229</v>
          </cell>
          <cell r="G52">
            <v>0.86407219472961383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E53">
            <v>0.20142878426013996</v>
          </cell>
          <cell r="F53">
            <v>0.12961961959065768</v>
          </cell>
          <cell r="G53">
            <v>0.13592780527038614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2.2005694548837273E-2</v>
          </cell>
          <cell r="F55">
            <v>1.5188168703492932E-2</v>
          </cell>
          <cell r="G55">
            <v>1.7650951996336706E-2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2.2005694548837322E-2</v>
          </cell>
          <cell r="F57">
            <v>1.5188168703492945E-2</v>
          </cell>
          <cell r="G57">
            <v>1.7650951996336726E-2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E58">
            <v>2.6651369945751794E-2</v>
          </cell>
          <cell r="F58">
            <v>2.5582238806566245E-2</v>
          </cell>
          <cell r="G58">
            <v>1.8641220384622476E-2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E59">
            <v>2.7823178707229314E-2</v>
          </cell>
          <cell r="F59">
            <v>2.7130154457106714E-2</v>
          </cell>
          <cell r="G59">
            <v>1.8797000201944851E-2</v>
          </cell>
          <cell r="H59"/>
          <cell r="I59"/>
          <cell r="J59"/>
          <cell r="K59"/>
          <cell r="L59"/>
          <cell r="M59"/>
          <cell r="N59"/>
          <cell r="O59"/>
          <cell r="P59"/>
        </row>
      </sheetData>
      <sheetData sheetId="1"/>
      <sheetData sheetId="2"/>
      <sheetData sheetId="3">
        <row r="8">
          <cell r="G8">
            <v>8665.0679999999993</v>
          </cell>
        </row>
        <row r="9">
          <cell r="G9">
            <v>7569201.3870000001</v>
          </cell>
          <cell r="J9">
            <v>1190716.3990000002</v>
          </cell>
        </row>
        <row r="10">
          <cell r="F10">
            <v>978767.12328767125</v>
          </cell>
          <cell r="G10">
            <v>873530.5235919673</v>
          </cell>
        </row>
        <row r="11">
          <cell r="G11">
            <v>7426923.1069999998</v>
          </cell>
          <cell r="J11">
            <v>1169699.1210000003</v>
          </cell>
        </row>
        <row r="15">
          <cell r="F15">
            <v>2.3347095871238628E-2</v>
          </cell>
          <cell r="G15">
            <v>1.8797000201944851E-2</v>
          </cell>
        </row>
        <row r="19">
          <cell r="M19">
            <v>87921.887999999992</v>
          </cell>
        </row>
        <row r="37">
          <cell r="M37">
            <v>38167.938999999998</v>
          </cell>
        </row>
        <row r="40">
          <cell r="M40">
            <v>5550.3850000000002</v>
          </cell>
        </row>
        <row r="41">
          <cell r="M41">
            <v>31655.346000000201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6946.7870000000003</v>
          </cell>
          <cell r="F3">
            <v>8382.34</v>
          </cell>
          <cell r="G3">
            <v>9838.5779999999995</v>
          </cell>
          <cell r="H3">
            <v>9357.5969999999998</v>
          </cell>
          <cell r="I3">
            <v>7344.996000000001</v>
          </cell>
          <cell r="J3">
            <v>7070.5</v>
          </cell>
          <cell r="K3">
            <v>6748.1729999999998</v>
          </cell>
          <cell r="L3">
            <v>6876.2449999999999</v>
          </cell>
          <cell r="M3">
            <v>6990.5029999999997</v>
          </cell>
          <cell r="N3">
            <v>9070.0450000000001</v>
          </cell>
          <cell r="O3">
            <v>10109.272999999999</v>
          </cell>
          <cell r="P3">
            <v>7811.91</v>
          </cell>
          <cell r="Q3">
            <v>96546.947000000015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6946.7870000000003</v>
          </cell>
          <cell r="F5">
            <v>8382.34</v>
          </cell>
          <cell r="G5">
            <v>9838.5779999999995</v>
          </cell>
          <cell r="H5">
            <v>9357.5969999999998</v>
          </cell>
          <cell r="I5">
            <v>7344.996000000001</v>
          </cell>
          <cell r="J5">
            <v>7070.5</v>
          </cell>
          <cell r="K5">
            <v>6748.1729999999998</v>
          </cell>
          <cell r="L5">
            <v>6876.2449999999999</v>
          </cell>
          <cell r="M5">
            <v>6990.5029999999997</v>
          </cell>
          <cell r="N5">
            <v>9070.0450000000001</v>
          </cell>
          <cell r="O5">
            <v>10109.272999999999</v>
          </cell>
          <cell r="P5">
            <v>7811.91</v>
          </cell>
          <cell r="Q5">
            <v>96546.947000000015</v>
          </cell>
        </row>
        <row r="6">
          <cell r="E6">
            <v>7633878.892</v>
          </cell>
          <cell r="F6">
            <v>8612745.1600000001</v>
          </cell>
          <cell r="G6">
            <v>10143312.152000001</v>
          </cell>
          <cell r="H6">
            <v>9809673.1050000004</v>
          </cell>
          <cell r="I6">
            <v>7820346.875</v>
          </cell>
          <cell r="J6">
            <v>7380909.7199999997</v>
          </cell>
          <cell r="K6">
            <v>6918593.4670000002</v>
          </cell>
          <cell r="L6">
            <v>6585336.0700000003</v>
          </cell>
          <cell r="M6">
            <v>7043799.8650000002</v>
          </cell>
          <cell r="N6">
            <v>8745728.6989999991</v>
          </cell>
          <cell r="O6">
            <v>9960126.6539999992</v>
          </cell>
          <cell r="P6">
            <v>7431793.6210000003</v>
          </cell>
          <cell r="Q6">
            <v>98086244.280000001</v>
          </cell>
        </row>
        <row r="7">
          <cell r="E7">
            <v>1179755.3999999994</v>
          </cell>
          <cell r="F7">
            <v>1176725.8440000005</v>
          </cell>
          <cell r="G7">
            <v>1216657.1129999999</v>
          </cell>
          <cell r="H7">
            <v>1598941.902999999</v>
          </cell>
          <cell r="I7">
            <v>1208776.7170000002</v>
          </cell>
          <cell r="J7">
            <v>1566179.6950000012</v>
          </cell>
          <cell r="K7">
            <v>1264884.152999999</v>
          </cell>
          <cell r="L7">
            <v>1514746.9619999994</v>
          </cell>
          <cell r="M7">
            <v>2351420.6799999997</v>
          </cell>
          <cell r="N7">
            <v>2568331.477</v>
          </cell>
          <cell r="O7">
            <v>2444753.5610000007</v>
          </cell>
          <cell r="P7">
            <v>2190959.5439999988</v>
          </cell>
          <cell r="Q7">
            <v>20282133.048999999</v>
          </cell>
        </row>
        <row r="8">
          <cell r="E8">
            <v>8813634.2919999994</v>
          </cell>
          <cell r="F8">
            <v>9789471.0040000007</v>
          </cell>
          <cell r="G8">
            <v>11359969.265000001</v>
          </cell>
          <cell r="H8">
            <v>11408615.007999999</v>
          </cell>
          <cell r="I8">
            <v>9029123.5920000002</v>
          </cell>
          <cell r="J8">
            <v>8947089.415000001</v>
          </cell>
          <cell r="K8">
            <v>8183477.6199999992</v>
          </cell>
          <cell r="L8">
            <v>8100083.0319999997</v>
          </cell>
          <cell r="M8">
            <v>9395220.5449999999</v>
          </cell>
          <cell r="N8">
            <v>11314060.175999999</v>
          </cell>
          <cell r="O8">
            <v>12404880.215</v>
          </cell>
          <cell r="P8">
            <v>9622753.1649999991</v>
          </cell>
          <cell r="Q8">
            <v>118368377.329</v>
          </cell>
        </row>
        <row r="9">
          <cell r="E9">
            <v>7485107.7220000001</v>
          </cell>
          <cell r="F9">
            <v>8443501.5480000004</v>
          </cell>
          <cell r="G9">
            <v>9963629.7699999996</v>
          </cell>
          <cell r="H9">
            <v>9601536.9480000008</v>
          </cell>
          <cell r="I9">
            <v>7676800.0590000004</v>
          </cell>
          <cell r="J9">
            <v>7205136.1809999999</v>
          </cell>
          <cell r="K9">
            <v>6747251.2889999999</v>
          </cell>
          <cell r="L9">
            <v>6439298.2439999999</v>
          </cell>
          <cell r="M9">
            <v>6942139.2149999999</v>
          </cell>
          <cell r="N9">
            <v>8609681.6109999996</v>
          </cell>
          <cell r="O9">
            <v>9798823.2119999994</v>
          </cell>
          <cell r="P9">
            <v>7281578.4900000002</v>
          </cell>
          <cell r="Q9">
            <v>96194484.28899999</v>
          </cell>
        </row>
        <row r="10">
          <cell r="E10">
            <v>1158746.892</v>
          </cell>
          <cell r="F10">
            <v>1146964.875</v>
          </cell>
          <cell r="G10">
            <v>1190045.8399999999</v>
          </cell>
          <cell r="H10">
            <v>1569971.4459999986</v>
          </cell>
          <cell r="I10">
            <v>1185012.4639999997</v>
          </cell>
          <cell r="J10">
            <v>1532762.3289999999</v>
          </cell>
          <cell r="K10">
            <v>1239279.3109999998</v>
          </cell>
          <cell r="L10">
            <v>1437906.8529999992</v>
          </cell>
          <cell r="M10">
            <v>2295822.2249999996</v>
          </cell>
          <cell r="N10">
            <v>2499384.3090000004</v>
          </cell>
          <cell r="O10">
            <v>2389967.6060000006</v>
          </cell>
          <cell r="P10">
            <v>2141540.9169999994</v>
          </cell>
          <cell r="Q10">
            <v>19787405.066999998</v>
          </cell>
        </row>
        <row r="11">
          <cell r="E11">
            <v>8643854.6140000001</v>
          </cell>
          <cell r="F11">
            <v>9590466.4230000004</v>
          </cell>
          <cell r="G11">
            <v>11153675.609999999</v>
          </cell>
          <cell r="H11">
            <v>11171508.393999999</v>
          </cell>
          <cell r="I11">
            <v>8861812.523</v>
          </cell>
          <cell r="J11">
            <v>8737898.5099999998</v>
          </cell>
          <cell r="K11">
            <v>7986530.5999999996</v>
          </cell>
          <cell r="L11">
            <v>7877205.0969999991</v>
          </cell>
          <cell r="M11">
            <v>9237961.4399999995</v>
          </cell>
          <cell r="N11">
            <v>11109065.92</v>
          </cell>
          <cell r="O11">
            <v>12188790.818</v>
          </cell>
          <cell r="P11">
            <v>9423119.4069999997</v>
          </cell>
          <cell r="Q11">
            <v>115981889.35599999</v>
          </cell>
          <cell r="S11"/>
        </row>
        <row r="12">
          <cell r="E12">
            <v>148771.16999999993</v>
          </cell>
          <cell r="F12">
            <v>169243.61199999973</v>
          </cell>
          <cell r="G12">
            <v>179682.38200000115</v>
          </cell>
          <cell r="H12">
            <v>208136.15699999966</v>
          </cell>
          <cell r="I12">
            <v>143546.81599999964</v>
          </cell>
          <cell r="J12">
            <v>175773.53899999987</v>
          </cell>
          <cell r="K12">
            <v>171342.17800000031</v>
          </cell>
          <cell r="L12">
            <v>146037.82600000035</v>
          </cell>
          <cell r="M12">
            <v>101660.65000000037</v>
          </cell>
          <cell r="N12">
            <v>136047.08799999952</v>
          </cell>
          <cell r="O12">
            <v>161303.44199999981</v>
          </cell>
          <cell r="P12">
            <v>150215.13100000005</v>
          </cell>
          <cell r="Q12">
            <v>1891759.9910000116</v>
          </cell>
        </row>
        <row r="13">
          <cell r="E13">
            <v>21008.507999999449</v>
          </cell>
          <cell r="F13">
            <v>29760.969000000507</v>
          </cell>
          <cell r="G13">
            <v>26611.273000000045</v>
          </cell>
          <cell r="H13">
            <v>28970.457000000402</v>
          </cell>
          <cell r="I13">
            <v>23764.253000000492</v>
          </cell>
          <cell r="J13">
            <v>33417.366000001319</v>
          </cell>
          <cell r="K13">
            <v>25604.841999999247</v>
          </cell>
          <cell r="L13">
            <v>76840.109000000171</v>
          </cell>
          <cell r="M13">
            <v>55598.455000000075</v>
          </cell>
          <cell r="N13">
            <v>68947.167999999598</v>
          </cell>
          <cell r="O13">
            <v>54785.955000000075</v>
          </cell>
          <cell r="P13">
            <v>49418.626999999397</v>
          </cell>
          <cell r="Q13">
            <v>494727.98200000077</v>
          </cell>
        </row>
        <row r="14">
          <cell r="E14">
            <v>169779.67799999937</v>
          </cell>
          <cell r="F14">
            <v>199004.58100000024</v>
          </cell>
          <cell r="G14">
            <v>206293.65500000119</v>
          </cell>
          <cell r="H14">
            <v>237106.61400000006</v>
          </cell>
          <cell r="I14">
            <v>167311.06900000013</v>
          </cell>
          <cell r="J14">
            <v>209190.90500000119</v>
          </cell>
          <cell r="K14">
            <v>196947.01999999955</v>
          </cell>
          <cell r="L14">
            <v>222877.93500000052</v>
          </cell>
          <cell r="M14">
            <v>157259.10500000045</v>
          </cell>
          <cell r="N14">
            <v>204994.25599999912</v>
          </cell>
          <cell r="O14">
            <v>216089.39699999988</v>
          </cell>
          <cell r="P14">
            <v>199633.75799999945</v>
          </cell>
          <cell r="Q14">
            <v>2386487.9730000049</v>
          </cell>
        </row>
        <row r="15">
          <cell r="E15">
            <v>68018.86</v>
          </cell>
          <cell r="F15">
            <v>57872.959999999999</v>
          </cell>
          <cell r="G15">
            <v>57872.959999999999</v>
          </cell>
          <cell r="H15">
            <v>60494.26</v>
          </cell>
          <cell r="I15">
            <v>59183.61</v>
          </cell>
          <cell r="J15">
            <v>59247.61</v>
          </cell>
          <cell r="K15">
            <v>59829.86</v>
          </cell>
          <cell r="L15">
            <v>59213.61</v>
          </cell>
          <cell r="M15">
            <v>73707.69</v>
          </cell>
          <cell r="N15">
            <v>64536.09</v>
          </cell>
          <cell r="O15">
            <v>62124.85</v>
          </cell>
          <cell r="P15">
            <v>66718.539999999994</v>
          </cell>
          <cell r="Q15">
            <v>748820.89999999991</v>
          </cell>
          <cell r="S15">
            <v>14494.080000000002</v>
          </cell>
        </row>
        <row r="16">
          <cell r="E16">
            <v>13203.15</v>
          </cell>
          <cell r="F16">
            <v>13203.15</v>
          </cell>
          <cell r="G16">
            <v>13547.645</v>
          </cell>
          <cell r="H16">
            <v>13640.01</v>
          </cell>
          <cell r="I16">
            <v>13421.58</v>
          </cell>
          <cell r="J16">
            <v>15399.922</v>
          </cell>
          <cell r="K16">
            <v>13421.58</v>
          </cell>
          <cell r="L16">
            <v>13421.58</v>
          </cell>
          <cell r="M16">
            <v>20552.3</v>
          </cell>
          <cell r="N16">
            <v>14225.32</v>
          </cell>
          <cell r="O16">
            <v>13823.45</v>
          </cell>
          <cell r="P16">
            <v>173422.27499999999</v>
          </cell>
          <cell r="Q16">
            <v>331281.96200000006</v>
          </cell>
          <cell r="S16">
            <v>7130.7199999999993</v>
          </cell>
        </row>
        <row r="17">
          <cell r="E17">
            <v>10023.587</v>
          </cell>
          <cell r="F17">
            <v>10023.587</v>
          </cell>
          <cell r="G17">
            <v>10023.587</v>
          </cell>
          <cell r="H17">
            <v>10023.587</v>
          </cell>
          <cell r="I17">
            <v>10023.587</v>
          </cell>
          <cell r="J17">
            <v>-17665.399000000001</v>
          </cell>
          <cell r="K17">
            <v>5431.1440000000002</v>
          </cell>
          <cell r="L17">
            <v>5431.1440000000002</v>
          </cell>
          <cell r="M17">
            <v>5431.1440000000002</v>
          </cell>
          <cell r="N17">
            <v>5431.1440000000002</v>
          </cell>
          <cell r="O17">
            <v>5431.1440000000002</v>
          </cell>
          <cell r="P17">
            <v>5431.1440000000002</v>
          </cell>
          <cell r="Q17">
            <v>65039.399999999994</v>
          </cell>
          <cell r="S17">
            <v>0</v>
          </cell>
        </row>
        <row r="18">
          <cell r="E18">
            <v>91245.596999999994</v>
          </cell>
          <cell r="F18">
            <v>81099.697</v>
          </cell>
          <cell r="G18">
            <v>81444.191999999995</v>
          </cell>
          <cell r="H18">
            <v>84157.857000000004</v>
          </cell>
          <cell r="I18">
            <v>82628.777000000002</v>
          </cell>
          <cell r="J18">
            <v>56982.133000000002</v>
          </cell>
          <cell r="K18">
            <v>78682.584000000003</v>
          </cell>
          <cell r="L18">
            <v>78066.334000000003</v>
          </cell>
          <cell r="M18">
            <v>99691.134000000005</v>
          </cell>
          <cell r="N18">
            <v>84192.554000000004</v>
          </cell>
          <cell r="O18">
            <v>81379.444000000003</v>
          </cell>
          <cell r="P18">
            <v>245571.959</v>
          </cell>
          <cell r="Q18">
            <v>1145142.2619999999</v>
          </cell>
          <cell r="S18">
            <v>21624.800000000003</v>
          </cell>
        </row>
        <row r="19">
          <cell r="E19">
            <v>8853.2999999999993</v>
          </cell>
          <cell r="F19">
            <v>8215.0580000000009</v>
          </cell>
          <cell r="G19">
            <v>10573.141</v>
          </cell>
          <cell r="H19">
            <v>9315.3089999999993</v>
          </cell>
          <cell r="I19">
            <v>12068.662</v>
          </cell>
          <cell r="J19">
            <v>11560.502</v>
          </cell>
          <cell r="K19">
            <v>8576.44</v>
          </cell>
          <cell r="L19">
            <v>9188.5049999999992</v>
          </cell>
          <cell r="M19">
            <v>17894.521000000001</v>
          </cell>
          <cell r="N19">
            <v>8445.65</v>
          </cell>
          <cell r="O19">
            <v>9103.768</v>
          </cell>
          <cell r="P19">
            <v>16197.186</v>
          </cell>
          <cell r="Q19">
            <v>129992.04199999999</v>
          </cell>
          <cell r="S19">
            <v>8706.0160000000014</v>
          </cell>
        </row>
        <row r="20">
          <cell r="E20">
            <v>1489.835</v>
          </cell>
          <cell r="F20">
            <v>333.82299999999998</v>
          </cell>
          <cell r="G20">
            <v>2674.819</v>
          </cell>
          <cell r="H20">
            <v>244.21</v>
          </cell>
          <cell r="I20">
            <v>2198.2269999999999</v>
          </cell>
          <cell r="J20">
            <v>1556.777</v>
          </cell>
          <cell r="K20">
            <v>1645.8869999999999</v>
          </cell>
          <cell r="L20">
            <v>1973.6420000000001</v>
          </cell>
          <cell r="M20">
            <v>1353.9110000000001</v>
          </cell>
          <cell r="N20">
            <v>1449.5989999999999</v>
          </cell>
          <cell r="O20">
            <v>1575.578</v>
          </cell>
          <cell r="P20">
            <v>1484.79</v>
          </cell>
          <cell r="Q20">
            <v>17981.098000000002</v>
          </cell>
          <cell r="S20">
            <v>-619.73099999999999</v>
          </cell>
        </row>
        <row r="21">
          <cell r="E21">
            <v>6183.6850000000004</v>
          </cell>
          <cell r="F21">
            <v>2137.9989999999998</v>
          </cell>
          <cell r="G21">
            <v>1577.913</v>
          </cell>
          <cell r="H21">
            <v>2325.3049999999998</v>
          </cell>
          <cell r="I21">
            <v>2338.663</v>
          </cell>
          <cell r="J21">
            <v>1551.461</v>
          </cell>
          <cell r="K21">
            <v>1657.126</v>
          </cell>
          <cell r="L21">
            <v>2356.9940000000001</v>
          </cell>
          <cell r="M21">
            <v>2277.34</v>
          </cell>
          <cell r="N21">
            <v>1340.874</v>
          </cell>
          <cell r="O21">
            <v>1966.6559999999999</v>
          </cell>
          <cell r="P21">
            <v>2623.8960000000002</v>
          </cell>
          <cell r="Q21">
            <v>28337.912</v>
          </cell>
          <cell r="S21">
            <v>-79.653999999999996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</row>
        <row r="23">
          <cell r="E23">
            <v>1216.431</v>
          </cell>
          <cell r="F23">
            <v>1185.2560000000001</v>
          </cell>
          <cell r="G23">
            <v>1398.5619999999999</v>
          </cell>
          <cell r="H23">
            <v>1688.877</v>
          </cell>
          <cell r="I23">
            <v>1356.771</v>
          </cell>
          <cell r="J23">
            <v>1328.327</v>
          </cell>
          <cell r="K23">
            <v>1450.317</v>
          </cell>
          <cell r="L23">
            <v>1408.7639999999999</v>
          </cell>
          <cell r="M23">
            <v>1723.355</v>
          </cell>
          <cell r="N23">
            <v>1506.6369999999999</v>
          </cell>
          <cell r="O23">
            <v>1543.3969999999999</v>
          </cell>
          <cell r="P23">
            <v>1743.175</v>
          </cell>
          <cell r="Q23">
            <v>17549.868999999999</v>
          </cell>
          <cell r="S23">
            <v>314.59100000000012</v>
          </cell>
        </row>
        <row r="24">
          <cell r="E24">
            <v>425.12700000000001</v>
          </cell>
          <cell r="F24">
            <v>414.267</v>
          </cell>
          <cell r="G24">
            <v>581.41099999999994</v>
          </cell>
          <cell r="H24">
            <v>354.17</v>
          </cell>
          <cell r="I24">
            <v>122.072</v>
          </cell>
          <cell r="J24">
            <v>809.43100000000004</v>
          </cell>
          <cell r="K24">
            <v>212.411</v>
          </cell>
          <cell r="L24">
            <v>622.27599999999995</v>
          </cell>
          <cell r="M24">
            <v>784.721</v>
          </cell>
          <cell r="N24">
            <v>369.101</v>
          </cell>
          <cell r="O24">
            <v>230.227</v>
          </cell>
          <cell r="P24">
            <v>757.14300000000003</v>
          </cell>
          <cell r="Q24">
            <v>5682.357</v>
          </cell>
          <cell r="S24">
            <v>162.44500000000005</v>
          </cell>
        </row>
        <row r="25">
          <cell r="E25">
            <v>175.22900000000001</v>
          </cell>
          <cell r="F25">
            <v>70.728999999999999</v>
          </cell>
          <cell r="G25">
            <v>279.72899999999998</v>
          </cell>
          <cell r="H25">
            <v>175.22900000000001</v>
          </cell>
          <cell r="I25">
            <v>175.22900000000001</v>
          </cell>
          <cell r="J25">
            <v>175.22900000000001</v>
          </cell>
          <cell r="K25">
            <v>175.22900000000001</v>
          </cell>
          <cell r="L25">
            <v>175.22900000000001</v>
          </cell>
          <cell r="M25">
            <v>175.22900000000001</v>
          </cell>
          <cell r="N25">
            <v>175.22900000000001</v>
          </cell>
          <cell r="O25">
            <v>175.22900000000001</v>
          </cell>
          <cell r="P25">
            <v>249.68299999999999</v>
          </cell>
          <cell r="Q25">
            <v>2177.2020000000002</v>
          </cell>
          <cell r="S25">
            <v>0</v>
          </cell>
        </row>
        <row r="26">
          <cell r="E26">
            <v>2820.68</v>
          </cell>
          <cell r="F26">
            <v>2879</v>
          </cell>
          <cell r="G26">
            <v>2849.84</v>
          </cell>
          <cell r="H26">
            <v>2849.84</v>
          </cell>
          <cell r="I26">
            <v>2849.84</v>
          </cell>
          <cell r="J26">
            <v>2849.84</v>
          </cell>
          <cell r="K26">
            <v>3087.45</v>
          </cell>
          <cell r="L26">
            <v>3087.45</v>
          </cell>
          <cell r="M26">
            <v>3087.45</v>
          </cell>
          <cell r="N26">
            <v>3087.45</v>
          </cell>
          <cell r="O26">
            <v>3087.45</v>
          </cell>
          <cell r="P26">
            <v>3087.45</v>
          </cell>
          <cell r="Q26">
            <v>35623.740000000005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</row>
        <row r="28">
          <cell r="E28">
            <v>-35000</v>
          </cell>
          <cell r="F28">
            <v>5901.9</v>
          </cell>
          <cell r="G28">
            <v>36192.639999999999</v>
          </cell>
          <cell r="H28">
            <v>1357.86</v>
          </cell>
          <cell r="I28">
            <v>-4991.3</v>
          </cell>
          <cell r="J28">
            <v>-2603.0500000000002</v>
          </cell>
          <cell r="K28">
            <v>0</v>
          </cell>
          <cell r="L28">
            <v>95.32</v>
          </cell>
          <cell r="M28">
            <v>534.14</v>
          </cell>
          <cell r="N28">
            <v>157.91999999999999</v>
          </cell>
          <cell r="O28">
            <v>987.95</v>
          </cell>
          <cell r="P28">
            <v>37</v>
          </cell>
          <cell r="Q28">
            <v>2670.380000000001</v>
          </cell>
          <cell r="S28">
            <v>438.82</v>
          </cell>
        </row>
        <row r="29">
          <cell r="E29">
            <v>211.9</v>
          </cell>
          <cell r="F29">
            <v>164.1</v>
          </cell>
          <cell r="G29">
            <v>34</v>
          </cell>
          <cell r="H29">
            <v>136.55000000000001</v>
          </cell>
          <cell r="I29">
            <v>178.85</v>
          </cell>
          <cell r="J29">
            <v>34</v>
          </cell>
          <cell r="K29">
            <v>50.2</v>
          </cell>
          <cell r="L29">
            <v>135.82</v>
          </cell>
          <cell r="M29">
            <v>127.5</v>
          </cell>
          <cell r="N29">
            <v>89.9</v>
          </cell>
          <cell r="O29">
            <v>109.6</v>
          </cell>
          <cell r="P29">
            <v>753.62</v>
          </cell>
          <cell r="Q29">
            <v>2026.04</v>
          </cell>
          <cell r="S29">
            <v>-8.3199999999999932</v>
          </cell>
        </row>
        <row r="30">
          <cell r="E30">
            <v>5344.1390000000001</v>
          </cell>
          <cell r="F30">
            <v>5827.9459999999999</v>
          </cell>
          <cell r="G30">
            <v>5358.2640000000001</v>
          </cell>
          <cell r="H30">
            <v>6770.1710000000003</v>
          </cell>
          <cell r="I30">
            <v>5796.6880000000001</v>
          </cell>
          <cell r="J30">
            <v>6551.1279999999997</v>
          </cell>
          <cell r="K30">
            <v>6267.8890000000001</v>
          </cell>
          <cell r="L30">
            <v>8607.7019999999993</v>
          </cell>
          <cell r="M30">
            <v>9684.8060000000005</v>
          </cell>
          <cell r="N30">
            <v>5261.9049999999997</v>
          </cell>
          <cell r="O30">
            <v>5983.1509999999998</v>
          </cell>
          <cell r="P30">
            <v>5539.7560000000003</v>
          </cell>
          <cell r="Q30">
            <v>76993.544999999984</v>
          </cell>
          <cell r="S30">
            <v>1077.1040000000012</v>
          </cell>
        </row>
        <row r="31">
          <cell r="E31">
            <v>9096.84</v>
          </cell>
          <cell r="F31">
            <v>10403.799999999999</v>
          </cell>
          <cell r="G31">
            <v>4857.93</v>
          </cell>
          <cell r="H31">
            <v>7289.1</v>
          </cell>
          <cell r="I31">
            <v>4829.8</v>
          </cell>
          <cell r="J31">
            <v>7006.57</v>
          </cell>
          <cell r="K31">
            <v>4568.26</v>
          </cell>
          <cell r="L31">
            <v>10804.71</v>
          </cell>
          <cell r="M31">
            <v>14963.21</v>
          </cell>
          <cell r="N31">
            <v>8082</v>
          </cell>
          <cell r="O31">
            <v>6982.91</v>
          </cell>
          <cell r="P31">
            <v>4112</v>
          </cell>
          <cell r="Q31">
            <v>92997.13</v>
          </cell>
          <cell r="S31">
            <v>4158.5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</row>
        <row r="33">
          <cell r="E33">
            <v>453.71100000000001</v>
          </cell>
          <cell r="F33">
            <v>266.036</v>
          </cell>
          <cell r="G33">
            <v>1015.593</v>
          </cell>
          <cell r="H33">
            <v>1165.703</v>
          </cell>
          <cell r="I33">
            <v>691.78899999999999</v>
          </cell>
          <cell r="J33">
            <v>1562.796</v>
          </cell>
          <cell r="K33">
            <v>-17.216999999999999</v>
          </cell>
          <cell r="L33">
            <v>226.33</v>
          </cell>
          <cell r="M33">
            <v>1618.807</v>
          </cell>
          <cell r="N33">
            <v>605.9</v>
          </cell>
          <cell r="O33">
            <v>454.50200000000001</v>
          </cell>
          <cell r="P33">
            <v>-209.75200000000001</v>
          </cell>
          <cell r="Q33">
            <v>7834.1980000000003</v>
          </cell>
          <cell r="S33">
            <v>1392.4770000000001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</row>
        <row r="36">
          <cell r="E36">
            <v>1270.8770000000011</v>
          </cell>
          <cell r="F36">
            <v>37799.913999999997</v>
          </cell>
          <cell r="G36">
            <v>67393.84199999999</v>
          </cell>
          <cell r="H36">
            <v>33672.324000000001</v>
          </cell>
          <cell r="I36">
            <v>27615.291000000001</v>
          </cell>
          <cell r="J36">
            <v>32383.010999999999</v>
          </cell>
          <cell r="K36">
            <v>27673.992000000002</v>
          </cell>
          <cell r="L36">
            <v>38682.741999999998</v>
          </cell>
          <cell r="M36">
            <v>54224.99</v>
          </cell>
          <cell r="N36">
            <v>30572.165000000001</v>
          </cell>
          <cell r="O36">
            <v>32200.418000000001</v>
          </cell>
          <cell r="P36">
            <v>36375.947</v>
          </cell>
          <cell r="Q36">
            <v>419865.51299999992</v>
          </cell>
          <cell r="S36">
            <v>15542.248</v>
          </cell>
        </row>
        <row r="37">
          <cell r="E37">
            <v>92516.474000000002</v>
          </cell>
          <cell r="F37">
            <v>118899.611</v>
          </cell>
          <cell r="G37">
            <v>148838.03399999999</v>
          </cell>
          <cell r="H37">
            <v>117830.18100000001</v>
          </cell>
          <cell r="I37">
            <v>110244.068</v>
          </cell>
          <cell r="J37">
            <v>89365.144</v>
          </cell>
          <cell r="K37">
            <v>106356.576</v>
          </cell>
          <cell r="L37">
            <v>116749.076</v>
          </cell>
          <cell r="M37">
            <v>153916.12400000001</v>
          </cell>
          <cell r="N37">
            <v>114764.71900000001</v>
          </cell>
          <cell r="O37">
            <v>113579.86200000001</v>
          </cell>
          <cell r="P37">
            <v>281947.90600000002</v>
          </cell>
          <cell r="Q37">
            <v>1565007.7749999999</v>
          </cell>
          <cell r="S37">
            <v>37167.04800000001</v>
          </cell>
        </row>
        <row r="38">
          <cell r="E38">
            <v>77263.203999999372</v>
          </cell>
          <cell r="F38">
            <v>80104.970000000234</v>
          </cell>
          <cell r="G38">
            <v>57455.621000001207</v>
          </cell>
          <cell r="H38">
            <v>119276.43300000005</v>
          </cell>
          <cell r="I38">
            <v>57067.001000000135</v>
          </cell>
          <cell r="J38">
            <v>119825.76100000119</v>
          </cell>
          <cell r="K38">
            <v>90590.443999999552</v>
          </cell>
          <cell r="L38">
            <v>106128.85900000052</v>
          </cell>
          <cell r="M38">
            <v>3342.9810000004363</v>
          </cell>
          <cell r="N38">
            <v>90229.536999999109</v>
          </cell>
          <cell r="O38">
            <v>102509.53499999987</v>
          </cell>
          <cell r="P38">
            <v>-82314.148000000569</v>
          </cell>
          <cell r="Q38">
            <v>821480.19800000498</v>
          </cell>
          <cell r="S38">
            <v>-102785.87800000008</v>
          </cell>
        </row>
        <row r="39">
          <cell r="E39">
            <v>2864.27</v>
          </cell>
          <cell r="F39">
            <v>2877.7269999999999</v>
          </cell>
          <cell r="G39">
            <v>2877.7240000000002</v>
          </cell>
          <cell r="H39">
            <v>2877.7269999999999</v>
          </cell>
          <cell r="I39">
            <v>2800.7159999999999</v>
          </cell>
          <cell r="J39">
            <v>2800.7190000000001</v>
          </cell>
          <cell r="K39">
            <v>2800.721</v>
          </cell>
          <cell r="L39">
            <v>1478.7239999999999</v>
          </cell>
          <cell r="M39">
            <v>4908.1000000000004</v>
          </cell>
          <cell r="N39">
            <v>4908.1000000000004</v>
          </cell>
          <cell r="O39">
            <v>4319.4059999999999</v>
          </cell>
          <cell r="P39">
            <v>4319.4089999999997</v>
          </cell>
          <cell r="Q39">
            <v>39833.343000000001</v>
          </cell>
          <cell r="S39">
            <v>3429.3760000000002</v>
          </cell>
        </row>
        <row r="40">
          <cell r="E40">
            <v>74398.933999999368</v>
          </cell>
          <cell r="F40">
            <v>77227.243000000235</v>
          </cell>
          <cell r="G40">
            <v>54577.897000001205</v>
          </cell>
          <cell r="H40">
            <v>116398.70600000005</v>
          </cell>
          <cell r="I40">
            <v>54266.285000000134</v>
          </cell>
          <cell r="J40">
            <v>117025.04200000119</v>
          </cell>
          <cell r="K40">
            <v>87789.722999999547</v>
          </cell>
          <cell r="L40">
            <v>104650.13500000052</v>
          </cell>
          <cell r="M40">
            <v>-1565.118999999564</v>
          </cell>
          <cell r="N40">
            <v>85321.436999999103</v>
          </cell>
          <cell r="O40">
            <v>98190.12899999987</v>
          </cell>
          <cell r="P40">
            <v>-86633.557000000568</v>
          </cell>
          <cell r="Q40">
            <v>781646.85500000499</v>
          </cell>
          <cell r="S40">
            <v>-106215.25400000009</v>
          </cell>
        </row>
        <row r="41">
          <cell r="E41">
            <v>8.4413457076985988E-3</v>
          </cell>
          <cell r="F41">
            <v>7.8888065523096199E-3</v>
          </cell>
          <cell r="G41">
            <v>4.8044053400879694E-3</v>
          </cell>
          <cell r="H41">
            <v>1.0202702599603758E-2</v>
          </cell>
          <cell r="I41">
            <v>6.0101386858943031E-3</v>
          </cell>
          <cell r="J41">
            <v>1.307967726396095E-2</v>
          </cell>
          <cell r="K41">
            <v>1.0727679243045275E-2</v>
          </cell>
          <cell r="L41">
            <v>1.2919637315638881E-2</v>
          </cell>
          <cell r="M41">
            <v>-1.6658672273877568E-4</v>
          </cell>
          <cell r="N41">
            <v>7.5411864240379047E-3</v>
          </cell>
          <cell r="O41">
            <v>7.9154435430394739E-3</v>
          </cell>
          <cell r="P41">
            <v>-9.0029906737195808E-3</v>
          </cell>
          <cell r="Q41">
            <v>6.6035107740596123E-3</v>
          </cell>
        </row>
        <row r="43">
          <cell r="E43">
            <v>1098907.8680546847</v>
          </cell>
          <cell r="F43">
            <v>1027486.9738044508</v>
          </cell>
          <cell r="G43">
            <v>1030973.3939193247</v>
          </cell>
          <cell r="H43">
            <v>1048311.1321207784</v>
          </cell>
          <cell r="I43">
            <v>1064717.6492676102</v>
          </cell>
          <cell r="J43">
            <v>1043902.0889611768</v>
          </cell>
          <cell r="K43">
            <v>1025254.3120930659</v>
          </cell>
          <cell r="L43">
            <v>957693.63511625899</v>
          </cell>
          <cell r="M43">
            <v>1007624.1816933632</v>
          </cell>
          <cell r="N43">
            <v>964243.14311560732</v>
          </cell>
          <cell r="O43">
            <v>985246.58044154115</v>
          </cell>
          <cell r="P43">
            <v>951341.4287927025</v>
          </cell>
          <cell r="Q43">
            <v>1015943.5106736206</v>
          </cell>
        </row>
        <row r="44">
          <cell r="E44">
            <v>1.9263299607757241E-2</v>
          </cell>
          <cell r="F44">
            <v>2.0328430506478493E-2</v>
          </cell>
          <cell r="G44">
            <v>1.815970186077798E-2</v>
          </cell>
          <cell r="H44">
            <v>2.0783119934692784E-2</v>
          </cell>
          <cell r="I44">
            <v>1.8530156032889104E-2</v>
          </cell>
          <cell r="J44">
            <v>2.338088905753952E-2</v>
          </cell>
          <cell r="K44">
            <v>2.4066421287530761E-2</v>
          </cell>
          <cell r="L44">
            <v>2.751551238666371E-2</v>
          </cell>
          <cell r="M44">
            <v>1.6738202604907604E-2</v>
          </cell>
          <cell r="N44">
            <v>1.8118540365804674E-2</v>
          </cell>
          <cell r="O44">
            <v>1.7419708473984639E-2</v>
          </cell>
          <cell r="P44">
            <v>2.0746012557623313E-2</v>
          </cell>
          <cell r="Q44">
            <v>2.0161533230846448E-2</v>
          </cell>
        </row>
        <row r="46">
          <cell r="E46">
            <v>1268735.3580871271</v>
          </cell>
          <cell r="F46">
            <v>1167868.5192917492</v>
          </cell>
          <cell r="G46">
            <v>1154635.2801187327</v>
          </cell>
          <cell r="H46">
            <v>1219182.1263514552</v>
          </cell>
          <cell r="I46">
            <v>1229289.1094835177</v>
          </cell>
          <cell r="J46">
            <v>1265411.1328760344</v>
          </cell>
          <cell r="K46">
            <v>1212695.2910069139</v>
          </cell>
          <cell r="L46">
            <v>1177980.5739906009</v>
          </cell>
          <cell r="M46">
            <v>1343997.7845657172</v>
          </cell>
          <cell r="N46">
            <v>1247409.4865019964</v>
          </cell>
          <cell r="O46">
            <v>1227079.3572396354</v>
          </cell>
          <cell r="P46">
            <v>1231805.4310661538</v>
          </cell>
          <cell r="Q46"/>
          <cell r="R46"/>
          <cell r="S46"/>
          <cell r="T46"/>
        </row>
        <row r="47">
          <cell r="E47">
            <v>1244295.3287613394</v>
          </cell>
          <cell r="F47">
            <v>1144127.5852566229</v>
          </cell>
          <cell r="G47">
            <v>1133667.4476738407</v>
          </cell>
          <cell r="H47">
            <v>1193843.7179972592</v>
          </cell>
          <cell r="I47">
            <v>1206510.1904752566</v>
          </cell>
          <cell r="J47">
            <v>1235824.6955660842</v>
          </cell>
          <cell r="K47">
            <v>1183510.0552401368</v>
          </cell>
          <cell r="L47">
            <v>1145567.8349157134</v>
          </cell>
          <cell r="M47">
            <v>1321501.6773471094</v>
          </cell>
          <cell r="N47">
            <v>1224808.2473681222</v>
          </cell>
          <cell r="O47">
            <v>1205703.9925620765</v>
          </cell>
          <cell r="P47">
            <v>1206250.380124707</v>
          </cell>
          <cell r="Q47"/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95380.744000000006</v>
          </cell>
          <cell r="F49">
            <v>121777.338</v>
          </cell>
          <cell r="G49">
            <v>151715.75799999997</v>
          </cell>
          <cell r="H49">
            <v>120707.90800000001</v>
          </cell>
          <cell r="I49">
            <v>113044.784</v>
          </cell>
          <cell r="J49">
            <v>92165.862999999998</v>
          </cell>
          <cell r="K49">
            <v>109157.29700000001</v>
          </cell>
          <cell r="L49">
            <v>118227.8</v>
          </cell>
          <cell r="M49">
            <v>158824.22400000002</v>
          </cell>
          <cell r="N49">
            <v>119672.81900000002</v>
          </cell>
          <cell r="O49">
            <v>117899.26800000001</v>
          </cell>
          <cell r="P49">
            <v>286267.315</v>
          </cell>
          <cell r="Q49"/>
          <cell r="R49"/>
          <cell r="S49"/>
          <cell r="T49"/>
        </row>
        <row r="50">
          <cell r="E50">
            <v>125380.74400000001</v>
          </cell>
          <cell r="F50">
            <v>151777.33799999999</v>
          </cell>
          <cell r="G50">
            <v>181715.75799999997</v>
          </cell>
          <cell r="H50">
            <v>150707.908</v>
          </cell>
          <cell r="I50">
            <v>143044.78399999999</v>
          </cell>
          <cell r="J50">
            <v>122165.863</v>
          </cell>
          <cell r="K50">
            <v>139157.29700000002</v>
          </cell>
          <cell r="L50">
            <v>148227.79999999999</v>
          </cell>
          <cell r="M50">
            <v>188824.22400000002</v>
          </cell>
          <cell r="N50">
            <v>149672.81900000002</v>
          </cell>
          <cell r="O50">
            <v>147899.26800000001</v>
          </cell>
          <cell r="P50">
            <v>316267.315</v>
          </cell>
          <cell r="Q50"/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0.86614427591228227</v>
          </cell>
          <cell r="F52">
            <v>0.87979678947726725</v>
          </cell>
          <cell r="G52">
            <v>0.89289961225964642</v>
          </cell>
          <cell r="H52">
            <v>0.85984785165607025</v>
          </cell>
          <cell r="I52">
            <v>0.86612469032199291</v>
          </cell>
          <cell r="J52">
            <v>0.82495092846906559</v>
          </cell>
          <cell r="K52">
            <v>0.84543439699661582</v>
          </cell>
          <cell r="L52">
            <v>0.81299611917360903</v>
          </cell>
          <cell r="M52">
            <v>0.74972160911630847</v>
          </cell>
          <cell r="N52">
            <v>0.772996480746312</v>
          </cell>
          <cell r="O52">
            <v>0.80292001868395302</v>
          </cell>
          <cell r="P52">
            <v>0.77231468931688019</v>
          </cell>
          <cell r="Q52"/>
          <cell r="R52"/>
          <cell r="S52"/>
          <cell r="T52"/>
        </row>
        <row r="53">
          <cell r="E53">
            <v>0.13385572408771773</v>
          </cell>
          <cell r="F53">
            <v>0.12020321052273281</v>
          </cell>
          <cell r="G53">
            <v>0.10710038774035362</v>
          </cell>
          <cell r="H53">
            <v>0.14015214834392972</v>
          </cell>
          <cell r="I53">
            <v>0.13387530967800715</v>
          </cell>
          <cell r="J53">
            <v>0.17504907153093441</v>
          </cell>
          <cell r="K53">
            <v>0.15456560300338418</v>
          </cell>
          <cell r="L53">
            <v>0.18700388082639094</v>
          </cell>
          <cell r="M53">
            <v>0.25027839088369158</v>
          </cell>
          <cell r="N53">
            <v>0.22700351925368795</v>
          </cell>
          <cell r="O53">
            <v>0.19707998131604698</v>
          </cell>
          <cell r="P53">
            <v>0.22768531068311976</v>
          </cell>
          <cell r="Q53"/>
          <cell r="R53"/>
          <cell r="S53"/>
          <cell r="T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1.7807511624866823E-2</v>
          </cell>
          <cell r="F55">
            <v>2.5291336254530727E-2</v>
          </cell>
          <cell r="G55">
            <v>2.1872450927757803E-2</v>
          </cell>
          <cell r="H55">
            <v>1.8118517593193939E-2</v>
          </cell>
          <cell r="I55">
            <v>1.9659754085088355E-2</v>
          </cell>
          <cell r="J55">
            <v>2.1336865818581074E-2</v>
          </cell>
          <cell r="K55">
            <v>2.0242835629864397E-2</v>
          </cell>
          <cell r="L55">
            <v>5.0728016578124868E-2</v>
          </cell>
          <cell r="M55">
            <v>2.3644622790337966E-2</v>
          </cell>
          <cell r="N55">
            <v>2.684512050622645E-2</v>
          </cell>
          <cell r="O55">
            <v>2.2409602290379915E-2</v>
          </cell>
          <cell r="P55">
            <v>2.2555700371252208E-2</v>
          </cell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1.7807511624866865E-2</v>
          </cell>
          <cell r="F57">
            <v>2.5291336254530748E-2</v>
          </cell>
          <cell r="G57">
            <v>2.1872450927757858E-2</v>
          </cell>
          <cell r="H57">
            <v>1.811851759319389E-2</v>
          </cell>
          <cell r="I57">
            <v>1.9659754085088396E-2</v>
          </cell>
          <cell r="J57">
            <v>2.1336865818581113E-2</v>
          </cell>
          <cell r="K57">
            <v>2.0242835629864411E-2</v>
          </cell>
          <cell r="L57">
            <v>5.072801657812482E-2</v>
          </cell>
          <cell r="M57">
            <v>2.3644622790338E-2</v>
          </cell>
          <cell r="N57">
            <v>2.6845120506226464E-2</v>
          </cell>
          <cell r="O57">
            <v>2.2409602290379919E-2</v>
          </cell>
          <cell r="P57">
            <v>2.2555700371252232E-2</v>
          </cell>
          <cell r="Q57"/>
          <cell r="R57"/>
          <cell r="S57"/>
        </row>
        <row r="58">
          <cell r="E58">
            <v>1.9263299607757241E-2</v>
          </cell>
          <cell r="F58">
            <v>2.0328430506478493E-2</v>
          </cell>
          <cell r="G58">
            <v>1.815970186077798E-2</v>
          </cell>
          <cell r="H58">
            <v>2.0783119934692784E-2</v>
          </cell>
          <cell r="I58">
            <v>1.8530156032889104E-2</v>
          </cell>
          <cell r="J58">
            <v>2.338088905753952E-2</v>
          </cell>
          <cell r="K58">
            <v>2.4066421287530761E-2</v>
          </cell>
          <cell r="L58">
            <v>2.751551238666371E-2</v>
          </cell>
          <cell r="M58">
            <v>1.6738202604907604E-2</v>
          </cell>
          <cell r="N58">
            <v>1.8118540365804674E-2</v>
          </cell>
          <cell r="O58">
            <v>1.7419708473984639E-2</v>
          </cell>
          <cell r="P58">
            <v>2.0746012557623313E-2</v>
          </cell>
          <cell r="Q58"/>
          <cell r="R58"/>
          <cell r="S58"/>
        </row>
        <row r="59">
          <cell r="E59">
            <v>1.9488280087323125E-2</v>
          </cell>
          <cell r="F59">
            <v>1.9650368013442967E-2</v>
          </cell>
          <cell r="G59">
            <v>1.7714369754910125E-2</v>
          </cell>
          <cell r="H59">
            <v>2.1217440660067709E-2</v>
          </cell>
          <cell r="I59">
            <v>1.8355556127425569E-2</v>
          </cell>
          <cell r="J59">
            <v>2.3814617122833455E-2</v>
          </cell>
          <cell r="K59">
            <v>2.4765464081284817E-2</v>
          </cell>
          <cell r="L59">
            <v>2.2176214614966543E-2</v>
          </cell>
          <cell r="M59">
            <v>1.4432643168234078E-2</v>
          </cell>
          <cell r="N59">
            <v>1.555583218760895E-2</v>
          </cell>
          <cell r="O59">
            <v>1.6194918759915581E-2</v>
          </cell>
          <cell r="P59">
            <v>2.0212500327718673E-2</v>
          </cell>
        </row>
      </sheetData>
      <sheetData sheetId="1">
        <row r="8">
          <cell r="G8">
            <v>6946.7870000000003</v>
          </cell>
        </row>
      </sheetData>
      <sheetData sheetId="2">
        <row r="8">
          <cell r="G8">
            <v>8382.34</v>
          </cell>
        </row>
      </sheetData>
      <sheetData sheetId="3">
        <row r="8">
          <cell r="G8">
            <v>9838.5779999999995</v>
          </cell>
        </row>
        <row r="10">
          <cell r="G10">
            <v>1030973.3939193247</v>
          </cell>
        </row>
        <row r="15">
          <cell r="G15">
            <v>1.7714369754910125E-2</v>
          </cell>
        </row>
      </sheetData>
      <sheetData sheetId="4">
        <row r="8">
          <cell r="G8">
            <v>9357.5969999999998</v>
          </cell>
        </row>
      </sheetData>
      <sheetData sheetId="5">
        <row r="8">
          <cell r="G8">
            <v>7344.996000000001</v>
          </cell>
        </row>
      </sheetData>
      <sheetData sheetId="6">
        <row r="8">
          <cell r="G8">
            <v>7070.5</v>
          </cell>
        </row>
      </sheetData>
      <sheetData sheetId="7">
        <row r="8">
          <cell r="G8">
            <v>6748.1729999999998</v>
          </cell>
        </row>
      </sheetData>
      <sheetData sheetId="8">
        <row r="8">
          <cell r="G8">
            <v>6876.2449999999999</v>
          </cell>
        </row>
      </sheetData>
      <sheetData sheetId="9">
        <row r="8">
          <cell r="G8">
            <v>6990.5029999999997</v>
          </cell>
        </row>
      </sheetData>
      <sheetData sheetId="10">
        <row r="8">
          <cell r="G8">
            <v>9070.0450000000001</v>
          </cell>
        </row>
      </sheetData>
      <sheetData sheetId="11">
        <row r="8">
          <cell r="G8">
            <v>10109.272999999999</v>
          </cell>
        </row>
      </sheetData>
      <sheetData sheetId="12">
        <row r="8">
          <cell r="G8">
            <v>7811.91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47">
          <cell r="Q47">
            <v>6000</v>
          </cell>
          <cell r="R47">
            <v>10446</v>
          </cell>
        </row>
        <row r="48">
          <cell r="Q48">
            <v>8876.6974313291757</v>
          </cell>
          <cell r="R48">
            <v>9832</v>
          </cell>
        </row>
        <row r="53">
          <cell r="R53">
            <v>350180</v>
          </cell>
        </row>
        <row r="54">
          <cell r="R54">
            <v>316969.67200000002</v>
          </cell>
        </row>
        <row r="64">
          <cell r="R64">
            <v>4600</v>
          </cell>
        </row>
        <row r="65">
          <cell r="R65">
            <v>1616</v>
          </cell>
        </row>
        <row r="66">
          <cell r="R66">
            <v>1088</v>
          </cell>
        </row>
        <row r="76">
          <cell r="R76">
            <v>153258.20000000001</v>
          </cell>
        </row>
        <row r="77">
          <cell r="R77">
            <v>45343.343999999997</v>
          </cell>
        </row>
        <row r="78">
          <cell r="R78">
            <v>36576.383999999998</v>
          </cell>
        </row>
        <row r="79">
          <cell r="R79">
            <v>79823.744000000006</v>
          </cell>
        </row>
        <row r="80">
          <cell r="R80">
            <v>1968</v>
          </cell>
        </row>
        <row r="81">
          <cell r="I81">
            <v>62624.015596628815</v>
          </cell>
        </row>
        <row r="82">
          <cell r="R82">
            <v>32882.540999999997</v>
          </cell>
        </row>
      </sheetData>
      <sheetData sheetId="1">
        <row r="59">
          <cell r="F59">
            <v>4768</v>
          </cell>
          <cell r="I59">
            <v>1984</v>
          </cell>
          <cell r="N59">
            <v>0</v>
          </cell>
          <cell r="O59">
            <v>6752</v>
          </cell>
        </row>
        <row r="60">
          <cell r="F60">
            <v>992</v>
          </cell>
          <cell r="I60">
            <v>0</v>
          </cell>
        </row>
        <row r="61">
          <cell r="F61">
            <v>12500</v>
          </cell>
          <cell r="I61">
            <v>0</v>
          </cell>
        </row>
        <row r="62">
          <cell r="F62">
            <v>1056</v>
          </cell>
          <cell r="I62">
            <v>0</v>
          </cell>
        </row>
        <row r="63">
          <cell r="F63">
            <v>0</v>
          </cell>
          <cell r="I63">
            <v>0</v>
          </cell>
        </row>
        <row r="64">
          <cell r="F64">
            <v>0</v>
          </cell>
          <cell r="I64">
            <v>256</v>
          </cell>
        </row>
        <row r="65">
          <cell r="F65">
            <v>0</v>
          </cell>
          <cell r="I65">
            <v>0</v>
          </cell>
        </row>
        <row r="66">
          <cell r="F66">
            <v>14548</v>
          </cell>
          <cell r="I66">
            <v>256</v>
          </cell>
          <cell r="N66">
            <v>0</v>
          </cell>
          <cell r="O66">
            <v>14804</v>
          </cell>
        </row>
        <row r="71">
          <cell r="F71">
            <v>54832</v>
          </cell>
          <cell r="I71">
            <v>15904</v>
          </cell>
        </row>
        <row r="72">
          <cell r="F72">
            <v>237044</v>
          </cell>
          <cell r="I72">
            <v>2304</v>
          </cell>
        </row>
        <row r="86">
          <cell r="F86">
            <v>-6907.5181329223142</v>
          </cell>
          <cell r="I86">
            <v>4987.4223263272324</v>
          </cell>
        </row>
        <row r="87">
          <cell r="F87">
            <v>46307.761666265345</v>
          </cell>
          <cell r="I87">
            <v>886.89368268724502</v>
          </cell>
        </row>
      </sheetData>
      <sheetData sheetId="2">
        <row r="59">
          <cell r="F59">
            <v>8000</v>
          </cell>
          <cell r="I59">
            <v>10080</v>
          </cell>
          <cell r="N59">
            <v>22000</v>
          </cell>
          <cell r="O59">
            <v>18080</v>
          </cell>
        </row>
        <row r="60">
          <cell r="F60">
            <v>10278</v>
          </cell>
          <cell r="I60">
            <v>8000</v>
          </cell>
        </row>
        <row r="61">
          <cell r="F61">
            <v>0</v>
          </cell>
          <cell r="I61">
            <v>5424</v>
          </cell>
        </row>
        <row r="62">
          <cell r="F62">
            <v>0</v>
          </cell>
          <cell r="I62">
            <v>0</v>
          </cell>
        </row>
        <row r="63">
          <cell r="F63">
            <v>0</v>
          </cell>
          <cell r="I63">
            <v>1312</v>
          </cell>
        </row>
        <row r="64">
          <cell r="F64">
            <v>0</v>
          </cell>
          <cell r="I64">
            <v>0</v>
          </cell>
        </row>
        <row r="65">
          <cell r="F65">
            <v>0</v>
          </cell>
          <cell r="I65">
            <v>0</v>
          </cell>
        </row>
        <row r="66">
          <cell r="F66">
            <v>10278</v>
          </cell>
          <cell r="I66">
            <v>14736</v>
          </cell>
          <cell r="N66">
            <v>19770.327835024887</v>
          </cell>
          <cell r="O66">
            <v>25014</v>
          </cell>
        </row>
        <row r="71">
          <cell r="F71">
            <v>104000</v>
          </cell>
          <cell r="I71">
            <v>182496</v>
          </cell>
        </row>
        <row r="72">
          <cell r="F72">
            <v>179865</v>
          </cell>
          <cell r="I72">
            <v>321408</v>
          </cell>
        </row>
        <row r="86">
          <cell r="F86">
            <v>-32055.563440283633</v>
          </cell>
          <cell r="I86">
            <v>9212.036437193834</v>
          </cell>
        </row>
        <row r="87">
          <cell r="F87">
            <v>3995.3425691158818</v>
          </cell>
          <cell r="I87">
            <v>66817.204603973893</v>
          </cell>
        </row>
      </sheetData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골재(당월)"/>
      <sheetName val="부산골재(누계)"/>
      <sheetName val="서부산골재(당월)"/>
      <sheetName val="서부산골재(누계)"/>
      <sheetName val="부산크라샤(당월)"/>
      <sheetName val="부산크라샤(누계)"/>
    </sheetNames>
    <sheetDataSet>
      <sheetData sheetId="0">
        <row r="47">
          <cell r="R47">
            <v>6392</v>
          </cell>
        </row>
        <row r="48">
          <cell r="R48">
            <v>9700</v>
          </cell>
        </row>
      </sheetData>
      <sheetData sheetId="1"/>
      <sheetData sheetId="2">
        <row r="59">
          <cell r="O59">
            <v>15824</v>
          </cell>
        </row>
        <row r="66">
          <cell r="O66">
            <v>24544</v>
          </cell>
        </row>
      </sheetData>
      <sheetData sheetId="3"/>
      <sheetData sheetId="4">
        <row r="59">
          <cell r="O59">
            <v>0</v>
          </cell>
        </row>
        <row r="66">
          <cell r="O66">
            <v>0</v>
          </cell>
        </row>
      </sheetData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100771.64036322049</v>
          </cell>
          <cell r="R85">
            <v>101401.5891054043</v>
          </cell>
        </row>
        <row r="89">
          <cell r="Q89">
            <v>77226.235068902824</v>
          </cell>
          <cell r="R89">
            <v>80182.545971308718</v>
          </cell>
        </row>
      </sheetData>
      <sheetData sheetId="1">
        <row r="85">
          <cell r="Q85">
            <v>97604.373789212565</v>
          </cell>
          <cell r="R85">
            <v>99686.691450425758</v>
          </cell>
        </row>
        <row r="89">
          <cell r="Q89">
            <v>79105.875956206917</v>
          </cell>
          <cell r="R89">
            <v>82036.997371495323</v>
          </cell>
        </row>
      </sheetData>
      <sheetData sheetId="2">
        <row r="85">
          <cell r="Q85">
            <v>101817.37677292901</v>
          </cell>
          <cell r="R85">
            <v>101808.70144556332</v>
          </cell>
        </row>
        <row r="89">
          <cell r="Q89">
            <v>75812.31419851337</v>
          </cell>
          <cell r="R89">
            <v>79506.664543717605</v>
          </cell>
        </row>
      </sheetData>
      <sheetData sheetId="3">
        <row r="85">
          <cell r="Q85">
            <v>105337.11101195219</v>
          </cell>
          <cell r="R85">
            <v>104210.41545416348</v>
          </cell>
        </row>
        <row r="89">
          <cell r="Q89">
            <v>76653.408731493793</v>
          </cell>
          <cell r="R89">
            <v>77821.036065191176</v>
          </cell>
        </row>
      </sheetData>
      <sheetData sheetId="4">
        <row r="85">
          <cell r="Q85">
            <v>98180.267105263163</v>
          </cell>
          <cell r="R85">
            <v>98221.643972326448</v>
          </cell>
        </row>
        <row r="89">
          <cell r="Q89">
            <v>79919.909028485199</v>
          </cell>
          <cell r="R89">
            <v>81295.712062663195</v>
          </cell>
        </row>
      </sheetData>
      <sheetData sheetId="5">
        <row r="85">
          <cell r="Q85">
            <v>99474.781374999991</v>
          </cell>
          <cell r="R85">
            <v>100929.78326718943</v>
          </cell>
        </row>
        <row r="89">
          <cell r="Q89">
            <v>82054.945307115398</v>
          </cell>
          <cell r="R89">
            <v>83319.25650739776</v>
          </cell>
        </row>
      </sheetData>
      <sheetData sheetId="6">
        <row r="85">
          <cell r="Q85">
            <v>96433.498137421702</v>
          </cell>
          <cell r="R85">
            <v>102161.73863945578</v>
          </cell>
        </row>
        <row r="89">
          <cell r="Q89">
            <v>77347.606952182177</v>
          </cell>
          <cell r="R89">
            <v>83825.434222061027</v>
          </cell>
        </row>
      </sheetData>
      <sheetData sheetId="7">
        <row r="85">
          <cell r="Q85">
            <v>93156.344262295082</v>
          </cell>
          <cell r="R85">
            <v>96062.181204635184</v>
          </cell>
        </row>
        <row r="89">
          <cell r="Q89">
            <v>72248.071823790058</v>
          </cell>
          <cell r="R89">
            <v>76381.196335411631</v>
          </cell>
        </row>
      </sheetData>
      <sheetData sheetId="8">
        <row r="85">
          <cell r="Q85">
            <v>107600.02783490566</v>
          </cell>
          <cell r="R85">
            <v>107802.56018548334</v>
          </cell>
        </row>
        <row r="89">
          <cell r="Q89">
            <v>78500.602746039396</v>
          </cell>
          <cell r="R89">
            <v>84406.22542991642</v>
          </cell>
        </row>
      </sheetData>
      <sheetData sheetId="9">
        <row r="85">
          <cell r="Q85">
            <v>103590.57</v>
          </cell>
          <cell r="R85">
            <v>100564.27092631743</v>
          </cell>
        </row>
        <row r="89">
          <cell r="Q89">
            <v>78032.760900306341</v>
          </cell>
          <cell r="R89">
            <v>80023.77542870566</v>
          </cell>
        </row>
      </sheetData>
      <sheetData sheetId="10">
        <row r="85">
          <cell r="Q85">
            <v>100999.81818181819</v>
          </cell>
          <cell r="R85">
            <v>99220.304186907248</v>
          </cell>
        </row>
        <row r="89">
          <cell r="Q89">
            <v>76641.702545567532</v>
          </cell>
          <cell r="R89">
            <v>81004.577318991447</v>
          </cell>
        </row>
      </sheetData>
      <sheetData sheetId="11">
        <row r="85">
          <cell r="Q85">
            <v>104000</v>
          </cell>
          <cell r="R85">
            <v>102309.96982815165</v>
          </cell>
        </row>
        <row r="89">
          <cell r="Q89">
            <v>78572.545276989549</v>
          </cell>
          <cell r="R89">
            <v>82705.317405785318</v>
          </cell>
        </row>
      </sheetData>
      <sheetData sheetId="12">
        <row r="85">
          <cell r="Q85">
            <v>96372.772064516132</v>
          </cell>
          <cell r="R85">
            <v>93966.974140735139</v>
          </cell>
        </row>
        <row r="89">
          <cell r="Q89">
            <v>71575.784564435045</v>
          </cell>
          <cell r="R89">
            <v>72203.263390436943</v>
          </cell>
        </row>
      </sheetData>
      <sheetData sheetId="13">
        <row r="85">
          <cell r="Q85">
            <v>99605.445652173919</v>
          </cell>
          <cell r="R85">
            <v>102683.6398593929</v>
          </cell>
        </row>
        <row r="89">
          <cell r="Q89">
            <v>72182.277351408367</v>
          </cell>
          <cell r="R89">
            <v>75393.808900625212</v>
          </cell>
        </row>
      </sheetData>
      <sheetData sheetId="14">
        <row r="85">
          <cell r="Q85">
            <v>97800</v>
          </cell>
          <cell r="R85">
            <v>101145.47456766726</v>
          </cell>
        </row>
        <row r="89">
          <cell r="Q89">
            <v>70957.761738727757</v>
          </cell>
          <cell r="R89">
            <v>75477.477323227198</v>
          </cell>
        </row>
      </sheetData>
      <sheetData sheetId="15">
        <row r="85">
          <cell r="Q85">
            <v>97867.184999999998</v>
          </cell>
          <cell r="R85">
            <v>104211.36258607276</v>
          </cell>
        </row>
        <row r="89">
          <cell r="Q89">
            <v>79035.448943942596</v>
          </cell>
          <cell r="R89">
            <v>84458.858416496514</v>
          </cell>
        </row>
      </sheetData>
      <sheetData sheetId="16">
        <row r="85">
          <cell r="Q85">
            <v>100999.70925925927</v>
          </cell>
          <cell r="R85">
            <v>100095.71555914532</v>
          </cell>
        </row>
        <row r="89">
          <cell r="Q89">
            <v>77074.600230980315</v>
          </cell>
          <cell r="R89">
            <v>80525.584536097595</v>
          </cell>
        </row>
      </sheetData>
      <sheetData sheetId="17">
        <row r="85">
          <cell r="Q85">
            <v>107900</v>
          </cell>
          <cell r="R85">
            <v>111742.69919939002</v>
          </cell>
        </row>
        <row r="89">
          <cell r="Q89">
            <v>75324.1223262407</v>
          </cell>
          <cell r="R89">
            <v>74187.436599313776</v>
          </cell>
        </row>
      </sheetData>
      <sheetData sheetId="18">
        <row r="85">
          <cell r="Q85">
            <v>109053.69903225808</v>
          </cell>
          <cell r="R85">
            <v>107228.68046334873</v>
          </cell>
        </row>
        <row r="89">
          <cell r="Q89">
            <v>70074.399839818201</v>
          </cell>
          <cell r="R89">
            <v>70243.965019916664</v>
          </cell>
        </row>
      </sheetData>
      <sheetData sheetId="19">
        <row r="85">
          <cell r="Q85">
            <v>101884.08740625001</v>
          </cell>
          <cell r="R85">
            <v>96639.850216124789</v>
          </cell>
        </row>
        <row r="89">
          <cell r="Q89">
            <v>74647.065188253153</v>
          </cell>
          <cell r="R89">
            <v>72806.241780950586</v>
          </cell>
        </row>
      </sheetData>
      <sheetData sheetId="20">
        <row r="85">
          <cell r="Q85">
            <v>126700</v>
          </cell>
          <cell r="R85">
            <v>129066.49400504839</v>
          </cell>
        </row>
        <row r="89">
          <cell r="Q89">
            <v>89935.469322780293</v>
          </cell>
          <cell r="R89">
            <v>89281.987701040693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93557.887843168472</v>
          </cell>
        </row>
        <row r="89">
          <cell r="Q89">
            <v>71043.329409640806</v>
          </cell>
        </row>
      </sheetData>
      <sheetData sheetId="1">
        <row r="85">
          <cell r="Q85">
            <v>89606.012443705156</v>
          </cell>
        </row>
        <row r="89">
          <cell r="Q89">
            <v>72993.235739309792</v>
          </cell>
        </row>
      </sheetData>
      <sheetData sheetId="2">
        <row r="85">
          <cell r="Q85">
            <v>95691.949810287595</v>
          </cell>
        </row>
        <row r="89">
          <cell r="Q89">
            <v>70361.274696748005</v>
          </cell>
        </row>
      </sheetData>
      <sheetData sheetId="3">
        <row r="85">
          <cell r="Q85">
            <v>96320.770500476836</v>
          </cell>
        </row>
        <row r="89">
          <cell r="Q89">
            <v>68614.316882828512</v>
          </cell>
        </row>
      </sheetData>
      <sheetData sheetId="4">
        <row r="85">
          <cell r="Q85">
            <v>90319.022736664934</v>
          </cell>
        </row>
        <row r="89">
          <cell r="Q89">
            <v>73635.949517100496</v>
          </cell>
        </row>
      </sheetData>
      <sheetData sheetId="5">
        <row r="85">
          <cell r="Q85">
            <v>90569.088674767423</v>
          </cell>
        </row>
        <row r="89">
          <cell r="Q89">
            <v>74511.012263649478</v>
          </cell>
        </row>
      </sheetData>
      <sheetData sheetId="6">
        <row r="85">
          <cell r="Q85">
            <v>88883.920902505299</v>
          </cell>
        </row>
        <row r="89">
          <cell r="Q89">
            <v>73697.260756743723</v>
          </cell>
        </row>
      </sheetData>
      <sheetData sheetId="7">
        <row r="85">
          <cell r="Q85">
            <v>86035.521789831808</v>
          </cell>
        </row>
        <row r="89">
          <cell r="Q89">
            <v>65968.884096127716</v>
          </cell>
        </row>
      </sheetData>
      <sheetData sheetId="8">
        <row r="85">
          <cell r="Q85">
            <v>102145.81826756799</v>
          </cell>
        </row>
        <row r="89">
          <cell r="Q89">
            <v>73184.55782548034</v>
          </cell>
        </row>
      </sheetData>
      <sheetData sheetId="9">
        <row r="85">
          <cell r="Q85">
            <v>95631.390969306027</v>
          </cell>
        </row>
        <row r="89">
          <cell r="Q89">
            <v>70387.245270767511</v>
          </cell>
        </row>
      </sheetData>
      <sheetData sheetId="10">
        <row r="85">
          <cell r="Q85">
            <v>95322.212807477015</v>
          </cell>
        </row>
        <row r="89">
          <cell r="Q89">
            <v>73142.156704154462</v>
          </cell>
        </row>
      </sheetData>
      <sheetData sheetId="11">
        <row r="85">
          <cell r="Q85">
            <v>98961.618831168846</v>
          </cell>
        </row>
        <row r="89">
          <cell r="Q89">
            <v>73469.000859845226</v>
          </cell>
        </row>
      </sheetData>
      <sheetData sheetId="12">
        <row r="85">
          <cell r="Q85">
            <v>92968.262491579357</v>
          </cell>
        </row>
        <row r="89">
          <cell r="Q89">
            <v>67836.714040181163</v>
          </cell>
        </row>
      </sheetData>
      <sheetData sheetId="13">
        <row r="85">
          <cell r="Q85">
            <v>92626.984074374821</v>
          </cell>
        </row>
        <row r="89">
          <cell r="Q89">
            <v>66329.835225295392</v>
          </cell>
        </row>
      </sheetData>
      <sheetData sheetId="14">
        <row r="85">
          <cell r="Q85">
            <v>90505.613760137916</v>
          </cell>
        </row>
        <row r="89">
          <cell r="Q89">
            <v>66178.645396350301</v>
          </cell>
        </row>
      </sheetData>
      <sheetData sheetId="15">
        <row r="85">
          <cell r="Q85">
            <v>94265.207571339473</v>
          </cell>
        </row>
        <row r="89">
          <cell r="Q89">
            <v>73614.915585180686</v>
          </cell>
        </row>
      </sheetData>
      <sheetData sheetId="16">
        <row r="85">
          <cell r="Q85">
            <v>93027.513441204515</v>
          </cell>
        </row>
        <row r="89">
          <cell r="Q89">
            <v>68198.725943000245</v>
          </cell>
        </row>
      </sheetData>
      <sheetData sheetId="17">
        <row r="85">
          <cell r="Q85">
            <v>99335.383647256589</v>
          </cell>
        </row>
        <row r="89">
          <cell r="Q89">
            <v>65415.66949554129</v>
          </cell>
        </row>
      </sheetData>
      <sheetData sheetId="18">
        <row r="85">
          <cell r="Q85">
            <v>93143.397286425301</v>
          </cell>
        </row>
        <row r="89">
          <cell r="Q89">
            <v>63451.721385576384</v>
          </cell>
        </row>
      </sheetData>
      <sheetData sheetId="19">
        <row r="85">
          <cell r="Q85">
            <v>88724.108131660643</v>
          </cell>
        </row>
        <row r="89">
          <cell r="Q89">
            <v>66438.649080445175</v>
          </cell>
        </row>
      </sheetData>
      <sheetData sheetId="20">
        <row r="85">
          <cell r="Q85">
            <v>118252.77132381765</v>
          </cell>
        </row>
        <row r="89">
          <cell r="Q89">
            <v>79676.725415600275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시참고"/>
      <sheetName val="손익"/>
      <sheetName val="판매계획"/>
      <sheetName val="매입계획"/>
      <sheetName val="비율"/>
      <sheetName val="판매4"/>
      <sheetName val="판매6"/>
      <sheetName val="판매"/>
      <sheetName val="인원수"/>
      <sheetName val="계정통제"/>
      <sheetName val="본사산출"/>
    </sheetNames>
    <sheetDataSet>
      <sheetData sheetId="0"/>
      <sheetData sheetId="1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6900</v>
          </cell>
          <cell r="H6">
            <v>6400</v>
          </cell>
          <cell r="I6">
            <v>7300</v>
          </cell>
          <cell r="J6">
            <v>7300</v>
          </cell>
          <cell r="K6">
            <v>7600</v>
          </cell>
          <cell r="L6">
            <v>6100</v>
          </cell>
          <cell r="M6">
            <v>7100</v>
          </cell>
          <cell r="N6">
            <v>8100</v>
          </cell>
          <cell r="O6">
            <v>6500</v>
          </cell>
          <cell r="P6">
            <v>8900</v>
          </cell>
          <cell r="Q6">
            <v>9200</v>
          </cell>
          <cell r="R6">
            <v>8600</v>
          </cell>
          <cell r="S6">
            <v>90000</v>
          </cell>
          <cell r="T6"/>
          <cell r="U6"/>
          <cell r="V6">
            <v>13300</v>
          </cell>
          <cell r="W6">
            <v>20600</v>
          </cell>
          <cell r="X6">
            <v>27900</v>
          </cell>
          <cell r="Y6">
            <v>35500</v>
          </cell>
          <cell r="Z6">
            <v>41600</v>
          </cell>
          <cell r="AA6">
            <v>48700</v>
          </cell>
          <cell r="AB6">
            <v>56800</v>
          </cell>
          <cell r="AC6">
            <v>63300</v>
          </cell>
          <cell r="AD6">
            <v>72200</v>
          </cell>
          <cell r="AE6">
            <v>81400</v>
          </cell>
          <cell r="AF6">
            <v>90000</v>
          </cell>
        </row>
        <row r="7">
          <cell r="G7">
            <v>8447943.157894738</v>
          </cell>
          <cell r="H7">
            <v>7830197.8947368432</v>
          </cell>
          <cell r="I7">
            <v>8929315.7894736845</v>
          </cell>
          <cell r="J7">
            <v>8929315.7894736845</v>
          </cell>
          <cell r="K7">
            <v>9285688.4210526329</v>
          </cell>
          <cell r="L7">
            <v>7443825.2631578958</v>
          </cell>
          <cell r="M7">
            <v>8684490.5263157897</v>
          </cell>
          <cell r="N7">
            <v>9915846.3157894723</v>
          </cell>
          <cell r="O7">
            <v>7946920.0000000009</v>
          </cell>
          <cell r="P7">
            <v>10873416.842105264</v>
          </cell>
          <cell r="Q7">
            <v>11242202.105263157</v>
          </cell>
          <cell r="R7">
            <v>10504631.578947367</v>
          </cell>
          <cell r="S7">
            <v>110033793.68421054</v>
          </cell>
          <cell r="T7">
            <v>1222597.7076023393</v>
          </cell>
          <cell r="U7"/>
          <cell r="V7">
            <v>16278141.052631581</v>
          </cell>
          <cell r="W7">
            <v>25207456.842105266</v>
          </cell>
          <cell r="X7">
            <v>34136772.631578952</v>
          </cell>
          <cell r="Y7">
            <v>43422461.052631587</v>
          </cell>
          <cell r="Z7">
            <v>50866286.315789483</v>
          </cell>
          <cell r="AA7">
            <v>59550776.842105269</v>
          </cell>
          <cell r="AB7">
            <v>69466623.157894745</v>
          </cell>
          <cell r="AC7">
            <v>77413543.157894745</v>
          </cell>
          <cell r="AD7">
            <v>88286960.000000015</v>
          </cell>
          <cell r="AE7">
            <v>99529162.105263174</v>
          </cell>
          <cell r="AF7">
            <v>110033793.68421054</v>
          </cell>
        </row>
        <row r="8">
          <cell r="G8">
            <v>1224339.5881006867</v>
          </cell>
          <cell r="H8">
            <v>1223468.4210526319</v>
          </cell>
          <cell r="I8">
            <v>1223193.9437635185</v>
          </cell>
          <cell r="J8">
            <v>1223193.9437635185</v>
          </cell>
          <cell r="K8">
            <v>1221801.1080332412</v>
          </cell>
          <cell r="L8">
            <v>1220299.2234685076</v>
          </cell>
          <cell r="M8">
            <v>1223167.6797627872</v>
          </cell>
          <cell r="N8">
            <v>1224178.5575048733</v>
          </cell>
          <cell r="O8">
            <v>1222603.076923077</v>
          </cell>
          <cell r="P8">
            <v>1221732.2294500296</v>
          </cell>
          <cell r="Q8">
            <v>1221978.4897025169</v>
          </cell>
          <cell r="R8">
            <v>1221468.788249694</v>
          </cell>
          <cell r="S8">
            <v>14671425.049775083</v>
          </cell>
          <cell r="T8">
            <v>163015.8338863898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8231946.9948631572</v>
          </cell>
          <cell r="H9">
            <v>7629616.4119578954</v>
          </cell>
          <cell r="I9">
            <v>8700442.2863157876</v>
          </cell>
          <cell r="J9">
            <v>8700442.2863157876</v>
          </cell>
          <cell r="K9">
            <v>9048062.5777684227</v>
          </cell>
          <cell r="L9">
            <v>7254031.1205052622</v>
          </cell>
          <cell r="M9">
            <v>8462695.4458105247</v>
          </cell>
          <cell r="N9">
            <v>9662374.0809263159</v>
          </cell>
          <cell r="O9">
            <v>7743493.0223999992</v>
          </cell>
          <cell r="P9">
            <v>10595361.504336843</v>
          </cell>
          <cell r="Q9">
            <v>10954962.716042105</v>
          </cell>
          <cell r="R9">
            <v>10235760.29263158</v>
          </cell>
          <cell r="S9">
            <v>107219188.73987368</v>
          </cell>
          <cell r="T9">
            <v>1191324.3193319298</v>
          </cell>
          <cell r="U9"/>
          <cell r="V9">
            <v>15861563.406821053</v>
          </cell>
          <cell r="W9">
            <v>24562005.693136841</v>
          </cell>
          <cell r="X9">
            <v>33262447.979452629</v>
          </cell>
          <cell r="Y9">
            <v>42310510.557221055</v>
          </cell>
          <cell r="Z9">
            <v>49564541.677726313</v>
          </cell>
          <cell r="AA9">
            <v>58027237.12353684</v>
          </cell>
          <cell r="AB9">
            <v>67689611.204463154</v>
          </cell>
          <cell r="AC9">
            <v>75433104.226863146</v>
          </cell>
          <cell r="AD9">
            <v>86028465.731199995</v>
          </cell>
          <cell r="AE9">
            <v>96983428.447242096</v>
          </cell>
          <cell r="AF9">
            <v>107219188.73987368</v>
          </cell>
        </row>
        <row r="10">
          <cell r="G10">
            <v>1193035.7963569793</v>
          </cell>
          <cell r="H10">
            <v>1192127.5643684212</v>
          </cell>
          <cell r="I10">
            <v>1191841.4090843543</v>
          </cell>
          <cell r="J10">
            <v>1191841.4090843543</v>
          </cell>
          <cell r="K10">
            <v>1190534.5497063713</v>
          </cell>
          <cell r="L10">
            <v>1189185.4295910266</v>
          </cell>
          <cell r="M10">
            <v>1191928.9360296514</v>
          </cell>
          <cell r="N10">
            <v>1192885.6890032489</v>
          </cell>
          <cell r="O10">
            <v>1191306.6188307691</v>
          </cell>
          <cell r="P10">
            <v>1190490.0566670611</v>
          </cell>
          <cell r="Q10">
            <v>1190756.8169610985</v>
          </cell>
          <cell r="R10">
            <v>1190204.6851897184</v>
          </cell>
          <cell r="S10">
            <v>14296138.960873054</v>
          </cell>
          <cell r="T10">
            <v>158845.98845414503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215996.16303158086</v>
          </cell>
          <cell r="H11">
            <v>200581.4827789478</v>
          </cell>
          <cell r="I11">
            <v>228873.50315789692</v>
          </cell>
          <cell r="J11">
            <v>228873.50315789692</v>
          </cell>
          <cell r="K11">
            <v>237625.84328421019</v>
          </cell>
          <cell r="L11">
            <v>189794.1426526336</v>
          </cell>
          <cell r="M11">
            <v>221795.08050526492</v>
          </cell>
          <cell r="N11">
            <v>253472.23486315645</v>
          </cell>
          <cell r="O11">
            <v>203426.97760000173</v>
          </cell>
          <cell r="P11">
            <v>278055.33776842058</v>
          </cell>
          <cell r="Q11">
            <v>287239.38922105171</v>
          </cell>
          <cell r="R11">
            <v>268871.28631578758</v>
          </cell>
          <cell r="S11">
            <v>2814604.9443368493</v>
          </cell>
          <cell r="T11">
            <v>31273.388270409439</v>
          </cell>
          <cell r="U11"/>
          <cell r="V11">
            <v>416577.64581052773</v>
          </cell>
          <cell r="W11">
            <v>645451.14896842465</v>
          </cell>
          <cell r="X11">
            <v>874324.65212632343</v>
          </cell>
          <cell r="Y11">
            <v>1111950.4954105318</v>
          </cell>
          <cell r="Z11">
            <v>1301744.63806317</v>
          </cell>
          <cell r="AA11">
            <v>1523539.7185684294</v>
          </cell>
          <cell r="AB11">
            <v>1777011.9534315914</v>
          </cell>
          <cell r="AC11">
            <v>1980438.9310315996</v>
          </cell>
          <cell r="AD11">
            <v>2258494.2688000202</v>
          </cell>
          <cell r="AE11">
            <v>2545733.6580210775</v>
          </cell>
          <cell r="AF11">
            <v>2814604.9443368614</v>
          </cell>
        </row>
        <row r="12">
          <cell r="G12">
            <v>31303.79174370737</v>
          </cell>
          <cell r="H12">
            <v>31340.856684210594</v>
          </cell>
          <cell r="I12">
            <v>31352.534679163964</v>
          </cell>
          <cell r="J12">
            <v>31352.534679163964</v>
          </cell>
          <cell r="K12">
            <v>31266.558326869763</v>
          </cell>
          <cell r="L12">
            <v>31113.793877480919</v>
          </cell>
          <cell r="M12">
            <v>31238.743733135907</v>
          </cell>
          <cell r="N12">
            <v>31292.868501624253</v>
          </cell>
          <cell r="O12">
            <v>31296.458092307959</v>
          </cell>
          <cell r="P12">
            <v>31242.172782968606</v>
          </cell>
          <cell r="Q12">
            <v>31221.672741418664</v>
          </cell>
          <cell r="R12">
            <v>31264.103059975303</v>
          </cell>
          <cell r="S12">
            <v>375286.08890202729</v>
          </cell>
          <cell r="T12">
            <v>4169.8454322447478</v>
          </cell>
          <cell r="U12"/>
          <cell r="V12">
            <v>31321.627504550957</v>
          </cell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2.5567899664396886E-2</v>
          </cell>
          <cell r="H13">
            <v>2.5616400182397806E-2</v>
          </cell>
          <cell r="I13">
            <v>2.5631695479703408E-2</v>
          </cell>
          <cell r="J13">
            <v>2.5631695479703408E-2</v>
          </cell>
          <cell r="K13">
            <v>2.5590546711158412E-2</v>
          </cell>
          <cell r="L13">
            <v>2.5496856245671353E-2</v>
          </cell>
          <cell r="M13">
            <v>2.5539216127092347E-2</v>
          </cell>
          <cell r="N13">
            <v>2.5562339995078443E-2</v>
          </cell>
          <cell r="O13">
            <v>2.5598216365585874E-2</v>
          </cell>
          <cell r="P13">
            <v>2.5572029639450915E-2</v>
          </cell>
          <cell r="Q13">
            <v>2.55501001077518E-2</v>
          </cell>
          <cell r="R13">
            <v>2.5595498927791074E-2</v>
          </cell>
          <cell r="S13">
            <v>2.5579459274253261E-2</v>
          </cell>
          <cell r="T13"/>
          <cell r="U13"/>
          <cell r="V13">
            <v>2.5591229641248398E-2</v>
          </cell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116337.58</v>
          </cell>
          <cell r="H14">
            <v>124492.19</v>
          </cell>
          <cell r="I14">
            <v>129557.48000000001</v>
          </cell>
          <cell r="J14">
            <v>116595.95999999999</v>
          </cell>
          <cell r="K14">
            <v>119169.95999999999</v>
          </cell>
          <cell r="L14">
            <v>119422.94</v>
          </cell>
          <cell r="M14">
            <v>116595.95999999999</v>
          </cell>
          <cell r="N14">
            <v>116595.95999999999</v>
          </cell>
          <cell r="O14">
            <v>137627.18</v>
          </cell>
          <cell r="P14">
            <v>117362.95999999999</v>
          </cell>
          <cell r="Q14">
            <v>116595.95999999999</v>
          </cell>
          <cell r="R14">
            <v>124922.94</v>
          </cell>
          <cell r="S14">
            <v>1455277.0699999996</v>
          </cell>
          <cell r="T14">
            <v>16169.745222222218</v>
          </cell>
          <cell r="U14"/>
          <cell r="V14">
            <v>240829.77000000002</v>
          </cell>
          <cell r="W14">
            <v>370387.25</v>
          </cell>
          <cell r="X14">
            <v>486983.20999999996</v>
          </cell>
          <cell r="Y14">
            <v>606153.17000000004</v>
          </cell>
          <cell r="Z14">
            <v>725576.11</v>
          </cell>
          <cell r="AA14">
            <v>842172.07</v>
          </cell>
          <cell r="AB14">
            <v>958768.02999999991</v>
          </cell>
          <cell r="AC14">
            <v>1096395.21</v>
          </cell>
          <cell r="AD14">
            <v>1213758.17</v>
          </cell>
          <cell r="AE14">
            <v>1330354.1299999999</v>
          </cell>
          <cell r="AF14">
            <v>1455277.0699999998</v>
          </cell>
        </row>
        <row r="15">
          <cell r="G15">
            <v>82217.06</v>
          </cell>
          <cell r="H15">
            <v>82217.06</v>
          </cell>
          <cell r="I15">
            <v>83504.47</v>
          </cell>
          <cell r="J15">
            <v>83504.47</v>
          </cell>
          <cell r="K15">
            <v>83504.47</v>
          </cell>
          <cell r="L15">
            <v>83504.47</v>
          </cell>
          <cell r="M15">
            <v>83504.47</v>
          </cell>
          <cell r="N15">
            <v>83504.47</v>
          </cell>
          <cell r="O15">
            <v>83504.47</v>
          </cell>
          <cell r="P15">
            <v>83504.47</v>
          </cell>
          <cell r="Q15">
            <v>83504.47</v>
          </cell>
          <cell r="R15">
            <v>83504.47</v>
          </cell>
          <cell r="S15">
            <v>999478.81999999983</v>
          </cell>
          <cell r="T15">
            <v>11105.320222222221</v>
          </cell>
          <cell r="U15"/>
          <cell r="V15">
            <v>164434.12</v>
          </cell>
          <cell r="W15">
            <v>247938.59</v>
          </cell>
          <cell r="X15">
            <v>331443.06</v>
          </cell>
          <cell r="Y15">
            <v>414947.53</v>
          </cell>
          <cell r="Z15">
            <v>498452</v>
          </cell>
          <cell r="AA15">
            <v>581956.47</v>
          </cell>
          <cell r="AB15">
            <v>665460.93999999994</v>
          </cell>
          <cell r="AC15">
            <v>748965.40999999992</v>
          </cell>
          <cell r="AD15">
            <v>832469.87999999989</v>
          </cell>
          <cell r="AE15">
            <v>915974.34999999986</v>
          </cell>
          <cell r="AF15">
            <v>999478.81999999983</v>
          </cell>
        </row>
        <row r="16">
          <cell r="G16">
            <v>34120.520000000004</v>
          </cell>
          <cell r="H16">
            <v>42275.130000000005</v>
          </cell>
          <cell r="I16">
            <v>46053.01</v>
          </cell>
          <cell r="J16">
            <v>33091.49</v>
          </cell>
          <cell r="K16">
            <v>35665.49</v>
          </cell>
          <cell r="L16">
            <v>35918.47</v>
          </cell>
          <cell r="M16">
            <v>33091.49</v>
          </cell>
          <cell r="N16">
            <v>33091.49</v>
          </cell>
          <cell r="O16">
            <v>54122.71</v>
          </cell>
          <cell r="P16">
            <v>33858.49</v>
          </cell>
          <cell r="Q16">
            <v>33091.49</v>
          </cell>
          <cell r="R16">
            <v>41418.47</v>
          </cell>
          <cell r="S16">
            <v>455798.25</v>
          </cell>
          <cell r="T16">
            <v>5064.4250000000002</v>
          </cell>
          <cell r="U16"/>
          <cell r="V16">
            <v>76395.650000000009</v>
          </cell>
          <cell r="W16">
            <v>122448.66</v>
          </cell>
          <cell r="X16">
            <v>155540.15</v>
          </cell>
          <cell r="Y16">
            <v>191205.63999999998</v>
          </cell>
          <cell r="Z16">
            <v>227124.11</v>
          </cell>
          <cell r="AA16">
            <v>260215.59999999998</v>
          </cell>
          <cell r="AB16">
            <v>293307.08999999997</v>
          </cell>
          <cell r="AC16">
            <v>347429.8</v>
          </cell>
          <cell r="AD16">
            <v>381288.29</v>
          </cell>
          <cell r="AE16">
            <v>414379.77999999997</v>
          </cell>
          <cell r="AF16">
            <v>455798.25</v>
          </cell>
        </row>
        <row r="17">
          <cell r="G17">
            <v>99658.583031580856</v>
          </cell>
          <cell r="H17">
            <v>76089.292778947798</v>
          </cell>
          <cell r="I17">
            <v>99316.023157896911</v>
          </cell>
          <cell r="J17">
            <v>112277.54315789693</v>
          </cell>
          <cell r="K17">
            <v>118455.8832842102</v>
          </cell>
          <cell r="L17">
            <v>70371.202652633598</v>
          </cell>
          <cell r="M17">
            <v>105199.12050526493</v>
          </cell>
          <cell r="N17">
            <v>136876.27486315646</v>
          </cell>
          <cell r="O17">
            <v>65799.797600001737</v>
          </cell>
          <cell r="P17">
            <v>160692.37776842059</v>
          </cell>
          <cell r="Q17">
            <v>170643.42922105172</v>
          </cell>
          <cell r="R17">
            <v>143948.34631578758</v>
          </cell>
          <cell r="S17">
            <v>1359327.8743368497</v>
          </cell>
          <cell r="T17">
            <v>15103.643048187218</v>
          </cell>
          <cell r="U17"/>
          <cell r="V17">
            <v>175747.87581052771</v>
          </cell>
          <cell r="W17">
            <v>275063.89896842465</v>
          </cell>
          <cell r="X17">
            <v>387341.44212632347</v>
          </cell>
          <cell r="Y17">
            <v>505797.32541053172</v>
          </cell>
          <cell r="Z17">
            <v>576168.52806317003</v>
          </cell>
          <cell r="AA17">
            <v>681367.6485684294</v>
          </cell>
          <cell r="AB17">
            <v>818243.92343159148</v>
          </cell>
          <cell r="AC17">
            <v>884043.72103159968</v>
          </cell>
          <cell r="AD17">
            <v>1044736.0988000203</v>
          </cell>
          <cell r="AE17">
            <v>1215379.5280210776</v>
          </cell>
          <cell r="AF17">
            <v>1359327.8743368615</v>
          </cell>
        </row>
        <row r="18">
          <cell r="G18">
            <v>1.1796786646042749E-2</v>
          </cell>
          <cell r="H18">
            <v>9.7174163158880167E-3</v>
          </cell>
          <cell r="I18">
            <v>1.1122467331144846E-2</v>
          </cell>
          <cell r="J18">
            <v>1.2574036556110516E-2</v>
          </cell>
          <cell r="K18">
            <v>1.2756822963782145E-2</v>
          </cell>
          <cell r="L18">
            <v>9.453634410378409E-3</v>
          </cell>
          <cell r="M18">
            <v>1.2113447551873076E-2</v>
          </cell>
          <cell r="N18">
            <v>1.3803791477203703E-2</v>
          </cell>
          <cell r="O18">
            <v>8.2799119155599569E-3</v>
          </cell>
          <cell r="P18">
            <v>1.4778462014458007E-2</v>
          </cell>
          <cell r="Q18">
            <v>1.5178825965169509E-2</v>
          </cell>
          <cell r="R18">
            <v>1.3703321742789969E-2</v>
          </cell>
          <cell r="S18">
            <v>1.2353730875062145E-2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4908.0999999999995</v>
          </cell>
          <cell r="H19">
            <v>4908.0999999999995</v>
          </cell>
          <cell r="I19">
            <v>4908.0999999999995</v>
          </cell>
          <cell r="J19">
            <v>4908.0999999999995</v>
          </cell>
          <cell r="K19">
            <v>4908.0999999999995</v>
          </cell>
          <cell r="L19">
            <v>4908.0999999999995</v>
          </cell>
          <cell r="M19">
            <v>4908.0999999999995</v>
          </cell>
          <cell r="N19">
            <v>4908.0999999999995</v>
          </cell>
          <cell r="O19">
            <v>4908.0999999999995</v>
          </cell>
          <cell r="P19">
            <v>4908.0999999999995</v>
          </cell>
          <cell r="Q19">
            <v>4908.0999999999995</v>
          </cell>
          <cell r="R19">
            <v>4908.0999999999995</v>
          </cell>
          <cell r="S19">
            <v>58897.19999999999</v>
          </cell>
          <cell r="T19">
            <v>654.41333333333318</v>
          </cell>
          <cell r="U19"/>
          <cell r="V19">
            <v>9816.1999999999989</v>
          </cell>
          <cell r="W19">
            <v>14724.3</v>
          </cell>
          <cell r="X19">
            <v>19632.399999999998</v>
          </cell>
          <cell r="Y19">
            <v>24540.499999999996</v>
          </cell>
          <cell r="Z19">
            <v>29448.599999999995</v>
          </cell>
          <cell r="AA19">
            <v>34356.699999999997</v>
          </cell>
          <cell r="AB19">
            <v>39264.799999999996</v>
          </cell>
          <cell r="AC19">
            <v>44172.899999999994</v>
          </cell>
          <cell r="AD19">
            <v>49080.999999999993</v>
          </cell>
          <cell r="AE19">
            <v>53989.099999999991</v>
          </cell>
          <cell r="AF19">
            <v>58897.19999999999</v>
          </cell>
        </row>
        <row r="20">
          <cell r="G20">
            <v>4908.0999999999995</v>
          </cell>
          <cell r="H20">
            <v>4908.0999999999995</v>
          </cell>
          <cell r="I20">
            <v>4908.0999999999995</v>
          </cell>
          <cell r="J20">
            <v>4908.0999999999995</v>
          </cell>
          <cell r="K20">
            <v>4908.0999999999995</v>
          </cell>
          <cell r="L20">
            <v>4908.0999999999995</v>
          </cell>
          <cell r="M20">
            <v>4908.0999999999995</v>
          </cell>
          <cell r="N20">
            <v>4908.0999999999995</v>
          </cell>
          <cell r="O20">
            <v>4908.0999999999995</v>
          </cell>
          <cell r="P20">
            <v>4908.0999999999995</v>
          </cell>
          <cell r="Q20">
            <v>4908.0999999999995</v>
          </cell>
          <cell r="R20">
            <v>4908.0999999999995</v>
          </cell>
          <cell r="S20">
            <v>58897.19999999999</v>
          </cell>
          <cell r="T20">
            <v>654.41333333333318</v>
          </cell>
          <cell r="U20"/>
          <cell r="V20">
            <v>9816.1999999999989</v>
          </cell>
          <cell r="W20">
            <v>14724.3</v>
          </cell>
          <cell r="X20">
            <v>19632.399999999998</v>
          </cell>
          <cell r="Y20">
            <v>24540.499999999996</v>
          </cell>
          <cell r="Z20">
            <v>29448.599999999995</v>
          </cell>
          <cell r="AA20">
            <v>34356.699999999997</v>
          </cell>
          <cell r="AB20">
            <v>39264.799999999996</v>
          </cell>
          <cell r="AC20">
            <v>44172.899999999994</v>
          </cell>
          <cell r="AD20">
            <v>49080.999999999993</v>
          </cell>
          <cell r="AE20">
            <v>53989.099999999991</v>
          </cell>
          <cell r="AF20">
            <v>58897.19999999999</v>
          </cell>
        </row>
        <row r="21">
          <cell r="G21">
            <v>94750.48303158085</v>
          </cell>
          <cell r="H21">
            <v>71181.192778947792</v>
          </cell>
          <cell r="I21">
            <v>94407.923157896905</v>
          </cell>
          <cell r="J21">
            <v>107369.44315789692</v>
          </cell>
          <cell r="K21">
            <v>113547.78328421019</v>
          </cell>
          <cell r="L21">
            <v>65463.102652633599</v>
          </cell>
          <cell r="M21">
            <v>100291.02050526493</v>
          </cell>
          <cell r="N21">
            <v>131968.17486315646</v>
          </cell>
          <cell r="O21">
            <v>60891.697600001738</v>
          </cell>
          <cell r="P21">
            <v>155784.27776842058</v>
          </cell>
          <cell r="Q21">
            <v>165735.32922105171</v>
          </cell>
          <cell r="R21">
            <v>139040.24631578758</v>
          </cell>
          <cell r="S21">
            <v>1300430.674336849</v>
          </cell>
          <cell r="T21">
            <v>14449.229714853878</v>
          </cell>
          <cell r="U21"/>
          <cell r="V21">
            <v>165931.6758105277</v>
          </cell>
          <cell r="W21">
            <v>260339.59896842466</v>
          </cell>
          <cell r="X21">
            <v>367709.04212632345</v>
          </cell>
          <cell r="Y21">
            <v>481256.82541053172</v>
          </cell>
          <cell r="Z21">
            <v>546719.92806317005</v>
          </cell>
          <cell r="AA21">
            <v>647010.94856842945</v>
          </cell>
          <cell r="AB21">
            <v>778979.12343159143</v>
          </cell>
          <cell r="AC21">
            <v>839870.82103159965</v>
          </cell>
          <cell r="AD21">
            <v>995655.09880002029</v>
          </cell>
          <cell r="AE21">
            <v>1161390.4280210775</v>
          </cell>
          <cell r="AF21">
            <v>1300430.6743368616</v>
          </cell>
        </row>
        <row r="22">
          <cell r="G22">
            <v>1.1215804990713629E-2</v>
          </cell>
          <cell r="H22">
            <v>9.0905994632387317E-3</v>
          </cell>
          <cell r="I22">
            <v>1.0572805955545843E-2</v>
          </cell>
          <cell r="J22">
            <v>1.2024375180511511E-2</v>
          </cell>
          <cell r="K22">
            <v>1.2228256876116282E-2</v>
          </cell>
          <cell r="L22">
            <v>8.7942825547818095E-3</v>
          </cell>
          <cell r="M22">
            <v>1.1548290622387408E-2</v>
          </cell>
          <cell r="N22">
            <v>1.3308816076850371E-2</v>
          </cell>
          <cell r="O22">
            <v>7.6623015709232929E-3</v>
          </cell>
          <cell r="P22">
            <v>1.4327076762584438E-2</v>
          </cell>
          <cell r="Q22">
            <v>1.4742247797116274E-2</v>
          </cell>
          <cell r="R22">
            <v>1.3236089744874262E-2</v>
          </cell>
          <cell r="S22">
            <v>1.1818466225648786E-2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R23">
            <v>304775.57553683931</v>
          </cell>
          <cell r="S23"/>
        </row>
        <row r="24">
          <cell r="G24">
            <v>6900</v>
          </cell>
          <cell r="H24">
            <v>6400</v>
          </cell>
          <cell r="I24">
            <v>7300</v>
          </cell>
          <cell r="J24">
            <v>7300</v>
          </cell>
          <cell r="K24">
            <v>7600</v>
          </cell>
          <cell r="L24">
            <v>6100</v>
          </cell>
          <cell r="M24">
            <v>7100</v>
          </cell>
          <cell r="N24">
            <v>8100</v>
          </cell>
          <cell r="O24">
            <v>6500</v>
          </cell>
          <cell r="P24">
            <v>8900</v>
          </cell>
          <cell r="Q24">
            <v>9200</v>
          </cell>
          <cell r="R24">
            <v>8600</v>
          </cell>
          <cell r="S24">
            <v>90000</v>
          </cell>
          <cell r="T24"/>
          <cell r="U24"/>
          <cell r="V24">
            <v>13300</v>
          </cell>
          <cell r="W24">
            <v>20600</v>
          </cell>
          <cell r="X24">
            <v>27900</v>
          </cell>
          <cell r="Y24">
            <v>35500</v>
          </cell>
          <cell r="Z24">
            <v>41600</v>
          </cell>
          <cell r="AA24">
            <v>48700</v>
          </cell>
          <cell r="AB24">
            <v>56800</v>
          </cell>
          <cell r="AC24">
            <v>63300</v>
          </cell>
          <cell r="AD24">
            <v>72200</v>
          </cell>
          <cell r="AE24">
            <v>81400</v>
          </cell>
          <cell r="AF24">
            <v>90000</v>
          </cell>
        </row>
        <row r="25">
          <cell r="G25">
            <v>976086.95652173914</v>
          </cell>
          <cell r="H25">
            <v>978125</v>
          </cell>
          <cell r="I25">
            <v>978767.12328767125</v>
          </cell>
          <cell r="J25">
            <v>978767.12328767125</v>
          </cell>
          <cell r="K25">
            <v>977631.57894736843</v>
          </cell>
          <cell r="L25">
            <v>974590.16393442615</v>
          </cell>
          <cell r="M25">
            <v>975352.11267605633</v>
          </cell>
          <cell r="N25">
            <v>975925.92592592596</v>
          </cell>
          <cell r="O25">
            <v>977692.30769230775</v>
          </cell>
          <cell r="P25">
            <v>976966.29213483143</v>
          </cell>
          <cell r="Q25">
            <v>976086.95652173914</v>
          </cell>
          <cell r="R25">
            <v>977906.97674418602</v>
          </cell>
          <cell r="S25">
            <v>977000</v>
          </cell>
          <cell r="T25"/>
          <cell r="U25"/>
          <cell r="V25">
            <v>977067.66917293239</v>
          </cell>
          <cell r="W25">
            <v>977669.90291262139</v>
          </cell>
          <cell r="X25">
            <v>977956.98924731184</v>
          </cell>
          <cell r="Y25">
            <v>977887.32394366199</v>
          </cell>
          <cell r="Z25">
            <v>977403.84615384624</v>
          </cell>
          <cell r="AA25">
            <v>977104.72279260785</v>
          </cell>
          <cell r="AB25">
            <v>976936.61971830984</v>
          </cell>
          <cell r="AC25">
            <v>977014.21800947865</v>
          </cell>
          <cell r="AD25">
            <v>977008.31024930743</v>
          </cell>
          <cell r="AE25">
            <v>976904.17690417694</v>
          </cell>
          <cell r="AF25">
            <v>977000</v>
          </cell>
        </row>
        <row r="26">
          <cell r="G26">
            <v>6735000</v>
          </cell>
          <cell r="H26">
            <v>6260000</v>
          </cell>
          <cell r="I26">
            <v>7145000</v>
          </cell>
          <cell r="J26">
            <v>7145000</v>
          </cell>
          <cell r="K26">
            <v>7430000</v>
          </cell>
          <cell r="L26">
            <v>5945000</v>
          </cell>
          <cell r="M26">
            <v>6925000</v>
          </cell>
          <cell r="N26">
            <v>7905000</v>
          </cell>
          <cell r="O26">
            <v>6355000</v>
          </cell>
          <cell r="P26">
            <v>8695000</v>
          </cell>
          <cell r="Q26">
            <v>8980000</v>
          </cell>
          <cell r="R26">
            <v>8410000</v>
          </cell>
          <cell r="S26">
            <v>87930000</v>
          </cell>
          <cell r="T26"/>
          <cell r="U26"/>
          <cell r="V26">
            <v>12995000</v>
          </cell>
          <cell r="W26">
            <v>20140000</v>
          </cell>
          <cell r="X26">
            <v>27285000</v>
          </cell>
          <cell r="Y26">
            <v>34715000</v>
          </cell>
          <cell r="Z26">
            <v>40660000</v>
          </cell>
          <cell r="AA26">
            <v>47585000</v>
          </cell>
          <cell r="AB26">
            <v>55490000</v>
          </cell>
          <cell r="AC26">
            <v>61845000</v>
          </cell>
          <cell r="AD26">
            <v>70540000</v>
          </cell>
          <cell r="AE26">
            <v>79520000</v>
          </cell>
          <cell r="AF26">
            <v>87930000</v>
          </cell>
        </row>
        <row r="27">
          <cell r="G27">
            <v>1712943.157894738</v>
          </cell>
          <cell r="H27">
            <v>1570197.8947368432</v>
          </cell>
          <cell r="I27">
            <v>1784315.7894736845</v>
          </cell>
          <cell r="J27">
            <v>1784315.7894736845</v>
          </cell>
          <cell r="K27">
            <v>1855688.4210526329</v>
          </cell>
          <cell r="L27">
            <v>1498825.2631578958</v>
          </cell>
          <cell r="M27">
            <v>1759490.5263157897</v>
          </cell>
          <cell r="N27">
            <v>2010846.3157894723</v>
          </cell>
          <cell r="O27">
            <v>1591920.0000000009</v>
          </cell>
          <cell r="P27">
            <v>2178416.8421052638</v>
          </cell>
          <cell r="Q27">
            <v>2262202.1052631568</v>
          </cell>
          <cell r="R27">
            <v>2094631.5789473671</v>
          </cell>
          <cell r="S27">
            <v>22103793.684210531</v>
          </cell>
          <cell r="T27"/>
          <cell r="U27"/>
          <cell r="V27">
            <v>3283141.0526315812</v>
          </cell>
          <cell r="W27">
            <v>5067456.8421052657</v>
          </cell>
          <cell r="X27">
            <v>6851772.6315789502</v>
          </cell>
          <cell r="Y27">
            <v>8707461.0526315831</v>
          </cell>
          <cell r="Z27">
            <v>10206286.31578948</v>
          </cell>
          <cell r="AA27">
            <v>11965776.842105269</v>
          </cell>
          <cell r="AB27">
            <v>13976623.157894742</v>
          </cell>
          <cell r="AC27">
            <v>15568543.157894742</v>
          </cell>
          <cell r="AD27">
            <v>17746960.000000007</v>
          </cell>
          <cell r="AE27">
            <v>20009162.105263166</v>
          </cell>
          <cell r="AF27">
            <v>22103793.684210531</v>
          </cell>
        </row>
        <row r="28">
          <cell r="G28">
            <v>8447943.157894738</v>
          </cell>
          <cell r="H28">
            <v>7830197.8947368432</v>
          </cell>
          <cell r="I28">
            <v>8929315.7894736845</v>
          </cell>
          <cell r="J28">
            <v>8929315.7894736845</v>
          </cell>
          <cell r="K28">
            <v>9285688.4210526329</v>
          </cell>
          <cell r="L28">
            <v>7443825.2631578958</v>
          </cell>
          <cell r="M28">
            <v>8684490.5263157897</v>
          </cell>
          <cell r="N28">
            <v>9915846.3157894723</v>
          </cell>
          <cell r="O28">
            <v>7946920.0000000009</v>
          </cell>
          <cell r="P28">
            <v>10873416.842105264</v>
          </cell>
          <cell r="Q28">
            <v>11242202.105263157</v>
          </cell>
          <cell r="R28">
            <v>10504631.578947367</v>
          </cell>
          <cell r="S28">
            <v>110033793.68421054</v>
          </cell>
          <cell r="T28"/>
          <cell r="U28"/>
          <cell r="V28">
            <v>16278141.052631581</v>
          </cell>
          <cell r="W28">
            <v>25207456.842105266</v>
          </cell>
          <cell r="X28">
            <v>34136772.631578952</v>
          </cell>
          <cell r="Y28">
            <v>43422461.052631587</v>
          </cell>
          <cell r="Z28">
            <v>50866286.315789476</v>
          </cell>
          <cell r="AA28">
            <v>59550776.842105269</v>
          </cell>
          <cell r="AB28">
            <v>69466623.157894745</v>
          </cell>
          <cell r="AC28">
            <v>77413543.157894745</v>
          </cell>
          <cell r="AD28">
            <v>88286960</v>
          </cell>
          <cell r="AE28">
            <v>99529162.105263174</v>
          </cell>
          <cell r="AF28">
            <v>110033793.68421054</v>
          </cell>
        </row>
        <row r="29">
          <cell r="G29">
            <v>6578580</v>
          </cell>
          <cell r="H29">
            <v>6114030</v>
          </cell>
          <cell r="I29">
            <v>6978185</v>
          </cell>
          <cell r="J29">
            <v>6978185</v>
          </cell>
          <cell r="K29">
            <v>7256915</v>
          </cell>
          <cell r="L29">
            <v>5807335</v>
          </cell>
          <cell r="M29">
            <v>6764400</v>
          </cell>
          <cell r="N29">
            <v>7721465</v>
          </cell>
          <cell r="O29">
            <v>6206940</v>
          </cell>
          <cell r="P29">
            <v>8492710</v>
          </cell>
          <cell r="Q29">
            <v>8771440</v>
          </cell>
          <cell r="R29">
            <v>8213980</v>
          </cell>
          <cell r="S29">
            <v>85884165</v>
          </cell>
          <cell r="T29"/>
          <cell r="U29"/>
          <cell r="V29">
            <v>12692610</v>
          </cell>
          <cell r="W29">
            <v>19670795</v>
          </cell>
          <cell r="X29">
            <v>26648980</v>
          </cell>
          <cell r="Y29">
            <v>33905895</v>
          </cell>
          <cell r="Z29">
            <v>39713230</v>
          </cell>
          <cell r="AA29">
            <v>46477630</v>
          </cell>
          <cell r="AB29">
            <v>54199095</v>
          </cell>
          <cell r="AC29">
            <v>60406035</v>
          </cell>
          <cell r="AD29">
            <v>68898745</v>
          </cell>
          <cell r="AE29">
            <v>77670185</v>
          </cell>
          <cell r="AF29">
            <v>85884165</v>
          </cell>
        </row>
        <row r="30">
          <cell r="G30">
            <v>1653366.9948631572</v>
          </cell>
          <cell r="H30">
            <v>1515586.4119578954</v>
          </cell>
          <cell r="I30">
            <v>1722257.2863157876</v>
          </cell>
          <cell r="J30">
            <v>1722257.2863157876</v>
          </cell>
          <cell r="K30">
            <v>1791147.5777684227</v>
          </cell>
          <cell r="L30">
            <v>1446696.1205052622</v>
          </cell>
          <cell r="M30">
            <v>1698295.4458105247</v>
          </cell>
          <cell r="N30">
            <v>1940909.0809263159</v>
          </cell>
          <cell r="O30">
            <v>1536553.0223999992</v>
          </cell>
          <cell r="P30">
            <v>2102651.5043368433</v>
          </cell>
          <cell r="Q30">
            <v>2183522.7160421051</v>
          </cell>
          <cell r="R30">
            <v>2021780.2926315796</v>
          </cell>
          <cell r="S30">
            <v>21335023.739873677</v>
          </cell>
          <cell r="T30"/>
          <cell r="U30"/>
          <cell r="V30">
            <v>3168953.4068210525</v>
          </cell>
          <cell r="W30">
            <v>4891210.6931368401</v>
          </cell>
          <cell r="X30">
            <v>6613467.9794526277</v>
          </cell>
          <cell r="Y30">
            <v>8404615.5572210513</v>
          </cell>
          <cell r="Z30">
            <v>9851311.6777263135</v>
          </cell>
          <cell r="AA30">
            <v>11549607.123536838</v>
          </cell>
          <cell r="AB30">
            <v>13490516.204463154</v>
          </cell>
          <cell r="AC30">
            <v>15027069.226863153</v>
          </cell>
          <cell r="AD30">
            <v>17129720.731199995</v>
          </cell>
          <cell r="AE30">
            <v>19313243.4472421</v>
          </cell>
          <cell r="AF30">
            <v>21335023.739873677</v>
          </cell>
        </row>
        <row r="31">
          <cell r="G31">
            <v>8231946.9948631572</v>
          </cell>
          <cell r="H31">
            <v>7629616.4119578954</v>
          </cell>
          <cell r="I31">
            <v>8700442.2863157876</v>
          </cell>
          <cell r="J31">
            <v>8700442.2863157876</v>
          </cell>
          <cell r="K31">
            <v>9048062.5777684227</v>
          </cell>
          <cell r="L31">
            <v>7254031.1205052622</v>
          </cell>
          <cell r="M31">
            <v>8462695.4458105247</v>
          </cell>
          <cell r="N31">
            <v>9662374.0809263159</v>
          </cell>
          <cell r="O31">
            <v>7743493.0223999992</v>
          </cell>
          <cell r="P31">
            <v>10595361.504336843</v>
          </cell>
          <cell r="Q31">
            <v>10954962.716042105</v>
          </cell>
          <cell r="R31">
            <v>10235760.29263158</v>
          </cell>
          <cell r="S31">
            <v>107219188.73987368</v>
          </cell>
          <cell r="T31"/>
          <cell r="U31"/>
          <cell r="V31">
            <v>15861563.406821053</v>
          </cell>
          <cell r="W31">
            <v>24562005.693136841</v>
          </cell>
          <cell r="X31">
            <v>33262447.979452629</v>
          </cell>
          <cell r="Y31">
            <v>42310510.557221055</v>
          </cell>
          <cell r="Z31">
            <v>49564541.677726313</v>
          </cell>
          <cell r="AA31">
            <v>58027237.12353684</v>
          </cell>
          <cell r="AB31">
            <v>67689611.204463154</v>
          </cell>
          <cell r="AC31">
            <v>75433104.226863146</v>
          </cell>
          <cell r="AD31">
            <v>86028465.731199995</v>
          </cell>
          <cell r="AE31">
            <v>96983428.447242096</v>
          </cell>
          <cell r="AF31">
            <v>107219188.73987368</v>
          </cell>
        </row>
        <row r="32">
          <cell r="G32">
            <v>156420</v>
          </cell>
          <cell r="H32">
            <v>145970</v>
          </cell>
          <cell r="I32">
            <v>166815</v>
          </cell>
          <cell r="J32">
            <v>166815</v>
          </cell>
          <cell r="K32">
            <v>173085</v>
          </cell>
          <cell r="L32">
            <v>137665</v>
          </cell>
          <cell r="M32">
            <v>160600</v>
          </cell>
          <cell r="N32">
            <v>183535</v>
          </cell>
          <cell r="O32">
            <v>148060</v>
          </cell>
          <cell r="P32">
            <v>202290</v>
          </cell>
          <cell r="Q32">
            <v>208560</v>
          </cell>
          <cell r="R32">
            <v>196020</v>
          </cell>
          <cell r="S32">
            <v>2045835</v>
          </cell>
          <cell r="T32"/>
          <cell r="U32"/>
          <cell r="V32">
            <v>302390</v>
          </cell>
          <cell r="W32">
            <v>469205</v>
          </cell>
          <cell r="X32">
            <v>636020</v>
          </cell>
          <cell r="Y32">
            <v>809105</v>
          </cell>
          <cell r="Z32">
            <v>946770</v>
          </cell>
          <cell r="AA32">
            <v>1107370</v>
          </cell>
          <cell r="AB32">
            <v>1290905</v>
          </cell>
          <cell r="AC32">
            <v>1438965</v>
          </cell>
          <cell r="AD32">
            <v>1641255</v>
          </cell>
          <cell r="AE32">
            <v>1849815</v>
          </cell>
          <cell r="AF32">
            <v>2045835</v>
          </cell>
        </row>
        <row r="33">
          <cell r="G33">
            <v>2.3224944320712693E-2</v>
          </cell>
          <cell r="H33">
            <v>2.3317891373801917E-2</v>
          </cell>
          <cell r="I33">
            <v>2.3347095871238628E-2</v>
          </cell>
          <cell r="J33">
            <v>2.3347095871238628E-2</v>
          </cell>
          <cell r="K33">
            <v>2.329542395693136E-2</v>
          </cell>
          <cell r="L33">
            <v>2.3156433978132884E-2</v>
          </cell>
          <cell r="M33">
            <v>2.3191335740072202E-2</v>
          </cell>
          <cell r="N33">
            <v>2.3217583807716637E-2</v>
          </cell>
          <cell r="O33">
            <v>2.3298190401258852E-2</v>
          </cell>
          <cell r="P33">
            <v>2.3265094882116158E-2</v>
          </cell>
          <cell r="Q33">
            <v>2.3224944320712693E-2</v>
          </cell>
          <cell r="R33">
            <v>2.330796670630202E-2</v>
          </cell>
          <cell r="S33">
            <v>2.3266632548618219E-2</v>
          </cell>
          <cell r="T33"/>
          <cell r="U33"/>
          <cell r="V33">
            <v>2.3269719122739514E-2</v>
          </cell>
          <cell r="W33">
            <v>2.3297169811320753E-2</v>
          </cell>
          <cell r="X33">
            <v>2.3310243723657687E-2</v>
          </cell>
          <cell r="Y33">
            <v>2.3307071870949159E-2</v>
          </cell>
          <cell r="Z33">
            <v>2.3285046728971963E-2</v>
          </cell>
          <cell r="AA33">
            <v>2.3271409057476097E-2</v>
          </cell>
          <cell r="AB33">
            <v>2.3263741214633267E-2</v>
          </cell>
          <cell r="AC33">
            <v>2.3267281105990783E-2</v>
          </cell>
          <cell r="AD33">
            <v>2.3267011624610149E-2</v>
          </cell>
          <cell r="AE33">
            <v>2.326226106639839E-2</v>
          </cell>
          <cell r="AF33">
            <v>2.3266632548618219E-2</v>
          </cell>
        </row>
        <row r="34">
          <cell r="G34">
            <v>59576.163031580858</v>
          </cell>
          <cell r="H34">
            <v>54611.4827789478</v>
          </cell>
          <cell r="I34">
            <v>62058.503157896921</v>
          </cell>
          <cell r="J34">
            <v>62058.503157896921</v>
          </cell>
          <cell r="K34">
            <v>64540.84328421019</v>
          </cell>
          <cell r="L34">
            <v>52129.1426526336</v>
          </cell>
          <cell r="M34">
            <v>61195.080505264923</v>
          </cell>
          <cell r="N34">
            <v>69937.234863156453</v>
          </cell>
          <cell r="O34">
            <v>55366.97760000173</v>
          </cell>
          <cell r="P34">
            <v>75765.337768420577</v>
          </cell>
          <cell r="Q34">
            <v>78679.389221051708</v>
          </cell>
          <cell r="R34">
            <v>72851.286315787584</v>
          </cell>
          <cell r="S34">
            <v>768769.94433685392</v>
          </cell>
          <cell r="T34"/>
          <cell r="U34"/>
          <cell r="V34">
            <v>114187.64581052866</v>
          </cell>
          <cell r="W34">
            <v>176246.14896842558</v>
          </cell>
          <cell r="X34">
            <v>238304.6521263225</v>
          </cell>
          <cell r="Y34">
            <v>302845.49541053176</v>
          </cell>
          <cell r="Z34">
            <v>354974.63806316629</v>
          </cell>
          <cell r="AA34">
            <v>416169.71856843121</v>
          </cell>
          <cell r="AB34">
            <v>486106.95343158767</v>
          </cell>
          <cell r="AC34">
            <v>541473.93103158846</v>
          </cell>
          <cell r="AD34">
            <v>617239.26880001277</v>
          </cell>
          <cell r="AE34">
            <v>695918.65802106634</v>
          </cell>
          <cell r="AF34">
            <v>768769.94433685392</v>
          </cell>
        </row>
        <row r="35">
          <cell r="G35">
            <v>3.4780000000001095E-2</v>
          </cell>
          <cell r="H35">
            <v>3.4780000000000248E-2</v>
          </cell>
          <cell r="I35">
            <v>3.478000000000122E-2</v>
          </cell>
          <cell r="J35">
            <v>3.478000000000122E-2</v>
          </cell>
          <cell r="K35">
            <v>3.4779999999999797E-2</v>
          </cell>
          <cell r="L35">
            <v>3.4780000000001324E-2</v>
          </cell>
          <cell r="M35">
            <v>3.4780000000000998E-2</v>
          </cell>
          <cell r="N35">
            <v>3.4779999999999305E-2</v>
          </cell>
          <cell r="O35">
            <v>3.4780000000001067E-2</v>
          </cell>
          <cell r="P35">
            <v>3.4779999999999769E-2</v>
          </cell>
          <cell r="Q35">
            <v>3.477999999999961E-2</v>
          </cell>
          <cell r="R35">
            <v>3.4779999999999117E-2</v>
          </cell>
          <cell r="S35">
            <v>3.4780000000000526E-2</v>
          </cell>
          <cell r="T35"/>
          <cell r="U35"/>
          <cell r="V35">
            <v>3.4780000000000692E-2</v>
          </cell>
          <cell r="W35">
            <v>3.4780000000000873E-2</v>
          </cell>
          <cell r="X35">
            <v>3.4780000000000963E-2</v>
          </cell>
          <cell r="Y35">
            <v>3.4780000000000609E-2</v>
          </cell>
          <cell r="Z35">
            <v>3.4780000000000803E-2</v>
          </cell>
          <cell r="AA35">
            <v>3.4780000000000831E-2</v>
          </cell>
          <cell r="AB35">
            <v>3.4780000000000609E-2</v>
          </cell>
          <cell r="AC35">
            <v>3.4780000000000602E-2</v>
          </cell>
          <cell r="AD35">
            <v>3.4780000000000706E-2</v>
          </cell>
          <cell r="AE35">
            <v>3.4780000000000671E-2</v>
          </cell>
          <cell r="AF35">
            <v>3.4780000000000526E-2</v>
          </cell>
        </row>
        <row r="36">
          <cell r="G36">
            <v>215996.16303158086</v>
          </cell>
          <cell r="H36">
            <v>200581.4827789478</v>
          </cell>
          <cell r="I36">
            <v>228873.50315789692</v>
          </cell>
          <cell r="J36">
            <v>228873.50315789692</v>
          </cell>
          <cell r="K36">
            <v>237625.84328421019</v>
          </cell>
          <cell r="L36">
            <v>189794.1426526336</v>
          </cell>
          <cell r="M36">
            <v>221795.08050526492</v>
          </cell>
          <cell r="N36">
            <v>253472.23486315645</v>
          </cell>
          <cell r="O36">
            <v>203426.97760000173</v>
          </cell>
          <cell r="P36">
            <v>278055.33776842058</v>
          </cell>
          <cell r="Q36">
            <v>287239.38922105171</v>
          </cell>
          <cell r="R36">
            <v>268871.28631578758</v>
          </cell>
          <cell r="S36">
            <v>2814604.9443368539</v>
          </cell>
          <cell r="T36"/>
          <cell r="U36"/>
          <cell r="V36">
            <v>416577.64581052866</v>
          </cell>
          <cell r="W36">
            <v>645451.14896842558</v>
          </cell>
          <cell r="X36">
            <v>874324.6521263225</v>
          </cell>
          <cell r="Y36">
            <v>1111950.4954105318</v>
          </cell>
          <cell r="Z36">
            <v>1301744.6380631663</v>
          </cell>
          <cell r="AA36">
            <v>1523539.7185684312</v>
          </cell>
          <cell r="AB36">
            <v>1777011.9534315877</v>
          </cell>
          <cell r="AC36">
            <v>1980438.9310315885</v>
          </cell>
          <cell r="AD36">
            <v>2258494.2688000128</v>
          </cell>
          <cell r="AE36">
            <v>2545733.6580210663</v>
          </cell>
          <cell r="AF36">
            <v>2814604.9443368539</v>
          </cell>
        </row>
        <row r="37">
          <cell r="G37">
            <v>2.5567899664396886E-2</v>
          </cell>
          <cell r="H37">
            <v>2.5616400182397806E-2</v>
          </cell>
          <cell r="I37">
            <v>2.5631695479703408E-2</v>
          </cell>
          <cell r="J37">
            <v>2.5631695479703408E-2</v>
          </cell>
          <cell r="K37">
            <v>2.5590546711158412E-2</v>
          </cell>
          <cell r="L37">
            <v>2.5496856245671353E-2</v>
          </cell>
          <cell r="M37">
            <v>2.5539216127092347E-2</v>
          </cell>
          <cell r="N37">
            <v>2.5562339995078443E-2</v>
          </cell>
          <cell r="O37">
            <v>2.5598216365585874E-2</v>
          </cell>
          <cell r="P37">
            <v>2.5572029639450915E-2</v>
          </cell>
          <cell r="Q37">
            <v>2.55501001077518E-2</v>
          </cell>
          <cell r="R37">
            <v>2.5595498927791074E-2</v>
          </cell>
          <cell r="S37">
            <v>2.5579459274253303E-2</v>
          </cell>
          <cell r="T37"/>
          <cell r="U37"/>
          <cell r="V37">
            <v>2.5591229641248457E-2</v>
          </cell>
          <cell r="W37">
            <v>2.560556398098425E-2</v>
          </cell>
          <cell r="X37">
            <v>2.561239931971512E-2</v>
          </cell>
          <cell r="Y37">
            <v>2.5607726242479818E-2</v>
          </cell>
          <cell r="Z37">
            <v>2.5591501411792467E-2</v>
          </cell>
          <cell r="AA37">
            <v>2.5583876472476428E-2</v>
          </cell>
          <cell r="AB37">
            <v>2.5580802299724766E-2</v>
          </cell>
          <cell r="AC37">
            <v>2.5582589948017646E-2</v>
          </cell>
          <cell r="AD37">
            <v>2.5581289341030801E-2</v>
          </cell>
          <cell r="AE37">
            <v>2.5577766397035167E-2</v>
          </cell>
          <cell r="AF37">
            <v>2.5579459274253303E-2</v>
          </cell>
        </row>
      </sheetData>
      <sheetData sheetId="2">
        <row r="5">
          <cell r="E5"/>
        </row>
      </sheetData>
      <sheetData sheetId="3">
        <row r="5">
          <cell r="E5"/>
        </row>
      </sheetData>
      <sheetData sheetId="4"/>
      <sheetData sheetId="5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62176.27</v>
          </cell>
          <cell r="H6">
            <v>62176.27</v>
          </cell>
          <cell r="I6">
            <v>63213.82</v>
          </cell>
          <cell r="J6">
            <v>63213.82</v>
          </cell>
          <cell r="K6">
            <v>63213.82</v>
          </cell>
          <cell r="L6">
            <v>63213.82</v>
          </cell>
          <cell r="M6">
            <v>63213.82</v>
          </cell>
          <cell r="N6">
            <v>63213.82</v>
          </cell>
          <cell r="O6">
            <v>63213.82</v>
          </cell>
          <cell r="P6">
            <v>63213.82</v>
          </cell>
          <cell r="Q6">
            <v>63213.82</v>
          </cell>
          <cell r="R6">
            <v>63213.82</v>
          </cell>
          <cell r="S6">
            <v>756490.73999999987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14150.15</v>
          </cell>
          <cell r="H8">
            <v>14150.15</v>
          </cell>
          <cell r="I8">
            <v>14400.01</v>
          </cell>
          <cell r="J8">
            <v>14400.01</v>
          </cell>
          <cell r="K8">
            <v>14400.01</v>
          </cell>
          <cell r="L8">
            <v>14400.01</v>
          </cell>
          <cell r="M8">
            <v>14400.01</v>
          </cell>
          <cell r="N8">
            <v>14400.01</v>
          </cell>
          <cell r="O8">
            <v>14400.01</v>
          </cell>
          <cell r="P8">
            <v>14400.01</v>
          </cell>
          <cell r="Q8">
            <v>14400.01</v>
          </cell>
          <cell r="R8">
            <v>14400.01</v>
          </cell>
          <cell r="S8">
            <v>172300.4</v>
          </cell>
        </row>
        <row r="9">
          <cell r="G9">
            <v>5890.64</v>
          </cell>
          <cell r="H9">
            <v>5890.64</v>
          </cell>
          <cell r="I9">
            <v>5890.64</v>
          </cell>
          <cell r="J9">
            <v>5890.64</v>
          </cell>
          <cell r="K9">
            <v>5890.64</v>
          </cell>
          <cell r="L9">
            <v>5890.64</v>
          </cell>
          <cell r="M9">
            <v>5890.64</v>
          </cell>
          <cell r="N9">
            <v>5890.64</v>
          </cell>
          <cell r="O9">
            <v>5890.64</v>
          </cell>
          <cell r="P9">
            <v>5890.64</v>
          </cell>
          <cell r="Q9">
            <v>5890.64</v>
          </cell>
          <cell r="R9">
            <v>5890.64</v>
          </cell>
          <cell r="S9">
            <v>70687.680000000008</v>
          </cell>
        </row>
        <row r="10">
          <cell r="G10">
            <v>82217.06</v>
          </cell>
          <cell r="H10">
            <v>82217.06</v>
          </cell>
          <cell r="I10">
            <v>83504.47</v>
          </cell>
          <cell r="J10">
            <v>83504.47</v>
          </cell>
          <cell r="K10">
            <v>83504.47</v>
          </cell>
          <cell r="L10">
            <v>83504.47</v>
          </cell>
          <cell r="M10">
            <v>83504.47</v>
          </cell>
          <cell r="N10">
            <v>83504.47</v>
          </cell>
          <cell r="O10">
            <v>83504.47</v>
          </cell>
          <cell r="P10">
            <v>83504.47</v>
          </cell>
          <cell r="Q10">
            <v>83504.47</v>
          </cell>
          <cell r="R10">
            <v>83504.47</v>
          </cell>
          <cell r="S10">
            <v>999478.82</v>
          </cell>
        </row>
        <row r="11">
          <cell r="G11">
            <v>10419.07</v>
          </cell>
          <cell r="H11">
            <v>10573.68</v>
          </cell>
          <cell r="I11">
            <v>22317.5</v>
          </cell>
          <cell r="J11">
            <v>9355.98</v>
          </cell>
          <cell r="K11">
            <v>11929.98</v>
          </cell>
          <cell r="L11">
            <v>12182.96</v>
          </cell>
          <cell r="M11">
            <v>9355.98</v>
          </cell>
          <cell r="N11">
            <v>9355.98</v>
          </cell>
          <cell r="O11">
            <v>21937.200000000001</v>
          </cell>
          <cell r="P11">
            <v>10122.98</v>
          </cell>
          <cell r="Q11">
            <v>9355.98</v>
          </cell>
          <cell r="R11">
            <v>17682.96</v>
          </cell>
          <cell r="S11">
            <v>154590.24999999997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2250</v>
          </cell>
          <cell r="H13">
            <v>2250</v>
          </cell>
          <cell r="I13">
            <v>2250</v>
          </cell>
          <cell r="J13">
            <v>2250</v>
          </cell>
          <cell r="K13">
            <v>2250</v>
          </cell>
          <cell r="L13">
            <v>2250</v>
          </cell>
          <cell r="M13">
            <v>2250</v>
          </cell>
          <cell r="N13">
            <v>2250</v>
          </cell>
          <cell r="O13">
            <v>2250</v>
          </cell>
          <cell r="P13">
            <v>2250</v>
          </cell>
          <cell r="Q13">
            <v>2250</v>
          </cell>
          <cell r="R13">
            <v>2250</v>
          </cell>
          <cell r="S13">
            <v>27000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1690</v>
          </cell>
          <cell r="H15">
            <v>1690</v>
          </cell>
          <cell r="I15">
            <v>1690</v>
          </cell>
          <cell r="J15">
            <v>1690</v>
          </cell>
          <cell r="K15">
            <v>1690</v>
          </cell>
          <cell r="L15">
            <v>1690</v>
          </cell>
          <cell r="M15">
            <v>1690</v>
          </cell>
          <cell r="N15">
            <v>1690</v>
          </cell>
          <cell r="O15">
            <v>1690</v>
          </cell>
          <cell r="P15">
            <v>1690</v>
          </cell>
          <cell r="Q15">
            <v>1690</v>
          </cell>
          <cell r="R15">
            <v>1690</v>
          </cell>
          <cell r="S15">
            <v>20280</v>
          </cell>
        </row>
        <row r="16">
          <cell r="G16">
            <v>500</v>
          </cell>
          <cell r="H16">
            <v>500</v>
          </cell>
          <cell r="I16">
            <v>500</v>
          </cell>
          <cell r="J16">
            <v>500</v>
          </cell>
          <cell r="K16">
            <v>500</v>
          </cell>
          <cell r="L16">
            <v>500</v>
          </cell>
          <cell r="M16">
            <v>500</v>
          </cell>
          <cell r="N16">
            <v>500</v>
          </cell>
          <cell r="O16">
            <v>500</v>
          </cell>
          <cell r="P16">
            <v>500</v>
          </cell>
          <cell r="Q16">
            <v>500</v>
          </cell>
          <cell r="R16">
            <v>500</v>
          </cell>
          <cell r="S16">
            <v>6000</v>
          </cell>
        </row>
        <row r="17">
          <cell r="G17">
            <v>404</v>
          </cell>
          <cell r="H17">
            <v>404</v>
          </cell>
          <cell r="I17">
            <v>404</v>
          </cell>
          <cell r="J17">
            <v>404</v>
          </cell>
          <cell r="K17">
            <v>404</v>
          </cell>
          <cell r="L17">
            <v>404</v>
          </cell>
          <cell r="M17">
            <v>404</v>
          </cell>
          <cell r="N17">
            <v>404</v>
          </cell>
          <cell r="O17">
            <v>404</v>
          </cell>
          <cell r="P17">
            <v>404</v>
          </cell>
          <cell r="Q17">
            <v>404</v>
          </cell>
          <cell r="R17">
            <v>404</v>
          </cell>
          <cell r="S17">
            <v>4848</v>
          </cell>
        </row>
        <row r="18">
          <cell r="G18">
            <v>3087.45</v>
          </cell>
          <cell r="H18">
            <v>3087.45</v>
          </cell>
          <cell r="I18">
            <v>3121.51</v>
          </cell>
          <cell r="J18">
            <v>3121.51</v>
          </cell>
          <cell r="K18">
            <v>3121.51</v>
          </cell>
          <cell r="L18">
            <v>3121.51</v>
          </cell>
          <cell r="M18">
            <v>3121.51</v>
          </cell>
          <cell r="N18">
            <v>3121.51</v>
          </cell>
          <cell r="O18">
            <v>3121.51</v>
          </cell>
          <cell r="P18">
            <v>3121.51</v>
          </cell>
          <cell r="Q18">
            <v>3121.51</v>
          </cell>
          <cell r="R18">
            <v>3121.51</v>
          </cell>
          <cell r="S18">
            <v>37390.000000000015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1000</v>
          </cell>
          <cell r="H20">
            <v>1000</v>
          </cell>
          <cell r="I20">
            <v>1000</v>
          </cell>
          <cell r="J20">
            <v>1000</v>
          </cell>
          <cell r="K20">
            <v>1000</v>
          </cell>
          <cell r="L20">
            <v>1000</v>
          </cell>
          <cell r="M20">
            <v>1000</v>
          </cell>
          <cell r="N20">
            <v>1000</v>
          </cell>
          <cell r="O20">
            <v>1000</v>
          </cell>
          <cell r="P20">
            <v>1000</v>
          </cell>
          <cell r="Q20">
            <v>1000</v>
          </cell>
          <cell r="R20">
            <v>1000</v>
          </cell>
          <cell r="S20">
            <v>12000</v>
          </cell>
        </row>
        <row r="21">
          <cell r="G21">
            <v>640</v>
          </cell>
          <cell r="H21">
            <v>640</v>
          </cell>
          <cell r="I21">
            <v>640</v>
          </cell>
          <cell r="J21">
            <v>640</v>
          </cell>
          <cell r="K21">
            <v>640</v>
          </cell>
          <cell r="L21">
            <v>640</v>
          </cell>
          <cell r="M21">
            <v>640</v>
          </cell>
          <cell r="N21">
            <v>640</v>
          </cell>
          <cell r="O21">
            <v>640</v>
          </cell>
          <cell r="P21">
            <v>640</v>
          </cell>
          <cell r="Q21">
            <v>640</v>
          </cell>
          <cell r="R21">
            <v>640</v>
          </cell>
          <cell r="S21">
            <v>7680</v>
          </cell>
        </row>
        <row r="22">
          <cell r="G22">
            <v>6370</v>
          </cell>
          <cell r="H22">
            <v>6370</v>
          </cell>
          <cell r="I22">
            <v>6370</v>
          </cell>
          <cell r="J22">
            <v>6370</v>
          </cell>
          <cell r="K22">
            <v>6370</v>
          </cell>
          <cell r="L22">
            <v>6370</v>
          </cell>
          <cell r="M22">
            <v>6370</v>
          </cell>
          <cell r="N22">
            <v>6370</v>
          </cell>
          <cell r="O22">
            <v>6370</v>
          </cell>
          <cell r="P22">
            <v>6370</v>
          </cell>
          <cell r="Q22">
            <v>6370</v>
          </cell>
          <cell r="R22">
            <v>6370</v>
          </cell>
          <cell r="S22">
            <v>76440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260</v>
          </cell>
          <cell r="H28">
            <v>260</v>
          </cell>
          <cell r="I28">
            <v>260</v>
          </cell>
          <cell r="J28">
            <v>260</v>
          </cell>
          <cell r="K28">
            <v>260</v>
          </cell>
          <cell r="L28">
            <v>260</v>
          </cell>
          <cell r="M28">
            <v>260</v>
          </cell>
          <cell r="N28">
            <v>260</v>
          </cell>
          <cell r="O28">
            <v>710</v>
          </cell>
          <cell r="P28">
            <v>260</v>
          </cell>
          <cell r="Q28">
            <v>260</v>
          </cell>
          <cell r="R28">
            <v>260</v>
          </cell>
          <cell r="S28">
            <v>3570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34120.520000000004</v>
          </cell>
          <cell r="H34">
            <v>42275.130000000005</v>
          </cell>
          <cell r="I34">
            <v>46053.01</v>
          </cell>
          <cell r="J34">
            <v>33091.49</v>
          </cell>
          <cell r="K34">
            <v>35665.49</v>
          </cell>
          <cell r="L34">
            <v>35918.47</v>
          </cell>
          <cell r="M34">
            <v>33091.49</v>
          </cell>
          <cell r="N34">
            <v>33091.49</v>
          </cell>
          <cell r="O34">
            <v>54122.71</v>
          </cell>
          <cell r="P34">
            <v>33858.49</v>
          </cell>
          <cell r="Q34">
            <v>33091.49</v>
          </cell>
          <cell r="R34">
            <v>41418.47</v>
          </cell>
          <cell r="S34">
            <v>455798.25</v>
          </cell>
        </row>
        <row r="35">
          <cell r="G35">
            <v>116337.58</v>
          </cell>
          <cell r="H35">
            <v>124492.19</v>
          </cell>
          <cell r="I35">
            <v>129557.48000000001</v>
          </cell>
          <cell r="J35">
            <v>116595.95999999999</v>
          </cell>
          <cell r="K35">
            <v>119169.95999999999</v>
          </cell>
          <cell r="L35">
            <v>119422.94</v>
          </cell>
          <cell r="M35">
            <v>116595.95999999999</v>
          </cell>
          <cell r="N35">
            <v>116595.95999999999</v>
          </cell>
          <cell r="O35">
            <v>137627.18</v>
          </cell>
          <cell r="P35">
            <v>117362.95999999999</v>
          </cell>
          <cell r="Q35">
            <v>116595.95999999999</v>
          </cell>
          <cell r="R35">
            <v>124922.94</v>
          </cell>
          <cell r="S35">
            <v>1455277.0699999998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4908.0999999999995</v>
          </cell>
          <cell r="H37">
            <v>4908.0999999999995</v>
          </cell>
          <cell r="I37">
            <v>4908.0999999999995</v>
          </cell>
          <cell r="J37">
            <v>4908.0999999999995</v>
          </cell>
          <cell r="K37">
            <v>4908.0999999999995</v>
          </cell>
          <cell r="L37">
            <v>4908.0999999999995</v>
          </cell>
          <cell r="M37">
            <v>4908.0999999999995</v>
          </cell>
          <cell r="N37">
            <v>4908.0999999999995</v>
          </cell>
          <cell r="O37">
            <v>4908.0999999999995</v>
          </cell>
          <cell r="P37">
            <v>4908.0999999999995</v>
          </cell>
          <cell r="Q37">
            <v>4908.0999999999995</v>
          </cell>
          <cell r="R37">
            <v>4908.0999999999995</v>
          </cell>
          <cell r="S37">
            <v>58897.19999999999</v>
          </cell>
        </row>
        <row r="38">
          <cell r="G38">
            <v>121245.68000000001</v>
          </cell>
          <cell r="H38">
            <v>129400.29000000001</v>
          </cell>
          <cell r="I38">
            <v>134465.58000000002</v>
          </cell>
          <cell r="J38">
            <v>121504.06</v>
          </cell>
          <cell r="K38">
            <v>124078.06</v>
          </cell>
          <cell r="L38">
            <v>124331.04000000001</v>
          </cell>
          <cell r="M38">
            <v>121504.06</v>
          </cell>
          <cell r="N38">
            <v>121504.06</v>
          </cell>
          <cell r="O38">
            <v>142535.28</v>
          </cell>
          <cell r="P38">
            <v>122271.06</v>
          </cell>
          <cell r="Q38">
            <v>121504.06</v>
          </cell>
          <cell r="R38">
            <v>129831.04000000001</v>
          </cell>
          <cell r="S38">
            <v>1514174.2699999998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제조4_원본"/>
      <sheetName val="제조6_원본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</row>
        <row r="7">
          <cell r="G7">
            <v>11456.2</v>
          </cell>
          <cell r="H7">
            <v>10301.799999999999</v>
          </cell>
          <cell r="I7">
            <v>0</v>
          </cell>
          <cell r="J7">
            <v>0</v>
          </cell>
          <cell r="K7">
            <v>16581.599999999999</v>
          </cell>
          <cell r="L7">
            <v>15916.6</v>
          </cell>
          <cell r="M7">
            <v>16335.6</v>
          </cell>
          <cell r="N7">
            <v>16282.333333333332</v>
          </cell>
          <cell r="O7">
            <v>12472.133333333333</v>
          </cell>
          <cell r="P7">
            <v>16598.866666666665</v>
          </cell>
          <cell r="Q7">
            <v>16653.733333333334</v>
          </cell>
          <cell r="R7">
            <v>16515.466666666667</v>
          </cell>
          <cell r="S7">
            <v>149114.33333333334</v>
          </cell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19881.599999999999</v>
          </cell>
          <cell r="L8">
            <v>19216.599999999999</v>
          </cell>
          <cell r="M8">
            <v>19635.599999999999</v>
          </cell>
          <cell r="N8">
            <v>19582.333333333332</v>
          </cell>
          <cell r="O8">
            <v>15772.133333333333</v>
          </cell>
          <cell r="P8">
            <v>19898.866666666665</v>
          </cell>
          <cell r="Q8">
            <v>19953.733333333334</v>
          </cell>
          <cell r="R8">
            <v>19815.466666666667</v>
          </cell>
          <cell r="S8">
            <v>175514.33333333331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7000</v>
          </cell>
          <cell r="L9">
            <v>7000</v>
          </cell>
          <cell r="M9">
            <v>7000</v>
          </cell>
          <cell r="N9">
            <v>7000</v>
          </cell>
          <cell r="O9">
            <v>7000</v>
          </cell>
          <cell r="P9">
            <v>7000</v>
          </cell>
          <cell r="Q9">
            <v>7000</v>
          </cell>
          <cell r="R9">
            <v>6311</v>
          </cell>
          <cell r="S9">
            <v>55311</v>
          </cell>
          <cell r="U9"/>
        </row>
        <row r="10">
          <cell r="G10">
            <v>915.60000000000014</v>
          </cell>
          <cell r="H10">
            <v>836</v>
          </cell>
          <cell r="I10">
            <v>0</v>
          </cell>
          <cell r="J10">
            <v>0</v>
          </cell>
          <cell r="K10">
            <v>2344.4292266666662</v>
          </cell>
          <cell r="L10">
            <v>2021.0734933333333</v>
          </cell>
          <cell r="M10">
            <v>1975.5641599999999</v>
          </cell>
          <cell r="N10">
            <v>1994.6633333333334</v>
          </cell>
          <cell r="O10">
            <v>1897.4966666666667</v>
          </cell>
          <cell r="P10">
            <v>2454.0966666666664</v>
          </cell>
          <cell r="Q10">
            <v>2421.83</v>
          </cell>
          <cell r="R10">
            <v>2313.2966666666671</v>
          </cell>
          <cell r="S10">
            <v>19174.050213333336</v>
          </cell>
          <cell r="U10"/>
        </row>
        <row r="11">
          <cell r="G11">
            <v>915.60000000000014</v>
          </cell>
          <cell r="H11">
            <v>836</v>
          </cell>
          <cell r="I11">
            <v>0</v>
          </cell>
          <cell r="J11">
            <v>0</v>
          </cell>
          <cell r="K11">
            <v>9344.4292266666671</v>
          </cell>
          <cell r="L11">
            <v>9021.0734933333333</v>
          </cell>
          <cell r="M11">
            <v>8975.5641599999999</v>
          </cell>
          <cell r="N11">
            <v>8994.6633333333339</v>
          </cell>
          <cell r="O11">
            <v>8897.496666666666</v>
          </cell>
          <cell r="P11">
            <v>9454.0966666666664</v>
          </cell>
          <cell r="Q11">
            <v>9421.83</v>
          </cell>
          <cell r="R11">
            <v>8624.2966666666671</v>
          </cell>
          <cell r="S11">
            <v>74485.050213333321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22000</v>
          </cell>
          <cell r="L12">
            <v>22000</v>
          </cell>
          <cell r="M12">
            <v>22000</v>
          </cell>
          <cell r="N12">
            <v>22000</v>
          </cell>
          <cell r="O12">
            <v>22000</v>
          </cell>
          <cell r="P12">
            <v>22000</v>
          </cell>
          <cell r="Q12">
            <v>22000</v>
          </cell>
          <cell r="R12">
            <v>22000</v>
          </cell>
          <cell r="S12">
            <v>176000</v>
          </cell>
          <cell r="U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>
            <v>0</v>
          </cell>
          <cell r="U13"/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22000</v>
          </cell>
          <cell r="L14">
            <v>22000</v>
          </cell>
          <cell r="M14">
            <v>22000</v>
          </cell>
          <cell r="N14">
            <v>22000</v>
          </cell>
          <cell r="O14">
            <v>22000</v>
          </cell>
          <cell r="P14">
            <v>22000</v>
          </cell>
          <cell r="Q14">
            <v>22000</v>
          </cell>
          <cell r="R14">
            <v>22000</v>
          </cell>
          <cell r="S14">
            <v>176000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32300</v>
          </cell>
          <cell r="L15">
            <v>32300</v>
          </cell>
          <cell r="M15">
            <v>32300</v>
          </cell>
          <cell r="N15">
            <v>32300</v>
          </cell>
          <cell r="O15">
            <v>32300</v>
          </cell>
          <cell r="P15">
            <v>32300</v>
          </cell>
          <cell r="Q15">
            <v>32300</v>
          </cell>
          <cell r="R15">
            <v>31611</v>
          </cell>
          <cell r="S15">
            <v>257711</v>
          </cell>
        </row>
        <row r="16">
          <cell r="G16">
            <v>12371.800000000001</v>
          </cell>
          <cell r="H16">
            <v>11137.8</v>
          </cell>
          <cell r="I16">
            <v>0</v>
          </cell>
          <cell r="J16">
            <v>0</v>
          </cell>
          <cell r="K16">
            <v>18926.029226666666</v>
          </cell>
          <cell r="L16">
            <v>17937.673493333336</v>
          </cell>
          <cell r="M16">
            <v>18311.16416</v>
          </cell>
          <cell r="N16">
            <v>18276.996666666666</v>
          </cell>
          <cell r="O16">
            <v>14369.63</v>
          </cell>
          <cell r="P16">
            <v>19052.963333333333</v>
          </cell>
          <cell r="Q16">
            <v>19075.563333333332</v>
          </cell>
          <cell r="R16">
            <v>18828.763333333336</v>
          </cell>
          <cell r="S16">
            <v>168288.38354666668</v>
          </cell>
        </row>
        <row r="17">
          <cell r="G17">
            <v>12371.800000000001</v>
          </cell>
          <cell r="H17">
            <v>11137.8</v>
          </cell>
          <cell r="I17">
            <v>0</v>
          </cell>
          <cell r="J17">
            <v>0</v>
          </cell>
          <cell r="K17">
            <v>51226.029226666666</v>
          </cell>
          <cell r="L17">
            <v>50237.673493333336</v>
          </cell>
          <cell r="M17">
            <v>50611.16416</v>
          </cell>
          <cell r="N17">
            <v>50576.996666666666</v>
          </cell>
          <cell r="O17">
            <v>46669.63</v>
          </cell>
          <cell r="P17">
            <v>51352.963333333333</v>
          </cell>
          <cell r="Q17">
            <v>51375.563333333332</v>
          </cell>
          <cell r="R17">
            <v>50439.763333333336</v>
          </cell>
          <cell r="S17">
            <v>425999.38354666671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37950</v>
          </cell>
          <cell r="L18">
            <v>37950</v>
          </cell>
          <cell r="M18">
            <v>37950</v>
          </cell>
          <cell r="N18">
            <v>37950</v>
          </cell>
          <cell r="O18">
            <v>37950</v>
          </cell>
          <cell r="P18">
            <v>37950</v>
          </cell>
          <cell r="Q18">
            <v>37950</v>
          </cell>
          <cell r="R18">
            <v>37950</v>
          </cell>
          <cell r="S18">
            <v>303600</v>
          </cell>
          <cell r="U18"/>
        </row>
        <row r="19">
          <cell r="G19">
            <v>183299.20000000001</v>
          </cell>
          <cell r="H19">
            <v>164828.79999999999</v>
          </cell>
          <cell r="I19">
            <v>0</v>
          </cell>
          <cell r="J19">
            <v>0</v>
          </cell>
          <cell r="K19">
            <v>251304</v>
          </cell>
          <cell r="L19">
            <v>241006</v>
          </cell>
          <cell r="M19">
            <v>248708.80000000002</v>
          </cell>
          <cell r="N19">
            <v>248207.33333333331</v>
          </cell>
          <cell r="O19">
            <v>186904.53333333333</v>
          </cell>
          <cell r="P19">
            <v>251258.26666666666</v>
          </cell>
          <cell r="Q19">
            <v>251806.93333333335</v>
          </cell>
          <cell r="R19">
            <v>249935.46666666667</v>
          </cell>
          <cell r="S19">
            <v>2277259.333333333</v>
          </cell>
          <cell r="U19"/>
        </row>
        <row r="20">
          <cell r="G20">
            <v>183299.20000000001</v>
          </cell>
          <cell r="H20">
            <v>164828.79999999999</v>
          </cell>
          <cell r="I20">
            <v>0</v>
          </cell>
          <cell r="J20">
            <v>0</v>
          </cell>
          <cell r="K20">
            <v>289254</v>
          </cell>
          <cell r="L20">
            <v>278956</v>
          </cell>
          <cell r="M20">
            <v>286658.80000000005</v>
          </cell>
          <cell r="N20">
            <v>286157.33333333331</v>
          </cell>
          <cell r="O20">
            <v>224854.53333333333</v>
          </cell>
          <cell r="P20">
            <v>289208.26666666666</v>
          </cell>
          <cell r="Q20">
            <v>289756.93333333335</v>
          </cell>
          <cell r="R20">
            <v>287885.46666666667</v>
          </cell>
          <cell r="S20">
            <v>2580859.333333333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105000</v>
          </cell>
          <cell r="L21">
            <v>105000</v>
          </cell>
          <cell r="M21">
            <v>105000</v>
          </cell>
          <cell r="N21">
            <v>105000</v>
          </cell>
          <cell r="O21">
            <v>105000</v>
          </cell>
          <cell r="P21">
            <v>105000</v>
          </cell>
          <cell r="Q21">
            <v>105000</v>
          </cell>
          <cell r="R21">
            <v>94665</v>
          </cell>
          <cell r="S21">
            <v>829665</v>
          </cell>
          <cell r="U21"/>
        </row>
        <row r="22">
          <cell r="G22">
            <v>9613.8000000000011</v>
          </cell>
          <cell r="H22">
            <v>8778</v>
          </cell>
          <cell r="I22">
            <v>0</v>
          </cell>
          <cell r="J22">
            <v>0</v>
          </cell>
          <cell r="K22">
            <v>43671.905066666659</v>
          </cell>
          <cell r="L22">
            <v>37292.76906666666</v>
          </cell>
          <cell r="M22">
            <v>36864.929066666664</v>
          </cell>
          <cell r="N22">
            <v>37151.416666666664</v>
          </cell>
          <cell r="O22">
            <v>33773.583333333336</v>
          </cell>
          <cell r="P22">
            <v>45341.183333333334</v>
          </cell>
          <cell r="Q22">
            <v>44857.183333333334</v>
          </cell>
          <cell r="R22">
            <v>42695.316666666673</v>
          </cell>
          <cell r="S22">
            <v>340040.08653333335</v>
          </cell>
          <cell r="U22"/>
        </row>
        <row r="23">
          <cell r="G23">
            <v>9613.8000000000011</v>
          </cell>
          <cell r="H23">
            <v>8778</v>
          </cell>
          <cell r="I23">
            <v>0</v>
          </cell>
          <cell r="J23">
            <v>0</v>
          </cell>
          <cell r="K23">
            <v>148671.90506666666</v>
          </cell>
          <cell r="L23">
            <v>142292.76906666666</v>
          </cell>
          <cell r="M23">
            <v>141864.92906666666</v>
          </cell>
          <cell r="N23">
            <v>142151.41666666666</v>
          </cell>
          <cell r="O23">
            <v>138773.58333333334</v>
          </cell>
          <cell r="P23">
            <v>150341.18333333335</v>
          </cell>
          <cell r="Q23">
            <v>149857.18333333335</v>
          </cell>
          <cell r="R23">
            <v>137360.31666666668</v>
          </cell>
          <cell r="S23">
            <v>1169705.0865333334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198000</v>
          </cell>
          <cell r="L24">
            <v>198000</v>
          </cell>
          <cell r="M24">
            <v>198000</v>
          </cell>
          <cell r="N24">
            <v>198000</v>
          </cell>
          <cell r="O24">
            <v>198000</v>
          </cell>
          <cell r="P24">
            <v>198000</v>
          </cell>
          <cell r="Q24">
            <v>198000</v>
          </cell>
          <cell r="R24">
            <v>198000</v>
          </cell>
          <cell r="S24">
            <v>1584000</v>
          </cell>
          <cell r="U24"/>
        </row>
        <row r="25"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>
            <v>0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198000</v>
          </cell>
          <cell r="L26">
            <v>198000</v>
          </cell>
          <cell r="M26">
            <v>198000</v>
          </cell>
          <cell r="N26">
            <v>198000</v>
          </cell>
          <cell r="O26">
            <v>198000</v>
          </cell>
          <cell r="P26">
            <v>198000</v>
          </cell>
          <cell r="Q26">
            <v>198000</v>
          </cell>
          <cell r="R26">
            <v>198000</v>
          </cell>
          <cell r="S26">
            <v>1584000</v>
          </cell>
          <cell r="U26"/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340950</v>
          </cell>
          <cell r="L27">
            <v>340950</v>
          </cell>
          <cell r="M27">
            <v>340950</v>
          </cell>
          <cell r="N27">
            <v>340950</v>
          </cell>
          <cell r="O27">
            <v>340950</v>
          </cell>
          <cell r="P27">
            <v>340950</v>
          </cell>
          <cell r="Q27">
            <v>340950</v>
          </cell>
          <cell r="R27">
            <v>330615</v>
          </cell>
          <cell r="S27">
            <v>2717265</v>
          </cell>
        </row>
        <row r="28">
          <cell r="G28">
            <v>192913</v>
          </cell>
          <cell r="H28">
            <v>173606.8</v>
          </cell>
          <cell r="I28">
            <v>0</v>
          </cell>
          <cell r="J28">
            <v>0</v>
          </cell>
          <cell r="K28">
            <v>294975.90506666666</v>
          </cell>
          <cell r="L28">
            <v>278298.76906666666</v>
          </cell>
          <cell r="M28">
            <v>285573.72906666668</v>
          </cell>
          <cell r="N28">
            <v>285358.75</v>
          </cell>
          <cell r="O28">
            <v>220678.11666666667</v>
          </cell>
          <cell r="P28">
            <v>296599.45</v>
          </cell>
          <cell r="Q28">
            <v>296664.1166666667</v>
          </cell>
          <cell r="R28">
            <v>292630.78333333333</v>
          </cell>
          <cell r="S28">
            <v>2617299.4198666667</v>
          </cell>
          <cell r="U28">
            <v>814305.97734126251</v>
          </cell>
        </row>
        <row r="29">
          <cell r="G29">
            <v>192913</v>
          </cell>
          <cell r="H29">
            <v>173606.8</v>
          </cell>
          <cell r="I29">
            <v>0</v>
          </cell>
          <cell r="J29">
            <v>0</v>
          </cell>
          <cell r="K29">
            <v>635925.90506666666</v>
          </cell>
          <cell r="L29">
            <v>619248.76906666672</v>
          </cell>
          <cell r="M29">
            <v>626523.72906666668</v>
          </cell>
          <cell r="N29">
            <v>626308.75</v>
          </cell>
          <cell r="O29">
            <v>561628.1166666667</v>
          </cell>
          <cell r="P29">
            <v>637549.44999999995</v>
          </cell>
          <cell r="Q29">
            <v>637614.1166666667</v>
          </cell>
          <cell r="R29">
            <v>623245.78333333333</v>
          </cell>
          <cell r="S29">
            <v>5334564.4198666662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33679.403189772958</v>
          </cell>
          <cell r="L30">
            <v>32212.10621767243</v>
          </cell>
          <cell r="M30">
            <v>36788.620455554446</v>
          </cell>
          <cell r="N30">
            <v>31237.513971272445</v>
          </cell>
          <cell r="O30">
            <v>36652.559748170279</v>
          </cell>
          <cell r="P30">
            <v>31401.992510785971</v>
          </cell>
          <cell r="Q30">
            <v>34972.707128142429</v>
          </cell>
          <cell r="R30">
            <v>33343.426670849432</v>
          </cell>
          <cell r="S30">
            <v>270288.32989222038</v>
          </cell>
          <cell r="U30"/>
        </row>
        <row r="31">
          <cell r="G31">
            <v>102483.09749801969</v>
          </cell>
          <cell r="H31">
            <v>72595.243094506994</v>
          </cell>
          <cell r="I31">
            <v>0</v>
          </cell>
          <cell r="J31">
            <v>0</v>
          </cell>
          <cell r="K31">
            <v>169229.81573683006</v>
          </cell>
          <cell r="L31">
            <v>155365.82115885001</v>
          </cell>
          <cell r="M31">
            <v>182110.36009507734</v>
          </cell>
          <cell r="N31">
            <v>154127.15605603484</v>
          </cell>
          <cell r="O31">
            <v>138525.94308701399</v>
          </cell>
          <cell r="P31">
            <v>157950.75356187925</v>
          </cell>
          <cell r="Q31">
            <v>176492.76922934849</v>
          </cell>
          <cell r="R31">
            <v>166873.40961662368</v>
          </cell>
          <cell r="S31">
            <v>1475754.3691341844</v>
          </cell>
          <cell r="U31"/>
        </row>
        <row r="32">
          <cell r="G32">
            <v>102483.09749801969</v>
          </cell>
          <cell r="H32">
            <v>72595.243094506994</v>
          </cell>
          <cell r="I32">
            <v>0</v>
          </cell>
          <cell r="J32">
            <v>0</v>
          </cell>
          <cell r="K32">
            <v>202909.21892660303</v>
          </cell>
          <cell r="L32">
            <v>187577.92737652245</v>
          </cell>
          <cell r="M32">
            <v>218898.98055063179</v>
          </cell>
          <cell r="N32">
            <v>185364.67002730729</v>
          </cell>
          <cell r="O32">
            <v>175178.50283518428</v>
          </cell>
          <cell r="P32">
            <v>189352.74607266521</v>
          </cell>
          <cell r="Q32">
            <v>211465.47635749093</v>
          </cell>
          <cell r="R32">
            <v>200216.83628747312</v>
          </cell>
          <cell r="S32">
            <v>1746042.6990264049</v>
          </cell>
          <cell r="U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71441.158281336582</v>
          </cell>
          <cell r="L33">
            <v>68328.710158699061</v>
          </cell>
          <cell r="M33">
            <v>78036.467632994274</v>
          </cell>
          <cell r="N33">
            <v>66261.393272396104</v>
          </cell>
          <cell r="O33">
            <v>77747.854011270305</v>
          </cell>
          <cell r="P33">
            <v>66610.287144091446</v>
          </cell>
          <cell r="Q33">
            <v>74184.530271817261</v>
          </cell>
          <cell r="R33">
            <v>63766.77749082751</v>
          </cell>
          <cell r="S33">
            <v>566377.17826343246</v>
          </cell>
          <cell r="U33"/>
        </row>
        <row r="34">
          <cell r="G34">
            <v>8190.6325019803116</v>
          </cell>
          <cell r="H34">
            <v>5891.1669054930062</v>
          </cell>
          <cell r="I34">
            <v>0</v>
          </cell>
          <cell r="J34">
            <v>0</v>
          </cell>
          <cell r="K34">
            <v>23926.96278024069</v>
          </cell>
          <cell r="L34">
            <v>19728.192133628967</v>
          </cell>
          <cell r="M34">
            <v>22023.721232677646</v>
          </cell>
          <cell r="N34">
            <v>18881.310225146928</v>
          </cell>
          <cell r="O34">
            <v>21075.18483241029</v>
          </cell>
          <cell r="P34">
            <v>23352.583378003481</v>
          </cell>
          <cell r="Q34">
            <v>25666.045849742175</v>
          </cell>
          <cell r="R34">
            <v>23373.708416036498</v>
          </cell>
          <cell r="S34">
            <v>192109.50825535998</v>
          </cell>
          <cell r="U34"/>
        </row>
        <row r="35">
          <cell r="G35">
            <v>8190.6325019803116</v>
          </cell>
          <cell r="H35">
            <v>5891.1669054930062</v>
          </cell>
          <cell r="I35">
            <v>0</v>
          </cell>
          <cell r="J35">
            <v>0</v>
          </cell>
          <cell r="K35">
            <v>95368.121061577272</v>
          </cell>
          <cell r="L35">
            <v>88056.902292328028</v>
          </cell>
          <cell r="M35">
            <v>100060.18886567192</v>
          </cell>
          <cell r="N35">
            <v>85142.703497543029</v>
          </cell>
          <cell r="O35">
            <v>98823.038843680595</v>
          </cell>
          <cell r="P35">
            <v>89962.87052209492</v>
          </cell>
          <cell r="Q35">
            <v>99850.576121559439</v>
          </cell>
          <cell r="R35">
            <v>87140.485906864007</v>
          </cell>
          <cell r="S35">
            <v>758486.68651879265</v>
          </cell>
          <cell r="U35"/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156329.35459848633</v>
          </cell>
          <cell r="L36">
            <v>146547.37478448282</v>
          </cell>
          <cell r="M36">
            <v>177057.46970369629</v>
          </cell>
          <cell r="N36">
            <v>140050.09314181635</v>
          </cell>
          <cell r="O36">
            <v>176150.39832113523</v>
          </cell>
          <cell r="P36">
            <v>141146.61673857315</v>
          </cell>
          <cell r="Q36">
            <v>164951.38085428294</v>
          </cell>
          <cell r="R36">
            <v>154089.5111389962</v>
          </cell>
          <cell r="S36">
            <v>1256322.1992814692</v>
          </cell>
          <cell r="U36"/>
        </row>
        <row r="37"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>
            <v>0</v>
          </cell>
          <cell r="U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156329.35459848633</v>
          </cell>
          <cell r="L38">
            <v>146547.37478448282</v>
          </cell>
          <cell r="M38">
            <v>177057.46970369629</v>
          </cell>
          <cell r="N38">
            <v>140050.09314181635</v>
          </cell>
          <cell r="O38">
            <v>176150.39832113523</v>
          </cell>
          <cell r="P38">
            <v>141146.61673857315</v>
          </cell>
          <cell r="Q38">
            <v>164951.38085428294</v>
          </cell>
          <cell r="R38">
            <v>154089.5111389962</v>
          </cell>
          <cell r="S38">
            <v>1256322.1992814692</v>
          </cell>
          <cell r="U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261449.91606959587</v>
          </cell>
          <cell r="L39">
            <v>247088.1911608543</v>
          </cell>
          <cell r="M39">
            <v>291882.557792245</v>
          </cell>
          <cell r="N39">
            <v>237549.00038548489</v>
          </cell>
          <cell r="O39">
            <v>290550.81208057585</v>
          </cell>
          <cell r="P39">
            <v>239158.89639345056</v>
          </cell>
          <cell r="Q39">
            <v>274108.61825424264</v>
          </cell>
          <cell r="R39">
            <v>251199.71530067315</v>
          </cell>
          <cell r="S39">
            <v>2092987.7074371225</v>
          </cell>
          <cell r="U39"/>
        </row>
        <row r="40">
          <cell r="G40">
            <v>110673.73000000001</v>
          </cell>
          <cell r="H40">
            <v>78486.41</v>
          </cell>
          <cell r="I40">
            <v>0</v>
          </cell>
          <cell r="J40">
            <v>0</v>
          </cell>
          <cell r="K40">
            <v>193156.77851707075</v>
          </cell>
          <cell r="L40">
            <v>175094.01329247898</v>
          </cell>
          <cell r="M40">
            <v>204134.08132775498</v>
          </cell>
          <cell r="N40">
            <v>173008.46628118178</v>
          </cell>
          <cell r="O40">
            <v>159601.12791942427</v>
          </cell>
          <cell r="P40">
            <v>181303.33693988272</v>
          </cell>
          <cell r="Q40">
            <v>202158.81507909065</v>
          </cell>
          <cell r="R40">
            <v>190247.11803266019</v>
          </cell>
          <cell r="S40">
            <v>1667863.8773895442</v>
          </cell>
          <cell r="U40"/>
        </row>
        <row r="41">
          <cell r="G41">
            <v>110673.73000000001</v>
          </cell>
          <cell r="H41">
            <v>78486.41</v>
          </cell>
          <cell r="I41">
            <v>0</v>
          </cell>
          <cell r="J41">
            <v>0</v>
          </cell>
          <cell r="K41">
            <v>454606.69458666665</v>
          </cell>
          <cell r="L41">
            <v>422182.20445333328</v>
          </cell>
          <cell r="M41">
            <v>496016.63911999995</v>
          </cell>
          <cell r="N41">
            <v>410557.46666666667</v>
          </cell>
          <cell r="O41">
            <v>450151.94000000012</v>
          </cell>
          <cell r="P41">
            <v>420462.23333333328</v>
          </cell>
          <cell r="Q41">
            <v>476267.43333333329</v>
          </cell>
          <cell r="R41">
            <v>441446.83333333337</v>
          </cell>
          <cell r="S41">
            <v>3760851.5848266664</v>
          </cell>
          <cell r="U41"/>
        </row>
        <row r="42">
          <cell r="G42">
            <v>0</v>
          </cell>
          <cell r="H42">
            <v>0</v>
          </cell>
          <cell r="I42">
            <v>38227.43</v>
          </cell>
          <cell r="J42">
            <v>38227.43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76454.86</v>
          </cell>
          <cell r="U42"/>
        </row>
        <row r="43">
          <cell r="G43">
            <v>0</v>
          </cell>
          <cell r="H43">
            <v>0</v>
          </cell>
          <cell r="I43">
            <v>41897.1</v>
          </cell>
          <cell r="J43">
            <v>44590.06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86487.16</v>
          </cell>
          <cell r="U43"/>
        </row>
        <row r="44">
          <cell r="G44">
            <v>0</v>
          </cell>
          <cell r="H44">
            <v>0</v>
          </cell>
          <cell r="I44">
            <v>80124.53</v>
          </cell>
          <cell r="J44">
            <v>82817.489999999991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162942.01999999999</v>
          </cell>
          <cell r="T44">
            <v>1410770.8150399998</v>
          </cell>
          <cell r="U44"/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4270.5968102270417</v>
          </cell>
          <cell r="L45">
            <v>5737.8937823275701</v>
          </cell>
          <cell r="M45">
            <v>1161.3795444455536</v>
          </cell>
          <cell r="N45">
            <v>6712.4860287275551</v>
          </cell>
          <cell r="O45">
            <v>1297.4402518297211</v>
          </cell>
          <cell r="P45">
            <v>6548.0074892140292</v>
          </cell>
          <cell r="Q45">
            <v>2977.2928718575713</v>
          </cell>
          <cell r="R45">
            <v>4606.5733291505676</v>
          </cell>
          <cell r="S45">
            <v>33311.67010777961</v>
          </cell>
        </row>
        <row r="46">
          <cell r="G46">
            <v>80816.10250198032</v>
          </cell>
          <cell r="H46">
            <v>92233.556905492995</v>
          </cell>
          <cell r="I46">
            <v>0</v>
          </cell>
          <cell r="J46">
            <v>0</v>
          </cell>
          <cell r="K46">
            <v>82074.18426316994</v>
          </cell>
          <cell r="L46">
            <v>85640.178841149987</v>
          </cell>
          <cell r="M46">
            <v>66598.439904922678</v>
          </cell>
          <cell r="N46">
            <v>94080.17727729847</v>
          </cell>
          <cell r="O46">
            <v>48378.590246319334</v>
          </cell>
          <cell r="P46">
            <v>93307.513104787417</v>
          </cell>
          <cell r="Q46">
            <v>75314.164103984862</v>
          </cell>
          <cell r="R46">
            <v>83062.057050042989</v>
          </cell>
          <cell r="S46">
            <v>801504.96419914905</v>
          </cell>
        </row>
        <row r="47">
          <cell r="G47">
            <v>80816.10250198032</v>
          </cell>
          <cell r="H47">
            <v>92233.556905492995</v>
          </cell>
          <cell r="I47">
            <v>0</v>
          </cell>
          <cell r="J47">
            <v>0</v>
          </cell>
          <cell r="K47">
            <v>86344.781073396982</v>
          </cell>
          <cell r="L47">
            <v>91378.07262347755</v>
          </cell>
          <cell r="M47">
            <v>67759.819449368224</v>
          </cell>
          <cell r="N47">
            <v>100792.66330602602</v>
          </cell>
          <cell r="O47">
            <v>49676.030498149055</v>
          </cell>
          <cell r="P47">
            <v>99855.520594001442</v>
          </cell>
          <cell r="Q47">
            <v>78291.456975842433</v>
          </cell>
          <cell r="R47">
            <v>87668.63037919355</v>
          </cell>
          <cell r="S47">
            <v>834816.63430692861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33558.841718663418</v>
          </cell>
          <cell r="L48">
            <v>36671.289841300939</v>
          </cell>
          <cell r="M48">
            <v>26963.532367005726</v>
          </cell>
          <cell r="N48">
            <v>38738.606727603896</v>
          </cell>
          <cell r="O48">
            <v>27252.145988729695</v>
          </cell>
          <cell r="P48">
            <v>38389.712855908554</v>
          </cell>
          <cell r="Q48">
            <v>30815.469728182739</v>
          </cell>
          <cell r="R48">
            <v>30898.22250917249</v>
          </cell>
          <cell r="S48">
            <v>263287.82173656748</v>
          </cell>
        </row>
        <row r="49">
          <cell r="G49">
            <v>1423.1674980196894</v>
          </cell>
          <cell r="H49">
            <v>2886.8330945069938</v>
          </cell>
          <cell r="I49">
            <v>0</v>
          </cell>
          <cell r="J49">
            <v>0</v>
          </cell>
          <cell r="K49">
            <v>19744.942286425969</v>
          </cell>
          <cell r="L49">
            <v>17564.576933037693</v>
          </cell>
          <cell r="M49">
            <v>14841.207833989018</v>
          </cell>
          <cell r="N49">
            <v>18270.106441519736</v>
          </cell>
          <cell r="O49">
            <v>12698.398500923046</v>
          </cell>
          <cell r="P49">
            <v>21988.599955329853</v>
          </cell>
          <cell r="Q49">
            <v>19191.137483591159</v>
          </cell>
          <cell r="R49">
            <v>19321.608250630175</v>
          </cell>
          <cell r="S49">
            <v>147930.57827797331</v>
          </cell>
        </row>
        <row r="50">
          <cell r="G50">
            <v>1423.1674980196894</v>
          </cell>
          <cell r="H50">
            <v>2886.8330945069938</v>
          </cell>
          <cell r="I50">
            <v>0</v>
          </cell>
          <cell r="J50">
            <v>0</v>
          </cell>
          <cell r="K50">
            <v>53303.784005089386</v>
          </cell>
          <cell r="L50">
            <v>54235.866774338632</v>
          </cell>
          <cell r="M50">
            <v>41804.74020099474</v>
          </cell>
          <cell r="N50">
            <v>57008.713169123628</v>
          </cell>
          <cell r="O50">
            <v>39950.544489652741</v>
          </cell>
          <cell r="P50">
            <v>60378.312811238407</v>
          </cell>
          <cell r="Q50">
            <v>50006.607211773895</v>
          </cell>
          <cell r="R50">
            <v>50219.830759802666</v>
          </cell>
          <cell r="S50">
            <v>411218.40001454082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41670.64540151367</v>
          </cell>
          <cell r="L51">
            <v>51452.625215517182</v>
          </cell>
          <cell r="M51">
            <v>20942.53029630371</v>
          </cell>
          <cell r="N51">
            <v>57949.906858183647</v>
          </cell>
          <cell r="O51">
            <v>21849.601678864768</v>
          </cell>
          <cell r="P51">
            <v>56853.383261426847</v>
          </cell>
          <cell r="Q51">
            <v>33048.619145717064</v>
          </cell>
          <cell r="R51">
            <v>43910.488861003803</v>
          </cell>
          <cell r="S51">
            <v>327677.80071853066</v>
          </cell>
          <cell r="U51"/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U52"/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41670.64540151367</v>
          </cell>
          <cell r="L53">
            <v>51452.625215517182</v>
          </cell>
          <cell r="M53">
            <v>20942.53029630371</v>
          </cell>
          <cell r="N53">
            <v>57949.906858183647</v>
          </cell>
          <cell r="O53">
            <v>21849.601678864768</v>
          </cell>
          <cell r="P53">
            <v>56853.383261426847</v>
          </cell>
          <cell r="Q53">
            <v>33048.619145717064</v>
          </cell>
          <cell r="R53">
            <v>43910.488861003803</v>
          </cell>
          <cell r="S53">
            <v>327677.80071853066</v>
          </cell>
          <cell r="U53"/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79500.083930404129</v>
          </cell>
          <cell r="L54">
            <v>93861.808839145699</v>
          </cell>
          <cell r="M54">
            <v>49067.44220775499</v>
          </cell>
          <cell r="N54">
            <v>103400.99961451509</v>
          </cell>
          <cell r="O54">
            <v>50399.187919424185</v>
          </cell>
          <cell r="P54">
            <v>101791.10360654943</v>
          </cell>
          <cell r="Q54">
            <v>66841.381745757375</v>
          </cell>
          <cell r="R54">
            <v>79415.284699326861</v>
          </cell>
          <cell r="S54">
            <v>624277.29256287776</v>
          </cell>
        </row>
        <row r="55">
          <cell r="G55">
            <v>82239.27</v>
          </cell>
          <cell r="H55">
            <v>95120.389999999985</v>
          </cell>
          <cell r="I55">
            <v>0</v>
          </cell>
          <cell r="J55">
            <v>0</v>
          </cell>
          <cell r="K55">
            <v>101819.12654959591</v>
          </cell>
          <cell r="L55">
            <v>103204.75577418768</v>
          </cell>
          <cell r="M55">
            <v>81439.647738911692</v>
          </cell>
          <cell r="N55">
            <v>112350.2837188182</v>
          </cell>
          <cell r="O55">
            <v>61076.98874724238</v>
          </cell>
          <cell r="P55">
            <v>115296.11306011726</v>
          </cell>
          <cell r="Q55">
            <v>94505.301587576017</v>
          </cell>
          <cell r="R55">
            <v>102383.66530067316</v>
          </cell>
          <cell r="S55">
            <v>949435.54247712228</v>
          </cell>
        </row>
        <row r="56">
          <cell r="G56">
            <v>0</v>
          </cell>
          <cell r="H56">
            <v>0</v>
          </cell>
          <cell r="I56">
            <v>-80124.53</v>
          </cell>
          <cell r="J56">
            <v>-82817.489999999991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-162942.01999999999</v>
          </cell>
        </row>
        <row r="57">
          <cell r="G57">
            <v>82239.27</v>
          </cell>
          <cell r="H57">
            <v>95120.389999999985</v>
          </cell>
          <cell r="I57">
            <v>-80124.53</v>
          </cell>
          <cell r="J57">
            <v>-82817.489999999991</v>
          </cell>
          <cell r="K57">
            <v>181319.21048000004</v>
          </cell>
          <cell r="L57">
            <v>197066.56461333338</v>
          </cell>
          <cell r="M57">
            <v>130507.08994666667</v>
          </cell>
          <cell r="N57">
            <v>215751.2833333333</v>
          </cell>
          <cell r="O57">
            <v>111476.17666666656</v>
          </cell>
          <cell r="P57">
            <v>217087.21666666667</v>
          </cell>
          <cell r="Q57">
            <v>161346.68333333341</v>
          </cell>
          <cell r="R57">
            <v>181798.95</v>
          </cell>
          <cell r="S57">
            <v>1410770.8150399998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793.99831909725128</v>
          </cell>
          <cell r="L58">
            <v>809.61912190056853</v>
          </cell>
          <cell r="M58">
            <v>807.26683749400922</v>
          </cell>
          <cell r="N58">
            <v>807.81218984994439</v>
          </cell>
          <cell r="O58">
            <v>2348.5661753335808</v>
          </cell>
          <cell r="P58">
            <v>2134.3795434330341</v>
          </cell>
          <cell r="Q58">
            <v>2140.1315586547666</v>
          </cell>
          <cell r="R58">
            <v>2179.8370406046706</v>
          </cell>
          <cell r="S58">
            <v>12021.610786367826</v>
          </cell>
          <cell r="U58"/>
        </row>
        <row r="59">
          <cell r="G59">
            <v>11348.805700137051</v>
          </cell>
          <cell r="H59">
            <v>11335.904110580386</v>
          </cell>
          <cell r="I59">
            <v>0</v>
          </cell>
          <cell r="J59">
            <v>0</v>
          </cell>
          <cell r="K59">
            <v>3989.6250084675708</v>
          </cell>
          <cell r="L59">
            <v>3904.9647623159358</v>
          </cell>
          <cell r="M59">
            <v>3996.1176213839808</v>
          </cell>
          <cell r="N59">
            <v>3985.7779835959832</v>
          </cell>
          <cell r="O59">
            <v>8876.2516608839796</v>
          </cell>
          <cell r="P59">
            <v>10735.84286591085</v>
          </cell>
          <cell r="Q59">
            <v>10800.357659420457</v>
          </cell>
          <cell r="R59">
            <v>10909.401812991442</v>
          </cell>
          <cell r="S59">
            <v>79883.049185687647</v>
          </cell>
          <cell r="U59"/>
        </row>
        <row r="60">
          <cell r="G60">
            <v>11348.805700137051</v>
          </cell>
          <cell r="H60">
            <v>11335.904110580386</v>
          </cell>
          <cell r="I60">
            <v>0</v>
          </cell>
          <cell r="J60">
            <v>0</v>
          </cell>
          <cell r="K60">
            <v>4783.6233275648219</v>
          </cell>
          <cell r="L60">
            <v>4714.583884216504</v>
          </cell>
          <cell r="M60">
            <v>4803.3844588779903</v>
          </cell>
          <cell r="N60">
            <v>4793.5901734459276</v>
          </cell>
          <cell r="O60">
            <v>11224.81783621756</v>
          </cell>
          <cell r="P60">
            <v>12870.222409343885</v>
          </cell>
          <cell r="Q60">
            <v>12940.489218075223</v>
          </cell>
          <cell r="R60">
            <v>13089.238853596113</v>
          </cell>
          <cell r="S60">
            <v>91904.659972055451</v>
          </cell>
          <cell r="U60"/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1684.2388586911393</v>
          </cell>
          <cell r="L61">
            <v>1717.3738949405997</v>
          </cell>
          <cell r="M61">
            <v>1712.3842007448677</v>
          </cell>
          <cell r="N61">
            <v>1713.5410087726093</v>
          </cell>
          <cell r="O61">
            <v>4981.8070385863848</v>
          </cell>
          <cell r="P61">
            <v>4527.4717587973446</v>
          </cell>
          <cell r="Q61">
            <v>4539.67300320708</v>
          </cell>
          <cell r="R61">
            <v>4168.7732009866895</v>
          </cell>
          <cell r="S61">
            <v>25045.262964726713</v>
          </cell>
          <cell r="U61"/>
        </row>
        <row r="62">
          <cell r="G62">
            <v>907.01685541850577</v>
          </cell>
          <cell r="H62">
            <v>919.91844497516956</v>
          </cell>
          <cell r="I62">
            <v>0</v>
          </cell>
          <cell r="J62">
            <v>0</v>
          </cell>
          <cell r="K62">
            <v>564.08268642903101</v>
          </cell>
          <cell r="L62">
            <v>495.84840817243872</v>
          </cell>
          <cell r="M62">
            <v>483.27497930597229</v>
          </cell>
          <cell r="N62">
            <v>488.27677433739075</v>
          </cell>
          <cell r="O62">
            <v>1350.4231785277429</v>
          </cell>
          <cell r="P62">
            <v>1587.2647645274333</v>
          </cell>
          <cell r="Q62">
            <v>1570.6166099081431</v>
          </cell>
          <cell r="R62">
            <v>1528.0635636082777</v>
          </cell>
          <cell r="S62">
            <v>9894.7862652101048</v>
          </cell>
          <cell r="U62"/>
        </row>
        <row r="63">
          <cell r="G63">
            <v>907.01685541850577</v>
          </cell>
          <cell r="H63">
            <v>919.91844497516956</v>
          </cell>
          <cell r="I63">
            <v>0</v>
          </cell>
          <cell r="J63">
            <v>0</v>
          </cell>
          <cell r="K63">
            <v>2248.3215451201704</v>
          </cell>
          <cell r="L63">
            <v>2213.2223031130384</v>
          </cell>
          <cell r="M63">
            <v>2195.65918005084</v>
          </cell>
          <cell r="N63">
            <v>2201.8177831100002</v>
          </cell>
          <cell r="O63">
            <v>6332.2302171141273</v>
          </cell>
          <cell r="P63">
            <v>6114.7365233247783</v>
          </cell>
          <cell r="Q63">
            <v>6110.2896131152229</v>
          </cell>
          <cell r="R63">
            <v>5696.8367645949675</v>
          </cell>
          <cell r="S63">
            <v>34940.04922993682</v>
          </cell>
          <cell r="U63"/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5293.3221273150093</v>
          </cell>
          <cell r="L64">
            <v>5397.4608126704561</v>
          </cell>
          <cell r="M64">
            <v>5381.7789166267285</v>
          </cell>
          <cell r="N64">
            <v>5385.4145989996296</v>
          </cell>
          <cell r="O64">
            <v>15657.107835557206</v>
          </cell>
          <cell r="P64">
            <v>14229.196956220227</v>
          </cell>
          <cell r="Q64">
            <v>14267.543724365112</v>
          </cell>
          <cell r="R64">
            <v>14532.246937364471</v>
          </cell>
          <cell r="S64">
            <v>80144.071909118837</v>
          </cell>
          <cell r="U64"/>
        </row>
        <row r="65"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>
            <v>0</v>
          </cell>
          <cell r="U65"/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5293.3221273150093</v>
          </cell>
          <cell r="L66">
            <v>5397.4608126704561</v>
          </cell>
          <cell r="M66">
            <v>5381.7789166267285</v>
          </cell>
          <cell r="N66">
            <v>5385.4145989996296</v>
          </cell>
          <cell r="O66">
            <v>15657.107835557206</v>
          </cell>
          <cell r="P66">
            <v>14229.196956220227</v>
          </cell>
          <cell r="Q66">
            <v>14267.543724365112</v>
          </cell>
          <cell r="R66">
            <v>14532.246937364471</v>
          </cell>
          <cell r="S66">
            <v>80144.071909118837</v>
          </cell>
          <cell r="U66"/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7771.5593051033993</v>
          </cell>
          <cell r="L67">
            <v>7924.4538295116245</v>
          </cell>
          <cell r="M67">
            <v>7901.4299548656054</v>
          </cell>
          <cell r="N67">
            <v>7906.767797622183</v>
          </cell>
          <cell r="O67">
            <v>22987.481049477174</v>
          </cell>
          <cell r="P67">
            <v>20891.048258450606</v>
          </cell>
          <cell r="Q67">
            <v>20947.348286226959</v>
          </cell>
          <cell r="R67">
            <v>20880.85717895583</v>
          </cell>
          <cell r="S67">
            <v>117210.94566021339</v>
          </cell>
          <cell r="U67"/>
        </row>
        <row r="68">
          <cell r="G68">
            <v>12255.822555555556</v>
          </cell>
          <cell r="H68">
            <v>12255.822555555556</v>
          </cell>
          <cell r="I68">
            <v>0</v>
          </cell>
          <cell r="J68">
            <v>0</v>
          </cell>
          <cell r="K68">
            <v>4553.7076948966014</v>
          </cell>
          <cell r="L68">
            <v>4400.8131704883745</v>
          </cell>
          <cell r="M68">
            <v>4479.3926006899528</v>
          </cell>
          <cell r="N68">
            <v>4474.0547579333743</v>
          </cell>
          <cell r="O68">
            <v>10226.674839411722</v>
          </cell>
          <cell r="P68">
            <v>12323.107630438284</v>
          </cell>
          <cell r="Q68">
            <v>12370.974269328601</v>
          </cell>
          <cell r="R68">
            <v>12437.465376599719</v>
          </cell>
          <cell r="S68">
            <v>89777.83545089775</v>
          </cell>
          <cell r="U68"/>
        </row>
        <row r="69">
          <cell r="G69">
            <v>0</v>
          </cell>
          <cell r="H69">
            <v>0</v>
          </cell>
          <cell r="I69">
            <v>12255.822555555556</v>
          </cell>
          <cell r="J69">
            <v>12255.822555555556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24511.645111111113</v>
          </cell>
          <cell r="U69"/>
        </row>
        <row r="70">
          <cell r="G70">
            <v>12255.822555555556</v>
          </cell>
          <cell r="H70">
            <v>12255.822555555556</v>
          </cell>
          <cell r="I70">
            <v>12255.822555555556</v>
          </cell>
          <cell r="J70">
            <v>12255.822555555556</v>
          </cell>
          <cell r="K70">
            <v>12325.267</v>
          </cell>
          <cell r="L70">
            <v>12325.267</v>
          </cell>
          <cell r="M70">
            <v>12380.822555555558</v>
          </cell>
          <cell r="N70">
            <v>12380.822555555558</v>
          </cell>
          <cell r="O70">
            <v>33214.155888888898</v>
          </cell>
          <cell r="P70">
            <v>33214.15588888889</v>
          </cell>
          <cell r="Q70">
            <v>33318.322555555562</v>
          </cell>
          <cell r="R70">
            <v>33318.322555555547</v>
          </cell>
          <cell r="S70">
            <v>231500.42622222225</v>
          </cell>
          <cell r="T70">
            <v>1179270.3888177776</v>
          </cell>
          <cell r="U70"/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615.80834369209754</v>
          </cell>
          <cell r="L71">
            <v>614.32687455750545</v>
          </cell>
          <cell r="M71">
            <v>602.79821088901463</v>
          </cell>
          <cell r="N71">
            <v>602.25936241054126</v>
          </cell>
          <cell r="O71">
            <v>702.06304359986075</v>
          </cell>
          <cell r="P71">
            <v>587.64650140677611</v>
          </cell>
          <cell r="Q71">
            <v>581.2421254163105</v>
          </cell>
          <cell r="R71">
            <v>625.09061859389863</v>
          </cell>
          <cell r="S71">
            <v>4931.2350805660044</v>
          </cell>
          <cell r="U71"/>
        </row>
        <row r="72">
          <cell r="G72">
            <v>4049.524864517994</v>
          </cell>
          <cell r="H72">
            <v>4457.2279153007412</v>
          </cell>
          <cell r="I72">
            <v>0</v>
          </cell>
          <cell r="J72">
            <v>0</v>
          </cell>
          <cell r="K72">
            <v>4077.8682477786269</v>
          </cell>
          <cell r="L72">
            <v>3901.3560666562889</v>
          </cell>
          <cell r="M72">
            <v>3950.4932719987823</v>
          </cell>
          <cell r="N72">
            <v>3939.0036974691434</v>
          </cell>
          <cell r="O72">
            <v>3457.6749811491859</v>
          </cell>
          <cell r="P72">
            <v>3890.6730265137667</v>
          </cell>
          <cell r="Q72">
            <v>3856.6744960534879</v>
          </cell>
          <cell r="R72">
            <v>4116.7935564485215</v>
          </cell>
          <cell r="S72">
            <v>39697.290123886538</v>
          </cell>
          <cell r="U72"/>
        </row>
        <row r="73">
          <cell r="G73">
            <v>4049.524864517994</v>
          </cell>
          <cell r="H73">
            <v>4457.2279153007412</v>
          </cell>
          <cell r="I73">
            <v>0</v>
          </cell>
          <cell r="J73">
            <v>0</v>
          </cell>
          <cell r="K73">
            <v>4693.6765914707248</v>
          </cell>
          <cell r="L73">
            <v>4515.682941213794</v>
          </cell>
          <cell r="M73">
            <v>4553.2914828877965</v>
          </cell>
          <cell r="N73">
            <v>4541.263059879685</v>
          </cell>
          <cell r="O73">
            <v>4159.7380247490464</v>
          </cell>
          <cell r="P73">
            <v>4478.3195279205429</v>
          </cell>
          <cell r="Q73">
            <v>4437.916621469798</v>
          </cell>
          <cell r="R73">
            <v>4741.8841750424199</v>
          </cell>
          <cell r="S73">
            <v>44628.525204452548</v>
          </cell>
          <cell r="U73"/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1703.8175517172663</v>
          </cell>
          <cell r="L74">
            <v>1699.7186252579202</v>
          </cell>
          <cell r="M74">
            <v>1667.8211368470763</v>
          </cell>
          <cell r="N74">
            <v>1666.3302517287702</v>
          </cell>
          <cell r="O74">
            <v>1942.4669190509978</v>
          </cell>
          <cell r="P74">
            <v>1625.8994110068904</v>
          </cell>
          <cell r="Q74">
            <v>1608.1797936419657</v>
          </cell>
          <cell r="R74">
            <v>1559.2675470142665</v>
          </cell>
          <cell r="S74">
            <v>13473.501236265154</v>
          </cell>
          <cell r="U74"/>
        </row>
        <row r="75">
          <cell r="G75">
            <v>212.39220979962323</v>
          </cell>
          <cell r="H75">
            <v>237.3708152975081</v>
          </cell>
          <cell r="I75">
            <v>0</v>
          </cell>
          <cell r="J75">
            <v>0</v>
          </cell>
          <cell r="K75">
            <v>708.65674637635095</v>
          </cell>
          <cell r="L75">
            <v>603.68775400053096</v>
          </cell>
          <cell r="M75">
            <v>585.56293243576022</v>
          </cell>
          <cell r="N75">
            <v>589.5859951071152</v>
          </cell>
          <cell r="O75">
            <v>624.80065107440134</v>
          </cell>
          <cell r="P75">
            <v>702.09717405735341</v>
          </cell>
          <cell r="Q75">
            <v>687.03253177485544</v>
          </cell>
          <cell r="R75">
            <v>703.25275115228089</v>
          </cell>
          <cell r="S75">
            <v>5654.4395610757801</v>
          </cell>
          <cell r="U75"/>
        </row>
        <row r="76">
          <cell r="G76">
            <v>212.39220979962323</v>
          </cell>
          <cell r="H76">
            <v>237.3708152975081</v>
          </cell>
          <cell r="I76">
            <v>0</v>
          </cell>
          <cell r="J76">
            <v>0</v>
          </cell>
          <cell r="K76">
            <v>2412.4742980936171</v>
          </cell>
          <cell r="L76">
            <v>2303.4063792584511</v>
          </cell>
          <cell r="M76">
            <v>2253.3840692828367</v>
          </cell>
          <cell r="N76">
            <v>2255.9162468358854</v>
          </cell>
          <cell r="O76">
            <v>2567.2675701253993</v>
          </cell>
          <cell r="P76">
            <v>2327.9965850642438</v>
          </cell>
          <cell r="Q76">
            <v>2295.2123254168209</v>
          </cell>
          <cell r="R76">
            <v>2262.5202981665475</v>
          </cell>
          <cell r="S76">
            <v>19127.940797340932</v>
          </cell>
          <cell r="U76"/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3212.9130975239877</v>
          </cell>
          <cell r="L77">
            <v>3205.183693343507</v>
          </cell>
          <cell r="M77">
            <v>3145.0341437687725</v>
          </cell>
          <cell r="N77">
            <v>3142.222760402824</v>
          </cell>
          <cell r="O77">
            <v>3662.9376187818816</v>
          </cell>
          <cell r="P77">
            <v>3065.9817464701359</v>
          </cell>
          <cell r="Q77">
            <v>3032.5676108677067</v>
          </cell>
          <cell r="R77">
            <v>3261.3423578812099</v>
          </cell>
          <cell r="S77">
            <v>25728.183029040028</v>
          </cell>
          <cell r="U77"/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U78"/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3212.9130975239877</v>
          </cell>
          <cell r="L79">
            <v>3205.183693343507</v>
          </cell>
          <cell r="M79">
            <v>3145.0341437687725</v>
          </cell>
          <cell r="N79">
            <v>3142.222760402824</v>
          </cell>
          <cell r="O79">
            <v>3662.9376187818816</v>
          </cell>
          <cell r="P79">
            <v>3065.9817464701359</v>
          </cell>
          <cell r="Q79">
            <v>3032.5676108677067</v>
          </cell>
          <cell r="R79">
            <v>3261.3423578812099</v>
          </cell>
          <cell r="S79">
            <v>25728.183029040028</v>
          </cell>
          <cell r="U79"/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5532.5389929333514</v>
          </cell>
          <cell r="L80">
            <v>5519.2291931589325</v>
          </cell>
          <cell r="M80">
            <v>5415.6534915048633</v>
          </cell>
          <cell r="N80">
            <v>5410.8123745421353</v>
          </cell>
          <cell r="O80">
            <v>6307.4675814327402</v>
          </cell>
          <cell r="P80">
            <v>5279.5276588838024</v>
          </cell>
          <cell r="Q80">
            <v>5221.9895299259824</v>
          </cell>
          <cell r="R80">
            <v>5445.700523489375</v>
          </cell>
          <cell r="S80">
            <v>44132.919345871182</v>
          </cell>
          <cell r="U80"/>
        </row>
        <row r="81">
          <cell r="G81">
            <v>4261.9170743176173</v>
          </cell>
          <cell r="H81">
            <v>4694.5987305982489</v>
          </cell>
          <cell r="I81">
            <v>0</v>
          </cell>
          <cell r="J81">
            <v>0</v>
          </cell>
          <cell r="K81">
            <v>4786.5249941549782</v>
          </cell>
          <cell r="L81">
            <v>4505.0438206568197</v>
          </cell>
          <cell r="M81">
            <v>4536.0562044345425</v>
          </cell>
          <cell r="N81">
            <v>4528.589692576259</v>
          </cell>
          <cell r="O81">
            <v>4082.4756322235871</v>
          </cell>
          <cell r="P81">
            <v>4592.7702005711199</v>
          </cell>
          <cell r="Q81">
            <v>4543.7070278283436</v>
          </cell>
          <cell r="R81">
            <v>4820.0463076008027</v>
          </cell>
          <cell r="S81">
            <v>45351.729684962316</v>
          </cell>
          <cell r="U81"/>
        </row>
        <row r="82">
          <cell r="G82">
            <v>4261.9170743176173</v>
          </cell>
          <cell r="H82">
            <v>4694.5987305982489</v>
          </cell>
          <cell r="I82">
            <v>0</v>
          </cell>
          <cell r="J82">
            <v>0</v>
          </cell>
          <cell r="K82">
            <v>10319.06398708833</v>
          </cell>
          <cell r="L82">
            <v>10024.273013815753</v>
          </cell>
          <cell r="M82">
            <v>9951.7096959394057</v>
          </cell>
          <cell r="N82">
            <v>9939.4020671183935</v>
          </cell>
          <cell r="O82">
            <v>10389.943213656326</v>
          </cell>
          <cell r="P82">
            <v>9872.2978594549222</v>
          </cell>
          <cell r="Q82">
            <v>9765.6965577543269</v>
          </cell>
          <cell r="R82">
            <v>10265.746831090179</v>
          </cell>
          <cell r="S82">
            <v>89484.649030833505</v>
          </cell>
          <cell r="U82"/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2860.7901474376931</v>
          </cell>
          <cell r="L83">
            <v>4313.9477858694963</v>
          </cell>
          <cell r="M83">
            <v>-248.68550393747023</v>
          </cell>
          <cell r="N83">
            <v>5302.4144764670691</v>
          </cell>
          <cell r="O83">
            <v>-1753.1889671037204</v>
          </cell>
          <cell r="P83">
            <v>3825.9814443742189</v>
          </cell>
          <cell r="Q83">
            <v>255.91918778649415</v>
          </cell>
          <cell r="R83">
            <v>1801.6456699519983</v>
          </cell>
          <cell r="S83">
            <v>16358.824240845777</v>
          </cell>
        </row>
        <row r="84">
          <cell r="G84">
            <v>65417.771937325277</v>
          </cell>
          <cell r="H84">
            <v>76440.424879611863</v>
          </cell>
          <cell r="I84">
            <v>0</v>
          </cell>
          <cell r="J84">
            <v>0</v>
          </cell>
          <cell r="K84">
            <v>74006.691006923749</v>
          </cell>
          <cell r="L84">
            <v>77833.858012177763</v>
          </cell>
          <cell r="M84">
            <v>58651.829011539914</v>
          </cell>
          <cell r="N84">
            <v>86155.395596233342</v>
          </cell>
          <cell r="O84">
            <v>36044.663604286172</v>
          </cell>
          <cell r="P84">
            <v>78680.997212362796</v>
          </cell>
          <cell r="Q84">
            <v>60657.13194851092</v>
          </cell>
          <cell r="R84">
            <v>68035.861680603019</v>
          </cell>
          <cell r="S84">
            <v>681924.62488957471</v>
          </cell>
        </row>
        <row r="85">
          <cell r="G85">
            <v>65417.771937325277</v>
          </cell>
          <cell r="H85">
            <v>76440.424879611863</v>
          </cell>
          <cell r="I85">
            <v>0</v>
          </cell>
          <cell r="J85">
            <v>0</v>
          </cell>
          <cell r="K85">
            <v>76867.481154361449</v>
          </cell>
          <cell r="L85">
            <v>82147.805798047266</v>
          </cell>
          <cell r="M85">
            <v>58403.143507602443</v>
          </cell>
          <cell r="N85">
            <v>91457.810072700406</v>
          </cell>
          <cell r="O85">
            <v>34291.474637182451</v>
          </cell>
          <cell r="P85">
            <v>82506.978656737017</v>
          </cell>
          <cell r="Q85">
            <v>60913.051136297414</v>
          </cell>
          <cell r="R85">
            <v>69837.50735055501</v>
          </cell>
          <cell r="S85">
            <v>698283.44913042057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30170.78530825501</v>
          </cell>
          <cell r="L86">
            <v>33254.197321102423</v>
          </cell>
          <cell r="M86">
            <v>23583.32702941378</v>
          </cell>
          <cell r="N86">
            <v>35358.73546710251</v>
          </cell>
          <cell r="O86">
            <v>20327.872031092313</v>
          </cell>
          <cell r="P86">
            <v>32236.341686104322</v>
          </cell>
          <cell r="Q86">
            <v>24667.616931333694</v>
          </cell>
          <cell r="R86">
            <v>25170.181761171534</v>
          </cell>
          <cell r="S86">
            <v>224769.05753557559</v>
          </cell>
        </row>
        <row r="87">
          <cell r="G87">
            <v>303.75843280156045</v>
          </cell>
          <cell r="H87">
            <v>1729.5438342343159</v>
          </cell>
          <cell r="I87">
            <v>0</v>
          </cell>
          <cell r="J87">
            <v>0</v>
          </cell>
          <cell r="K87">
            <v>18472.202853620587</v>
          </cell>
          <cell r="L87">
            <v>16465.040770864725</v>
          </cell>
          <cell r="M87">
            <v>13772.369922247286</v>
          </cell>
          <cell r="N87">
            <v>17192.24367207523</v>
          </cell>
          <cell r="O87">
            <v>10723.174671320901</v>
          </cell>
          <cell r="P87">
            <v>19699.238016745065</v>
          </cell>
          <cell r="Q87">
            <v>16933.488341908163</v>
          </cell>
          <cell r="R87">
            <v>17090.291935869616</v>
          </cell>
          <cell r="S87">
            <v>132381.35245168745</v>
          </cell>
        </row>
        <row r="88">
          <cell r="G88">
            <v>303.75843280156045</v>
          </cell>
          <cell r="H88">
            <v>1729.5438342343159</v>
          </cell>
          <cell r="I88">
            <v>0</v>
          </cell>
          <cell r="J88">
            <v>0</v>
          </cell>
          <cell r="K88">
            <v>48642.988161875597</v>
          </cell>
          <cell r="L88">
            <v>49719.238091967149</v>
          </cell>
          <cell r="M88">
            <v>37355.69695166107</v>
          </cell>
          <cell r="N88">
            <v>52550.97913917774</v>
          </cell>
          <cell r="O88">
            <v>31051.046702413216</v>
          </cell>
          <cell r="P88">
            <v>51935.579702849383</v>
          </cell>
          <cell r="Q88">
            <v>41601.105273241861</v>
          </cell>
          <cell r="R88">
            <v>42260.473697041147</v>
          </cell>
          <cell r="S88">
            <v>357150.40998726303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33164.410176674668</v>
          </cell>
          <cell r="L89">
            <v>42849.980709503223</v>
          </cell>
          <cell r="M89">
            <v>12415.717235908209</v>
          </cell>
          <cell r="N89">
            <v>49422.269498781192</v>
          </cell>
          <cell r="O89">
            <v>2529.5562245256806</v>
          </cell>
          <cell r="P89">
            <v>39558.204558736485</v>
          </cell>
          <cell r="Q89">
            <v>15748.507810484247</v>
          </cell>
          <cell r="R89">
            <v>26116.899565758122</v>
          </cell>
          <cell r="S89">
            <v>221805.54578037179</v>
          </cell>
          <cell r="U89"/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U90"/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33164.410176674668</v>
          </cell>
          <cell r="L91">
            <v>42849.980709503223</v>
          </cell>
          <cell r="M91">
            <v>12415.717235908209</v>
          </cell>
          <cell r="N91">
            <v>49422.269498781192</v>
          </cell>
          <cell r="O91">
            <v>2529.5562245256806</v>
          </cell>
          <cell r="P91">
            <v>39558.204558736485</v>
          </cell>
          <cell r="Q91">
            <v>15748.507810484247</v>
          </cell>
          <cell r="R91">
            <v>26116.899565758122</v>
          </cell>
          <cell r="S91">
            <v>221805.54578037179</v>
          </cell>
          <cell r="U91"/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66195.985632367374</v>
          </cell>
          <cell r="L92">
            <v>80418.125816475134</v>
          </cell>
          <cell r="M92">
            <v>35750.358761384516</v>
          </cell>
          <cell r="N92">
            <v>90083.419442350772</v>
          </cell>
          <cell r="O92">
            <v>21104.239288514273</v>
          </cell>
          <cell r="P92">
            <v>75620.527689215029</v>
          </cell>
          <cell r="Q92">
            <v>40672.043929604435</v>
          </cell>
          <cell r="R92">
            <v>53088.726996881654</v>
          </cell>
          <cell r="S92">
            <v>462933.42755679321</v>
          </cell>
        </row>
        <row r="93">
          <cell r="G93">
            <v>65721.530370126842</v>
          </cell>
          <cell r="H93">
            <v>78169.968713846174</v>
          </cell>
          <cell r="I93">
            <v>0</v>
          </cell>
          <cell r="J93">
            <v>0</v>
          </cell>
          <cell r="K93">
            <v>92478.89386054434</v>
          </cell>
          <cell r="L93">
            <v>94298.898783042489</v>
          </cell>
          <cell r="M93">
            <v>72424.198933787207</v>
          </cell>
          <cell r="N93">
            <v>103347.63926830857</v>
          </cell>
          <cell r="O93">
            <v>46767.838275607071</v>
          </cell>
          <cell r="P93">
            <v>98380.235229107857</v>
          </cell>
          <cell r="Q93">
            <v>77590.620290419087</v>
          </cell>
          <cell r="R93">
            <v>85126.153616472642</v>
          </cell>
          <cell r="S93">
            <v>814305.97734126227</v>
          </cell>
          <cell r="U93">
            <v>-602519.07835086714</v>
          </cell>
        </row>
        <row r="94">
          <cell r="G94">
            <v>0</v>
          </cell>
          <cell r="H94">
            <v>0</v>
          </cell>
          <cell r="I94">
            <v>-92380.352555555553</v>
          </cell>
          <cell r="J94">
            <v>-95073.312555555545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-187453.6651111111</v>
          </cell>
        </row>
        <row r="95">
          <cell r="G95">
            <v>65721.530370126842</v>
          </cell>
          <cell r="H95">
            <v>78169.968713846174</v>
          </cell>
          <cell r="I95">
            <v>-92380.352555555553</v>
          </cell>
          <cell r="J95">
            <v>-95073.312555555545</v>
          </cell>
          <cell r="K95">
            <v>158674.87949291171</v>
          </cell>
          <cell r="L95">
            <v>174717.02459951764</v>
          </cell>
          <cell r="M95">
            <v>108174.55769517172</v>
          </cell>
          <cell r="N95">
            <v>193431.05871065933</v>
          </cell>
          <cell r="O95">
            <v>67872.07756412134</v>
          </cell>
          <cell r="P95">
            <v>174000.76291832287</v>
          </cell>
          <cell r="Q95">
            <v>118262.66422002352</v>
          </cell>
          <cell r="R95">
            <v>138214.8806133543</v>
          </cell>
          <cell r="S95">
            <v>1089785.7397869446</v>
          </cell>
        </row>
        <row r="97">
          <cell r="R97">
            <v>-4820.0463076007873</v>
          </cell>
          <cell r="T97"/>
        </row>
        <row r="98">
          <cell r="T98"/>
        </row>
        <row r="99">
          <cell r="T99"/>
        </row>
        <row r="100">
          <cell r="T100"/>
        </row>
        <row r="101">
          <cell r="T101"/>
        </row>
        <row r="102">
          <cell r="T102"/>
        </row>
        <row r="103">
          <cell r="T103"/>
        </row>
        <row r="104">
          <cell r="T104"/>
        </row>
        <row r="105">
          <cell r="T105"/>
        </row>
        <row r="106">
          <cell r="T106"/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  <cell r="U6"/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/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14248</v>
          </cell>
          <cell r="L8">
            <v>13640</v>
          </cell>
          <cell r="M8">
            <v>14225.466666666667</v>
          </cell>
          <cell r="N8">
            <v>14230.666666666666</v>
          </cell>
          <cell r="O8">
            <v>10363.866666666667</v>
          </cell>
          <cell r="P8">
            <v>14211.6</v>
          </cell>
          <cell r="Q8">
            <v>14211.6</v>
          </cell>
          <cell r="R8">
            <v>14130.133333333333</v>
          </cell>
          <cell r="S8">
            <v>131019.33333333334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1328</v>
          </cell>
          <cell r="L9">
            <v>1328</v>
          </cell>
          <cell r="M9">
            <v>1217.3333333333333</v>
          </cell>
          <cell r="N9">
            <v>1328</v>
          </cell>
          <cell r="O9">
            <v>1328</v>
          </cell>
          <cell r="P9">
            <v>1438.6666666666667</v>
          </cell>
          <cell r="Q9">
            <v>1549.3333333333333</v>
          </cell>
          <cell r="R9">
            <v>1549.3333333333333</v>
          </cell>
          <cell r="S9">
            <v>11066.666666666668</v>
          </cell>
          <cell r="U9"/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1005.6</v>
          </cell>
          <cell r="L12">
            <v>948.6</v>
          </cell>
          <cell r="M12">
            <v>892.8</v>
          </cell>
          <cell r="N12">
            <v>723.66666666666663</v>
          </cell>
          <cell r="O12">
            <v>780.26666666666665</v>
          </cell>
          <cell r="P12">
            <v>948.6</v>
          </cell>
          <cell r="Q12">
            <v>892.8</v>
          </cell>
          <cell r="R12">
            <v>836</v>
          </cell>
          <cell r="S12">
            <v>7028.3333333333339</v>
          </cell>
          <cell r="U12"/>
        </row>
        <row r="13">
          <cell r="G13">
            <v>11456.2</v>
          </cell>
          <cell r="H13">
            <v>10301.799999999999</v>
          </cell>
          <cell r="I13">
            <v>0</v>
          </cell>
          <cell r="J13">
            <v>0</v>
          </cell>
          <cell r="K13">
            <v>16581.599999999999</v>
          </cell>
          <cell r="L13">
            <v>15916.6</v>
          </cell>
          <cell r="M13">
            <v>16335.6</v>
          </cell>
          <cell r="N13">
            <v>16282.333333333332</v>
          </cell>
          <cell r="O13">
            <v>12472.133333333333</v>
          </cell>
          <cell r="P13">
            <v>16598.866666666665</v>
          </cell>
          <cell r="Q13">
            <v>16653.733333333334</v>
          </cell>
          <cell r="R13">
            <v>16515.466666666667</v>
          </cell>
          <cell r="S13">
            <v>149114.33333333334</v>
          </cell>
          <cell r="U13"/>
        </row>
        <row r="14">
          <cell r="G14">
            <v>11456.2</v>
          </cell>
          <cell r="H14">
            <v>10301.799999999999</v>
          </cell>
          <cell r="I14">
            <v>0</v>
          </cell>
          <cell r="J14">
            <v>0</v>
          </cell>
          <cell r="K14">
            <v>19881.599999999999</v>
          </cell>
          <cell r="L14">
            <v>19216.599999999999</v>
          </cell>
          <cell r="M14">
            <v>19635.599999999999</v>
          </cell>
          <cell r="N14">
            <v>19582.333333333332</v>
          </cell>
          <cell r="O14">
            <v>15772.133333333333</v>
          </cell>
          <cell r="P14">
            <v>19898.866666666665</v>
          </cell>
          <cell r="Q14">
            <v>19953.733333333334</v>
          </cell>
          <cell r="R14">
            <v>19815.466666666667</v>
          </cell>
          <cell r="S14">
            <v>175514.33333333334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7000</v>
          </cell>
          <cell r="L15">
            <v>7000</v>
          </cell>
          <cell r="M15">
            <v>7000</v>
          </cell>
          <cell r="N15">
            <v>7000</v>
          </cell>
          <cell r="O15">
            <v>7000</v>
          </cell>
          <cell r="P15">
            <v>7000</v>
          </cell>
          <cell r="Q15">
            <v>7000</v>
          </cell>
          <cell r="R15">
            <v>6311</v>
          </cell>
          <cell r="S15">
            <v>55311</v>
          </cell>
          <cell r="U15"/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/>
        </row>
        <row r="17">
          <cell r="G17">
            <v>915.60000000000014</v>
          </cell>
          <cell r="H17">
            <v>836</v>
          </cell>
          <cell r="I17">
            <v>0</v>
          </cell>
          <cell r="J17">
            <v>0</v>
          </cell>
          <cell r="K17">
            <v>1215.0666666666666</v>
          </cell>
          <cell r="L17">
            <v>996.66666666666663</v>
          </cell>
          <cell r="M17">
            <v>1033.0666666666666</v>
          </cell>
          <cell r="N17">
            <v>1033.0666666666666</v>
          </cell>
          <cell r="O17">
            <v>758.73333333333335</v>
          </cell>
          <cell r="P17">
            <v>1218.5333333333333</v>
          </cell>
          <cell r="Q17">
            <v>1218.5333333333333</v>
          </cell>
          <cell r="R17">
            <v>1142.2666666666669</v>
          </cell>
          <cell r="S17">
            <v>10367.533333333333</v>
          </cell>
          <cell r="U17"/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548.56255999999996</v>
          </cell>
          <cell r="L20">
            <v>475.87349333333333</v>
          </cell>
          <cell r="M20">
            <v>426.23082666666664</v>
          </cell>
          <cell r="N20">
            <v>542.13</v>
          </cell>
          <cell r="O20">
            <v>687.03</v>
          </cell>
          <cell r="P20">
            <v>687.03</v>
          </cell>
          <cell r="Q20">
            <v>687.03</v>
          </cell>
          <cell r="R20">
            <v>687.03</v>
          </cell>
          <cell r="S20">
            <v>4740.9168799999989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580.79999999999995</v>
          </cell>
          <cell r="L21">
            <v>548.5333333333333</v>
          </cell>
          <cell r="M21">
            <v>516.26666666666665</v>
          </cell>
          <cell r="N21">
            <v>419.46666666666664</v>
          </cell>
          <cell r="O21">
            <v>451.73333333333335</v>
          </cell>
          <cell r="P21">
            <v>548.5333333333333</v>
          </cell>
          <cell r="Q21">
            <v>516.26666666666665</v>
          </cell>
          <cell r="R21">
            <v>484</v>
          </cell>
          <cell r="S21">
            <v>4065.6000000000004</v>
          </cell>
          <cell r="U21"/>
        </row>
        <row r="22">
          <cell r="G22">
            <v>915.60000000000014</v>
          </cell>
          <cell r="H22">
            <v>836</v>
          </cell>
          <cell r="I22">
            <v>0</v>
          </cell>
          <cell r="J22">
            <v>0</v>
          </cell>
          <cell r="K22">
            <v>2344.4292266666662</v>
          </cell>
          <cell r="L22">
            <v>2021.0734933333333</v>
          </cell>
          <cell r="M22">
            <v>1975.5641599999999</v>
          </cell>
          <cell r="N22">
            <v>1994.6633333333334</v>
          </cell>
          <cell r="O22">
            <v>1897.4966666666667</v>
          </cell>
          <cell r="P22">
            <v>2454.0966666666664</v>
          </cell>
          <cell r="Q22">
            <v>2421.83</v>
          </cell>
          <cell r="R22">
            <v>2313.2966666666671</v>
          </cell>
          <cell r="S22">
            <v>19174.050213333332</v>
          </cell>
          <cell r="U22"/>
        </row>
        <row r="23">
          <cell r="G23">
            <v>915.60000000000014</v>
          </cell>
          <cell r="H23">
            <v>836</v>
          </cell>
          <cell r="I23">
            <v>0</v>
          </cell>
          <cell r="J23">
            <v>0</v>
          </cell>
          <cell r="K23">
            <v>9344.4292266666671</v>
          </cell>
          <cell r="L23">
            <v>9021.0734933333333</v>
          </cell>
          <cell r="M23">
            <v>8975.5641599999999</v>
          </cell>
          <cell r="N23">
            <v>8994.6633333333339</v>
          </cell>
          <cell r="O23">
            <v>8897.496666666666</v>
          </cell>
          <cell r="P23">
            <v>9454.0966666666664</v>
          </cell>
          <cell r="Q23">
            <v>9421.83</v>
          </cell>
          <cell r="R23">
            <v>8624.2966666666671</v>
          </cell>
          <cell r="S23">
            <v>74485.050213333336</v>
          </cell>
          <cell r="U23"/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22000</v>
          </cell>
          <cell r="L24">
            <v>22000</v>
          </cell>
          <cell r="M24">
            <v>22000</v>
          </cell>
          <cell r="N24">
            <v>22000</v>
          </cell>
          <cell r="O24">
            <v>22000</v>
          </cell>
          <cell r="P24">
            <v>22000</v>
          </cell>
          <cell r="Q24">
            <v>22000</v>
          </cell>
          <cell r="R24">
            <v>22000</v>
          </cell>
          <cell r="S24">
            <v>176000</v>
          </cell>
          <cell r="U24"/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32300</v>
          </cell>
          <cell r="L25">
            <v>32300</v>
          </cell>
          <cell r="M25">
            <v>32300</v>
          </cell>
          <cell r="N25">
            <v>32300</v>
          </cell>
          <cell r="O25">
            <v>32300</v>
          </cell>
          <cell r="P25">
            <v>32300</v>
          </cell>
          <cell r="Q25">
            <v>32300</v>
          </cell>
          <cell r="R25">
            <v>31611</v>
          </cell>
          <cell r="S25">
            <v>257711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/>
        </row>
        <row r="27">
          <cell r="G27">
            <v>12371.800000000001</v>
          </cell>
          <cell r="H27">
            <v>11137.8</v>
          </cell>
          <cell r="I27">
            <v>0</v>
          </cell>
          <cell r="J27">
            <v>0</v>
          </cell>
          <cell r="K27">
            <v>15463.066666666666</v>
          </cell>
          <cell r="L27">
            <v>14636.666666666666</v>
          </cell>
          <cell r="M27">
            <v>15258.533333333333</v>
          </cell>
          <cell r="N27">
            <v>15263.733333333334</v>
          </cell>
          <cell r="O27">
            <v>11122.6</v>
          </cell>
          <cell r="P27">
            <v>15430.133333333333</v>
          </cell>
          <cell r="Q27">
            <v>15430.133333333333</v>
          </cell>
          <cell r="R27">
            <v>15272.4</v>
          </cell>
          <cell r="S27">
            <v>141386.86666666667</v>
          </cell>
          <cell r="U27"/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1328</v>
          </cell>
          <cell r="L28">
            <v>1328</v>
          </cell>
          <cell r="M28">
            <v>1217.3333333333333</v>
          </cell>
          <cell r="N28">
            <v>1328</v>
          </cell>
          <cell r="O28">
            <v>1328</v>
          </cell>
          <cell r="P28">
            <v>1438.6666666666667</v>
          </cell>
          <cell r="Q28">
            <v>1549.3333333333333</v>
          </cell>
          <cell r="R28">
            <v>1549.3333333333333</v>
          </cell>
          <cell r="S28">
            <v>11066.666666666668</v>
          </cell>
          <cell r="U28"/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548.56255999999996</v>
          </cell>
          <cell r="L30">
            <v>475.87349333333333</v>
          </cell>
          <cell r="M30">
            <v>426.23082666666664</v>
          </cell>
          <cell r="N30">
            <v>542.13</v>
          </cell>
          <cell r="O30">
            <v>687.03</v>
          </cell>
          <cell r="P30">
            <v>687.03</v>
          </cell>
          <cell r="Q30">
            <v>687.03</v>
          </cell>
          <cell r="R30">
            <v>687.03</v>
          </cell>
          <cell r="S30">
            <v>4740.9168799999989</v>
          </cell>
          <cell r="U30"/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1586.4</v>
          </cell>
          <cell r="L31">
            <v>1497.1333333333332</v>
          </cell>
          <cell r="M31">
            <v>1409.0666666666666</v>
          </cell>
          <cell r="N31">
            <v>1143.1333333333332</v>
          </cell>
          <cell r="O31">
            <v>1232</v>
          </cell>
          <cell r="P31">
            <v>1497.1333333333332</v>
          </cell>
          <cell r="Q31">
            <v>1409.0666666666666</v>
          </cell>
          <cell r="R31">
            <v>1320</v>
          </cell>
          <cell r="S31">
            <v>11093.933333333334</v>
          </cell>
          <cell r="U31"/>
        </row>
        <row r="32">
          <cell r="G32">
            <v>12371.800000000001</v>
          </cell>
          <cell r="H32">
            <v>11137.8</v>
          </cell>
          <cell r="I32">
            <v>0</v>
          </cell>
          <cell r="J32">
            <v>0</v>
          </cell>
          <cell r="K32">
            <v>18926.029226666666</v>
          </cell>
          <cell r="L32">
            <v>17937.673493333336</v>
          </cell>
          <cell r="M32">
            <v>18311.164159999997</v>
          </cell>
          <cell r="N32">
            <v>18276.996666666666</v>
          </cell>
          <cell r="O32">
            <v>14369.630000000001</v>
          </cell>
          <cell r="P32">
            <v>19052.963333333333</v>
          </cell>
          <cell r="Q32">
            <v>19075.563333333332</v>
          </cell>
          <cell r="R32">
            <v>18828.763333333332</v>
          </cell>
          <cell r="S32">
            <v>168288.38354666665</v>
          </cell>
          <cell r="U32"/>
        </row>
        <row r="33">
          <cell r="G33">
            <v>12371.800000000001</v>
          </cell>
          <cell r="H33">
            <v>11137.8</v>
          </cell>
          <cell r="I33">
            <v>0</v>
          </cell>
          <cell r="J33">
            <v>0</v>
          </cell>
          <cell r="K33">
            <v>51226.029226666666</v>
          </cell>
          <cell r="L33">
            <v>50237.673493333336</v>
          </cell>
          <cell r="M33">
            <v>50611.16416</v>
          </cell>
          <cell r="N33">
            <v>50576.996666666666</v>
          </cell>
          <cell r="O33">
            <v>46669.630000000005</v>
          </cell>
          <cell r="P33">
            <v>51352.963333333333</v>
          </cell>
          <cell r="Q33">
            <v>51375.563333333332</v>
          </cell>
          <cell r="R33">
            <v>50439.763333333336</v>
          </cell>
          <cell r="S33">
            <v>425999.38354666665</v>
          </cell>
          <cell r="U33"/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11500</v>
          </cell>
          <cell r="L34">
            <v>11500</v>
          </cell>
          <cell r="M34">
            <v>11500</v>
          </cell>
          <cell r="N34">
            <v>11500</v>
          </cell>
          <cell r="O34">
            <v>11500</v>
          </cell>
          <cell r="P34">
            <v>11500</v>
          </cell>
          <cell r="Q34">
            <v>11500</v>
          </cell>
          <cell r="R34">
            <v>11500</v>
          </cell>
          <cell r="S34">
            <v>11500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G36">
            <v>16000</v>
          </cell>
          <cell r="H36">
            <v>16000</v>
          </cell>
          <cell r="I36">
            <v>0</v>
          </cell>
          <cell r="J36">
            <v>0</v>
          </cell>
          <cell r="K36">
            <v>16000</v>
          </cell>
          <cell r="L36">
            <v>16000</v>
          </cell>
          <cell r="M36">
            <v>16000</v>
          </cell>
          <cell r="N36">
            <v>16000</v>
          </cell>
          <cell r="O36">
            <v>16000</v>
          </cell>
          <cell r="P36">
            <v>16000</v>
          </cell>
          <cell r="Q36">
            <v>16000</v>
          </cell>
          <cell r="R36">
            <v>16000</v>
          </cell>
          <cell r="S36">
            <v>16000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10000</v>
          </cell>
          <cell r="L37">
            <v>10000</v>
          </cell>
          <cell r="M37">
            <v>10000</v>
          </cell>
          <cell r="N37">
            <v>10000</v>
          </cell>
          <cell r="O37">
            <v>10000</v>
          </cell>
          <cell r="P37">
            <v>10000</v>
          </cell>
          <cell r="Q37">
            <v>10000</v>
          </cell>
          <cell r="R37">
            <v>10000</v>
          </cell>
          <cell r="S37">
            <v>9999.9999999999982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10000</v>
          </cell>
          <cell r="L40">
            <v>10000</v>
          </cell>
          <cell r="M40">
            <v>10000</v>
          </cell>
          <cell r="N40">
            <v>10000</v>
          </cell>
          <cell r="O40">
            <v>10000</v>
          </cell>
          <cell r="P40">
            <v>10000</v>
          </cell>
          <cell r="Q40">
            <v>10000</v>
          </cell>
          <cell r="R40">
            <v>10000</v>
          </cell>
          <cell r="S40">
            <v>9999.9999999999982</v>
          </cell>
        </row>
        <row r="41">
          <cell r="G41">
            <v>16000</v>
          </cell>
          <cell r="H41">
            <v>16000</v>
          </cell>
          <cell r="I41">
            <v>0</v>
          </cell>
          <cell r="J41">
            <v>0</v>
          </cell>
          <cell r="K41">
            <v>15155.59415255464</v>
          </cell>
          <cell r="L41">
            <v>15141.801641053993</v>
          </cell>
          <cell r="M41">
            <v>15224.956536643895</v>
          </cell>
          <cell r="N41">
            <v>15243.965852560033</v>
          </cell>
          <cell r="O41">
            <v>14985.770945360857</v>
          </cell>
          <cell r="P41">
            <v>15137.073615467723</v>
          </cell>
          <cell r="Q41">
            <v>15120.149235806988</v>
          </cell>
          <cell r="R41">
            <v>15133.418371465939</v>
          </cell>
          <cell r="S41">
            <v>15271.900979785087</v>
          </cell>
        </row>
        <row r="42">
          <cell r="G42">
            <v>16000</v>
          </cell>
          <cell r="H42">
            <v>16000</v>
          </cell>
          <cell r="I42">
            <v>0</v>
          </cell>
          <cell r="J42">
            <v>0</v>
          </cell>
          <cell r="K42">
            <v>14548.829068083054</v>
          </cell>
          <cell r="L42">
            <v>14516.407689185393</v>
          </cell>
          <cell r="M42">
            <v>14598.932551080694</v>
          </cell>
          <cell r="N42">
            <v>14613.0355592626</v>
          </cell>
          <cell r="O42">
            <v>14256.443854562054</v>
          </cell>
          <cell r="P42">
            <v>14533.906453633877</v>
          </cell>
          <cell r="Q42">
            <v>14521.439596934242</v>
          </cell>
          <cell r="R42">
            <v>14528.321311298918</v>
          </cell>
          <cell r="S42">
            <v>14704.550245658949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15000</v>
          </cell>
          <cell r="L43">
            <v>15000</v>
          </cell>
          <cell r="M43">
            <v>15000</v>
          </cell>
          <cell r="N43">
            <v>15000</v>
          </cell>
          <cell r="O43">
            <v>15000</v>
          </cell>
          <cell r="P43">
            <v>15000</v>
          </cell>
          <cell r="Q43">
            <v>15000</v>
          </cell>
          <cell r="R43">
            <v>15000</v>
          </cell>
          <cell r="S43">
            <v>15000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3500</v>
          </cell>
          <cell r="U44">
            <v>3500</v>
          </cell>
        </row>
        <row r="45">
          <cell r="G45">
            <v>10500</v>
          </cell>
          <cell r="H45">
            <v>10500</v>
          </cell>
          <cell r="I45">
            <v>0</v>
          </cell>
          <cell r="J45">
            <v>0</v>
          </cell>
          <cell r="K45">
            <v>22000</v>
          </cell>
          <cell r="L45">
            <v>22000</v>
          </cell>
          <cell r="M45">
            <v>22000</v>
          </cell>
          <cell r="N45">
            <v>22000</v>
          </cell>
          <cell r="O45">
            <v>22000</v>
          </cell>
          <cell r="P45">
            <v>22000</v>
          </cell>
          <cell r="Q45">
            <v>22000</v>
          </cell>
          <cell r="R45">
            <v>22000</v>
          </cell>
          <cell r="S45">
            <v>20057.069183926746</v>
          </cell>
          <cell r="U45">
            <v>22000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3500</v>
          </cell>
          <cell r="U46">
            <v>3500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8000</v>
          </cell>
          <cell r="U47">
            <v>8000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15000</v>
          </cell>
          <cell r="L48">
            <v>15000</v>
          </cell>
          <cell r="M48">
            <v>15000</v>
          </cell>
          <cell r="N48">
            <v>15000</v>
          </cell>
          <cell r="O48">
            <v>15000</v>
          </cell>
          <cell r="P48">
            <v>15000</v>
          </cell>
          <cell r="Q48">
            <v>15000</v>
          </cell>
          <cell r="R48">
            <v>15000</v>
          </cell>
          <cell r="S48">
            <v>15000.000000000002</v>
          </cell>
          <cell r="T48">
            <v>5000</v>
          </cell>
          <cell r="U48">
            <v>20000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15000</v>
          </cell>
          <cell r="L49">
            <v>15000</v>
          </cell>
          <cell r="M49">
            <v>15000</v>
          </cell>
          <cell r="N49">
            <v>15000</v>
          </cell>
          <cell r="O49">
            <v>15000</v>
          </cell>
          <cell r="P49">
            <v>15000</v>
          </cell>
          <cell r="Q49">
            <v>15000</v>
          </cell>
          <cell r="R49">
            <v>15000</v>
          </cell>
          <cell r="S49">
            <v>14999.999999999998</v>
          </cell>
          <cell r="T49">
            <v>7000</v>
          </cell>
          <cell r="U49">
            <v>22000</v>
          </cell>
        </row>
        <row r="50">
          <cell r="G50">
            <v>10500</v>
          </cell>
          <cell r="H50">
            <v>10500</v>
          </cell>
          <cell r="I50">
            <v>0</v>
          </cell>
          <cell r="J50">
            <v>0</v>
          </cell>
          <cell r="K50">
            <v>18627.947719607568</v>
          </cell>
          <cell r="L50">
            <v>18451.960895870303</v>
          </cell>
          <cell r="M50">
            <v>18660.456497989246</v>
          </cell>
          <cell r="N50">
            <v>18625.407128019931</v>
          </cell>
          <cell r="O50">
            <v>17799.021166484261</v>
          </cell>
          <cell r="P50">
            <v>18475.712040682996</v>
          </cell>
          <cell r="Q50">
            <v>18522.019850003235</v>
          </cell>
          <cell r="R50">
            <v>18456.481298694936</v>
          </cell>
          <cell r="S50">
            <v>17734.390113199701</v>
          </cell>
        </row>
        <row r="51">
          <cell r="G51">
            <v>10500</v>
          </cell>
          <cell r="H51">
            <v>10500</v>
          </cell>
          <cell r="I51">
            <v>0</v>
          </cell>
          <cell r="J51">
            <v>0</v>
          </cell>
          <cell r="K51">
            <v>15910.217891360788</v>
          </cell>
          <cell r="L51">
            <v>15773.374329764909</v>
          </cell>
          <cell r="M51">
            <v>15805.683803018648</v>
          </cell>
          <cell r="N51">
            <v>15803.973022521872</v>
          </cell>
          <cell r="O51">
            <v>15596.924453282554</v>
          </cell>
          <cell r="P51">
            <v>15902.226160158438</v>
          </cell>
          <cell r="Q51">
            <v>15905.315987799966</v>
          </cell>
          <cell r="R51">
            <v>15927.132608688091</v>
          </cell>
          <cell r="S51">
            <v>15703.890689247974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9000</v>
          </cell>
          <cell r="L52">
            <v>9000</v>
          </cell>
          <cell r="M52">
            <v>9000</v>
          </cell>
          <cell r="N52">
            <v>9000</v>
          </cell>
          <cell r="O52">
            <v>9000</v>
          </cell>
          <cell r="P52">
            <v>9000</v>
          </cell>
          <cell r="Q52">
            <v>9000</v>
          </cell>
          <cell r="R52">
            <v>9000</v>
          </cell>
          <cell r="S52">
            <v>72000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10555.727554179568</v>
          </cell>
          <cell r="L53">
            <v>10555.727554179568</v>
          </cell>
          <cell r="M53">
            <v>10555.727554179568</v>
          </cell>
          <cell r="N53">
            <v>10555.727554179568</v>
          </cell>
          <cell r="O53">
            <v>10555.727554179568</v>
          </cell>
          <cell r="P53">
            <v>10555.727554179568</v>
          </cell>
          <cell r="Q53">
            <v>10555.727554179568</v>
          </cell>
          <cell r="R53">
            <v>10458.859257853279</v>
          </cell>
          <cell r="S53">
            <v>10543.845625526268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G55">
            <v>15592.961412243973</v>
          </cell>
          <cell r="H55">
            <v>15587.171613783692</v>
          </cell>
          <cell r="I55">
            <v>0</v>
          </cell>
          <cell r="J55">
            <v>0</v>
          </cell>
          <cell r="K55">
            <v>16471.471808093265</v>
          </cell>
          <cell r="L55">
            <v>16408.562969710772</v>
          </cell>
          <cell r="M55">
            <v>16406.225150516872</v>
          </cell>
          <cell r="N55">
            <v>16406.086759027934</v>
          </cell>
          <cell r="O55">
            <v>16409.292791253843</v>
          </cell>
          <cell r="P55">
            <v>16473.826106492925</v>
          </cell>
          <cell r="Q55">
            <v>16473.826106492925</v>
          </cell>
          <cell r="R55">
            <v>16448.75723527409</v>
          </cell>
          <cell r="S55">
            <v>16297.494392454177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  <cell r="P56">
            <v>10000</v>
          </cell>
          <cell r="Q56">
            <v>10000</v>
          </cell>
          <cell r="R56">
            <v>10000</v>
          </cell>
          <cell r="S56">
            <v>9999.9999999999982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15000</v>
          </cell>
          <cell r="L58">
            <v>15000.000000000002</v>
          </cell>
          <cell r="M58">
            <v>15000</v>
          </cell>
          <cell r="N58">
            <v>15000</v>
          </cell>
          <cell r="O58">
            <v>15000.000000000002</v>
          </cell>
          <cell r="P58">
            <v>15000.000000000002</v>
          </cell>
          <cell r="Q58">
            <v>15000.000000000002</v>
          </cell>
          <cell r="R58">
            <v>15000.000000000002</v>
          </cell>
          <cell r="S58">
            <v>15000.000000000002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11830.559757942512</v>
          </cell>
          <cell r="L59">
            <v>11831.945495836488</v>
          </cell>
          <cell r="M59">
            <v>11831.945495836488</v>
          </cell>
          <cell r="N59">
            <v>11834.723275208493</v>
          </cell>
          <cell r="O59">
            <v>11833.333333333334</v>
          </cell>
          <cell r="P59">
            <v>11831.945495836488</v>
          </cell>
          <cell r="Q59">
            <v>11831.945495836488</v>
          </cell>
          <cell r="R59">
            <v>11833.333333333334</v>
          </cell>
          <cell r="S59">
            <v>11832.352817455787</v>
          </cell>
        </row>
        <row r="60">
          <cell r="G60">
            <v>15592.961412243973</v>
          </cell>
          <cell r="H60">
            <v>15587.171613783692</v>
          </cell>
          <cell r="I60">
            <v>0</v>
          </cell>
          <cell r="J60">
            <v>0</v>
          </cell>
          <cell r="K60">
            <v>15585.725961526432</v>
          </cell>
          <cell r="L60">
            <v>15514.763894554017</v>
          </cell>
          <cell r="M60">
            <v>15595.60749777401</v>
          </cell>
          <cell r="N60">
            <v>15613.000057084508</v>
          </cell>
          <cell r="O60">
            <v>15357.258096879785</v>
          </cell>
          <cell r="P60">
            <v>15567.103384967764</v>
          </cell>
          <cell r="Q60">
            <v>15552.050101097935</v>
          </cell>
          <cell r="R60">
            <v>15541.688965587933</v>
          </cell>
          <cell r="S60">
            <v>15552.466336102665</v>
          </cell>
        </row>
        <row r="61">
          <cell r="G61">
            <v>15592.961412243973</v>
          </cell>
          <cell r="H61">
            <v>15587.171613783692</v>
          </cell>
          <cell r="I61">
            <v>0</v>
          </cell>
          <cell r="J61">
            <v>0</v>
          </cell>
          <cell r="K61">
            <v>12414.11670330332</v>
          </cell>
          <cell r="L61">
            <v>12326.382294531266</v>
          </cell>
          <cell r="M61">
            <v>12379.160595595094</v>
          </cell>
          <cell r="N61">
            <v>12383.272856784235</v>
          </cell>
          <cell r="O61">
            <v>12034.124047408703</v>
          </cell>
          <cell r="P61">
            <v>12415.046934324919</v>
          </cell>
          <cell r="Q61">
            <v>12410.84428660604</v>
          </cell>
          <cell r="R61">
            <v>12356.239247487878</v>
          </cell>
          <cell r="S61">
            <v>12522.469810762728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37950</v>
          </cell>
          <cell r="L62">
            <v>37950</v>
          </cell>
          <cell r="M62">
            <v>37950</v>
          </cell>
          <cell r="N62">
            <v>37950</v>
          </cell>
          <cell r="O62">
            <v>37950</v>
          </cell>
          <cell r="P62">
            <v>37950</v>
          </cell>
          <cell r="Q62">
            <v>37950</v>
          </cell>
          <cell r="R62">
            <v>37950</v>
          </cell>
          <cell r="S62">
            <v>303600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G64">
            <v>183299.20000000001</v>
          </cell>
          <cell r="H64">
            <v>164828.79999999999</v>
          </cell>
          <cell r="I64">
            <v>0</v>
          </cell>
          <cell r="J64">
            <v>0</v>
          </cell>
          <cell r="K64">
            <v>227968</v>
          </cell>
          <cell r="L64">
            <v>218240</v>
          </cell>
          <cell r="M64">
            <v>227607.46666666667</v>
          </cell>
          <cell r="N64">
            <v>227690.66666666666</v>
          </cell>
          <cell r="O64">
            <v>165821.86666666667</v>
          </cell>
          <cell r="P64">
            <v>227385.60000000001</v>
          </cell>
          <cell r="Q64">
            <v>227385.60000000001</v>
          </cell>
          <cell r="R64">
            <v>226082.13333333333</v>
          </cell>
          <cell r="S64">
            <v>2096309.3333333335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13280</v>
          </cell>
          <cell r="L65">
            <v>13280</v>
          </cell>
          <cell r="M65">
            <v>12173.333333333332</v>
          </cell>
          <cell r="N65">
            <v>13280</v>
          </cell>
          <cell r="O65">
            <v>13280</v>
          </cell>
          <cell r="P65">
            <v>14386.666666666668</v>
          </cell>
          <cell r="Q65">
            <v>15493.333333333332</v>
          </cell>
          <cell r="R65">
            <v>15493.333333333332</v>
          </cell>
          <cell r="S65">
            <v>110666.66666666666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10056</v>
          </cell>
          <cell r="L68">
            <v>9486</v>
          </cell>
          <cell r="M68">
            <v>8928</v>
          </cell>
          <cell r="N68">
            <v>7236.6666666666661</v>
          </cell>
          <cell r="O68">
            <v>7802.666666666667</v>
          </cell>
          <cell r="P68">
            <v>9486</v>
          </cell>
          <cell r="Q68">
            <v>8928</v>
          </cell>
          <cell r="R68">
            <v>8360</v>
          </cell>
          <cell r="S68">
            <v>70283.333333333328</v>
          </cell>
        </row>
        <row r="69">
          <cell r="G69">
            <v>183299.20000000001</v>
          </cell>
          <cell r="H69">
            <v>164828.79999999999</v>
          </cell>
          <cell r="I69">
            <v>0</v>
          </cell>
          <cell r="J69">
            <v>0</v>
          </cell>
          <cell r="K69">
            <v>251304</v>
          </cell>
          <cell r="L69">
            <v>241006</v>
          </cell>
          <cell r="M69">
            <v>248708.80000000002</v>
          </cell>
          <cell r="N69">
            <v>248207.33333333331</v>
          </cell>
          <cell r="O69">
            <v>186904.53333333333</v>
          </cell>
          <cell r="P69">
            <v>251258.26666666666</v>
          </cell>
          <cell r="Q69">
            <v>251806.93333333335</v>
          </cell>
          <cell r="R69">
            <v>249935.46666666667</v>
          </cell>
          <cell r="S69">
            <v>2277259.3333333335</v>
          </cell>
        </row>
        <row r="70">
          <cell r="G70">
            <v>183299.20000000001</v>
          </cell>
          <cell r="H70">
            <v>164828.79999999999</v>
          </cell>
          <cell r="I70">
            <v>0</v>
          </cell>
          <cell r="J70">
            <v>0</v>
          </cell>
          <cell r="K70">
            <v>289254</v>
          </cell>
          <cell r="L70">
            <v>278956</v>
          </cell>
          <cell r="M70">
            <v>286658.80000000005</v>
          </cell>
          <cell r="N70">
            <v>286157.33333333331</v>
          </cell>
          <cell r="O70">
            <v>224854.53333333333</v>
          </cell>
          <cell r="P70">
            <v>289208.26666666666</v>
          </cell>
          <cell r="Q70">
            <v>289756.93333333335</v>
          </cell>
          <cell r="R70">
            <v>287885.46666666667</v>
          </cell>
          <cell r="S70">
            <v>2580859.3333333335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105000</v>
          </cell>
          <cell r="L71">
            <v>105000</v>
          </cell>
          <cell r="M71">
            <v>105000</v>
          </cell>
          <cell r="N71">
            <v>105000</v>
          </cell>
          <cell r="O71">
            <v>105000</v>
          </cell>
          <cell r="P71">
            <v>105000</v>
          </cell>
          <cell r="Q71">
            <v>105000</v>
          </cell>
          <cell r="R71">
            <v>94665</v>
          </cell>
          <cell r="S71">
            <v>829665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9613.8000000000011</v>
          </cell>
          <cell r="H73">
            <v>8778</v>
          </cell>
          <cell r="I73">
            <v>0</v>
          </cell>
          <cell r="J73">
            <v>0</v>
          </cell>
          <cell r="K73">
            <v>26731.466666666664</v>
          </cell>
          <cell r="L73">
            <v>21926.666666666664</v>
          </cell>
          <cell r="M73">
            <v>22727.466666666664</v>
          </cell>
          <cell r="N73">
            <v>22727.466666666664</v>
          </cell>
          <cell r="O73">
            <v>16692.133333333335</v>
          </cell>
          <cell r="P73">
            <v>26807.733333333334</v>
          </cell>
          <cell r="Q73">
            <v>26807.733333333334</v>
          </cell>
          <cell r="R73">
            <v>25129.866666666672</v>
          </cell>
          <cell r="S73">
            <v>207942.33333333331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8228.4383999999991</v>
          </cell>
          <cell r="L76">
            <v>7138.1024000000007</v>
          </cell>
          <cell r="M76">
            <v>6393.4623999999994</v>
          </cell>
          <cell r="N76">
            <v>8131.95</v>
          </cell>
          <cell r="O76">
            <v>10305.450000000001</v>
          </cell>
          <cell r="P76">
            <v>10305.450000000001</v>
          </cell>
          <cell r="Q76">
            <v>10305.450000000001</v>
          </cell>
          <cell r="R76">
            <v>10305.450000000001</v>
          </cell>
          <cell r="S76">
            <v>71113.753199999992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8712</v>
          </cell>
          <cell r="L77">
            <v>8228</v>
          </cell>
          <cell r="M77">
            <v>7744</v>
          </cell>
          <cell r="N77">
            <v>6292</v>
          </cell>
          <cell r="O77">
            <v>6776</v>
          </cell>
          <cell r="P77">
            <v>8228</v>
          </cell>
          <cell r="Q77">
            <v>7744</v>
          </cell>
          <cell r="R77">
            <v>7260</v>
          </cell>
          <cell r="S77">
            <v>60984</v>
          </cell>
        </row>
        <row r="78">
          <cell r="G78">
            <v>9613.8000000000011</v>
          </cell>
          <cell r="H78">
            <v>8778</v>
          </cell>
          <cell r="I78">
            <v>0</v>
          </cell>
          <cell r="J78">
            <v>0</v>
          </cell>
          <cell r="K78">
            <v>43671.905066666659</v>
          </cell>
          <cell r="L78">
            <v>37292.76906666666</v>
          </cell>
          <cell r="M78">
            <v>36864.929066666664</v>
          </cell>
          <cell r="N78">
            <v>37151.416666666664</v>
          </cell>
          <cell r="O78">
            <v>33773.583333333336</v>
          </cell>
          <cell r="P78">
            <v>45341.183333333334</v>
          </cell>
          <cell r="Q78">
            <v>44857.183333333334</v>
          </cell>
          <cell r="R78">
            <v>42695.316666666673</v>
          </cell>
          <cell r="S78">
            <v>340040.08653333329</v>
          </cell>
        </row>
        <row r="79">
          <cell r="G79">
            <v>9613.8000000000011</v>
          </cell>
          <cell r="H79">
            <v>8778</v>
          </cell>
          <cell r="I79">
            <v>0</v>
          </cell>
          <cell r="J79">
            <v>0</v>
          </cell>
          <cell r="K79">
            <v>148671.90506666666</v>
          </cell>
          <cell r="L79">
            <v>142292.76906666666</v>
          </cell>
          <cell r="M79">
            <v>141864.92906666666</v>
          </cell>
          <cell r="N79">
            <v>142151.41666666666</v>
          </cell>
          <cell r="O79">
            <v>138773.58333333334</v>
          </cell>
          <cell r="P79">
            <v>150341.18333333335</v>
          </cell>
          <cell r="Q79">
            <v>149857.18333333335</v>
          </cell>
          <cell r="R79">
            <v>137360.31666666668</v>
          </cell>
          <cell r="S79">
            <v>1169705.0865333332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198000</v>
          </cell>
          <cell r="L80">
            <v>198000</v>
          </cell>
          <cell r="M80">
            <v>198000</v>
          </cell>
          <cell r="N80">
            <v>198000</v>
          </cell>
          <cell r="O80">
            <v>198000</v>
          </cell>
          <cell r="P80">
            <v>198000</v>
          </cell>
          <cell r="Q80">
            <v>198000</v>
          </cell>
          <cell r="R80">
            <v>198000</v>
          </cell>
          <cell r="S80">
            <v>1584000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340950</v>
          </cell>
          <cell r="L81">
            <v>340950</v>
          </cell>
          <cell r="M81">
            <v>340950</v>
          </cell>
          <cell r="N81">
            <v>340950</v>
          </cell>
          <cell r="O81">
            <v>340950</v>
          </cell>
          <cell r="P81">
            <v>340950</v>
          </cell>
          <cell r="Q81">
            <v>340950</v>
          </cell>
          <cell r="R81">
            <v>330615</v>
          </cell>
          <cell r="S81">
            <v>2717265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192913</v>
          </cell>
          <cell r="H83">
            <v>173606.8</v>
          </cell>
          <cell r="I83">
            <v>0</v>
          </cell>
          <cell r="J83">
            <v>0</v>
          </cell>
          <cell r="K83">
            <v>254699.46666666667</v>
          </cell>
          <cell r="L83">
            <v>240166.66666666666</v>
          </cell>
          <cell r="M83">
            <v>250334.93333333335</v>
          </cell>
          <cell r="N83">
            <v>250418.13333333333</v>
          </cell>
          <cell r="O83">
            <v>182514</v>
          </cell>
          <cell r="P83">
            <v>254193.33333333334</v>
          </cell>
          <cell r="Q83">
            <v>254193.33333333334</v>
          </cell>
          <cell r="R83">
            <v>251212</v>
          </cell>
          <cell r="S83">
            <v>2304251.6666666665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13280</v>
          </cell>
          <cell r="L84">
            <v>13280</v>
          </cell>
          <cell r="M84">
            <v>12173.333333333332</v>
          </cell>
          <cell r="N84">
            <v>13280</v>
          </cell>
          <cell r="O84">
            <v>13280</v>
          </cell>
          <cell r="P84">
            <v>14386.666666666668</v>
          </cell>
          <cell r="Q84">
            <v>15493.333333333332</v>
          </cell>
          <cell r="R84">
            <v>15493.333333333332</v>
          </cell>
          <cell r="S84">
            <v>110666.66666666666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8228.4383999999991</v>
          </cell>
          <cell r="L86">
            <v>7138.1024000000007</v>
          </cell>
          <cell r="M86">
            <v>6393.4623999999994</v>
          </cell>
          <cell r="N86">
            <v>8131.95</v>
          </cell>
          <cell r="O86">
            <v>10305.450000000001</v>
          </cell>
          <cell r="P86">
            <v>10305.450000000001</v>
          </cell>
          <cell r="Q86">
            <v>10305.450000000001</v>
          </cell>
          <cell r="R86">
            <v>10305.450000000001</v>
          </cell>
          <cell r="S86">
            <v>71113.753199999992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18768</v>
          </cell>
          <cell r="L87">
            <v>17714</v>
          </cell>
          <cell r="M87">
            <v>16672</v>
          </cell>
          <cell r="N87">
            <v>13528.666666666666</v>
          </cell>
          <cell r="O87">
            <v>14578.666666666668</v>
          </cell>
          <cell r="P87">
            <v>17714</v>
          </cell>
          <cell r="Q87">
            <v>16672</v>
          </cell>
          <cell r="R87">
            <v>15620</v>
          </cell>
          <cell r="S87">
            <v>131267.33333333334</v>
          </cell>
        </row>
        <row r="88">
          <cell r="G88">
            <v>192913</v>
          </cell>
          <cell r="H88">
            <v>173606.8</v>
          </cell>
          <cell r="I88">
            <v>0</v>
          </cell>
          <cell r="J88">
            <v>0</v>
          </cell>
          <cell r="K88">
            <v>294975.90506666666</v>
          </cell>
          <cell r="L88">
            <v>278298.76906666666</v>
          </cell>
          <cell r="M88">
            <v>285573.72906666668</v>
          </cell>
          <cell r="N88">
            <v>285358.75</v>
          </cell>
          <cell r="O88">
            <v>220678.11666666667</v>
          </cell>
          <cell r="P88">
            <v>296599.45</v>
          </cell>
          <cell r="Q88">
            <v>296664.1166666667</v>
          </cell>
          <cell r="R88">
            <v>292630.78333333333</v>
          </cell>
          <cell r="S88">
            <v>2617299.4198666667</v>
          </cell>
        </row>
        <row r="89">
          <cell r="G89">
            <v>192913</v>
          </cell>
          <cell r="H89">
            <v>173606.8</v>
          </cell>
          <cell r="I89">
            <v>0</v>
          </cell>
          <cell r="J89">
            <v>0</v>
          </cell>
          <cell r="K89">
            <v>635925.90506666666</v>
          </cell>
          <cell r="L89">
            <v>619248.76906666672</v>
          </cell>
          <cell r="M89">
            <v>626523.72906666668</v>
          </cell>
          <cell r="N89">
            <v>626308.75</v>
          </cell>
          <cell r="O89">
            <v>561628.1166666667</v>
          </cell>
          <cell r="P89">
            <v>637549.44999999995</v>
          </cell>
          <cell r="Q89">
            <v>637614.1166666667</v>
          </cell>
          <cell r="R89">
            <v>623245.78333333333</v>
          </cell>
          <cell r="S89">
            <v>5334564.4198666662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33679.403189772958</v>
          </cell>
          <cell r="L90">
            <v>32212.10621767243</v>
          </cell>
          <cell r="M90">
            <v>36788.620455554446</v>
          </cell>
          <cell r="N90">
            <v>31237.513971272445</v>
          </cell>
          <cell r="O90">
            <v>36652.559748170279</v>
          </cell>
          <cell r="P90">
            <v>31401.992510785971</v>
          </cell>
          <cell r="Q90">
            <v>34972.707128142429</v>
          </cell>
          <cell r="R90">
            <v>33343.426670849432</v>
          </cell>
          <cell r="S90">
            <v>270288.32989222038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G92">
            <v>102483.09749801969</v>
          </cell>
          <cell r="H92">
            <v>72595.243094506994</v>
          </cell>
          <cell r="I92">
            <v>0</v>
          </cell>
          <cell r="J92">
            <v>0</v>
          </cell>
          <cell r="K92">
            <v>145413.37474178334</v>
          </cell>
          <cell r="L92">
            <v>133143.37236637939</v>
          </cell>
          <cell r="M92">
            <v>158586.45272822463</v>
          </cell>
          <cell r="N92">
            <v>134706.25721833971</v>
          </cell>
          <cell r="O92">
            <v>115109.77037032436</v>
          </cell>
          <cell r="P92">
            <v>135234.10811099573</v>
          </cell>
          <cell r="Q92">
            <v>150611.55291585124</v>
          </cell>
          <cell r="R92">
            <v>142771.83777252282</v>
          </cell>
          <cell r="S92">
            <v>1290655.0668169481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13553.408313944996</v>
          </cell>
          <cell r="L93">
            <v>12962.932441536057</v>
          </cell>
          <cell r="M93">
            <v>13570.913323604529</v>
          </cell>
          <cell r="N93">
            <v>12570.732895106003</v>
          </cell>
          <cell r="O93">
            <v>14749.878589566708</v>
          </cell>
          <cell r="P93">
            <v>13689.999967328511</v>
          </cell>
          <cell r="Q93">
            <v>16419.509366828894</v>
          </cell>
          <cell r="R93">
            <v>15654.570420819005</v>
          </cell>
          <cell r="S93">
            <v>113171.9453187347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10263.032681101722</v>
          </cell>
          <cell r="L96">
            <v>9259.5163509345675</v>
          </cell>
          <cell r="M96">
            <v>9952.9940432481853</v>
          </cell>
          <cell r="N96">
            <v>6850.1659425891394</v>
          </cell>
          <cell r="O96">
            <v>8666.2941271229301</v>
          </cell>
          <cell r="P96">
            <v>9026.645483555023</v>
          </cell>
          <cell r="Q96">
            <v>9461.7069466683533</v>
          </cell>
          <cell r="R96">
            <v>8447.0014232818558</v>
          </cell>
          <cell r="S96">
            <v>71927.356998501768</v>
          </cell>
        </row>
        <row r="97">
          <cell r="G97">
            <v>102483.09749801969</v>
          </cell>
          <cell r="H97">
            <v>72595.243094506994</v>
          </cell>
          <cell r="I97">
            <v>0</v>
          </cell>
          <cell r="J97">
            <v>0</v>
          </cell>
          <cell r="K97">
            <v>169229.81573683006</v>
          </cell>
          <cell r="L97">
            <v>155365.82115885001</v>
          </cell>
          <cell r="M97">
            <v>182110.36009507734</v>
          </cell>
          <cell r="N97">
            <v>154127.15605603484</v>
          </cell>
          <cell r="O97">
            <v>138525.94308701399</v>
          </cell>
          <cell r="P97">
            <v>157950.75356187925</v>
          </cell>
          <cell r="Q97">
            <v>176492.76922934849</v>
          </cell>
          <cell r="R97">
            <v>166873.40961662368</v>
          </cell>
          <cell r="S97">
            <v>1475754.3691341847</v>
          </cell>
        </row>
        <row r="98">
          <cell r="G98">
            <v>102483.09749801969</v>
          </cell>
          <cell r="H98">
            <v>72595.243094506994</v>
          </cell>
          <cell r="I98">
            <v>0</v>
          </cell>
          <cell r="J98">
            <v>0</v>
          </cell>
          <cell r="K98">
            <v>202909.21892660303</v>
          </cell>
          <cell r="L98">
            <v>187577.92737652245</v>
          </cell>
          <cell r="M98">
            <v>218898.98055063179</v>
          </cell>
          <cell r="N98">
            <v>185364.67002730729</v>
          </cell>
          <cell r="O98">
            <v>175178.50283518428</v>
          </cell>
          <cell r="P98">
            <v>189352.74607266521</v>
          </cell>
          <cell r="Q98">
            <v>211465.47635749093</v>
          </cell>
          <cell r="R98">
            <v>200216.83628747312</v>
          </cell>
          <cell r="S98">
            <v>1746042.6990264051</v>
          </cell>
        </row>
        <row r="99">
          <cell r="G99">
            <v>8945.6449344476951</v>
          </cell>
          <cell r="H99">
            <v>7046.8503654222559</v>
          </cell>
          <cell r="I99">
            <v>0</v>
          </cell>
          <cell r="J99">
            <v>0</v>
          </cell>
          <cell r="K99">
            <v>10205.879754476653</v>
          </cell>
          <cell r="L99">
            <v>9761.2443083855851</v>
          </cell>
          <cell r="M99">
            <v>11148.06680471347</v>
          </cell>
          <cell r="N99">
            <v>9465.9133246280144</v>
          </cell>
          <cell r="O99">
            <v>11106.836287324328</v>
          </cell>
          <cell r="P99">
            <v>9515.755306298779</v>
          </cell>
          <cell r="Q99">
            <v>10597.790038831041</v>
          </cell>
          <cell r="R99">
            <v>10104.068688136191</v>
          </cell>
          <cell r="S99">
            <v>9948.1487686270921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71441.158281336582</v>
          </cell>
          <cell r="L100">
            <v>68328.710158699061</v>
          </cell>
          <cell r="M100">
            <v>78036.467632994274</v>
          </cell>
          <cell r="N100">
            <v>66261.393272396104</v>
          </cell>
          <cell r="O100">
            <v>77747.854011270305</v>
          </cell>
          <cell r="P100">
            <v>66610.287144091446</v>
          </cell>
          <cell r="Q100">
            <v>74184.530271817261</v>
          </cell>
          <cell r="R100">
            <v>63766.77749082751</v>
          </cell>
          <cell r="S100">
            <v>566377.17826343246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G102">
            <v>8190.6325019803116</v>
          </cell>
          <cell r="H102">
            <v>5891.1669054930062</v>
          </cell>
          <cell r="I102">
            <v>0</v>
          </cell>
          <cell r="J102">
            <v>0</v>
          </cell>
          <cell r="K102">
            <v>12400.824293672764</v>
          </cell>
          <cell r="L102">
            <v>9728.7068273576297</v>
          </cell>
          <cell r="M102">
            <v>11516.69621372266</v>
          </cell>
          <cell r="N102">
            <v>9778.9195252290465</v>
          </cell>
          <cell r="O102">
            <v>8427.1269190692146</v>
          </cell>
          <cell r="P102">
            <v>11595.265032568606</v>
          </cell>
          <cell r="Q102">
            <v>12913.760421983581</v>
          </cell>
          <cell r="R102">
            <v>11541.54086016837</v>
          </cell>
          <cell r="S102">
            <v>101984.6395012452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5598.5635251678841</v>
          </cell>
          <cell r="L105">
            <v>4645.1174283115643</v>
          </cell>
          <cell r="M105">
            <v>4751.6497299082466</v>
          </cell>
          <cell r="N105">
            <v>5131.7555906805856</v>
          </cell>
          <cell r="O105">
            <v>7630.7297344804338</v>
          </cell>
          <cell r="P105">
            <v>6537.6093680864496</v>
          </cell>
          <cell r="Q105">
            <v>7280.9996903780884</v>
          </cell>
          <cell r="R105">
            <v>6941.798310810208</v>
          </cell>
          <cell r="S105">
            <v>48518.223377823466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5927.5749614000397</v>
          </cell>
          <cell r="L106">
            <v>5354.3678779597712</v>
          </cell>
          <cell r="M106">
            <v>5755.3752890467395</v>
          </cell>
          <cell r="N106">
            <v>3970.6351092372975</v>
          </cell>
          <cell r="O106">
            <v>5017.3281788606437</v>
          </cell>
          <cell r="P106">
            <v>5219.708977348424</v>
          </cell>
          <cell r="Q106">
            <v>5471.2857373805045</v>
          </cell>
          <cell r="R106">
            <v>4890.3692450579174</v>
          </cell>
          <cell r="S106">
            <v>41606.645376291337</v>
          </cell>
        </row>
        <row r="107">
          <cell r="G107">
            <v>8190.6325019803116</v>
          </cell>
          <cell r="H107">
            <v>5891.1669054930062</v>
          </cell>
          <cell r="I107">
            <v>0</v>
          </cell>
          <cell r="J107">
            <v>0</v>
          </cell>
          <cell r="K107">
            <v>23926.96278024069</v>
          </cell>
          <cell r="L107">
            <v>19728.192133628967</v>
          </cell>
          <cell r="M107">
            <v>22023.721232677646</v>
          </cell>
          <cell r="N107">
            <v>18881.310225146928</v>
          </cell>
          <cell r="O107">
            <v>21075.18483241029</v>
          </cell>
          <cell r="P107">
            <v>23352.583378003481</v>
          </cell>
          <cell r="Q107">
            <v>25666.045849742175</v>
          </cell>
          <cell r="R107">
            <v>23373.708416036498</v>
          </cell>
          <cell r="S107">
            <v>192109.50825535998</v>
          </cell>
        </row>
        <row r="108">
          <cell r="G108">
            <v>8190.6325019803116</v>
          </cell>
          <cell r="H108">
            <v>5891.1669054930062</v>
          </cell>
          <cell r="I108">
            <v>0</v>
          </cell>
          <cell r="J108">
            <v>0</v>
          </cell>
          <cell r="K108">
            <v>95368.121061577272</v>
          </cell>
          <cell r="L108">
            <v>88056.902292328028</v>
          </cell>
          <cell r="M108">
            <v>100060.18886567192</v>
          </cell>
          <cell r="N108">
            <v>85142.703497543029</v>
          </cell>
          <cell r="O108">
            <v>98823.038843680595</v>
          </cell>
          <cell r="P108">
            <v>89962.87052209492</v>
          </cell>
          <cell r="Q108">
            <v>99850.576121559439</v>
          </cell>
          <cell r="R108">
            <v>87140.485906864007</v>
          </cell>
          <cell r="S108">
            <v>758486.68651879241</v>
          </cell>
        </row>
        <row r="109">
          <cell r="G109">
            <v>8945.6449344476951</v>
          </cell>
          <cell r="H109">
            <v>7046.8503654222559</v>
          </cell>
          <cell r="I109">
            <v>0</v>
          </cell>
          <cell r="J109">
            <v>0</v>
          </cell>
          <cell r="K109">
            <v>10205.879754476653</v>
          </cell>
          <cell r="L109">
            <v>9761.2443083855815</v>
          </cell>
          <cell r="M109">
            <v>11148.066804713468</v>
          </cell>
          <cell r="N109">
            <v>9465.9133246280144</v>
          </cell>
          <cell r="O109">
            <v>11106.83628732433</v>
          </cell>
          <cell r="P109">
            <v>9515.755306298779</v>
          </cell>
          <cell r="Q109">
            <v>10597.790038831039</v>
          </cell>
          <cell r="R109">
            <v>10104.068688136193</v>
          </cell>
          <cell r="S109">
            <v>10183.072768916762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156329.35459848633</v>
          </cell>
          <cell r="L110">
            <v>146547.37478448282</v>
          </cell>
          <cell r="M110">
            <v>177057.46970369629</v>
          </cell>
          <cell r="N110">
            <v>140050.09314181635</v>
          </cell>
          <cell r="O110">
            <v>176150.39832113523</v>
          </cell>
          <cell r="P110">
            <v>141146.61673857315</v>
          </cell>
          <cell r="Q110">
            <v>164951.38085428294</v>
          </cell>
          <cell r="R110">
            <v>154089.5111389962</v>
          </cell>
          <cell r="S110">
            <v>1256322.1992814692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7105.8797544766521</v>
          </cell>
          <cell r="L111">
            <v>6661.2443083855824</v>
          </cell>
          <cell r="M111">
            <v>8048.0668047134677</v>
          </cell>
          <cell r="N111">
            <v>6365.9133246280153</v>
          </cell>
          <cell r="O111">
            <v>8006.8362873243277</v>
          </cell>
          <cell r="P111">
            <v>6415.7553062987799</v>
          </cell>
          <cell r="Q111">
            <v>7497.7900388310427</v>
          </cell>
          <cell r="R111">
            <v>7004.0686881361908</v>
          </cell>
          <cell r="S111">
            <v>7138.1943140992571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261449.91606959587</v>
          </cell>
          <cell r="L112">
            <v>247088.1911608543</v>
          </cell>
          <cell r="M112">
            <v>291882.557792245</v>
          </cell>
          <cell r="N112">
            <v>237549.00038548489</v>
          </cell>
          <cell r="O112">
            <v>290550.81208057585</v>
          </cell>
          <cell r="P112">
            <v>239158.89639345056</v>
          </cell>
          <cell r="Q112">
            <v>274108.61825424264</v>
          </cell>
          <cell r="R112">
            <v>251199.71530067315</v>
          </cell>
          <cell r="S112">
            <v>2092987.7074371225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G114">
            <v>110673.73000000001</v>
          </cell>
          <cell r="H114">
            <v>78486.41</v>
          </cell>
          <cell r="I114">
            <v>0</v>
          </cell>
          <cell r="J114">
            <v>0</v>
          </cell>
          <cell r="K114">
            <v>157814.19903545611</v>
          </cell>
          <cell r="L114">
            <v>142872.07919373701</v>
          </cell>
          <cell r="M114">
            <v>170103.14894194729</v>
          </cell>
          <cell r="N114">
            <v>144485.17674356877</v>
          </cell>
          <cell r="O114">
            <v>123536.89728939357</v>
          </cell>
          <cell r="P114">
            <v>146829.37314356433</v>
          </cell>
          <cell r="Q114">
            <v>163525.31333783481</v>
          </cell>
          <cell r="R114">
            <v>154313.37863269119</v>
          </cell>
          <cell r="S114">
            <v>1392639.7063181931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13553.408313944996</v>
          </cell>
          <cell r="L115">
            <v>12962.932441536057</v>
          </cell>
          <cell r="M115">
            <v>13570.913323604529</v>
          </cell>
          <cell r="N115">
            <v>12570.732895106003</v>
          </cell>
          <cell r="O115">
            <v>14749.878589566708</v>
          </cell>
          <cell r="P115">
            <v>13689.999967328511</v>
          </cell>
          <cell r="Q115">
            <v>16419.509366828894</v>
          </cell>
          <cell r="R115">
            <v>15654.570420819005</v>
          </cell>
          <cell r="S115">
            <v>113171.9453187347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5598.5635251678841</v>
          </cell>
          <cell r="L117">
            <v>4645.1174283115643</v>
          </cell>
          <cell r="M117">
            <v>4751.6497299082466</v>
          </cell>
          <cell r="N117">
            <v>5131.7555906805856</v>
          </cell>
          <cell r="O117">
            <v>7630.7297344804338</v>
          </cell>
          <cell r="P117">
            <v>6537.6093680864496</v>
          </cell>
          <cell r="Q117">
            <v>7280.9996903780884</v>
          </cell>
          <cell r="R117">
            <v>6941.798310810208</v>
          </cell>
          <cell r="S117">
            <v>48518.223377823466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16190.607642501762</v>
          </cell>
          <cell r="L118">
            <v>14613.884228894338</v>
          </cell>
          <cell r="M118">
            <v>15708.369332294926</v>
          </cell>
          <cell r="N118">
            <v>10820.801051826436</v>
          </cell>
          <cell r="O118">
            <v>13683.622305983574</v>
          </cell>
          <cell r="P118">
            <v>14246.354460903447</v>
          </cell>
          <cell r="Q118">
            <v>14932.992684048859</v>
          </cell>
          <cell r="R118">
            <v>13337.370668339772</v>
          </cell>
          <cell r="S118">
            <v>113534.00237479311</v>
          </cell>
        </row>
        <row r="119">
          <cell r="G119">
            <v>110673.73000000001</v>
          </cell>
          <cell r="H119">
            <v>78486.41</v>
          </cell>
          <cell r="I119">
            <v>0</v>
          </cell>
          <cell r="J119">
            <v>0</v>
          </cell>
          <cell r="K119">
            <v>193156.77851707075</v>
          </cell>
          <cell r="L119">
            <v>175094.01329247895</v>
          </cell>
          <cell r="M119">
            <v>204134.081327755</v>
          </cell>
          <cell r="N119">
            <v>173008.46628118178</v>
          </cell>
          <cell r="O119">
            <v>159601.12791942427</v>
          </cell>
          <cell r="P119">
            <v>181303.33693988272</v>
          </cell>
          <cell r="Q119">
            <v>202158.81507909065</v>
          </cell>
          <cell r="R119">
            <v>190247.11803266019</v>
          </cell>
          <cell r="S119">
            <v>1667863.8773895444</v>
          </cell>
        </row>
        <row r="120">
          <cell r="G120">
            <v>110673.73000000001</v>
          </cell>
          <cell r="H120">
            <v>78486.41</v>
          </cell>
          <cell r="I120">
            <v>0</v>
          </cell>
          <cell r="J120">
            <v>0</v>
          </cell>
          <cell r="K120">
            <v>454606.69458666665</v>
          </cell>
          <cell r="L120">
            <v>422182.20445333328</v>
          </cell>
          <cell r="M120">
            <v>496016.63912000001</v>
          </cell>
          <cell r="N120">
            <v>410557.46666666667</v>
          </cell>
          <cell r="O120">
            <v>450151.94000000012</v>
          </cell>
          <cell r="P120">
            <v>420462.23333333328</v>
          </cell>
          <cell r="Q120">
            <v>476267.43333333329</v>
          </cell>
          <cell r="R120">
            <v>441446.83333333337</v>
          </cell>
          <cell r="S120">
            <v>3760851.5848266669</v>
          </cell>
        </row>
        <row r="121">
          <cell r="G121">
            <v>8945.6449344476951</v>
          </cell>
          <cell r="H121">
            <v>7046.8503654222568</v>
          </cell>
          <cell r="I121" t="e">
            <v>#DIV/0!</v>
          </cell>
          <cell r="J121" t="e">
            <v>#DIV/0!</v>
          </cell>
          <cell r="K121">
            <v>8874.5253428702727</v>
          </cell>
          <cell r="L121">
            <v>8403.6973668646879</v>
          </cell>
          <cell r="M121">
            <v>9800.538030540336</v>
          </cell>
          <cell r="N121">
            <v>8117.4742219766713</v>
          </cell>
          <cell r="O121">
            <v>9645.5005107175712</v>
          </cell>
          <cell r="P121">
            <v>8187.6917326874154</v>
          </cell>
          <cell r="Q121">
            <v>9270.3106775341766</v>
          </cell>
          <cell r="R121">
            <v>8751.9608372468574</v>
          </cell>
          <cell r="S121">
            <v>8828.3028804305286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4270.5968102270417</v>
          </cell>
          <cell r="L122">
            <v>5737.8937823275701</v>
          </cell>
          <cell r="M122">
            <v>1161.3795444455536</v>
          </cell>
          <cell r="N122">
            <v>6712.4860287275551</v>
          </cell>
          <cell r="O122">
            <v>1297.4402518297211</v>
          </cell>
          <cell r="P122">
            <v>6548.0074892140292</v>
          </cell>
          <cell r="Q122">
            <v>2977.2928718575713</v>
          </cell>
          <cell r="R122">
            <v>4606.5733291505676</v>
          </cell>
          <cell r="S122">
            <v>33311.67010777961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G124">
            <v>80816.10250198032</v>
          </cell>
          <cell r="H124">
            <v>92233.556905492995</v>
          </cell>
          <cell r="I124">
            <v>0</v>
          </cell>
          <cell r="J124">
            <v>0</v>
          </cell>
          <cell r="K124">
            <v>82554.625258216663</v>
          </cell>
          <cell r="L124">
            <v>85096.627633620607</v>
          </cell>
          <cell r="M124">
            <v>69021.013938442047</v>
          </cell>
          <cell r="N124">
            <v>92984.409448326944</v>
          </cell>
          <cell r="O124">
            <v>50712.096296342308</v>
          </cell>
          <cell r="P124">
            <v>92151.491889004275</v>
          </cell>
          <cell r="Q124">
            <v>76774.047084148769</v>
          </cell>
          <cell r="R124">
            <v>83310.295560810511</v>
          </cell>
          <cell r="S124">
            <v>805654.26651638537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-273.40831394499583</v>
          </cell>
          <cell r="L125">
            <v>317.06755846394299</v>
          </cell>
          <cell r="M125">
            <v>-1397.5799902711969</v>
          </cell>
          <cell r="N125">
            <v>709.26710489399738</v>
          </cell>
          <cell r="O125">
            <v>-1469.8785895667079</v>
          </cell>
          <cell r="P125">
            <v>696.66669933815683</v>
          </cell>
          <cell r="Q125">
            <v>-926.17603349556157</v>
          </cell>
          <cell r="R125">
            <v>-161.23708748567333</v>
          </cell>
          <cell r="S125">
            <v>-2505.2786520680384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-207.03268110172212</v>
          </cell>
          <cell r="L128">
            <v>226.48364906543247</v>
          </cell>
          <cell r="M128">
            <v>-1024.9940432481853</v>
          </cell>
          <cell r="N128">
            <v>386.50072407752668</v>
          </cell>
          <cell r="O128">
            <v>-863.62746045626318</v>
          </cell>
          <cell r="P128">
            <v>459.35451644497698</v>
          </cell>
          <cell r="Q128">
            <v>-533.70694666835334</v>
          </cell>
          <cell r="R128">
            <v>-87.00142328185575</v>
          </cell>
          <cell r="S128">
            <v>-1644.0236651684436</v>
          </cell>
        </row>
        <row r="129">
          <cell r="G129">
            <v>80816.10250198032</v>
          </cell>
          <cell r="H129">
            <v>92233.556905492995</v>
          </cell>
          <cell r="I129">
            <v>0</v>
          </cell>
          <cell r="J129">
            <v>0</v>
          </cell>
          <cell r="K129">
            <v>82074.18426316994</v>
          </cell>
          <cell r="L129">
            <v>85640.178841149973</v>
          </cell>
          <cell r="M129">
            <v>66598.439904922663</v>
          </cell>
          <cell r="N129">
            <v>94080.17727729847</v>
          </cell>
          <cell r="O129">
            <v>48378.590246319334</v>
          </cell>
          <cell r="P129">
            <v>93307.513104787402</v>
          </cell>
          <cell r="Q129">
            <v>75314.164103984862</v>
          </cell>
          <cell r="R129">
            <v>83062.057050042989</v>
          </cell>
          <cell r="S129">
            <v>801504.96419914893</v>
          </cell>
        </row>
        <row r="130">
          <cell r="G130">
            <v>80816.10250198032</v>
          </cell>
          <cell r="H130">
            <v>92233.556905492995</v>
          </cell>
          <cell r="I130">
            <v>0</v>
          </cell>
          <cell r="J130">
            <v>0</v>
          </cell>
          <cell r="K130">
            <v>86344.781073396982</v>
          </cell>
          <cell r="L130">
            <v>91378.07262347755</v>
          </cell>
          <cell r="M130">
            <v>67759.819449368224</v>
          </cell>
          <cell r="N130">
            <v>100792.66330602602</v>
          </cell>
          <cell r="O130">
            <v>49676.030498149055</v>
          </cell>
          <cell r="P130">
            <v>99855.520594001428</v>
          </cell>
          <cell r="Q130">
            <v>78291.456975842433</v>
          </cell>
          <cell r="R130">
            <v>87668.63037919355</v>
          </cell>
          <cell r="S130">
            <v>834816.63430692849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33558.841718663418</v>
          </cell>
          <cell r="L131">
            <v>36671.289841300939</v>
          </cell>
          <cell r="M131">
            <v>26963.532367005726</v>
          </cell>
          <cell r="N131">
            <v>38738.606727603896</v>
          </cell>
          <cell r="O131">
            <v>27252.145988729695</v>
          </cell>
          <cell r="P131">
            <v>38389.712855908554</v>
          </cell>
          <cell r="Q131">
            <v>30815.469728182739</v>
          </cell>
          <cell r="R131">
            <v>30898.22250917249</v>
          </cell>
          <cell r="S131">
            <v>263287.82173656748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G133">
            <v>1423.1674980196894</v>
          </cell>
          <cell r="H133">
            <v>2886.8330945069938</v>
          </cell>
          <cell r="I133">
            <v>0</v>
          </cell>
          <cell r="J133">
            <v>0</v>
          </cell>
          <cell r="K133">
            <v>14330.6423729939</v>
          </cell>
          <cell r="L133">
            <v>12197.959839309035</v>
          </cell>
          <cell r="M133">
            <v>11210.770452944003</v>
          </cell>
          <cell r="N133">
            <v>12948.547141437617</v>
          </cell>
          <cell r="O133">
            <v>8265.0064142641204</v>
          </cell>
          <cell r="P133">
            <v>15212.468300764727</v>
          </cell>
          <cell r="Q133">
            <v>13893.972911349752</v>
          </cell>
          <cell r="R133">
            <v>13588.325806498302</v>
          </cell>
          <cell r="S133">
            <v>105957.69383208815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2629.874874832115</v>
          </cell>
          <cell r="L136">
            <v>2492.9849716884364</v>
          </cell>
          <cell r="M136">
            <v>1641.8126700917528</v>
          </cell>
          <cell r="N136">
            <v>3000.1944093194143</v>
          </cell>
          <cell r="O136">
            <v>2674.720265519567</v>
          </cell>
          <cell r="P136">
            <v>3767.8406319135511</v>
          </cell>
          <cell r="Q136">
            <v>3024.4503096219123</v>
          </cell>
          <cell r="R136">
            <v>3363.6516891897927</v>
          </cell>
          <cell r="S136">
            <v>22595.529822176541</v>
          </cell>
        </row>
        <row r="137"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2784.4250385999603</v>
          </cell>
          <cell r="L137">
            <v>2873.6321220402288</v>
          </cell>
          <cell r="M137">
            <v>1988.6247109532605</v>
          </cell>
          <cell r="N137">
            <v>2321.3648907627025</v>
          </cell>
          <cell r="O137">
            <v>1758.6718211393563</v>
          </cell>
          <cell r="P137">
            <v>3008.291022651576</v>
          </cell>
          <cell r="Q137">
            <v>2272.7142626194955</v>
          </cell>
          <cell r="R137">
            <v>2369.6307549420826</v>
          </cell>
          <cell r="S137">
            <v>19377.354623708663</v>
          </cell>
        </row>
        <row r="138">
          <cell r="G138">
            <v>1423.1674980196894</v>
          </cell>
          <cell r="H138">
            <v>2886.8330945069938</v>
          </cell>
          <cell r="I138">
            <v>0</v>
          </cell>
          <cell r="J138">
            <v>0</v>
          </cell>
          <cell r="K138">
            <v>19744.942286425976</v>
          </cell>
          <cell r="L138">
            <v>17564.576933037701</v>
          </cell>
          <cell r="M138">
            <v>14841.207833989018</v>
          </cell>
          <cell r="N138">
            <v>18270.106441519732</v>
          </cell>
          <cell r="O138">
            <v>12698.398500923044</v>
          </cell>
          <cell r="P138">
            <v>21988.599955329853</v>
          </cell>
          <cell r="Q138">
            <v>19191.137483591159</v>
          </cell>
          <cell r="R138">
            <v>19321.608250630175</v>
          </cell>
          <cell r="S138">
            <v>147930.57827797334</v>
          </cell>
        </row>
        <row r="139">
          <cell r="G139">
            <v>1423.1674980196894</v>
          </cell>
          <cell r="H139">
            <v>2886.8330945069938</v>
          </cell>
          <cell r="I139">
            <v>0</v>
          </cell>
          <cell r="J139">
            <v>0</v>
          </cell>
          <cell r="K139">
            <v>53303.784005089394</v>
          </cell>
          <cell r="L139">
            <v>54235.86677433864</v>
          </cell>
          <cell r="M139">
            <v>41804.74020099474</v>
          </cell>
          <cell r="N139">
            <v>57008.713169123628</v>
          </cell>
          <cell r="O139">
            <v>39950.544489652741</v>
          </cell>
          <cell r="P139">
            <v>60378.312811238407</v>
          </cell>
          <cell r="Q139">
            <v>50006.607211773895</v>
          </cell>
          <cell r="R139">
            <v>50219.830759802666</v>
          </cell>
          <cell r="S139">
            <v>411218.40001454082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41670.64540151367</v>
          </cell>
          <cell r="L140">
            <v>51452.625215517182</v>
          </cell>
          <cell r="M140">
            <v>20942.53029630371</v>
          </cell>
          <cell r="N140">
            <v>57949.906858183647</v>
          </cell>
          <cell r="O140">
            <v>21849.601678864768</v>
          </cell>
          <cell r="P140">
            <v>56853.383261426847</v>
          </cell>
          <cell r="Q140">
            <v>33048.619145717064</v>
          </cell>
          <cell r="R140">
            <v>43910.488861003803</v>
          </cell>
          <cell r="S140">
            <v>327677.80071853066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79500.083930404129</v>
          </cell>
          <cell r="L141">
            <v>93861.808839145699</v>
          </cell>
          <cell r="M141">
            <v>49067.44220775499</v>
          </cell>
          <cell r="N141">
            <v>103400.99961451509</v>
          </cell>
          <cell r="O141">
            <v>50399.187919424185</v>
          </cell>
          <cell r="P141">
            <v>101791.10360654943</v>
          </cell>
          <cell r="Q141">
            <v>66841.381745757375</v>
          </cell>
          <cell r="R141">
            <v>79415.284699326861</v>
          </cell>
          <cell r="S141">
            <v>624277.29256287776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G143">
            <v>82239.27</v>
          </cell>
          <cell r="H143">
            <v>95120.389999999985</v>
          </cell>
          <cell r="I143">
            <v>0</v>
          </cell>
          <cell r="J143">
            <v>0</v>
          </cell>
          <cell r="K143">
            <v>96885.267631210561</v>
          </cell>
          <cell r="L143">
            <v>97294.587472929648</v>
          </cell>
          <cell r="M143">
            <v>80231.784391386056</v>
          </cell>
          <cell r="N143">
            <v>105932.95658976457</v>
          </cell>
          <cell r="O143">
            <v>58977.102710606428</v>
          </cell>
          <cell r="P143">
            <v>107363.960189769</v>
          </cell>
          <cell r="Q143">
            <v>90668.019995498529</v>
          </cell>
          <cell r="R143">
            <v>96898.621367308806</v>
          </cell>
          <cell r="S143">
            <v>911611.96034847363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-273.40831394499583</v>
          </cell>
          <cell r="L144">
            <v>317.06755846394299</v>
          </cell>
          <cell r="M144">
            <v>-1397.5799902711969</v>
          </cell>
          <cell r="N144">
            <v>709.26710489399738</v>
          </cell>
          <cell r="O144">
            <v>-1469.8785895667079</v>
          </cell>
          <cell r="P144">
            <v>696.66669933815683</v>
          </cell>
          <cell r="Q144">
            <v>-926.17603349556157</v>
          </cell>
          <cell r="R144">
            <v>-161.23708748567333</v>
          </cell>
          <cell r="S144">
            <v>-2505.2786520680384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2629.874874832115</v>
          </cell>
          <cell r="L146">
            <v>2492.9849716884364</v>
          </cell>
          <cell r="M146">
            <v>1641.8126700917528</v>
          </cell>
          <cell r="N146">
            <v>3000.1944093194143</v>
          </cell>
          <cell r="O146">
            <v>2674.720265519567</v>
          </cell>
          <cell r="P146">
            <v>3767.8406319135511</v>
          </cell>
          <cell r="Q146">
            <v>3024.4503096219123</v>
          </cell>
          <cell r="R146">
            <v>3363.6516891897927</v>
          </cell>
          <cell r="S146">
            <v>22595.529822176541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2577.3923574982382</v>
          </cell>
          <cell r="L147">
            <v>3100.1157711056612</v>
          </cell>
          <cell r="M147">
            <v>963.63066770507521</v>
          </cell>
          <cell r="N147">
            <v>2707.8656148402292</v>
          </cell>
          <cell r="O147">
            <v>895.04436068309315</v>
          </cell>
          <cell r="P147">
            <v>3467.645539096553</v>
          </cell>
          <cell r="Q147">
            <v>1739.0073159511421</v>
          </cell>
          <cell r="R147">
            <v>2282.6293316602269</v>
          </cell>
          <cell r="S147">
            <v>17733.33095854022</v>
          </cell>
        </row>
        <row r="148">
          <cell r="G148">
            <v>82239.27</v>
          </cell>
          <cell r="H148">
            <v>95120.389999999985</v>
          </cell>
          <cell r="I148">
            <v>0</v>
          </cell>
          <cell r="J148">
            <v>0</v>
          </cell>
          <cell r="K148">
            <v>101819.12654959591</v>
          </cell>
          <cell r="L148">
            <v>103204.75577418768</v>
          </cell>
          <cell r="M148">
            <v>81439.647738911677</v>
          </cell>
          <cell r="N148">
            <v>112350.2837188182</v>
          </cell>
          <cell r="O148">
            <v>61076.98874724238</v>
          </cell>
          <cell r="P148">
            <v>115296.11306011726</v>
          </cell>
          <cell r="Q148">
            <v>94505.301587576017</v>
          </cell>
          <cell r="R148">
            <v>102383.66530067315</v>
          </cell>
          <cell r="S148">
            <v>949435.54247712239</v>
          </cell>
        </row>
        <row r="149">
          <cell r="G149">
            <v>82239.27</v>
          </cell>
          <cell r="H149">
            <v>95120.389999999985</v>
          </cell>
          <cell r="I149">
            <v>0</v>
          </cell>
          <cell r="J149">
            <v>0</v>
          </cell>
          <cell r="K149">
            <v>181319.21048000004</v>
          </cell>
          <cell r="L149">
            <v>197066.56461333338</v>
          </cell>
          <cell r="M149">
            <v>130507.08994666667</v>
          </cell>
          <cell r="N149">
            <v>215751.2833333333</v>
          </cell>
          <cell r="O149">
            <v>111476.17666666656</v>
          </cell>
          <cell r="P149">
            <v>217087.21666666667</v>
          </cell>
          <cell r="Q149">
            <v>161346.68333333341</v>
          </cell>
          <cell r="R149">
            <v>181798.95</v>
          </cell>
          <cell r="S149">
            <v>1573712.8350400003</v>
          </cell>
          <cell r="T149">
            <v>1573712.8350399998</v>
          </cell>
        </row>
        <row r="150">
          <cell r="G150">
            <v>0</v>
          </cell>
          <cell r="H150">
            <v>0</v>
          </cell>
          <cell r="I150">
            <v>38227.43</v>
          </cell>
          <cell r="J150">
            <v>38227.43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76454.86</v>
          </cell>
        </row>
        <row r="151">
          <cell r="G151"/>
          <cell r="H151"/>
          <cell r="I151">
            <v>41897.1</v>
          </cell>
          <cell r="J151">
            <v>44590.06</v>
          </cell>
          <cell r="K151"/>
          <cell r="L151"/>
          <cell r="M151"/>
          <cell r="N151"/>
          <cell r="O151"/>
          <cell r="P151"/>
          <cell r="Q151"/>
          <cell r="R151"/>
          <cell r="S151">
            <v>86487.16</v>
          </cell>
          <cell r="T151"/>
        </row>
        <row r="152">
          <cell r="G152">
            <v>0</v>
          </cell>
          <cell r="H152">
            <v>0</v>
          </cell>
          <cell r="I152">
            <v>80124.53</v>
          </cell>
          <cell r="J152">
            <v>82817.489999999991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162942.01999999999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4270.5968102270417</v>
          </cell>
          <cell r="L153">
            <v>5737.8937823275701</v>
          </cell>
          <cell r="M153">
            <v>1161.3795444455536</v>
          </cell>
          <cell r="N153">
            <v>6712.4860287275551</v>
          </cell>
          <cell r="O153">
            <v>1297.4402518297211</v>
          </cell>
          <cell r="P153">
            <v>6548.0074892140292</v>
          </cell>
          <cell r="Q153">
            <v>2977.2928718575713</v>
          </cell>
          <cell r="R153">
            <v>4606.5733291505676</v>
          </cell>
          <cell r="S153">
            <v>33311.67010777961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G155">
            <v>80816.10250198032</v>
          </cell>
          <cell r="H155">
            <v>92233.556905492995</v>
          </cell>
          <cell r="I155">
            <v>0</v>
          </cell>
          <cell r="J155">
            <v>0</v>
          </cell>
          <cell r="K155">
            <v>82554.625258216663</v>
          </cell>
          <cell r="L155">
            <v>85096.627633620607</v>
          </cell>
          <cell r="M155">
            <v>69021.013938442047</v>
          </cell>
          <cell r="N155">
            <v>92984.409448326944</v>
          </cell>
          <cell r="O155">
            <v>50712.096296342308</v>
          </cell>
          <cell r="P155">
            <v>92151.491889004275</v>
          </cell>
          <cell r="Q155">
            <v>76774.047084148769</v>
          </cell>
          <cell r="R155">
            <v>83310.295560810511</v>
          </cell>
          <cell r="S155">
            <v>805654.26651638537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-273.40831394499583</v>
          </cell>
          <cell r="L156">
            <v>317.06755846394299</v>
          </cell>
          <cell r="M156">
            <v>-1397.5799902711969</v>
          </cell>
          <cell r="N156">
            <v>709.26710489399738</v>
          </cell>
          <cell r="O156">
            <v>-1469.8785895667079</v>
          </cell>
          <cell r="P156">
            <v>696.66669933815683</v>
          </cell>
          <cell r="Q156">
            <v>-926.17603349556157</v>
          </cell>
          <cell r="R156">
            <v>-161.23708748567333</v>
          </cell>
          <cell r="S156">
            <v>-2505.2786520680384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-207.03268110172212</v>
          </cell>
          <cell r="L159">
            <v>226.48364906543247</v>
          </cell>
          <cell r="M159">
            <v>-1024.9940432481853</v>
          </cell>
          <cell r="N159">
            <v>386.50072407752668</v>
          </cell>
          <cell r="O159">
            <v>-863.62746045626318</v>
          </cell>
          <cell r="P159">
            <v>459.35451644497698</v>
          </cell>
          <cell r="Q159">
            <v>-533.70694666835334</v>
          </cell>
          <cell r="R159">
            <v>-87.00142328185575</v>
          </cell>
          <cell r="S159">
            <v>-1644.0236651684436</v>
          </cell>
        </row>
        <row r="160">
          <cell r="G160">
            <v>80816.10250198032</v>
          </cell>
          <cell r="H160">
            <v>92233.556905492995</v>
          </cell>
          <cell r="I160">
            <v>0</v>
          </cell>
          <cell r="J160">
            <v>0</v>
          </cell>
          <cell r="K160">
            <v>82074.18426316994</v>
          </cell>
          <cell r="L160">
            <v>85640.178841149973</v>
          </cell>
          <cell r="M160">
            <v>66598.439904922663</v>
          </cell>
          <cell r="N160">
            <v>94080.17727729847</v>
          </cell>
          <cell r="O160">
            <v>48378.590246319334</v>
          </cell>
          <cell r="P160">
            <v>93307.513104787402</v>
          </cell>
          <cell r="Q160">
            <v>75314.164103984862</v>
          </cell>
          <cell r="R160">
            <v>83062.057050042989</v>
          </cell>
          <cell r="S160">
            <v>801504.96419914893</v>
          </cell>
        </row>
        <row r="161">
          <cell r="G161">
            <v>80816.10250198032</v>
          </cell>
          <cell r="H161">
            <v>92233.556905492995</v>
          </cell>
          <cell r="I161">
            <v>0</v>
          </cell>
          <cell r="J161">
            <v>0</v>
          </cell>
          <cell r="K161">
            <v>86344.781073396982</v>
          </cell>
          <cell r="L161">
            <v>91378.07262347755</v>
          </cell>
          <cell r="M161">
            <v>67759.819449368224</v>
          </cell>
          <cell r="N161">
            <v>100792.66330602602</v>
          </cell>
          <cell r="O161">
            <v>49676.030498149055</v>
          </cell>
          <cell r="P161">
            <v>99855.520594001428</v>
          </cell>
          <cell r="Q161">
            <v>78291.456975842433</v>
          </cell>
          <cell r="R161">
            <v>87668.63037919355</v>
          </cell>
          <cell r="S161">
            <v>834816.63430692849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33558.841718663418</v>
          </cell>
          <cell r="L162">
            <v>36671.289841300939</v>
          </cell>
          <cell r="M162">
            <v>26963.532367005726</v>
          </cell>
          <cell r="N162">
            <v>38738.606727603896</v>
          </cell>
          <cell r="O162">
            <v>27252.145988729695</v>
          </cell>
          <cell r="P162">
            <v>38389.712855908554</v>
          </cell>
          <cell r="Q162">
            <v>30815.469728182739</v>
          </cell>
          <cell r="R162">
            <v>30898.22250917249</v>
          </cell>
          <cell r="S162">
            <v>263287.82173656748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G164">
            <v>1423.1674980196894</v>
          </cell>
          <cell r="H164">
            <v>2886.8330945069938</v>
          </cell>
          <cell r="I164">
            <v>0</v>
          </cell>
          <cell r="J164">
            <v>0</v>
          </cell>
          <cell r="K164">
            <v>14330.6423729939</v>
          </cell>
          <cell r="L164">
            <v>12197.959839309035</v>
          </cell>
          <cell r="M164">
            <v>11210.770452944003</v>
          </cell>
          <cell r="N164">
            <v>12948.547141437617</v>
          </cell>
          <cell r="O164">
            <v>8265.0064142641204</v>
          </cell>
          <cell r="P164">
            <v>15212.468300764727</v>
          </cell>
          <cell r="Q164">
            <v>13893.972911349752</v>
          </cell>
          <cell r="R164">
            <v>13588.325806498302</v>
          </cell>
          <cell r="S164">
            <v>105957.69383208815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2629.874874832115</v>
          </cell>
          <cell r="L167">
            <v>2492.9849716884364</v>
          </cell>
          <cell r="M167">
            <v>1641.8126700917528</v>
          </cell>
          <cell r="N167">
            <v>3000.1944093194143</v>
          </cell>
          <cell r="O167">
            <v>2674.720265519567</v>
          </cell>
          <cell r="P167">
            <v>3767.8406319135511</v>
          </cell>
          <cell r="Q167">
            <v>3024.4503096219123</v>
          </cell>
          <cell r="R167">
            <v>3363.6516891897927</v>
          </cell>
          <cell r="S167">
            <v>22595.529822176541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2784.4250385999603</v>
          </cell>
          <cell r="L168">
            <v>2873.6321220402288</v>
          </cell>
          <cell r="M168">
            <v>1988.6247109532605</v>
          </cell>
          <cell r="N168">
            <v>2321.3648907627025</v>
          </cell>
          <cell r="O168">
            <v>1758.6718211393563</v>
          </cell>
          <cell r="P168">
            <v>3008.291022651576</v>
          </cell>
          <cell r="Q168">
            <v>2272.7142626194955</v>
          </cell>
          <cell r="R168">
            <v>2369.6307549420826</v>
          </cell>
          <cell r="S168">
            <v>19377.354623708663</v>
          </cell>
        </row>
        <row r="169">
          <cell r="G169">
            <v>1423.1674980196894</v>
          </cell>
          <cell r="H169">
            <v>2886.8330945069938</v>
          </cell>
          <cell r="I169">
            <v>0</v>
          </cell>
          <cell r="J169">
            <v>0</v>
          </cell>
          <cell r="K169">
            <v>19744.942286425976</v>
          </cell>
          <cell r="L169">
            <v>17564.576933037701</v>
          </cell>
          <cell r="M169">
            <v>14841.207833989018</v>
          </cell>
          <cell r="N169">
            <v>18270.106441519732</v>
          </cell>
          <cell r="O169">
            <v>12698.398500923044</v>
          </cell>
          <cell r="P169">
            <v>21988.599955329853</v>
          </cell>
          <cell r="Q169">
            <v>19191.137483591159</v>
          </cell>
          <cell r="R169">
            <v>19321.608250630175</v>
          </cell>
          <cell r="S169">
            <v>147930.57827797334</v>
          </cell>
        </row>
        <row r="170">
          <cell r="G170">
            <v>1423.1674980196894</v>
          </cell>
          <cell r="H170">
            <v>2886.8330945069938</v>
          </cell>
          <cell r="I170">
            <v>0</v>
          </cell>
          <cell r="J170">
            <v>0</v>
          </cell>
          <cell r="K170">
            <v>53303.784005089394</v>
          </cell>
          <cell r="L170">
            <v>54235.86677433864</v>
          </cell>
          <cell r="M170">
            <v>41804.74020099474</v>
          </cell>
          <cell r="N170">
            <v>57008.713169123628</v>
          </cell>
          <cell r="O170">
            <v>39950.544489652741</v>
          </cell>
          <cell r="P170">
            <v>60378.312811238407</v>
          </cell>
          <cell r="Q170">
            <v>50006.607211773895</v>
          </cell>
          <cell r="R170">
            <v>50219.830759802666</v>
          </cell>
          <cell r="S170">
            <v>411218.40001454082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41670.64540151367</v>
          </cell>
          <cell r="L171">
            <v>51452.625215517182</v>
          </cell>
          <cell r="M171">
            <v>20942.53029630371</v>
          </cell>
          <cell r="N171">
            <v>57949.906858183647</v>
          </cell>
          <cell r="O171">
            <v>21849.601678864768</v>
          </cell>
          <cell r="P171">
            <v>56853.383261426847</v>
          </cell>
          <cell r="Q171">
            <v>33048.619145717064</v>
          </cell>
          <cell r="R171">
            <v>43910.488861003803</v>
          </cell>
          <cell r="S171">
            <v>327677.80071853066</v>
          </cell>
        </row>
        <row r="172">
          <cell r="G172">
            <v>0</v>
          </cell>
          <cell r="H172">
            <v>0</v>
          </cell>
          <cell r="I172">
            <v>-80124.53</v>
          </cell>
          <cell r="J172">
            <v>-82817.489999999991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-162942.01999999999</v>
          </cell>
          <cell r="T172"/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79500.083930404129</v>
          </cell>
          <cell r="L173">
            <v>93861.808839145699</v>
          </cell>
          <cell r="M173">
            <v>49067.44220775499</v>
          </cell>
          <cell r="N173">
            <v>103400.99961451509</v>
          </cell>
          <cell r="O173">
            <v>50399.187919424185</v>
          </cell>
          <cell r="P173">
            <v>101791.10360654943</v>
          </cell>
          <cell r="Q173">
            <v>66841.381745757375</v>
          </cell>
          <cell r="R173">
            <v>79415.284699326861</v>
          </cell>
          <cell r="S173">
            <v>624277.29256287776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G175">
            <v>82239.27</v>
          </cell>
          <cell r="H175">
            <v>95120.389999999985</v>
          </cell>
          <cell r="I175">
            <v>0</v>
          </cell>
          <cell r="J175">
            <v>0</v>
          </cell>
          <cell r="K175">
            <v>96885.267631210561</v>
          </cell>
          <cell r="L175">
            <v>97294.587472929648</v>
          </cell>
          <cell r="M175">
            <v>80231.784391386056</v>
          </cell>
          <cell r="N175">
            <v>105932.95658976457</v>
          </cell>
          <cell r="O175">
            <v>58977.102710606428</v>
          </cell>
          <cell r="P175">
            <v>107363.960189769</v>
          </cell>
          <cell r="Q175">
            <v>90668.019995498529</v>
          </cell>
          <cell r="R175">
            <v>96898.621367308806</v>
          </cell>
          <cell r="S175">
            <v>911611.96034847363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-273.40831394499583</v>
          </cell>
          <cell r="L176">
            <v>317.06755846394299</v>
          </cell>
          <cell r="M176">
            <v>-1397.5799902711969</v>
          </cell>
          <cell r="N176">
            <v>709.26710489399738</v>
          </cell>
          <cell r="O176">
            <v>-1469.8785895667079</v>
          </cell>
          <cell r="P176">
            <v>696.66669933815683</v>
          </cell>
          <cell r="Q176">
            <v>-926.17603349556157</v>
          </cell>
          <cell r="R176">
            <v>-161.23708748567333</v>
          </cell>
          <cell r="S176">
            <v>-2505.2786520680384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2629.874874832115</v>
          </cell>
          <cell r="L178">
            <v>2492.9849716884364</v>
          </cell>
          <cell r="M178">
            <v>1641.8126700917528</v>
          </cell>
          <cell r="N178">
            <v>3000.1944093194143</v>
          </cell>
          <cell r="O178">
            <v>2674.720265519567</v>
          </cell>
          <cell r="P178">
            <v>3767.8406319135511</v>
          </cell>
          <cell r="Q178">
            <v>3024.4503096219123</v>
          </cell>
          <cell r="R178">
            <v>3363.6516891897927</v>
          </cell>
          <cell r="S178">
            <v>22595.529822176541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2577.3923574982382</v>
          </cell>
          <cell r="L179">
            <v>3100.1157711056612</v>
          </cell>
          <cell r="M179">
            <v>963.63066770507521</v>
          </cell>
          <cell r="N179">
            <v>2707.8656148402292</v>
          </cell>
          <cell r="O179">
            <v>895.04436068309315</v>
          </cell>
          <cell r="P179">
            <v>3467.645539096553</v>
          </cell>
          <cell r="Q179">
            <v>1739.0073159511421</v>
          </cell>
          <cell r="R179">
            <v>2282.6293316602269</v>
          </cell>
          <cell r="S179">
            <v>17733.33095854022</v>
          </cell>
        </row>
        <row r="180">
          <cell r="G180">
            <v>82239.27</v>
          </cell>
          <cell r="H180">
            <v>95120.389999999985</v>
          </cell>
          <cell r="I180">
            <v>0</v>
          </cell>
          <cell r="J180">
            <v>0</v>
          </cell>
          <cell r="K180">
            <v>101819.12654959591</v>
          </cell>
          <cell r="L180">
            <v>103204.75577418768</v>
          </cell>
          <cell r="M180">
            <v>81439.647738911677</v>
          </cell>
          <cell r="N180">
            <v>112350.2837188182</v>
          </cell>
          <cell r="O180">
            <v>61076.98874724238</v>
          </cell>
          <cell r="P180">
            <v>115296.11306011726</v>
          </cell>
          <cell r="Q180">
            <v>94505.301587576017</v>
          </cell>
          <cell r="R180">
            <v>102383.66530067315</v>
          </cell>
          <cell r="S180">
            <v>949435.54247712239</v>
          </cell>
        </row>
        <row r="181">
          <cell r="G181">
            <v>0</v>
          </cell>
          <cell r="H181">
            <v>0</v>
          </cell>
          <cell r="I181">
            <v>-80124.53</v>
          </cell>
          <cell r="J181">
            <v>-82817.489999999991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-162942.01999999999</v>
          </cell>
          <cell r="T181"/>
        </row>
        <row r="182">
          <cell r="G182">
            <v>82239.27</v>
          </cell>
          <cell r="H182">
            <v>95120.389999999985</v>
          </cell>
          <cell r="I182">
            <v>-80124.53</v>
          </cell>
          <cell r="J182">
            <v>-82817.489999999991</v>
          </cell>
          <cell r="K182">
            <v>181319.21048000004</v>
          </cell>
          <cell r="L182">
            <v>197066.56461333338</v>
          </cell>
          <cell r="M182">
            <v>130507.08994666667</v>
          </cell>
          <cell r="N182">
            <v>215751.2833333333</v>
          </cell>
          <cell r="O182">
            <v>111476.17666666656</v>
          </cell>
          <cell r="P182">
            <v>217087.21666666667</v>
          </cell>
          <cell r="Q182">
            <v>161346.68333333341</v>
          </cell>
          <cell r="R182">
            <v>181798.95</v>
          </cell>
          <cell r="S182">
            <v>1410770.8150399998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793.99831909725128</v>
          </cell>
          <cell r="L183">
            <v>809.61912190056853</v>
          </cell>
          <cell r="M183">
            <v>807.26683749400922</v>
          </cell>
          <cell r="N183">
            <v>807.81218984994439</v>
          </cell>
          <cell r="O183">
            <v>2348.5661753335808</v>
          </cell>
          <cell r="P183">
            <v>2134.3795434330341</v>
          </cell>
          <cell r="Q183">
            <v>2140.1315586547666</v>
          </cell>
          <cell r="R183">
            <v>2179.8370406046706</v>
          </cell>
          <cell r="S183">
            <v>12021.610786367826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G185">
            <v>11348.805700137051</v>
          </cell>
          <cell r="H185">
            <v>11335.904110580386</v>
          </cell>
          <cell r="I185">
            <v>0</v>
          </cell>
          <cell r="J185">
            <v>0</v>
          </cell>
          <cell r="K185">
            <v>3428.1478940901929</v>
          </cell>
          <cell r="L185">
            <v>3346.425703855683</v>
          </cell>
          <cell r="M185">
            <v>3479.9234811746801</v>
          </cell>
          <cell r="N185">
            <v>3483.547273643821</v>
          </cell>
          <cell r="O185">
            <v>7375.8262724244005</v>
          </cell>
          <cell r="P185">
            <v>9191.8025210463347</v>
          </cell>
          <cell r="Q185">
            <v>9216.5738360539635</v>
          </cell>
          <cell r="R185">
            <v>9333.7539480856813</v>
          </cell>
          <cell r="S185">
            <v>71540.710741092204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319.52417204883324</v>
          </cell>
          <cell r="L186">
            <v>325.81036178301667</v>
          </cell>
          <cell r="M186">
            <v>297.79176672001222</v>
          </cell>
          <cell r="N186">
            <v>325.0832085214322</v>
          </cell>
          <cell r="O186">
            <v>945.11996389181684</v>
          </cell>
          <cell r="P186">
            <v>930.50324337949246</v>
          </cell>
          <cell r="Q186">
            <v>1004.7809580431672</v>
          </cell>
          <cell r="R186">
            <v>1023.42248128591</v>
          </cell>
          <cell r="S186">
            <v>5172.0361556736807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241.9529423285442</v>
          </cell>
          <cell r="L189">
            <v>232.72869667723614</v>
          </cell>
          <cell r="M189">
            <v>218.40237348928829</v>
          </cell>
          <cell r="N189">
            <v>177.14750143073022</v>
          </cell>
          <cell r="O189">
            <v>555.3054245677622</v>
          </cell>
          <cell r="P189">
            <v>613.53710148502307</v>
          </cell>
          <cell r="Q189">
            <v>579.00286532332598</v>
          </cell>
          <cell r="R189">
            <v>552.22538361984994</v>
          </cell>
          <cell r="S189">
            <v>3170.30228892176</v>
          </cell>
        </row>
        <row r="190">
          <cell r="G190">
            <v>11348.805700137051</v>
          </cell>
          <cell r="H190">
            <v>11335.904110580386</v>
          </cell>
          <cell r="I190">
            <v>0</v>
          </cell>
          <cell r="J190">
            <v>0</v>
          </cell>
          <cell r="K190">
            <v>3989.6250084675708</v>
          </cell>
          <cell r="L190">
            <v>3904.9647623159358</v>
          </cell>
          <cell r="M190">
            <v>3996.1176213839808</v>
          </cell>
          <cell r="N190">
            <v>3985.7779835959832</v>
          </cell>
          <cell r="O190">
            <v>8876.2516608839796</v>
          </cell>
          <cell r="P190">
            <v>10735.84286591085</v>
          </cell>
          <cell r="Q190">
            <v>10800.357659420457</v>
          </cell>
          <cell r="R190">
            <v>10909.401812991442</v>
          </cell>
          <cell r="S190">
            <v>79883.049185687632</v>
          </cell>
        </row>
        <row r="191">
          <cell r="G191">
            <v>11348.805700137051</v>
          </cell>
          <cell r="H191">
            <v>11335.904110580386</v>
          </cell>
          <cell r="I191">
            <v>0</v>
          </cell>
          <cell r="J191">
            <v>0</v>
          </cell>
          <cell r="K191">
            <v>4783.6233275648219</v>
          </cell>
          <cell r="L191">
            <v>4714.583884216504</v>
          </cell>
          <cell r="M191">
            <v>4803.3844588779903</v>
          </cell>
          <cell r="N191">
            <v>4793.5901734459276</v>
          </cell>
          <cell r="O191">
            <v>11224.81783621756</v>
          </cell>
          <cell r="P191">
            <v>12870.222409343885</v>
          </cell>
          <cell r="Q191">
            <v>12940.489218075223</v>
          </cell>
          <cell r="R191">
            <v>13089.238853596113</v>
          </cell>
          <cell r="S191">
            <v>91904.659972055466</v>
          </cell>
        </row>
        <row r="192">
          <cell r="G192">
            <v>990.62566122597809</v>
          </cell>
          <cell r="H192">
            <v>1100.3809150420691</v>
          </cell>
          <cell r="I192">
            <v>0</v>
          </cell>
          <cell r="J192">
            <v>0</v>
          </cell>
          <cell r="K192">
            <v>240.60555124159129</v>
          </cell>
          <cell r="L192">
            <v>245.33912784865711</v>
          </cell>
          <cell r="M192">
            <v>244.62631439212399</v>
          </cell>
          <cell r="N192">
            <v>244.79157268180134</v>
          </cell>
          <cell r="O192">
            <v>711.68671979805481</v>
          </cell>
          <cell r="P192">
            <v>646.78167982819207</v>
          </cell>
          <cell r="Q192">
            <v>648.52471474386869</v>
          </cell>
          <cell r="R192">
            <v>660.55667897111232</v>
          </cell>
          <cell r="S192">
            <v>523.63051054931202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1684.2388586911393</v>
          </cell>
          <cell r="L193">
            <v>1717.3738949405997</v>
          </cell>
          <cell r="M193">
            <v>1712.3842007448677</v>
          </cell>
          <cell r="N193">
            <v>1713.5410087726093</v>
          </cell>
          <cell r="O193">
            <v>4981.8070385863848</v>
          </cell>
          <cell r="P193">
            <v>4527.4717587973446</v>
          </cell>
          <cell r="Q193">
            <v>4539.67300320708</v>
          </cell>
          <cell r="R193">
            <v>4168.7732009866895</v>
          </cell>
          <cell r="S193">
            <v>25045.262964726713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G195">
            <v>907.01685541850577</v>
          </cell>
          <cell r="H195">
            <v>919.91844497516956</v>
          </cell>
          <cell r="I195">
            <v>0</v>
          </cell>
          <cell r="J195">
            <v>0</v>
          </cell>
          <cell r="K195">
            <v>292.35178512861626</v>
          </cell>
          <cell r="L195">
            <v>244.52133075582825</v>
          </cell>
          <cell r="M195">
            <v>252.71529118802351</v>
          </cell>
          <cell r="N195">
            <v>252.88601401847953</v>
          </cell>
          <cell r="O195">
            <v>539.98043720144415</v>
          </cell>
          <cell r="P195">
            <v>788.12503625997954</v>
          </cell>
          <cell r="Q195">
            <v>790.24898240589528</v>
          </cell>
          <cell r="R195">
            <v>754.53187583273598</v>
          </cell>
          <cell r="S195">
            <v>5742.2960531846784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131.9871971392985</v>
          </cell>
          <cell r="L198">
            <v>116.75038782069375</v>
          </cell>
          <cell r="M198">
            <v>104.2672762077749</v>
          </cell>
          <cell r="N198">
            <v>132.70885529798494</v>
          </cell>
          <cell r="O198">
            <v>488.95012710285761</v>
          </cell>
          <cell r="P198">
            <v>444.35841749236278</v>
          </cell>
          <cell r="Q198">
            <v>445.55593477048001</v>
          </cell>
          <cell r="R198">
            <v>453.82225515352332</v>
          </cell>
          <cell r="S198">
            <v>2318.400450984976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139.74370416111626</v>
          </cell>
          <cell r="L199">
            <v>134.57668959591672</v>
          </cell>
          <cell r="M199">
            <v>126.29241191017387</v>
          </cell>
          <cell r="N199">
            <v>102.68190502092625</v>
          </cell>
          <cell r="O199">
            <v>321.49261422344136</v>
          </cell>
          <cell r="P199">
            <v>354.78131077509096</v>
          </cell>
          <cell r="Q199">
            <v>334.81169273176789</v>
          </cell>
          <cell r="R199">
            <v>319.70943262201837</v>
          </cell>
          <cell r="S199">
            <v>1834.0897610404515</v>
          </cell>
        </row>
        <row r="200">
          <cell r="G200">
            <v>907.01685541850577</v>
          </cell>
          <cell r="H200">
            <v>919.91844497516956</v>
          </cell>
          <cell r="I200">
            <v>0</v>
          </cell>
          <cell r="J200">
            <v>0</v>
          </cell>
          <cell r="K200">
            <v>564.08268642903101</v>
          </cell>
          <cell r="L200">
            <v>495.84840817243872</v>
          </cell>
          <cell r="M200">
            <v>483.27497930597229</v>
          </cell>
          <cell r="N200">
            <v>488.27677433739075</v>
          </cell>
          <cell r="O200">
            <v>1350.4231785277429</v>
          </cell>
          <cell r="P200">
            <v>1587.2647645274333</v>
          </cell>
          <cell r="Q200">
            <v>1570.6166099081431</v>
          </cell>
          <cell r="R200">
            <v>1528.0635636082777</v>
          </cell>
          <cell r="S200">
            <v>9894.7862652101066</v>
          </cell>
        </row>
        <row r="201">
          <cell r="G201">
            <v>907.01685541850577</v>
          </cell>
          <cell r="H201">
            <v>919.91844497516956</v>
          </cell>
          <cell r="I201">
            <v>0</v>
          </cell>
          <cell r="J201">
            <v>0</v>
          </cell>
          <cell r="K201">
            <v>2248.3215451201704</v>
          </cell>
          <cell r="L201">
            <v>2213.2223031130384</v>
          </cell>
          <cell r="M201">
            <v>2195.65918005084</v>
          </cell>
          <cell r="N201">
            <v>2201.8177831100002</v>
          </cell>
          <cell r="O201">
            <v>6332.2302171141273</v>
          </cell>
          <cell r="P201">
            <v>6114.7365233247783</v>
          </cell>
          <cell r="Q201">
            <v>6110.2896131152229</v>
          </cell>
          <cell r="R201">
            <v>5696.8367645949675</v>
          </cell>
          <cell r="S201">
            <v>34940.04922993682</v>
          </cell>
        </row>
        <row r="202">
          <cell r="G202">
            <v>990.62566122597809</v>
          </cell>
          <cell r="H202">
            <v>1100.3809150420689</v>
          </cell>
          <cell r="I202">
            <v>0</v>
          </cell>
          <cell r="J202">
            <v>0</v>
          </cell>
          <cell r="K202">
            <v>240.60555124159134</v>
          </cell>
          <cell r="L202">
            <v>245.33912784865711</v>
          </cell>
          <cell r="M202">
            <v>244.62631439212396</v>
          </cell>
          <cell r="N202">
            <v>244.79157268180131</v>
          </cell>
          <cell r="O202">
            <v>711.68671979805492</v>
          </cell>
          <cell r="P202">
            <v>646.78167982819207</v>
          </cell>
          <cell r="Q202">
            <v>648.52471474386857</v>
          </cell>
          <cell r="R202">
            <v>660.55667897111232</v>
          </cell>
          <cell r="S202">
            <v>469.08808049218862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5293.3221273150093</v>
          </cell>
          <cell r="L203">
            <v>5397.4608126704561</v>
          </cell>
          <cell r="M203">
            <v>5381.7789166267285</v>
          </cell>
          <cell r="N203">
            <v>5385.4145989996296</v>
          </cell>
          <cell r="O203">
            <v>15657.107835557206</v>
          </cell>
          <cell r="P203">
            <v>14229.196956220227</v>
          </cell>
          <cell r="Q203">
            <v>14267.543724365112</v>
          </cell>
          <cell r="R203">
            <v>14532.246937364471</v>
          </cell>
          <cell r="S203">
            <v>80144.071909118837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240.60555124159131</v>
          </cell>
          <cell r="L204">
            <v>245.33912784865711</v>
          </cell>
          <cell r="M204">
            <v>244.62631439212399</v>
          </cell>
          <cell r="N204">
            <v>244.79157268180134</v>
          </cell>
          <cell r="O204">
            <v>711.68671979805481</v>
          </cell>
          <cell r="P204">
            <v>646.78167982819207</v>
          </cell>
          <cell r="Q204">
            <v>648.52471474386869</v>
          </cell>
          <cell r="R204">
            <v>660.55667897111232</v>
          </cell>
          <cell r="S204">
            <v>455.36404493817525</v>
          </cell>
        </row>
        <row r="205">
          <cell r="G205">
            <v>0</v>
          </cell>
          <cell r="H205">
            <v>0</v>
          </cell>
          <cell r="I205">
            <v>12255.822555555556</v>
          </cell>
          <cell r="J205">
            <v>12255.822555555556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24511.645111111113</v>
          </cell>
          <cell r="T205"/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7771.5593051033993</v>
          </cell>
          <cell r="L206">
            <v>7924.4538295116245</v>
          </cell>
          <cell r="M206">
            <v>7901.4299548656054</v>
          </cell>
          <cell r="N206">
            <v>7906.767797622183</v>
          </cell>
          <cell r="O206">
            <v>22987.481049477174</v>
          </cell>
          <cell r="P206">
            <v>20891.048258450606</v>
          </cell>
          <cell r="Q206">
            <v>20947.348286226959</v>
          </cell>
          <cell r="R206">
            <v>20880.85717895583</v>
          </cell>
          <cell r="S206">
            <v>117210.94566021339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G208">
            <v>12255.822555555556</v>
          </cell>
          <cell r="H208">
            <v>12255.822555555556</v>
          </cell>
          <cell r="I208">
            <v>0</v>
          </cell>
          <cell r="J208">
            <v>0</v>
          </cell>
          <cell r="K208">
            <v>3720.4996792188094</v>
          </cell>
          <cell r="L208">
            <v>3590.9470346115113</v>
          </cell>
          <cell r="M208">
            <v>3732.6387723627035</v>
          </cell>
          <cell r="N208">
            <v>3736.4332876623007</v>
          </cell>
          <cell r="O208">
            <v>7915.8067096258446</v>
          </cell>
          <cell r="P208">
            <v>9979.9275573063151</v>
          </cell>
          <cell r="Q208">
            <v>10006.822818459859</v>
          </cell>
          <cell r="R208">
            <v>10088.285823918417</v>
          </cell>
          <cell r="S208">
            <v>77283.006794276866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319.52417204883324</v>
          </cell>
          <cell r="L209">
            <v>325.81036178301667</v>
          </cell>
          <cell r="M209">
            <v>297.79176672001222</v>
          </cell>
          <cell r="N209">
            <v>325.0832085214322</v>
          </cell>
          <cell r="O209">
            <v>945.11996389181684</v>
          </cell>
          <cell r="P209">
            <v>930.50324337949246</v>
          </cell>
          <cell r="Q209">
            <v>1004.7809580431672</v>
          </cell>
          <cell r="R209">
            <v>1023.42248128591</v>
          </cell>
          <cell r="S209">
            <v>5172.0361556736807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131.9871971392985</v>
          </cell>
          <cell r="L211">
            <v>116.75038782069375</v>
          </cell>
          <cell r="M211">
            <v>104.2672762077749</v>
          </cell>
          <cell r="N211">
            <v>132.70885529798494</v>
          </cell>
          <cell r="O211">
            <v>488.95012710285761</v>
          </cell>
          <cell r="P211">
            <v>444.35841749236278</v>
          </cell>
          <cell r="Q211">
            <v>445.55593477048001</v>
          </cell>
          <cell r="R211">
            <v>453.82225515352332</v>
          </cell>
          <cell r="S211">
            <v>2318.400450984976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381.69664648966045</v>
          </cell>
          <cell r="L212">
            <v>367.30538627315286</v>
          </cell>
          <cell r="M212">
            <v>344.69478539946215</v>
          </cell>
          <cell r="N212">
            <v>279.8294064516565</v>
          </cell>
          <cell r="O212">
            <v>876.79803879120357</v>
          </cell>
          <cell r="P212">
            <v>968.31841226011397</v>
          </cell>
          <cell r="Q212">
            <v>913.81455805509381</v>
          </cell>
          <cell r="R212">
            <v>871.93481624186825</v>
          </cell>
          <cell r="S212">
            <v>5004.3920499622118</v>
          </cell>
        </row>
        <row r="213">
          <cell r="G213">
            <v>12255.822555555556</v>
          </cell>
          <cell r="H213">
            <v>12255.822555555556</v>
          </cell>
          <cell r="I213">
            <v>0</v>
          </cell>
          <cell r="J213">
            <v>0</v>
          </cell>
          <cell r="K213">
            <v>4553.7076948966014</v>
          </cell>
          <cell r="L213">
            <v>4400.8131704883745</v>
          </cell>
          <cell r="M213">
            <v>4479.3926006899528</v>
          </cell>
          <cell r="N213">
            <v>4474.0547579333743</v>
          </cell>
          <cell r="O213">
            <v>10226.674839411722</v>
          </cell>
          <cell r="P213">
            <v>12323.107630438286</v>
          </cell>
          <cell r="Q213">
            <v>12370.974269328601</v>
          </cell>
          <cell r="R213">
            <v>12437.465376599719</v>
          </cell>
          <cell r="S213">
            <v>89777.835450897735</v>
          </cell>
        </row>
        <row r="214">
          <cell r="G214">
            <v>0</v>
          </cell>
          <cell r="H214">
            <v>0</v>
          </cell>
          <cell r="I214">
            <v>12255.822555555556</v>
          </cell>
          <cell r="J214">
            <v>12255.822555555556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24511.645111111113</v>
          </cell>
          <cell r="T214"/>
        </row>
        <row r="215">
          <cell r="G215">
            <v>12255.822555555556</v>
          </cell>
          <cell r="H215">
            <v>12255.822555555556</v>
          </cell>
          <cell r="I215">
            <v>12255.822555555556</v>
          </cell>
          <cell r="J215">
            <v>12255.822555555556</v>
          </cell>
          <cell r="K215">
            <v>12325.267</v>
          </cell>
          <cell r="L215">
            <v>12325.267</v>
          </cell>
          <cell r="M215">
            <v>12380.822555555558</v>
          </cell>
          <cell r="N215">
            <v>12380.822555555558</v>
          </cell>
          <cell r="O215">
            <v>33214.155888888898</v>
          </cell>
          <cell r="P215">
            <v>33214.15588888889</v>
          </cell>
          <cell r="Q215">
            <v>33318.322555555562</v>
          </cell>
          <cell r="R215">
            <v>33318.322555555547</v>
          </cell>
          <cell r="S215">
            <v>231500.42622222225</v>
          </cell>
        </row>
        <row r="216">
          <cell r="G216">
            <v>990.62566122597809</v>
          </cell>
          <cell r="H216">
            <v>1100.3809150420691</v>
          </cell>
          <cell r="I216" t="e">
            <v>#DIV/0!</v>
          </cell>
          <cell r="J216" t="e">
            <v>#DIV/0!</v>
          </cell>
          <cell r="K216">
            <v>240.60555124159131</v>
          </cell>
          <cell r="L216">
            <v>245.33912784865711</v>
          </cell>
          <cell r="M216">
            <v>244.62631439212399</v>
          </cell>
          <cell r="N216">
            <v>244.79157268180134</v>
          </cell>
          <cell r="O216">
            <v>711.68671979805492</v>
          </cell>
          <cell r="P216">
            <v>646.78167982819207</v>
          </cell>
          <cell r="Q216">
            <v>648.5247147438688</v>
          </cell>
          <cell r="R216">
            <v>660.55667897111221</v>
          </cell>
          <cell r="S216">
            <v>543.42901695035482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3476.5984911297905</v>
          </cell>
          <cell r="L217">
            <v>4928.2746604270014</v>
          </cell>
          <cell r="M217">
            <v>354.1127069515444</v>
          </cell>
          <cell r="N217">
            <v>5904.6738388776103</v>
          </cell>
          <cell r="O217">
            <v>-1051.1259235038597</v>
          </cell>
          <cell r="P217">
            <v>4413.6279457809951</v>
          </cell>
          <cell r="Q217">
            <v>837.16131320280465</v>
          </cell>
          <cell r="R217">
            <v>2426.736288545897</v>
          </cell>
          <cell r="S217">
            <v>21290.059321411783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G219">
            <v>69467.296801843273</v>
          </cell>
          <cell r="H219">
            <v>80897.652794912603</v>
          </cell>
          <cell r="I219">
            <v>0</v>
          </cell>
          <cell r="J219">
            <v>0</v>
          </cell>
          <cell r="K219">
            <v>79126.477364126476</v>
          </cell>
          <cell r="L219">
            <v>81750.201929764924</v>
          </cell>
          <cell r="M219">
            <v>65541.090457267361</v>
          </cell>
          <cell r="N219">
            <v>89500.86217468312</v>
          </cell>
          <cell r="O219">
            <v>43336.27002391791</v>
          </cell>
          <cell r="P219">
            <v>82959.689367957937</v>
          </cell>
          <cell r="Q219">
            <v>67557.473248094801</v>
          </cell>
          <cell r="R219">
            <v>73976.541612724832</v>
          </cell>
          <cell r="S219">
            <v>734113.55577529315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-592.932485993829</v>
          </cell>
          <cell r="L220">
            <v>-8.7428033190736869</v>
          </cell>
          <cell r="M220">
            <v>-1695.3717569912092</v>
          </cell>
          <cell r="N220">
            <v>384.18389637256519</v>
          </cell>
          <cell r="O220">
            <v>-2414.9985534585248</v>
          </cell>
          <cell r="P220">
            <v>-233.83654404133563</v>
          </cell>
          <cell r="Q220">
            <v>-1930.9569915387287</v>
          </cell>
          <cell r="R220">
            <v>-1184.6595687715833</v>
          </cell>
          <cell r="S220">
            <v>-7677.3148077417191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-448.98562343026629</v>
          </cell>
          <cell r="L223">
            <v>-6.2450476118036704</v>
          </cell>
          <cell r="M223">
            <v>-1243.3964167374736</v>
          </cell>
          <cell r="N223">
            <v>209.35322264679647</v>
          </cell>
          <cell r="O223">
            <v>-1418.9328850240254</v>
          </cell>
          <cell r="P223">
            <v>-154.18258504004609</v>
          </cell>
          <cell r="Q223">
            <v>-1112.7098119916793</v>
          </cell>
          <cell r="R223">
            <v>-639.22680690170569</v>
          </cell>
          <cell r="S223">
            <v>-4814.3259540902036</v>
          </cell>
        </row>
        <row r="224">
          <cell r="G224">
            <v>69467.296801843273</v>
          </cell>
          <cell r="H224">
            <v>80897.652794912603</v>
          </cell>
          <cell r="I224">
            <v>0</v>
          </cell>
          <cell r="J224">
            <v>0</v>
          </cell>
          <cell r="K224">
            <v>78084.55925470237</v>
          </cell>
          <cell r="L224">
            <v>81735.214078834033</v>
          </cell>
          <cell r="M224">
            <v>62602.322283538677</v>
          </cell>
          <cell r="N224">
            <v>90094.399293702474</v>
          </cell>
          <cell r="O224">
            <v>39502.338585435355</v>
          </cell>
          <cell r="P224">
            <v>82571.670238876555</v>
          </cell>
          <cell r="Q224">
            <v>64513.806444564398</v>
          </cell>
          <cell r="R224">
            <v>72152.655237051542</v>
          </cell>
          <cell r="S224">
            <v>721621.91501346126</v>
          </cell>
        </row>
        <row r="225">
          <cell r="G225">
            <v>69467.296801843273</v>
          </cell>
          <cell r="H225">
            <v>80897.652794912603</v>
          </cell>
          <cell r="I225">
            <v>0</v>
          </cell>
          <cell r="J225">
            <v>0</v>
          </cell>
          <cell r="K225">
            <v>81561.157745832155</v>
          </cell>
          <cell r="L225">
            <v>86663.48873926104</v>
          </cell>
          <cell r="M225">
            <v>62956.434990490219</v>
          </cell>
          <cell r="N225">
            <v>95999.073132580088</v>
          </cell>
          <cell r="O225">
            <v>38451.212661931495</v>
          </cell>
          <cell r="P225">
            <v>86985.298184657557</v>
          </cell>
          <cell r="Q225">
            <v>65350.967757767205</v>
          </cell>
          <cell r="R225">
            <v>74579.391525597443</v>
          </cell>
          <cell r="S225">
            <v>742911.97433487303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31874.602859972278</v>
          </cell>
          <cell r="L226">
            <v>34953.915946360343</v>
          </cell>
          <cell r="M226">
            <v>25251.148166260857</v>
          </cell>
          <cell r="N226">
            <v>37025.065718831283</v>
          </cell>
          <cell r="O226">
            <v>22270.338950143312</v>
          </cell>
          <cell r="P226">
            <v>33862.241097111211</v>
          </cell>
          <cell r="Q226">
            <v>26275.796724975658</v>
          </cell>
          <cell r="R226">
            <v>26729.449308185802</v>
          </cell>
          <cell r="S226">
            <v>238242.55877184076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G228">
            <v>516.15064260118368</v>
          </cell>
          <cell r="H228">
            <v>1966.9146495318241</v>
          </cell>
          <cell r="I228">
            <v>0</v>
          </cell>
          <cell r="J228">
            <v>0</v>
          </cell>
          <cell r="K228">
            <v>14038.290587865284</v>
          </cell>
          <cell r="L228">
            <v>11953.438508553207</v>
          </cell>
          <cell r="M228">
            <v>10958.055161755979</v>
          </cell>
          <cell r="N228">
            <v>12695.661127419138</v>
          </cell>
          <cell r="O228">
            <v>7725.0259770626762</v>
          </cell>
          <cell r="P228">
            <v>14424.343264504747</v>
          </cell>
          <cell r="Q228">
            <v>13103.723928943857</v>
          </cell>
          <cell r="R228">
            <v>12833.793930665566</v>
          </cell>
          <cell r="S228">
            <v>100215.39777890345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2497.8876776928164</v>
          </cell>
          <cell r="L231">
            <v>2376.2345838677425</v>
          </cell>
          <cell r="M231">
            <v>1537.5453938839778</v>
          </cell>
          <cell r="N231">
            <v>2867.4855540214294</v>
          </cell>
          <cell r="O231">
            <v>2185.7701384167094</v>
          </cell>
          <cell r="P231">
            <v>3323.4822144211885</v>
          </cell>
          <cell r="Q231">
            <v>2578.8943748514321</v>
          </cell>
          <cell r="R231">
            <v>2909.8294340362695</v>
          </cell>
          <cell r="S231">
            <v>20277.129371191564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2644.6813344388443</v>
          </cell>
          <cell r="L232">
            <v>2739.0554324443119</v>
          </cell>
          <cell r="M232">
            <v>1862.3322990430868</v>
          </cell>
          <cell r="N232">
            <v>2218.6829857417761</v>
          </cell>
          <cell r="O232">
            <v>1437.1792069159151</v>
          </cell>
          <cell r="P232">
            <v>2653.5097118764852</v>
          </cell>
          <cell r="Q232">
            <v>1937.9025698877276</v>
          </cell>
          <cell r="R232">
            <v>2049.9213223200641</v>
          </cell>
          <cell r="S232">
            <v>17543.264862668209</v>
          </cell>
        </row>
        <row r="233">
          <cell r="G233">
            <v>516.15064260118368</v>
          </cell>
          <cell r="H233">
            <v>1966.9146495318241</v>
          </cell>
          <cell r="I233">
            <v>0</v>
          </cell>
          <cell r="J233">
            <v>0</v>
          </cell>
          <cell r="K233">
            <v>19180.859599996944</v>
          </cell>
          <cell r="L233">
            <v>17068.728524865262</v>
          </cell>
          <cell r="M233">
            <v>14357.932854683044</v>
          </cell>
          <cell r="N233">
            <v>17781.829667182345</v>
          </cell>
          <cell r="O233">
            <v>11347.975322395299</v>
          </cell>
          <cell r="P233">
            <v>20401.335190802423</v>
          </cell>
          <cell r="Q233">
            <v>17620.520873683017</v>
          </cell>
          <cell r="R233">
            <v>17793.544687021902</v>
          </cell>
          <cell r="S233">
            <v>138035.79201276324</v>
          </cell>
        </row>
        <row r="234">
          <cell r="G234">
            <v>516.15064260118368</v>
          </cell>
          <cell r="H234">
            <v>1966.9146495318241</v>
          </cell>
          <cell r="I234">
            <v>0</v>
          </cell>
          <cell r="J234">
            <v>0</v>
          </cell>
          <cell r="K234">
            <v>51055.462459969218</v>
          </cell>
          <cell r="L234">
            <v>52022.644471225605</v>
          </cell>
          <cell r="M234">
            <v>39609.081020943901</v>
          </cell>
          <cell r="N234">
            <v>54806.895386013624</v>
          </cell>
          <cell r="O234">
            <v>33618.314272538613</v>
          </cell>
          <cell r="P234">
            <v>54263.576287913631</v>
          </cell>
          <cell r="Q234">
            <v>43896.317598658672</v>
          </cell>
          <cell r="R234">
            <v>44522.993995207704</v>
          </cell>
          <cell r="S234">
            <v>376278.35078460397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36377.323274198658</v>
          </cell>
          <cell r="L235">
            <v>46055.164402846727</v>
          </cell>
          <cell r="M235">
            <v>15560.751379676982</v>
          </cell>
          <cell r="N235">
            <v>52564.492259184015</v>
          </cell>
          <cell r="O235">
            <v>6192.4938433075622</v>
          </cell>
          <cell r="P235">
            <v>42624.186305206618</v>
          </cell>
          <cell r="Q235">
            <v>18781.075421351954</v>
          </cell>
          <cell r="R235">
            <v>29378.241923639333</v>
          </cell>
          <cell r="S235">
            <v>247533.72880941187</v>
          </cell>
        </row>
        <row r="236">
          <cell r="G236">
            <v>0</v>
          </cell>
          <cell r="H236">
            <v>0</v>
          </cell>
          <cell r="I236">
            <v>-92380.352555555553</v>
          </cell>
          <cell r="J236">
            <v>-95073.312555555545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-187453.6651111111</v>
          </cell>
          <cell r="T236"/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71728.524625300721</v>
          </cell>
          <cell r="L237">
            <v>85937.355009634077</v>
          </cell>
          <cell r="M237">
            <v>41166.012252889384</v>
          </cell>
          <cell r="N237">
            <v>95494.231816892905</v>
          </cell>
          <cell r="O237">
            <v>27411.706869947015</v>
          </cell>
          <cell r="P237">
            <v>80900.055348098831</v>
          </cell>
          <cell r="Q237">
            <v>45894.033459530416</v>
          </cell>
          <cell r="R237">
            <v>58534.427520371028</v>
          </cell>
          <cell r="S237">
            <v>507066.3469026644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G239">
            <v>69983.44744444445</v>
          </cell>
          <cell r="H239">
            <v>82864.56744444443</v>
          </cell>
          <cell r="I239">
            <v>0</v>
          </cell>
          <cell r="J239">
            <v>0</v>
          </cell>
          <cell r="K239">
            <v>93164.767951991758</v>
          </cell>
          <cell r="L239">
            <v>93703.640438318136</v>
          </cell>
          <cell r="M239">
            <v>76499.145619023344</v>
          </cell>
          <cell r="N239">
            <v>102196.52330210226</v>
          </cell>
          <cell r="O239">
            <v>51061.296000980583</v>
          </cell>
          <cell r="P239">
            <v>97384.03263246268</v>
          </cell>
          <cell r="Q239">
            <v>80661.197177038659</v>
          </cell>
          <cell r="R239">
            <v>86810.335543390393</v>
          </cell>
          <cell r="S239">
            <v>834328.95355419663</v>
          </cell>
          <cell r="T239">
            <v>0.97053623405570744</v>
          </cell>
        </row>
        <row r="240"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-592.932485993829</v>
          </cell>
          <cell r="L240">
            <v>-8.7428033190736869</v>
          </cell>
          <cell r="M240">
            <v>-1695.3717569912092</v>
          </cell>
          <cell r="N240">
            <v>384.18389637256519</v>
          </cell>
          <cell r="O240">
            <v>-2414.9985534585248</v>
          </cell>
          <cell r="P240">
            <v>-233.83654404133563</v>
          </cell>
          <cell r="Q240">
            <v>-1930.9569915387287</v>
          </cell>
          <cell r="R240">
            <v>-1184.6595687715833</v>
          </cell>
          <cell r="S240">
            <v>-7677.3148077417191</v>
          </cell>
          <cell r="T240">
            <v>-8.9306647808690166E-3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/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2497.8876776928164</v>
          </cell>
          <cell r="L242">
            <v>2376.2345838677425</v>
          </cell>
          <cell r="M242">
            <v>1537.5453938839778</v>
          </cell>
          <cell r="N242">
            <v>2867.4855540214294</v>
          </cell>
          <cell r="O242">
            <v>2185.7701384167094</v>
          </cell>
          <cell r="P242">
            <v>3323.4822144211885</v>
          </cell>
          <cell r="Q242">
            <v>2578.8943748514321</v>
          </cell>
          <cell r="R242">
            <v>2909.8294340362695</v>
          </cell>
          <cell r="S242">
            <v>20277.129371191564</v>
          </cell>
          <cell r="T242">
            <v>2.3587445567533304E-2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2195.6957110085777</v>
          </cell>
          <cell r="L243">
            <v>2732.8103848325081</v>
          </cell>
          <cell r="M243">
            <v>618.93588230561318</v>
          </cell>
          <cell r="N243">
            <v>2428.0362083885725</v>
          </cell>
          <cell r="O243">
            <v>18.246321891889693</v>
          </cell>
          <cell r="P243">
            <v>2499.3271268364392</v>
          </cell>
          <cell r="Q243">
            <v>825.19275789604831</v>
          </cell>
          <cell r="R243">
            <v>1410.6945154183584</v>
          </cell>
          <cell r="S243">
            <v>12728.938908578004</v>
          </cell>
          <cell r="T243">
            <v>1.4806985157628206E-2</v>
          </cell>
        </row>
        <row r="244">
          <cell r="G244">
            <v>69983.44744444445</v>
          </cell>
          <cell r="H244">
            <v>82864.56744444443</v>
          </cell>
          <cell r="I244">
            <v>0</v>
          </cell>
          <cell r="J244">
            <v>0</v>
          </cell>
          <cell r="K244">
            <v>97265.418854699325</v>
          </cell>
          <cell r="L244">
            <v>98803.94260369931</v>
          </cell>
          <cell r="M244">
            <v>76960.255138221721</v>
          </cell>
          <cell r="N244">
            <v>107876.22896088482</v>
          </cell>
          <cell r="O244">
            <v>50850.313907830656</v>
          </cell>
          <cell r="P244">
            <v>102973.00542967897</v>
          </cell>
          <cell r="Q244">
            <v>82134.327318247408</v>
          </cell>
          <cell r="R244">
            <v>89946.199924073429</v>
          </cell>
          <cell r="S244">
            <v>859657.70702622458</v>
          </cell>
        </row>
        <row r="245">
          <cell r="G245">
            <v>0</v>
          </cell>
          <cell r="H245">
            <v>0</v>
          </cell>
          <cell r="I245">
            <v>-92380.352555555553</v>
          </cell>
          <cell r="J245">
            <v>-95073.312555555545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-187453.6651111111</v>
          </cell>
          <cell r="T245"/>
        </row>
        <row r="246">
          <cell r="G246">
            <v>69983.44744444445</v>
          </cell>
          <cell r="H246">
            <v>82864.56744444443</v>
          </cell>
          <cell r="I246">
            <v>-92380.352555555553</v>
          </cell>
          <cell r="J246">
            <v>-95073.312555555545</v>
          </cell>
          <cell r="K246">
            <v>168993.94348000005</v>
          </cell>
          <cell r="L246">
            <v>184741.29761333339</v>
          </cell>
          <cell r="M246">
            <v>118126.26739111111</v>
          </cell>
          <cell r="N246">
            <v>203370.46077777771</v>
          </cell>
          <cell r="O246">
            <v>78262.020777777667</v>
          </cell>
          <cell r="P246">
            <v>183873.06077777781</v>
          </cell>
          <cell r="Q246">
            <v>128028.36077777782</v>
          </cell>
          <cell r="R246">
            <v>148480.62744444446</v>
          </cell>
          <cell r="S246">
            <v>1179270.3888177779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판매6"/>
      <sheetName val="판매4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  <cell r="AC6">
            <v>51000</v>
          </cell>
          <cell r="AD6">
            <v>56000</v>
          </cell>
          <cell r="AE6">
            <v>61000</v>
          </cell>
          <cell r="AF6">
            <v>64406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  <cell r="AC7">
            <v>96512.027814852743</v>
          </cell>
          <cell r="AD7">
            <v>109587.67105688711</v>
          </cell>
          <cell r="AE7">
            <v>122547.09678376424</v>
          </cell>
          <cell r="AF7">
            <v>135564.9663336949</v>
          </cell>
        </row>
        <row r="8">
          <cell r="G8">
            <v>15859.755340702824</v>
          </cell>
          <cell r="H8">
            <v>14773.154431177472</v>
          </cell>
          <cell r="I8">
            <v>16355.137027505783</v>
          </cell>
          <cell r="J8">
            <v>16863.361164706679</v>
          </cell>
          <cell r="K8">
            <v>16809.035882592707</v>
          </cell>
          <cell r="L8">
            <v>16640.559098179561</v>
          </cell>
          <cell r="M8">
            <v>17004.659668437012</v>
          </cell>
          <cell r="N8">
            <v>16885.30135375616</v>
          </cell>
          <cell r="O8">
            <v>16321.063847794539</v>
          </cell>
          <cell r="P8">
            <v>18075.64324203437</v>
          </cell>
          <cell r="Q8">
            <v>17959.425726877136</v>
          </cell>
          <cell r="R8">
            <v>16423.869549930656</v>
          </cell>
          <cell r="S8">
            <v>199970.9663336949</v>
          </cell>
          <cell r="U8"/>
          <cell r="V8">
            <v>30632.909771880295</v>
          </cell>
          <cell r="W8">
            <v>46988.04679938608</v>
          </cell>
          <cell r="X8">
            <v>63851.407964092759</v>
          </cell>
          <cell r="Y8">
            <v>80660.443846685463</v>
          </cell>
          <cell r="Z8">
            <v>97301.002944865031</v>
          </cell>
          <cell r="AA8">
            <v>114305.66261330203</v>
          </cell>
          <cell r="AB8">
            <v>131190.9639670582</v>
          </cell>
          <cell r="AC8">
            <v>147512.02781485274</v>
          </cell>
          <cell r="AD8">
            <v>165587.67105688711</v>
          </cell>
          <cell r="AE8">
            <v>183547.09678376425</v>
          </cell>
          <cell r="AF8">
            <v>199970.9663336949</v>
          </cell>
        </row>
        <row r="9">
          <cell r="G9">
            <v>15000</v>
          </cell>
          <cell r="H9">
            <v>15000</v>
          </cell>
          <cell r="I9">
            <v>16000</v>
          </cell>
          <cell r="J9">
            <v>15000</v>
          </cell>
          <cell r="K9">
            <v>15000</v>
          </cell>
          <cell r="L9">
            <v>15000</v>
          </cell>
          <cell r="M9">
            <v>15000</v>
          </cell>
          <cell r="N9">
            <v>15000</v>
          </cell>
          <cell r="O9">
            <v>15000</v>
          </cell>
          <cell r="P9">
            <v>14000</v>
          </cell>
          <cell r="Q9">
            <v>14000</v>
          </cell>
          <cell r="R9">
            <v>14000</v>
          </cell>
          <cell r="S9">
            <v>178000</v>
          </cell>
          <cell r="U9"/>
          <cell r="V9">
            <v>30000</v>
          </cell>
          <cell r="W9">
            <v>46000</v>
          </cell>
          <cell r="X9">
            <v>61000</v>
          </cell>
          <cell r="Y9">
            <v>76000</v>
          </cell>
          <cell r="Z9">
            <v>91000</v>
          </cell>
          <cell r="AA9">
            <v>106000</v>
          </cell>
          <cell r="AB9">
            <v>121000</v>
          </cell>
          <cell r="AC9">
            <v>136000</v>
          </cell>
          <cell r="AD9">
            <v>150000</v>
          </cell>
          <cell r="AE9">
            <v>164000</v>
          </cell>
          <cell r="AF9">
            <v>178000</v>
          </cell>
        </row>
        <row r="10">
          <cell r="G10">
            <v>8810.5446248949956</v>
          </cell>
          <cell r="H10">
            <v>7883.2289551615359</v>
          </cell>
          <cell r="I10">
            <v>9415.1908075191022</v>
          </cell>
          <cell r="J10">
            <v>9970.614085331119</v>
          </cell>
          <cell r="K10">
            <v>10001.05548943125</v>
          </cell>
          <cell r="L10">
            <v>10004.586446333693</v>
          </cell>
          <cell r="M10">
            <v>10794.850064192431</v>
          </cell>
          <cell r="N10">
            <v>10823.463365458369</v>
          </cell>
          <cell r="O10">
            <v>9795.2459202058471</v>
          </cell>
          <cell r="P10">
            <v>11490.084829884816</v>
          </cell>
          <cell r="Q10">
            <v>11530.90965901488</v>
          </cell>
          <cell r="R10">
            <v>11509.136509370845</v>
          </cell>
          <cell r="S10">
            <v>122028.9107567989</v>
          </cell>
          <cell r="U10"/>
          <cell r="V10">
            <v>16693.773580056532</v>
          </cell>
          <cell r="W10">
            <v>26108.964387575634</v>
          </cell>
          <cell r="X10">
            <v>36079.578472906753</v>
          </cell>
          <cell r="Y10">
            <v>46080.633962338004</v>
          </cell>
          <cell r="Z10">
            <v>56085.220408671696</v>
          </cell>
          <cell r="AA10">
            <v>66880.070472864129</v>
          </cell>
          <cell r="AB10">
            <v>77703.533838322503</v>
          </cell>
          <cell r="AC10">
            <v>87498.779758528355</v>
          </cell>
          <cell r="AD10">
            <v>98988.864588413169</v>
          </cell>
          <cell r="AE10">
            <v>110519.77424742805</v>
          </cell>
          <cell r="AF10">
            <v>122028.9107567989</v>
          </cell>
        </row>
        <row r="11">
          <cell r="G11">
            <v>23810.544624894996</v>
          </cell>
          <cell r="H11">
            <v>22883.228955161536</v>
          </cell>
          <cell r="I11">
            <v>25415.190807519102</v>
          </cell>
          <cell r="J11">
            <v>24970.614085331119</v>
          </cell>
          <cell r="K11">
            <v>25001.055489431252</v>
          </cell>
          <cell r="L11">
            <v>25004.586446333691</v>
          </cell>
          <cell r="M11">
            <v>25794.850064192433</v>
          </cell>
          <cell r="N11">
            <v>25823.463365458367</v>
          </cell>
          <cell r="O11">
            <v>24795.245920205845</v>
          </cell>
          <cell r="P11">
            <v>25490.084829884814</v>
          </cell>
          <cell r="Q11">
            <v>25530.90965901488</v>
          </cell>
          <cell r="R11">
            <v>25509.136509370845</v>
          </cell>
          <cell r="S11">
            <v>300028.91075679893</v>
          </cell>
          <cell r="U11"/>
          <cell r="V11">
            <v>46693.773580056528</v>
          </cell>
          <cell r="W11">
            <v>72108.96438757563</v>
          </cell>
          <cell r="X11">
            <v>97079.578472906753</v>
          </cell>
          <cell r="Y11">
            <v>122080.633962338</v>
          </cell>
          <cell r="Z11">
            <v>147085.22040867171</v>
          </cell>
          <cell r="AA11">
            <v>172880.07047286414</v>
          </cell>
          <cell r="AB11">
            <v>198703.5338383225</v>
          </cell>
          <cell r="AC11">
            <v>223498.77975852834</v>
          </cell>
          <cell r="AD11">
            <v>248988.86458841315</v>
          </cell>
          <cell r="AE11">
            <v>274519.77424742805</v>
          </cell>
          <cell r="AF11">
            <v>300028.91075679893</v>
          </cell>
        </row>
        <row r="12">
          <cell r="G12">
            <v>21000</v>
          </cell>
          <cell r="H12">
            <v>21000</v>
          </cell>
          <cell r="I12">
            <v>22000</v>
          </cell>
          <cell r="J12">
            <v>21000</v>
          </cell>
          <cell r="K12">
            <v>21000</v>
          </cell>
          <cell r="L12">
            <v>21000</v>
          </cell>
          <cell r="M12">
            <v>20000</v>
          </cell>
          <cell r="N12">
            <v>20000</v>
          </cell>
          <cell r="O12">
            <v>20000</v>
          </cell>
          <cell r="P12">
            <v>19000</v>
          </cell>
          <cell r="Q12">
            <v>19000</v>
          </cell>
          <cell r="R12">
            <v>17406</v>
          </cell>
          <cell r="S12">
            <v>242406</v>
          </cell>
          <cell r="V12">
            <v>42000</v>
          </cell>
          <cell r="W12">
            <v>64000</v>
          </cell>
          <cell r="X12">
            <v>85000</v>
          </cell>
          <cell r="Y12">
            <v>106000</v>
          </cell>
          <cell r="Z12">
            <v>127000</v>
          </cell>
          <cell r="AA12">
            <v>147000</v>
          </cell>
          <cell r="AB12">
            <v>167000</v>
          </cell>
          <cell r="AC12">
            <v>187000</v>
          </cell>
          <cell r="AD12">
            <v>206000</v>
          </cell>
          <cell r="AE12">
            <v>225000</v>
          </cell>
          <cell r="AF12">
            <v>242406</v>
          </cell>
        </row>
        <row r="13">
          <cell r="G13">
            <v>18670.29996559782</v>
          </cell>
          <cell r="H13">
            <v>16656.38338633901</v>
          </cell>
          <cell r="I13">
            <v>19770.327835024887</v>
          </cell>
          <cell r="J13">
            <v>20833.975250037798</v>
          </cell>
          <cell r="K13">
            <v>20810.091372023955</v>
          </cell>
          <cell r="L13">
            <v>20645.145544513252</v>
          </cell>
          <cell r="M13">
            <v>22799.509732629442</v>
          </cell>
          <cell r="N13">
            <v>22708.76471921453</v>
          </cell>
          <cell r="O13">
            <v>21116.309768000385</v>
          </cell>
          <cell r="P13">
            <v>24565.728071919184</v>
          </cell>
          <cell r="Q13">
            <v>24490.335385892016</v>
          </cell>
          <cell r="R13">
            <v>24527.0060593015</v>
          </cell>
          <cell r="S13">
            <v>257593.87709049374</v>
          </cell>
          <cell r="V13">
            <v>35326.683351936823</v>
          </cell>
          <cell r="W13">
            <v>55097.01118696171</v>
          </cell>
          <cell r="X13">
            <v>75930.986436999519</v>
          </cell>
          <cell r="Y13">
            <v>96741.077809023467</v>
          </cell>
          <cell r="Z13">
            <v>117386.22335353671</v>
          </cell>
          <cell r="AA13">
            <v>140185.73308616615</v>
          </cell>
          <cell r="AB13">
            <v>162894.4978053807</v>
          </cell>
          <cell r="AC13">
            <v>184010.80757338111</v>
          </cell>
          <cell r="AD13">
            <v>208576.53564530029</v>
          </cell>
          <cell r="AE13">
            <v>233066.87103119231</v>
          </cell>
          <cell r="AF13">
            <v>257593.8770904938</v>
          </cell>
        </row>
        <row r="14">
          <cell r="G14">
            <v>39670.29996559782</v>
          </cell>
          <cell r="H14">
            <v>37656.38338633901</v>
          </cell>
          <cell r="I14">
            <v>41770.327835024887</v>
          </cell>
          <cell r="J14">
            <v>41833.975250037794</v>
          </cell>
          <cell r="K14">
            <v>41810.091372023955</v>
          </cell>
          <cell r="L14">
            <v>41645.145544513252</v>
          </cell>
          <cell r="M14">
            <v>42799.509732629442</v>
          </cell>
          <cell r="N14">
            <v>42708.76471921453</v>
          </cell>
          <cell r="O14">
            <v>41116.309768000385</v>
          </cell>
          <cell r="P14">
            <v>43565.728071919184</v>
          </cell>
          <cell r="Q14">
            <v>43490.335385892016</v>
          </cell>
          <cell r="R14">
            <v>41933.0060593015</v>
          </cell>
          <cell r="S14">
            <v>499999.87709049374</v>
          </cell>
          <cell r="V14">
            <v>77326.683351936823</v>
          </cell>
          <cell r="W14">
            <v>119097.01118696171</v>
          </cell>
          <cell r="X14">
            <v>160930.98643699952</v>
          </cell>
          <cell r="Y14">
            <v>202741.07780902347</v>
          </cell>
          <cell r="Z14">
            <v>244386.22335353671</v>
          </cell>
          <cell r="AA14">
            <v>287185.73308616615</v>
          </cell>
          <cell r="AB14">
            <v>329894.49780538073</v>
          </cell>
          <cell r="AC14">
            <v>371010.80757338111</v>
          </cell>
          <cell r="AD14">
            <v>414576.53564530029</v>
          </cell>
          <cell r="AE14">
            <v>458066.87103119231</v>
          </cell>
          <cell r="AF14">
            <v>499999.8770904938</v>
          </cell>
        </row>
        <row r="15">
          <cell r="G15">
            <v>72000</v>
          </cell>
          <cell r="H15">
            <v>72000</v>
          </cell>
          <cell r="I15">
            <v>72000</v>
          </cell>
          <cell r="J15">
            <v>72000</v>
          </cell>
          <cell r="K15">
            <v>72000</v>
          </cell>
          <cell r="L15">
            <v>72000</v>
          </cell>
          <cell r="M15">
            <v>60000</v>
          </cell>
          <cell r="N15">
            <v>60000</v>
          </cell>
          <cell r="O15">
            <v>60000</v>
          </cell>
          <cell r="P15">
            <v>60000</v>
          </cell>
          <cell r="Q15">
            <v>60000</v>
          </cell>
          <cell r="R15">
            <v>40872</v>
          </cell>
          <cell r="S15">
            <v>772872</v>
          </cell>
          <cell r="U15"/>
          <cell r="V15">
            <v>144000</v>
          </cell>
          <cell r="W15">
            <v>216000</v>
          </cell>
          <cell r="X15">
            <v>288000</v>
          </cell>
          <cell r="Y15">
            <v>360000</v>
          </cell>
          <cell r="Z15">
            <v>432000</v>
          </cell>
          <cell r="AA15">
            <v>492000</v>
          </cell>
          <cell r="AB15">
            <v>552000</v>
          </cell>
          <cell r="AC15">
            <v>612000</v>
          </cell>
          <cell r="AD15">
            <v>672000</v>
          </cell>
          <cell r="AE15">
            <v>732000</v>
          </cell>
          <cell r="AF15">
            <v>772872</v>
          </cell>
        </row>
        <row r="16">
          <cell r="G16">
            <v>157756.08545124519</v>
          </cell>
          <cell r="H16">
            <v>140370.47089883956</v>
          </cell>
          <cell r="I16">
            <v>165682.19244009253</v>
          </cell>
          <cell r="J16">
            <v>173813.77863530687</v>
          </cell>
          <cell r="K16">
            <v>172944.57412148331</v>
          </cell>
          <cell r="L16">
            <v>170248.94557087295</v>
          </cell>
          <cell r="M16">
            <v>192074.5546949922</v>
          </cell>
          <cell r="N16">
            <v>190164.82166009856</v>
          </cell>
          <cell r="O16">
            <v>181137.02156471263</v>
          </cell>
          <cell r="P16">
            <v>209210.29187254989</v>
          </cell>
          <cell r="Q16">
            <v>207350.81163003418</v>
          </cell>
          <cell r="R16">
            <v>208285.91279889052</v>
          </cell>
          <cell r="S16">
            <v>2169039.4613391184</v>
          </cell>
          <cell r="U16"/>
          <cell r="V16">
            <v>298126.55635008472</v>
          </cell>
          <cell r="W16">
            <v>463808.74879017728</v>
          </cell>
          <cell r="X16">
            <v>637622.52742548415</v>
          </cell>
          <cell r="Y16">
            <v>810567.1015469674</v>
          </cell>
          <cell r="Z16">
            <v>980816.04711784038</v>
          </cell>
          <cell r="AA16">
            <v>1172890.6018128325</v>
          </cell>
          <cell r="AB16">
            <v>1363055.4234729311</v>
          </cell>
          <cell r="AC16">
            <v>1544192.4450376439</v>
          </cell>
          <cell r="AD16">
            <v>1753402.7369101937</v>
          </cell>
          <cell r="AE16">
            <v>1960753.5485402278</v>
          </cell>
          <cell r="AF16">
            <v>2169039.4613391184</v>
          </cell>
        </row>
        <row r="17">
          <cell r="G17">
            <v>229756.08545124519</v>
          </cell>
          <cell r="H17">
            <v>212370.47089883956</v>
          </cell>
          <cell r="I17">
            <v>237682.19244009253</v>
          </cell>
          <cell r="J17">
            <v>245813.77863530687</v>
          </cell>
          <cell r="K17">
            <v>244944.57412148331</v>
          </cell>
          <cell r="L17">
            <v>242248.94557087295</v>
          </cell>
          <cell r="M17">
            <v>252074.5546949922</v>
          </cell>
          <cell r="N17">
            <v>250164.82166009856</v>
          </cell>
          <cell r="O17">
            <v>241137.02156471263</v>
          </cell>
          <cell r="P17">
            <v>269210.29187254992</v>
          </cell>
          <cell r="Q17">
            <v>267350.81163003418</v>
          </cell>
          <cell r="R17">
            <v>249157.91279889052</v>
          </cell>
          <cell r="S17">
            <v>2941911.4613391184</v>
          </cell>
          <cell r="U17"/>
          <cell r="V17">
            <v>442126.55635008472</v>
          </cell>
          <cell r="W17">
            <v>679808.74879017728</v>
          </cell>
          <cell r="X17">
            <v>925622.52742548415</v>
          </cell>
          <cell r="Y17">
            <v>1170567.1015469674</v>
          </cell>
          <cell r="Z17">
            <v>1412816.0471178405</v>
          </cell>
          <cell r="AA17">
            <v>1664890.6018128325</v>
          </cell>
          <cell r="AB17">
            <v>1915055.4234729311</v>
          </cell>
          <cell r="AC17">
            <v>2156192.4450376439</v>
          </cell>
          <cell r="AD17">
            <v>2425402.7369101937</v>
          </cell>
          <cell r="AE17">
            <v>2692753.548540228</v>
          </cell>
          <cell r="AF17">
            <v>2941911.4613391184</v>
          </cell>
        </row>
        <row r="18">
          <cell r="G18">
            <v>285000</v>
          </cell>
          <cell r="H18">
            <v>285000</v>
          </cell>
          <cell r="I18">
            <v>304000</v>
          </cell>
          <cell r="J18">
            <v>285000</v>
          </cell>
          <cell r="K18">
            <v>285000</v>
          </cell>
          <cell r="L18">
            <v>285000</v>
          </cell>
          <cell r="M18">
            <v>285000</v>
          </cell>
          <cell r="N18">
            <v>285000</v>
          </cell>
          <cell r="O18">
            <v>285000</v>
          </cell>
          <cell r="P18">
            <v>266000</v>
          </cell>
          <cell r="Q18">
            <v>266000</v>
          </cell>
          <cell r="R18">
            <v>266000</v>
          </cell>
          <cell r="S18">
            <v>3382000</v>
          </cell>
          <cell r="U18"/>
          <cell r="V18">
            <v>570000</v>
          </cell>
          <cell r="W18">
            <v>874000</v>
          </cell>
          <cell r="X18">
            <v>1159000</v>
          </cell>
          <cell r="Y18">
            <v>1444000</v>
          </cell>
          <cell r="Z18">
            <v>1729000</v>
          </cell>
          <cell r="AA18">
            <v>2014000</v>
          </cell>
          <cell r="AB18">
            <v>2299000</v>
          </cell>
          <cell r="AC18">
            <v>2584000</v>
          </cell>
          <cell r="AD18">
            <v>2850000</v>
          </cell>
          <cell r="AE18">
            <v>3116000</v>
          </cell>
          <cell r="AF18">
            <v>3382000</v>
          </cell>
        </row>
        <row r="19">
          <cell r="G19">
            <v>194650.76637258488</v>
          </cell>
          <cell r="H19">
            <v>174106.42596871531</v>
          </cell>
          <cell r="I19">
            <v>207773.74986326191</v>
          </cell>
          <cell r="J19">
            <v>219823.22073680931</v>
          </cell>
          <cell r="K19">
            <v>220533.43754724131</v>
          </cell>
          <cell r="L19">
            <v>220892.58503986849</v>
          </cell>
          <cell r="M19">
            <v>238682.01599255495</v>
          </cell>
          <cell r="N19">
            <v>239338.10901844571</v>
          </cell>
          <cell r="O19">
            <v>218302.08842279902</v>
          </cell>
          <cell r="P19">
            <v>254805.26721638301</v>
          </cell>
          <cell r="Q19">
            <v>255744.23828637449</v>
          </cell>
          <cell r="R19">
            <v>255219.301005852</v>
          </cell>
          <cell r="S19">
            <v>2699871.2054708907</v>
          </cell>
          <cell r="U19"/>
          <cell r="V19">
            <v>368757.19234130019</v>
          </cell>
          <cell r="W19">
            <v>576530.94220456213</v>
          </cell>
          <cell r="X19">
            <v>796354.16294137144</v>
          </cell>
          <cell r="Y19">
            <v>1016887.6004886128</v>
          </cell>
          <cell r="Z19">
            <v>1237780.1855284814</v>
          </cell>
          <cell r="AA19">
            <v>1476462.2015210362</v>
          </cell>
          <cell r="AB19">
            <v>1715800.3105394819</v>
          </cell>
          <cell r="AC19">
            <v>1934102.3989622809</v>
          </cell>
          <cell r="AD19">
            <v>2188907.6661786642</v>
          </cell>
          <cell r="AE19">
            <v>2444651.9044650388</v>
          </cell>
          <cell r="AF19">
            <v>2699871.2054708907</v>
          </cell>
        </row>
        <row r="20">
          <cell r="G20">
            <v>479650.76637258485</v>
          </cell>
          <cell r="H20">
            <v>459106.42596871534</v>
          </cell>
          <cell r="I20">
            <v>511773.74986326194</v>
          </cell>
          <cell r="J20">
            <v>504823.22073680931</v>
          </cell>
          <cell r="K20">
            <v>505533.43754724134</v>
          </cell>
          <cell r="L20">
            <v>505892.58503986849</v>
          </cell>
          <cell r="M20">
            <v>523682.01599255495</v>
          </cell>
          <cell r="N20">
            <v>524338.10901844571</v>
          </cell>
          <cell r="O20">
            <v>503302.08842279902</v>
          </cell>
          <cell r="P20">
            <v>520805.26721638301</v>
          </cell>
          <cell r="Q20">
            <v>521744.23828637449</v>
          </cell>
          <cell r="R20">
            <v>521219.301005852</v>
          </cell>
          <cell r="S20">
            <v>6081871.2054708889</v>
          </cell>
          <cell r="V20">
            <v>938757.19234130019</v>
          </cell>
          <cell r="W20">
            <v>1450530.942204562</v>
          </cell>
          <cell r="X20">
            <v>1955354.1629413716</v>
          </cell>
          <cell r="Y20">
            <v>2460887.6004886129</v>
          </cell>
          <cell r="Z20">
            <v>2966780.1855284814</v>
          </cell>
          <cell r="AA20">
            <v>3490462.2015210362</v>
          </cell>
          <cell r="AB20">
            <v>4014800.3105394822</v>
          </cell>
          <cell r="AC20">
            <v>4518102.3989622807</v>
          </cell>
          <cell r="AD20">
            <v>5038907.6661786642</v>
          </cell>
          <cell r="AE20">
            <v>5560651.9044650383</v>
          </cell>
          <cell r="AF20">
            <v>6081871.2054708907</v>
          </cell>
        </row>
        <row r="21">
          <cell r="G21">
            <v>357000</v>
          </cell>
          <cell r="H21">
            <v>357000</v>
          </cell>
          <cell r="I21">
            <v>376000</v>
          </cell>
          <cell r="J21">
            <v>357000</v>
          </cell>
          <cell r="K21">
            <v>357000</v>
          </cell>
          <cell r="L21">
            <v>357000</v>
          </cell>
          <cell r="M21">
            <v>345000</v>
          </cell>
          <cell r="N21">
            <v>345000</v>
          </cell>
          <cell r="O21">
            <v>345000</v>
          </cell>
          <cell r="P21">
            <v>326000</v>
          </cell>
          <cell r="Q21">
            <v>326000</v>
          </cell>
          <cell r="R21">
            <v>306872</v>
          </cell>
          <cell r="S21">
            <v>4154872</v>
          </cell>
          <cell r="V21">
            <v>714000</v>
          </cell>
          <cell r="W21">
            <v>1090000</v>
          </cell>
          <cell r="X21">
            <v>1447000</v>
          </cell>
          <cell r="Y21">
            <v>1804000</v>
          </cell>
          <cell r="Z21">
            <v>2161000</v>
          </cell>
          <cell r="AA21">
            <v>2506000</v>
          </cell>
          <cell r="AB21">
            <v>2851000</v>
          </cell>
          <cell r="AC21">
            <v>3196000</v>
          </cell>
          <cell r="AD21">
            <v>3522000</v>
          </cell>
          <cell r="AE21">
            <v>3848000</v>
          </cell>
          <cell r="AF21">
            <v>4154872</v>
          </cell>
        </row>
        <row r="22">
          <cell r="G22">
            <v>352406.85182383005</v>
          </cell>
          <cell r="H22">
            <v>314476.89686755487</v>
          </cell>
          <cell r="I22">
            <v>373455.94230335444</v>
          </cell>
          <cell r="J22">
            <v>393636.99937211617</v>
          </cell>
          <cell r="K22">
            <v>393478.01166872459</v>
          </cell>
          <cell r="L22">
            <v>391141.53061074147</v>
          </cell>
          <cell r="M22">
            <v>430756.57068754715</v>
          </cell>
          <cell r="N22">
            <v>429502.93067854427</v>
          </cell>
          <cell r="O22">
            <v>399439.10998751165</v>
          </cell>
          <cell r="P22">
            <v>464015.55908893293</v>
          </cell>
          <cell r="Q22">
            <v>463095.04991640867</v>
          </cell>
          <cell r="R22">
            <v>463505.21380474255</v>
          </cell>
          <cell r="S22">
            <v>4868910.6668100087</v>
          </cell>
          <cell r="V22">
            <v>666883.74869138491</v>
          </cell>
          <cell r="W22">
            <v>1040339.6909947394</v>
          </cell>
          <cell r="X22">
            <v>1433976.6903668556</v>
          </cell>
          <cell r="Y22">
            <v>1827454.7020355803</v>
          </cell>
          <cell r="Z22">
            <v>2218596.2326463219</v>
          </cell>
          <cell r="AA22">
            <v>2649352.8033338687</v>
          </cell>
          <cell r="AB22">
            <v>3078855.7340124128</v>
          </cell>
          <cell r="AC22">
            <v>3478294.8439999251</v>
          </cell>
          <cell r="AD22">
            <v>3942310.4030888579</v>
          </cell>
          <cell r="AE22">
            <v>4405405.4530052664</v>
          </cell>
          <cell r="AF22">
            <v>4868910.6668100096</v>
          </cell>
        </row>
        <row r="23">
          <cell r="G23">
            <v>709406.85182383005</v>
          </cell>
          <cell r="H23">
            <v>671476.89686755487</v>
          </cell>
          <cell r="I23">
            <v>749455.94230335439</v>
          </cell>
          <cell r="J23">
            <v>750636.99937211617</v>
          </cell>
          <cell r="K23">
            <v>750478.01166872459</v>
          </cell>
          <cell r="L23">
            <v>748141.53061074147</v>
          </cell>
          <cell r="M23">
            <v>775756.57068754709</v>
          </cell>
          <cell r="N23">
            <v>774502.93067854433</v>
          </cell>
          <cell r="O23">
            <v>744439.10998751165</v>
          </cell>
          <cell r="P23">
            <v>790015.55908893293</v>
          </cell>
          <cell r="Q23">
            <v>789095.04991640872</v>
          </cell>
          <cell r="R23">
            <v>770377.21380474255</v>
          </cell>
          <cell r="S23">
            <v>9023782.6668100096</v>
          </cell>
          <cell r="V23">
            <v>1380883.7486913849</v>
          </cell>
          <cell r="W23">
            <v>2130339.6909947395</v>
          </cell>
          <cell r="X23">
            <v>2880976.6903668558</v>
          </cell>
          <cell r="Y23">
            <v>3631454.7020355803</v>
          </cell>
          <cell r="Z23">
            <v>4379596.2326463219</v>
          </cell>
          <cell r="AA23">
            <v>5155352.8033338692</v>
          </cell>
          <cell r="AB23">
            <v>5929855.7340124128</v>
          </cell>
          <cell r="AC23">
            <v>6674294.8439999251</v>
          </cell>
          <cell r="AD23">
            <v>7464310.4030888584</v>
          </cell>
          <cell r="AE23">
            <v>8253405.4530052664</v>
          </cell>
          <cell r="AF23">
            <v>9023782.6668100096</v>
          </cell>
        </row>
        <row r="24">
          <cell r="G24">
            <v>104775.03124906031</v>
          </cell>
          <cell r="H24">
            <v>95295.473954837333</v>
          </cell>
          <cell r="I24">
            <v>91563.084306560297</v>
          </cell>
          <cell r="J24">
            <v>87000.224548306564</v>
          </cell>
          <cell r="K24">
            <v>97182.426162880511</v>
          </cell>
          <cell r="L24">
            <v>90703.546439333411</v>
          </cell>
          <cell r="M24">
            <v>77332.772298527168</v>
          </cell>
          <cell r="N24">
            <v>72936.519837368818</v>
          </cell>
          <cell r="O24">
            <v>79856.211814888607</v>
          </cell>
          <cell r="P24">
            <v>71421.792317589046</v>
          </cell>
          <cell r="Q24">
            <v>74452.947069168877</v>
          </cell>
          <cell r="R24">
            <v>48992.802610919891</v>
          </cell>
          <cell r="S24">
            <v>991512.8326094409</v>
          </cell>
          <cell r="U24"/>
          <cell r="V24">
            <v>200070.50520389766</v>
          </cell>
          <cell r="W24">
            <v>291633.58951045794</v>
          </cell>
          <cell r="X24">
            <v>378633.81405876449</v>
          </cell>
          <cell r="Y24">
            <v>475816.24022164498</v>
          </cell>
          <cell r="Z24">
            <v>566519.78666097834</v>
          </cell>
          <cell r="AA24">
            <v>643852.55895950552</v>
          </cell>
          <cell r="AB24">
            <v>716789.07879687438</v>
          </cell>
          <cell r="AC24">
            <v>796645.29061176302</v>
          </cell>
          <cell r="AD24">
            <v>868067.08292935207</v>
          </cell>
          <cell r="AE24">
            <v>942520.02999852097</v>
          </cell>
          <cell r="AF24">
            <v>991512.8326094409</v>
          </cell>
        </row>
        <row r="25">
          <cell r="G25">
            <v>172176.02898837128</v>
          </cell>
          <cell r="H25">
            <v>139340.31826633977</v>
          </cell>
          <cell r="I25">
            <v>158024.71410924935</v>
          </cell>
          <cell r="J25">
            <v>157519.14344647239</v>
          </cell>
          <cell r="K25">
            <v>175074.72192533195</v>
          </cell>
          <cell r="L25">
            <v>160856.07438370021</v>
          </cell>
          <cell r="M25">
            <v>185670.72253211043</v>
          </cell>
          <cell r="N25">
            <v>173374.50359226853</v>
          </cell>
          <cell r="O25">
            <v>180811.45451987171</v>
          </cell>
          <cell r="P25">
            <v>186777.17521029309</v>
          </cell>
          <cell r="Q25">
            <v>192973.48753800176</v>
          </cell>
          <cell r="R25">
            <v>187252.47013342843</v>
          </cell>
          <cell r="S25">
            <v>2069850.8146454392</v>
          </cell>
          <cell r="U25"/>
          <cell r="V25">
            <v>311516.34725471109</v>
          </cell>
          <cell r="W25">
            <v>469541.06136396044</v>
          </cell>
          <cell r="X25">
            <v>627060.20481043286</v>
          </cell>
          <cell r="Y25">
            <v>802134.92673576484</v>
          </cell>
          <cell r="Z25">
            <v>962991.0011194651</v>
          </cell>
          <cell r="AA25">
            <v>1148661.7236515756</v>
          </cell>
          <cell r="AB25">
            <v>1322036.2272438442</v>
          </cell>
          <cell r="AC25">
            <v>1502847.6817637158</v>
          </cell>
          <cell r="AD25">
            <v>1689624.856974009</v>
          </cell>
          <cell r="AE25">
            <v>1882598.3445120107</v>
          </cell>
          <cell r="AF25">
            <v>2069850.8146454392</v>
          </cell>
        </row>
        <row r="26">
          <cell r="G26">
            <v>276951.06023743161</v>
          </cell>
          <cell r="H26">
            <v>234635.79222117711</v>
          </cell>
          <cell r="I26">
            <v>249587.79841580964</v>
          </cell>
          <cell r="J26">
            <v>244519.36799477896</v>
          </cell>
          <cell r="K26">
            <v>272257.14808821247</v>
          </cell>
          <cell r="L26">
            <v>251559.62082303362</v>
          </cell>
          <cell r="M26">
            <v>263003.49483063759</v>
          </cell>
          <cell r="N26">
            <v>246311.02342963737</v>
          </cell>
          <cell r="O26">
            <v>260667.66633476032</v>
          </cell>
          <cell r="P26">
            <v>258198.96752788214</v>
          </cell>
          <cell r="Q26">
            <v>267426.43460717064</v>
          </cell>
          <cell r="R26">
            <v>236245.27274434833</v>
          </cell>
          <cell r="S26">
            <v>3061363.6472548796</v>
          </cell>
          <cell r="U26"/>
          <cell r="V26">
            <v>511586.85245860874</v>
          </cell>
          <cell r="W26">
            <v>761174.65087441844</v>
          </cell>
          <cell r="X26">
            <v>1005694.0188691973</v>
          </cell>
          <cell r="Y26">
            <v>1277951.1669574098</v>
          </cell>
          <cell r="Z26">
            <v>1529510.7877804434</v>
          </cell>
          <cell r="AA26">
            <v>1792514.2826110811</v>
          </cell>
          <cell r="AB26">
            <v>2038825.3060407187</v>
          </cell>
          <cell r="AC26">
            <v>2299492.9723754786</v>
          </cell>
          <cell r="AD26">
            <v>2557691.9399033608</v>
          </cell>
          <cell r="AE26">
            <v>2825118.3745105318</v>
          </cell>
          <cell r="AF26">
            <v>3061363.6472548801</v>
          </cell>
        </row>
        <row r="27">
          <cell r="G27">
            <v>261937.5781226508</v>
          </cell>
          <cell r="H27">
            <v>238238.68488709343</v>
          </cell>
          <cell r="I27">
            <v>244168.22481749408</v>
          </cell>
          <cell r="J27">
            <v>217500.56137076643</v>
          </cell>
          <cell r="K27">
            <v>242956.0654072013</v>
          </cell>
          <cell r="L27">
            <v>226758.8660983335</v>
          </cell>
          <cell r="M27">
            <v>231998.31689558155</v>
          </cell>
          <cell r="N27">
            <v>218809.55951210644</v>
          </cell>
          <cell r="O27">
            <v>239568.63544466591</v>
          </cell>
          <cell r="P27">
            <v>199981.01848924937</v>
          </cell>
          <cell r="Q27">
            <v>208468.25179367285</v>
          </cell>
          <cell r="R27">
            <v>201379.69364441533</v>
          </cell>
          <cell r="S27">
            <v>2731765.4564832309</v>
          </cell>
          <cell r="U27"/>
          <cell r="V27">
            <v>500176.26300974423</v>
          </cell>
          <cell r="W27">
            <v>744344.48782723828</v>
          </cell>
          <cell r="X27">
            <v>961845.04919800465</v>
          </cell>
          <cell r="Y27">
            <v>1204801.1146052061</v>
          </cell>
          <cell r="Z27">
            <v>1431559.9807035397</v>
          </cell>
          <cell r="AA27">
            <v>1663558.2975991212</v>
          </cell>
          <cell r="AB27">
            <v>1882367.8571112277</v>
          </cell>
          <cell r="AC27">
            <v>2121936.4925558935</v>
          </cell>
          <cell r="AD27">
            <v>2321917.511045143</v>
          </cell>
          <cell r="AE27">
            <v>2530385.7628388158</v>
          </cell>
          <cell r="AF27">
            <v>2731765.4564832309</v>
          </cell>
        </row>
        <row r="28">
          <cell r="G28">
            <v>153854.18139910226</v>
          </cell>
          <cell r="H28">
            <v>125206.00659610266</v>
          </cell>
          <cell r="I28">
            <v>143680.65161187047</v>
          </cell>
          <cell r="J28">
            <v>144574.27738471929</v>
          </cell>
          <cell r="K28">
            <v>161987.80610875387</v>
          </cell>
          <cell r="L28">
            <v>151241.91189022563</v>
          </cell>
          <cell r="M28">
            <v>166959.13640218694</v>
          </cell>
          <cell r="N28">
            <v>157885.1500927578</v>
          </cell>
          <cell r="O28">
            <v>156442.24659657638</v>
          </cell>
          <cell r="P28">
            <v>164128.49048630279</v>
          </cell>
          <cell r="Q28">
            <v>171702.0413004006</v>
          </cell>
          <cell r="R28">
            <v>165550.45602634683</v>
          </cell>
          <cell r="S28">
            <v>1863212.3558953458</v>
          </cell>
          <cell r="U28"/>
          <cell r="V28">
            <v>279060.18799520493</v>
          </cell>
          <cell r="W28">
            <v>422740.83960707544</v>
          </cell>
          <cell r="X28">
            <v>567315.11699179467</v>
          </cell>
          <cell r="Y28">
            <v>729302.92310054856</v>
          </cell>
          <cell r="Z28">
            <v>880544.83499077416</v>
          </cell>
          <cell r="AA28">
            <v>1047503.9713929611</v>
          </cell>
          <cell r="AB28">
            <v>1205389.121485719</v>
          </cell>
          <cell r="AC28">
            <v>1361831.3680822954</v>
          </cell>
          <cell r="AD28">
            <v>1525959.8585685983</v>
          </cell>
          <cell r="AE28">
            <v>1697661.8998689989</v>
          </cell>
          <cell r="AF28">
            <v>1863212.3558953458</v>
          </cell>
        </row>
        <row r="29">
          <cell r="G29">
            <v>415791.75952175306</v>
          </cell>
          <cell r="H29">
            <v>363444.6914831961</v>
          </cell>
          <cell r="I29">
            <v>387848.87642936455</v>
          </cell>
          <cell r="J29">
            <v>362074.83875548572</v>
          </cell>
          <cell r="K29">
            <v>404943.87151595519</v>
          </cell>
          <cell r="L29">
            <v>378000.7779885591</v>
          </cell>
          <cell r="M29">
            <v>398957.45329776849</v>
          </cell>
          <cell r="N29">
            <v>376694.70960486424</v>
          </cell>
          <cell r="O29">
            <v>396010.88204124232</v>
          </cell>
          <cell r="P29">
            <v>364109.50897555216</v>
          </cell>
          <cell r="Q29">
            <v>380170.29309407342</v>
          </cell>
          <cell r="R29">
            <v>366930.14967076213</v>
          </cell>
          <cell r="S29">
            <v>4594977.812378576</v>
          </cell>
          <cell r="U29"/>
          <cell r="V29">
            <v>779236.45100494917</v>
          </cell>
          <cell r="W29">
            <v>1167085.3274343137</v>
          </cell>
          <cell r="X29">
            <v>1529160.1661897993</v>
          </cell>
          <cell r="Y29">
            <v>1934104.0377057546</v>
          </cell>
          <cell r="Z29">
            <v>2312104.815694314</v>
          </cell>
          <cell r="AA29">
            <v>2711062.2689920822</v>
          </cell>
          <cell r="AB29">
            <v>3087756.9785969467</v>
          </cell>
          <cell r="AC29">
            <v>3483767.8606381891</v>
          </cell>
          <cell r="AD29">
            <v>3847877.3696137415</v>
          </cell>
          <cell r="AE29">
            <v>4228047.6627078149</v>
          </cell>
          <cell r="AF29">
            <v>4594977.812378577</v>
          </cell>
        </row>
        <row r="30">
          <cell r="G30">
            <v>366712.60937171109</v>
          </cell>
          <cell r="H30">
            <v>333534.1588419308</v>
          </cell>
          <cell r="I30">
            <v>335731.30912405439</v>
          </cell>
          <cell r="J30">
            <v>304500.78591907298</v>
          </cell>
          <cell r="K30">
            <v>340138.49157008179</v>
          </cell>
          <cell r="L30">
            <v>317462.41253766691</v>
          </cell>
          <cell r="M30">
            <v>309331.08919410873</v>
          </cell>
          <cell r="N30">
            <v>291746.07934947527</v>
          </cell>
          <cell r="O30">
            <v>319424.84725955455</v>
          </cell>
          <cell r="P30">
            <v>271402.81080683845</v>
          </cell>
          <cell r="Q30">
            <v>282921.1988628417</v>
          </cell>
          <cell r="R30">
            <v>250372.49625533522</v>
          </cell>
          <cell r="S30">
            <v>3723278.2890926721</v>
          </cell>
          <cell r="U30"/>
          <cell r="V30">
            <v>700246.76821364183</v>
          </cell>
          <cell r="W30">
            <v>1035978.0773376962</v>
          </cell>
          <cell r="X30">
            <v>1340478.8632567693</v>
          </cell>
          <cell r="Y30">
            <v>1680617.354826851</v>
          </cell>
          <cell r="Z30">
            <v>1998079.767364518</v>
          </cell>
          <cell r="AA30">
            <v>2307410.8565586265</v>
          </cell>
          <cell r="AB30">
            <v>2599156.935908102</v>
          </cell>
          <cell r="AC30">
            <v>2918581.7831676565</v>
          </cell>
          <cell r="AD30">
            <v>3189984.5939744953</v>
          </cell>
          <cell r="AE30">
            <v>3472905.7928373367</v>
          </cell>
          <cell r="AF30">
            <v>3723278.2890926721</v>
          </cell>
        </row>
        <row r="31">
          <cell r="G31">
            <v>326030.21038747358</v>
          </cell>
          <cell r="H31">
            <v>264546.32486244245</v>
          </cell>
          <cell r="I31">
            <v>301705.3657211198</v>
          </cell>
          <cell r="J31">
            <v>302093.4208311917</v>
          </cell>
          <cell r="K31">
            <v>337062.52803408582</v>
          </cell>
          <cell r="L31">
            <v>312097.98627392587</v>
          </cell>
          <cell r="M31">
            <v>352629.85893429734</v>
          </cell>
          <cell r="N31">
            <v>331259.65368502634</v>
          </cell>
          <cell r="O31">
            <v>337253.70111644809</v>
          </cell>
          <cell r="P31">
            <v>350905.66569659591</v>
          </cell>
          <cell r="Q31">
            <v>364675.52883840236</v>
          </cell>
          <cell r="R31">
            <v>352802.92615977523</v>
          </cell>
          <cell r="S31">
            <v>3933063.170540785</v>
          </cell>
          <cell r="U31"/>
          <cell r="V31">
            <v>590576.53524991602</v>
          </cell>
          <cell r="W31">
            <v>892281.90097103594</v>
          </cell>
          <cell r="X31">
            <v>1194375.3218022275</v>
          </cell>
          <cell r="Y31">
            <v>1531437.8498363134</v>
          </cell>
          <cell r="Z31">
            <v>1843535.8361102394</v>
          </cell>
          <cell r="AA31">
            <v>2196165.6950445366</v>
          </cell>
          <cell r="AB31">
            <v>2527425.3487295629</v>
          </cell>
          <cell r="AC31">
            <v>2864679.0498460112</v>
          </cell>
          <cell r="AD31">
            <v>3215584.715542607</v>
          </cell>
          <cell r="AE31">
            <v>3580260.2443810096</v>
          </cell>
          <cell r="AF31">
            <v>3933063.170540785</v>
          </cell>
        </row>
        <row r="32">
          <cell r="G32">
            <v>692742.81975918473</v>
          </cell>
          <cell r="H32">
            <v>598080.48370437324</v>
          </cell>
          <cell r="I32">
            <v>637436.67484517419</v>
          </cell>
          <cell r="J32">
            <v>606594.20675026462</v>
          </cell>
          <cell r="K32">
            <v>677201.01960416767</v>
          </cell>
          <cell r="L32">
            <v>629560.39881159272</v>
          </cell>
          <cell r="M32">
            <v>661960.94812840607</v>
          </cell>
          <cell r="N32">
            <v>623005.73303450155</v>
          </cell>
          <cell r="O32">
            <v>656678.54837600258</v>
          </cell>
          <cell r="P32">
            <v>622308.47650343436</v>
          </cell>
          <cell r="Q32">
            <v>647596.72770124406</v>
          </cell>
          <cell r="R32">
            <v>603175.42241511052</v>
          </cell>
          <cell r="S32">
            <v>7656341.4596334565</v>
          </cell>
          <cell r="U32"/>
          <cell r="V32">
            <v>1290823.3034635577</v>
          </cell>
          <cell r="W32">
            <v>1928259.9783087322</v>
          </cell>
          <cell r="X32">
            <v>2534854.185058997</v>
          </cell>
          <cell r="Y32">
            <v>3212055.2046631644</v>
          </cell>
          <cell r="Z32">
            <v>3841615.6034747576</v>
          </cell>
          <cell r="AA32">
            <v>4503576.5516031627</v>
          </cell>
          <cell r="AB32">
            <v>5126582.2846376654</v>
          </cell>
          <cell r="AC32">
            <v>5783260.8330136677</v>
          </cell>
          <cell r="AD32">
            <v>6405569.3095171023</v>
          </cell>
          <cell r="AE32">
            <v>7053166.0372183463</v>
          </cell>
          <cell r="AF32">
            <v>7656341.4596334565</v>
          </cell>
        </row>
        <row r="33">
          <cell r="G33">
            <v>-32775.03124906031</v>
          </cell>
          <cell r="H33">
            <v>-23295.473954837333</v>
          </cell>
          <cell r="I33">
            <v>-19563.084306560297</v>
          </cell>
          <cell r="J33">
            <v>-15000.224548306564</v>
          </cell>
          <cell r="K33">
            <v>-25182.426162880511</v>
          </cell>
          <cell r="L33">
            <v>-18703.546439333411</v>
          </cell>
          <cell r="M33">
            <v>-17332.772298527168</v>
          </cell>
          <cell r="N33">
            <v>-12936.519837368818</v>
          </cell>
          <cell r="O33">
            <v>-19856.211814888607</v>
          </cell>
          <cell r="P33">
            <v>-11421.792317589046</v>
          </cell>
          <cell r="Q33">
            <v>-14452.947069168877</v>
          </cell>
          <cell r="R33">
            <v>-8120.8026109198909</v>
          </cell>
          <cell r="S33">
            <v>-218640.83260944081</v>
          </cell>
          <cell r="V33">
            <v>-56070.505203897657</v>
          </cell>
          <cell r="W33">
            <v>-75633.589510457939</v>
          </cell>
          <cell r="X33">
            <v>-90633.814058764488</v>
          </cell>
          <cell r="Y33">
            <v>-115816.24022164498</v>
          </cell>
          <cell r="Z33">
            <v>-134519.78666097834</v>
          </cell>
          <cell r="AA33">
            <v>-151852.55895950552</v>
          </cell>
          <cell r="AB33">
            <v>-164789.07879687438</v>
          </cell>
          <cell r="AC33">
            <v>-184645.29061176302</v>
          </cell>
          <cell r="AD33">
            <v>-196067.08292935207</v>
          </cell>
          <cell r="AE33">
            <v>-210520.02999852097</v>
          </cell>
          <cell r="AF33">
            <v>-218640.8326094409</v>
          </cell>
        </row>
        <row r="34">
          <cell r="G34">
            <v>-14419.943537126092</v>
          </cell>
          <cell r="H34">
            <v>1030.1526324997831</v>
          </cell>
          <cell r="I34">
            <v>7657.4783308431797</v>
          </cell>
          <cell r="J34">
            <v>16294.63518883448</v>
          </cell>
          <cell r="K34">
            <v>-2130.1478038486384</v>
          </cell>
          <cell r="L34">
            <v>9392.8711871727428</v>
          </cell>
          <cell r="M34">
            <v>6403.8321628817648</v>
          </cell>
          <cell r="N34">
            <v>16790.318067830027</v>
          </cell>
          <cell r="O34">
            <v>325.56704484092188</v>
          </cell>
          <cell r="P34">
            <v>22433.116662256798</v>
          </cell>
          <cell r="Q34">
            <v>14377.324092032417</v>
          </cell>
          <cell r="R34">
            <v>21033.442665462091</v>
          </cell>
          <cell r="S34">
            <v>99188.646693679475</v>
          </cell>
          <cell r="V34">
            <v>-13389.790904626367</v>
          </cell>
          <cell r="W34">
            <v>-5732.3125737831579</v>
          </cell>
          <cell r="X34">
            <v>10562.322615051293</v>
          </cell>
          <cell r="Y34">
            <v>8432.1748112025671</v>
          </cell>
          <cell r="Z34">
            <v>17825.045998375281</v>
          </cell>
          <cell r="AA34">
            <v>24228.8781612569</v>
          </cell>
          <cell r="AB34">
            <v>41019.196229086956</v>
          </cell>
          <cell r="AC34">
            <v>41344.763273928082</v>
          </cell>
          <cell r="AD34">
            <v>63777.879936184734</v>
          </cell>
          <cell r="AE34">
            <v>78155.204028217122</v>
          </cell>
          <cell r="AF34">
            <v>99188.646693679271</v>
          </cell>
        </row>
        <row r="35">
          <cell r="G35">
            <v>-47194.974786186402</v>
          </cell>
          <cell r="H35">
            <v>-22265.32132233755</v>
          </cell>
          <cell r="I35">
            <v>-11905.605975717117</v>
          </cell>
          <cell r="J35">
            <v>1294.4106405279163</v>
          </cell>
          <cell r="K35">
            <v>-27312.573966729149</v>
          </cell>
          <cell r="L35">
            <v>-9310.6752521606686</v>
          </cell>
          <cell r="M35">
            <v>-10928.940135645404</v>
          </cell>
          <cell r="N35">
            <v>3853.7982304612087</v>
          </cell>
          <cell r="O35">
            <v>-19530.644770047686</v>
          </cell>
          <cell r="P35">
            <v>11011.324344667752</v>
          </cell>
          <cell r="Q35">
            <v>-75.622977136459667</v>
          </cell>
          <cell r="R35">
            <v>12912.6400545422</v>
          </cell>
          <cell r="S35">
            <v>-119452.18591576137</v>
          </cell>
          <cell r="V35">
            <v>-69460.296108524024</v>
          </cell>
          <cell r="W35">
            <v>-81365.902084241097</v>
          </cell>
          <cell r="X35">
            <v>-80071.491443713196</v>
          </cell>
          <cell r="Y35">
            <v>-107384.06541044242</v>
          </cell>
          <cell r="Z35">
            <v>-116694.74066260306</v>
          </cell>
          <cell r="AA35">
            <v>-127623.68079824862</v>
          </cell>
          <cell r="AB35">
            <v>-123769.88256778743</v>
          </cell>
          <cell r="AC35">
            <v>-143300.52733783494</v>
          </cell>
          <cell r="AD35">
            <v>-132289.20299316733</v>
          </cell>
          <cell r="AE35">
            <v>-132364.82597030385</v>
          </cell>
          <cell r="AF35">
            <v>-119452.18591576163</v>
          </cell>
        </row>
        <row r="36">
          <cell r="G36">
            <v>23062.421877349203</v>
          </cell>
          <cell r="H36">
            <v>46761.315112906566</v>
          </cell>
          <cell r="I36">
            <v>59831.775182505924</v>
          </cell>
          <cell r="J36">
            <v>67499.438629233569</v>
          </cell>
          <cell r="K36">
            <v>42043.934592798701</v>
          </cell>
          <cell r="L36">
            <v>58241.133901666501</v>
          </cell>
          <cell r="M36">
            <v>53001.683104418451</v>
          </cell>
          <cell r="N36">
            <v>66190.44048789356</v>
          </cell>
          <cell r="O36">
            <v>45431.36455533409</v>
          </cell>
          <cell r="P36">
            <v>66018.981510750629</v>
          </cell>
          <cell r="Q36">
            <v>57531.748206327145</v>
          </cell>
          <cell r="R36">
            <v>64620.306355584675</v>
          </cell>
          <cell r="S36">
            <v>650234.54351676884</v>
          </cell>
          <cell r="V36">
            <v>69823.736990255769</v>
          </cell>
          <cell r="W36">
            <v>129655.51217276172</v>
          </cell>
          <cell r="X36">
            <v>197154.95080199535</v>
          </cell>
          <cell r="Y36">
            <v>239198.88539479394</v>
          </cell>
          <cell r="Z36">
            <v>297440.01929646032</v>
          </cell>
          <cell r="AA36">
            <v>350441.70240087877</v>
          </cell>
          <cell r="AB36">
            <v>416632.1428887723</v>
          </cell>
          <cell r="AC36">
            <v>462063.50744410651</v>
          </cell>
          <cell r="AD36">
            <v>528082.48895485699</v>
          </cell>
          <cell r="AE36">
            <v>585614.2371611842</v>
          </cell>
          <cell r="AF36">
            <v>650234.54351676907</v>
          </cell>
        </row>
        <row r="37">
          <cell r="G37">
            <v>40796.584973482619</v>
          </cell>
          <cell r="H37">
            <v>48900.419372612654</v>
          </cell>
          <cell r="I37">
            <v>64093.098251391435</v>
          </cell>
          <cell r="J37">
            <v>75248.94335209002</v>
          </cell>
          <cell r="K37">
            <v>58545.631438487442</v>
          </cell>
          <cell r="L37">
            <v>69650.673149642855</v>
          </cell>
          <cell r="M37">
            <v>71722.879590368015</v>
          </cell>
          <cell r="N37">
            <v>81452.958925687912</v>
          </cell>
          <cell r="O37">
            <v>61859.841826222633</v>
          </cell>
          <cell r="P37">
            <v>90676.776730080222</v>
          </cell>
          <cell r="Q37">
            <v>84042.196985973889</v>
          </cell>
          <cell r="R37">
            <v>89668.844979505171</v>
          </cell>
          <cell r="S37">
            <v>836658.84957554482</v>
          </cell>
          <cell r="V37">
            <v>89697.004346095258</v>
          </cell>
          <cell r="W37">
            <v>153790.10259748669</v>
          </cell>
          <cell r="X37">
            <v>229039.04594957677</v>
          </cell>
          <cell r="Y37">
            <v>287584.67738806421</v>
          </cell>
          <cell r="Z37">
            <v>357235.35053770721</v>
          </cell>
          <cell r="AA37">
            <v>428958.23012807511</v>
          </cell>
          <cell r="AB37">
            <v>510411.18905376294</v>
          </cell>
          <cell r="AC37">
            <v>572271.03087998554</v>
          </cell>
          <cell r="AD37">
            <v>662947.80761006591</v>
          </cell>
          <cell r="AE37">
            <v>746990.00459603989</v>
          </cell>
          <cell r="AF37">
            <v>836658.84957554494</v>
          </cell>
        </row>
        <row r="38">
          <cell r="G38">
            <v>63859.006850831822</v>
          </cell>
          <cell r="H38">
            <v>95661.73448551922</v>
          </cell>
          <cell r="I38">
            <v>123924.87343389736</v>
          </cell>
          <cell r="J38">
            <v>142748.38198132359</v>
          </cell>
          <cell r="K38">
            <v>100589.56603128614</v>
          </cell>
          <cell r="L38">
            <v>127891.80705130936</v>
          </cell>
          <cell r="M38">
            <v>124724.56269478647</v>
          </cell>
          <cell r="N38">
            <v>147643.39941358147</v>
          </cell>
          <cell r="O38">
            <v>107291.20638155672</v>
          </cell>
          <cell r="P38">
            <v>156695.75824083085</v>
          </cell>
          <cell r="Q38">
            <v>141573.94519230103</v>
          </cell>
          <cell r="R38">
            <v>154289.15133508985</v>
          </cell>
          <cell r="S38">
            <v>1486893.393092314</v>
          </cell>
          <cell r="V38">
            <v>159520.74133635103</v>
          </cell>
          <cell r="W38">
            <v>283445.61477024842</v>
          </cell>
          <cell r="X38">
            <v>426193.99675157212</v>
          </cell>
          <cell r="Y38">
            <v>526783.56278285815</v>
          </cell>
          <cell r="Z38">
            <v>654675.36983416753</v>
          </cell>
          <cell r="AA38">
            <v>779399.93252895388</v>
          </cell>
          <cell r="AB38">
            <v>927043.33194253524</v>
          </cell>
          <cell r="AC38">
            <v>1034334.538324092</v>
          </cell>
          <cell r="AD38">
            <v>1191030.2965649229</v>
          </cell>
          <cell r="AE38">
            <v>1332604.2417572241</v>
          </cell>
          <cell r="AF38">
            <v>1486893.393092314</v>
          </cell>
        </row>
        <row r="39">
          <cell r="G39">
            <v>-9712.6093717111071</v>
          </cell>
          <cell r="H39">
            <v>23465.841158069234</v>
          </cell>
          <cell r="I39">
            <v>40268.690875945627</v>
          </cell>
          <cell r="J39">
            <v>52499.214080927006</v>
          </cell>
          <cell r="K39">
            <v>16861.508429918191</v>
          </cell>
          <cell r="L39">
            <v>39537.587462333089</v>
          </cell>
          <cell r="M39">
            <v>35668.910805891283</v>
          </cell>
          <cell r="N39">
            <v>53253.920650524742</v>
          </cell>
          <cell r="O39">
            <v>25575.152740445483</v>
          </cell>
          <cell r="P39">
            <v>54597.189193161583</v>
          </cell>
          <cell r="Q39">
            <v>43078.801137158269</v>
          </cell>
          <cell r="R39">
            <v>56499.503744664784</v>
          </cell>
          <cell r="S39">
            <v>431593.71090732812</v>
          </cell>
          <cell r="V39">
            <v>13753.231786358112</v>
          </cell>
          <cell r="W39">
            <v>54021.922662303783</v>
          </cell>
          <cell r="X39">
            <v>106521.13674323086</v>
          </cell>
          <cell r="Y39">
            <v>123382.64517314895</v>
          </cell>
          <cell r="Z39">
            <v>162920.23263548198</v>
          </cell>
          <cell r="AA39">
            <v>198589.14344137325</v>
          </cell>
          <cell r="AB39">
            <v>251843.06409189792</v>
          </cell>
          <cell r="AC39">
            <v>277418.21683234349</v>
          </cell>
          <cell r="AD39">
            <v>332015.40602550493</v>
          </cell>
          <cell r="AE39">
            <v>375094.20716266322</v>
          </cell>
          <cell r="AF39">
            <v>431593.71090732818</v>
          </cell>
        </row>
        <row r="40">
          <cell r="G40">
            <v>26376.641436356527</v>
          </cell>
          <cell r="H40">
            <v>49930.572005112437</v>
          </cell>
          <cell r="I40">
            <v>71750.576582234615</v>
          </cell>
          <cell r="J40">
            <v>91543.5785409245</v>
          </cell>
          <cell r="K40">
            <v>56415.483634638804</v>
          </cell>
          <cell r="L40">
            <v>79043.544336815597</v>
          </cell>
          <cell r="M40">
            <v>78126.71175324978</v>
          </cell>
          <cell r="N40">
            <v>98243.276993517939</v>
          </cell>
          <cell r="O40">
            <v>62185.408871063555</v>
          </cell>
          <cell r="P40">
            <v>113109.89339233702</v>
          </cell>
          <cell r="Q40">
            <v>98419.521078006306</v>
          </cell>
          <cell r="R40">
            <v>110702.28764496726</v>
          </cell>
          <cell r="S40">
            <v>935847.49626922421</v>
          </cell>
          <cell r="V40">
            <v>76307.213441468892</v>
          </cell>
          <cell r="W40">
            <v>148057.79002370354</v>
          </cell>
          <cell r="X40">
            <v>239601.36856462806</v>
          </cell>
          <cell r="Y40">
            <v>296016.85219926678</v>
          </cell>
          <cell r="Z40">
            <v>375060.3965360825</v>
          </cell>
          <cell r="AA40">
            <v>453187.10828933201</v>
          </cell>
          <cell r="AB40">
            <v>551430.38528284989</v>
          </cell>
          <cell r="AC40">
            <v>613615.79415391362</v>
          </cell>
          <cell r="AD40">
            <v>726725.68754625064</v>
          </cell>
          <cell r="AE40">
            <v>825145.20862425701</v>
          </cell>
          <cell r="AF40">
            <v>935847.49626922421</v>
          </cell>
        </row>
        <row r="41">
          <cell r="G41">
            <v>16664.03206464542</v>
          </cell>
          <cell r="H41">
            <v>73396.413163181671</v>
          </cell>
          <cell r="I41">
            <v>112019.26745818024</v>
          </cell>
          <cell r="J41">
            <v>144042.79262185149</v>
          </cell>
          <cell r="K41">
            <v>73276.992064556995</v>
          </cell>
          <cell r="L41">
            <v>118581.13179914869</v>
          </cell>
          <cell r="M41">
            <v>113795.62255914106</v>
          </cell>
          <cell r="N41">
            <v>151497.19764404267</v>
          </cell>
          <cell r="O41">
            <v>87760.561611509038</v>
          </cell>
          <cell r="P41">
            <v>167707.0825854986</v>
          </cell>
          <cell r="Q41">
            <v>141498.32221516458</v>
          </cell>
          <cell r="R41">
            <v>167201.79138963204</v>
          </cell>
          <cell r="S41">
            <v>1367441.2071765524</v>
          </cell>
          <cell r="V41">
            <v>90060.445227827004</v>
          </cell>
          <cell r="W41">
            <v>202079.71268600732</v>
          </cell>
          <cell r="X41">
            <v>346122.50530785893</v>
          </cell>
          <cell r="Y41">
            <v>419399.49737241573</v>
          </cell>
          <cell r="Z41">
            <v>537980.62917156448</v>
          </cell>
          <cell r="AA41">
            <v>651776.25173070526</v>
          </cell>
          <cell r="AB41">
            <v>803273.44937474781</v>
          </cell>
          <cell r="AC41">
            <v>891034.01098625711</v>
          </cell>
          <cell r="AD41">
            <v>1058741.0935717556</v>
          </cell>
          <cell r="AE41">
            <v>1200239.4157869201</v>
          </cell>
          <cell r="AF41">
            <v>1367441.2071765524</v>
          </cell>
        </row>
        <row r="42">
          <cell r="G42">
            <v>8546.8631434775489</v>
          </cell>
          <cell r="H42">
            <v>9059.2862968289937</v>
          </cell>
          <cell r="I42">
            <v>8167.0404730209075</v>
          </cell>
          <cell r="J42">
            <v>8154.6149023858734</v>
          </cell>
          <cell r="K42">
            <v>8159.2731994904007</v>
          </cell>
          <cell r="L42">
            <v>8191.5900050190912</v>
          </cell>
          <cell r="M42">
            <v>6642.2092241071095</v>
          </cell>
          <cell r="N42">
            <v>6656.3221905932414</v>
          </cell>
          <cell r="O42">
            <v>6914.1248311778872</v>
          </cell>
          <cell r="P42">
            <v>6525.3884398312539</v>
          </cell>
          <cell r="Q42">
            <v>6536.7005292296044</v>
          </cell>
          <cell r="R42">
            <v>4618.1707686494565</v>
          </cell>
          <cell r="S42">
            <v>88171.584003811382</v>
          </cell>
          <cell r="U42"/>
          <cell r="V42">
            <v>17606.149440306544</v>
          </cell>
          <cell r="W42">
            <v>25773.189913327453</v>
          </cell>
          <cell r="X42">
            <v>33927.804815713323</v>
          </cell>
          <cell r="Y42">
            <v>42087.078015203726</v>
          </cell>
          <cell r="Z42">
            <v>50278.668020222816</v>
          </cell>
          <cell r="AA42">
            <v>56920.877244329924</v>
          </cell>
          <cell r="AB42">
            <v>63577.199434923168</v>
          </cell>
          <cell r="AC42">
            <v>70491.324266101059</v>
          </cell>
          <cell r="AD42">
            <v>77016.71270593231</v>
          </cell>
          <cell r="AE42">
            <v>83553.413235161919</v>
          </cell>
          <cell r="AF42">
            <v>88171.584003811382</v>
          </cell>
        </row>
        <row r="43">
          <cell r="G43">
            <v>14044.996587526482</v>
          </cell>
          <cell r="H43">
            <v>13246.419619721775</v>
          </cell>
          <cell r="I43">
            <v>14095.137201219524</v>
          </cell>
          <cell r="J43">
            <v>14764.421140619508</v>
          </cell>
          <cell r="K43">
            <v>14698.979464861459</v>
          </cell>
          <cell r="L43">
            <v>14527.182926077105</v>
          </cell>
          <cell r="M43">
            <v>15947.492236391785</v>
          </cell>
          <cell r="N43">
            <v>15822.479028579004</v>
          </cell>
          <cell r="O43">
            <v>15655.049733077301</v>
          </cell>
          <cell r="P43">
            <v>17064.730250985744</v>
          </cell>
          <cell r="Q43">
            <v>16942.377001477907</v>
          </cell>
          <cell r="R43">
            <v>17650.83518073447</v>
          </cell>
          <cell r="S43">
            <v>184460.10037127204</v>
          </cell>
          <cell r="U43"/>
          <cell r="V43">
            <v>27291.416207248258</v>
          </cell>
          <cell r="W43">
            <v>41386.553408467778</v>
          </cell>
          <cell r="X43">
            <v>56150.974549087288</v>
          </cell>
          <cell r="Y43">
            <v>70849.954013948751</v>
          </cell>
          <cell r="Z43">
            <v>85377.136940025855</v>
          </cell>
          <cell r="AA43">
            <v>101324.62917641764</v>
          </cell>
          <cell r="AB43">
            <v>117147.10820499665</v>
          </cell>
          <cell r="AC43">
            <v>132802.15793807394</v>
          </cell>
          <cell r="AD43">
            <v>149866.88818905968</v>
          </cell>
          <cell r="AE43">
            <v>166809.26519053758</v>
          </cell>
          <cell r="AF43">
            <v>184460.10037127204</v>
          </cell>
        </row>
        <row r="44">
          <cell r="G44">
            <v>22591.859731004031</v>
          </cell>
          <cell r="H44">
            <v>22305.705916550767</v>
          </cell>
          <cell r="I44">
            <v>22262.177674240433</v>
          </cell>
          <cell r="J44">
            <v>22919.036043005381</v>
          </cell>
          <cell r="K44">
            <v>22858.252664351858</v>
          </cell>
          <cell r="L44">
            <v>22718.772931096195</v>
          </cell>
          <cell r="M44">
            <v>22589.701460498894</v>
          </cell>
          <cell r="N44">
            <v>22478.801219172245</v>
          </cell>
          <cell r="O44">
            <v>22569.17456425519</v>
          </cell>
          <cell r="P44">
            <v>23590.118690816998</v>
          </cell>
          <cell r="Q44">
            <v>23479.077530707513</v>
          </cell>
          <cell r="R44">
            <v>22269.005949383925</v>
          </cell>
          <cell r="S44">
            <v>272631.68437508348</v>
          </cell>
          <cell r="U44"/>
          <cell r="V44">
            <v>44897.565647554802</v>
          </cell>
          <cell r="W44">
            <v>67159.743321795235</v>
          </cell>
          <cell r="X44">
            <v>90078.779364800605</v>
          </cell>
          <cell r="Y44">
            <v>112937.03202915247</v>
          </cell>
          <cell r="Z44">
            <v>135655.80496024867</v>
          </cell>
          <cell r="AA44">
            <v>158245.50642074755</v>
          </cell>
          <cell r="AB44">
            <v>180724.3076399198</v>
          </cell>
          <cell r="AC44">
            <v>203293.482204175</v>
          </cell>
          <cell r="AD44">
            <v>226883.60089499201</v>
          </cell>
          <cell r="AE44">
            <v>250362.6784256995</v>
          </cell>
          <cell r="AF44">
            <v>272631.68437508342</v>
          </cell>
        </row>
        <row r="45">
          <cell r="G45">
            <v>21367.157858693874</v>
          </cell>
          <cell r="H45">
            <v>22648.215742072494</v>
          </cell>
          <cell r="I45">
            <v>21778.774594722421</v>
          </cell>
          <cell r="J45">
            <v>20386.537255964686</v>
          </cell>
          <cell r="K45">
            <v>20398.182998726003</v>
          </cell>
          <cell r="L45">
            <v>20478.975012547729</v>
          </cell>
          <cell r="M45">
            <v>19926.62767232133</v>
          </cell>
          <cell r="N45">
            <v>19968.966571779729</v>
          </cell>
          <cell r="O45">
            <v>20742.374493533662</v>
          </cell>
          <cell r="P45">
            <v>18271.087631527509</v>
          </cell>
          <cell r="Q45">
            <v>18302.761481842896</v>
          </cell>
          <cell r="R45">
            <v>18982.498755458717</v>
          </cell>
          <cell r="S45">
            <v>243252.16006919101</v>
          </cell>
          <cell r="U45"/>
          <cell r="V45">
            <v>44015.373600766368</v>
          </cell>
          <cell r="W45">
            <v>65794.148195488786</v>
          </cell>
          <cell r="X45">
            <v>86180.685451453464</v>
          </cell>
          <cell r="Y45">
            <v>106578.86845017946</v>
          </cell>
          <cell r="Z45">
            <v>127057.84346272719</v>
          </cell>
          <cell r="AA45">
            <v>146984.47113504852</v>
          </cell>
          <cell r="AB45">
            <v>166953.43770682823</v>
          </cell>
          <cell r="AC45">
            <v>187695.81220036189</v>
          </cell>
          <cell r="AD45">
            <v>205966.8998318894</v>
          </cell>
          <cell r="AE45">
            <v>224269.6613137323</v>
          </cell>
          <cell r="AF45">
            <v>243252.16006919101</v>
          </cell>
        </row>
        <row r="46">
          <cell r="G46">
            <v>12550.419854746546</v>
          </cell>
          <cell r="H46">
            <v>11902.738008043412</v>
          </cell>
          <cell r="I46">
            <v>12815.707397703818</v>
          </cell>
          <cell r="J46">
            <v>13551.086367696607</v>
          </cell>
          <cell r="K46">
            <v>13600.224003588792</v>
          </cell>
          <cell r="L46">
            <v>13658.911723022758</v>
          </cell>
          <cell r="M46">
            <v>14340.330533846442</v>
          </cell>
          <cell r="N46">
            <v>14408.891875714711</v>
          </cell>
          <cell r="O46">
            <v>13545.110608877831</v>
          </cell>
          <cell r="P46">
            <v>14995.453344322166</v>
          </cell>
          <cell r="Q46">
            <v>15074.820654116265</v>
          </cell>
          <cell r="R46">
            <v>15605.154961824039</v>
          </cell>
          <cell r="S46">
            <v>166048.84933350337</v>
          </cell>
          <cell r="U46"/>
          <cell r="V46">
            <v>24453.157862789958</v>
          </cell>
          <cell r="W46">
            <v>37268.865260493774</v>
          </cell>
          <cell r="X46">
            <v>50819.951628190378</v>
          </cell>
          <cell r="Y46">
            <v>64420.175631779173</v>
          </cell>
          <cell r="Z46">
            <v>78079.08735480193</v>
          </cell>
          <cell r="AA46">
            <v>92419.417888648371</v>
          </cell>
          <cell r="AB46">
            <v>106828.30976436308</v>
          </cell>
          <cell r="AC46">
            <v>120373.42037324091</v>
          </cell>
          <cell r="AD46">
            <v>135368.87371756308</v>
          </cell>
          <cell r="AE46">
            <v>150443.69437167933</v>
          </cell>
          <cell r="AF46">
            <v>166048.84933350337</v>
          </cell>
        </row>
        <row r="47">
          <cell r="G47">
            <v>33917.57771344042</v>
          </cell>
          <cell r="H47">
            <v>34550.953750115907</v>
          </cell>
          <cell r="I47">
            <v>34594.481992426241</v>
          </cell>
          <cell r="J47">
            <v>33937.623623661289</v>
          </cell>
          <cell r="K47">
            <v>33998.407002314794</v>
          </cell>
          <cell r="L47">
            <v>34137.886735570486</v>
          </cell>
          <cell r="M47">
            <v>34266.958206167772</v>
          </cell>
          <cell r="N47">
            <v>34377.858447494436</v>
          </cell>
          <cell r="O47">
            <v>34287.485102411491</v>
          </cell>
          <cell r="P47">
            <v>33266.540975849675</v>
          </cell>
          <cell r="Q47">
            <v>33377.582135959165</v>
          </cell>
          <cell r="R47">
            <v>34587.653717282752</v>
          </cell>
          <cell r="S47">
            <v>409301.00940269441</v>
          </cell>
          <cell r="U47"/>
          <cell r="V47">
            <v>68468.531463556326</v>
          </cell>
          <cell r="W47">
            <v>103063.01345598255</v>
          </cell>
          <cell r="X47">
            <v>137000.63707964384</v>
          </cell>
          <cell r="Y47">
            <v>170999.04408195865</v>
          </cell>
          <cell r="Z47">
            <v>205136.93081752912</v>
          </cell>
          <cell r="AA47">
            <v>239403.88902369689</v>
          </cell>
          <cell r="AB47">
            <v>273781.74747119134</v>
          </cell>
          <cell r="AC47">
            <v>308069.23257360281</v>
          </cell>
          <cell r="AD47">
            <v>341335.77354945248</v>
          </cell>
          <cell r="AE47">
            <v>374713.3556854116</v>
          </cell>
          <cell r="AF47">
            <v>409301.00940269441</v>
          </cell>
        </row>
        <row r="48">
          <cell r="G48">
            <v>29914.021002171423</v>
          </cell>
          <cell r="H48">
            <v>31707.50203890149</v>
          </cell>
          <cell r="I48">
            <v>29945.81506774333</v>
          </cell>
          <cell r="J48">
            <v>28541.15215835056</v>
          </cell>
          <cell r="K48">
            <v>28557.456198216401</v>
          </cell>
          <cell r="L48">
            <v>28670.56501756682</v>
          </cell>
          <cell r="M48">
            <v>26568.836896428438</v>
          </cell>
          <cell r="N48">
            <v>26625.288762372969</v>
          </cell>
          <cell r="O48">
            <v>27656.499324711549</v>
          </cell>
          <cell r="P48">
            <v>24796.476071358764</v>
          </cell>
          <cell r="Q48">
            <v>24839.462011072501</v>
          </cell>
          <cell r="R48">
            <v>23600.669524108172</v>
          </cell>
          <cell r="S48">
            <v>331423.74407300242</v>
          </cell>
          <cell r="U48"/>
          <cell r="V48">
            <v>61621.523041072913</v>
          </cell>
          <cell r="W48">
            <v>91567.338108816242</v>
          </cell>
          <cell r="X48">
            <v>120108.49026716678</v>
          </cell>
          <cell r="Y48">
            <v>148665.9464653832</v>
          </cell>
          <cell r="Z48">
            <v>177336.51148295001</v>
          </cell>
          <cell r="AA48">
            <v>203905.34837937844</v>
          </cell>
          <cell r="AB48">
            <v>230530.63714175142</v>
          </cell>
          <cell r="AC48">
            <v>258187.13646646295</v>
          </cell>
          <cell r="AD48">
            <v>282983.6125378217</v>
          </cell>
          <cell r="AE48">
            <v>307823.07454889419</v>
          </cell>
          <cell r="AF48">
            <v>331423.74407300237</v>
          </cell>
        </row>
        <row r="49">
          <cell r="G49">
            <v>26595.416442273028</v>
          </cell>
          <cell r="H49">
            <v>25149.157627765187</v>
          </cell>
          <cell r="I49">
            <v>26910.844598923344</v>
          </cell>
          <cell r="J49">
            <v>28315.507508316114</v>
          </cell>
          <cell r="K49">
            <v>28299.203468450251</v>
          </cell>
          <cell r="L49">
            <v>28186.094649099861</v>
          </cell>
          <cell r="M49">
            <v>30287.822770238228</v>
          </cell>
          <cell r="N49">
            <v>30231.370904293715</v>
          </cell>
          <cell r="O49">
            <v>29200.160341955132</v>
          </cell>
          <cell r="P49">
            <v>32060.18359530791</v>
          </cell>
          <cell r="Q49">
            <v>32017.197655594173</v>
          </cell>
          <cell r="R49">
            <v>33255.990142558512</v>
          </cell>
          <cell r="S49">
            <v>350508.94970477547</v>
          </cell>
          <cell r="U49"/>
          <cell r="V49">
            <v>51744.574070038216</v>
          </cell>
          <cell r="W49">
            <v>78655.41866896156</v>
          </cell>
          <cell r="X49">
            <v>106970.92617727767</v>
          </cell>
          <cell r="Y49">
            <v>135270.12964572792</v>
          </cell>
          <cell r="Z49">
            <v>163456.22429482779</v>
          </cell>
          <cell r="AA49">
            <v>193744.047065066</v>
          </cell>
          <cell r="AB49">
            <v>223975.41796935973</v>
          </cell>
          <cell r="AC49">
            <v>253175.57831131486</v>
          </cell>
          <cell r="AD49">
            <v>285235.76190662279</v>
          </cell>
          <cell r="AE49">
            <v>317252.95956221689</v>
          </cell>
          <cell r="AF49">
            <v>350508.94970477541</v>
          </cell>
        </row>
        <row r="50">
          <cell r="G50">
            <v>56509.437444444455</v>
          </cell>
          <cell r="H50">
            <v>56856.659666666674</v>
          </cell>
          <cell r="I50">
            <v>56856.659666666674</v>
          </cell>
          <cell r="J50">
            <v>56856.659666666674</v>
          </cell>
          <cell r="K50">
            <v>56856.659666666652</v>
          </cell>
          <cell r="L50">
            <v>56856.659666666681</v>
          </cell>
          <cell r="M50">
            <v>56856.659666666666</v>
          </cell>
          <cell r="N50">
            <v>56856.659666666688</v>
          </cell>
          <cell r="O50">
            <v>56856.659666666681</v>
          </cell>
          <cell r="P50">
            <v>56856.659666666674</v>
          </cell>
          <cell r="Q50">
            <v>56856.659666666674</v>
          </cell>
          <cell r="R50">
            <v>56856.659666666688</v>
          </cell>
          <cell r="S50">
            <v>681932.69377777784</v>
          </cell>
          <cell r="U50"/>
          <cell r="V50">
            <v>113366.09711111113</v>
          </cell>
          <cell r="W50">
            <v>170222.7567777778</v>
          </cell>
          <cell r="X50">
            <v>227079.41644444445</v>
          </cell>
          <cell r="Y50">
            <v>283936.07611111109</v>
          </cell>
          <cell r="Z50">
            <v>340792.73577777779</v>
          </cell>
          <cell r="AA50">
            <v>397649.39544444444</v>
          </cell>
          <cell r="AB50">
            <v>454506.05511111114</v>
          </cell>
          <cell r="AC50">
            <v>511362.71477777779</v>
          </cell>
          <cell r="AD50">
            <v>568219.37444444443</v>
          </cell>
          <cell r="AE50">
            <v>625076.03411111108</v>
          </cell>
          <cell r="AF50">
            <v>681932.69377777772</v>
          </cell>
        </row>
        <row r="51">
          <cell r="G51">
            <v>1590.6550069247196</v>
          </cell>
          <cell r="H51">
            <v>1946.9923332673256</v>
          </cell>
          <cell r="I51">
            <v>1970.9064077879304</v>
          </cell>
          <cell r="J51">
            <v>1958.6121261937501</v>
          </cell>
          <cell r="K51">
            <v>1168.3320354632681</v>
          </cell>
          <cell r="L51">
            <v>1165.5213430340023</v>
          </cell>
          <cell r="M51">
            <v>953.04064962690097</v>
          </cell>
          <cell r="N51">
            <v>952.18871527358317</v>
          </cell>
          <cell r="O51">
            <v>1109.9810966005703</v>
          </cell>
          <cell r="P51">
            <v>929.08537771822307</v>
          </cell>
          <cell r="Q51">
            <v>918.9598820811234</v>
          </cell>
          <cell r="R51">
            <v>673.22012551172133</v>
          </cell>
          <cell r="S51">
            <v>15337.49509948312</v>
          </cell>
          <cell r="U51"/>
          <cell r="V51">
            <v>3537.6473401920452</v>
          </cell>
          <cell r="W51">
            <v>5508.5537479799759</v>
          </cell>
          <cell r="X51">
            <v>7467.1658741737265</v>
          </cell>
          <cell r="Y51">
            <v>8635.4979096369952</v>
          </cell>
          <cell r="Z51">
            <v>9801.019252670998</v>
          </cell>
          <cell r="AA51">
            <v>10754.059902297899</v>
          </cell>
          <cell r="AB51">
            <v>11706.248617571482</v>
          </cell>
          <cell r="AC51">
            <v>12816.229714172052</v>
          </cell>
          <cell r="AD51">
            <v>13745.315091890276</v>
          </cell>
          <cell r="AE51">
            <v>14664.274973971398</v>
          </cell>
          <cell r="AF51">
            <v>15337.49509948312</v>
          </cell>
        </row>
        <row r="52">
          <cell r="G52">
            <v>3485.2153777203766</v>
          </cell>
          <cell r="H52">
            <v>3795.8365369050675</v>
          </cell>
          <cell r="I52">
            <v>4535.3346491184921</v>
          </cell>
          <cell r="J52">
            <v>4728.2468685370577</v>
          </cell>
          <cell r="K52">
            <v>2806.3428653566757</v>
          </cell>
          <cell r="L52">
            <v>2755.955273498425</v>
          </cell>
          <cell r="M52">
            <v>3050.9143063885508</v>
          </cell>
          <cell r="N52">
            <v>3017.8799537793216</v>
          </cell>
          <cell r="O52">
            <v>3350.9778305226814</v>
          </cell>
          <cell r="P52">
            <v>3239.5703841157956</v>
          </cell>
          <cell r="Q52">
            <v>3175.7846234160243</v>
          </cell>
          <cell r="R52">
            <v>3430.7660099039081</v>
          </cell>
          <cell r="S52">
            <v>41372.824679262376</v>
          </cell>
          <cell r="U52"/>
          <cell r="V52">
            <v>7281.0519146254446</v>
          </cell>
          <cell r="W52">
            <v>11816.386563743938</v>
          </cell>
          <cell r="X52">
            <v>16544.633432280996</v>
          </cell>
          <cell r="Y52">
            <v>19350.976297637673</v>
          </cell>
          <cell r="Z52">
            <v>22106.931571136098</v>
          </cell>
          <cell r="AA52">
            <v>25157.845877524647</v>
          </cell>
          <cell r="AB52">
            <v>28175.725831303967</v>
          </cell>
          <cell r="AC52">
            <v>31526.70366182665</v>
          </cell>
          <cell r="AD52">
            <v>34766.274045942446</v>
          </cell>
          <cell r="AE52">
            <v>37942.05866935847</v>
          </cell>
          <cell r="AF52">
            <v>41372.824679262376</v>
          </cell>
        </row>
        <row r="53">
          <cell r="G53">
            <v>5075.8703846450962</v>
          </cell>
          <cell r="H53">
            <v>5742.8288701723932</v>
          </cell>
          <cell r="I53">
            <v>6506.2410569064223</v>
          </cell>
          <cell r="J53">
            <v>6686.8589947308083</v>
          </cell>
          <cell r="K53">
            <v>3974.674900819944</v>
          </cell>
          <cell r="L53">
            <v>3921.4766165324272</v>
          </cell>
          <cell r="M53">
            <v>4003.9549560154519</v>
          </cell>
          <cell r="N53">
            <v>3970.0686690529046</v>
          </cell>
          <cell r="O53">
            <v>4460.9589271232517</v>
          </cell>
          <cell r="P53">
            <v>4168.6557618340184</v>
          </cell>
          <cell r="Q53">
            <v>4094.7445054971477</v>
          </cell>
          <cell r="R53">
            <v>4103.9861354156292</v>
          </cell>
          <cell r="S53">
            <v>56710.319778745492</v>
          </cell>
          <cell r="U53"/>
          <cell r="V53">
            <v>10818.699254817489</v>
          </cell>
          <cell r="W53">
            <v>17324.940311723913</v>
          </cell>
          <cell r="X53">
            <v>24011.799306454723</v>
          </cell>
          <cell r="Y53">
            <v>27986.474207274667</v>
          </cell>
          <cell r="Z53">
            <v>31907.950823807096</v>
          </cell>
          <cell r="AA53">
            <v>35911.905779822548</v>
          </cell>
          <cell r="AB53">
            <v>39881.974448875451</v>
          </cell>
          <cell r="AC53">
            <v>44342.933375998706</v>
          </cell>
          <cell r="AD53">
            <v>48511.589137832721</v>
          </cell>
          <cell r="AE53">
            <v>52606.333643329868</v>
          </cell>
          <cell r="AF53">
            <v>56710.319778745499</v>
          </cell>
        </row>
        <row r="54">
          <cell r="G54">
            <v>6296.3427357436813</v>
          </cell>
          <cell r="H54">
            <v>7706.8446525164973</v>
          </cell>
          <cell r="I54">
            <v>8321.6048328823745</v>
          </cell>
          <cell r="J54">
            <v>7752.8396661835941</v>
          </cell>
          <cell r="K54">
            <v>4624.6476403754359</v>
          </cell>
          <cell r="L54">
            <v>4613.5219828429263</v>
          </cell>
          <cell r="M54">
            <v>4526.9430857277794</v>
          </cell>
          <cell r="N54">
            <v>4522.8963975495199</v>
          </cell>
          <cell r="O54">
            <v>5272.4102088527088</v>
          </cell>
          <cell r="P54">
            <v>4118.9451745507895</v>
          </cell>
          <cell r="Q54">
            <v>4074.0554772263135</v>
          </cell>
          <cell r="R54">
            <v>4381.3993292747564</v>
          </cell>
          <cell r="S54">
            <v>66212.451183726371</v>
          </cell>
          <cell r="U54"/>
          <cell r="V54">
            <v>14003.187388260179</v>
          </cell>
          <cell r="W54">
            <v>22324.792221142554</v>
          </cell>
          <cell r="X54">
            <v>30077.631887326148</v>
          </cell>
          <cell r="Y54">
            <v>34702.279527701583</v>
          </cell>
          <cell r="Z54">
            <v>39315.801510544508</v>
          </cell>
          <cell r="AA54">
            <v>43842.744596272285</v>
          </cell>
          <cell r="AB54">
            <v>48365.640993821806</v>
          </cell>
          <cell r="AC54">
            <v>53638.051202674513</v>
          </cell>
          <cell r="AD54">
            <v>57756.996377225303</v>
          </cell>
          <cell r="AE54">
            <v>61831.051854451616</v>
          </cell>
          <cell r="AF54">
            <v>66212.451183726371</v>
          </cell>
        </row>
        <row r="55">
          <cell r="G55">
            <v>4300.3085573928611</v>
          </cell>
          <cell r="H55">
            <v>4708.109396300888</v>
          </cell>
          <cell r="I55">
            <v>5687.536319105966</v>
          </cell>
          <cell r="J55">
            <v>5979.8392465844463</v>
          </cell>
          <cell r="K55">
            <v>3578.5594441288881</v>
          </cell>
          <cell r="L55">
            <v>3575.76419974889</v>
          </cell>
          <cell r="M55">
            <v>3791.227726263382</v>
          </cell>
          <cell r="N55">
            <v>3798.2507757047101</v>
          </cell>
          <cell r="O55">
            <v>4038.5198582955518</v>
          </cell>
          <cell r="P55">
            <v>3945.5974656054332</v>
          </cell>
          <cell r="Q55">
            <v>3916.978250976224</v>
          </cell>
          <cell r="R55">
            <v>4203.8258430263622</v>
          </cell>
          <cell r="S55">
            <v>51524.5170831336</v>
          </cell>
          <cell r="U55"/>
          <cell r="V55">
            <v>9008.4179536937481</v>
          </cell>
          <cell r="W55">
            <v>14695.954272799714</v>
          </cell>
          <cell r="X55">
            <v>20675.793519384162</v>
          </cell>
          <cell r="Y55">
            <v>24254.352963513051</v>
          </cell>
          <cell r="Z55">
            <v>27830.117163261941</v>
          </cell>
          <cell r="AA55">
            <v>31621.344889525324</v>
          </cell>
          <cell r="AB55">
            <v>35419.595665230037</v>
          </cell>
          <cell r="AC55">
            <v>39458.115523525586</v>
          </cell>
          <cell r="AD55">
            <v>43403.712989131018</v>
          </cell>
          <cell r="AE55">
            <v>47320.69124010724</v>
          </cell>
          <cell r="AF55">
            <v>51524.5170831336</v>
          </cell>
        </row>
        <row r="56">
          <cell r="G56">
            <v>10596.651293136543</v>
          </cell>
          <cell r="H56">
            <v>12414.954048817384</v>
          </cell>
          <cell r="I56">
            <v>14009.14115198834</v>
          </cell>
          <cell r="J56">
            <v>13732.67891276804</v>
          </cell>
          <cell r="K56">
            <v>8203.2070845043236</v>
          </cell>
          <cell r="L56">
            <v>8189.2861825918162</v>
          </cell>
          <cell r="M56">
            <v>8318.1708119911618</v>
          </cell>
          <cell r="N56">
            <v>8321.1471732542304</v>
          </cell>
          <cell r="O56">
            <v>9310.9300671482597</v>
          </cell>
          <cell r="P56">
            <v>8064.5426401562227</v>
          </cell>
          <cell r="Q56">
            <v>7991.0337282025375</v>
          </cell>
          <cell r="R56">
            <v>8585.2251723011177</v>
          </cell>
          <cell r="S56">
            <v>117736.96826685999</v>
          </cell>
          <cell r="U56"/>
          <cell r="V56">
            <v>23011.605341953928</v>
          </cell>
          <cell r="W56">
            <v>37020.746493942264</v>
          </cell>
          <cell r="X56">
            <v>50753.42540671031</v>
          </cell>
          <cell r="Y56">
            <v>58956.632491214637</v>
          </cell>
          <cell r="Z56">
            <v>67145.918673806445</v>
          </cell>
          <cell r="AA56">
            <v>75464.089485797609</v>
          </cell>
          <cell r="AB56">
            <v>83785.23665905185</v>
          </cell>
          <cell r="AC56">
            <v>93096.166726200099</v>
          </cell>
          <cell r="AD56">
            <v>101160.70936635631</v>
          </cell>
          <cell r="AE56">
            <v>109151.74309455886</v>
          </cell>
          <cell r="AF56">
            <v>117736.96826685997</v>
          </cell>
        </row>
        <row r="57">
          <cell r="G57">
            <v>7886.9977426684009</v>
          </cell>
          <cell r="H57">
            <v>9653.8369857838225</v>
          </cell>
          <cell r="I57">
            <v>10292.511240670305</v>
          </cell>
          <cell r="J57">
            <v>9711.4517923773437</v>
          </cell>
          <cell r="K57">
            <v>5792.9796758387038</v>
          </cell>
          <cell r="L57">
            <v>5779.0433258769281</v>
          </cell>
          <cell r="M57">
            <v>5479.98373535468</v>
          </cell>
          <cell r="N57">
            <v>5475.0851128231034</v>
          </cell>
          <cell r="O57">
            <v>6382.3913054532786</v>
          </cell>
          <cell r="P57">
            <v>5048.0305522690123</v>
          </cell>
          <cell r="Q57">
            <v>4993.0153593074374</v>
          </cell>
          <cell r="R57">
            <v>5054.6194547864779</v>
          </cell>
          <cell r="S57">
            <v>81549.946283209487</v>
          </cell>
          <cell r="U57"/>
          <cell r="V57">
            <v>17540.834728452224</v>
          </cell>
          <cell r="W57">
            <v>27833.345969122529</v>
          </cell>
          <cell r="X57">
            <v>37544.797761499874</v>
          </cell>
          <cell r="Y57">
            <v>43337.777437338576</v>
          </cell>
          <cell r="Z57">
            <v>49116.82076321551</v>
          </cell>
          <cell r="AA57">
            <v>54596.804498570185</v>
          </cell>
          <cell r="AB57">
            <v>60071.889611393286</v>
          </cell>
          <cell r="AC57">
            <v>66454.280916846561</v>
          </cell>
          <cell r="AD57">
            <v>71502.311469115579</v>
          </cell>
          <cell r="AE57">
            <v>76495.326828423014</v>
          </cell>
          <cell r="AF57">
            <v>81549.946283209487</v>
          </cell>
        </row>
        <row r="58">
          <cell r="G58">
            <v>7785.5239351132377</v>
          </cell>
          <cell r="H58">
            <v>8503.945933205956</v>
          </cell>
          <cell r="I58">
            <v>10222.870968224459</v>
          </cell>
          <cell r="J58">
            <v>10708.086115121503</v>
          </cell>
          <cell r="K58">
            <v>6384.9023094855638</v>
          </cell>
          <cell r="L58">
            <v>6331.7194732473145</v>
          </cell>
          <cell r="M58">
            <v>6842.1420326519328</v>
          </cell>
          <cell r="N58">
            <v>6816.1307294840317</v>
          </cell>
          <cell r="O58">
            <v>7389.4976888182337</v>
          </cell>
          <cell r="P58">
            <v>7185.1678497212288</v>
          </cell>
          <cell r="Q58">
            <v>7092.7628743922487</v>
          </cell>
          <cell r="R58">
            <v>7634.5918529302708</v>
          </cell>
          <cell r="S58">
            <v>92897.341762395983</v>
          </cell>
          <cell r="U58"/>
          <cell r="V58">
            <v>16289.469868319193</v>
          </cell>
          <cell r="W58">
            <v>26512.340836543652</v>
          </cell>
          <cell r="X58">
            <v>37220.426951665155</v>
          </cell>
          <cell r="Y58">
            <v>43605.32926115072</v>
          </cell>
          <cell r="Z58">
            <v>49937.048734398035</v>
          </cell>
          <cell r="AA58">
            <v>56779.190767049971</v>
          </cell>
          <cell r="AB58">
            <v>63595.321496534001</v>
          </cell>
          <cell r="AC58">
            <v>70984.819185352244</v>
          </cell>
          <cell r="AD58">
            <v>78169.987035073456</v>
          </cell>
          <cell r="AE58">
            <v>85262.749909465711</v>
          </cell>
          <cell r="AF58">
            <v>92897.341762395983</v>
          </cell>
        </row>
        <row r="59">
          <cell r="G59">
            <v>15672.521677781639</v>
          </cell>
          <cell r="H59">
            <v>18157.782918989778</v>
          </cell>
          <cell r="I59">
            <v>20515.382208894764</v>
          </cell>
          <cell r="J59">
            <v>20419.537907498845</v>
          </cell>
          <cell r="K59">
            <v>12177.881985324268</v>
          </cell>
          <cell r="L59">
            <v>12110.762799124243</v>
          </cell>
          <cell r="M59">
            <v>12322.125768006612</v>
          </cell>
          <cell r="N59">
            <v>12291.215842307134</v>
          </cell>
          <cell r="O59">
            <v>13771.888994271512</v>
          </cell>
          <cell r="P59">
            <v>12233.198401990241</v>
          </cell>
          <cell r="Q59">
            <v>12085.778233699686</v>
          </cell>
          <cell r="R59">
            <v>12689.211307716749</v>
          </cell>
          <cell r="S59">
            <v>174447.28804560547</v>
          </cell>
          <cell r="U59"/>
          <cell r="V59">
            <v>33830.304596771413</v>
          </cell>
          <cell r="W59">
            <v>54345.686805666177</v>
          </cell>
          <cell r="X59">
            <v>74765.224713165022</v>
          </cell>
          <cell r="Y59">
            <v>86943.106698489297</v>
          </cell>
          <cell r="Z59">
            <v>99053.869497613545</v>
          </cell>
          <cell r="AA59">
            <v>111375.99526562015</v>
          </cell>
          <cell r="AB59">
            <v>123667.21110792729</v>
          </cell>
          <cell r="AC59">
            <v>137439.1001021988</v>
          </cell>
          <cell r="AD59">
            <v>149672.29850418904</v>
          </cell>
          <cell r="AE59">
            <v>161758.07673788874</v>
          </cell>
          <cell r="AF59">
            <v>174447.28804560547</v>
          </cell>
        </row>
        <row r="60">
          <cell r="G60">
            <v>-42912.549399462572</v>
          </cell>
          <cell r="H60">
            <v>-34301.752584933653</v>
          </cell>
          <cell r="I60">
            <v>-29701.031187369135</v>
          </cell>
          <cell r="J60">
            <v>-25113.451576886189</v>
          </cell>
          <cell r="K60">
            <v>-34510.03139783418</v>
          </cell>
          <cell r="L60">
            <v>-28060.657787386503</v>
          </cell>
          <cell r="M60">
            <v>-24928.022172261179</v>
          </cell>
          <cell r="N60">
            <v>-20545.030743235642</v>
          </cell>
          <cell r="O60">
            <v>-27880.317742667066</v>
          </cell>
          <cell r="P60">
            <v>-18876.266135138525</v>
          </cell>
          <cell r="Q60">
            <v>-21908.607480479604</v>
          </cell>
          <cell r="R60">
            <v>-13412.193505081068</v>
          </cell>
          <cell r="S60">
            <v>-322149.91171273525</v>
          </cell>
          <cell r="V60">
            <v>-73676.654644204202</v>
          </cell>
          <cell r="W60">
            <v>-101406.7794237854</v>
          </cell>
          <cell r="X60">
            <v>-124561.6188744778</v>
          </cell>
          <cell r="Y60">
            <v>-157903.31823684872</v>
          </cell>
          <cell r="Z60">
            <v>-184798.45468120114</v>
          </cell>
          <cell r="AA60">
            <v>-208773.43620383544</v>
          </cell>
          <cell r="AB60">
            <v>-228366.27823179757</v>
          </cell>
          <cell r="AC60">
            <v>-255136.61487786408</v>
          </cell>
          <cell r="AD60">
            <v>-273083.79563528439</v>
          </cell>
          <cell r="AE60">
            <v>-294073.44323368289</v>
          </cell>
          <cell r="AF60">
            <v>-306812.41661325225</v>
          </cell>
        </row>
        <row r="61">
          <cell r="G61">
            <v>-31950.155502372952</v>
          </cell>
          <cell r="H61">
            <v>-16012.10352412706</v>
          </cell>
          <cell r="I61">
            <v>-10972.993519494838</v>
          </cell>
          <cell r="J61">
            <v>-3198.0328203220861</v>
          </cell>
          <cell r="K61">
            <v>-19635.470134066774</v>
          </cell>
          <cell r="L61">
            <v>-7890.2670124027863</v>
          </cell>
          <cell r="M61">
            <v>-12594.574379898571</v>
          </cell>
          <cell r="N61">
            <v>-2050.0409145282988</v>
          </cell>
          <cell r="O61">
            <v>-18680.460518759061</v>
          </cell>
          <cell r="P61">
            <v>2128.8160271552588</v>
          </cell>
          <cell r="Q61">
            <v>-5740.8375328615148</v>
          </cell>
          <cell r="R61">
            <v>-48.15852517628673</v>
          </cell>
          <cell r="S61">
            <v>-126644.27835685498</v>
          </cell>
          <cell r="V61">
            <v>-40681.207111874624</v>
          </cell>
          <cell r="W61">
            <v>-47118.865982250936</v>
          </cell>
          <cell r="X61">
            <v>-45588.651934035996</v>
          </cell>
          <cell r="Y61">
            <v>-62417.779202746184</v>
          </cell>
          <cell r="Z61">
            <v>-67552.090941650575</v>
          </cell>
          <cell r="AA61">
            <v>-77095.751015160742</v>
          </cell>
          <cell r="AB61">
            <v>-76127.911975909694</v>
          </cell>
          <cell r="AC61">
            <v>-91457.394664145861</v>
          </cell>
          <cell r="AD61">
            <v>-86089.008252874948</v>
          </cell>
          <cell r="AE61">
            <v>-88654.06116232046</v>
          </cell>
          <cell r="AF61">
            <v>-85271.45367759277</v>
          </cell>
        </row>
        <row r="62">
          <cell r="G62">
            <v>-74862.704901835532</v>
          </cell>
          <cell r="H62">
            <v>-50313.856109060711</v>
          </cell>
          <cell r="I62">
            <v>-40674.024706863973</v>
          </cell>
          <cell r="J62">
            <v>-28311.484397208274</v>
          </cell>
          <cell r="K62">
            <v>-54145.501531900954</v>
          </cell>
          <cell r="L62">
            <v>-35950.924799789289</v>
          </cell>
          <cell r="M62">
            <v>-37522.596552159754</v>
          </cell>
          <cell r="N62">
            <v>-22595.07165776394</v>
          </cell>
          <cell r="O62">
            <v>-46560.778261426123</v>
          </cell>
          <cell r="P62">
            <v>-16747.450107983266</v>
          </cell>
          <cell r="Q62">
            <v>-27649.445013341119</v>
          </cell>
          <cell r="R62">
            <v>-13460.352030257354</v>
          </cell>
          <cell r="S62">
            <v>-448794.19006959029</v>
          </cell>
          <cell r="V62">
            <v>-114357.86175607883</v>
          </cell>
          <cell r="W62">
            <v>-148525.64540603635</v>
          </cell>
          <cell r="X62">
            <v>-170150.2708085138</v>
          </cell>
          <cell r="Y62">
            <v>-220321.09743959492</v>
          </cell>
          <cell r="Z62">
            <v>-252350.5456228517</v>
          </cell>
          <cell r="AA62">
            <v>-285869.18721899617</v>
          </cell>
          <cell r="AB62">
            <v>-304494.19020770723</v>
          </cell>
          <cell r="AC62">
            <v>-346594.00954200991</v>
          </cell>
          <cell r="AD62">
            <v>-359172.80388815934</v>
          </cell>
          <cell r="AE62">
            <v>-382727.50439600332</v>
          </cell>
          <cell r="AF62">
            <v>-392083.87029084505</v>
          </cell>
        </row>
        <row r="63">
          <cell r="G63">
            <v>-4601.0787170883523</v>
          </cell>
          <cell r="H63">
            <v>16406.254718317574</v>
          </cell>
          <cell r="I63">
            <v>29731.395754901132</v>
          </cell>
          <cell r="J63">
            <v>39360.06170708529</v>
          </cell>
          <cell r="K63">
            <v>17021.103953697264</v>
          </cell>
          <cell r="L63">
            <v>33148.636906275846</v>
          </cell>
          <cell r="M63">
            <v>28548.11234636934</v>
          </cell>
          <cell r="N63">
            <v>41698.577518564307</v>
          </cell>
          <cell r="O63">
            <v>19416.579852947718</v>
          </cell>
          <cell r="P63">
            <v>43628.94870467233</v>
          </cell>
          <cell r="Q63">
            <v>35154.931247257933</v>
          </cell>
          <cell r="R63">
            <v>41256.408270851207</v>
          </cell>
          <cell r="S63">
            <v>340769.93226385157</v>
          </cell>
          <cell r="V63">
            <v>25808.363389489401</v>
          </cell>
          <cell r="W63">
            <v>63861.363977272937</v>
          </cell>
          <cell r="X63">
            <v>110974.26535054189</v>
          </cell>
          <cell r="Y63">
            <v>132620.01694461447</v>
          </cell>
          <cell r="Z63">
            <v>170382.17583373311</v>
          </cell>
          <cell r="AA63">
            <v>203457.23126583025</v>
          </cell>
          <cell r="AB63">
            <v>249678.70518194407</v>
          </cell>
          <cell r="AC63">
            <v>274367.69524374465</v>
          </cell>
          <cell r="AD63">
            <v>322115.58912296756</v>
          </cell>
          <cell r="AE63">
            <v>361344.57584745192</v>
          </cell>
          <cell r="AF63">
            <v>406982.38344757806</v>
          </cell>
        </row>
        <row r="64">
          <cell r="G64">
            <v>23945.856561343211</v>
          </cell>
          <cell r="H64">
            <v>32289.571968268356</v>
          </cell>
          <cell r="I64">
            <v>45589.854534581653</v>
          </cell>
          <cell r="J64">
            <v>55718.017737808965</v>
          </cell>
          <cell r="K64">
            <v>41366.847990769762</v>
          </cell>
          <cell r="L64">
            <v>52415.997226871208</v>
          </cell>
          <cell r="M64">
            <v>53591.321330258193</v>
          </cell>
          <cell r="N64">
            <v>63245.816274268494</v>
          </cell>
          <cell r="O64">
            <v>44276.211359049252</v>
          </cell>
          <cell r="P64">
            <v>71735.725920152632</v>
          </cell>
          <cell r="Q64">
            <v>65050.398080881401</v>
          </cell>
          <cell r="R64">
            <v>69859.864174654766</v>
          </cell>
          <cell r="S64">
            <v>619085.48315890785</v>
          </cell>
          <cell r="V64">
            <v>65243.8464833053</v>
          </cell>
          <cell r="W64">
            <v>116521.23733699293</v>
          </cell>
          <cell r="X64">
            <v>178219.09432138639</v>
          </cell>
          <cell r="Y64">
            <v>223164.50175628503</v>
          </cell>
          <cell r="Z64">
            <v>279156.26318290527</v>
          </cell>
          <cell r="AA64">
            <v>336538.81223942677</v>
          </cell>
          <cell r="AB64">
            <v>403582.87928939983</v>
          </cell>
          <cell r="AC64">
            <v>451897.61050674465</v>
          </cell>
          <cell r="AD64">
            <v>527578.9338925028</v>
          </cell>
          <cell r="AE64">
            <v>596546.31022436055</v>
          </cell>
          <cell r="AF64">
            <v>670610.00024204154</v>
          </cell>
        </row>
        <row r="65">
          <cell r="G65">
            <v>19344.777844254859</v>
          </cell>
          <cell r="H65">
            <v>48695.826686585933</v>
          </cell>
          <cell r="I65">
            <v>75321.250289482792</v>
          </cell>
          <cell r="J65">
            <v>95078.079444894247</v>
          </cell>
          <cell r="K65">
            <v>58387.95194446703</v>
          </cell>
          <cell r="L65">
            <v>85564.634133147047</v>
          </cell>
          <cell r="M65">
            <v>82139.433676627537</v>
          </cell>
          <cell r="N65">
            <v>104944.39379283279</v>
          </cell>
          <cell r="O65">
            <v>63692.79121199697</v>
          </cell>
          <cell r="P65">
            <v>115364.67462482495</v>
          </cell>
          <cell r="Q65">
            <v>100205.32932813934</v>
          </cell>
          <cell r="R65">
            <v>111116.27244550598</v>
          </cell>
          <cell r="S65">
            <v>959855.41542275948</v>
          </cell>
          <cell r="V65">
            <v>91052.209872794701</v>
          </cell>
          <cell r="W65">
            <v>180382.60131426586</v>
          </cell>
          <cell r="X65">
            <v>289193.35967192828</v>
          </cell>
          <cell r="Y65">
            <v>355784.5187008995</v>
          </cell>
          <cell r="Z65">
            <v>449538.43901663838</v>
          </cell>
          <cell r="AA65">
            <v>539996.043505257</v>
          </cell>
          <cell r="AB65">
            <v>653261.5844713439</v>
          </cell>
          <cell r="AC65">
            <v>726265.30575048923</v>
          </cell>
          <cell r="AD65">
            <v>849694.52301547036</v>
          </cell>
          <cell r="AE65">
            <v>957890.88607181248</v>
          </cell>
          <cell r="AF65">
            <v>1077592.3836896196</v>
          </cell>
        </row>
        <row r="66">
          <cell r="G66">
            <v>-47513.628116550928</v>
          </cell>
          <cell r="H66">
            <v>-17895.497866616079</v>
          </cell>
          <cell r="I66">
            <v>30.364567531996727</v>
          </cell>
          <cell r="J66">
            <v>14246.6101301991</v>
          </cell>
          <cell r="K66">
            <v>-17488.927444136916</v>
          </cell>
          <cell r="L66">
            <v>5087.9791188893432</v>
          </cell>
          <cell r="M66">
            <v>3620.0901741081616</v>
          </cell>
          <cell r="N66">
            <v>21153.546775328665</v>
          </cell>
          <cell r="O66">
            <v>-8463.7378897193485</v>
          </cell>
          <cell r="P66">
            <v>24752.682569533805</v>
          </cell>
          <cell r="Q66">
            <v>13246.323766778329</v>
          </cell>
          <cell r="R66">
            <v>27844.214765770139</v>
          </cell>
          <cell r="S66">
            <v>18620.020551116271</v>
          </cell>
          <cell r="V66">
            <v>-47868.291254714801</v>
          </cell>
          <cell r="W66">
            <v>-37545.415446512459</v>
          </cell>
          <cell r="X66">
            <v>-13587.353523935919</v>
          </cell>
          <cell r="Y66">
            <v>-25283.301292234246</v>
          </cell>
          <cell r="Z66">
            <v>-14416.278847468027</v>
          </cell>
          <cell r="AA66">
            <v>-5316.2049380051903</v>
          </cell>
          <cell r="AB66">
            <v>21312.426950146502</v>
          </cell>
          <cell r="AC66">
            <v>19231.080365880567</v>
          </cell>
          <cell r="AD66">
            <v>49031.793487683171</v>
          </cell>
          <cell r="AE66">
            <v>67271.132613769034</v>
          </cell>
          <cell r="AF66">
            <v>100169.96683432581</v>
          </cell>
        </row>
        <row r="67">
          <cell r="G67">
            <v>-8004.2989410297414</v>
          </cell>
          <cell r="H67">
            <v>16277.468444141296</v>
          </cell>
          <cell r="I67">
            <v>34616.861015086819</v>
          </cell>
          <cell r="J67">
            <v>52519.98491748688</v>
          </cell>
          <cell r="K67">
            <v>21731.377856702988</v>
          </cell>
          <cell r="L67">
            <v>44525.730214468422</v>
          </cell>
          <cell r="M67">
            <v>40996.746950359622</v>
          </cell>
          <cell r="N67">
            <v>61195.775359740197</v>
          </cell>
          <cell r="O67">
            <v>25595.750840290191</v>
          </cell>
          <cell r="P67">
            <v>73864.541947307895</v>
          </cell>
          <cell r="Q67">
            <v>59309.560548019886</v>
          </cell>
          <cell r="R67">
            <v>69811.705649478477</v>
          </cell>
          <cell r="S67">
            <v>492441.20480205293</v>
          </cell>
          <cell r="V67">
            <v>24562.639371430676</v>
          </cell>
          <cell r="W67">
            <v>69402.37135474199</v>
          </cell>
          <cell r="X67">
            <v>132630.4423873504</v>
          </cell>
          <cell r="Y67">
            <v>160746.72255353886</v>
          </cell>
          <cell r="Z67">
            <v>211604.17224125471</v>
          </cell>
          <cell r="AA67">
            <v>259443.06122426601</v>
          </cell>
          <cell r="AB67">
            <v>327454.96731349011</v>
          </cell>
          <cell r="AC67">
            <v>360440.21584259882</v>
          </cell>
          <cell r="AD67">
            <v>441489.92563962785</v>
          </cell>
          <cell r="AE67">
            <v>507892.24906204012</v>
          </cell>
          <cell r="AF67">
            <v>585338.54656444874</v>
          </cell>
        </row>
        <row r="68">
          <cell r="G68">
            <v>-55517.927057580673</v>
          </cell>
          <cell r="H68">
            <v>-1618.0294224747831</v>
          </cell>
          <cell r="I68">
            <v>34647.225582618819</v>
          </cell>
          <cell r="J68">
            <v>66766.595047685987</v>
          </cell>
          <cell r="K68">
            <v>4242.4504125660715</v>
          </cell>
          <cell r="L68">
            <v>49613.709333357765</v>
          </cell>
          <cell r="M68">
            <v>44616.837124467784</v>
          </cell>
          <cell r="N68">
            <v>82349.322135068855</v>
          </cell>
          <cell r="O68">
            <v>17132.012950570843</v>
          </cell>
          <cell r="P68">
            <v>98617.224516841699</v>
          </cell>
          <cell r="Q68">
            <v>72555.884314798212</v>
          </cell>
          <cell r="R68">
            <v>97655.92041524862</v>
          </cell>
          <cell r="S68">
            <v>511061.2253531692</v>
          </cell>
          <cell r="V68">
            <v>-23305.651883284125</v>
          </cell>
          <cell r="W68">
            <v>31856.955908229531</v>
          </cell>
          <cell r="X68">
            <v>119043.08886341448</v>
          </cell>
          <cell r="Y68">
            <v>135463.42126130461</v>
          </cell>
          <cell r="Z68">
            <v>197187.89339378668</v>
          </cell>
          <cell r="AA68">
            <v>254126.85628626082</v>
          </cell>
          <cell r="AB68">
            <v>348767.39426363661</v>
          </cell>
          <cell r="AC68">
            <v>379671.29620847938</v>
          </cell>
          <cell r="AD68">
            <v>490521.71912731102</v>
          </cell>
          <cell r="AE68">
            <v>575163.38167580916</v>
          </cell>
          <cell r="AF68">
            <v>685508.51339877455</v>
          </cell>
        </row>
        <row r="71">
          <cell r="G71">
            <v>39670.29996559782</v>
          </cell>
          <cell r="H71">
            <v>37656.38338633901</v>
          </cell>
          <cell r="I71">
            <v>41770.327835024887</v>
          </cell>
          <cell r="J71">
            <v>41833.975250037794</v>
          </cell>
          <cell r="K71">
            <v>41810.091372023955</v>
          </cell>
          <cell r="L71">
            <v>41645.145544513252</v>
          </cell>
          <cell r="M71">
            <v>42799.509732629442</v>
          </cell>
          <cell r="N71">
            <v>42708.76471921453</v>
          </cell>
          <cell r="O71">
            <v>41116.309768000385</v>
          </cell>
          <cell r="P71">
            <v>43565.728071919184</v>
          </cell>
          <cell r="Q71">
            <v>43490.335385892016</v>
          </cell>
          <cell r="R71">
            <v>41933.0060593015</v>
          </cell>
          <cell r="S71">
            <v>499999.87709049374</v>
          </cell>
          <cell r="T71">
            <v>170105.37928511307</v>
          </cell>
        </row>
        <row r="72">
          <cell r="G72">
            <v>709406.85182383005</v>
          </cell>
          <cell r="H72">
            <v>671476.89686755487</v>
          </cell>
          <cell r="I72">
            <v>749455.94230335439</v>
          </cell>
          <cell r="J72">
            <v>750636.99937211617</v>
          </cell>
          <cell r="K72">
            <v>750478.01166872459</v>
          </cell>
          <cell r="L72">
            <v>748141.53061074147</v>
          </cell>
          <cell r="M72">
            <v>775756.57068754709</v>
          </cell>
          <cell r="N72">
            <v>774502.93067854433</v>
          </cell>
          <cell r="O72">
            <v>744439.10998751165</v>
          </cell>
          <cell r="P72">
            <v>790015.55908893293</v>
          </cell>
          <cell r="Q72">
            <v>789095.04991640872</v>
          </cell>
          <cell r="R72">
            <v>770377.21380474255</v>
          </cell>
          <cell r="S72">
            <v>9023782.6668100096</v>
          </cell>
          <cell r="T72">
            <v>3093926.9327975959</v>
          </cell>
        </row>
        <row r="73">
          <cell r="G73">
            <v>277692.09975918476</v>
          </cell>
          <cell r="H73">
            <v>263594.68370437308</v>
          </cell>
          <cell r="I73">
            <v>292392.29484517418</v>
          </cell>
          <cell r="J73">
            <v>292837.82675026462</v>
          </cell>
          <cell r="K73">
            <v>292670.63960416772</v>
          </cell>
          <cell r="L73">
            <v>291516.01881159277</v>
          </cell>
          <cell r="M73">
            <v>299596.56812840613</v>
          </cell>
          <cell r="N73">
            <v>298961.35303450166</v>
          </cell>
          <cell r="O73">
            <v>287814.16837600269</v>
          </cell>
          <cell r="P73">
            <v>304960.0965034343</v>
          </cell>
          <cell r="Q73">
            <v>304432.34770124411</v>
          </cell>
          <cell r="R73">
            <v>293531.04241511051</v>
          </cell>
          <cell r="S73">
            <v>3499999.1396334567</v>
          </cell>
          <cell r="T73">
            <v>1190737.6549957916</v>
          </cell>
        </row>
        <row r="74">
          <cell r="G74">
            <v>27000</v>
          </cell>
          <cell r="H74">
            <v>27000</v>
          </cell>
          <cell r="I74">
            <v>27000</v>
          </cell>
          <cell r="J74">
            <v>27000</v>
          </cell>
          <cell r="K74">
            <v>27000</v>
          </cell>
          <cell r="L74">
            <v>27000</v>
          </cell>
          <cell r="M74">
            <v>27000</v>
          </cell>
          <cell r="N74">
            <v>27000</v>
          </cell>
          <cell r="O74">
            <v>27000</v>
          </cell>
          <cell r="P74">
            <v>27000</v>
          </cell>
          <cell r="Q74">
            <v>27000</v>
          </cell>
          <cell r="R74">
            <v>27000</v>
          </cell>
          <cell r="S74">
            <v>324000</v>
          </cell>
          <cell r="T74">
            <v>108000</v>
          </cell>
        </row>
        <row r="75">
          <cell r="G75">
            <v>37374.29</v>
          </cell>
          <cell r="H75">
            <v>37374.29</v>
          </cell>
          <cell r="I75">
            <v>37607.31</v>
          </cell>
          <cell r="J75">
            <v>37607.31</v>
          </cell>
          <cell r="K75">
            <v>37607.31</v>
          </cell>
          <cell r="L75">
            <v>37607.31</v>
          </cell>
          <cell r="M75">
            <v>37607.31</v>
          </cell>
          <cell r="N75">
            <v>37607.31</v>
          </cell>
          <cell r="O75">
            <v>37607.31</v>
          </cell>
          <cell r="P75">
            <v>37607.31</v>
          </cell>
          <cell r="Q75">
            <v>37607.31</v>
          </cell>
          <cell r="R75">
            <v>37607.31</v>
          </cell>
          <cell r="S75">
            <v>450821.68</v>
          </cell>
          <cell r="T75">
            <v>150429.24</v>
          </cell>
        </row>
        <row r="76">
          <cell r="G76">
            <v>357185.86744444445</v>
          </cell>
          <cell r="H76">
            <v>276968.16966666665</v>
          </cell>
          <cell r="I76">
            <v>287293.72966666671</v>
          </cell>
          <cell r="J76">
            <v>256005.72966666671</v>
          </cell>
          <cell r="K76">
            <v>326779.72966666671</v>
          </cell>
          <cell r="L76">
            <v>280293.72966666671</v>
          </cell>
          <cell r="M76">
            <v>304613.72966666671</v>
          </cell>
          <cell r="N76">
            <v>266293.72966666671</v>
          </cell>
          <cell r="O76">
            <v>311113.72966666671</v>
          </cell>
          <cell r="P76">
            <v>259597.72966666671</v>
          </cell>
          <cell r="Q76">
            <v>285413.72966666671</v>
          </cell>
          <cell r="R76">
            <v>251893.72966666671</v>
          </cell>
          <cell r="S76">
            <v>3463453.3337777774</v>
          </cell>
          <cell r="T76">
            <v>1108018.9186666668</v>
          </cell>
        </row>
        <row r="77">
          <cell r="G77">
            <v>50000</v>
          </cell>
          <cell r="H77">
            <v>50000</v>
          </cell>
          <cell r="I77">
            <v>50000</v>
          </cell>
          <cell r="J77">
            <v>50000</v>
          </cell>
          <cell r="K77">
            <v>50000</v>
          </cell>
          <cell r="L77">
            <v>50000</v>
          </cell>
          <cell r="M77">
            <v>50000</v>
          </cell>
          <cell r="N77">
            <v>50000</v>
          </cell>
          <cell r="O77">
            <v>50000</v>
          </cell>
          <cell r="P77">
            <v>50000</v>
          </cell>
          <cell r="Q77">
            <v>50000</v>
          </cell>
          <cell r="R77">
            <v>50000</v>
          </cell>
          <cell r="S77">
            <v>600000</v>
          </cell>
          <cell r="T77">
            <v>200000</v>
          </cell>
        </row>
        <row r="78">
          <cell r="S78">
            <v>0</v>
          </cell>
          <cell r="T78">
            <v>0</v>
          </cell>
        </row>
        <row r="79">
          <cell r="G79">
            <v>749252.25720362924</v>
          </cell>
          <cell r="H79">
            <v>654937.14337103977</v>
          </cell>
          <cell r="I79">
            <v>694293.33451184095</v>
          </cell>
          <cell r="J79">
            <v>663450.86641693139</v>
          </cell>
          <cell r="K79">
            <v>734057.67927083443</v>
          </cell>
          <cell r="L79">
            <v>686417.05847825948</v>
          </cell>
          <cell r="M79">
            <v>718817.60779507284</v>
          </cell>
          <cell r="N79">
            <v>679862.39270116831</v>
          </cell>
          <cell r="O79">
            <v>713535.20804266934</v>
          </cell>
          <cell r="P79">
            <v>679165.136170101</v>
          </cell>
          <cell r="Q79">
            <v>704453.38736791082</v>
          </cell>
          <cell r="R79">
            <v>660032.08208177728</v>
          </cell>
          <cell r="S79">
            <v>8338274.1534112347</v>
          </cell>
          <cell r="T79">
            <v>2757185.8136624582</v>
          </cell>
        </row>
        <row r="80">
          <cell r="G80">
            <v>-39845.405379799195</v>
          </cell>
          <cell r="H80">
            <v>16539.753496515099</v>
          </cell>
          <cell r="I80">
            <v>55162.607791513437</v>
          </cell>
          <cell r="J80">
            <v>87186.132955184788</v>
          </cell>
          <cell r="K80">
            <v>16420.332397890161</v>
          </cell>
          <cell r="L80">
            <v>61724.472132481984</v>
          </cell>
          <cell r="M80">
            <v>56938.962892474257</v>
          </cell>
          <cell r="N80">
            <v>94640.537977376021</v>
          </cell>
          <cell r="O80">
            <v>30903.901944842306</v>
          </cell>
          <cell r="P80">
            <v>110850.42291883193</v>
          </cell>
          <cell r="Q80">
            <v>84641.662548497901</v>
          </cell>
          <cell r="R80">
            <v>110345.13172296528</v>
          </cell>
          <cell r="S80">
            <v>685508.51339877397</v>
          </cell>
          <cell r="T80">
            <v>336741.11913513741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U6"/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U7"/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/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>
            <v>0</v>
          </cell>
          <cell r="U9"/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G13">
            <v>9859.7553407028245</v>
          </cell>
          <cell r="H13">
            <v>8773.1544311774724</v>
          </cell>
          <cell r="I13">
            <v>10355.137027505783</v>
          </cell>
          <cell r="J13">
            <v>10863.361164706679</v>
          </cell>
          <cell r="K13">
            <v>10809.035882592707</v>
          </cell>
          <cell r="L13">
            <v>10640.559098179559</v>
          </cell>
          <cell r="M13">
            <v>12004.659668437012</v>
          </cell>
          <cell r="N13">
            <v>11885.30135375616</v>
          </cell>
          <cell r="O13">
            <v>11321.063847794539</v>
          </cell>
          <cell r="P13">
            <v>13075.643242034368</v>
          </cell>
          <cell r="Q13">
            <v>12959.425726877136</v>
          </cell>
          <cell r="R13">
            <v>13017.869549930658</v>
          </cell>
          <cell r="S13">
            <v>135564.9663336949</v>
          </cell>
          <cell r="U13"/>
          <cell r="V13">
            <v>18632.909771880295</v>
          </cell>
          <cell r="W13">
            <v>28988.04679938608</v>
          </cell>
          <cell r="X13">
            <v>39851.407964092759</v>
          </cell>
          <cell r="Y13">
            <v>50660.443846685463</v>
          </cell>
          <cell r="Z13">
            <v>61301.002944865024</v>
          </cell>
          <cell r="AA13">
            <v>73305.662613302033</v>
          </cell>
          <cell r="AB13">
            <v>85190.963967058196</v>
          </cell>
        </row>
        <row r="14">
          <cell r="G14">
            <v>15859.755340702824</v>
          </cell>
          <cell r="H14">
            <v>14773.154431177472</v>
          </cell>
          <cell r="I14">
            <v>16355.137027505783</v>
          </cell>
          <cell r="J14">
            <v>16863.361164706679</v>
          </cell>
          <cell r="K14">
            <v>16809.035882592707</v>
          </cell>
          <cell r="L14">
            <v>16640.559098179561</v>
          </cell>
          <cell r="M14">
            <v>17004.659668437012</v>
          </cell>
          <cell r="N14">
            <v>16885.30135375616</v>
          </cell>
          <cell r="O14">
            <v>16321.063847794539</v>
          </cell>
          <cell r="P14">
            <v>18075.64324203437</v>
          </cell>
          <cell r="Q14">
            <v>17959.425726877136</v>
          </cell>
          <cell r="R14">
            <v>16423.869549930656</v>
          </cell>
          <cell r="S14">
            <v>199970.9663336949</v>
          </cell>
          <cell r="U14"/>
          <cell r="V14">
            <v>30632.909771880295</v>
          </cell>
          <cell r="W14">
            <v>46988.04679938608</v>
          </cell>
          <cell r="X14">
            <v>63851.407964092759</v>
          </cell>
          <cell r="Y14">
            <v>80660.443846685463</v>
          </cell>
          <cell r="Z14">
            <v>97301.002944865031</v>
          </cell>
          <cell r="AA14">
            <v>114305.66261330205</v>
          </cell>
          <cell r="AB14">
            <v>131190.9639670582</v>
          </cell>
        </row>
        <row r="15">
          <cell r="G15">
            <v>15000</v>
          </cell>
          <cell r="H15">
            <v>15000</v>
          </cell>
          <cell r="I15">
            <v>16000</v>
          </cell>
          <cell r="J15">
            <v>15000</v>
          </cell>
          <cell r="K15">
            <v>15000</v>
          </cell>
          <cell r="L15">
            <v>15000</v>
          </cell>
          <cell r="M15">
            <v>15000</v>
          </cell>
          <cell r="N15">
            <v>15000</v>
          </cell>
          <cell r="O15">
            <v>15000</v>
          </cell>
          <cell r="P15">
            <v>14000</v>
          </cell>
          <cell r="Q15">
            <v>14000</v>
          </cell>
          <cell r="R15">
            <v>14000</v>
          </cell>
          <cell r="S15">
            <v>178000</v>
          </cell>
          <cell r="U15"/>
          <cell r="V15">
            <v>30000</v>
          </cell>
          <cell r="W15">
            <v>46000</v>
          </cell>
          <cell r="X15">
            <v>61000</v>
          </cell>
          <cell r="Y15">
            <v>76000</v>
          </cell>
          <cell r="Z15">
            <v>91000</v>
          </cell>
          <cell r="AA15">
            <v>106000</v>
          </cell>
          <cell r="AB15">
            <v>121000</v>
          </cell>
        </row>
        <row r="16">
          <cell r="G16">
            <v>6812.6046248949951</v>
          </cell>
          <cell r="H16">
            <v>6081.2689551615358</v>
          </cell>
          <cell r="I16">
            <v>7221.2811300997464</v>
          </cell>
          <cell r="J16">
            <v>7595.3882788795063</v>
          </cell>
          <cell r="K16">
            <v>7628.3458120118939</v>
          </cell>
          <cell r="L16">
            <v>7701.3606398820802</v>
          </cell>
          <cell r="M16">
            <v>8394.9661932246891</v>
          </cell>
          <cell r="N16">
            <v>8423.0762686841754</v>
          </cell>
          <cell r="O16">
            <v>8048.1039847219763</v>
          </cell>
          <cell r="P16">
            <v>9123.4138621428792</v>
          </cell>
          <cell r="Q16">
            <v>9164.2386912729435</v>
          </cell>
          <cell r="R16">
            <v>9136.4268319514886</v>
          </cell>
          <cell r="S16">
            <v>95330.475272927899</v>
          </cell>
          <cell r="U16"/>
          <cell r="V16">
            <v>12893.87358005653</v>
          </cell>
          <cell r="W16">
            <v>20115.154710156276</v>
          </cell>
          <cell r="X16">
            <v>27710.542989035781</v>
          </cell>
          <cell r="Y16">
            <v>35338.888801047673</v>
          </cell>
          <cell r="Z16">
            <v>43040.249440929751</v>
          </cell>
          <cell r="AA16">
            <v>51435.21563415444</v>
          </cell>
          <cell r="AB16">
            <v>59858.291902838617</v>
          </cell>
        </row>
        <row r="17">
          <cell r="G17">
            <v>1997.9400000000005</v>
          </cell>
          <cell r="H17">
            <v>1801.96</v>
          </cell>
          <cell r="I17">
            <v>2193.9096774193549</v>
          </cell>
          <cell r="J17">
            <v>2375.2258064516132</v>
          </cell>
          <cell r="K17">
            <v>2372.7096774193556</v>
          </cell>
          <cell r="L17">
            <v>2303.2258064516132</v>
          </cell>
          <cell r="M17">
            <v>2399.883870967742</v>
          </cell>
          <cell r="N17">
            <v>2400.3870967741937</v>
          </cell>
          <cell r="O17">
            <v>1747.1419354838713</v>
          </cell>
          <cell r="P17">
            <v>2366.6709677419362</v>
          </cell>
          <cell r="Q17">
            <v>2366.6709677419362</v>
          </cell>
          <cell r="R17">
            <v>2372.7096774193556</v>
          </cell>
          <cell r="S17">
            <v>26698.435483870973</v>
          </cell>
          <cell r="U17"/>
          <cell r="V17">
            <v>3799.9000000000005</v>
          </cell>
          <cell r="W17">
            <v>5993.8096774193555</v>
          </cell>
          <cell r="X17">
            <v>8369.0354838709682</v>
          </cell>
          <cell r="Y17">
            <v>10741.745161290324</v>
          </cell>
          <cell r="Z17">
            <v>13044.970967741938</v>
          </cell>
          <cell r="AA17">
            <v>15444.85483870968</v>
          </cell>
          <cell r="AB17">
            <v>17845.241935483875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/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/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G22">
            <v>8810.5446248949956</v>
          </cell>
          <cell r="H22">
            <v>7883.2289551615359</v>
          </cell>
          <cell r="I22">
            <v>9415.1908075191022</v>
          </cell>
          <cell r="J22">
            <v>9970.614085331119</v>
          </cell>
          <cell r="K22">
            <v>10001.05548943125</v>
          </cell>
          <cell r="L22">
            <v>10004.586446333693</v>
          </cell>
          <cell r="M22">
            <v>10794.850064192431</v>
          </cell>
          <cell r="N22">
            <v>10823.463365458369</v>
          </cell>
          <cell r="O22">
            <v>9795.2459202058471</v>
          </cell>
          <cell r="P22">
            <v>11490.084829884816</v>
          </cell>
          <cell r="Q22">
            <v>11530.90965901488</v>
          </cell>
          <cell r="R22">
            <v>11509.136509370845</v>
          </cell>
          <cell r="S22">
            <v>122028.91075679887</v>
          </cell>
          <cell r="U22"/>
          <cell r="V22">
            <v>16693.773580056532</v>
          </cell>
          <cell r="W22">
            <v>26108.964387575634</v>
          </cell>
          <cell r="X22">
            <v>36079.578472906753</v>
          </cell>
          <cell r="Y22">
            <v>46080.633962338004</v>
          </cell>
          <cell r="Z22">
            <v>56085.220408671696</v>
          </cell>
          <cell r="AA22">
            <v>66880.070472864129</v>
          </cell>
          <cell r="AB22">
            <v>77703.533838322503</v>
          </cell>
        </row>
        <row r="23">
          <cell r="G23">
            <v>23810.544624894996</v>
          </cell>
          <cell r="H23">
            <v>22883.228955161536</v>
          </cell>
          <cell r="I23">
            <v>25415.190807519102</v>
          </cell>
          <cell r="J23">
            <v>24970.614085331119</v>
          </cell>
          <cell r="K23">
            <v>25001.055489431252</v>
          </cell>
          <cell r="L23">
            <v>25004.586446333691</v>
          </cell>
          <cell r="M23">
            <v>25794.850064192433</v>
          </cell>
          <cell r="N23">
            <v>25823.463365458367</v>
          </cell>
          <cell r="O23">
            <v>24795.245920205845</v>
          </cell>
          <cell r="P23">
            <v>25490.084829884814</v>
          </cell>
          <cell r="Q23">
            <v>25530.90965901488</v>
          </cell>
          <cell r="R23">
            <v>25509.136509370845</v>
          </cell>
          <cell r="S23">
            <v>300028.91075679887</v>
          </cell>
          <cell r="U23"/>
          <cell r="V23">
            <v>46693.773580056528</v>
          </cell>
          <cell r="W23">
            <v>72108.96438757563</v>
          </cell>
          <cell r="X23">
            <v>97079.578472906753</v>
          </cell>
          <cell r="Y23">
            <v>122080.633962338</v>
          </cell>
          <cell r="Z23">
            <v>147085.22040867171</v>
          </cell>
          <cell r="AA23">
            <v>172880.07047286414</v>
          </cell>
          <cell r="AB23">
            <v>198703.5338383225</v>
          </cell>
        </row>
        <row r="24">
          <cell r="G24">
            <v>21000</v>
          </cell>
          <cell r="H24">
            <v>21000</v>
          </cell>
          <cell r="I24">
            <v>22000</v>
          </cell>
          <cell r="J24">
            <v>21000</v>
          </cell>
          <cell r="K24">
            <v>21000</v>
          </cell>
          <cell r="L24">
            <v>21000</v>
          </cell>
          <cell r="M24">
            <v>20000</v>
          </cell>
          <cell r="N24">
            <v>20000</v>
          </cell>
          <cell r="O24">
            <v>20000</v>
          </cell>
          <cell r="P24">
            <v>19000</v>
          </cell>
          <cell r="Q24">
            <v>19000</v>
          </cell>
          <cell r="R24">
            <v>17406</v>
          </cell>
          <cell r="S24">
            <v>242406</v>
          </cell>
          <cell r="U24"/>
          <cell r="V24">
            <v>42000</v>
          </cell>
          <cell r="W24">
            <v>64000</v>
          </cell>
          <cell r="X24">
            <v>85000</v>
          </cell>
          <cell r="Y24">
            <v>106000</v>
          </cell>
          <cell r="Z24">
            <v>127000</v>
          </cell>
          <cell r="AA24">
            <v>147000</v>
          </cell>
          <cell r="AB24">
            <v>167000</v>
          </cell>
        </row>
        <row r="25">
          <cell r="G25">
            <v>16672.359965597818</v>
          </cell>
          <cell r="H25">
            <v>14854.423386339007</v>
          </cell>
          <cell r="I25">
            <v>17576.418157605531</v>
          </cell>
          <cell r="J25">
            <v>18458.749443586184</v>
          </cell>
          <cell r="K25">
            <v>18437.381694604599</v>
          </cell>
          <cell r="L25">
            <v>18341.919738061639</v>
          </cell>
          <cell r="M25">
            <v>20399.625861661701</v>
          </cell>
          <cell r="N25">
            <v>20308.377622440334</v>
          </cell>
          <cell r="O25">
            <v>19369.167832516516</v>
          </cell>
          <cell r="P25">
            <v>22199.057104177249</v>
          </cell>
          <cell r="Q25">
            <v>22123.664418150081</v>
          </cell>
          <cell r="R25">
            <v>22154.296381882144</v>
          </cell>
          <cell r="S25">
            <v>230895.44160662283</v>
          </cell>
          <cell r="U25"/>
          <cell r="V25">
            <v>31526.783351936825</v>
          </cell>
          <cell r="W25">
            <v>49103.201509542356</v>
          </cell>
          <cell r="X25">
            <v>67561.950953128544</v>
          </cell>
          <cell r="Y25">
            <v>85999.332647733143</v>
          </cell>
          <cell r="Z25">
            <v>104341.25238579478</v>
          </cell>
          <cell r="AA25">
            <v>124740.87824745648</v>
          </cell>
          <cell r="AB25">
            <v>145049.25586989682</v>
          </cell>
        </row>
        <row r="26">
          <cell r="G26">
            <v>1997.9400000000005</v>
          </cell>
          <cell r="H26">
            <v>1801.96</v>
          </cell>
          <cell r="I26">
            <v>2193.9096774193549</v>
          </cell>
          <cell r="J26">
            <v>2375.2258064516132</v>
          </cell>
          <cell r="K26">
            <v>2372.7096774193556</v>
          </cell>
          <cell r="L26">
            <v>2303.2258064516132</v>
          </cell>
          <cell r="M26">
            <v>2399.883870967742</v>
          </cell>
          <cell r="N26">
            <v>2400.3870967741937</v>
          </cell>
          <cell r="O26">
            <v>1747.1419354838713</v>
          </cell>
          <cell r="P26">
            <v>2366.6709677419362</v>
          </cell>
          <cell r="Q26">
            <v>2366.6709677419362</v>
          </cell>
          <cell r="R26">
            <v>2372.7096774193556</v>
          </cell>
          <cell r="S26">
            <v>26698.435483870973</v>
          </cell>
          <cell r="U26"/>
          <cell r="V26">
            <v>3799.9000000000005</v>
          </cell>
          <cell r="W26">
            <v>5993.8096774193555</v>
          </cell>
          <cell r="X26">
            <v>8369.0354838709682</v>
          </cell>
          <cell r="Y26">
            <v>10741.745161290324</v>
          </cell>
          <cell r="Z26">
            <v>13044.970967741938</v>
          </cell>
          <cell r="AA26">
            <v>15444.85483870968</v>
          </cell>
          <cell r="AB26">
            <v>17845.241935483875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/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/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G31">
            <v>18670.29996559782</v>
          </cell>
          <cell r="H31">
            <v>16656.383386339006</v>
          </cell>
          <cell r="I31">
            <v>19770.327835024887</v>
          </cell>
          <cell r="J31">
            <v>20833.975250037798</v>
          </cell>
          <cell r="K31">
            <v>20810.091372023955</v>
          </cell>
          <cell r="L31">
            <v>20645.145544513252</v>
          </cell>
          <cell r="M31">
            <v>22799.509732629442</v>
          </cell>
          <cell r="N31">
            <v>22708.764719214527</v>
          </cell>
          <cell r="O31">
            <v>21116.309768000388</v>
          </cell>
          <cell r="P31">
            <v>24565.728071919184</v>
          </cell>
          <cell r="Q31">
            <v>24490.335385892016</v>
          </cell>
          <cell r="R31">
            <v>24527.0060593015</v>
          </cell>
          <cell r="S31">
            <v>257593.8770904938</v>
          </cell>
          <cell r="U31"/>
          <cell r="V31">
            <v>35326.683351936823</v>
          </cell>
          <cell r="W31">
            <v>55097.01118696171</v>
          </cell>
          <cell r="X31">
            <v>75930.986436999505</v>
          </cell>
          <cell r="Y31">
            <v>96741.077809023467</v>
          </cell>
          <cell r="Z31">
            <v>117386.22335353671</v>
          </cell>
          <cell r="AA31">
            <v>140185.73308616615</v>
          </cell>
          <cell r="AB31">
            <v>162894.49780538067</v>
          </cell>
        </row>
        <row r="32">
          <cell r="G32">
            <v>39670.29996559782</v>
          </cell>
          <cell r="H32">
            <v>37656.383386339003</v>
          </cell>
          <cell r="I32">
            <v>41770.327835024887</v>
          </cell>
          <cell r="J32">
            <v>41833.975250037794</v>
          </cell>
          <cell r="K32">
            <v>41810.091372023955</v>
          </cell>
          <cell r="L32">
            <v>41645.145544513252</v>
          </cell>
          <cell r="M32">
            <v>42799.509732629442</v>
          </cell>
          <cell r="N32">
            <v>42708.764719214523</v>
          </cell>
          <cell r="O32">
            <v>41116.309768000385</v>
          </cell>
          <cell r="P32">
            <v>43565.728071919184</v>
          </cell>
          <cell r="Q32">
            <v>43490.335385892016</v>
          </cell>
          <cell r="R32">
            <v>41933.0060593015</v>
          </cell>
          <cell r="S32">
            <v>499999.8770904938</v>
          </cell>
          <cell r="U32"/>
          <cell r="V32">
            <v>77326.683351936823</v>
          </cell>
          <cell r="W32">
            <v>119097.01118696171</v>
          </cell>
          <cell r="X32">
            <v>160930.98643699952</v>
          </cell>
          <cell r="Y32">
            <v>202741.07780902347</v>
          </cell>
          <cell r="Z32">
            <v>244386.22335353671</v>
          </cell>
          <cell r="AA32">
            <v>287185.73308616615</v>
          </cell>
          <cell r="AB32">
            <v>329894.49780538067</v>
          </cell>
        </row>
        <row r="33">
          <cell r="G33">
            <v>12000</v>
          </cell>
          <cell r="H33">
            <v>12000</v>
          </cell>
          <cell r="I33">
            <v>12000</v>
          </cell>
          <cell r="J33">
            <v>12000</v>
          </cell>
          <cell r="K33">
            <v>12000</v>
          </cell>
          <cell r="L33">
            <v>12000</v>
          </cell>
          <cell r="M33">
            <v>12000</v>
          </cell>
          <cell r="N33">
            <v>12000</v>
          </cell>
          <cell r="O33">
            <v>12000</v>
          </cell>
          <cell r="P33">
            <v>12000</v>
          </cell>
          <cell r="Q33">
            <v>12000</v>
          </cell>
          <cell r="R33">
            <v>12000</v>
          </cell>
          <cell r="S33">
            <v>12000</v>
          </cell>
          <cell r="V33">
            <v>12000</v>
          </cell>
          <cell r="W33">
            <v>12000</v>
          </cell>
          <cell r="X33">
            <v>12000</v>
          </cell>
          <cell r="Y33">
            <v>12000</v>
          </cell>
          <cell r="Z33">
            <v>12000</v>
          </cell>
          <cell r="AA33">
            <v>12000</v>
          </cell>
          <cell r="AB33">
            <v>12000</v>
          </cell>
        </row>
        <row r="34">
          <cell r="G34">
            <v>16000</v>
          </cell>
          <cell r="H34">
            <v>16000</v>
          </cell>
          <cell r="I34">
            <v>16000</v>
          </cell>
          <cell r="J34">
            <v>16000</v>
          </cell>
          <cell r="K34">
            <v>16000</v>
          </cell>
          <cell r="L34">
            <v>16000</v>
          </cell>
          <cell r="M34">
            <v>16000</v>
          </cell>
          <cell r="N34">
            <v>16000</v>
          </cell>
          <cell r="O34">
            <v>16000</v>
          </cell>
          <cell r="P34">
            <v>16000</v>
          </cell>
          <cell r="Q34">
            <v>16000</v>
          </cell>
          <cell r="R34">
            <v>16000</v>
          </cell>
          <cell r="S34">
            <v>16000</v>
          </cell>
          <cell r="V34">
            <v>16000</v>
          </cell>
          <cell r="W34">
            <v>16000</v>
          </cell>
          <cell r="X34">
            <v>16000</v>
          </cell>
          <cell r="Y34">
            <v>16000</v>
          </cell>
          <cell r="Z34">
            <v>16000</v>
          </cell>
          <cell r="AA34">
            <v>16000</v>
          </cell>
          <cell r="AB34">
            <v>16000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V35" t="e">
            <v>#DIV/0!</v>
          </cell>
          <cell r="W35" t="e">
            <v>#DIV/0!</v>
          </cell>
          <cell r="X35" t="e">
            <v>#DIV/0!</v>
          </cell>
          <cell r="Y35" t="e">
            <v>#DIV/0!</v>
          </cell>
          <cell r="Z35" t="e">
            <v>#DIV/0!</v>
          </cell>
          <cell r="AA35" t="e">
            <v>#DIV/0!</v>
          </cell>
          <cell r="AB35" t="e">
            <v>#DIV/0!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V36"/>
          <cell r="W36"/>
          <cell r="X36"/>
          <cell r="Y36"/>
          <cell r="Z36"/>
          <cell r="AA36"/>
          <cell r="AB36"/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V37"/>
          <cell r="W37"/>
          <cell r="X37"/>
          <cell r="Y37"/>
          <cell r="Z37"/>
          <cell r="AA37"/>
          <cell r="AB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/>
          <cell r="W38"/>
          <cell r="X38"/>
          <cell r="Y38"/>
          <cell r="Z38"/>
          <cell r="AA38"/>
          <cell r="AB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/>
          <cell r="W39"/>
          <cell r="X39"/>
          <cell r="Y39"/>
          <cell r="Z39"/>
          <cell r="AA39"/>
          <cell r="AB39"/>
        </row>
        <row r="40">
          <cell r="G40">
            <v>16000</v>
          </cell>
          <cell r="H40">
            <v>16000</v>
          </cell>
          <cell r="I40">
            <v>16000</v>
          </cell>
          <cell r="J40">
            <v>16000</v>
          </cell>
          <cell r="K40">
            <v>16000</v>
          </cell>
          <cell r="L40">
            <v>16000</v>
          </cell>
          <cell r="M40">
            <v>16000</v>
          </cell>
          <cell r="N40">
            <v>16000</v>
          </cell>
          <cell r="O40">
            <v>16000</v>
          </cell>
          <cell r="P40">
            <v>16000</v>
          </cell>
          <cell r="Q40">
            <v>16000</v>
          </cell>
          <cell r="R40">
            <v>16000</v>
          </cell>
          <cell r="S40">
            <v>16000</v>
          </cell>
          <cell r="V40">
            <v>16000</v>
          </cell>
          <cell r="W40">
            <v>16000</v>
          </cell>
          <cell r="X40">
            <v>16000</v>
          </cell>
          <cell r="Y40">
            <v>16000</v>
          </cell>
          <cell r="Z40">
            <v>16000</v>
          </cell>
          <cell r="AA40">
            <v>16000</v>
          </cell>
          <cell r="AB40">
            <v>16000</v>
          </cell>
        </row>
        <row r="41">
          <cell r="G41">
            <v>14486.735798603029</v>
          </cell>
          <cell r="H41">
            <v>14375.431590334556</v>
          </cell>
          <cell r="I41">
            <v>14532.57114510033</v>
          </cell>
          <cell r="J41">
            <v>14576.796181639662</v>
          </cell>
          <cell r="K41">
            <v>14572.196515752923</v>
          </cell>
          <cell r="L41">
            <v>14557.74076709805</v>
          </cell>
          <cell r="M41">
            <v>14823.85179180488</v>
          </cell>
          <cell r="N41">
            <v>14815.53787042415</v>
          </cell>
          <cell r="O41">
            <v>14774.58968444005</v>
          </cell>
          <cell r="P41">
            <v>14893.53868450498</v>
          </cell>
          <cell r="Q41">
            <v>14886.378645723118</v>
          </cell>
          <cell r="R41">
            <v>15170.475632518799</v>
          </cell>
          <cell r="S41">
            <v>14711.692978619214</v>
          </cell>
          <cell r="V41">
            <v>14433.057768346187</v>
          </cell>
          <cell r="W41">
            <v>14467.69540544212</v>
          </cell>
          <cell r="X41">
            <v>14496.509269553049</v>
          </cell>
          <cell r="Y41">
            <v>14512.281928077549</v>
          </cell>
          <cell r="Z41">
            <v>14520.056364870186</v>
          </cell>
          <cell r="AA41">
            <v>14565.250432475817</v>
          </cell>
          <cell r="AB41">
            <v>14597.464379892795</v>
          </cell>
        </row>
        <row r="42">
          <cell r="G42">
            <v>19000</v>
          </cell>
          <cell r="H42">
            <v>19000</v>
          </cell>
          <cell r="I42">
            <v>19000</v>
          </cell>
          <cell r="J42">
            <v>19000</v>
          </cell>
          <cell r="K42">
            <v>19000</v>
          </cell>
          <cell r="L42">
            <v>19000</v>
          </cell>
          <cell r="M42">
            <v>19000</v>
          </cell>
          <cell r="N42">
            <v>19000</v>
          </cell>
          <cell r="O42">
            <v>19000</v>
          </cell>
          <cell r="P42">
            <v>19000</v>
          </cell>
          <cell r="Q42">
            <v>19000</v>
          </cell>
          <cell r="R42">
            <v>19000</v>
          </cell>
          <cell r="S42">
            <v>19000</v>
          </cell>
          <cell r="V42">
            <v>19000</v>
          </cell>
          <cell r="W42">
            <v>19000</v>
          </cell>
          <cell r="X42">
            <v>19000</v>
          </cell>
          <cell r="Y42">
            <v>19000</v>
          </cell>
          <cell r="Z42">
            <v>19000</v>
          </cell>
          <cell r="AA42">
            <v>19000</v>
          </cell>
          <cell r="AB42">
            <v>19000</v>
          </cell>
        </row>
        <row r="43">
          <cell r="G43">
            <v>23000</v>
          </cell>
          <cell r="H43">
            <v>23000</v>
          </cell>
          <cell r="I43">
            <v>23000</v>
          </cell>
          <cell r="J43">
            <v>23000</v>
          </cell>
          <cell r="K43">
            <v>23000</v>
          </cell>
          <cell r="L43">
            <v>23000</v>
          </cell>
          <cell r="M43">
            <v>23000</v>
          </cell>
          <cell r="N43">
            <v>23000</v>
          </cell>
          <cell r="O43">
            <v>23000</v>
          </cell>
          <cell r="P43">
            <v>23000</v>
          </cell>
          <cell r="Q43">
            <v>23000</v>
          </cell>
          <cell r="R43">
            <v>23000</v>
          </cell>
          <cell r="S43">
            <v>23000.000000000004</v>
          </cell>
          <cell r="T43">
            <v>3500</v>
          </cell>
          <cell r="U43">
            <v>26500</v>
          </cell>
          <cell r="V43">
            <v>23000.000000000004</v>
          </cell>
          <cell r="W43">
            <v>23000</v>
          </cell>
          <cell r="X43">
            <v>23000.000000000004</v>
          </cell>
          <cell r="Y43">
            <v>23000.000000000004</v>
          </cell>
          <cell r="Z43">
            <v>23000.000000000007</v>
          </cell>
          <cell r="AA43">
            <v>23000.000000000004</v>
          </cell>
          <cell r="AB43">
            <v>23000.000000000004</v>
          </cell>
        </row>
        <row r="44">
          <cell r="G44">
            <v>19000</v>
          </cell>
          <cell r="H44">
            <v>19000</v>
          </cell>
          <cell r="I44">
            <v>19000</v>
          </cell>
          <cell r="J44">
            <v>19000</v>
          </cell>
          <cell r="K44">
            <v>19000</v>
          </cell>
          <cell r="L44">
            <v>19000</v>
          </cell>
          <cell r="M44">
            <v>19000</v>
          </cell>
          <cell r="N44">
            <v>19000</v>
          </cell>
          <cell r="O44">
            <v>19000</v>
          </cell>
          <cell r="P44">
            <v>19000</v>
          </cell>
          <cell r="Q44">
            <v>19000</v>
          </cell>
          <cell r="R44">
            <v>19000</v>
          </cell>
          <cell r="S44">
            <v>19000</v>
          </cell>
          <cell r="U44">
            <v>19000</v>
          </cell>
          <cell r="V44">
            <v>19000</v>
          </cell>
          <cell r="W44">
            <v>19000</v>
          </cell>
          <cell r="X44">
            <v>19000</v>
          </cell>
          <cell r="Y44">
            <v>19000</v>
          </cell>
          <cell r="Z44">
            <v>19000</v>
          </cell>
          <cell r="AA44">
            <v>18999.999999999996</v>
          </cell>
          <cell r="AB44">
            <v>18999.999999999996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3500</v>
          </cell>
          <cell r="U45">
            <v>3500</v>
          </cell>
          <cell r="V45" t="e">
            <v>#DIV/0!</v>
          </cell>
          <cell r="W45" t="e">
            <v>#DIV/0!</v>
          </cell>
          <cell r="X45" t="e">
            <v>#DIV/0!</v>
          </cell>
          <cell r="Y45" t="e">
            <v>#DIV/0!</v>
          </cell>
          <cell r="Z45" t="e">
            <v>#DIV/0!</v>
          </cell>
          <cell r="AA45" t="e">
            <v>#DIV/0!</v>
          </cell>
          <cell r="AB45" t="e">
            <v>#DIV/0!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8000</v>
          </cell>
          <cell r="U46">
            <v>8000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5000</v>
          </cell>
          <cell r="U47">
            <v>5000</v>
          </cell>
          <cell r="V47" t="e">
            <v>#DIV/0!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7000</v>
          </cell>
          <cell r="U48">
            <v>7000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</row>
        <row r="49">
          <cell r="G49">
            <v>22092.932350922034</v>
          </cell>
          <cell r="H49">
            <v>22085.674151924679</v>
          </cell>
          <cell r="I49">
            <v>22067.927683136375</v>
          </cell>
          <cell r="J49">
            <v>22047.109521590624</v>
          </cell>
          <cell r="K49">
            <v>22051.016293259545</v>
          </cell>
          <cell r="L49">
            <v>22079.132028572491</v>
          </cell>
          <cell r="M49">
            <v>22110.73007713988</v>
          </cell>
          <cell r="N49">
            <v>22112.895007550094</v>
          </cell>
          <cell r="O49">
            <v>22286.534733393546</v>
          </cell>
          <cell r="P49">
            <v>22176.099740678535</v>
          </cell>
          <cell r="Q49">
            <v>22179.016734072953</v>
          </cell>
          <cell r="R49">
            <v>22175.3648328048</v>
          </cell>
          <cell r="S49">
            <v>22124.848847103774</v>
          </cell>
          <cell r="V49">
            <v>22089.504842802082</v>
          </cell>
          <cell r="W49">
            <v>22081.72387254523</v>
          </cell>
          <cell r="X49">
            <v>22072.15817500135</v>
          </cell>
          <cell r="Y49">
            <v>22067.569671886926</v>
          </cell>
          <cell r="Z49">
            <v>22069.632186683899</v>
          </cell>
          <cell r="AA49">
            <v>22076.265636114946</v>
          </cell>
          <cell r="AB49">
            <v>22081.367806379851</v>
          </cell>
        </row>
        <row r="50">
          <cell r="G50">
            <v>20144.468508758444</v>
          </cell>
          <cell r="H50">
            <v>20063.008890410958</v>
          </cell>
          <cell r="I50">
            <v>20136.529909972316</v>
          </cell>
          <cell r="J50">
            <v>20216.692269228795</v>
          </cell>
          <cell r="K50">
            <v>20220.483801611757</v>
          </cell>
          <cell r="L50">
            <v>20231.991683831478</v>
          </cell>
          <cell r="M50">
            <v>20301.804999421696</v>
          </cell>
          <cell r="N50">
            <v>20304.716745307054</v>
          </cell>
          <cell r="O50">
            <v>20298.330173553721</v>
          </cell>
          <cell r="P50">
            <v>20431.68042366756</v>
          </cell>
          <cell r="Q50">
            <v>20435.787257668209</v>
          </cell>
          <cell r="R50">
            <v>20432.651682050502</v>
          </cell>
          <cell r="S50">
            <v>20270.950523167445</v>
          </cell>
          <cell r="V50">
            <v>20104.547573817308</v>
          </cell>
          <cell r="W50">
            <v>20115.819919534006</v>
          </cell>
          <cell r="X50">
            <v>20141.766102611138</v>
          </cell>
          <cell r="Y50">
            <v>20157.886804944006</v>
          </cell>
          <cell r="Z50">
            <v>20170.484684221665</v>
          </cell>
          <cell r="AA50">
            <v>20190.078543893876</v>
          </cell>
          <cell r="AB50">
            <v>20204.976896919063</v>
          </cell>
        </row>
        <row r="51">
          <cell r="G51">
            <v>17000</v>
          </cell>
          <cell r="H51">
            <v>17000</v>
          </cell>
          <cell r="I51">
            <v>17090.909090909088</v>
          </cell>
          <cell r="J51">
            <v>17000</v>
          </cell>
          <cell r="K51">
            <v>17000</v>
          </cell>
          <cell r="L51">
            <v>17000</v>
          </cell>
          <cell r="M51">
            <v>17250</v>
          </cell>
          <cell r="N51">
            <v>17250</v>
          </cell>
          <cell r="O51">
            <v>17250</v>
          </cell>
          <cell r="P51">
            <v>17157.894736842107</v>
          </cell>
          <cell r="Q51">
            <v>17157.894736842107</v>
          </cell>
          <cell r="R51">
            <v>17630.242445133863</v>
          </cell>
          <cell r="S51">
            <v>17140.136795293845</v>
          </cell>
          <cell r="V51">
            <v>17000</v>
          </cell>
          <cell r="W51">
            <v>17031.25</v>
          </cell>
          <cell r="X51">
            <v>17023.529411764706</v>
          </cell>
          <cell r="Y51">
            <v>17018.867924528302</v>
          </cell>
          <cell r="Z51">
            <v>17015.748031496063</v>
          </cell>
          <cell r="AA51">
            <v>17047.619047619046</v>
          </cell>
          <cell r="AB51">
            <v>17071.856287425147</v>
          </cell>
        </row>
        <row r="52">
          <cell r="G52">
            <v>18860.316864119184</v>
          </cell>
          <cell r="H52">
            <v>18865.737806105593</v>
          </cell>
          <cell r="I52">
            <v>18875.953875097417</v>
          </cell>
          <cell r="J52">
            <v>18880.353195900312</v>
          </cell>
          <cell r="K52">
            <v>18896.204112306761</v>
          </cell>
          <cell r="L52">
            <v>18939.142971349174</v>
          </cell>
          <cell r="M52">
            <v>18880.678486511519</v>
          </cell>
          <cell r="N52">
            <v>18903.310888588068</v>
          </cell>
          <cell r="O52">
            <v>18908.577610571221</v>
          </cell>
          <cell r="P52">
            <v>18876.874307557089</v>
          </cell>
          <cell r="Q52">
            <v>18899.595185790411</v>
          </cell>
          <cell r="R52">
            <v>18886.79842145486</v>
          </cell>
          <cell r="S52">
            <v>18890.110442489375</v>
          </cell>
          <cell r="V52">
            <v>18862.871040564016</v>
          </cell>
          <cell r="W52">
            <v>18867.554021782689</v>
          </cell>
          <cell r="X52">
            <v>18871.050912337043</v>
          </cell>
          <cell r="Y52">
            <v>18876.44350242355</v>
          </cell>
          <cell r="Z52">
            <v>18887.465304446789</v>
          </cell>
          <cell r="AA52">
            <v>18886.355415302063</v>
          </cell>
          <cell r="AB52">
            <v>18888.729354776584</v>
          </cell>
        </row>
        <row r="53">
          <cell r="G53">
            <v>19000</v>
          </cell>
          <cell r="H53">
            <v>19000</v>
          </cell>
          <cell r="I53">
            <v>19000</v>
          </cell>
          <cell r="J53">
            <v>19000</v>
          </cell>
          <cell r="K53">
            <v>18999.999999999996</v>
          </cell>
          <cell r="L53">
            <v>19000</v>
          </cell>
          <cell r="M53">
            <v>19000</v>
          </cell>
          <cell r="N53">
            <v>19000</v>
          </cell>
          <cell r="O53">
            <v>19000.000000000004</v>
          </cell>
          <cell r="P53">
            <v>19000</v>
          </cell>
          <cell r="Q53">
            <v>19000</v>
          </cell>
          <cell r="R53">
            <v>18999.999999999996</v>
          </cell>
          <cell r="S53">
            <v>19000</v>
          </cell>
          <cell r="V53">
            <v>19000</v>
          </cell>
          <cell r="W53">
            <v>19000</v>
          </cell>
          <cell r="X53">
            <v>19000</v>
          </cell>
          <cell r="Y53">
            <v>19000</v>
          </cell>
          <cell r="Z53">
            <v>19000</v>
          </cell>
          <cell r="AA53">
            <v>18999.999999999996</v>
          </cell>
          <cell r="AB53">
            <v>18999.999999999996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V54" t="e">
            <v>#DIV/0!</v>
          </cell>
          <cell r="W54" t="e">
            <v>#DIV/0!</v>
          </cell>
          <cell r="X54" t="e">
            <v>#DIV/0!</v>
          </cell>
          <cell r="Y54" t="e">
            <v>#DIV/0!</v>
          </cell>
          <cell r="Z54" t="e">
            <v>#DIV/0!</v>
          </cell>
          <cell r="AA54" t="e">
            <v>#DIV/0!</v>
          </cell>
          <cell r="AB54" t="e">
            <v>#DIV/0!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V56" t="e">
            <v>#DIV/0!</v>
          </cell>
          <cell r="W56" t="e">
            <v>#DIV/0!</v>
          </cell>
          <cell r="X56" t="e">
            <v>#DIV/0!</v>
          </cell>
          <cell r="Y56" t="e">
            <v>#DIV/0!</v>
          </cell>
          <cell r="Z56" t="e">
            <v>#DIV/0!</v>
          </cell>
          <cell r="AA56" t="e">
            <v>#DIV/0!</v>
          </cell>
          <cell r="AB56" t="e">
            <v>#DIV/0!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V57" t="e">
            <v>#DIV/0!</v>
          </cell>
          <cell r="W57" t="e">
            <v>#DIV/0!</v>
          </cell>
          <cell r="X57" t="e">
            <v>#DIV/0!</v>
          </cell>
          <cell r="Y57" t="e">
            <v>#DIV/0!</v>
          </cell>
          <cell r="Z57" t="e">
            <v>#DIV/0!</v>
          </cell>
          <cell r="AA57" t="e">
            <v>#DIV/0!</v>
          </cell>
          <cell r="AB57" t="e">
            <v>#DIV/0!</v>
          </cell>
        </row>
        <row r="58">
          <cell r="G58">
            <v>18875.264589919832</v>
          </cell>
          <cell r="H58">
            <v>18880.262874201013</v>
          </cell>
          <cell r="I58">
            <v>18889.719250974897</v>
          </cell>
          <cell r="J58">
            <v>18893.993808090079</v>
          </cell>
          <cell r="K58">
            <v>18908.038635414006</v>
          </cell>
          <cell r="L58">
            <v>18945.932338786199</v>
          </cell>
          <cell r="M58">
            <v>18893.238308149728</v>
          </cell>
          <cell r="N58">
            <v>18913.531228544976</v>
          </cell>
          <cell r="O58">
            <v>18916.14180583867</v>
          </cell>
          <cell r="P58">
            <v>18888.736280499012</v>
          </cell>
          <cell r="Q58">
            <v>18909.297999372469</v>
          </cell>
          <cell r="R58">
            <v>18897.749390369037</v>
          </cell>
          <cell r="S58">
            <v>18901.499996055969</v>
          </cell>
          <cell r="V58">
            <v>18877.621260044561</v>
          </cell>
          <cell r="W58">
            <v>18881.962352994709</v>
          </cell>
          <cell r="X58">
            <v>18885.263548586143</v>
          </cell>
          <cell r="Y58">
            <v>18890.162725322924</v>
          </cell>
          <cell r="Z58">
            <v>18899.971131744205</v>
          </cell>
          <cell r="AA58">
            <v>18898.876119622142</v>
          </cell>
          <cell r="AB58">
            <v>18900.919156219123</v>
          </cell>
        </row>
        <row r="59">
          <cell r="G59">
            <v>17882.568380854929</v>
          </cell>
          <cell r="H59">
            <v>17831.688454477375</v>
          </cell>
          <cell r="I59">
            <v>17942.30452926748</v>
          </cell>
          <cell r="J59">
            <v>17943.238596992716</v>
          </cell>
          <cell r="K59">
            <v>17949.685997837496</v>
          </cell>
          <cell r="L59">
            <v>17964.675614137912</v>
          </cell>
          <cell r="M59">
            <v>18125.361143941485</v>
          </cell>
          <cell r="N59">
            <v>18134.519594993064</v>
          </cell>
          <cell r="O59">
            <v>18105.6888176012</v>
          </cell>
          <cell r="P59">
            <v>18133.877110575526</v>
          </cell>
          <cell r="Q59">
            <v>18144.147266622047</v>
          </cell>
          <cell r="R59">
            <v>18371.619070554541</v>
          </cell>
          <cell r="S59">
            <v>18047.569770055798</v>
          </cell>
          <cell r="V59">
            <v>17857.790982791423</v>
          </cell>
          <cell r="W59">
            <v>17887.432016664756</v>
          </cell>
          <cell r="X59">
            <v>17901.938925196897</v>
          </cell>
          <cell r="Y59">
            <v>17911.785521118276</v>
          </cell>
          <cell r="Z59">
            <v>17920.798368043281</v>
          </cell>
          <cell r="AA59">
            <v>17951.28451519239</v>
          </cell>
          <cell r="AB59">
            <v>17975.00647467815</v>
          </cell>
        </row>
        <row r="60">
          <cell r="G60">
            <v>72000</v>
          </cell>
          <cell r="H60">
            <v>72000</v>
          </cell>
          <cell r="I60">
            <v>72000</v>
          </cell>
          <cell r="J60">
            <v>72000</v>
          </cell>
          <cell r="K60">
            <v>72000</v>
          </cell>
          <cell r="L60">
            <v>72000</v>
          </cell>
          <cell r="M60">
            <v>60000</v>
          </cell>
          <cell r="N60">
            <v>60000</v>
          </cell>
          <cell r="O60">
            <v>60000</v>
          </cell>
          <cell r="P60">
            <v>60000</v>
          </cell>
          <cell r="Q60">
            <v>60000</v>
          </cell>
          <cell r="R60">
            <v>40872</v>
          </cell>
          <cell r="S60">
            <v>772872</v>
          </cell>
          <cell r="V60">
            <v>144000</v>
          </cell>
          <cell r="W60">
            <v>216000</v>
          </cell>
          <cell r="X60">
            <v>288000</v>
          </cell>
          <cell r="Y60">
            <v>360000</v>
          </cell>
          <cell r="Z60">
            <v>432000</v>
          </cell>
          <cell r="AA60">
            <v>492000</v>
          </cell>
          <cell r="AB60">
            <v>552000</v>
          </cell>
        </row>
        <row r="61">
          <cell r="G61">
            <v>157756.08545124519</v>
          </cell>
          <cell r="H61">
            <v>140370.47089883956</v>
          </cell>
          <cell r="I61">
            <v>165682.19244009253</v>
          </cell>
          <cell r="J61">
            <v>173813.77863530687</v>
          </cell>
          <cell r="K61">
            <v>172944.57412148331</v>
          </cell>
          <cell r="L61">
            <v>170248.94557087295</v>
          </cell>
          <cell r="M61">
            <v>192074.5546949922</v>
          </cell>
          <cell r="N61">
            <v>190164.82166009856</v>
          </cell>
          <cell r="O61">
            <v>181137.02156471263</v>
          </cell>
          <cell r="P61">
            <v>209210.29187254989</v>
          </cell>
          <cell r="Q61">
            <v>207350.81163003418</v>
          </cell>
          <cell r="R61">
            <v>208285.91279889052</v>
          </cell>
          <cell r="S61">
            <v>2169039.4613391184</v>
          </cell>
          <cell r="V61">
            <v>298126.55635008472</v>
          </cell>
          <cell r="W61">
            <v>463808.74879017728</v>
          </cell>
          <cell r="X61">
            <v>637622.52742548415</v>
          </cell>
          <cell r="Y61">
            <v>810567.1015469674</v>
          </cell>
          <cell r="Z61">
            <v>980816.04711784038</v>
          </cell>
          <cell r="AA61">
            <v>1172890.6018128325</v>
          </cell>
          <cell r="AB61">
            <v>1363055.4234729311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G67">
            <v>157756.08545124519</v>
          </cell>
          <cell r="H67">
            <v>140370.47089883956</v>
          </cell>
          <cell r="I67">
            <v>165682.19244009253</v>
          </cell>
          <cell r="J67">
            <v>173813.77863530687</v>
          </cell>
          <cell r="K67">
            <v>172944.57412148331</v>
          </cell>
          <cell r="L67">
            <v>170248.94557087295</v>
          </cell>
          <cell r="M67">
            <v>192074.5546949922</v>
          </cell>
          <cell r="N67">
            <v>190164.82166009856</v>
          </cell>
          <cell r="O67">
            <v>181137.02156471263</v>
          </cell>
          <cell r="P67">
            <v>209210.29187254989</v>
          </cell>
          <cell r="Q67">
            <v>207350.81163003418</v>
          </cell>
          <cell r="R67">
            <v>208285.91279889052</v>
          </cell>
          <cell r="S67">
            <v>2169039.4613391184</v>
          </cell>
          <cell r="V67">
            <v>298126.55635008472</v>
          </cell>
          <cell r="W67">
            <v>463808.74879017728</v>
          </cell>
          <cell r="X67">
            <v>637622.52742548415</v>
          </cell>
          <cell r="Y67">
            <v>810567.1015469674</v>
          </cell>
          <cell r="Z67">
            <v>980816.04711784038</v>
          </cell>
          <cell r="AA67">
            <v>1172890.6018128325</v>
          </cell>
          <cell r="AB67">
            <v>1363055.4234729311</v>
          </cell>
        </row>
        <row r="68">
          <cell r="G68">
            <v>229756.08545124519</v>
          </cell>
          <cell r="H68">
            <v>212370.47089883956</v>
          </cell>
          <cell r="I68">
            <v>237682.19244009253</v>
          </cell>
          <cell r="J68">
            <v>245813.77863530687</v>
          </cell>
          <cell r="K68">
            <v>244944.57412148331</v>
          </cell>
          <cell r="L68">
            <v>242248.94557087295</v>
          </cell>
          <cell r="M68">
            <v>252074.5546949922</v>
          </cell>
          <cell r="N68">
            <v>250164.82166009856</v>
          </cell>
          <cell r="O68">
            <v>241137.02156471263</v>
          </cell>
          <cell r="P68">
            <v>269210.29187254992</v>
          </cell>
          <cell r="Q68">
            <v>267350.81163003418</v>
          </cell>
          <cell r="R68">
            <v>249157.91279889052</v>
          </cell>
          <cell r="S68">
            <v>2941911.4613391184</v>
          </cell>
          <cell r="V68">
            <v>442126.55635008472</v>
          </cell>
          <cell r="W68">
            <v>679808.74879017728</v>
          </cell>
          <cell r="X68">
            <v>925622.52742548415</v>
          </cell>
          <cell r="Y68">
            <v>1170567.1015469674</v>
          </cell>
          <cell r="Z68">
            <v>1412816.0471178403</v>
          </cell>
          <cell r="AA68">
            <v>1664890.6018128325</v>
          </cell>
          <cell r="AB68">
            <v>1915055.4234729311</v>
          </cell>
        </row>
        <row r="69">
          <cell r="G69">
            <v>285000</v>
          </cell>
          <cell r="H69">
            <v>285000</v>
          </cell>
          <cell r="I69">
            <v>304000</v>
          </cell>
          <cell r="J69">
            <v>285000</v>
          </cell>
          <cell r="K69">
            <v>285000</v>
          </cell>
          <cell r="L69">
            <v>285000</v>
          </cell>
          <cell r="M69">
            <v>285000</v>
          </cell>
          <cell r="N69">
            <v>285000</v>
          </cell>
          <cell r="O69">
            <v>285000</v>
          </cell>
          <cell r="P69">
            <v>266000</v>
          </cell>
          <cell r="Q69">
            <v>266000</v>
          </cell>
          <cell r="R69">
            <v>266000</v>
          </cell>
          <cell r="S69">
            <v>3382000</v>
          </cell>
          <cell r="V69">
            <v>570000</v>
          </cell>
          <cell r="W69">
            <v>874000</v>
          </cell>
          <cell r="X69">
            <v>1159000</v>
          </cell>
          <cell r="Y69">
            <v>1444000</v>
          </cell>
          <cell r="Z69">
            <v>1729000</v>
          </cell>
          <cell r="AA69">
            <v>2014000</v>
          </cell>
          <cell r="AB69">
            <v>2299000</v>
          </cell>
        </row>
        <row r="70">
          <cell r="G70">
            <v>156689.90637258487</v>
          </cell>
          <cell r="H70">
            <v>139869.18596871532</v>
          </cell>
          <cell r="I70">
            <v>166089.46599229416</v>
          </cell>
          <cell r="J70">
            <v>174693.93041422864</v>
          </cell>
          <cell r="K70">
            <v>175451.95367627355</v>
          </cell>
          <cell r="L70">
            <v>177131.29471728785</v>
          </cell>
          <cell r="M70">
            <v>193084.22244416786</v>
          </cell>
          <cell r="N70">
            <v>193730.75417973605</v>
          </cell>
          <cell r="O70">
            <v>185106.39164860547</v>
          </cell>
          <cell r="P70">
            <v>209838.51882928621</v>
          </cell>
          <cell r="Q70">
            <v>210777.48989927769</v>
          </cell>
          <cell r="R70">
            <v>210137.81713488424</v>
          </cell>
          <cell r="S70">
            <v>2192600.9312773421</v>
          </cell>
          <cell r="V70">
            <v>296559.09234130022</v>
          </cell>
          <cell r="W70">
            <v>462648.55833359435</v>
          </cell>
          <cell r="X70">
            <v>637342.48874782305</v>
          </cell>
          <cell r="Y70">
            <v>812794.44242409663</v>
          </cell>
          <cell r="Z70">
            <v>989925.73714138451</v>
          </cell>
          <cell r="AA70">
            <v>1183009.9595855523</v>
          </cell>
          <cell r="AB70">
            <v>1376740.7137652885</v>
          </cell>
        </row>
        <row r="71">
          <cell r="G71">
            <v>37960.860000000008</v>
          </cell>
          <cell r="H71">
            <v>34237.24</v>
          </cell>
          <cell r="I71">
            <v>41684.283870967745</v>
          </cell>
          <cell r="J71">
            <v>45129.290322580651</v>
          </cell>
          <cell r="K71">
            <v>45081.48387096775</v>
          </cell>
          <cell r="L71">
            <v>43761.290322580651</v>
          </cell>
          <cell r="M71">
            <v>45597.793548387097</v>
          </cell>
          <cell r="N71">
            <v>45607.354838709682</v>
          </cell>
          <cell r="O71">
            <v>33195.696774193559</v>
          </cell>
          <cell r="P71">
            <v>44966.748387096784</v>
          </cell>
          <cell r="Q71">
            <v>44966.748387096784</v>
          </cell>
          <cell r="R71">
            <v>45081.48387096775</v>
          </cell>
          <cell r="S71">
            <v>507270.27419354848</v>
          </cell>
          <cell r="V71">
            <v>72198.100000000006</v>
          </cell>
          <cell r="W71">
            <v>113882.38387096775</v>
          </cell>
          <cell r="X71">
            <v>159011.67419354839</v>
          </cell>
          <cell r="Y71">
            <v>204093.15806451614</v>
          </cell>
          <cell r="Z71">
            <v>247854.44838709681</v>
          </cell>
          <cell r="AA71">
            <v>293452.24193548388</v>
          </cell>
          <cell r="AB71">
            <v>339059.59677419357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</row>
        <row r="76">
          <cell r="G76">
            <v>194650.76637258488</v>
          </cell>
          <cell r="H76">
            <v>174106.42596871531</v>
          </cell>
          <cell r="I76">
            <v>207773.74986326191</v>
          </cell>
          <cell r="J76">
            <v>219823.22073680931</v>
          </cell>
          <cell r="K76">
            <v>220533.43754724131</v>
          </cell>
          <cell r="L76">
            <v>220892.58503986849</v>
          </cell>
          <cell r="M76">
            <v>238682.01599255495</v>
          </cell>
          <cell r="N76">
            <v>239338.10901844571</v>
          </cell>
          <cell r="O76">
            <v>218302.08842279902</v>
          </cell>
          <cell r="P76">
            <v>254805.26721638301</v>
          </cell>
          <cell r="Q76">
            <v>255744.23828637449</v>
          </cell>
          <cell r="R76">
            <v>255219.301005852</v>
          </cell>
          <cell r="S76">
            <v>2699871.2054708907</v>
          </cell>
          <cell r="V76">
            <v>368757.19234130019</v>
          </cell>
          <cell r="W76">
            <v>576530.94220456213</v>
          </cell>
          <cell r="X76">
            <v>796354.16294137144</v>
          </cell>
          <cell r="Y76">
            <v>1016887.6004886128</v>
          </cell>
          <cell r="Z76">
            <v>1237780.1855284814</v>
          </cell>
          <cell r="AA76">
            <v>1476462.2015210362</v>
          </cell>
          <cell r="AB76">
            <v>1715800.3105394819</v>
          </cell>
        </row>
        <row r="77">
          <cell r="G77">
            <v>479650.76637258485</v>
          </cell>
          <cell r="H77">
            <v>459106.42596871534</v>
          </cell>
          <cell r="I77">
            <v>511773.74986326194</v>
          </cell>
          <cell r="J77">
            <v>504823.22073680931</v>
          </cell>
          <cell r="K77">
            <v>505533.43754724134</v>
          </cell>
          <cell r="L77">
            <v>505892.58503986849</v>
          </cell>
          <cell r="M77">
            <v>523682.01599255495</v>
          </cell>
          <cell r="N77">
            <v>524338.10901844571</v>
          </cell>
          <cell r="O77">
            <v>503302.08842279902</v>
          </cell>
          <cell r="P77">
            <v>520805.26721638301</v>
          </cell>
          <cell r="Q77">
            <v>521744.23828637449</v>
          </cell>
          <cell r="R77">
            <v>521219.301005852</v>
          </cell>
          <cell r="S77">
            <v>6081871.2054708907</v>
          </cell>
          <cell r="V77">
            <v>938757.19234130019</v>
          </cell>
          <cell r="W77">
            <v>1450530.942204562</v>
          </cell>
          <cell r="X77">
            <v>1955354.1629413713</v>
          </cell>
          <cell r="Y77">
            <v>2460887.6004886124</v>
          </cell>
          <cell r="Z77">
            <v>2966780.1855284809</v>
          </cell>
          <cell r="AA77">
            <v>3490462.2015210357</v>
          </cell>
          <cell r="AB77">
            <v>4014800.3105394812</v>
          </cell>
        </row>
        <row r="78">
          <cell r="G78">
            <v>357000</v>
          </cell>
          <cell r="H78">
            <v>357000</v>
          </cell>
          <cell r="I78">
            <v>376000</v>
          </cell>
          <cell r="J78">
            <v>357000</v>
          </cell>
          <cell r="K78">
            <v>357000</v>
          </cell>
          <cell r="L78">
            <v>357000</v>
          </cell>
          <cell r="M78">
            <v>345000</v>
          </cell>
          <cell r="N78">
            <v>345000</v>
          </cell>
          <cell r="O78">
            <v>345000</v>
          </cell>
          <cell r="P78">
            <v>326000</v>
          </cell>
          <cell r="Q78">
            <v>326000</v>
          </cell>
          <cell r="R78">
            <v>306872</v>
          </cell>
          <cell r="S78">
            <v>4154872</v>
          </cell>
          <cell r="V78">
            <v>714000</v>
          </cell>
          <cell r="W78">
            <v>1090000</v>
          </cell>
          <cell r="X78">
            <v>1447000</v>
          </cell>
          <cell r="Y78">
            <v>1804000</v>
          </cell>
          <cell r="Z78">
            <v>2161000</v>
          </cell>
          <cell r="AA78">
            <v>2506000</v>
          </cell>
          <cell r="AB78">
            <v>2851000</v>
          </cell>
        </row>
        <row r="79">
          <cell r="G79">
            <v>314445.99182383006</v>
          </cell>
          <cell r="H79">
            <v>280239.65686755488</v>
          </cell>
          <cell r="I79">
            <v>331771.6584323867</v>
          </cell>
          <cell r="J79">
            <v>348507.70904953551</v>
          </cell>
          <cell r="K79">
            <v>348396.52779775683</v>
          </cell>
          <cell r="L79">
            <v>347380.2402881608</v>
          </cell>
          <cell r="M79">
            <v>385158.77713916008</v>
          </cell>
          <cell r="N79">
            <v>383895.57583983464</v>
          </cell>
          <cell r="O79">
            <v>366243.4132133181</v>
          </cell>
          <cell r="P79">
            <v>419048.81070183613</v>
          </cell>
          <cell r="Q79">
            <v>418128.30152931187</v>
          </cell>
          <cell r="R79">
            <v>418423.7299337748</v>
          </cell>
          <cell r="S79">
            <v>4361640.392616461</v>
          </cell>
          <cell r="V79">
            <v>594685.64869138494</v>
          </cell>
          <cell r="W79">
            <v>926457.30712377164</v>
          </cell>
          <cell r="X79">
            <v>1274965.0161733071</v>
          </cell>
          <cell r="Y79">
            <v>1623361.543971064</v>
          </cell>
          <cell r="Z79">
            <v>1970741.7842592248</v>
          </cell>
          <cell r="AA79">
            <v>2355900.5613983851</v>
          </cell>
          <cell r="AB79">
            <v>2739796.1372382198</v>
          </cell>
        </row>
        <row r="80">
          <cell r="G80">
            <v>37960.860000000008</v>
          </cell>
          <cell r="H80">
            <v>34237.24</v>
          </cell>
          <cell r="I80">
            <v>41684.283870967745</v>
          </cell>
          <cell r="J80">
            <v>45129.290322580651</v>
          </cell>
          <cell r="K80">
            <v>45081.48387096775</v>
          </cell>
          <cell r="L80">
            <v>43761.290322580651</v>
          </cell>
          <cell r="M80">
            <v>45597.793548387097</v>
          </cell>
          <cell r="N80">
            <v>45607.354838709682</v>
          </cell>
          <cell r="O80">
            <v>33195.696774193559</v>
          </cell>
          <cell r="P80">
            <v>44966.748387096784</v>
          </cell>
          <cell r="Q80">
            <v>44966.748387096784</v>
          </cell>
          <cell r="R80">
            <v>45081.48387096775</v>
          </cell>
          <cell r="S80">
            <v>507270.27419354848</v>
          </cell>
          <cell r="V80">
            <v>72198.100000000006</v>
          </cell>
          <cell r="W80">
            <v>113882.38387096775</v>
          </cell>
          <cell r="X80">
            <v>159011.67419354839</v>
          </cell>
          <cell r="Y80">
            <v>204093.15806451614</v>
          </cell>
          <cell r="Z80">
            <v>247854.44838709681</v>
          </cell>
          <cell r="AA80">
            <v>293452.24193548388</v>
          </cell>
          <cell r="AB80">
            <v>339059.59677419357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G85">
            <v>352406.85182383005</v>
          </cell>
          <cell r="H85">
            <v>314476.89686755487</v>
          </cell>
          <cell r="I85">
            <v>373455.94230335444</v>
          </cell>
          <cell r="J85">
            <v>393636.99937211617</v>
          </cell>
          <cell r="K85">
            <v>393478.01166872459</v>
          </cell>
          <cell r="L85">
            <v>391141.53061074147</v>
          </cell>
          <cell r="M85">
            <v>430756.57068754721</v>
          </cell>
          <cell r="N85">
            <v>429502.93067854433</v>
          </cell>
          <cell r="O85">
            <v>399439.10998751165</v>
          </cell>
          <cell r="P85">
            <v>464015.55908893293</v>
          </cell>
          <cell r="Q85">
            <v>463095.04991640867</v>
          </cell>
          <cell r="R85">
            <v>463505.21380474255</v>
          </cell>
          <cell r="S85">
            <v>4868910.6668100096</v>
          </cell>
          <cell r="V85">
            <v>666883.74869138491</v>
          </cell>
          <cell r="W85">
            <v>1040339.6909947393</v>
          </cell>
          <cell r="X85">
            <v>1433976.6903668554</v>
          </cell>
          <cell r="Y85">
            <v>1827454.7020355798</v>
          </cell>
          <cell r="Z85">
            <v>2218596.2326463214</v>
          </cell>
          <cell r="AA85">
            <v>2649352.8033338687</v>
          </cell>
          <cell r="AB85">
            <v>3078855.7340124128</v>
          </cell>
        </row>
        <row r="86">
          <cell r="G86">
            <v>709406.85182383005</v>
          </cell>
          <cell r="H86">
            <v>671476.89686755487</v>
          </cell>
          <cell r="I86">
            <v>749455.94230335439</v>
          </cell>
          <cell r="J86">
            <v>750636.99937211617</v>
          </cell>
          <cell r="K86">
            <v>750478.01166872459</v>
          </cell>
          <cell r="L86">
            <v>748141.53061074147</v>
          </cell>
          <cell r="M86">
            <v>775756.57068754721</v>
          </cell>
          <cell r="N86">
            <v>774502.93067854433</v>
          </cell>
          <cell r="O86">
            <v>744439.10998751165</v>
          </cell>
          <cell r="P86">
            <v>790015.55908893293</v>
          </cell>
          <cell r="Q86">
            <v>789095.04991640872</v>
          </cell>
          <cell r="R86">
            <v>770377.21380474255</v>
          </cell>
          <cell r="S86">
            <v>9023782.6668100096</v>
          </cell>
          <cell r="V86">
            <v>1380883.7486913849</v>
          </cell>
          <cell r="W86">
            <v>2130339.6909947395</v>
          </cell>
          <cell r="X86">
            <v>2880976.6903668558</v>
          </cell>
          <cell r="Y86">
            <v>3631454.7020355803</v>
          </cell>
          <cell r="Z86">
            <v>4379596.2326463219</v>
          </cell>
          <cell r="AA86">
            <v>5155352.8033338692</v>
          </cell>
          <cell r="AB86">
            <v>5929855.7340124138</v>
          </cell>
        </row>
        <row r="87">
          <cell r="G87">
            <v>104775.03124906031</v>
          </cell>
          <cell r="H87">
            <v>95295.473954837333</v>
          </cell>
          <cell r="I87">
            <v>91563.084306560297</v>
          </cell>
          <cell r="J87">
            <v>87000.224548306564</v>
          </cell>
          <cell r="K87">
            <v>97182.426162880511</v>
          </cell>
          <cell r="L87">
            <v>90703.546439333411</v>
          </cell>
          <cell r="M87">
            <v>77332.772298527168</v>
          </cell>
          <cell r="N87">
            <v>72936.519837368818</v>
          </cell>
          <cell r="O87">
            <v>79856.211814888607</v>
          </cell>
          <cell r="P87">
            <v>71421.792317589046</v>
          </cell>
          <cell r="Q87">
            <v>74452.947069168877</v>
          </cell>
          <cell r="R87">
            <v>48992.802610919891</v>
          </cell>
          <cell r="S87">
            <v>991512.8326094409</v>
          </cell>
          <cell r="V87">
            <v>200070.50520389766</v>
          </cell>
          <cell r="W87">
            <v>291633.58951045794</v>
          </cell>
          <cell r="X87">
            <v>378633.81405876449</v>
          </cell>
          <cell r="Y87">
            <v>475816.24022164498</v>
          </cell>
          <cell r="Z87">
            <v>566519.78666097834</v>
          </cell>
          <cell r="AA87">
            <v>643852.55895950552</v>
          </cell>
          <cell r="AB87">
            <v>716789.07879687438</v>
          </cell>
        </row>
        <row r="88">
          <cell r="G88">
            <v>172176.02898837128</v>
          </cell>
          <cell r="H88">
            <v>139340.31826633977</v>
          </cell>
          <cell r="I88">
            <v>158024.71410924935</v>
          </cell>
          <cell r="J88">
            <v>157519.14344647239</v>
          </cell>
          <cell r="K88">
            <v>175074.72192533195</v>
          </cell>
          <cell r="L88">
            <v>160856.07438370021</v>
          </cell>
          <cell r="M88">
            <v>185670.72253211043</v>
          </cell>
          <cell r="N88">
            <v>173374.50359226853</v>
          </cell>
          <cell r="O88">
            <v>180811.45451987171</v>
          </cell>
          <cell r="P88">
            <v>186777.17521029309</v>
          </cell>
          <cell r="Q88">
            <v>192973.48753800176</v>
          </cell>
          <cell r="R88">
            <v>187252.47013342843</v>
          </cell>
          <cell r="S88">
            <v>2069850.8146454392</v>
          </cell>
          <cell r="V88">
            <v>311516.34725471109</v>
          </cell>
          <cell r="W88">
            <v>469541.06136396044</v>
          </cell>
          <cell r="X88">
            <v>627060.20481043286</v>
          </cell>
          <cell r="Y88">
            <v>802134.92673576484</v>
          </cell>
          <cell r="Z88">
            <v>962991.0011194651</v>
          </cell>
          <cell r="AA88">
            <v>1148661.7236515756</v>
          </cell>
          <cell r="AB88">
            <v>1322036.2272438442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G94">
            <v>172176.02898837128</v>
          </cell>
          <cell r="H94">
            <v>139340.31826633977</v>
          </cell>
          <cell r="I94">
            <v>158024.71410924935</v>
          </cell>
          <cell r="J94">
            <v>157519.14344647239</v>
          </cell>
          <cell r="K94">
            <v>175074.72192533195</v>
          </cell>
          <cell r="L94">
            <v>160856.07438370021</v>
          </cell>
          <cell r="M94">
            <v>185670.72253211043</v>
          </cell>
          <cell r="N94">
            <v>173374.50359226853</v>
          </cell>
          <cell r="O94">
            <v>180811.45451987171</v>
          </cell>
          <cell r="P94">
            <v>186777.17521029309</v>
          </cell>
          <cell r="Q94">
            <v>192973.48753800176</v>
          </cell>
          <cell r="R94">
            <v>187252.47013342843</v>
          </cell>
          <cell r="S94">
            <v>2069850.8146454392</v>
          </cell>
          <cell r="V94">
            <v>311516.34725471109</v>
          </cell>
          <cell r="W94">
            <v>469541.06136396044</v>
          </cell>
          <cell r="X94">
            <v>627060.20481043286</v>
          </cell>
          <cell r="Y94">
            <v>802134.92673576484</v>
          </cell>
          <cell r="Z94">
            <v>962991.0011194651</v>
          </cell>
          <cell r="AA94">
            <v>1148661.7236515756</v>
          </cell>
          <cell r="AB94">
            <v>1322036.2272438442</v>
          </cell>
        </row>
        <row r="95">
          <cell r="G95">
            <v>276951.06023743161</v>
          </cell>
          <cell r="H95">
            <v>234635.79222117711</v>
          </cell>
          <cell r="I95">
            <v>249587.79841580964</v>
          </cell>
          <cell r="J95">
            <v>244519.36799477896</v>
          </cell>
          <cell r="K95">
            <v>272257.14808821247</v>
          </cell>
          <cell r="L95">
            <v>251559.62082303362</v>
          </cell>
          <cell r="M95">
            <v>263003.49483063759</v>
          </cell>
          <cell r="N95">
            <v>246311.02342963737</v>
          </cell>
          <cell r="O95">
            <v>260667.66633476032</v>
          </cell>
          <cell r="P95">
            <v>258198.96752788214</v>
          </cell>
          <cell r="Q95">
            <v>267426.43460717064</v>
          </cell>
          <cell r="R95">
            <v>236245.27274434833</v>
          </cell>
          <cell r="S95">
            <v>3061363.6472548801</v>
          </cell>
          <cell r="V95">
            <v>511586.85245860869</v>
          </cell>
          <cell r="W95">
            <v>761174.65087441832</v>
          </cell>
          <cell r="X95">
            <v>1005694.0188691972</v>
          </cell>
          <cell r="Y95">
            <v>1277951.1669574096</v>
          </cell>
          <cell r="Z95">
            <v>1529510.7877804432</v>
          </cell>
          <cell r="AA95">
            <v>1792514.2826110809</v>
          </cell>
          <cell r="AB95">
            <v>2038825.3060407182</v>
          </cell>
        </row>
        <row r="96">
          <cell r="G96">
            <v>17462.505208176717</v>
          </cell>
          <cell r="H96">
            <v>15882.578992472891</v>
          </cell>
          <cell r="I96">
            <v>15260.514051093382</v>
          </cell>
          <cell r="J96">
            <v>14500.037424717761</v>
          </cell>
          <cell r="K96">
            <v>16197.071027146752</v>
          </cell>
          <cell r="L96">
            <v>15117.257739888903</v>
          </cell>
          <cell r="M96">
            <v>15466.554459705434</v>
          </cell>
          <cell r="N96">
            <v>14587.303967473765</v>
          </cell>
          <cell r="O96">
            <v>15971.242362977722</v>
          </cell>
          <cell r="P96">
            <v>14284.35846351781</v>
          </cell>
          <cell r="Q96">
            <v>14890.589413833775</v>
          </cell>
          <cell r="R96">
            <v>14384.263831743949</v>
          </cell>
          <cell r="S96">
            <v>15309.040624159064</v>
          </cell>
          <cell r="V96">
            <v>33345.08420064961</v>
          </cell>
          <cell r="W96">
            <v>48605.598251742995</v>
          </cell>
          <cell r="X96">
            <v>63105.635676460755</v>
          </cell>
          <cell r="Y96">
            <v>79302.706703607502</v>
          </cell>
          <cell r="Z96">
            <v>94419.964443496399</v>
          </cell>
          <cell r="AA96">
            <v>109886.51890320184</v>
          </cell>
          <cell r="AB96">
            <v>124473.82287067561</v>
          </cell>
        </row>
        <row r="97">
          <cell r="G97">
            <v>261937.5781226508</v>
          </cell>
          <cell r="H97">
            <v>238238.68488709343</v>
          </cell>
          <cell r="I97">
            <v>244168.22481749408</v>
          </cell>
          <cell r="J97">
            <v>217500.56137076643</v>
          </cell>
          <cell r="K97">
            <v>242956.0654072013</v>
          </cell>
          <cell r="L97">
            <v>226758.8660983335</v>
          </cell>
          <cell r="M97">
            <v>231998.31689558155</v>
          </cell>
          <cell r="N97">
            <v>218809.55951210644</v>
          </cell>
          <cell r="O97">
            <v>239568.63544466591</v>
          </cell>
          <cell r="P97">
            <v>199981.01848924937</v>
          </cell>
          <cell r="Q97">
            <v>208468.25179367285</v>
          </cell>
          <cell r="R97">
            <v>201379.69364441533</v>
          </cell>
          <cell r="S97">
            <v>2731765.4564832309</v>
          </cell>
          <cell r="V97">
            <v>500176.26300974423</v>
          </cell>
          <cell r="W97">
            <v>744344.48782723828</v>
          </cell>
          <cell r="X97">
            <v>961845.04919800465</v>
          </cell>
          <cell r="Y97">
            <v>1204801.1146052061</v>
          </cell>
          <cell r="Z97">
            <v>1431559.9807035397</v>
          </cell>
          <cell r="AA97">
            <v>1663558.2975991212</v>
          </cell>
          <cell r="AB97">
            <v>1882367.8571112277</v>
          </cell>
        </row>
        <row r="98">
          <cell r="G98">
            <v>118965.14374347767</v>
          </cell>
          <cell r="H98">
            <v>96586.234554826195</v>
          </cell>
          <cell r="I98">
            <v>110200.46215278267</v>
          </cell>
          <cell r="J98">
            <v>110133.41429901548</v>
          </cell>
          <cell r="K98">
            <v>123556.85893679412</v>
          </cell>
          <cell r="L98">
            <v>116423.45374093312</v>
          </cell>
          <cell r="M98">
            <v>129841.20181489567</v>
          </cell>
          <cell r="N98">
            <v>122869.97387251077</v>
          </cell>
          <cell r="O98">
            <v>128538.21930244147</v>
          </cell>
          <cell r="P98">
            <v>130322.11401787637</v>
          </cell>
          <cell r="Q98">
            <v>136460.91564211479</v>
          </cell>
          <cell r="R98">
            <v>131420.77403021476</v>
          </cell>
          <cell r="S98">
            <v>1455318.7661078828</v>
          </cell>
          <cell r="V98">
            <v>215551.37829830387</v>
          </cell>
          <cell r="W98">
            <v>325751.84045108652</v>
          </cell>
          <cell r="X98">
            <v>435885.254750102</v>
          </cell>
          <cell r="Y98">
            <v>559442.11368689616</v>
          </cell>
          <cell r="Z98">
            <v>675865.56742782926</v>
          </cell>
          <cell r="AA98">
            <v>805706.76924272487</v>
          </cell>
          <cell r="AB98">
            <v>928576.74311523559</v>
          </cell>
        </row>
        <row r="99">
          <cell r="G99">
            <v>34889.037655624605</v>
          </cell>
          <cell r="H99">
            <v>28619.772041276457</v>
          </cell>
          <cell r="I99">
            <v>33480.189459087815</v>
          </cell>
          <cell r="J99">
            <v>34440.863085703822</v>
          </cell>
          <cell r="K99">
            <v>38430.947171959757</v>
          </cell>
          <cell r="L99">
            <v>34818.458149292506</v>
          </cell>
          <cell r="M99">
            <v>37117.934587291275</v>
          </cell>
          <cell r="N99">
            <v>35015.17622024702</v>
          </cell>
          <cell r="O99">
            <v>27904.027294134903</v>
          </cell>
          <cell r="P99">
            <v>33806.376468426424</v>
          </cell>
          <cell r="Q99">
            <v>35241.125658285811</v>
          </cell>
          <cell r="R99">
            <v>34129.681996132087</v>
          </cell>
          <cell r="S99">
            <v>407893.58978746249</v>
          </cell>
          <cell r="V99">
            <v>63508.809696901066</v>
          </cell>
          <cell r="W99">
            <v>96988.999155988888</v>
          </cell>
          <cell r="X99">
            <v>131429.86224169272</v>
          </cell>
          <cell r="Y99">
            <v>169860.80941365249</v>
          </cell>
          <cell r="Z99">
            <v>204679.267562945</v>
          </cell>
          <cell r="AA99">
            <v>241797.20215023626</v>
          </cell>
          <cell r="AB99">
            <v>276812.37837048329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G104">
            <v>153854.18139910226</v>
          </cell>
          <cell r="H104">
            <v>125206.00659610266</v>
          </cell>
          <cell r="I104">
            <v>143680.65161187047</v>
          </cell>
          <cell r="J104">
            <v>144574.27738471929</v>
          </cell>
          <cell r="K104">
            <v>161987.80610875387</v>
          </cell>
          <cell r="L104">
            <v>151241.91189022563</v>
          </cell>
          <cell r="M104">
            <v>166959.13640218694</v>
          </cell>
          <cell r="N104">
            <v>157885.1500927578</v>
          </cell>
          <cell r="O104">
            <v>156442.24659657638</v>
          </cell>
          <cell r="P104">
            <v>164128.49048630279</v>
          </cell>
          <cell r="Q104">
            <v>171702.0413004006</v>
          </cell>
          <cell r="R104">
            <v>165550.45602634683</v>
          </cell>
          <cell r="S104">
            <v>1863212.3558953453</v>
          </cell>
          <cell r="V104">
            <v>279060.18799520493</v>
          </cell>
          <cell r="W104">
            <v>422740.83960707544</v>
          </cell>
          <cell r="X104">
            <v>567315.11699179467</v>
          </cell>
          <cell r="Y104">
            <v>729302.92310054856</v>
          </cell>
          <cell r="Z104">
            <v>880544.83499077416</v>
          </cell>
          <cell r="AA104">
            <v>1047503.9713929611</v>
          </cell>
          <cell r="AB104">
            <v>1205389.121485719</v>
          </cell>
        </row>
        <row r="105">
          <cell r="G105">
            <v>415791.75952175306</v>
          </cell>
          <cell r="H105">
            <v>363444.6914831961</v>
          </cell>
          <cell r="I105">
            <v>387848.87642936455</v>
          </cell>
          <cell r="J105">
            <v>362074.83875548572</v>
          </cell>
          <cell r="K105">
            <v>404943.87151595519</v>
          </cell>
          <cell r="L105">
            <v>378000.7779885591</v>
          </cell>
          <cell r="M105">
            <v>398957.45329776849</v>
          </cell>
          <cell r="N105">
            <v>376694.70960486424</v>
          </cell>
          <cell r="O105">
            <v>396010.88204124232</v>
          </cell>
          <cell r="P105">
            <v>364109.50897555216</v>
          </cell>
          <cell r="Q105">
            <v>380170.29309407342</v>
          </cell>
          <cell r="R105">
            <v>366930.14967076213</v>
          </cell>
          <cell r="S105">
            <v>4594977.812378576</v>
          </cell>
          <cell r="V105">
            <v>779236.45100494917</v>
          </cell>
          <cell r="W105">
            <v>1167085.3274343137</v>
          </cell>
          <cell r="X105">
            <v>1529160.1661897996</v>
          </cell>
          <cell r="Y105">
            <v>1934104.0377057549</v>
          </cell>
          <cell r="Z105">
            <v>2312104.815694314</v>
          </cell>
          <cell r="AA105">
            <v>2711062.2689920822</v>
          </cell>
          <cell r="AB105">
            <v>3087756.9785969462</v>
          </cell>
        </row>
        <row r="106">
          <cell r="G106">
            <v>17462.505208176721</v>
          </cell>
          <cell r="H106">
            <v>15882.578992472894</v>
          </cell>
          <cell r="I106">
            <v>15260.51405109338</v>
          </cell>
          <cell r="J106">
            <v>14500.037424717762</v>
          </cell>
          <cell r="K106">
            <v>16197.071027146752</v>
          </cell>
          <cell r="L106">
            <v>15117.257739888901</v>
          </cell>
          <cell r="M106">
            <v>15466.554459705436</v>
          </cell>
          <cell r="N106">
            <v>14587.303967473763</v>
          </cell>
          <cell r="O106">
            <v>15971.242362977728</v>
          </cell>
          <cell r="P106">
            <v>14284.358463517812</v>
          </cell>
          <cell r="Q106">
            <v>14890.589413833775</v>
          </cell>
          <cell r="R106">
            <v>14384.263831743951</v>
          </cell>
          <cell r="S106">
            <v>15315.116802537839</v>
          </cell>
          <cell r="V106">
            <v>33345.084200649617</v>
          </cell>
          <cell r="W106">
            <v>48605.598251742995</v>
          </cell>
          <cell r="X106">
            <v>63105.635676460755</v>
          </cell>
          <cell r="Y106">
            <v>79302.706703607502</v>
          </cell>
          <cell r="Z106">
            <v>94419.964443496399</v>
          </cell>
          <cell r="AA106">
            <v>109886.51890320184</v>
          </cell>
          <cell r="AB106">
            <v>124473.82287067561</v>
          </cell>
        </row>
        <row r="107">
          <cell r="G107">
            <v>366712.60937171109</v>
          </cell>
          <cell r="H107">
            <v>333534.1588419308</v>
          </cell>
          <cell r="I107">
            <v>335731.30912405439</v>
          </cell>
          <cell r="J107">
            <v>304500.78591907298</v>
          </cell>
          <cell r="K107">
            <v>340138.49157008179</v>
          </cell>
          <cell r="L107">
            <v>317462.41253766691</v>
          </cell>
          <cell r="M107">
            <v>309331.08919410873</v>
          </cell>
          <cell r="N107">
            <v>291746.07934947527</v>
          </cell>
          <cell r="O107">
            <v>319424.84725955455</v>
          </cell>
          <cell r="P107">
            <v>271402.81080683845</v>
          </cell>
          <cell r="Q107">
            <v>282921.1988628417</v>
          </cell>
          <cell r="R107">
            <v>250372.49625533522</v>
          </cell>
          <cell r="S107">
            <v>3723278.2890926721</v>
          </cell>
          <cell r="V107">
            <v>700246.76821364183</v>
          </cell>
          <cell r="W107">
            <v>1035978.0773376962</v>
          </cell>
          <cell r="X107">
            <v>1340478.8632567693</v>
          </cell>
          <cell r="Y107">
            <v>1680617.354826851</v>
          </cell>
          <cell r="Z107">
            <v>1998079.767364518</v>
          </cell>
          <cell r="AA107">
            <v>2307410.8565586265</v>
          </cell>
          <cell r="AB107">
            <v>2599156.935908102</v>
          </cell>
        </row>
        <row r="108">
          <cell r="G108">
            <v>291141.17273184896</v>
          </cell>
          <cell r="H108">
            <v>235926.55282116597</v>
          </cell>
          <cell r="I108">
            <v>268225.17626203201</v>
          </cell>
          <cell r="J108">
            <v>267652.55774548789</v>
          </cell>
          <cell r="K108">
            <v>298631.58086212608</v>
          </cell>
          <cell r="L108">
            <v>277279.52812463336</v>
          </cell>
          <cell r="M108">
            <v>315511.92434700613</v>
          </cell>
          <cell r="N108">
            <v>296244.47746477928</v>
          </cell>
          <cell r="O108">
            <v>309349.6738223132</v>
          </cell>
          <cell r="P108">
            <v>317099.28922816948</v>
          </cell>
          <cell r="Q108">
            <v>329434.40318011655</v>
          </cell>
          <cell r="R108">
            <v>318673.24416364322</v>
          </cell>
          <cell r="S108">
            <v>3525169.5807533222</v>
          </cell>
          <cell r="V108">
            <v>527067.7255530149</v>
          </cell>
          <cell r="W108">
            <v>795292.90181504691</v>
          </cell>
          <cell r="X108">
            <v>1062945.4595605349</v>
          </cell>
          <cell r="Y108">
            <v>1361577.040422661</v>
          </cell>
          <cell r="Z108">
            <v>1638856.5685472945</v>
          </cell>
          <cell r="AA108">
            <v>1954368.4928943007</v>
          </cell>
          <cell r="AB108">
            <v>2250612.97035908</v>
          </cell>
        </row>
        <row r="109">
          <cell r="G109">
            <v>34889.037655624605</v>
          </cell>
          <cell r="H109">
            <v>28619.772041276457</v>
          </cell>
          <cell r="I109">
            <v>33480.189459087815</v>
          </cell>
          <cell r="J109">
            <v>34440.863085703822</v>
          </cell>
          <cell r="K109">
            <v>38430.947171959757</v>
          </cell>
          <cell r="L109">
            <v>34818.458149292506</v>
          </cell>
          <cell r="M109">
            <v>37117.934587291275</v>
          </cell>
          <cell r="N109">
            <v>35015.17622024702</v>
          </cell>
          <cell r="O109">
            <v>27904.027294134903</v>
          </cell>
          <cell r="P109">
            <v>33806.376468426424</v>
          </cell>
          <cell r="Q109">
            <v>35241.125658285811</v>
          </cell>
          <cell r="R109">
            <v>34129.681996132087</v>
          </cell>
          <cell r="S109">
            <v>407893.58978746249</v>
          </cell>
          <cell r="V109">
            <v>63508.809696901066</v>
          </cell>
          <cell r="W109">
            <v>96988.999155988888</v>
          </cell>
          <cell r="X109">
            <v>131429.86224169272</v>
          </cell>
          <cell r="Y109">
            <v>169860.80941365249</v>
          </cell>
          <cell r="Z109">
            <v>204679.267562945</v>
          </cell>
          <cell r="AA109">
            <v>241797.20215023626</v>
          </cell>
          <cell r="AB109">
            <v>276812.37837048329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G114">
            <v>326030.21038747358</v>
          </cell>
          <cell r="H114">
            <v>264546.32486244245</v>
          </cell>
          <cell r="I114">
            <v>301705.3657211198</v>
          </cell>
          <cell r="J114">
            <v>302093.4208311917</v>
          </cell>
          <cell r="K114">
            <v>337062.52803408582</v>
          </cell>
          <cell r="L114">
            <v>312097.98627392587</v>
          </cell>
          <cell r="M114">
            <v>352629.8589342974</v>
          </cell>
          <cell r="N114">
            <v>331259.65368502628</v>
          </cell>
          <cell r="O114">
            <v>337253.70111644809</v>
          </cell>
          <cell r="P114">
            <v>350905.66569659591</v>
          </cell>
          <cell r="Q114">
            <v>364675.52883840236</v>
          </cell>
          <cell r="R114">
            <v>352802.92615977529</v>
          </cell>
          <cell r="S114">
            <v>3933063.1705407845</v>
          </cell>
          <cell r="V114">
            <v>590576.53524991602</v>
          </cell>
          <cell r="W114">
            <v>892281.90097103582</v>
          </cell>
          <cell r="X114">
            <v>1194375.3218022275</v>
          </cell>
          <cell r="Y114">
            <v>1531437.8498363134</v>
          </cell>
          <cell r="Z114">
            <v>1843535.8361102394</v>
          </cell>
          <cell r="AA114">
            <v>2196165.6950445366</v>
          </cell>
          <cell r="AB114">
            <v>2527425.3487295629</v>
          </cell>
        </row>
        <row r="115">
          <cell r="G115">
            <v>692742.81975918473</v>
          </cell>
          <cell r="H115">
            <v>598080.48370437324</v>
          </cell>
          <cell r="I115">
            <v>637436.67484517419</v>
          </cell>
          <cell r="J115">
            <v>606594.20675026462</v>
          </cell>
          <cell r="K115">
            <v>677201.01960416767</v>
          </cell>
          <cell r="L115">
            <v>629560.39881159272</v>
          </cell>
          <cell r="M115">
            <v>661960.94812840619</v>
          </cell>
          <cell r="N115">
            <v>623005.73303450155</v>
          </cell>
          <cell r="O115">
            <v>656678.54837600258</v>
          </cell>
          <cell r="P115">
            <v>622308.47650343436</v>
          </cell>
          <cell r="Q115">
            <v>647596.72770124406</v>
          </cell>
          <cell r="R115">
            <v>603175.42241511052</v>
          </cell>
          <cell r="S115">
            <v>7656341.4596334565</v>
          </cell>
          <cell r="V115">
            <v>1290823.303463558</v>
          </cell>
          <cell r="W115">
            <v>1928259.9783087322</v>
          </cell>
          <cell r="X115">
            <v>2534854.185058997</v>
          </cell>
          <cell r="Y115">
            <v>3212055.2046631649</v>
          </cell>
          <cell r="Z115">
            <v>3841615.6034747576</v>
          </cell>
          <cell r="AA115">
            <v>4503576.5516031636</v>
          </cell>
          <cell r="AB115">
            <v>5126582.2846376654</v>
          </cell>
        </row>
        <row r="116">
          <cell r="G116">
            <v>17462.505208176721</v>
          </cell>
          <cell r="H116">
            <v>15882.578992472898</v>
          </cell>
          <cell r="I116">
            <v>15260.51405109338</v>
          </cell>
          <cell r="J116">
            <v>14500.037424717762</v>
          </cell>
          <cell r="K116">
            <v>16197.071027146756</v>
          </cell>
          <cell r="L116">
            <v>15117.257739888901</v>
          </cell>
          <cell r="M116">
            <v>15466.554459705438</v>
          </cell>
          <cell r="N116">
            <v>14587.303967473763</v>
          </cell>
          <cell r="O116">
            <v>15971.242362977724</v>
          </cell>
          <cell r="P116">
            <v>14284.358463517814</v>
          </cell>
          <cell r="Q116">
            <v>14890.589413833775</v>
          </cell>
          <cell r="R116">
            <v>14384.263831743951</v>
          </cell>
          <cell r="S116">
            <v>15312.68668341643</v>
          </cell>
          <cell r="V116">
            <v>33345.084200649617</v>
          </cell>
          <cell r="W116">
            <v>48605.598251742995</v>
          </cell>
          <cell r="X116">
            <v>63105.635676460755</v>
          </cell>
          <cell r="Y116">
            <v>79302.706703607517</v>
          </cell>
          <cell r="Z116">
            <v>94419.964443496414</v>
          </cell>
          <cell r="AA116">
            <v>109886.51890320185</v>
          </cell>
          <cell r="AB116">
            <v>124473.82287067562</v>
          </cell>
        </row>
        <row r="117">
          <cell r="G117">
            <v>-32775.03124906031</v>
          </cell>
          <cell r="H117">
            <v>-23295.473954837333</v>
          </cell>
          <cell r="I117">
            <v>-19563.084306560297</v>
          </cell>
          <cell r="J117">
            <v>-15000.224548306564</v>
          </cell>
          <cell r="K117">
            <v>-25182.426162880511</v>
          </cell>
          <cell r="L117">
            <v>-18703.546439333411</v>
          </cell>
          <cell r="M117">
            <v>-17332.772298527168</v>
          </cell>
          <cell r="N117">
            <v>-12936.519837368818</v>
          </cell>
          <cell r="O117">
            <v>-19856.211814888607</v>
          </cell>
          <cell r="P117">
            <v>-11421.792317589046</v>
          </cell>
          <cell r="Q117">
            <v>-14452.947069168877</v>
          </cell>
          <cell r="R117">
            <v>-8120.8026109198909</v>
          </cell>
          <cell r="S117">
            <v>-218640.83260944081</v>
          </cell>
          <cell r="V117">
            <v>-56070.505203897643</v>
          </cell>
          <cell r="W117">
            <v>-75633.589510457939</v>
          </cell>
          <cell r="X117">
            <v>-90633.814058764503</v>
          </cell>
          <cell r="Y117">
            <v>-115816.24022164501</v>
          </cell>
          <cell r="Z117">
            <v>-134519.78666097843</v>
          </cell>
          <cell r="AA117">
            <v>-151852.55895950558</v>
          </cell>
          <cell r="AB117">
            <v>-164789.07879687438</v>
          </cell>
        </row>
        <row r="118">
          <cell r="G118">
            <v>-14419.943537126092</v>
          </cell>
          <cell r="H118">
            <v>1030.1526324997831</v>
          </cell>
          <cell r="I118">
            <v>7657.4783308431797</v>
          </cell>
          <cell r="J118">
            <v>16294.63518883448</v>
          </cell>
          <cell r="K118">
            <v>-2130.1478038486384</v>
          </cell>
          <cell r="L118">
            <v>9392.8711871727428</v>
          </cell>
          <cell r="M118">
            <v>6403.8321628817648</v>
          </cell>
          <cell r="N118">
            <v>16790.318067830027</v>
          </cell>
          <cell r="O118">
            <v>325.56704484092188</v>
          </cell>
          <cell r="P118">
            <v>22433.116662256798</v>
          </cell>
          <cell r="Q118">
            <v>14377.324092032417</v>
          </cell>
          <cell r="R118">
            <v>21033.442665462091</v>
          </cell>
          <cell r="S118">
            <v>99188.646693679475</v>
          </cell>
          <cell r="V118">
            <v>-13389.790904626308</v>
          </cell>
          <cell r="W118">
            <v>-5732.3125737831288</v>
          </cell>
          <cell r="X118">
            <v>10562.322615051351</v>
          </cell>
          <cell r="Y118">
            <v>8432.1748112027126</v>
          </cell>
          <cell r="Z118">
            <v>17825.045998375455</v>
          </cell>
          <cell r="AA118">
            <v>24228.87816125722</v>
          </cell>
          <cell r="AB118">
            <v>41019.196229087247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G124">
            <v>-14419.943537126092</v>
          </cell>
          <cell r="H124">
            <v>1030.1526324997831</v>
          </cell>
          <cell r="I124">
            <v>7657.4783308431797</v>
          </cell>
          <cell r="J124">
            <v>16294.63518883448</v>
          </cell>
          <cell r="K124">
            <v>-2130.1478038486384</v>
          </cell>
          <cell r="L124">
            <v>9392.8711871727428</v>
          </cell>
          <cell r="M124">
            <v>6403.8321628817648</v>
          </cell>
          <cell r="N124">
            <v>16790.318067830027</v>
          </cell>
          <cell r="O124">
            <v>325.56704484092188</v>
          </cell>
          <cell r="P124">
            <v>22433.116662256798</v>
          </cell>
          <cell r="Q124">
            <v>14377.324092032417</v>
          </cell>
          <cell r="R124">
            <v>21033.442665462091</v>
          </cell>
          <cell r="S124">
            <v>99188.646693679475</v>
          </cell>
          <cell r="V124">
            <v>-13389.790904626308</v>
          </cell>
          <cell r="W124">
            <v>-5732.3125737831288</v>
          </cell>
          <cell r="X124">
            <v>10562.322615051351</v>
          </cell>
          <cell r="Y124">
            <v>8432.1748112027126</v>
          </cell>
          <cell r="Z124">
            <v>17825.045998375455</v>
          </cell>
          <cell r="AA124">
            <v>24228.87816125722</v>
          </cell>
          <cell r="AB124">
            <v>41019.196229087247</v>
          </cell>
        </row>
        <row r="125">
          <cell r="G125">
            <v>-47194.974786186402</v>
          </cell>
          <cell r="H125">
            <v>-22265.32132233755</v>
          </cell>
          <cell r="I125">
            <v>-11905.605975717117</v>
          </cell>
          <cell r="J125">
            <v>1294.4106405279163</v>
          </cell>
          <cell r="K125">
            <v>-27312.573966729149</v>
          </cell>
          <cell r="L125">
            <v>-9310.6752521606686</v>
          </cell>
          <cell r="M125">
            <v>-10928.940135645404</v>
          </cell>
          <cell r="N125">
            <v>3853.7982304612087</v>
          </cell>
          <cell r="O125">
            <v>-19530.644770047686</v>
          </cell>
          <cell r="P125">
            <v>11011.324344667752</v>
          </cell>
          <cell r="Q125">
            <v>-75.622977136459667</v>
          </cell>
          <cell r="R125">
            <v>12912.6400545422</v>
          </cell>
          <cell r="S125">
            <v>-119452.18591576134</v>
          </cell>
          <cell r="V125">
            <v>-69460.296108523951</v>
          </cell>
          <cell r="W125">
            <v>-81365.902084241068</v>
          </cell>
          <cell r="X125">
            <v>-80071.491443713152</v>
          </cell>
          <cell r="Y125">
            <v>-107384.0654104423</v>
          </cell>
          <cell r="Z125">
            <v>-116694.74066260297</v>
          </cell>
          <cell r="AA125">
            <v>-127623.68079824837</v>
          </cell>
          <cell r="AB125">
            <v>-123769.88256778716</v>
          </cell>
        </row>
        <row r="126">
          <cell r="G126">
            <v>23062.421877349203</v>
          </cell>
          <cell r="H126">
            <v>46761.315112906566</v>
          </cell>
          <cell r="I126">
            <v>59831.775182505924</v>
          </cell>
          <cell r="J126">
            <v>67499.438629233569</v>
          </cell>
          <cell r="K126">
            <v>42043.934592798701</v>
          </cell>
          <cell r="L126">
            <v>58241.133901666501</v>
          </cell>
          <cell r="M126">
            <v>53001.683104418451</v>
          </cell>
          <cell r="N126">
            <v>66190.44048789356</v>
          </cell>
          <cell r="O126">
            <v>45431.36455533409</v>
          </cell>
          <cell r="P126">
            <v>66018.981510750629</v>
          </cell>
          <cell r="Q126">
            <v>57531.748206327145</v>
          </cell>
          <cell r="R126">
            <v>64620.306355584675</v>
          </cell>
          <cell r="S126">
            <v>650234.54351676884</v>
          </cell>
          <cell r="V126">
            <v>69823.736990255769</v>
          </cell>
          <cell r="W126">
            <v>129655.51217276169</v>
          </cell>
          <cell r="X126">
            <v>197154.95080199526</v>
          </cell>
          <cell r="Y126">
            <v>239198.88539479396</v>
          </cell>
          <cell r="Z126">
            <v>297440.01929646044</v>
          </cell>
          <cell r="AA126">
            <v>350441.70240087889</v>
          </cell>
          <cell r="AB126">
            <v>416632.14288877242</v>
          </cell>
        </row>
        <row r="127">
          <cell r="G127">
            <v>37724.762629107194</v>
          </cell>
          <cell r="H127">
            <v>43282.951413889125</v>
          </cell>
          <cell r="I127">
            <v>55889.003839511497</v>
          </cell>
          <cell r="J127">
            <v>64560.516115213162</v>
          </cell>
          <cell r="K127">
            <v>51895.094739479435</v>
          </cell>
          <cell r="L127">
            <v>60707.840976354724</v>
          </cell>
          <cell r="M127">
            <v>63243.020629272185</v>
          </cell>
          <cell r="N127">
            <v>70860.780307225272</v>
          </cell>
          <cell r="O127">
            <v>56568.172346163992</v>
          </cell>
          <cell r="P127">
            <v>79516.40481140984</v>
          </cell>
          <cell r="Q127">
            <v>74316.574257162894</v>
          </cell>
          <cell r="R127">
            <v>78717.043104669487</v>
          </cell>
          <cell r="S127">
            <v>737282.16516945884</v>
          </cell>
          <cell r="V127">
            <v>81007.714042996318</v>
          </cell>
          <cell r="W127">
            <v>136896.71788250783</v>
          </cell>
          <cell r="X127">
            <v>201457.23399772099</v>
          </cell>
          <cell r="Y127">
            <v>253352.32873720041</v>
          </cell>
          <cell r="Z127">
            <v>314060.16971355514</v>
          </cell>
          <cell r="AA127">
            <v>377303.19034282735</v>
          </cell>
          <cell r="AB127">
            <v>448163.97065005265</v>
          </cell>
        </row>
        <row r="128">
          <cell r="G128">
            <v>3071.8223443754032</v>
          </cell>
          <cell r="H128">
            <v>5617.4679587235405</v>
          </cell>
          <cell r="I128">
            <v>8204.0944118799307</v>
          </cell>
          <cell r="J128">
            <v>10688.427236876829</v>
          </cell>
          <cell r="K128">
            <v>6650.5366990079929</v>
          </cell>
          <cell r="L128">
            <v>8942.832173288145</v>
          </cell>
          <cell r="M128">
            <v>8479.8589610958225</v>
          </cell>
          <cell r="N128">
            <v>10592.178618462662</v>
          </cell>
          <cell r="O128">
            <v>5291.6694800586556</v>
          </cell>
          <cell r="P128">
            <v>11160.37191867036</v>
          </cell>
          <cell r="Q128">
            <v>9725.6227288109731</v>
          </cell>
          <cell r="R128">
            <v>10951.801874835663</v>
          </cell>
          <cell r="S128">
            <v>99376.684406085958</v>
          </cell>
          <cell r="V128">
            <v>8689.2903030989437</v>
          </cell>
          <cell r="W128">
            <v>16893.384714978874</v>
          </cell>
          <cell r="X128">
            <v>27581.811951855703</v>
          </cell>
          <cell r="Y128">
            <v>34232.3486508637</v>
          </cell>
          <cell r="Z128">
            <v>43175.180824151845</v>
          </cell>
          <cell r="AA128">
            <v>51655.039785247667</v>
          </cell>
          <cell r="AB128">
            <v>62247.218403710329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G133">
            <v>40796.584973482597</v>
          </cell>
          <cell r="H133">
            <v>48900.419372612669</v>
          </cell>
          <cell r="I133">
            <v>64093.098251391428</v>
          </cell>
          <cell r="J133">
            <v>75248.943352089991</v>
          </cell>
          <cell r="K133">
            <v>58545.631438487428</v>
          </cell>
          <cell r="L133">
            <v>69650.673149642869</v>
          </cell>
          <cell r="M133">
            <v>71722.879590368015</v>
          </cell>
          <cell r="N133">
            <v>81452.958925687941</v>
          </cell>
          <cell r="O133">
            <v>61859.841826222648</v>
          </cell>
          <cell r="P133">
            <v>90676.776730080193</v>
          </cell>
          <cell r="Q133">
            <v>84042.19698597386</v>
          </cell>
          <cell r="R133">
            <v>89668.844979505142</v>
          </cell>
          <cell r="S133">
            <v>836658.84957554482</v>
          </cell>
          <cell r="V133">
            <v>89697.004346095258</v>
          </cell>
          <cell r="W133">
            <v>153790.10259748669</v>
          </cell>
          <cell r="X133">
            <v>229039.04594957668</v>
          </cell>
          <cell r="Y133">
            <v>287584.6773880641</v>
          </cell>
          <cell r="Z133">
            <v>357235.35053770698</v>
          </cell>
          <cell r="AA133">
            <v>428958.230128075</v>
          </cell>
          <cell r="AB133">
            <v>510411.18905376294</v>
          </cell>
        </row>
        <row r="134">
          <cell r="G134">
            <v>63859.0068508318</v>
          </cell>
          <cell r="H134">
            <v>95661.734485519235</v>
          </cell>
          <cell r="I134">
            <v>123924.87343389736</v>
          </cell>
          <cell r="J134">
            <v>142748.38198132356</v>
          </cell>
          <cell r="K134">
            <v>100589.56603128613</v>
          </cell>
          <cell r="L134">
            <v>127891.80705130937</v>
          </cell>
          <cell r="M134">
            <v>124724.56269478647</v>
          </cell>
          <cell r="N134">
            <v>147643.3994135815</v>
          </cell>
          <cell r="O134">
            <v>107291.20638155674</v>
          </cell>
          <cell r="P134">
            <v>156695.75824083082</v>
          </cell>
          <cell r="Q134">
            <v>141573.94519230101</v>
          </cell>
          <cell r="R134">
            <v>154289.15133508982</v>
          </cell>
          <cell r="S134">
            <v>1486893.3930923138</v>
          </cell>
          <cell r="V134">
            <v>159520.74133635103</v>
          </cell>
          <cell r="W134">
            <v>283445.61477024842</v>
          </cell>
          <cell r="X134">
            <v>426193.99675157201</v>
          </cell>
          <cell r="Y134">
            <v>526783.56278285815</v>
          </cell>
          <cell r="Z134">
            <v>654675.36983416753</v>
          </cell>
          <cell r="AA134">
            <v>779399.932528954</v>
          </cell>
          <cell r="AB134">
            <v>927043.33194253547</v>
          </cell>
        </row>
        <row r="135">
          <cell r="G135">
            <v>-9712.6093717111071</v>
          </cell>
          <cell r="H135">
            <v>23465.841158069234</v>
          </cell>
          <cell r="I135">
            <v>40268.690875945627</v>
          </cell>
          <cell r="J135">
            <v>52499.214080927006</v>
          </cell>
          <cell r="K135">
            <v>16861.508429918191</v>
          </cell>
          <cell r="L135">
            <v>39537.587462333089</v>
          </cell>
          <cell r="M135">
            <v>35668.910805891283</v>
          </cell>
          <cell r="N135">
            <v>53253.920650524742</v>
          </cell>
          <cell r="O135">
            <v>25575.152740445483</v>
          </cell>
          <cell r="P135">
            <v>54597.189193161583</v>
          </cell>
          <cell r="Q135">
            <v>43078.801137158269</v>
          </cell>
          <cell r="R135">
            <v>56499.503744664784</v>
          </cell>
          <cell r="S135">
            <v>431593.71090732812</v>
          </cell>
          <cell r="V135">
            <v>13753.231786358127</v>
          </cell>
          <cell r="W135">
            <v>54021.922662303754</v>
          </cell>
          <cell r="X135">
            <v>106521.13674323076</v>
          </cell>
          <cell r="Y135">
            <v>123382.64517314895</v>
          </cell>
          <cell r="Z135">
            <v>162920.23263548204</v>
          </cell>
          <cell r="AA135">
            <v>198589.14344137331</v>
          </cell>
          <cell r="AB135">
            <v>251843.06409189804</v>
          </cell>
        </row>
        <row r="136">
          <cell r="G136">
            <v>23304.819091981102</v>
          </cell>
          <cell r="H136">
            <v>44313.104046388908</v>
          </cell>
          <cell r="I136">
            <v>63546.482170354677</v>
          </cell>
          <cell r="J136">
            <v>80855.151304047642</v>
          </cell>
          <cell r="K136">
            <v>49764.946935630796</v>
          </cell>
          <cell r="L136">
            <v>70100.712163527467</v>
          </cell>
          <cell r="M136">
            <v>69646.85279215395</v>
          </cell>
          <cell r="N136">
            <v>87651.098375055299</v>
          </cell>
          <cell r="O136">
            <v>56893.739391004914</v>
          </cell>
          <cell r="P136">
            <v>101949.52147366664</v>
          </cell>
          <cell r="Q136">
            <v>88693.898349195311</v>
          </cell>
          <cell r="R136">
            <v>99750.485770131578</v>
          </cell>
          <cell r="S136">
            <v>836470.81186313822</v>
          </cell>
          <cell r="V136">
            <v>67617.92313837001</v>
          </cell>
          <cell r="W136">
            <v>131164.40530872467</v>
          </cell>
          <cell r="X136">
            <v>212019.55661277231</v>
          </cell>
          <cell r="Y136">
            <v>261784.5035484031</v>
          </cell>
          <cell r="Z136">
            <v>331885.21571193053</v>
          </cell>
          <cell r="AA136">
            <v>401532.06850408448</v>
          </cell>
          <cell r="AB136">
            <v>489183.16687913978</v>
          </cell>
        </row>
        <row r="137">
          <cell r="G137">
            <v>3071.8223443754032</v>
          </cell>
          <cell r="H137">
            <v>5617.4679587235405</v>
          </cell>
          <cell r="I137">
            <v>8204.0944118799307</v>
          </cell>
          <cell r="J137">
            <v>10688.427236876829</v>
          </cell>
          <cell r="K137">
            <v>6650.5366990079929</v>
          </cell>
          <cell r="L137">
            <v>8942.832173288145</v>
          </cell>
          <cell r="M137">
            <v>8479.8589610958225</v>
          </cell>
          <cell r="N137">
            <v>10592.178618462662</v>
          </cell>
          <cell r="O137">
            <v>5291.6694800586556</v>
          </cell>
          <cell r="P137">
            <v>11160.37191867036</v>
          </cell>
          <cell r="Q137">
            <v>9725.6227288109731</v>
          </cell>
          <cell r="R137">
            <v>10951.801874835663</v>
          </cell>
          <cell r="S137">
            <v>99376.684406085958</v>
          </cell>
          <cell r="V137">
            <v>8689.2903030989437</v>
          </cell>
          <cell r="W137">
            <v>16893.384714978874</v>
          </cell>
          <cell r="X137">
            <v>27581.811951855703</v>
          </cell>
          <cell r="Y137">
            <v>34232.3486508637</v>
          </cell>
          <cell r="Z137">
            <v>43175.180824151845</v>
          </cell>
          <cell r="AA137">
            <v>51655.039785247667</v>
          </cell>
          <cell r="AB137">
            <v>62247.218403710329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G142">
            <v>26376.641436356505</v>
          </cell>
          <cell r="H142">
            <v>49930.572005112452</v>
          </cell>
          <cell r="I142">
            <v>71750.576582234615</v>
          </cell>
          <cell r="J142">
            <v>91543.578540924471</v>
          </cell>
          <cell r="K142">
            <v>56415.483634638789</v>
          </cell>
          <cell r="L142">
            <v>79043.544336815612</v>
          </cell>
          <cell r="M142">
            <v>78126.71175324978</v>
          </cell>
          <cell r="N142">
            <v>98243.276993517968</v>
          </cell>
          <cell r="O142">
            <v>62185.40887106357</v>
          </cell>
          <cell r="P142">
            <v>113109.89339233699</v>
          </cell>
          <cell r="Q142">
            <v>98419.521078006277</v>
          </cell>
          <cell r="R142">
            <v>110702.28764496723</v>
          </cell>
          <cell r="S142">
            <v>935847.49626922421</v>
          </cell>
          <cell r="V142">
            <v>76307.21344146895</v>
          </cell>
          <cell r="W142">
            <v>148057.79002370356</v>
          </cell>
          <cell r="X142">
            <v>239601.36856462804</v>
          </cell>
          <cell r="Y142">
            <v>296016.85219926684</v>
          </cell>
          <cell r="Z142">
            <v>375060.39653608244</v>
          </cell>
          <cell r="AA142">
            <v>453187.10828933225</v>
          </cell>
          <cell r="AB142">
            <v>551430.38528285024</v>
          </cell>
        </row>
        <row r="143">
          <cell r="G143">
            <v>16664.032064645398</v>
          </cell>
          <cell r="H143">
            <v>73396.413163181685</v>
          </cell>
          <cell r="I143">
            <v>112019.26745818024</v>
          </cell>
          <cell r="J143">
            <v>144042.79262185149</v>
          </cell>
          <cell r="K143">
            <v>73276.99206455698</v>
          </cell>
          <cell r="L143">
            <v>118581.1317991487</v>
          </cell>
          <cell r="M143">
            <v>113795.62255914106</v>
          </cell>
          <cell r="N143">
            <v>151497.19764404272</v>
          </cell>
          <cell r="O143">
            <v>87760.561611509052</v>
          </cell>
          <cell r="P143">
            <v>167707.08258549857</v>
          </cell>
          <cell r="Q143">
            <v>141498.32221516455</v>
          </cell>
          <cell r="R143">
            <v>167201.79138963201</v>
          </cell>
          <cell r="S143">
            <v>1367441.2071765524</v>
          </cell>
          <cell r="V143">
            <v>90060.445227827091</v>
          </cell>
          <cell r="W143">
            <v>202079.71268600732</v>
          </cell>
          <cell r="X143">
            <v>346122.50530785881</v>
          </cell>
          <cell r="Y143">
            <v>419399.49737241579</v>
          </cell>
          <cell r="Z143">
            <v>537980.62917156448</v>
          </cell>
          <cell r="AA143">
            <v>651776.25173070549</v>
          </cell>
          <cell r="AB143">
            <v>803273.44937474816</v>
          </cell>
        </row>
        <row r="144">
          <cell r="G144">
            <v>-32775.03124906031</v>
          </cell>
          <cell r="H144">
            <v>-23295.473954837333</v>
          </cell>
          <cell r="I144">
            <v>-19563.084306560297</v>
          </cell>
          <cell r="J144">
            <v>-15000.224548306564</v>
          </cell>
          <cell r="K144">
            <v>-25182.426162880511</v>
          </cell>
          <cell r="L144">
            <v>-18703.546439333411</v>
          </cell>
          <cell r="M144">
            <v>-17332.772298527168</v>
          </cell>
          <cell r="N144">
            <v>-12936.519837368818</v>
          </cell>
          <cell r="O144">
            <v>-19856.211814888607</v>
          </cell>
          <cell r="P144">
            <v>-11421.792317589046</v>
          </cell>
          <cell r="Q144">
            <v>-14452.947069168877</v>
          </cell>
          <cell r="R144">
            <v>-8120.8026109198909</v>
          </cell>
          <cell r="S144">
            <v>-218640.83260944081</v>
          </cell>
          <cell r="V144">
            <v>-56070.505203897643</v>
          </cell>
          <cell r="W144">
            <v>-75633.589510457939</v>
          </cell>
          <cell r="X144">
            <v>-90633.814058764503</v>
          </cell>
          <cell r="Y144">
            <v>-115816.24022164501</v>
          </cell>
          <cell r="Z144">
            <v>-134519.78666097843</v>
          </cell>
          <cell r="AA144">
            <v>-151852.55895950558</v>
          </cell>
          <cell r="AB144">
            <v>-164789.07879687438</v>
          </cell>
        </row>
        <row r="145">
          <cell r="G145">
            <v>-14419.943537126092</v>
          </cell>
          <cell r="H145">
            <v>1030.1526324997831</v>
          </cell>
          <cell r="I145">
            <v>7657.4783308431797</v>
          </cell>
          <cell r="J145">
            <v>16294.63518883448</v>
          </cell>
          <cell r="K145">
            <v>-2130.1478038486384</v>
          </cell>
          <cell r="L145">
            <v>9392.8711871727428</v>
          </cell>
          <cell r="M145">
            <v>6403.8321628817648</v>
          </cell>
          <cell r="N145">
            <v>16790.318067830027</v>
          </cell>
          <cell r="O145">
            <v>325.56704484092188</v>
          </cell>
          <cell r="P145">
            <v>22433.116662256798</v>
          </cell>
          <cell r="Q145">
            <v>14377.324092032417</v>
          </cell>
          <cell r="R145">
            <v>21033.442665462091</v>
          </cell>
          <cell r="S145">
            <v>99188.646693679475</v>
          </cell>
          <cell r="V145">
            <v>-13389.790904626308</v>
          </cell>
          <cell r="W145">
            <v>-5732.3125737831288</v>
          </cell>
          <cell r="X145">
            <v>10562.322615051351</v>
          </cell>
          <cell r="Y145">
            <v>8432.1748112027126</v>
          </cell>
          <cell r="Z145">
            <v>17825.045998375455</v>
          </cell>
          <cell r="AA145">
            <v>24228.87816125722</v>
          </cell>
          <cell r="AB145">
            <v>41019.196229087247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G151">
            <v>-14419.943537126092</v>
          </cell>
          <cell r="H151">
            <v>1030.1526324997831</v>
          </cell>
          <cell r="I151">
            <v>7657.4783308431797</v>
          </cell>
          <cell r="J151">
            <v>16294.63518883448</v>
          </cell>
          <cell r="K151">
            <v>-2130.1478038486384</v>
          </cell>
          <cell r="L151">
            <v>9392.8711871727428</v>
          </cell>
          <cell r="M151">
            <v>6403.8321628817648</v>
          </cell>
          <cell r="N151">
            <v>16790.318067830027</v>
          </cell>
          <cell r="O151">
            <v>325.56704484092188</v>
          </cell>
          <cell r="P151">
            <v>22433.116662256798</v>
          </cell>
          <cell r="Q151">
            <v>14377.324092032417</v>
          </cell>
          <cell r="R151">
            <v>21033.442665462091</v>
          </cell>
          <cell r="S151">
            <v>99188.646693679475</v>
          </cell>
          <cell r="V151">
            <v>-13389.790904626308</v>
          </cell>
          <cell r="W151">
            <v>-5732.3125737831288</v>
          </cell>
          <cell r="X151">
            <v>10562.322615051351</v>
          </cell>
          <cell r="Y151">
            <v>8432.1748112027126</v>
          </cell>
          <cell r="Z151">
            <v>17825.045998375455</v>
          </cell>
          <cell r="AA151">
            <v>24228.87816125722</v>
          </cell>
          <cell r="AB151">
            <v>41019.196229087247</v>
          </cell>
        </row>
        <row r="152">
          <cell r="G152">
            <v>-47194.974786186402</v>
          </cell>
          <cell r="H152">
            <v>-22265.32132233755</v>
          </cell>
          <cell r="I152">
            <v>-11905.605975717117</v>
          </cell>
          <cell r="J152">
            <v>1294.4106405279163</v>
          </cell>
          <cell r="K152">
            <v>-27312.573966729149</v>
          </cell>
          <cell r="L152">
            <v>-9310.6752521606686</v>
          </cell>
          <cell r="M152">
            <v>-10928.940135645404</v>
          </cell>
          <cell r="N152">
            <v>3853.7982304612087</v>
          </cell>
          <cell r="O152">
            <v>-19530.644770047686</v>
          </cell>
          <cell r="P152">
            <v>11011.324344667752</v>
          </cell>
          <cell r="Q152">
            <v>-75.622977136459667</v>
          </cell>
          <cell r="R152">
            <v>12912.6400545422</v>
          </cell>
          <cell r="S152">
            <v>-119452.18591576134</v>
          </cell>
          <cell r="V152">
            <v>-69460.296108523951</v>
          </cell>
          <cell r="W152">
            <v>-81365.902084241068</v>
          </cell>
          <cell r="X152">
            <v>-80071.491443713152</v>
          </cell>
          <cell r="Y152">
            <v>-107384.0654104423</v>
          </cell>
          <cell r="Z152">
            <v>-116694.74066260297</v>
          </cell>
          <cell r="AA152">
            <v>-127623.68079824837</v>
          </cell>
          <cell r="AB152">
            <v>-123769.88256778716</v>
          </cell>
        </row>
        <row r="153">
          <cell r="G153">
            <v>23062.421877349203</v>
          </cell>
          <cell r="H153">
            <v>46761.315112906566</v>
          </cell>
          <cell r="I153">
            <v>59831.775182505924</v>
          </cell>
          <cell r="J153">
            <v>67499.438629233569</v>
          </cell>
          <cell r="K153">
            <v>42043.934592798701</v>
          </cell>
          <cell r="L153">
            <v>58241.133901666501</v>
          </cell>
          <cell r="M153">
            <v>53001.683104418451</v>
          </cell>
          <cell r="N153">
            <v>66190.44048789356</v>
          </cell>
          <cell r="O153">
            <v>45431.36455533409</v>
          </cell>
          <cell r="P153">
            <v>66018.981510750629</v>
          </cell>
          <cell r="Q153">
            <v>57531.748206327145</v>
          </cell>
          <cell r="R153">
            <v>64620.306355584675</v>
          </cell>
          <cell r="S153">
            <v>650234.54351676884</v>
          </cell>
          <cell r="V153">
            <v>69823.736990255769</v>
          </cell>
          <cell r="W153">
            <v>129655.51217276169</v>
          </cell>
          <cell r="X153">
            <v>197154.95080199526</v>
          </cell>
          <cell r="Y153">
            <v>239198.88539479396</v>
          </cell>
          <cell r="Z153">
            <v>297440.01929646044</v>
          </cell>
          <cell r="AA153">
            <v>350441.70240087889</v>
          </cell>
          <cell r="AB153">
            <v>416632.14288877242</v>
          </cell>
        </row>
        <row r="154">
          <cell r="G154">
            <v>37724.762629107194</v>
          </cell>
          <cell r="H154">
            <v>43282.951413889125</v>
          </cell>
          <cell r="I154">
            <v>55889.003839511497</v>
          </cell>
          <cell r="J154">
            <v>64560.516115213162</v>
          </cell>
          <cell r="K154">
            <v>51895.094739479435</v>
          </cell>
          <cell r="L154">
            <v>60707.840976354724</v>
          </cell>
          <cell r="M154">
            <v>63243.020629272185</v>
          </cell>
          <cell r="N154">
            <v>70860.780307225272</v>
          </cell>
          <cell r="O154">
            <v>56568.172346163992</v>
          </cell>
          <cell r="P154">
            <v>79516.40481140984</v>
          </cell>
          <cell r="Q154">
            <v>74316.574257162894</v>
          </cell>
          <cell r="R154">
            <v>78717.043104669487</v>
          </cell>
          <cell r="S154">
            <v>737282.16516945884</v>
          </cell>
          <cell r="V154">
            <v>81007.714042996318</v>
          </cell>
          <cell r="W154">
            <v>136896.71788250783</v>
          </cell>
          <cell r="X154">
            <v>201457.23399772099</v>
          </cell>
          <cell r="Y154">
            <v>253352.32873720041</v>
          </cell>
          <cell r="Z154">
            <v>314060.16971355514</v>
          </cell>
          <cell r="AA154">
            <v>377303.19034282735</v>
          </cell>
          <cell r="AB154">
            <v>448163.97065005265</v>
          </cell>
        </row>
        <row r="155">
          <cell r="G155">
            <v>3071.8223443754032</v>
          </cell>
          <cell r="H155">
            <v>5617.4679587235405</v>
          </cell>
          <cell r="I155">
            <v>8204.0944118799307</v>
          </cell>
          <cell r="J155">
            <v>10688.427236876829</v>
          </cell>
          <cell r="K155">
            <v>6650.5366990079929</v>
          </cell>
          <cell r="L155">
            <v>8942.832173288145</v>
          </cell>
          <cell r="M155">
            <v>8479.8589610958225</v>
          </cell>
          <cell r="N155">
            <v>10592.178618462662</v>
          </cell>
          <cell r="O155">
            <v>5291.6694800586556</v>
          </cell>
          <cell r="P155">
            <v>11160.37191867036</v>
          </cell>
          <cell r="Q155">
            <v>9725.6227288109731</v>
          </cell>
          <cell r="R155">
            <v>10951.801874835663</v>
          </cell>
          <cell r="S155">
            <v>99376.684406085958</v>
          </cell>
          <cell r="V155">
            <v>8689.2903030989437</v>
          </cell>
          <cell r="W155">
            <v>16893.384714978874</v>
          </cell>
          <cell r="X155">
            <v>27581.811951855703</v>
          </cell>
          <cell r="Y155">
            <v>34232.3486508637</v>
          </cell>
          <cell r="Z155">
            <v>43175.180824151845</v>
          </cell>
          <cell r="AA155">
            <v>51655.039785247667</v>
          </cell>
          <cell r="AB155">
            <v>62247.218403710329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G160">
            <v>40796.584973482597</v>
          </cell>
          <cell r="H160">
            <v>48900.419372612669</v>
          </cell>
          <cell r="I160">
            <v>64093.098251391428</v>
          </cell>
          <cell r="J160">
            <v>75248.943352089991</v>
          </cell>
          <cell r="K160">
            <v>58545.631438487428</v>
          </cell>
          <cell r="L160">
            <v>69650.673149642869</v>
          </cell>
          <cell r="M160">
            <v>71722.879590368015</v>
          </cell>
          <cell r="N160">
            <v>81452.958925687941</v>
          </cell>
          <cell r="O160">
            <v>61859.841826222648</v>
          </cell>
          <cell r="P160">
            <v>90676.776730080193</v>
          </cell>
          <cell r="Q160">
            <v>84042.19698597386</v>
          </cell>
          <cell r="R160">
            <v>89668.844979505142</v>
          </cell>
          <cell r="S160">
            <v>836658.84957554482</v>
          </cell>
          <cell r="V160">
            <v>89697.004346095258</v>
          </cell>
          <cell r="W160">
            <v>153790.10259748669</v>
          </cell>
          <cell r="X160">
            <v>229039.04594957668</v>
          </cell>
          <cell r="Y160">
            <v>287584.6773880641</v>
          </cell>
          <cell r="Z160">
            <v>357235.35053770698</v>
          </cell>
          <cell r="AA160">
            <v>428958.230128075</v>
          </cell>
          <cell r="AB160">
            <v>510411.18905376294</v>
          </cell>
        </row>
        <row r="161">
          <cell r="G161">
            <v>63859.0068508318</v>
          </cell>
          <cell r="H161">
            <v>95661.734485519235</v>
          </cell>
          <cell r="I161">
            <v>123924.87343389736</v>
          </cell>
          <cell r="J161">
            <v>142748.38198132356</v>
          </cell>
          <cell r="K161">
            <v>100589.56603128613</v>
          </cell>
          <cell r="L161">
            <v>127891.80705130937</v>
          </cell>
          <cell r="M161">
            <v>124724.56269478647</v>
          </cell>
          <cell r="N161">
            <v>147643.3994135815</v>
          </cell>
          <cell r="O161">
            <v>107291.20638155674</v>
          </cell>
          <cell r="P161">
            <v>156695.75824083082</v>
          </cell>
          <cell r="Q161">
            <v>141573.94519230101</v>
          </cell>
          <cell r="R161">
            <v>154289.15133508982</v>
          </cell>
          <cell r="S161">
            <v>1486893.3930923138</v>
          </cell>
          <cell r="V161">
            <v>159520.74133635103</v>
          </cell>
          <cell r="W161">
            <v>283445.61477024842</v>
          </cell>
          <cell r="X161">
            <v>426193.99675157201</v>
          </cell>
          <cell r="Y161">
            <v>526783.56278285815</v>
          </cell>
          <cell r="Z161">
            <v>654675.36983416753</v>
          </cell>
          <cell r="AA161">
            <v>779399.932528954</v>
          </cell>
          <cell r="AB161">
            <v>927043.33194253547</v>
          </cell>
        </row>
        <row r="162">
          <cell r="G162">
            <v>-9712.6093717111071</v>
          </cell>
          <cell r="H162">
            <v>23465.841158069234</v>
          </cell>
          <cell r="I162">
            <v>40268.690875945627</v>
          </cell>
          <cell r="J162">
            <v>52499.214080927006</v>
          </cell>
          <cell r="K162">
            <v>16861.508429918191</v>
          </cell>
          <cell r="L162">
            <v>39537.587462333089</v>
          </cell>
          <cell r="M162">
            <v>35668.910805891283</v>
          </cell>
          <cell r="N162">
            <v>53253.920650524742</v>
          </cell>
          <cell r="O162">
            <v>25575.152740445483</v>
          </cell>
          <cell r="P162">
            <v>54597.189193161583</v>
          </cell>
          <cell r="Q162">
            <v>43078.801137158269</v>
          </cell>
          <cell r="R162">
            <v>56499.503744664784</v>
          </cell>
          <cell r="S162">
            <v>431593.71090732812</v>
          </cell>
          <cell r="V162">
            <v>13753.231786358127</v>
          </cell>
          <cell r="W162">
            <v>54021.922662303754</v>
          </cell>
          <cell r="X162">
            <v>106521.13674323076</v>
          </cell>
          <cell r="Y162">
            <v>123382.64517314895</v>
          </cell>
          <cell r="Z162">
            <v>162920.23263548204</v>
          </cell>
          <cell r="AA162">
            <v>198589.14344137331</v>
          </cell>
          <cell r="AB162">
            <v>251843.06409189804</v>
          </cell>
        </row>
        <row r="163">
          <cell r="G163">
            <v>23304.819091981102</v>
          </cell>
          <cell r="H163">
            <v>44313.104046388908</v>
          </cell>
          <cell r="I163">
            <v>63546.482170354677</v>
          </cell>
          <cell r="J163">
            <v>80855.151304047642</v>
          </cell>
          <cell r="K163">
            <v>49764.946935630796</v>
          </cell>
          <cell r="L163">
            <v>70100.712163527467</v>
          </cell>
          <cell r="M163">
            <v>69646.85279215395</v>
          </cell>
          <cell r="N163">
            <v>87651.098375055299</v>
          </cell>
          <cell r="O163">
            <v>56893.739391004914</v>
          </cell>
          <cell r="P163">
            <v>101949.52147366664</v>
          </cell>
          <cell r="Q163">
            <v>88693.898349195311</v>
          </cell>
          <cell r="R163">
            <v>99750.485770131578</v>
          </cell>
          <cell r="S163">
            <v>836470.81186313822</v>
          </cell>
          <cell r="V163">
            <v>67617.92313837001</v>
          </cell>
          <cell r="W163">
            <v>131164.40530872467</v>
          </cell>
          <cell r="X163">
            <v>212019.55661277231</v>
          </cell>
          <cell r="Y163">
            <v>261784.5035484031</v>
          </cell>
          <cell r="Z163">
            <v>331885.21571193053</v>
          </cell>
          <cell r="AA163">
            <v>401532.06850408448</v>
          </cell>
          <cell r="AB163">
            <v>489183.16687913978</v>
          </cell>
        </row>
        <row r="164">
          <cell r="G164">
            <v>3071.8223443754032</v>
          </cell>
          <cell r="H164">
            <v>5617.4679587235405</v>
          </cell>
          <cell r="I164">
            <v>8204.0944118799307</v>
          </cell>
          <cell r="J164">
            <v>10688.427236876829</v>
          </cell>
          <cell r="K164">
            <v>6650.5366990079929</v>
          </cell>
          <cell r="L164">
            <v>8942.832173288145</v>
          </cell>
          <cell r="M164">
            <v>8479.8589610958225</v>
          </cell>
          <cell r="N164">
            <v>10592.178618462662</v>
          </cell>
          <cell r="O164">
            <v>5291.6694800586556</v>
          </cell>
          <cell r="P164">
            <v>11160.37191867036</v>
          </cell>
          <cell r="Q164">
            <v>9725.6227288109731</v>
          </cell>
          <cell r="R164">
            <v>10951.801874835663</v>
          </cell>
          <cell r="S164">
            <v>99376.684406085958</v>
          </cell>
          <cell r="V164">
            <v>8689.2903030989437</v>
          </cell>
          <cell r="W164">
            <v>16893.384714978874</v>
          </cell>
          <cell r="X164">
            <v>27581.811951855703</v>
          </cell>
          <cell r="Y164">
            <v>34232.3486508637</v>
          </cell>
          <cell r="Z164">
            <v>43175.180824151845</v>
          </cell>
          <cell r="AA164">
            <v>51655.039785247667</v>
          </cell>
          <cell r="AB164">
            <v>62247.218403710329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G169">
            <v>26376.641436356505</v>
          </cell>
          <cell r="H169">
            <v>49930.572005112452</v>
          </cell>
          <cell r="I169">
            <v>71750.576582234615</v>
          </cell>
          <cell r="J169">
            <v>91543.578540924471</v>
          </cell>
          <cell r="K169">
            <v>56415.483634638789</v>
          </cell>
          <cell r="L169">
            <v>79043.544336815612</v>
          </cell>
          <cell r="M169">
            <v>78126.71175324978</v>
          </cell>
          <cell r="N169">
            <v>98243.276993517968</v>
          </cell>
          <cell r="O169">
            <v>62185.40887106357</v>
          </cell>
          <cell r="P169">
            <v>113109.89339233699</v>
          </cell>
          <cell r="Q169">
            <v>98419.521078006277</v>
          </cell>
          <cell r="R169">
            <v>110702.28764496723</v>
          </cell>
          <cell r="S169">
            <v>935847.49626922421</v>
          </cell>
          <cell r="V169">
            <v>76307.21344146895</v>
          </cell>
          <cell r="W169">
            <v>148057.79002370356</v>
          </cell>
          <cell r="X169">
            <v>239601.36856462804</v>
          </cell>
          <cell r="Y169">
            <v>296016.85219926684</v>
          </cell>
          <cell r="Z169">
            <v>375060.39653608244</v>
          </cell>
          <cell r="AA169">
            <v>453187.10828933225</v>
          </cell>
          <cell r="AB169">
            <v>551430.38528285024</v>
          </cell>
        </row>
        <row r="170">
          <cell r="G170">
            <v>16664.032064645398</v>
          </cell>
          <cell r="H170">
            <v>73396.413163181685</v>
          </cell>
          <cell r="I170">
            <v>112019.26745818024</v>
          </cell>
          <cell r="J170">
            <v>144042.79262185149</v>
          </cell>
          <cell r="K170">
            <v>73276.99206455698</v>
          </cell>
          <cell r="L170">
            <v>118581.1317991487</v>
          </cell>
          <cell r="M170">
            <v>113795.62255914106</v>
          </cell>
          <cell r="N170">
            <v>151497.19764404272</v>
          </cell>
          <cell r="O170">
            <v>87760.561611509052</v>
          </cell>
          <cell r="P170">
            <v>167707.08258549857</v>
          </cell>
          <cell r="Q170">
            <v>141498.32221516455</v>
          </cell>
          <cell r="R170">
            <v>167201.79138963201</v>
          </cell>
          <cell r="S170">
            <v>1367441.2071765524</v>
          </cell>
          <cell r="V170">
            <v>90060.445227827091</v>
          </cell>
          <cell r="W170">
            <v>202079.71268600732</v>
          </cell>
          <cell r="X170">
            <v>346122.50530785881</v>
          </cell>
          <cell r="Y170">
            <v>419399.49737241579</v>
          </cell>
          <cell r="Z170">
            <v>537980.62917156448</v>
          </cell>
          <cell r="AA170">
            <v>651776.25173070549</v>
          </cell>
          <cell r="AB170">
            <v>803273.44937474816</v>
          </cell>
        </row>
        <row r="171">
          <cell r="G171">
            <v>8546.8631434775489</v>
          </cell>
          <cell r="H171">
            <v>9059.2862968289937</v>
          </cell>
          <cell r="I171">
            <v>8167.0404730209075</v>
          </cell>
          <cell r="J171">
            <v>8154.6149023858734</v>
          </cell>
          <cell r="K171">
            <v>8159.2731994904007</v>
          </cell>
          <cell r="L171">
            <v>8191.5900050190912</v>
          </cell>
          <cell r="M171">
            <v>6642.2092241071095</v>
          </cell>
          <cell r="N171">
            <v>6656.3221905932414</v>
          </cell>
          <cell r="O171">
            <v>6914.1248311778872</v>
          </cell>
          <cell r="P171">
            <v>6525.3884398312539</v>
          </cell>
          <cell r="Q171">
            <v>6536.7005292296044</v>
          </cell>
          <cell r="R171">
            <v>4618.1707686494565</v>
          </cell>
          <cell r="S171">
            <v>88171.584003811382</v>
          </cell>
          <cell r="V171">
            <v>17606.149440306544</v>
          </cell>
          <cell r="W171">
            <v>25773.189913327453</v>
          </cell>
          <cell r="X171">
            <v>33927.804815713323</v>
          </cell>
          <cell r="Y171">
            <v>42087.078015203726</v>
          </cell>
          <cell r="Z171">
            <v>50278.668020222816</v>
          </cell>
          <cell r="AA171">
            <v>56920.877244329924</v>
          </cell>
          <cell r="AB171">
            <v>63577.199434923168</v>
          </cell>
        </row>
        <row r="172">
          <cell r="G172">
            <v>14044.996587526482</v>
          </cell>
          <cell r="H172">
            <v>13246.419619721775</v>
          </cell>
          <cell r="I172">
            <v>14095.137201219524</v>
          </cell>
          <cell r="J172">
            <v>14764.421140619508</v>
          </cell>
          <cell r="K172">
            <v>14698.979464861459</v>
          </cell>
          <cell r="L172">
            <v>14527.182926077105</v>
          </cell>
          <cell r="M172">
            <v>15947.492236391785</v>
          </cell>
          <cell r="N172">
            <v>15822.479028579004</v>
          </cell>
          <cell r="O172">
            <v>15655.049733077301</v>
          </cell>
          <cell r="P172">
            <v>17064.730250985744</v>
          </cell>
          <cell r="Q172">
            <v>16942.377001477907</v>
          </cell>
          <cell r="R172">
            <v>17650.83518073447</v>
          </cell>
          <cell r="S172">
            <v>184460.10037127204</v>
          </cell>
          <cell r="V172">
            <v>27291.416207248258</v>
          </cell>
          <cell r="W172">
            <v>41386.553408467778</v>
          </cell>
          <cell r="X172">
            <v>56150.974549087288</v>
          </cell>
          <cell r="Y172">
            <v>70849.954013948751</v>
          </cell>
          <cell r="Z172">
            <v>85377.136940025855</v>
          </cell>
          <cell r="AA172">
            <v>101324.62917641764</v>
          </cell>
          <cell r="AB172">
            <v>117147.10820499665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G178">
            <v>14044.996587526482</v>
          </cell>
          <cell r="H178">
            <v>13246.419619721775</v>
          </cell>
          <cell r="I178">
            <v>14095.137201219524</v>
          </cell>
          <cell r="J178">
            <v>14764.421140619508</v>
          </cell>
          <cell r="K178">
            <v>14698.979464861459</v>
          </cell>
          <cell r="L178">
            <v>14527.182926077105</v>
          </cell>
          <cell r="M178">
            <v>15947.492236391785</v>
          </cell>
          <cell r="N178">
            <v>15822.479028579004</v>
          </cell>
          <cell r="O178">
            <v>15655.049733077301</v>
          </cell>
          <cell r="P178">
            <v>17064.730250985744</v>
          </cell>
          <cell r="Q178">
            <v>16942.377001477907</v>
          </cell>
          <cell r="R178">
            <v>17650.83518073447</v>
          </cell>
          <cell r="S178">
            <v>184460.10037127204</v>
          </cell>
          <cell r="V178">
            <v>27291.416207248258</v>
          </cell>
          <cell r="W178">
            <v>41386.553408467778</v>
          </cell>
          <cell r="X178">
            <v>56150.974549087288</v>
          </cell>
          <cell r="Y178">
            <v>70849.954013948751</v>
          </cell>
          <cell r="Z178">
            <v>85377.136940025855</v>
          </cell>
          <cell r="AA178">
            <v>101324.62917641764</v>
          </cell>
          <cell r="AB178">
            <v>117147.10820499665</v>
          </cell>
        </row>
        <row r="179">
          <cell r="G179">
            <v>22591.859731004031</v>
          </cell>
          <cell r="H179">
            <v>22305.705916550767</v>
          </cell>
          <cell r="I179">
            <v>22262.177674240433</v>
          </cell>
          <cell r="J179">
            <v>22919.036043005381</v>
          </cell>
          <cell r="K179">
            <v>22858.252664351858</v>
          </cell>
          <cell r="L179">
            <v>22718.772931096195</v>
          </cell>
          <cell r="M179">
            <v>22589.701460498894</v>
          </cell>
          <cell r="N179">
            <v>22478.801219172245</v>
          </cell>
          <cell r="O179">
            <v>22569.17456425519</v>
          </cell>
          <cell r="P179">
            <v>23590.118690816998</v>
          </cell>
          <cell r="Q179">
            <v>23479.077530707513</v>
          </cell>
          <cell r="R179">
            <v>22269.005949383925</v>
          </cell>
          <cell r="S179">
            <v>272631.68437508342</v>
          </cell>
          <cell r="V179">
            <v>44897.565647554802</v>
          </cell>
          <cell r="W179">
            <v>67159.743321795235</v>
          </cell>
          <cell r="X179">
            <v>90078.779364800619</v>
          </cell>
          <cell r="Y179">
            <v>112937.03202915247</v>
          </cell>
          <cell r="Z179">
            <v>135655.80496024867</v>
          </cell>
          <cell r="AA179">
            <v>158245.50642074755</v>
          </cell>
          <cell r="AB179">
            <v>180724.3076399198</v>
          </cell>
        </row>
        <row r="180">
          <cell r="G180">
            <v>1424.4771905795915</v>
          </cell>
          <cell r="H180">
            <v>1509.8810494714992</v>
          </cell>
          <cell r="I180">
            <v>1361.1734121701513</v>
          </cell>
          <cell r="J180">
            <v>1359.102483730979</v>
          </cell>
          <cell r="K180">
            <v>1359.8788665817335</v>
          </cell>
          <cell r="L180">
            <v>1365.2650008365151</v>
          </cell>
          <cell r="M180">
            <v>1328.4418448214219</v>
          </cell>
          <cell r="N180">
            <v>1331.2644381186483</v>
          </cell>
          <cell r="O180">
            <v>1382.8249662355774</v>
          </cell>
          <cell r="P180">
            <v>1305.0776879662508</v>
          </cell>
          <cell r="Q180">
            <v>1307.340105845921</v>
          </cell>
          <cell r="R180">
            <v>1355.892768247051</v>
          </cell>
          <cell r="S180">
            <v>1363.3563380402852</v>
          </cell>
          <cell r="V180">
            <v>2934.3582400510904</v>
          </cell>
          <cell r="W180">
            <v>4295.5316522212415</v>
          </cell>
          <cell r="X180">
            <v>5654.6341359522203</v>
          </cell>
          <cell r="Y180">
            <v>7014.513002533954</v>
          </cell>
          <cell r="Z180">
            <v>8379.7780033704694</v>
          </cell>
          <cell r="AA180">
            <v>9708.2198481918913</v>
          </cell>
          <cell r="AB180">
            <v>11039.48428631054</v>
          </cell>
        </row>
        <row r="181">
          <cell r="G181">
            <v>21367.157858693874</v>
          </cell>
          <cell r="H181">
            <v>22648.215742072494</v>
          </cell>
          <cell r="I181">
            <v>21778.774594722421</v>
          </cell>
          <cell r="J181">
            <v>20386.537255964686</v>
          </cell>
          <cell r="K181">
            <v>20398.182998726003</v>
          </cell>
          <cell r="L181">
            <v>20478.975012547729</v>
          </cell>
          <cell r="M181">
            <v>19926.62767232133</v>
          </cell>
          <cell r="N181">
            <v>19968.966571779729</v>
          </cell>
          <cell r="O181">
            <v>20742.374493533662</v>
          </cell>
          <cell r="P181">
            <v>18271.087631527509</v>
          </cell>
          <cell r="Q181">
            <v>18302.761481842896</v>
          </cell>
          <cell r="R181">
            <v>18982.498755458717</v>
          </cell>
          <cell r="S181">
            <v>243252.16006919101</v>
          </cell>
          <cell r="V181">
            <v>44015.373600766368</v>
          </cell>
          <cell r="W181">
            <v>65794.148195488786</v>
          </cell>
          <cell r="X181">
            <v>86180.685451453464</v>
          </cell>
          <cell r="Y181">
            <v>106578.86845017946</v>
          </cell>
          <cell r="Z181">
            <v>127057.84346272719</v>
          </cell>
          <cell r="AA181">
            <v>146984.47113504852</v>
          </cell>
          <cell r="AB181">
            <v>166953.43770682823</v>
          </cell>
        </row>
        <row r="182">
          <cell r="G182">
            <v>9704.3998965999563</v>
          </cell>
          <cell r="H182">
            <v>9181.9927521377485</v>
          </cell>
          <cell r="I182">
            <v>9829.4158760977989</v>
          </cell>
          <cell r="J182">
            <v>10322.911074726302</v>
          </cell>
          <cell r="K182">
            <v>10373.626256732248</v>
          </cell>
          <cell r="L182">
            <v>10514.398140450914</v>
          </cell>
          <cell r="M182">
            <v>11152.224376940878</v>
          </cell>
          <cell r="N182">
            <v>11213.341896060361</v>
          </cell>
          <cell r="O182">
            <v>11129.119120933585</v>
          </cell>
          <cell r="P182">
            <v>11906.763869564671</v>
          </cell>
          <cell r="Q182">
            <v>11980.776780646054</v>
          </cell>
          <cell r="R182">
            <v>12388.015069061341</v>
          </cell>
          <cell r="S182">
            <v>129696.98510995184</v>
          </cell>
          <cell r="V182">
            <v>18886.392648737703</v>
          </cell>
          <cell r="W182">
            <v>28715.808524835502</v>
          </cell>
          <cell r="X182">
            <v>39038.719599561802</v>
          </cell>
          <cell r="Y182">
            <v>49412.34585629405</v>
          </cell>
          <cell r="Z182">
            <v>59926.743996744961</v>
          </cell>
          <cell r="AA182">
            <v>71078.968373685842</v>
          </cell>
          <cell r="AB182">
            <v>82292.310269746202</v>
          </cell>
        </row>
        <row r="183">
          <cell r="G183">
            <v>2846.0199581465904</v>
          </cell>
          <cell r="H183">
            <v>2720.7452559056633</v>
          </cell>
          <cell r="I183">
            <v>2986.2915216060192</v>
          </cell>
          <cell r="J183">
            <v>3228.1752929703048</v>
          </cell>
          <cell r="K183">
            <v>3226.5977468565438</v>
          </cell>
          <cell r="L183">
            <v>3144.5135825718448</v>
          </cell>
          <cell r="M183">
            <v>3188.1061569055632</v>
          </cell>
          <cell r="N183">
            <v>3195.5499796543509</v>
          </cell>
          <cell r="O183">
            <v>2415.9914879442463</v>
          </cell>
          <cell r="P183">
            <v>3088.6894747574952</v>
          </cell>
          <cell r="Q183">
            <v>3094.0438734702116</v>
          </cell>
          <cell r="R183">
            <v>3217.1398927626979</v>
          </cell>
          <cell r="S183">
            <v>36351.864223551529</v>
          </cell>
          <cell r="V183">
            <v>5566.7652140522532</v>
          </cell>
          <cell r="W183">
            <v>8553.0567356582724</v>
          </cell>
          <cell r="X183">
            <v>11781.232028628578</v>
          </cell>
          <cell r="Y183">
            <v>15007.829775485121</v>
          </cell>
          <cell r="Z183">
            <v>18152.343358056965</v>
          </cell>
          <cell r="AA183">
            <v>21340.449514962529</v>
          </cell>
          <cell r="AB183">
            <v>24535.999494616881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G188">
            <v>12550.419854746546</v>
          </cell>
          <cell r="H188">
            <v>11902.738008043412</v>
          </cell>
          <cell r="I188">
            <v>12815.707397703818</v>
          </cell>
          <cell r="J188">
            <v>13551.086367696607</v>
          </cell>
          <cell r="K188">
            <v>13600.224003588792</v>
          </cell>
          <cell r="L188">
            <v>13658.911723022758</v>
          </cell>
          <cell r="M188">
            <v>14340.330533846442</v>
          </cell>
          <cell r="N188">
            <v>14408.891875714711</v>
          </cell>
          <cell r="O188">
            <v>13545.110608877831</v>
          </cell>
          <cell r="P188">
            <v>14995.453344322166</v>
          </cell>
          <cell r="Q188">
            <v>15074.820654116265</v>
          </cell>
          <cell r="R188">
            <v>15605.154961824039</v>
          </cell>
          <cell r="S188">
            <v>166048.84933350337</v>
          </cell>
          <cell r="V188">
            <v>24453.157862789958</v>
          </cell>
          <cell r="W188">
            <v>37268.865260493774</v>
          </cell>
          <cell r="X188">
            <v>50819.951628190378</v>
          </cell>
          <cell r="Y188">
            <v>64420.175631779173</v>
          </cell>
          <cell r="Z188">
            <v>78079.08735480193</v>
          </cell>
          <cell r="AA188">
            <v>92419.417888648371</v>
          </cell>
          <cell r="AB188">
            <v>106828.30976436308</v>
          </cell>
        </row>
        <row r="189">
          <cell r="G189">
            <v>33917.57771344042</v>
          </cell>
          <cell r="H189">
            <v>34550.953750115907</v>
          </cell>
          <cell r="I189">
            <v>34594.481992426241</v>
          </cell>
          <cell r="J189">
            <v>33937.623623661289</v>
          </cell>
          <cell r="K189">
            <v>33998.407002314794</v>
          </cell>
          <cell r="L189">
            <v>34137.886735570486</v>
          </cell>
          <cell r="M189">
            <v>34266.958206167772</v>
          </cell>
          <cell r="N189">
            <v>34377.858447494436</v>
          </cell>
          <cell r="O189">
            <v>34287.485102411491</v>
          </cell>
          <cell r="P189">
            <v>33266.540975849675</v>
          </cell>
          <cell r="Q189">
            <v>33377.582135959165</v>
          </cell>
          <cell r="R189">
            <v>34587.653717282752</v>
          </cell>
          <cell r="S189">
            <v>409301.00940269441</v>
          </cell>
          <cell r="V189">
            <v>68468.531463556326</v>
          </cell>
          <cell r="W189">
            <v>103063.01345598257</v>
          </cell>
          <cell r="X189">
            <v>137000.63707964384</v>
          </cell>
          <cell r="Y189">
            <v>170999.04408195865</v>
          </cell>
          <cell r="Z189">
            <v>205136.93081752915</v>
          </cell>
          <cell r="AA189">
            <v>239403.88902369692</v>
          </cell>
          <cell r="AB189">
            <v>273781.74747119134</v>
          </cell>
        </row>
        <row r="190">
          <cell r="G190">
            <v>1424.4771905795917</v>
          </cell>
          <cell r="H190">
            <v>1509.8810494714994</v>
          </cell>
          <cell r="I190">
            <v>1361.1734121701513</v>
          </cell>
          <cell r="J190">
            <v>1359.102483730979</v>
          </cell>
          <cell r="K190">
            <v>1359.8788665817335</v>
          </cell>
          <cell r="L190">
            <v>1365.2650008365151</v>
          </cell>
          <cell r="M190">
            <v>1328.4418448214221</v>
          </cell>
          <cell r="N190">
            <v>1331.2644381186485</v>
          </cell>
          <cell r="O190">
            <v>1382.8249662355777</v>
          </cell>
          <cell r="P190">
            <v>1305.0776879662508</v>
          </cell>
          <cell r="Q190">
            <v>1307.340105845921</v>
          </cell>
          <cell r="R190">
            <v>1355.8927682470512</v>
          </cell>
          <cell r="S190">
            <v>1364.2052306568237</v>
          </cell>
          <cell r="V190">
            <v>2934.3582400510913</v>
          </cell>
          <cell r="W190">
            <v>4295.5316522212424</v>
          </cell>
          <cell r="X190">
            <v>5654.6341359522212</v>
          </cell>
          <cell r="Y190">
            <v>7014.5130025339549</v>
          </cell>
          <cell r="Z190">
            <v>8379.7780033704694</v>
          </cell>
          <cell r="AA190">
            <v>9708.2198481918913</v>
          </cell>
          <cell r="AB190">
            <v>11039.48428631054</v>
          </cell>
        </row>
        <row r="191">
          <cell r="G191">
            <v>29914.021002171423</v>
          </cell>
          <cell r="H191">
            <v>31707.50203890149</v>
          </cell>
          <cell r="I191">
            <v>29945.81506774333</v>
          </cell>
          <cell r="J191">
            <v>28541.15215835056</v>
          </cell>
          <cell r="K191">
            <v>28557.456198216401</v>
          </cell>
          <cell r="L191">
            <v>28670.56501756682</v>
          </cell>
          <cell r="M191">
            <v>26568.836896428438</v>
          </cell>
          <cell r="N191">
            <v>26625.288762372969</v>
          </cell>
          <cell r="O191">
            <v>27656.499324711549</v>
          </cell>
          <cell r="P191">
            <v>24796.476071358764</v>
          </cell>
          <cell r="Q191">
            <v>24839.462011072501</v>
          </cell>
          <cell r="R191">
            <v>23600.669524108172</v>
          </cell>
          <cell r="S191">
            <v>331423.74407300242</v>
          </cell>
          <cell r="V191">
            <v>61621.523041072913</v>
          </cell>
          <cell r="W191">
            <v>91567.338108816242</v>
          </cell>
          <cell r="X191">
            <v>120108.49026716681</v>
          </cell>
          <cell r="Y191">
            <v>148665.94646538323</v>
          </cell>
          <cell r="Z191">
            <v>177336.51148295004</v>
          </cell>
          <cell r="AA191">
            <v>203905.34837937847</v>
          </cell>
          <cell r="AB191">
            <v>230530.63714175145</v>
          </cell>
        </row>
        <row r="192">
          <cell r="G192">
            <v>23749.396484126439</v>
          </cell>
          <cell r="H192">
            <v>22428.412371859522</v>
          </cell>
          <cell r="I192">
            <v>23924.553077317323</v>
          </cell>
          <cell r="J192">
            <v>25087.33221534581</v>
          </cell>
          <cell r="K192">
            <v>25072.605721593707</v>
          </cell>
          <cell r="L192">
            <v>25041.581066528019</v>
          </cell>
          <cell r="M192">
            <v>27099.716613332661</v>
          </cell>
          <cell r="N192">
            <v>27035.820924639367</v>
          </cell>
          <cell r="O192">
            <v>26784.168854010888</v>
          </cell>
          <cell r="P192">
            <v>28971.494120550415</v>
          </cell>
          <cell r="Q192">
            <v>28923.153782123962</v>
          </cell>
          <cell r="R192">
            <v>30038.850249795811</v>
          </cell>
          <cell r="S192">
            <v>314157.08548122388</v>
          </cell>
          <cell r="V192">
            <v>46177.808855985961</v>
          </cell>
          <cell r="W192">
            <v>70102.361933303284</v>
          </cell>
          <cell r="X192">
            <v>95189.694148649098</v>
          </cell>
          <cell r="Y192">
            <v>120262.2998702428</v>
          </cell>
          <cell r="Z192">
            <v>145303.88093677082</v>
          </cell>
          <cell r="AA192">
            <v>172403.59755010347</v>
          </cell>
          <cell r="AB192">
            <v>199439.41847474285</v>
          </cell>
        </row>
        <row r="193">
          <cell r="G193">
            <v>2846.0199581465904</v>
          </cell>
          <cell r="H193">
            <v>2720.7452559056633</v>
          </cell>
          <cell r="I193">
            <v>2986.2915216060192</v>
          </cell>
          <cell r="J193">
            <v>3228.1752929703048</v>
          </cell>
          <cell r="K193">
            <v>3226.5977468565438</v>
          </cell>
          <cell r="L193">
            <v>3144.5135825718448</v>
          </cell>
          <cell r="M193">
            <v>3188.1061569055632</v>
          </cell>
          <cell r="N193">
            <v>3195.5499796543509</v>
          </cell>
          <cell r="O193">
            <v>2415.9914879442463</v>
          </cell>
          <cell r="P193">
            <v>3088.6894747574952</v>
          </cell>
          <cell r="Q193">
            <v>3094.0438734702116</v>
          </cell>
          <cell r="R193">
            <v>3217.1398927626979</v>
          </cell>
          <cell r="S193">
            <v>36351.864223551529</v>
          </cell>
          <cell r="V193">
            <v>5566.7652140522532</v>
          </cell>
          <cell r="W193">
            <v>8553.0567356582724</v>
          </cell>
          <cell r="X193">
            <v>11781.232028628578</v>
          </cell>
          <cell r="Y193">
            <v>15007.829775485121</v>
          </cell>
          <cell r="Z193">
            <v>18152.343358056965</v>
          </cell>
          <cell r="AA193">
            <v>21340.449514962529</v>
          </cell>
          <cell r="AB193">
            <v>24535.999494616881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G198">
            <v>26595.416442273028</v>
          </cell>
          <cell r="H198">
            <v>25149.157627765184</v>
          </cell>
          <cell r="I198">
            <v>26910.844598923344</v>
          </cell>
          <cell r="J198">
            <v>28315.507508316114</v>
          </cell>
          <cell r="K198">
            <v>28299.203468450251</v>
          </cell>
          <cell r="L198">
            <v>28186.094649099865</v>
          </cell>
          <cell r="M198">
            <v>30287.822770238225</v>
          </cell>
          <cell r="N198">
            <v>30231.370904293719</v>
          </cell>
          <cell r="O198">
            <v>29200.160341955136</v>
          </cell>
          <cell r="P198">
            <v>32060.18359530791</v>
          </cell>
          <cell r="Q198">
            <v>32017.197655594173</v>
          </cell>
          <cell r="R198">
            <v>33255.990142558512</v>
          </cell>
          <cell r="S198">
            <v>350508.94970477541</v>
          </cell>
          <cell r="V198">
            <v>51744.574070038216</v>
          </cell>
          <cell r="W198">
            <v>78655.41866896156</v>
          </cell>
          <cell r="X198">
            <v>106970.92617727767</v>
          </cell>
          <cell r="Y198">
            <v>135270.12964572792</v>
          </cell>
          <cell r="Z198">
            <v>163456.22429482779</v>
          </cell>
          <cell r="AA198">
            <v>193744.047065066</v>
          </cell>
          <cell r="AB198">
            <v>223975.41796935973</v>
          </cell>
        </row>
        <row r="199">
          <cell r="G199">
            <v>56509.437444444455</v>
          </cell>
          <cell r="H199">
            <v>56856.659666666674</v>
          </cell>
          <cell r="I199">
            <v>56856.659666666674</v>
          </cell>
          <cell r="J199">
            <v>56856.659666666674</v>
          </cell>
          <cell r="K199">
            <v>56856.659666666652</v>
          </cell>
          <cell r="L199">
            <v>56856.659666666688</v>
          </cell>
          <cell r="M199">
            <v>56856.659666666659</v>
          </cell>
          <cell r="N199">
            <v>56856.659666666688</v>
          </cell>
          <cell r="O199">
            <v>56856.659666666688</v>
          </cell>
          <cell r="P199">
            <v>56856.659666666674</v>
          </cell>
          <cell r="Q199">
            <v>56856.659666666674</v>
          </cell>
          <cell r="R199">
            <v>56856.659666666688</v>
          </cell>
          <cell r="S199">
            <v>681932.69377777784</v>
          </cell>
          <cell r="V199">
            <v>113366.09711111113</v>
          </cell>
          <cell r="W199">
            <v>170222.7567777778</v>
          </cell>
          <cell r="X199">
            <v>227079.41644444448</v>
          </cell>
          <cell r="Y199">
            <v>283936.07611111115</v>
          </cell>
          <cell r="Z199">
            <v>340792.73577777785</v>
          </cell>
          <cell r="AA199">
            <v>397649.3954444445</v>
          </cell>
          <cell r="AB199">
            <v>454506.0551111112</v>
          </cell>
        </row>
        <row r="200">
          <cell r="G200">
            <v>1424.4771905795917</v>
          </cell>
          <cell r="H200">
            <v>1509.8810494714996</v>
          </cell>
          <cell r="I200">
            <v>1361.1734121701513</v>
          </cell>
          <cell r="J200">
            <v>1359.102483730979</v>
          </cell>
          <cell r="K200">
            <v>1359.8788665817335</v>
          </cell>
          <cell r="L200">
            <v>1365.2650008365154</v>
          </cell>
          <cell r="M200">
            <v>1328.4418448214219</v>
          </cell>
          <cell r="N200">
            <v>1331.2644381186487</v>
          </cell>
          <cell r="O200">
            <v>1382.8249662355779</v>
          </cell>
          <cell r="P200">
            <v>1305.0776879662508</v>
          </cell>
          <cell r="Q200">
            <v>1307.340105845921</v>
          </cell>
          <cell r="R200">
            <v>1355.8927682470514</v>
          </cell>
          <cell r="S200">
            <v>1363.8657228196807</v>
          </cell>
          <cell r="V200">
            <v>2934.3582400510913</v>
          </cell>
          <cell r="W200">
            <v>4295.5316522212424</v>
          </cell>
          <cell r="X200">
            <v>5654.6341359522212</v>
          </cell>
          <cell r="Y200">
            <v>7014.5130025339549</v>
          </cell>
          <cell r="Z200">
            <v>8379.7780033704694</v>
          </cell>
          <cell r="AA200">
            <v>9708.2198481918913</v>
          </cell>
          <cell r="AB200">
            <v>11039.48428631054</v>
          </cell>
        </row>
        <row r="201">
          <cell r="G201">
            <v>-41321.894392537855</v>
          </cell>
          <cell r="H201">
            <v>-32354.760251666325</v>
          </cell>
          <cell r="I201">
            <v>-27730.124779581205</v>
          </cell>
          <cell r="J201">
            <v>-23154.839450692438</v>
          </cell>
          <cell r="K201">
            <v>-33341.699362370913</v>
          </cell>
          <cell r="L201">
            <v>-26895.136444352502</v>
          </cell>
          <cell r="M201">
            <v>-23974.981522634276</v>
          </cell>
          <cell r="N201">
            <v>-19592.842027962059</v>
          </cell>
          <cell r="O201">
            <v>-26770.336646066495</v>
          </cell>
          <cell r="P201">
            <v>-17947.180757420301</v>
          </cell>
          <cell r="Q201">
            <v>-20989.647598398482</v>
          </cell>
          <cell r="R201">
            <v>-12738.973379569346</v>
          </cell>
          <cell r="S201">
            <v>-306812.41661325225</v>
          </cell>
          <cell r="T201">
            <v>-306812.41661325219</v>
          </cell>
          <cell r="V201">
            <v>-73676.654644204187</v>
          </cell>
          <cell r="W201">
            <v>-101406.7794237854</v>
          </cell>
          <cell r="X201">
            <v>-124561.61887447783</v>
          </cell>
          <cell r="Y201">
            <v>-157903.31823684875</v>
          </cell>
          <cell r="Z201">
            <v>-184798.45468120126</v>
          </cell>
          <cell r="AA201">
            <v>-208773.43620383553</v>
          </cell>
          <cell r="AB201">
            <v>-228366.27823179759</v>
          </cell>
        </row>
        <row r="202">
          <cell r="G202">
            <v>-28464.940124652574</v>
          </cell>
          <cell r="H202">
            <v>-12216.266987221992</v>
          </cell>
          <cell r="I202">
            <v>-6437.6588703763446</v>
          </cell>
          <cell r="J202">
            <v>1530.2140482149716</v>
          </cell>
          <cell r="K202">
            <v>-16829.127268710097</v>
          </cell>
          <cell r="L202">
            <v>-5134.3117389043618</v>
          </cell>
          <cell r="M202">
            <v>-9543.6600735100201</v>
          </cell>
          <cell r="N202">
            <v>967.83903925102277</v>
          </cell>
          <cell r="O202">
            <v>-15329.48268823638</v>
          </cell>
          <cell r="P202">
            <v>5368.3864112710544</v>
          </cell>
          <cell r="Q202">
            <v>-2565.0529094454905</v>
          </cell>
          <cell r="R202">
            <v>3382.6074847276213</v>
          </cell>
          <cell r="S202">
            <v>-85271.45367759261</v>
          </cell>
          <cell r="T202">
            <v>-85271.453677592566</v>
          </cell>
          <cell r="V202">
            <v>-40681.207111874566</v>
          </cell>
          <cell r="W202">
            <v>-47118.865982250907</v>
          </cell>
          <cell r="X202">
            <v>-45588.651934035937</v>
          </cell>
          <cell r="Y202">
            <v>-62417.779202746038</v>
          </cell>
          <cell r="Z202">
            <v>-67552.0909416504</v>
          </cell>
          <cell r="AA202">
            <v>-77095.751015160422</v>
          </cell>
          <cell r="AB202">
            <v>-76127.911975909403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G208">
            <v>-28464.940124652574</v>
          </cell>
          <cell r="H208">
            <v>-12216.266987221992</v>
          </cell>
          <cell r="I208">
            <v>-6437.6588703763446</v>
          </cell>
          <cell r="J208">
            <v>1530.2140482149716</v>
          </cell>
          <cell r="K208">
            <v>-16829.127268710097</v>
          </cell>
          <cell r="L208">
            <v>-5134.3117389043618</v>
          </cell>
          <cell r="M208">
            <v>-9543.6600735100201</v>
          </cell>
          <cell r="N208">
            <v>967.83903925102277</v>
          </cell>
          <cell r="O208">
            <v>-15329.48268823638</v>
          </cell>
          <cell r="P208">
            <v>5368.3864112710544</v>
          </cell>
          <cell r="Q208">
            <v>-2565.0529094454905</v>
          </cell>
          <cell r="R208">
            <v>3382.6074847276213</v>
          </cell>
          <cell r="S208">
            <v>-85271.45367759261</v>
          </cell>
          <cell r="T208">
            <v>-85271.453677592566</v>
          </cell>
          <cell r="V208">
            <v>-40681.207111874566</v>
          </cell>
          <cell r="W208">
            <v>-47118.865982250907</v>
          </cell>
          <cell r="X208">
            <v>-45588.651934035937</v>
          </cell>
          <cell r="Y208">
            <v>-62417.779202746038</v>
          </cell>
          <cell r="Z208">
            <v>-67552.0909416504</v>
          </cell>
          <cell r="AA208">
            <v>-77095.751015160422</v>
          </cell>
          <cell r="AB208">
            <v>-76127.911975909403</v>
          </cell>
        </row>
        <row r="209">
          <cell r="G209">
            <v>-69786.834517190437</v>
          </cell>
          <cell r="H209">
            <v>-44571.027238888317</v>
          </cell>
          <cell r="I209">
            <v>-34167.78364995755</v>
          </cell>
          <cell r="J209">
            <v>-21624.625402477468</v>
          </cell>
          <cell r="K209">
            <v>-50170.826631081014</v>
          </cell>
          <cell r="L209">
            <v>-32029.448183256864</v>
          </cell>
          <cell r="M209">
            <v>-33518.641596144298</v>
          </cell>
          <cell r="N209">
            <v>-18625.002988711036</v>
          </cell>
          <cell r="O209">
            <v>-42099.819334302876</v>
          </cell>
          <cell r="P209">
            <v>-12578.794346149247</v>
          </cell>
          <cell r="Q209">
            <v>-23554.700507843972</v>
          </cell>
          <cell r="R209">
            <v>-9356.3658948417251</v>
          </cell>
          <cell r="S209">
            <v>-392083.87029084488</v>
          </cell>
          <cell r="T209">
            <v>-392083.87029084476</v>
          </cell>
          <cell r="V209">
            <v>-114357.86175607875</v>
          </cell>
          <cell r="W209">
            <v>-148525.64540603629</v>
          </cell>
          <cell r="X209">
            <v>-170150.27080851374</v>
          </cell>
          <cell r="Y209">
            <v>-220321.09743959474</v>
          </cell>
          <cell r="Z209">
            <v>-252350.54562285161</v>
          </cell>
          <cell r="AA209">
            <v>-285869.18721899588</v>
          </cell>
          <cell r="AB209">
            <v>-304494.19020770694</v>
          </cell>
        </row>
        <row r="210">
          <cell r="G210">
            <v>1695.264018655329</v>
          </cell>
          <cell r="H210">
            <v>24113.099370834072</v>
          </cell>
          <cell r="I210">
            <v>38053.000587783506</v>
          </cell>
          <cell r="J210">
            <v>47112.901373268884</v>
          </cell>
          <cell r="K210">
            <v>21645.751594072699</v>
          </cell>
          <cell r="L210">
            <v>37762.158889118771</v>
          </cell>
          <cell r="M210">
            <v>33075.055432097121</v>
          </cell>
          <cell r="N210">
            <v>46221.473916113828</v>
          </cell>
          <cell r="O210">
            <v>24688.990061800429</v>
          </cell>
          <cell r="P210">
            <v>47747.89387922312</v>
          </cell>
          <cell r="Q210">
            <v>39228.986724484246</v>
          </cell>
          <cell r="R210">
            <v>45637.807600125961</v>
          </cell>
          <cell r="S210">
            <v>406982.383447578</v>
          </cell>
          <cell r="T210">
            <v>406982.38344757783</v>
          </cell>
          <cell r="V210">
            <v>25808.363389489401</v>
          </cell>
          <cell r="W210">
            <v>63861.363977272908</v>
          </cell>
          <cell r="X210">
            <v>110974.2653505418</v>
          </cell>
          <cell r="Y210">
            <v>132620.0169446145</v>
          </cell>
          <cell r="Z210">
            <v>170382.17583373329</v>
          </cell>
          <cell r="AA210">
            <v>203457.2312658304</v>
          </cell>
          <cell r="AB210">
            <v>249678.70518194424</v>
          </cell>
        </row>
        <row r="211">
          <cell r="G211">
            <v>28020.362732507238</v>
          </cell>
          <cell r="H211">
            <v>34100.958661751378</v>
          </cell>
          <cell r="I211">
            <v>46059.587963413695</v>
          </cell>
          <cell r="J211">
            <v>54237.605040486858</v>
          </cell>
          <cell r="K211">
            <v>41521.468482747186</v>
          </cell>
          <cell r="L211">
            <v>50193.442835903814</v>
          </cell>
          <cell r="M211">
            <v>52090.796252331304</v>
          </cell>
          <cell r="N211">
            <v>59647.438411164912</v>
          </cell>
          <cell r="O211">
            <v>45439.053225230411</v>
          </cell>
          <cell r="P211">
            <v>67609.640941845166</v>
          </cell>
          <cell r="Q211">
            <v>62335.79747651684</v>
          </cell>
          <cell r="R211">
            <v>66329.028035608149</v>
          </cell>
          <cell r="S211">
            <v>607585.18005950691</v>
          </cell>
          <cell r="T211">
            <v>607585.18005950702</v>
          </cell>
          <cell r="V211">
            <v>62121.321394258615</v>
          </cell>
          <cell r="W211">
            <v>108180.90935767231</v>
          </cell>
          <cell r="X211">
            <v>162418.51439815917</v>
          </cell>
          <cell r="Y211">
            <v>203939.98288090635</v>
          </cell>
          <cell r="Z211">
            <v>254133.42571681016</v>
          </cell>
          <cell r="AA211">
            <v>306224.22196914145</v>
          </cell>
          <cell r="AB211">
            <v>365871.66038030636</v>
          </cell>
        </row>
        <row r="212">
          <cell r="G212">
            <v>225.80238622881279</v>
          </cell>
          <cell r="H212">
            <v>2896.7227028178772</v>
          </cell>
          <cell r="I212">
            <v>5217.8028902739115</v>
          </cell>
          <cell r="J212">
            <v>7460.2519439065236</v>
          </cell>
          <cell r="K212">
            <v>3423.938952151449</v>
          </cell>
          <cell r="L212">
            <v>5798.3185907163006</v>
          </cell>
          <cell r="M212">
            <v>5291.7528041902588</v>
          </cell>
          <cell r="N212">
            <v>7396.6286388083108</v>
          </cell>
          <cell r="O212">
            <v>2875.6779921144093</v>
          </cell>
          <cell r="P212">
            <v>8071.682443912865</v>
          </cell>
          <cell r="Q212">
            <v>6631.5788553407619</v>
          </cell>
          <cell r="R212">
            <v>7734.6619820729647</v>
          </cell>
          <cell r="S212">
            <v>63024.820182534459</v>
          </cell>
          <cell r="T212">
            <v>63024.820182534429</v>
          </cell>
          <cell r="V212">
            <v>3122.52508904669</v>
          </cell>
          <cell r="W212">
            <v>8340.327979320602</v>
          </cell>
          <cell r="X212">
            <v>15800.579923227126</v>
          </cell>
          <cell r="Y212">
            <v>19224.518875378573</v>
          </cell>
          <cell r="Z212">
            <v>25022.837466094876</v>
          </cell>
          <cell r="AA212">
            <v>30314.590270285134</v>
          </cell>
          <cell r="AB212">
            <v>37711.218909093448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G217">
            <v>28246.165118736051</v>
          </cell>
          <cell r="H217">
            <v>36997.681364569253</v>
          </cell>
          <cell r="I217">
            <v>51277.390853687604</v>
          </cell>
          <cell r="J217">
            <v>61697.85698439338</v>
          </cell>
          <cell r="K217">
            <v>44945.407434898632</v>
          </cell>
          <cell r="L217">
            <v>55991.761426620113</v>
          </cell>
          <cell r="M217">
            <v>57382.549056521559</v>
          </cell>
          <cell r="N217">
            <v>67044.067049973222</v>
          </cell>
          <cell r="O217">
            <v>48314.731217344823</v>
          </cell>
          <cell r="P217">
            <v>75681.323385758034</v>
          </cell>
          <cell r="Q217">
            <v>68967.376331857609</v>
          </cell>
          <cell r="R217">
            <v>74063.690017681118</v>
          </cell>
          <cell r="S217">
            <v>670610.00024204142</v>
          </cell>
          <cell r="T217">
            <v>670610.00024204142</v>
          </cell>
          <cell r="V217">
            <v>65243.8464833053</v>
          </cell>
          <cell r="W217">
            <v>116521.2373369929</v>
          </cell>
          <cell r="X217">
            <v>178219.09432138628</v>
          </cell>
          <cell r="Y217">
            <v>223164.50175628491</v>
          </cell>
          <cell r="Z217">
            <v>279156.26318290504</v>
          </cell>
          <cell r="AA217">
            <v>336538.8122394266</v>
          </cell>
          <cell r="AB217">
            <v>403582.87928939983</v>
          </cell>
        </row>
        <row r="218">
          <cell r="G218">
            <v>29941.42913739138</v>
          </cell>
          <cell r="H218">
            <v>61110.780735403328</v>
          </cell>
          <cell r="I218">
            <v>89330.391441471118</v>
          </cell>
          <cell r="J218">
            <v>108810.75835766227</v>
          </cell>
          <cell r="K218">
            <v>66591.159028971335</v>
          </cell>
          <cell r="L218">
            <v>93753.920315738884</v>
          </cell>
          <cell r="M218">
            <v>90457.604488618672</v>
          </cell>
          <cell r="N218">
            <v>113265.54096608705</v>
          </cell>
          <cell r="O218">
            <v>73003.721279145248</v>
          </cell>
          <cell r="P218">
            <v>123429.21726498115</v>
          </cell>
          <cell r="Q218">
            <v>108196.36305634186</v>
          </cell>
          <cell r="R218">
            <v>119701.49761780708</v>
          </cell>
          <cell r="S218">
            <v>1077592.3836896194</v>
          </cell>
          <cell r="T218">
            <v>1077592.3836896194</v>
          </cell>
          <cell r="V218">
            <v>91052.209872794716</v>
          </cell>
          <cell r="W218">
            <v>180382.60131426583</v>
          </cell>
          <cell r="X218">
            <v>289193.3596719281</v>
          </cell>
          <cell r="Y218">
            <v>355784.51870089944</v>
          </cell>
          <cell r="Z218">
            <v>449538.43901663832</v>
          </cell>
          <cell r="AA218">
            <v>539996.043505257</v>
          </cell>
          <cell r="AB218">
            <v>653261.58447134402</v>
          </cell>
        </row>
        <row r="219">
          <cell r="G219">
            <v>-39626.630373882523</v>
          </cell>
          <cell r="H219">
            <v>-8241.6608808322526</v>
          </cell>
          <cell r="I219">
            <v>10322.875808202301</v>
          </cell>
          <cell r="J219">
            <v>23958.061922576446</v>
          </cell>
          <cell r="K219">
            <v>-11695.947768298214</v>
          </cell>
          <cell r="L219">
            <v>10867.022444766269</v>
          </cell>
          <cell r="M219">
            <v>9100.0739094628443</v>
          </cell>
          <cell r="N219">
            <v>26628.631888151769</v>
          </cell>
          <cell r="O219">
            <v>-2081.3465842660662</v>
          </cell>
          <cell r="P219">
            <v>29800.713121802819</v>
          </cell>
          <cell r="Q219">
            <v>18239.339126085764</v>
          </cell>
          <cell r="R219">
            <v>32898.834220556615</v>
          </cell>
          <cell r="S219">
            <v>100169.96683432577</v>
          </cell>
          <cell r="T219">
            <v>100169.96683432569</v>
          </cell>
          <cell r="V219">
            <v>-47868.291254714772</v>
          </cell>
          <cell r="W219">
            <v>-37545.415446512474</v>
          </cell>
          <cell r="X219">
            <v>-13587.353523936028</v>
          </cell>
          <cell r="Y219">
            <v>-25283.301292234242</v>
          </cell>
          <cell r="Z219">
            <v>-14416.278847467973</v>
          </cell>
          <cell r="AA219">
            <v>-5316.2049380051285</v>
          </cell>
          <cell r="AB219">
            <v>21312.426950146641</v>
          </cell>
        </row>
        <row r="220">
          <cell r="G220">
            <v>-444.57739214533649</v>
          </cell>
          <cell r="H220">
            <v>21884.691674529386</v>
          </cell>
          <cell r="I220">
            <v>39621.929093037354</v>
          </cell>
          <cell r="J220">
            <v>55767.819088701828</v>
          </cell>
          <cell r="K220">
            <v>24692.341214037089</v>
          </cell>
          <cell r="L220">
            <v>45059.131096999452</v>
          </cell>
          <cell r="M220">
            <v>42547.136178821282</v>
          </cell>
          <cell r="N220">
            <v>60615.277450415932</v>
          </cell>
          <cell r="O220">
            <v>30109.570536994033</v>
          </cell>
          <cell r="P220">
            <v>72978.027353116224</v>
          </cell>
          <cell r="Q220">
            <v>59770.74456707135</v>
          </cell>
          <cell r="R220">
            <v>69711.635520335767</v>
          </cell>
          <cell r="S220">
            <v>522313.72638191434</v>
          </cell>
          <cell r="T220">
            <v>522313.72638191434</v>
          </cell>
          <cell r="U220">
            <v>0.89232870916863949</v>
          </cell>
          <cell r="V220">
            <v>21440.114282384049</v>
          </cell>
          <cell r="W220">
            <v>61062.043375421403</v>
          </cell>
          <cell r="X220">
            <v>116829.86246412323</v>
          </cell>
          <cell r="Y220">
            <v>141522.20367816032</v>
          </cell>
          <cell r="Z220">
            <v>186581.33477515978</v>
          </cell>
          <cell r="AA220">
            <v>229128.47095398104</v>
          </cell>
          <cell r="AB220">
            <v>289743.74840439699</v>
          </cell>
        </row>
        <row r="221">
          <cell r="G221">
            <v>225.80238622881279</v>
          </cell>
          <cell r="H221">
            <v>2896.7227028178772</v>
          </cell>
          <cell r="I221">
            <v>5217.8028902739115</v>
          </cell>
          <cell r="J221">
            <v>7460.2519439065236</v>
          </cell>
          <cell r="K221">
            <v>3423.938952151449</v>
          </cell>
          <cell r="L221">
            <v>5798.3185907163006</v>
          </cell>
          <cell r="M221">
            <v>5291.7528041902588</v>
          </cell>
          <cell r="N221">
            <v>7396.6286388083108</v>
          </cell>
          <cell r="O221">
            <v>2875.6779921144093</v>
          </cell>
          <cell r="P221">
            <v>8071.682443912865</v>
          </cell>
          <cell r="Q221">
            <v>6631.5788553407619</v>
          </cell>
          <cell r="R221">
            <v>7734.6619820729647</v>
          </cell>
          <cell r="S221">
            <v>63024.820182534459</v>
          </cell>
          <cell r="T221">
            <v>63024.820182534429</v>
          </cell>
          <cell r="U221">
            <v>0.10767129083136044</v>
          </cell>
          <cell r="V221">
            <v>3122.52508904669</v>
          </cell>
          <cell r="W221">
            <v>8340.327979320602</v>
          </cell>
          <cell r="X221">
            <v>15800.579923227126</v>
          </cell>
          <cell r="Y221">
            <v>19224.518875378573</v>
          </cell>
          <cell r="Z221">
            <v>25022.837466094876</v>
          </cell>
          <cell r="AA221">
            <v>30314.590270285134</v>
          </cell>
          <cell r="AB221">
            <v>37711.218909093448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6">
          <cell r="G226">
            <v>-218.7750059165237</v>
          </cell>
          <cell r="H226">
            <v>24781.414377347264</v>
          </cell>
          <cell r="I226">
            <v>44839.731983311263</v>
          </cell>
          <cell r="J226">
            <v>63228.07103260835</v>
          </cell>
          <cell r="K226">
            <v>28116.280166188539</v>
          </cell>
          <cell r="L226">
            <v>50857.449687715751</v>
          </cell>
          <cell r="M226">
            <v>47838.888983011537</v>
          </cell>
          <cell r="N226">
            <v>68011.906089224241</v>
          </cell>
          <cell r="O226">
            <v>32985.248529108445</v>
          </cell>
          <cell r="P226">
            <v>81049.709797029092</v>
          </cell>
          <cell r="Q226">
            <v>66402.323422412112</v>
          </cell>
          <cell r="R226">
            <v>77446.297502408735</v>
          </cell>
          <cell r="S226">
            <v>585338.54656444886</v>
          </cell>
          <cell r="T226">
            <v>585338.54656444886</v>
          </cell>
          <cell r="V226">
            <v>24562.639371430741</v>
          </cell>
          <cell r="W226">
            <v>69402.371354742005</v>
          </cell>
          <cell r="X226">
            <v>132630.44238735037</v>
          </cell>
          <cell r="Y226">
            <v>160746.72255353892</v>
          </cell>
          <cell r="Z226">
            <v>211604.17224125465</v>
          </cell>
          <cell r="AA226">
            <v>259443.06122426619</v>
          </cell>
          <cell r="AB226">
            <v>327454.96731349046</v>
          </cell>
        </row>
        <row r="227">
          <cell r="G227">
            <v>-39845.405379799049</v>
          </cell>
          <cell r="H227">
            <v>16539.753496515012</v>
          </cell>
          <cell r="I227">
            <v>55162.607791513568</v>
          </cell>
          <cell r="J227">
            <v>87186.132955184788</v>
          </cell>
          <cell r="K227">
            <v>16420.332397890325</v>
          </cell>
          <cell r="L227">
            <v>61724.47213248202</v>
          </cell>
          <cell r="M227">
            <v>56938.962892474381</v>
          </cell>
          <cell r="N227">
            <v>94640.537977376007</v>
          </cell>
          <cell r="O227">
            <v>30903.901944842379</v>
          </cell>
          <cell r="P227">
            <v>110850.42291883192</v>
          </cell>
          <cell r="Q227">
            <v>84641.662548497872</v>
          </cell>
          <cell r="R227">
            <v>110345.13172296535</v>
          </cell>
          <cell r="S227">
            <v>685508.51339877455</v>
          </cell>
          <cell r="T227">
            <v>685508.51339877455</v>
          </cell>
          <cell r="V227">
            <v>-23305.651883284037</v>
          </cell>
          <cell r="W227">
            <v>31856.955908229531</v>
          </cell>
          <cell r="X227">
            <v>119043.08886341432</v>
          </cell>
          <cell r="Y227">
            <v>135463.42126130464</v>
          </cell>
          <cell r="Z227">
            <v>197187.89339378665</v>
          </cell>
          <cell r="AA227">
            <v>254126.85628626103</v>
          </cell>
          <cell r="AB227">
            <v>348767.39426363702</v>
          </cell>
        </row>
        <row r="228">
          <cell r="G228">
            <v>0</v>
          </cell>
          <cell r="H228">
            <v>0</v>
          </cell>
          <cell r="I228">
            <v>0</v>
          </cell>
          <cell r="J228"/>
          <cell r="K228"/>
          <cell r="L228"/>
          <cell r="M228"/>
          <cell r="N228"/>
          <cell r="O228"/>
          <cell r="P228"/>
          <cell r="Q228"/>
          <cell r="R228"/>
          <cell r="S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/>
          <cell r="K229"/>
          <cell r="L229"/>
          <cell r="M229"/>
          <cell r="N229"/>
          <cell r="O229"/>
          <cell r="P229"/>
          <cell r="Q229"/>
          <cell r="R229"/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3">
          <cell r="G233">
            <v>39670.29996559782</v>
          </cell>
        </row>
        <row r="234">
          <cell r="G234">
            <v>709406.85182383005</v>
          </cell>
        </row>
        <row r="235">
          <cell r="G235">
            <v>277692.09975918476</v>
          </cell>
        </row>
        <row r="236">
          <cell r="G236">
            <v>27000</v>
          </cell>
        </row>
      </sheetData>
      <sheetData sheetId="2"/>
      <sheetData sheetId="3">
        <row r="4">
          <cell r="G4" t="str">
            <v>1월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/>
      <sheetData sheetId="1">
        <row r="5">
          <cell r="E5" t="str">
            <v>구분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6500</v>
          </cell>
          <cell r="I6">
            <v>6000</v>
          </cell>
          <cell r="J6">
            <v>6500</v>
          </cell>
          <cell r="K6">
            <v>9500</v>
          </cell>
          <cell r="L6">
            <v>9500</v>
          </cell>
          <cell r="M6">
            <v>9500</v>
          </cell>
          <cell r="N6">
            <v>9500</v>
          </cell>
          <cell r="O6">
            <v>9500</v>
          </cell>
          <cell r="P6">
            <v>9500</v>
          </cell>
          <cell r="Q6">
            <v>9500</v>
          </cell>
          <cell r="R6">
            <v>8133</v>
          </cell>
          <cell r="S6">
            <v>101633</v>
          </cell>
          <cell r="T6">
            <v>0.33877646783553828</v>
          </cell>
          <cell r="V6">
            <v>14500</v>
          </cell>
          <cell r="W6">
            <v>20500</v>
          </cell>
          <cell r="X6">
            <v>27000</v>
          </cell>
          <cell r="Y6">
            <v>36500</v>
          </cell>
          <cell r="Z6">
            <v>46000</v>
          </cell>
          <cell r="AA6">
            <v>55500</v>
          </cell>
          <cell r="AB6">
            <v>65000</v>
          </cell>
          <cell r="AC6">
            <v>74500</v>
          </cell>
          <cell r="AD6">
            <v>84000</v>
          </cell>
          <cell r="AE6">
            <v>93500</v>
          </cell>
          <cell r="AF6">
            <v>101633</v>
          </cell>
        </row>
        <row r="7">
          <cell r="G7">
            <v>16586.870682990953</v>
          </cell>
          <cell r="H7">
            <v>11567.897800162975</v>
          </cell>
          <cell r="I7">
            <v>8876.6974313291757</v>
          </cell>
          <cell r="J7">
            <v>10696.307872616711</v>
          </cell>
          <cell r="K7">
            <v>18519.294299382029</v>
          </cell>
          <cell r="L7">
            <v>18065.379730358123</v>
          </cell>
          <cell r="M7">
            <v>18249.090710905504</v>
          </cell>
          <cell r="N7">
            <v>18371.513700188385</v>
          </cell>
          <cell r="O7">
            <v>17011.795321480207</v>
          </cell>
          <cell r="P7">
            <v>19754.222470020948</v>
          </cell>
          <cell r="Q7">
            <v>20268.648431551352</v>
          </cell>
          <cell r="R7">
            <v>20399.457621864596</v>
          </cell>
          <cell r="S7">
            <v>198367.17607285097</v>
          </cell>
          <cell r="T7">
            <v>0.66122353216446184</v>
          </cell>
          <cell r="V7">
            <v>28154.76848315393</v>
          </cell>
          <cell r="W7">
            <v>37031.465914483109</v>
          </cell>
          <cell r="X7">
            <v>47727.773787099824</v>
          </cell>
          <cell r="Y7">
            <v>66247.068086481857</v>
          </cell>
          <cell r="Z7">
            <v>84312.44781683998</v>
          </cell>
          <cell r="AA7">
            <v>102561.53852774549</v>
          </cell>
          <cell r="AB7">
            <v>120933.05222793388</v>
          </cell>
          <cell r="AC7">
            <v>137944.84754941409</v>
          </cell>
          <cell r="AD7">
            <v>157699.07001943502</v>
          </cell>
          <cell r="AE7">
            <v>177967.71845098637</v>
          </cell>
          <cell r="AF7">
            <v>198367.17607285097</v>
          </cell>
        </row>
        <row r="8">
          <cell r="G8">
            <v>24586.870682990953</v>
          </cell>
          <cell r="H8">
            <v>18067.897800162973</v>
          </cell>
          <cell r="I8">
            <v>14876.697431329176</v>
          </cell>
          <cell r="J8">
            <v>17196.307872616711</v>
          </cell>
          <cell r="K8">
            <v>28019.294299382029</v>
          </cell>
          <cell r="L8">
            <v>27565.379730358123</v>
          </cell>
          <cell r="M8">
            <v>27749.090710905504</v>
          </cell>
          <cell r="N8">
            <v>27871.513700188385</v>
          </cell>
          <cell r="O8">
            <v>26511.795321480207</v>
          </cell>
          <cell r="P8">
            <v>29254.222470020948</v>
          </cell>
          <cell r="Q8">
            <v>29768.648431551352</v>
          </cell>
          <cell r="R8">
            <v>28532.457621864596</v>
          </cell>
          <cell r="S8">
            <v>300000.17607285094</v>
          </cell>
          <cell r="V8">
            <v>42654.76848315393</v>
          </cell>
          <cell r="W8">
            <v>57531.465914483109</v>
          </cell>
          <cell r="X8">
            <v>74727.773787099824</v>
          </cell>
          <cell r="Y8">
            <v>102747.06808648186</v>
          </cell>
          <cell r="Z8">
            <v>130312.44781683998</v>
          </cell>
          <cell r="AA8">
            <v>158061.53852774549</v>
          </cell>
          <cell r="AB8">
            <v>185933.05222793389</v>
          </cell>
          <cell r="AC8">
            <v>212444.84754941409</v>
          </cell>
          <cell r="AD8">
            <v>241699.07001943502</v>
          </cell>
          <cell r="AE8">
            <v>271467.71845098637</v>
          </cell>
          <cell r="AF8">
            <v>300000.17607285094</v>
          </cell>
        </row>
        <row r="9">
          <cell r="G9">
            <v>228000</v>
          </cell>
          <cell r="H9">
            <v>204750</v>
          </cell>
          <cell r="I9">
            <v>210000</v>
          </cell>
          <cell r="J9">
            <v>204750</v>
          </cell>
          <cell r="K9">
            <v>270750</v>
          </cell>
          <cell r="L9">
            <v>270750</v>
          </cell>
          <cell r="M9">
            <v>270750</v>
          </cell>
          <cell r="N9">
            <v>270750</v>
          </cell>
          <cell r="O9">
            <v>270750</v>
          </cell>
          <cell r="P9">
            <v>270750</v>
          </cell>
          <cell r="Q9">
            <v>270750</v>
          </cell>
          <cell r="R9">
            <v>231790.5</v>
          </cell>
          <cell r="S9">
            <v>2974540.5</v>
          </cell>
          <cell r="V9">
            <v>432750</v>
          </cell>
          <cell r="W9">
            <v>642750</v>
          </cell>
          <cell r="X9">
            <v>847500</v>
          </cell>
          <cell r="Y9">
            <v>1118250</v>
          </cell>
          <cell r="Z9">
            <v>1389000</v>
          </cell>
          <cell r="AA9">
            <v>1659750</v>
          </cell>
          <cell r="AB9">
            <v>1930500</v>
          </cell>
          <cell r="AC9">
            <v>2201250</v>
          </cell>
          <cell r="AD9">
            <v>2472000</v>
          </cell>
          <cell r="AE9">
            <v>2742750</v>
          </cell>
          <cell r="AF9">
            <v>2974540.5</v>
          </cell>
        </row>
        <row r="10">
          <cell r="G10">
            <v>469843.14324381144</v>
          </cell>
          <cell r="H10">
            <v>352682.64248418884</v>
          </cell>
          <cell r="I10">
            <v>312361.52710826986</v>
          </cell>
          <cell r="J10">
            <v>334339.11138622963</v>
          </cell>
          <cell r="K10">
            <v>524932.27333394904</v>
          </cell>
          <cell r="L10">
            <v>512513.75310459413</v>
          </cell>
          <cell r="M10">
            <v>518755.53940989065</v>
          </cell>
          <cell r="N10">
            <v>522185.17484875274</v>
          </cell>
          <cell r="O10">
            <v>483452.99506738409</v>
          </cell>
          <cell r="P10">
            <v>561413.80631466</v>
          </cell>
          <cell r="Q10">
            <v>575611.77016930934</v>
          </cell>
          <cell r="R10">
            <v>579274.17774659046</v>
          </cell>
          <cell r="S10">
            <v>5747365.9142176304</v>
          </cell>
          <cell r="V10">
            <v>822525.78572800034</v>
          </cell>
          <cell r="W10">
            <v>1134887.3128362703</v>
          </cell>
          <cell r="X10">
            <v>1469226.4242225001</v>
          </cell>
          <cell r="Y10">
            <v>1994158.6975564491</v>
          </cell>
          <cell r="Z10">
            <v>2506672.4506610432</v>
          </cell>
          <cell r="AA10">
            <v>3025427.9900709339</v>
          </cell>
          <cell r="AB10">
            <v>3547613.1649196865</v>
          </cell>
          <cell r="AC10">
            <v>4031066.1599870706</v>
          </cell>
          <cell r="AD10">
            <v>4592479.9663017308</v>
          </cell>
          <cell r="AE10">
            <v>5168091.7364710402</v>
          </cell>
          <cell r="AF10">
            <v>5747365.9142176304</v>
          </cell>
        </row>
        <row r="11">
          <cell r="G11">
            <v>697843.14324381144</v>
          </cell>
          <cell r="H11">
            <v>557432.64248418878</v>
          </cell>
          <cell r="I11">
            <v>522361.52710826986</v>
          </cell>
          <cell r="J11">
            <v>539089.11138622963</v>
          </cell>
          <cell r="K11">
            <v>795682.27333394904</v>
          </cell>
          <cell r="L11">
            <v>783263.75310459407</v>
          </cell>
          <cell r="M11">
            <v>789505.53940989065</v>
          </cell>
          <cell r="N11">
            <v>792935.17484875279</v>
          </cell>
          <cell r="O11">
            <v>754202.99506738409</v>
          </cell>
          <cell r="P11">
            <v>832163.80631466</v>
          </cell>
          <cell r="Q11">
            <v>846361.77016930934</v>
          </cell>
          <cell r="R11">
            <v>811064.67774659046</v>
          </cell>
          <cell r="S11">
            <v>8721906.4142176304</v>
          </cell>
          <cell r="V11">
            <v>1255275.7857280003</v>
          </cell>
          <cell r="W11">
            <v>1777637.3128362703</v>
          </cell>
          <cell r="X11">
            <v>2316726.4242225001</v>
          </cell>
          <cell r="Y11">
            <v>3112408.6975564491</v>
          </cell>
          <cell r="Z11">
            <v>3895672.4506610432</v>
          </cell>
          <cell r="AA11">
            <v>4685177.9900709335</v>
          </cell>
          <cell r="AB11">
            <v>5478113.1649196865</v>
          </cell>
          <cell r="AC11">
            <v>6232316.1599870706</v>
          </cell>
          <cell r="AD11">
            <v>7064479.9663017308</v>
          </cell>
          <cell r="AE11">
            <v>7910841.7364710402</v>
          </cell>
          <cell r="AF11">
            <v>8721906.4142176304</v>
          </cell>
        </row>
        <row r="12">
          <cell r="G12">
            <v>205262.36220748385</v>
          </cell>
          <cell r="H12">
            <v>172843.41339529093</v>
          </cell>
          <cell r="I12">
            <v>181503.72331811627</v>
          </cell>
          <cell r="J12">
            <v>173522.01818313726</v>
          </cell>
          <cell r="K12">
            <v>233249.11289745287</v>
          </cell>
          <cell r="L12">
            <v>258348.42218489441</v>
          </cell>
          <cell r="M12">
            <v>236824.74846569018</v>
          </cell>
          <cell r="N12">
            <v>235931.21786972354</v>
          </cell>
          <cell r="O12">
            <v>233442.04475049299</v>
          </cell>
          <cell r="P12">
            <v>234993.66120758065</v>
          </cell>
          <cell r="Q12">
            <v>232918.67769363636</v>
          </cell>
          <cell r="R12">
            <v>199734.18620191864</v>
          </cell>
          <cell r="S12">
            <v>2598573.5883754175</v>
          </cell>
          <cell r="V12">
            <v>378105.77560277481</v>
          </cell>
          <cell r="W12">
            <v>559609.49892089108</v>
          </cell>
          <cell r="X12">
            <v>733131.51710402837</v>
          </cell>
          <cell r="Y12">
            <v>966380.63000148127</v>
          </cell>
          <cell r="Z12">
            <v>1224729.0521863757</v>
          </cell>
          <cell r="AA12">
            <v>1461553.8006520658</v>
          </cell>
          <cell r="AB12">
            <v>1697485.0185217892</v>
          </cell>
          <cell r="AC12">
            <v>1930927.0632722822</v>
          </cell>
          <cell r="AD12">
            <v>2165920.724479863</v>
          </cell>
          <cell r="AE12">
            <v>2398839.4021734991</v>
          </cell>
          <cell r="AF12">
            <v>2598573.5883754175</v>
          </cell>
        </row>
        <row r="13">
          <cell r="G13">
            <v>425582.53225259803</v>
          </cell>
          <cell r="H13">
            <v>300627.05191836326</v>
          </cell>
          <cell r="I13">
            <v>268525.60575910064</v>
          </cell>
          <cell r="J13">
            <v>282750.89297740336</v>
          </cell>
          <cell r="K13">
            <v>454695.68071765418</v>
          </cell>
          <cell r="L13">
            <v>491280.24731673626</v>
          </cell>
          <cell r="M13">
            <v>454930.13866713253</v>
          </cell>
          <cell r="N13">
            <v>456254.06330481649</v>
          </cell>
          <cell r="O13">
            <v>418028.24049717997</v>
          </cell>
          <cell r="P13">
            <v>488643.90131992422</v>
          </cell>
          <cell r="Q13">
            <v>496941.76750675129</v>
          </cell>
          <cell r="R13">
            <v>500979.84348501806</v>
          </cell>
          <cell r="S13">
            <v>5039239.9657226782</v>
          </cell>
          <cell r="V13">
            <v>726209.58417096129</v>
          </cell>
          <cell r="W13">
            <v>994735.18993006193</v>
          </cell>
          <cell r="X13">
            <v>1277486.0829074653</v>
          </cell>
          <cell r="Y13">
            <v>1732181.7636251193</v>
          </cell>
          <cell r="Z13">
            <v>2223462.0109418556</v>
          </cell>
          <cell r="AA13">
            <v>2678392.1496089883</v>
          </cell>
          <cell r="AB13">
            <v>3134646.2129138047</v>
          </cell>
          <cell r="AC13">
            <v>3552674.4534109845</v>
          </cell>
          <cell r="AD13">
            <v>4041318.3547309088</v>
          </cell>
          <cell r="AE13">
            <v>4538260.12223766</v>
          </cell>
          <cell r="AF13">
            <v>5039239.9657226782</v>
          </cell>
        </row>
        <row r="14">
          <cell r="G14">
            <v>630844.89446008182</v>
          </cell>
          <cell r="H14">
            <v>473470.46531365416</v>
          </cell>
          <cell r="I14">
            <v>450029.32907721691</v>
          </cell>
          <cell r="J14">
            <v>456272.91116054065</v>
          </cell>
          <cell r="K14">
            <v>687944.79361510708</v>
          </cell>
          <cell r="L14">
            <v>749628.66950163071</v>
          </cell>
          <cell r="M14">
            <v>691754.88713282277</v>
          </cell>
          <cell r="N14">
            <v>692185.28117454005</v>
          </cell>
          <cell r="O14">
            <v>651470.28524767293</v>
          </cell>
          <cell r="P14">
            <v>723637.56252750487</v>
          </cell>
          <cell r="Q14">
            <v>729860.44520038762</v>
          </cell>
          <cell r="R14">
            <v>700714.02968693664</v>
          </cell>
          <cell r="S14">
            <v>7637813.5540980957</v>
          </cell>
          <cell r="V14">
            <v>1104315.359773736</v>
          </cell>
          <cell r="W14">
            <v>1554344.688850953</v>
          </cell>
          <cell r="X14">
            <v>2010617.6000114935</v>
          </cell>
          <cell r="Y14">
            <v>2698562.3936266005</v>
          </cell>
          <cell r="Z14">
            <v>3448191.0631282311</v>
          </cell>
          <cell r="AA14">
            <v>4139945.9502610541</v>
          </cell>
          <cell r="AB14">
            <v>4832131.2314355941</v>
          </cell>
          <cell r="AC14">
            <v>5483601.5166832665</v>
          </cell>
          <cell r="AD14">
            <v>6207239.0792107712</v>
          </cell>
          <cell r="AE14">
            <v>6937099.5244111586</v>
          </cell>
          <cell r="AF14">
            <v>7637813.5540980957</v>
          </cell>
        </row>
        <row r="15">
          <cell r="G15">
            <v>22737.637792516151</v>
          </cell>
          <cell r="H15">
            <v>31906.586604709068</v>
          </cell>
          <cell r="I15">
            <v>28496.276681883726</v>
          </cell>
          <cell r="J15">
            <v>31227.981816862739</v>
          </cell>
          <cell r="K15">
            <v>37500.887102547131</v>
          </cell>
          <cell r="L15">
            <v>12401.577815105586</v>
          </cell>
          <cell r="M15">
            <v>33925.25153430982</v>
          </cell>
          <cell r="N15">
            <v>34818.782130276464</v>
          </cell>
          <cell r="O15">
            <v>37307.955249507009</v>
          </cell>
          <cell r="P15">
            <v>35756.338792419352</v>
          </cell>
          <cell r="Q15">
            <v>37831.32230636364</v>
          </cell>
          <cell r="R15">
            <v>32056.313798081363</v>
          </cell>
          <cell r="S15">
            <v>375966.91162458202</v>
          </cell>
          <cell r="V15">
            <v>54644.224397225189</v>
          </cell>
          <cell r="W15">
            <v>83140.501079108915</v>
          </cell>
          <cell r="X15">
            <v>114368.48289597163</v>
          </cell>
          <cell r="Y15">
            <v>151869.36999851873</v>
          </cell>
          <cell r="Z15">
            <v>164270.94781362428</v>
          </cell>
          <cell r="AA15">
            <v>198196.19934793422</v>
          </cell>
          <cell r="AB15">
            <v>233014.98147821077</v>
          </cell>
          <cell r="AC15">
            <v>270322.93672771775</v>
          </cell>
          <cell r="AD15">
            <v>306079.27552013705</v>
          </cell>
          <cell r="AE15">
            <v>343910.59782650089</v>
          </cell>
          <cell r="AF15">
            <v>375966.91162458248</v>
          </cell>
        </row>
        <row r="16">
          <cell r="G16">
            <v>44260.610991213412</v>
          </cell>
          <cell r="H16">
            <v>52055.59056582558</v>
          </cell>
          <cell r="I16">
            <v>43835.921349169221</v>
          </cell>
          <cell r="J16">
            <v>51588.218408826273</v>
          </cell>
          <cell r="K16">
            <v>70236.59261629486</v>
          </cell>
          <cell r="L16">
            <v>21233.505787857866</v>
          </cell>
          <cell r="M16">
            <v>63825.400742758124</v>
          </cell>
          <cell r="N16">
            <v>65931.111543936247</v>
          </cell>
          <cell r="O16">
            <v>65424.754570204124</v>
          </cell>
          <cell r="P16">
            <v>72769.904994735785</v>
          </cell>
          <cell r="Q16">
            <v>78670.00266255805</v>
          </cell>
          <cell r="R16">
            <v>78294.334261572396</v>
          </cell>
          <cell r="S16">
            <v>708125.94849495194</v>
          </cell>
          <cell r="V16">
            <v>96316.20155703905</v>
          </cell>
          <cell r="W16">
            <v>140152.12290620839</v>
          </cell>
          <cell r="X16">
            <v>191740.34131503478</v>
          </cell>
          <cell r="Y16">
            <v>261976.93393132975</v>
          </cell>
          <cell r="Z16">
            <v>283210.43971918756</v>
          </cell>
          <cell r="AA16">
            <v>347035.84046194563</v>
          </cell>
          <cell r="AB16">
            <v>412966.95200588182</v>
          </cell>
          <cell r="AC16">
            <v>478391.70657608612</v>
          </cell>
          <cell r="AD16">
            <v>551161.61157082208</v>
          </cell>
          <cell r="AE16">
            <v>629831.61423338018</v>
          </cell>
          <cell r="AF16">
            <v>708125.94849495217</v>
          </cell>
        </row>
        <row r="17">
          <cell r="G17">
            <v>66998.248783729563</v>
          </cell>
          <cell r="H17">
            <v>83962.177170534647</v>
          </cell>
          <cell r="I17">
            <v>72332.198031052947</v>
          </cell>
          <cell r="J17">
            <v>82816.200225689012</v>
          </cell>
          <cell r="K17">
            <v>107737.47971884199</v>
          </cell>
          <cell r="L17">
            <v>33635.083602963452</v>
          </cell>
          <cell r="M17">
            <v>97750.652277067944</v>
          </cell>
          <cell r="N17">
            <v>100749.89367421271</v>
          </cell>
          <cell r="O17">
            <v>102732.70981971113</v>
          </cell>
          <cell r="P17">
            <v>108526.24378715514</v>
          </cell>
          <cell r="Q17">
            <v>116501.32496892169</v>
          </cell>
          <cell r="R17">
            <v>110350.64805965376</v>
          </cell>
          <cell r="S17">
            <v>1084092.8601195342</v>
          </cell>
          <cell r="V17">
            <v>150960.42595426424</v>
          </cell>
          <cell r="W17">
            <v>223292.6239853173</v>
          </cell>
          <cell r="X17">
            <v>306108.8242110064</v>
          </cell>
          <cell r="Y17">
            <v>413846.30392984848</v>
          </cell>
          <cell r="Z17">
            <v>447481.38753281184</v>
          </cell>
          <cell r="AA17">
            <v>545232.03980987985</v>
          </cell>
          <cell r="AB17">
            <v>645981.93348409259</v>
          </cell>
          <cell r="AC17">
            <v>748714.64330380387</v>
          </cell>
          <cell r="AD17">
            <v>857240.88709095912</v>
          </cell>
          <cell r="AE17">
            <v>973742.21205988107</v>
          </cell>
          <cell r="AF17">
            <v>1084092.8601195347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G20">
            <v>370.4</v>
          </cell>
          <cell r="H20">
            <v>370.4</v>
          </cell>
          <cell r="I20">
            <v>370.4</v>
          </cell>
          <cell r="J20">
            <v>370.4</v>
          </cell>
          <cell r="K20">
            <v>370.4</v>
          </cell>
          <cell r="L20">
            <v>370.4</v>
          </cell>
          <cell r="M20">
            <v>370.4</v>
          </cell>
          <cell r="N20">
            <v>370.4</v>
          </cell>
          <cell r="O20">
            <v>370.4</v>
          </cell>
          <cell r="P20">
            <v>370.4</v>
          </cell>
          <cell r="Q20">
            <v>370.4</v>
          </cell>
          <cell r="R20">
            <v>370.4</v>
          </cell>
          <cell r="S20">
            <v>4444.8</v>
          </cell>
          <cell r="V20">
            <v>740.8</v>
          </cell>
          <cell r="W20">
            <v>1111.1999999999998</v>
          </cell>
          <cell r="X20">
            <v>1481.6</v>
          </cell>
          <cell r="Y20">
            <v>1852</v>
          </cell>
          <cell r="Z20">
            <v>2222.4</v>
          </cell>
          <cell r="AA20">
            <v>2592.8000000000002</v>
          </cell>
          <cell r="AB20">
            <v>2963.2000000000003</v>
          </cell>
          <cell r="AC20">
            <v>3333.6000000000004</v>
          </cell>
          <cell r="AD20">
            <v>3704.0000000000005</v>
          </cell>
          <cell r="AE20">
            <v>4074.4000000000005</v>
          </cell>
          <cell r="AF20">
            <v>4444.8</v>
          </cell>
        </row>
        <row r="21">
          <cell r="G21">
            <v>370.4</v>
          </cell>
          <cell r="H21">
            <v>370.4</v>
          </cell>
          <cell r="I21">
            <v>370.4</v>
          </cell>
          <cell r="J21">
            <v>370.4</v>
          </cell>
          <cell r="K21">
            <v>370.4</v>
          </cell>
          <cell r="L21">
            <v>370.4</v>
          </cell>
          <cell r="M21">
            <v>370.4</v>
          </cell>
          <cell r="N21">
            <v>370.4</v>
          </cell>
          <cell r="O21">
            <v>370.4</v>
          </cell>
          <cell r="P21">
            <v>370.4</v>
          </cell>
          <cell r="Q21">
            <v>370.4</v>
          </cell>
          <cell r="R21">
            <v>370.4</v>
          </cell>
          <cell r="S21">
            <v>4444.8</v>
          </cell>
          <cell r="V21">
            <v>740.8</v>
          </cell>
          <cell r="W21">
            <v>1111.1999999999998</v>
          </cell>
          <cell r="X21">
            <v>1481.6</v>
          </cell>
          <cell r="Y21">
            <v>1852</v>
          </cell>
          <cell r="Z21">
            <v>2222.4</v>
          </cell>
          <cell r="AA21">
            <v>2592.8000000000002</v>
          </cell>
          <cell r="AB21">
            <v>2963.2000000000003</v>
          </cell>
          <cell r="AC21">
            <v>3333.6000000000004</v>
          </cell>
          <cell r="AD21">
            <v>3704.0000000000005</v>
          </cell>
          <cell r="AE21">
            <v>4074.4000000000005</v>
          </cell>
          <cell r="AF21">
            <v>4444.8</v>
          </cell>
        </row>
        <row r="22">
          <cell r="G22">
            <v>11189.509211935736</v>
          </cell>
          <cell r="H22">
            <v>12371.718778372971</v>
          </cell>
          <cell r="I22">
            <v>13571.285580370557</v>
          </cell>
          <cell r="J22">
            <v>13130.021666103545</v>
          </cell>
          <cell r="K22">
            <v>11777.516203125402</v>
          </cell>
          <cell r="L22">
            <v>11596.739324401755</v>
          </cell>
          <cell r="M22">
            <v>11892.198416484352</v>
          </cell>
          <cell r="N22">
            <v>11839.963059088555</v>
          </cell>
          <cell r="O22">
            <v>12057.596222165741</v>
          </cell>
          <cell r="P22">
            <v>11280.343989633808</v>
          </cell>
          <cell r="Q22">
            <v>11085.410658461449</v>
          </cell>
          <cell r="R22">
            <v>9591.5293637943923</v>
          </cell>
          <cell r="S22">
            <v>141383.83247393827</v>
          </cell>
          <cell r="V22">
            <v>23561.227990308707</v>
          </cell>
          <cell r="W22">
            <v>37132.513570679264</v>
          </cell>
          <cell r="X22">
            <v>50262.535236782809</v>
          </cell>
          <cell r="Y22">
            <v>62040.051439908209</v>
          </cell>
          <cell r="Z22">
            <v>73636.790764309961</v>
          </cell>
          <cell r="AA22">
            <v>85528.989180794306</v>
          </cell>
          <cell r="AB22">
            <v>97368.952239882856</v>
          </cell>
          <cell r="AC22">
            <v>109426.54846204859</v>
          </cell>
          <cell r="AD22">
            <v>120706.8924516824</v>
          </cell>
          <cell r="AE22">
            <v>131792.30311014387</v>
          </cell>
          <cell r="AF22">
            <v>141383.83247393827</v>
          </cell>
        </row>
        <row r="23">
          <cell r="G23">
            <v>23199.867788064257</v>
          </cell>
          <cell r="H23">
            <v>22017.658221627025</v>
          </cell>
          <cell r="I23">
            <v>20078.032641851667</v>
          </cell>
          <cell r="J23">
            <v>21606.577556118667</v>
          </cell>
          <cell r="K23">
            <v>22959.083019096815</v>
          </cell>
          <cell r="L23">
            <v>22052.578897820465</v>
          </cell>
          <cell r="M23">
            <v>22844.400805737867</v>
          </cell>
          <cell r="N23">
            <v>22896.636163133662</v>
          </cell>
          <cell r="O23">
            <v>21591.722000056481</v>
          </cell>
          <cell r="P23">
            <v>23456.255232588413</v>
          </cell>
          <cell r="Q23">
            <v>23651.18856376077</v>
          </cell>
          <cell r="R23">
            <v>24057.788858427833</v>
          </cell>
          <cell r="S23">
            <v>270411.78974828392</v>
          </cell>
          <cell r="V23">
            <v>45217.526009691283</v>
          </cell>
          <cell r="W23">
            <v>65295.558651542946</v>
          </cell>
          <cell r="X23">
            <v>86902.136207661621</v>
          </cell>
          <cell r="Y23">
            <v>109861.21922675843</v>
          </cell>
          <cell r="Z23">
            <v>131913.7981245789</v>
          </cell>
          <cell r="AA23">
            <v>154758.19893031678</v>
          </cell>
          <cell r="AB23">
            <v>177654.83509345044</v>
          </cell>
          <cell r="AC23">
            <v>199246.55709350691</v>
          </cell>
          <cell r="AD23">
            <v>222702.81232609533</v>
          </cell>
          <cell r="AE23">
            <v>246354.00088985611</v>
          </cell>
          <cell r="AF23">
            <v>270411.78974828392</v>
          </cell>
        </row>
        <row r="24">
          <cell r="G24">
            <v>34389.376999999993</v>
          </cell>
          <cell r="H24">
            <v>34389.376999999993</v>
          </cell>
          <cell r="I24">
            <v>33649.318222222224</v>
          </cell>
          <cell r="J24">
            <v>34736.599222222212</v>
          </cell>
          <cell r="K24">
            <v>34736.599222222219</v>
          </cell>
          <cell r="L24">
            <v>33649.318222222224</v>
          </cell>
          <cell r="M24">
            <v>34736.599222222219</v>
          </cell>
          <cell r="N24">
            <v>34736.599222222219</v>
          </cell>
          <cell r="O24">
            <v>33649.318222222224</v>
          </cell>
          <cell r="P24">
            <v>34736.599222222219</v>
          </cell>
          <cell r="Q24">
            <v>34736.599222222219</v>
          </cell>
          <cell r="R24">
            <v>33649.318222222224</v>
          </cell>
          <cell r="S24">
            <v>411795.62222222221</v>
          </cell>
          <cell r="V24">
            <v>68778.753999999986</v>
          </cell>
          <cell r="W24">
            <v>102428.07222222221</v>
          </cell>
          <cell r="X24">
            <v>137164.67144444442</v>
          </cell>
          <cell r="Y24">
            <v>171901.27066666665</v>
          </cell>
          <cell r="Z24">
            <v>205550.58888888886</v>
          </cell>
          <cell r="AA24">
            <v>240287.18811111109</v>
          </cell>
          <cell r="AB24">
            <v>275023.78733333328</v>
          </cell>
          <cell r="AC24">
            <v>308673.10555555549</v>
          </cell>
          <cell r="AD24">
            <v>343409.70477777772</v>
          </cell>
          <cell r="AE24">
            <v>378146.304</v>
          </cell>
          <cell r="AF24">
            <v>411795.62222222215</v>
          </cell>
        </row>
        <row r="25">
          <cell r="G25">
            <v>5037.0741885949456</v>
          </cell>
          <cell r="H25">
            <v>5536.7594477289567</v>
          </cell>
          <cell r="I25">
            <v>5748.4770227147965</v>
          </cell>
          <cell r="J25">
            <v>5569.8032338634766</v>
          </cell>
          <cell r="K25">
            <v>4393.4152583566647</v>
          </cell>
          <cell r="L25">
            <v>4382.8458837007811</v>
          </cell>
          <cell r="M25">
            <v>4300.5959314413903</v>
          </cell>
          <cell r="N25">
            <v>4296.7515776720438</v>
          </cell>
          <cell r="O25">
            <v>5008.7896984100726</v>
          </cell>
          <cell r="P25">
            <v>4192.4977669534819</v>
          </cell>
          <cell r="Q25">
            <v>4146.8064678910696</v>
          </cell>
          <cell r="R25">
            <v>3817.9200798205279</v>
          </cell>
          <cell r="S25">
            <v>56431.736557148215</v>
          </cell>
          <cell r="V25">
            <v>10573.833636323903</v>
          </cell>
          <cell r="W25">
            <v>16322.3106590387</v>
          </cell>
          <cell r="X25">
            <v>21892.113892902176</v>
          </cell>
          <cell r="Y25">
            <v>26285.529151258841</v>
          </cell>
          <cell r="Z25">
            <v>30668.375034959623</v>
          </cell>
          <cell r="AA25">
            <v>34968.970966401015</v>
          </cell>
          <cell r="AB25">
            <v>39265.722544073062</v>
          </cell>
          <cell r="AC25">
            <v>44274.512242483135</v>
          </cell>
          <cell r="AD25">
            <v>48467.010009436621</v>
          </cell>
          <cell r="AE25">
            <v>52613.816477327688</v>
          </cell>
          <cell r="AF25">
            <v>56431.736557148215</v>
          </cell>
        </row>
        <row r="26">
          <cell r="G26">
            <v>10379.977059305791</v>
          </cell>
          <cell r="H26">
            <v>9537.08890268301</v>
          </cell>
          <cell r="I26">
            <v>8550.4907683904494</v>
          </cell>
          <cell r="J26">
            <v>9095.0088586376696</v>
          </cell>
          <cell r="K26">
            <v>8517.9887692307402</v>
          </cell>
          <cell r="L26">
            <v>8296.4683033592191</v>
          </cell>
          <cell r="M26">
            <v>8239.9186046125924</v>
          </cell>
          <cell r="N26">
            <v>8286.9805129024207</v>
          </cell>
          <cell r="O26">
            <v>8943.7280936620828</v>
          </cell>
          <cell r="P26">
            <v>8693.3559716013533</v>
          </cell>
          <cell r="Q26">
            <v>8816.0687406549205</v>
          </cell>
          <cell r="R26">
            <v>9541.4717813725474</v>
          </cell>
          <cell r="S26">
            <v>106898.5463664128</v>
          </cell>
          <cell r="V26">
            <v>19917.065961988803</v>
          </cell>
          <cell r="W26">
            <v>28467.556730379252</v>
          </cell>
          <cell r="X26">
            <v>37562.565589016922</v>
          </cell>
          <cell r="Y26">
            <v>46080.55435824766</v>
          </cell>
          <cell r="Z26">
            <v>54377.022661606883</v>
          </cell>
          <cell r="AA26">
            <v>62616.941266219474</v>
          </cell>
          <cell r="AB26">
            <v>70903.921779121898</v>
          </cell>
          <cell r="AC26">
            <v>79847.649872783979</v>
          </cell>
          <cell r="AD26">
            <v>88541.005844385334</v>
          </cell>
          <cell r="AE26">
            <v>97357.07458504026</v>
          </cell>
          <cell r="AF26">
            <v>106898.5463664128</v>
          </cell>
        </row>
        <row r="27">
          <cell r="G27">
            <v>15417.051247900738</v>
          </cell>
          <cell r="H27">
            <v>15073.848350411967</v>
          </cell>
          <cell r="I27">
            <v>14298.967791105246</v>
          </cell>
          <cell r="J27">
            <v>14664.812092501146</v>
          </cell>
          <cell r="K27">
            <v>12911.404027587405</v>
          </cell>
          <cell r="L27">
            <v>12679.314187060001</v>
          </cell>
          <cell r="M27">
            <v>12540.514536053983</v>
          </cell>
          <cell r="N27">
            <v>12583.732090574464</v>
          </cell>
          <cell r="O27">
            <v>13952.517792072154</v>
          </cell>
          <cell r="P27">
            <v>12885.853738554835</v>
          </cell>
          <cell r="Q27">
            <v>12962.875208545989</v>
          </cell>
          <cell r="R27">
            <v>13359.391861193075</v>
          </cell>
          <cell r="S27">
            <v>163330.28292356103</v>
          </cell>
          <cell r="V27">
            <v>30490.899598312706</v>
          </cell>
          <cell r="W27">
            <v>44789.867389417952</v>
          </cell>
          <cell r="X27">
            <v>59454.679481919098</v>
          </cell>
          <cell r="Y27">
            <v>72366.083509506498</v>
          </cell>
          <cell r="Z27">
            <v>85045.397696566506</v>
          </cell>
          <cell r="AA27">
            <v>97585.912232620496</v>
          </cell>
          <cell r="AB27">
            <v>110169.64432319495</v>
          </cell>
          <cell r="AC27">
            <v>124122.16211526711</v>
          </cell>
          <cell r="AD27">
            <v>137008.01585382194</v>
          </cell>
          <cell r="AE27">
            <v>149970.89106236794</v>
          </cell>
          <cell r="AF27">
            <v>163330.28292356103</v>
          </cell>
        </row>
        <row r="28">
          <cell r="G28">
            <v>6140.6543919854676</v>
          </cell>
          <cell r="H28">
            <v>13627.708378607138</v>
          </cell>
          <cell r="I28">
            <v>8806.1140787983713</v>
          </cell>
          <cell r="J28">
            <v>12157.756916895716</v>
          </cell>
          <cell r="K28">
            <v>20959.555641065064</v>
          </cell>
          <cell r="L28">
            <v>-3948.40739299695</v>
          </cell>
          <cell r="M28">
            <v>17362.057186384074</v>
          </cell>
          <cell r="N28">
            <v>18311.667493515863</v>
          </cell>
          <cell r="O28">
            <v>19871.169328931195</v>
          </cell>
          <cell r="P28">
            <v>19913.097035832059</v>
          </cell>
          <cell r="Q28">
            <v>22228.705180011119</v>
          </cell>
          <cell r="R28">
            <v>18276.464354466443</v>
          </cell>
          <cell r="S28">
            <v>173706.54259349554</v>
          </cell>
          <cell r="V28">
            <v>19768.362770592576</v>
          </cell>
          <cell r="W28">
            <v>28574.476849390954</v>
          </cell>
          <cell r="X28">
            <v>40732.233766286634</v>
          </cell>
          <cell r="Y28">
            <v>61691.789407351665</v>
          </cell>
          <cell r="Z28">
            <v>57743.382014354705</v>
          </cell>
          <cell r="AA28">
            <v>75105.439200738911</v>
          </cell>
          <cell r="AB28">
            <v>93417.10669425485</v>
          </cell>
          <cell r="AC28">
            <v>113288.27602318606</v>
          </cell>
          <cell r="AD28">
            <v>133201.37305901799</v>
          </cell>
          <cell r="AE28">
            <v>155430.0782390293</v>
          </cell>
          <cell r="AF28">
            <v>173706.54259349601</v>
          </cell>
        </row>
        <row r="29">
          <cell r="G29">
            <v>10680.766143843364</v>
          </cell>
          <cell r="H29">
            <v>20500.843441515543</v>
          </cell>
          <cell r="I29">
            <v>15207.397938927104</v>
          </cell>
          <cell r="J29">
            <v>20886.631994069936</v>
          </cell>
          <cell r="K29">
            <v>38759.52082796731</v>
          </cell>
          <cell r="L29">
            <v>-9115.5414133218183</v>
          </cell>
          <cell r="M29">
            <v>32741.081332407666</v>
          </cell>
          <cell r="N29">
            <v>34747.494867900168</v>
          </cell>
          <cell r="O29">
            <v>34889.304476485559</v>
          </cell>
          <cell r="P29">
            <v>40620.293790546013</v>
          </cell>
          <cell r="Q29">
            <v>46202.745358142362</v>
          </cell>
          <cell r="R29">
            <v>44695.073621772011</v>
          </cell>
          <cell r="S29">
            <v>330815.61238025525</v>
          </cell>
          <cell r="T29">
            <v>223917.06601384244</v>
          </cell>
          <cell r="V29">
            <v>31181.609585358965</v>
          </cell>
          <cell r="W29">
            <v>46389.007524286193</v>
          </cell>
          <cell r="X29">
            <v>67275.639518356242</v>
          </cell>
          <cell r="Y29">
            <v>106035.16034632365</v>
          </cell>
          <cell r="Z29">
            <v>96919.618933001781</v>
          </cell>
          <cell r="AA29">
            <v>129660.70026540937</v>
          </cell>
          <cell r="AB29">
            <v>164408.19513330946</v>
          </cell>
          <cell r="AC29">
            <v>199297.49960979522</v>
          </cell>
          <cell r="AD29">
            <v>239917.79340034144</v>
          </cell>
          <cell r="AE29">
            <v>286120.53875848377</v>
          </cell>
          <cell r="AF29">
            <v>330815.61238025548</v>
          </cell>
        </row>
        <row r="30">
          <cell r="G30">
            <v>16821.420535828831</v>
          </cell>
          <cell r="H30">
            <v>34128.551820122681</v>
          </cell>
          <cell r="I30">
            <v>24013.512017725476</v>
          </cell>
          <cell r="J30">
            <v>33044.388910965652</v>
          </cell>
          <cell r="K30">
            <v>59719.07646903237</v>
          </cell>
          <cell r="L30">
            <v>-13063.948806318767</v>
          </cell>
          <cell r="M30">
            <v>50103.13851879174</v>
          </cell>
          <cell r="N30">
            <v>53059.162361416034</v>
          </cell>
          <cell r="O30">
            <v>54760.473805416754</v>
          </cell>
          <cell r="P30">
            <v>60533.390826378076</v>
          </cell>
          <cell r="Q30">
            <v>68431.450538153484</v>
          </cell>
          <cell r="R30">
            <v>62971.537976238455</v>
          </cell>
          <cell r="S30">
            <v>504522.15497375076</v>
          </cell>
          <cell r="V30">
            <v>50949.972355951541</v>
          </cell>
          <cell r="W30">
            <v>74963.484373677144</v>
          </cell>
          <cell r="X30">
            <v>108007.87328464288</v>
          </cell>
          <cell r="Y30">
            <v>167726.94975367532</v>
          </cell>
          <cell r="Z30">
            <v>154663.00094735649</v>
          </cell>
          <cell r="AA30">
            <v>204766.13946614828</v>
          </cell>
          <cell r="AB30">
            <v>257825.30182756431</v>
          </cell>
          <cell r="AC30">
            <v>312585.77563298127</v>
          </cell>
          <cell r="AD30">
            <v>373119.16645935946</v>
          </cell>
          <cell r="AE30">
            <v>441550.61699751311</v>
          </cell>
          <cell r="AF30">
            <v>504522.15497375152</v>
          </cell>
        </row>
        <row r="33">
          <cell r="G33">
            <v>24586.870682990953</v>
          </cell>
          <cell r="H33">
            <v>18067.897800162973</v>
          </cell>
          <cell r="I33">
            <v>14876.697431329176</v>
          </cell>
          <cell r="J33">
            <v>17196.307872616711</v>
          </cell>
          <cell r="K33">
            <v>28019.294299382029</v>
          </cell>
          <cell r="L33">
            <v>27565.379730358123</v>
          </cell>
          <cell r="M33">
            <v>27749.090710905504</v>
          </cell>
          <cell r="N33">
            <v>27871.513700188385</v>
          </cell>
          <cell r="O33">
            <v>26511.795321480207</v>
          </cell>
          <cell r="P33">
            <v>29254.222470020948</v>
          </cell>
          <cell r="Q33">
            <v>29768.648431551352</v>
          </cell>
          <cell r="R33">
            <v>28532.457621864596</v>
          </cell>
          <cell r="S33">
            <v>300000.17607285094</v>
          </cell>
          <cell r="T33">
            <v>114067.12384491711</v>
          </cell>
        </row>
        <row r="34">
          <cell r="G34">
            <v>697843.14324381144</v>
          </cell>
          <cell r="H34">
            <v>557432.64248418878</v>
          </cell>
          <cell r="I34">
            <v>522361.52710826986</v>
          </cell>
          <cell r="J34">
            <v>539089.11138622963</v>
          </cell>
          <cell r="K34">
            <v>795682.27333394904</v>
          </cell>
          <cell r="L34">
            <v>783263.75310459407</v>
          </cell>
          <cell r="M34">
            <v>789505.53940989065</v>
          </cell>
          <cell r="N34">
            <v>792935.17484875279</v>
          </cell>
          <cell r="O34">
            <v>754202.99506738409</v>
          </cell>
          <cell r="P34">
            <v>832163.80631466</v>
          </cell>
          <cell r="Q34">
            <v>846361.77016930934</v>
          </cell>
          <cell r="R34">
            <v>811064.67774659046</v>
          </cell>
          <cell r="S34">
            <v>8721906.4142176304</v>
          </cell>
          <cell r="T34">
            <v>3243793.2492979439</v>
          </cell>
        </row>
        <row r="35">
          <cell r="G35">
            <v>592543.58346008195</v>
          </cell>
          <cell r="H35">
            <v>460980.22931365413</v>
          </cell>
          <cell r="I35">
            <v>416547.52807721694</v>
          </cell>
          <cell r="J35">
            <v>442589.89316054073</v>
          </cell>
          <cell r="K35">
            <v>675264.99261510698</v>
          </cell>
          <cell r="L35">
            <v>664325.65150163078</v>
          </cell>
          <cell r="M35">
            <v>668753.08613282267</v>
          </cell>
          <cell r="N35">
            <v>671703.48017454008</v>
          </cell>
          <cell r="O35">
            <v>638934.26724767301</v>
          </cell>
          <cell r="P35">
            <v>705026.76152750477</v>
          </cell>
          <cell r="Q35">
            <v>717424.42720038758</v>
          </cell>
          <cell r="R35">
            <v>687632.22868693678</v>
          </cell>
          <cell r="S35">
            <v>7341726.1290980969</v>
          </cell>
          <cell r="T35">
            <v>2749017.6846625023</v>
          </cell>
        </row>
        <row r="36">
          <cell r="S36">
            <v>0</v>
          </cell>
          <cell r="T36">
            <v>0</v>
          </cell>
        </row>
        <row r="37">
          <cell r="G37">
            <v>5518.3099999999995</v>
          </cell>
          <cell r="H37">
            <v>5518.3099999999995</v>
          </cell>
          <cell r="I37">
            <v>5518.3099999999995</v>
          </cell>
          <cell r="J37">
            <v>5518.3099999999995</v>
          </cell>
          <cell r="K37">
            <v>5518.3099999999995</v>
          </cell>
          <cell r="L37">
            <v>5518.3099999999995</v>
          </cell>
          <cell r="M37">
            <v>5518.3099999999995</v>
          </cell>
          <cell r="N37">
            <v>5518.3099999999995</v>
          </cell>
          <cell r="O37">
            <v>5518.3099999999995</v>
          </cell>
          <cell r="P37">
            <v>5518.3099999999995</v>
          </cell>
          <cell r="Q37">
            <v>5518.3099999999995</v>
          </cell>
          <cell r="R37">
            <v>5518.3099999999995</v>
          </cell>
          <cell r="S37">
            <v>66219.719999999987</v>
          </cell>
          <cell r="T37">
            <v>22073.239999999998</v>
          </cell>
        </row>
        <row r="38">
          <cell r="G38">
            <v>67542.777999999991</v>
          </cell>
          <cell r="H38">
            <v>41731.702999999994</v>
          </cell>
          <cell r="I38">
            <v>61983.209222222227</v>
          </cell>
          <cell r="J38">
            <v>43271.70722222222</v>
          </cell>
          <cell r="K38">
            <v>42268.490222222215</v>
          </cell>
          <cell r="L38">
            <v>113804.42622222223</v>
          </cell>
          <cell r="M38">
            <v>52590.490222222223</v>
          </cell>
          <cell r="N38">
            <v>50070.490222222215</v>
          </cell>
          <cell r="O38">
            <v>41037.426222222224</v>
          </cell>
          <cell r="P38">
            <v>48199.490222222215</v>
          </cell>
          <cell r="Q38">
            <v>42024.70722222222</v>
          </cell>
          <cell r="R38">
            <v>41583.209222222227</v>
          </cell>
          <cell r="S38">
            <v>646108.12722222216</v>
          </cell>
          <cell r="T38">
            <v>172844.83288888889</v>
          </cell>
        </row>
        <row r="39"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G41">
            <v>665604.67146008206</v>
          </cell>
          <cell r="H41">
            <v>508230.2423136541</v>
          </cell>
          <cell r="I41">
            <v>484049.04729943915</v>
          </cell>
          <cell r="J41">
            <v>491379.91038276296</v>
          </cell>
          <cell r="K41">
            <v>723051.79283732921</v>
          </cell>
          <cell r="L41">
            <v>783648.38772385311</v>
          </cell>
          <cell r="M41">
            <v>726861.8863550449</v>
          </cell>
          <cell r="N41">
            <v>727292.2803967623</v>
          </cell>
          <cell r="O41">
            <v>685490.00346989534</v>
          </cell>
          <cell r="P41">
            <v>758744.561749727</v>
          </cell>
          <cell r="Q41">
            <v>764967.44442260987</v>
          </cell>
          <cell r="R41">
            <v>734733.74790915905</v>
          </cell>
          <cell r="S41">
            <v>8054053.9763203198</v>
          </cell>
          <cell r="T41">
            <v>2943935.7575513911</v>
          </cell>
        </row>
        <row r="42">
          <cell r="G42">
            <v>32238.471783729387</v>
          </cell>
          <cell r="H42">
            <v>49202.400170534675</v>
          </cell>
          <cell r="I42">
            <v>38312.479808830714</v>
          </cell>
          <cell r="J42">
            <v>47709.201003466675</v>
          </cell>
          <cell r="K42">
            <v>72630.480496619828</v>
          </cell>
          <cell r="L42">
            <v>-384.63461925904267</v>
          </cell>
          <cell r="M42">
            <v>62643.653054845752</v>
          </cell>
          <cell r="N42">
            <v>65642.894451990491</v>
          </cell>
          <cell r="O42">
            <v>68712.991597488755</v>
          </cell>
          <cell r="P42">
            <v>73419.244564933004</v>
          </cell>
          <cell r="Q42">
            <v>81394.325746699469</v>
          </cell>
          <cell r="R42">
            <v>76330.929837431409</v>
          </cell>
          <cell r="S42">
            <v>667852.43789731117</v>
          </cell>
          <cell r="T42">
            <v>299857.49174655264</v>
          </cell>
        </row>
      </sheetData>
      <sheetData sheetId="2">
        <row r="6">
          <cell r="E6" t="str">
            <v>구분</v>
          </cell>
        </row>
      </sheetData>
      <sheetData sheetId="3">
        <row r="6">
          <cell r="E6" t="str">
            <v>구분</v>
          </cell>
        </row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  <cell r="S70" t="str">
            <v>계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G85">
            <v>0</v>
          </cell>
          <cell r="H85">
            <v>42507.53758908392</v>
          </cell>
          <cell r="I85">
            <v>146771.17745792025</v>
          </cell>
          <cell r="J85">
            <v>54179.251246369502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243457.96629337367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G88">
            <v>0</v>
          </cell>
          <cell r="H88">
            <v>63923.916083916083</v>
          </cell>
          <cell r="I88">
            <v>143828.81118881117</v>
          </cell>
          <cell r="J88">
            <v>71914.405594405587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279667.13286713284</v>
          </cell>
        </row>
        <row r="89">
          <cell r="G89">
            <v>0</v>
          </cell>
          <cell r="H89">
            <v>17804.895104895102</v>
          </cell>
          <cell r="I89">
            <v>21761.538461538461</v>
          </cell>
          <cell r="J89">
            <v>21761.538461538461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61327.972027972028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G91">
            <v>0</v>
          </cell>
          <cell r="H91">
            <v>124236.34877789511</v>
          </cell>
          <cell r="I91">
            <v>312361.52710826986</v>
          </cell>
          <cell r="J91">
            <v>147855.19530231354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584453.0711884785</v>
          </cell>
        </row>
        <row r="92">
          <cell r="G92">
            <v>116650.23764940587</v>
          </cell>
          <cell r="H92">
            <v>68251.748251748242</v>
          </cell>
          <cell r="I92">
            <v>0</v>
          </cell>
          <cell r="J92">
            <v>85314.68531468531</v>
          </cell>
          <cell r="K92">
            <v>131782.62648080222</v>
          </cell>
          <cell r="L92">
            <v>133223.21114655214</v>
          </cell>
          <cell r="M92">
            <v>144190.1303189816</v>
          </cell>
          <cell r="N92">
            <v>144823.26925434711</v>
          </cell>
          <cell r="O92">
            <v>138731.43213032113</v>
          </cell>
          <cell r="P92">
            <v>157486.81680417043</v>
          </cell>
          <cell r="Q92">
            <v>158007.85758189677</v>
          </cell>
          <cell r="R92">
            <v>158004.81061372336</v>
          </cell>
          <cell r="S92">
            <v>1436466.8255466339</v>
          </cell>
        </row>
        <row r="93">
          <cell r="G93">
            <v>124902.71328671329</v>
          </cell>
          <cell r="H93">
            <v>69048.391608391612</v>
          </cell>
          <cell r="I93">
            <v>0</v>
          </cell>
          <cell r="J93">
            <v>0</v>
          </cell>
          <cell r="K93">
            <v>150609.45454545456</v>
          </cell>
          <cell r="L93">
            <v>146265.73426573427</v>
          </cell>
          <cell r="M93">
            <v>152482.90909090906</v>
          </cell>
          <cell r="N93">
            <v>152523.63636363638</v>
          </cell>
          <cell r="O93">
            <v>111042.90909090909</v>
          </cell>
          <cell r="P93">
            <v>150202.18181818185</v>
          </cell>
          <cell r="Q93">
            <v>150202.18181818185</v>
          </cell>
          <cell r="R93">
            <v>153867.63636363635</v>
          </cell>
          <cell r="S93">
            <v>1361147.7482517483</v>
          </cell>
        </row>
        <row r="94">
          <cell r="G94">
            <v>73076.923076923078</v>
          </cell>
          <cell r="H94">
            <v>40192.307692307688</v>
          </cell>
          <cell r="I94">
            <v>0</v>
          </cell>
          <cell r="J94">
            <v>43846.153846153851</v>
          </cell>
          <cell r="K94">
            <v>87692.307692307702</v>
          </cell>
          <cell r="L94">
            <v>87692.307692307702</v>
          </cell>
          <cell r="M94">
            <v>80384.615384615376</v>
          </cell>
          <cell r="N94">
            <v>87692.307692307702</v>
          </cell>
          <cell r="O94">
            <v>87692.307692307702</v>
          </cell>
          <cell r="P94">
            <v>95000</v>
          </cell>
          <cell r="Q94">
            <v>102307.6923076923</v>
          </cell>
          <cell r="R94">
            <v>102307.6923076923</v>
          </cell>
          <cell r="S94">
            <v>887884.61538461526</v>
          </cell>
        </row>
        <row r="95">
          <cell r="G95">
            <v>114646.15384615384</v>
          </cell>
          <cell r="H95">
            <v>50953.846153846149</v>
          </cell>
          <cell r="I95">
            <v>0</v>
          </cell>
          <cell r="J95">
            <v>57323.076923076922</v>
          </cell>
          <cell r="K95">
            <v>114646.15384615384</v>
          </cell>
          <cell r="L95">
            <v>108276.92307692308</v>
          </cell>
          <cell r="M95">
            <v>108276.92307692308</v>
          </cell>
          <cell r="N95">
            <v>101907.6923076923</v>
          </cell>
          <cell r="O95">
            <v>101907.6923076923</v>
          </cell>
          <cell r="P95">
            <v>114646.15384615384</v>
          </cell>
          <cell r="Q95">
            <v>121015.38461538461</v>
          </cell>
          <cell r="R95">
            <v>121015.38461538461</v>
          </cell>
          <cell r="S95">
            <v>1114615.3846153845</v>
          </cell>
        </row>
        <row r="96">
          <cell r="G96">
            <v>40567.115384615383</v>
          </cell>
          <cell r="H96">
            <v>0</v>
          </cell>
          <cell r="I96">
            <v>0</v>
          </cell>
          <cell r="J96">
            <v>0</v>
          </cell>
          <cell r="K96">
            <v>40201.730769230766</v>
          </cell>
          <cell r="L96">
            <v>37055.576923076922</v>
          </cell>
          <cell r="M96">
            <v>33420.961538461539</v>
          </cell>
          <cell r="N96">
            <v>35238.269230769234</v>
          </cell>
          <cell r="O96">
            <v>44078.653846153851</v>
          </cell>
          <cell r="P96">
            <v>44078.653846153851</v>
          </cell>
          <cell r="Q96">
            <v>44078.653846153851</v>
          </cell>
          <cell r="R96">
            <v>44078.653846153851</v>
          </cell>
          <cell r="S96">
            <v>362798.26923076931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G98">
            <v>469843.14324381144</v>
          </cell>
          <cell r="H98">
            <v>228446.29370629371</v>
          </cell>
          <cell r="I98">
            <v>0</v>
          </cell>
          <cell r="J98">
            <v>186483.91608391609</v>
          </cell>
          <cell r="K98">
            <v>524932.27333394904</v>
          </cell>
          <cell r="L98">
            <v>512513.75310459413</v>
          </cell>
          <cell r="M98">
            <v>518755.53940989065</v>
          </cell>
          <cell r="N98">
            <v>522185.17484875274</v>
          </cell>
          <cell r="O98">
            <v>483452.99506738409</v>
          </cell>
          <cell r="P98">
            <v>561413.80631466</v>
          </cell>
          <cell r="Q98">
            <v>575611.77016930934</v>
          </cell>
          <cell r="R98">
            <v>579274.17774659046</v>
          </cell>
          <cell r="S98">
            <v>5162912.8430291517</v>
          </cell>
        </row>
        <row r="99">
          <cell r="G99">
            <v>469843.14324381144</v>
          </cell>
          <cell r="H99">
            <v>352682.64248418884</v>
          </cell>
          <cell r="I99">
            <v>312361.52710826986</v>
          </cell>
          <cell r="J99">
            <v>334339.11138622963</v>
          </cell>
          <cell r="K99">
            <v>524932.27333394904</v>
          </cell>
          <cell r="L99">
            <v>512513.75310459413</v>
          </cell>
          <cell r="M99">
            <v>518755.53940989065</v>
          </cell>
          <cell r="N99">
            <v>522185.17484875274</v>
          </cell>
          <cell r="O99">
            <v>483452.99506738409</v>
          </cell>
          <cell r="P99">
            <v>561413.80631466</v>
          </cell>
          <cell r="Q99">
            <v>575611.77016930934</v>
          </cell>
          <cell r="R99">
            <v>579274.17774659046</v>
          </cell>
          <cell r="S99">
            <v>5747365.9142176304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  <cell r="S193" t="str">
            <v>계</v>
          </cell>
        </row>
        <row r="194">
          <cell r="G194">
            <v>3824.597955718225</v>
          </cell>
          <cell r="H194">
            <v>2237.7622377622379</v>
          </cell>
          <cell r="I194">
            <v>0</v>
          </cell>
          <cell r="J194">
            <v>2797.2027972027972</v>
          </cell>
          <cell r="K194">
            <v>4320.7418518295817</v>
          </cell>
          <cell r="L194">
            <v>4367.9741359525287</v>
          </cell>
          <cell r="M194">
            <v>4727.545256360052</v>
          </cell>
          <cell r="N194">
            <v>4748.3039099785938</v>
          </cell>
          <cell r="O194">
            <v>4548.5715452564309</v>
          </cell>
          <cell r="P194">
            <v>5163.50219030067</v>
          </cell>
          <cell r="Q194">
            <v>5180.5854944884186</v>
          </cell>
          <cell r="R194">
            <v>5180.4855938925693</v>
          </cell>
          <cell r="S194">
            <v>47097.272968742109</v>
          </cell>
        </row>
        <row r="195">
          <cell r="G195">
            <v>4460.8111888111889</v>
          </cell>
          <cell r="H195">
            <v>2466.0139860139861</v>
          </cell>
          <cell r="I195">
            <v>0</v>
          </cell>
          <cell r="J195">
            <v>0</v>
          </cell>
          <cell r="K195">
            <v>5378.9090909090919</v>
          </cell>
          <cell r="L195">
            <v>5223.7762237762236</v>
          </cell>
          <cell r="M195">
            <v>5445.8181818181811</v>
          </cell>
          <cell r="N195">
            <v>5447.2727272727279</v>
          </cell>
          <cell r="O195">
            <v>3965.818181818182</v>
          </cell>
          <cell r="P195">
            <v>5364.3636363636369</v>
          </cell>
          <cell r="Q195">
            <v>5364.3636363636369</v>
          </cell>
          <cell r="R195">
            <v>5495.272727272727</v>
          </cell>
          <cell r="S195">
            <v>48612.419580419584</v>
          </cell>
        </row>
        <row r="196">
          <cell r="G196">
            <v>2657.3426573426573</v>
          </cell>
          <cell r="H196">
            <v>1461.5384615384614</v>
          </cell>
          <cell r="I196">
            <v>0</v>
          </cell>
          <cell r="J196">
            <v>1594.4055944055945</v>
          </cell>
          <cell r="K196">
            <v>3188.8111888111889</v>
          </cell>
          <cell r="L196">
            <v>3188.8111888111889</v>
          </cell>
          <cell r="M196">
            <v>2923.0769230769229</v>
          </cell>
          <cell r="N196">
            <v>3188.8111888111889</v>
          </cell>
          <cell r="O196">
            <v>3188.8111888111889</v>
          </cell>
          <cell r="P196">
            <v>3454.5454545454545</v>
          </cell>
          <cell r="Q196">
            <v>3720.2797202797201</v>
          </cell>
          <cell r="R196">
            <v>3720.2797202797201</v>
          </cell>
          <cell r="S196">
            <v>32286.713286713286</v>
          </cell>
        </row>
        <row r="197">
          <cell r="G197">
            <v>4168.9510489510485</v>
          </cell>
          <cell r="H197">
            <v>1852.8671328671328</v>
          </cell>
          <cell r="I197">
            <v>0</v>
          </cell>
          <cell r="J197">
            <v>2084.4755244755243</v>
          </cell>
          <cell r="K197">
            <v>4168.9510489510485</v>
          </cell>
          <cell r="L197">
            <v>3937.3426573426573</v>
          </cell>
          <cell r="M197">
            <v>3937.3426573426573</v>
          </cell>
          <cell r="N197">
            <v>3705.7342657342656</v>
          </cell>
          <cell r="O197">
            <v>3705.7342657342656</v>
          </cell>
          <cell r="P197">
            <v>4168.9510489510485</v>
          </cell>
          <cell r="Q197">
            <v>4400.5594405594402</v>
          </cell>
          <cell r="R197">
            <v>4400.5594405594402</v>
          </cell>
          <cell r="S197">
            <v>40531.468531468527</v>
          </cell>
        </row>
        <row r="198">
          <cell r="G198">
            <v>1475.1678321678321</v>
          </cell>
          <cell r="H198">
            <v>0</v>
          </cell>
          <cell r="I198">
            <v>0</v>
          </cell>
          <cell r="J198">
            <v>0</v>
          </cell>
          <cell r="K198">
            <v>1461.8811188811187</v>
          </cell>
          <cell r="L198">
            <v>1347.4755244755245</v>
          </cell>
          <cell r="M198">
            <v>1215.3076923076924</v>
          </cell>
          <cell r="N198">
            <v>1281.3916083916083</v>
          </cell>
          <cell r="O198">
            <v>1602.86013986014</v>
          </cell>
          <cell r="P198">
            <v>1602.86013986014</v>
          </cell>
          <cell r="Q198">
            <v>1602.86013986014</v>
          </cell>
          <cell r="R198">
            <v>1602.86013986014</v>
          </cell>
          <cell r="S198">
            <v>13192.664335664336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G200">
            <v>16586.870682990953</v>
          </cell>
          <cell r="H200">
            <v>8018.1818181818171</v>
          </cell>
          <cell r="I200">
            <v>0</v>
          </cell>
          <cell r="J200">
            <v>6476.0839160839159</v>
          </cell>
          <cell r="K200">
            <v>18519.294299382029</v>
          </cell>
          <cell r="L200">
            <v>18065.379730358123</v>
          </cell>
          <cell r="M200">
            <v>18249.090710905504</v>
          </cell>
          <cell r="N200">
            <v>18371.513700188385</v>
          </cell>
          <cell r="O200">
            <v>17011.795321480207</v>
          </cell>
          <cell r="P200">
            <v>19754.222470020948</v>
          </cell>
          <cell r="Q200">
            <v>20268.648431551352</v>
          </cell>
          <cell r="R200">
            <v>20399.457621864596</v>
          </cell>
          <cell r="S200">
            <v>181720.53870300783</v>
          </cell>
        </row>
        <row r="201">
          <cell r="G201">
            <v>0</v>
          </cell>
          <cell r="H201">
            <v>1180.7649330301088</v>
          </cell>
          <cell r="I201">
            <v>4076.9771516088963</v>
          </cell>
          <cell r="J201">
            <v>1504.9792012880418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6762.7212859270467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G204">
            <v>0</v>
          </cell>
          <cell r="H204">
            <v>1852.8671328671328</v>
          </cell>
          <cell r="I204">
            <v>4168.9510489510485</v>
          </cell>
          <cell r="J204">
            <v>2084.4755244755243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8106.2937062937053</v>
          </cell>
        </row>
        <row r="205">
          <cell r="G205">
            <v>0</v>
          </cell>
          <cell r="H205">
            <v>516.08391608391605</v>
          </cell>
          <cell r="I205">
            <v>630.76923076923072</v>
          </cell>
          <cell r="J205">
            <v>630.76923076923072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1777.6223776223776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G207">
            <v>0</v>
          </cell>
          <cell r="H207">
            <v>3549.7159819811577</v>
          </cell>
          <cell r="I207">
            <v>8876.6974313291757</v>
          </cell>
          <cell r="J207">
            <v>4220.2239565327964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16646.637369843127</v>
          </cell>
        </row>
        <row r="208">
          <cell r="G208">
            <v>3824.597955718225</v>
          </cell>
          <cell r="H208">
            <v>3418.5271707923466</v>
          </cell>
          <cell r="I208">
            <v>4076.9771516088963</v>
          </cell>
          <cell r="J208">
            <v>4302.1819984908389</v>
          </cell>
          <cell r="K208">
            <v>4320.7418518295817</v>
          </cell>
          <cell r="L208">
            <v>4367.9741359525287</v>
          </cell>
          <cell r="M208">
            <v>4727.545256360052</v>
          </cell>
          <cell r="N208">
            <v>4748.3039099785938</v>
          </cell>
          <cell r="O208">
            <v>4548.5715452564309</v>
          </cell>
          <cell r="P208">
            <v>5163.50219030067</v>
          </cell>
          <cell r="Q208">
            <v>5180.5854944884186</v>
          </cell>
          <cell r="R208">
            <v>5180.4855938925693</v>
          </cell>
          <cell r="S208">
            <v>53859.994254669153</v>
          </cell>
        </row>
        <row r="209">
          <cell r="G209">
            <v>4460.8111888111889</v>
          </cell>
          <cell r="H209">
            <v>2466.0139860139861</v>
          </cell>
          <cell r="I209">
            <v>0</v>
          </cell>
          <cell r="J209">
            <v>0</v>
          </cell>
          <cell r="K209">
            <v>5378.9090909090919</v>
          </cell>
          <cell r="L209">
            <v>5223.7762237762236</v>
          </cell>
          <cell r="M209">
            <v>5445.8181818181811</v>
          </cell>
          <cell r="N209">
            <v>5447.2727272727279</v>
          </cell>
          <cell r="O209">
            <v>3965.818181818182</v>
          </cell>
          <cell r="P209">
            <v>5364.3636363636369</v>
          </cell>
          <cell r="Q209">
            <v>5364.3636363636369</v>
          </cell>
          <cell r="R209">
            <v>5495.272727272727</v>
          </cell>
          <cell r="S209">
            <v>48612.419580419584</v>
          </cell>
        </row>
        <row r="210">
          <cell r="G210">
            <v>2657.3426573426573</v>
          </cell>
          <cell r="H210">
            <v>1461.5384615384614</v>
          </cell>
          <cell r="I210">
            <v>0</v>
          </cell>
          <cell r="J210">
            <v>1594.4055944055945</v>
          </cell>
          <cell r="K210">
            <v>3188.8111888111889</v>
          </cell>
          <cell r="L210">
            <v>3188.8111888111889</v>
          </cell>
          <cell r="M210">
            <v>2923.0769230769229</v>
          </cell>
          <cell r="N210">
            <v>3188.8111888111889</v>
          </cell>
          <cell r="O210">
            <v>3188.8111888111889</v>
          </cell>
          <cell r="P210">
            <v>3454.5454545454545</v>
          </cell>
          <cell r="Q210">
            <v>3720.2797202797201</v>
          </cell>
          <cell r="R210">
            <v>3720.2797202797201</v>
          </cell>
          <cell r="S210">
            <v>32286.713286713286</v>
          </cell>
        </row>
        <row r="211">
          <cell r="G211">
            <v>4168.9510489510485</v>
          </cell>
          <cell r="H211">
            <v>3705.7342657342656</v>
          </cell>
          <cell r="I211">
            <v>4168.9510489510485</v>
          </cell>
          <cell r="J211">
            <v>4168.9510489510485</v>
          </cell>
          <cell r="K211">
            <v>4168.9510489510485</v>
          </cell>
          <cell r="L211">
            <v>3937.3426573426573</v>
          </cell>
          <cell r="M211">
            <v>3937.3426573426573</v>
          </cell>
          <cell r="N211">
            <v>3705.7342657342656</v>
          </cell>
          <cell r="O211">
            <v>3705.7342657342656</v>
          </cell>
          <cell r="P211">
            <v>4168.9510489510485</v>
          </cell>
          <cell r="Q211">
            <v>4400.5594405594402</v>
          </cell>
          <cell r="R211">
            <v>4400.5594405594402</v>
          </cell>
          <cell r="S211">
            <v>48637.762237762239</v>
          </cell>
        </row>
        <row r="212">
          <cell r="G212">
            <v>1475.1678321678321</v>
          </cell>
          <cell r="H212">
            <v>516.08391608391605</v>
          </cell>
          <cell r="I212">
            <v>630.76923076923072</v>
          </cell>
          <cell r="J212">
            <v>630.76923076923072</v>
          </cell>
          <cell r="K212">
            <v>1461.8811188811187</v>
          </cell>
          <cell r="L212">
            <v>1347.4755244755245</v>
          </cell>
          <cell r="M212">
            <v>1215.3076923076924</v>
          </cell>
          <cell r="N212">
            <v>1281.3916083916083</v>
          </cell>
          <cell r="O212">
            <v>1602.86013986014</v>
          </cell>
          <cell r="P212">
            <v>1602.86013986014</v>
          </cell>
          <cell r="Q212">
            <v>1602.86013986014</v>
          </cell>
          <cell r="R212">
            <v>1602.86013986014</v>
          </cell>
          <cell r="S212">
            <v>14970.286713286714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G214">
            <v>16586.870682990953</v>
          </cell>
          <cell r="H214">
            <v>11567.897800162977</v>
          </cell>
          <cell r="I214">
            <v>8876.6974313291757</v>
          </cell>
          <cell r="J214">
            <v>10696.307872616711</v>
          </cell>
          <cell r="K214">
            <v>18519.294299382029</v>
          </cell>
          <cell r="L214">
            <v>18065.379730358123</v>
          </cell>
          <cell r="M214">
            <v>18249.090710905504</v>
          </cell>
          <cell r="N214">
            <v>18371.513700188385</v>
          </cell>
          <cell r="O214">
            <v>17011.795321480207</v>
          </cell>
          <cell r="P214">
            <v>19754.222470020948</v>
          </cell>
          <cell r="Q214">
            <v>20268.648431551352</v>
          </cell>
          <cell r="R214">
            <v>20399.457621864596</v>
          </cell>
          <cell r="S214">
            <v>198367.17607285097</v>
          </cell>
        </row>
        <row r="216">
          <cell r="G216">
            <v>1430</v>
          </cell>
          <cell r="H216" t="str">
            <v>KG/㎥</v>
          </cell>
          <cell r="S216" t="str">
            <v>[단위 :KG]</v>
          </cell>
        </row>
      </sheetData>
      <sheetData sheetId="4">
        <row r="6">
          <cell r="E6" t="str">
            <v>구분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L16" t="str">
            <v>부산</v>
          </cell>
          <cell r="M16" t="str">
            <v>(주)동양건재부문_EJ1_부산레미콘</v>
          </cell>
          <cell r="N16">
            <v>0</v>
          </cell>
          <cell r="O16">
            <v>12400000</v>
          </cell>
          <cell r="P16">
            <v>12400000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212500000</v>
          </cell>
          <cell r="P17">
            <v>212500000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12144000</v>
          </cell>
          <cell r="P18">
            <v>12144000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2304000</v>
          </cell>
          <cell r="O20">
            <v>0</v>
          </cell>
          <cell r="P20">
            <v>2304000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2304000</v>
          </cell>
          <cell r="O22">
            <v>237044000</v>
          </cell>
          <cell r="P22">
            <v>239348000</v>
          </cell>
        </row>
      </sheetData>
      <sheetData sheetId="8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179865000</v>
          </cell>
          <cell r="O16">
            <v>188000000</v>
          </cell>
          <cell r="P16">
            <v>367865000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108480000</v>
          </cell>
          <cell r="P17">
            <v>108480000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24928000</v>
          </cell>
          <cell r="P19">
            <v>24928000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179865000</v>
          </cell>
          <cell r="O22">
            <v>321408000</v>
          </cell>
          <cell r="P22">
            <v>501273000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</sheetPr>
  <dimension ref="A6:M25"/>
  <sheetViews>
    <sheetView showGridLines="0" view="pageBreakPreview" zoomScaleNormal="100" zoomScaleSheetLayoutView="100" workbookViewId="0">
      <selection activeCell="N19" sqref="N19"/>
    </sheetView>
  </sheetViews>
  <sheetFormatPr defaultRowHeight="16.5" x14ac:dyDescent="0.3"/>
  <cols>
    <col min="13" max="13" width="15.75" customWidth="1"/>
  </cols>
  <sheetData>
    <row r="6" spans="1:13" x14ac:dyDescent="0.3">
      <c r="A6" s="787" t="s">
        <v>212</v>
      </c>
      <c r="B6" s="788"/>
      <c r="C6" s="788"/>
      <c r="D6" s="788"/>
      <c r="E6" s="788"/>
      <c r="F6" s="788"/>
      <c r="G6" s="788"/>
      <c r="H6" s="788"/>
      <c r="I6" s="788"/>
      <c r="J6" s="788"/>
      <c r="K6" s="788"/>
      <c r="L6" s="788"/>
      <c r="M6" s="788"/>
    </row>
    <row r="7" spans="1:13" x14ac:dyDescent="0.3">
      <c r="A7" s="788"/>
      <c r="B7" s="788"/>
      <c r="C7" s="788"/>
      <c r="D7" s="788"/>
      <c r="E7" s="788"/>
      <c r="F7" s="788"/>
      <c r="G7" s="788"/>
      <c r="H7" s="788"/>
      <c r="I7" s="788"/>
      <c r="J7" s="788"/>
      <c r="K7" s="788"/>
      <c r="L7" s="788"/>
      <c r="M7" s="788"/>
    </row>
    <row r="8" spans="1:13" x14ac:dyDescent="0.3">
      <c r="A8" s="788"/>
      <c r="B8" s="788"/>
      <c r="C8" s="788"/>
      <c r="D8" s="788"/>
      <c r="E8" s="788"/>
      <c r="F8" s="788"/>
      <c r="G8" s="788"/>
      <c r="H8" s="788"/>
      <c r="I8" s="788"/>
      <c r="J8" s="788"/>
      <c r="K8" s="788"/>
      <c r="L8" s="788"/>
      <c r="M8" s="788"/>
    </row>
    <row r="9" spans="1:13" x14ac:dyDescent="0.3">
      <c r="A9" s="788"/>
      <c r="B9" s="788"/>
      <c r="C9" s="788"/>
      <c r="D9" s="788"/>
      <c r="E9" s="788"/>
      <c r="F9" s="788"/>
      <c r="G9" s="788"/>
      <c r="H9" s="788"/>
      <c r="I9" s="788"/>
      <c r="J9" s="788"/>
      <c r="K9" s="788"/>
      <c r="L9" s="788"/>
      <c r="M9" s="788"/>
    </row>
    <row r="10" spans="1:13" x14ac:dyDescent="0.3">
      <c r="A10" s="788"/>
      <c r="B10" s="788"/>
      <c r="C10" s="788"/>
      <c r="D10" s="788"/>
      <c r="E10" s="788"/>
      <c r="F10" s="788"/>
      <c r="G10" s="788"/>
      <c r="H10" s="788"/>
      <c r="I10" s="788"/>
      <c r="J10" s="788"/>
      <c r="K10" s="788"/>
      <c r="L10" s="788"/>
      <c r="M10" s="788"/>
    </row>
    <row r="11" spans="1:13" x14ac:dyDescent="0.3">
      <c r="A11" s="788"/>
      <c r="B11" s="788"/>
      <c r="C11" s="788"/>
      <c r="D11" s="788"/>
      <c r="E11" s="788"/>
      <c r="F11" s="788"/>
      <c r="G11" s="788"/>
      <c r="H11" s="788"/>
      <c r="I11" s="788"/>
      <c r="J11" s="788"/>
      <c r="K11" s="788"/>
      <c r="L11" s="788"/>
      <c r="M11" s="788"/>
    </row>
    <row r="12" spans="1:13" x14ac:dyDescent="0.3">
      <c r="A12" s="788"/>
      <c r="B12" s="788"/>
      <c r="C12" s="788"/>
      <c r="D12" s="788"/>
      <c r="E12" s="788"/>
      <c r="F12" s="788"/>
      <c r="G12" s="788"/>
      <c r="H12" s="788"/>
      <c r="I12" s="788"/>
      <c r="J12" s="788"/>
      <c r="K12" s="788"/>
      <c r="L12" s="788"/>
      <c r="M12" s="788"/>
    </row>
    <row r="13" spans="1:13" x14ac:dyDescent="0.3">
      <c r="A13" s="788"/>
      <c r="B13" s="788"/>
      <c r="C13" s="788"/>
      <c r="D13" s="788"/>
      <c r="E13" s="788"/>
      <c r="F13" s="788"/>
      <c r="G13" s="788"/>
      <c r="H13" s="788"/>
      <c r="I13" s="788"/>
      <c r="J13" s="788"/>
      <c r="K13" s="788"/>
      <c r="L13" s="788"/>
      <c r="M13" s="788"/>
    </row>
    <row r="14" spans="1:13" x14ac:dyDescent="0.3">
      <c r="A14" s="788"/>
      <c r="B14" s="788"/>
      <c r="C14" s="788"/>
      <c r="D14" s="788"/>
      <c r="E14" s="788"/>
      <c r="F14" s="788"/>
      <c r="G14" s="788"/>
      <c r="H14" s="788"/>
      <c r="I14" s="788"/>
      <c r="J14" s="788"/>
      <c r="K14" s="788"/>
      <c r="L14" s="788"/>
      <c r="M14" s="788"/>
    </row>
    <row r="24" spans="1:13" x14ac:dyDescent="0.3">
      <c r="A24" s="789" t="s">
        <v>120</v>
      </c>
      <c r="B24" s="789"/>
      <c r="C24" s="789"/>
      <c r="D24" s="789"/>
      <c r="E24" s="789"/>
      <c r="F24" s="789"/>
      <c r="G24" s="789"/>
      <c r="H24" s="789"/>
      <c r="I24" s="789"/>
      <c r="J24" s="789"/>
      <c r="K24" s="789"/>
      <c r="L24" s="789"/>
      <c r="M24" s="789"/>
    </row>
    <row r="25" spans="1:13" x14ac:dyDescent="0.3">
      <c r="A25" s="789"/>
      <c r="B25" s="789"/>
      <c r="C25" s="789"/>
      <c r="D25" s="789"/>
      <c r="E25" s="789"/>
      <c r="F25" s="789"/>
      <c r="G25" s="789"/>
      <c r="H25" s="789"/>
      <c r="I25" s="789"/>
      <c r="J25" s="789"/>
      <c r="K25" s="789"/>
      <c r="L25" s="789"/>
      <c r="M25" s="789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horizontalDpi="300" verticalDpi="300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249977111117893"/>
    <pageSetUpPr fitToPage="1"/>
  </sheetPr>
  <dimension ref="B1:AL42"/>
  <sheetViews>
    <sheetView showGridLines="0" view="pageBreakPreview" topLeftCell="A4" zoomScale="70" zoomScaleNormal="85" zoomScaleSheetLayoutView="70" workbookViewId="0">
      <selection activeCell="S24" sqref="S24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2:38" ht="20.100000000000001" customHeight="1" x14ac:dyDescent="0.3"/>
    <row r="2" spans="2:38" ht="20.100000000000001" customHeight="1" x14ac:dyDescent="0.3"/>
    <row r="3" spans="2:38" ht="20.100000000000001" customHeight="1" x14ac:dyDescent="0.3">
      <c r="C3" s="4" t="s">
        <v>224</v>
      </c>
      <c r="Z3" s="674" t="s">
        <v>227</v>
      </c>
    </row>
    <row r="4" spans="2:38" ht="20.100000000000001" customHeight="1" x14ac:dyDescent="0.3">
      <c r="H4" s="598"/>
      <c r="X4" s="5" t="s">
        <v>142</v>
      </c>
      <c r="AK4" s="5" t="s">
        <v>211</v>
      </c>
    </row>
    <row r="5" spans="2:38" ht="27" customHeight="1" thickBot="1" x14ac:dyDescent="0.35">
      <c r="C5" s="803" t="s">
        <v>78</v>
      </c>
      <c r="D5" s="804"/>
      <c r="E5" s="133" t="s">
        <v>213</v>
      </c>
      <c r="F5" s="134"/>
      <c r="G5" s="134"/>
      <c r="H5" s="134"/>
      <c r="I5" s="135"/>
      <c r="J5" s="134" t="s">
        <v>214</v>
      </c>
      <c r="K5" s="134"/>
      <c r="L5" s="134"/>
      <c r="M5" s="134"/>
      <c r="N5" s="135"/>
      <c r="O5" s="136"/>
      <c r="P5" s="803" t="s">
        <v>215</v>
      </c>
      <c r="Q5" s="804"/>
      <c r="R5" s="804"/>
      <c r="S5" s="804"/>
      <c r="T5" s="804"/>
      <c r="U5" s="804"/>
      <c r="V5" s="804"/>
      <c r="W5" s="804"/>
      <c r="X5" s="807"/>
      <c r="Z5" s="796" t="s">
        <v>206</v>
      </c>
      <c r="AA5" s="793"/>
      <c r="AB5" s="793" t="str">
        <f>+E5</f>
        <v>3월</v>
      </c>
      <c r="AC5" s="794"/>
      <c r="AD5" s="793"/>
      <c r="AE5" s="793"/>
      <c r="AF5" s="795"/>
      <c r="AG5" s="796" t="str">
        <f>+J5</f>
        <v>3월 누계</v>
      </c>
      <c r="AH5" s="794"/>
      <c r="AI5" s="793"/>
      <c r="AJ5" s="793"/>
      <c r="AK5" s="797"/>
    </row>
    <row r="6" spans="2:38" ht="27" customHeight="1" thickTop="1" thickBot="1" x14ac:dyDescent="0.35">
      <c r="C6" s="805"/>
      <c r="D6" s="806"/>
      <c r="E6" s="209" t="s">
        <v>79</v>
      </c>
      <c r="F6" s="328" t="s">
        <v>80</v>
      </c>
      <c r="G6" s="325" t="s">
        <v>81</v>
      </c>
      <c r="H6" s="137" t="s">
        <v>82</v>
      </c>
      <c r="I6" s="138" t="s">
        <v>83</v>
      </c>
      <c r="J6" s="209" t="s">
        <v>79</v>
      </c>
      <c r="K6" s="328" t="s">
        <v>80</v>
      </c>
      <c r="L6" s="325" t="s">
        <v>81</v>
      </c>
      <c r="M6" s="137" t="s">
        <v>82</v>
      </c>
      <c r="N6" s="138" t="s">
        <v>83</v>
      </c>
      <c r="O6" s="136"/>
      <c r="P6" s="805"/>
      <c r="Q6" s="806"/>
      <c r="R6" s="806"/>
      <c r="S6" s="806"/>
      <c r="T6" s="806"/>
      <c r="U6" s="806"/>
      <c r="V6" s="806"/>
      <c r="W6" s="806"/>
      <c r="X6" s="808"/>
      <c r="Z6" s="799"/>
      <c r="AA6" s="800"/>
      <c r="AB6" s="690" t="str">
        <f>+E6</f>
        <v>계획</v>
      </c>
      <c r="AC6" s="691" t="str">
        <f>+F6</f>
        <v>실적</v>
      </c>
      <c r="AD6" s="692" t="str">
        <f>+G6</f>
        <v>계획대비</v>
      </c>
      <c r="AE6" s="693" t="str">
        <f t="shared" ref="AE6:AK7" si="0">+H6</f>
        <v>전년</v>
      </c>
      <c r="AF6" s="694" t="str">
        <f t="shared" si="0"/>
        <v>전년대비</v>
      </c>
      <c r="AG6" s="695" t="str">
        <f t="shared" si="0"/>
        <v>계획</v>
      </c>
      <c r="AH6" s="691" t="str">
        <f t="shared" si="0"/>
        <v>실적</v>
      </c>
      <c r="AI6" s="692" t="str">
        <f t="shared" si="0"/>
        <v>계획대비</v>
      </c>
      <c r="AJ6" s="693" t="str">
        <f t="shared" si="0"/>
        <v>전년</v>
      </c>
      <c r="AK6" s="690" t="str">
        <f t="shared" si="0"/>
        <v>전년대비</v>
      </c>
    </row>
    <row r="7" spans="2:38" ht="21.75" customHeight="1" x14ac:dyDescent="0.3">
      <c r="B7" s="598"/>
      <c r="C7" s="101" t="s">
        <v>0</v>
      </c>
      <c r="D7" s="102" t="s">
        <v>53</v>
      </c>
      <c r="E7" s="771">
        <f>+'[1]3월'!$Z$7/1000</f>
        <v>286</v>
      </c>
      <c r="F7" s="772">
        <f>+'[2]3월'!$Z$7/1000</f>
        <v>298.48649999999998</v>
      </c>
      <c r="G7" s="747">
        <f>+F7-E7</f>
        <v>12.486499999999978</v>
      </c>
      <c r="H7" s="748">
        <f>+'[3]3월'!$Z$7/1000</f>
        <v>364.29050000000001</v>
      </c>
      <c r="I7" s="749">
        <f>+F7-H7</f>
        <v>-65.80400000000003</v>
      </c>
      <c r="J7" s="771">
        <f>+[4]손익총괄!J7+E7</f>
        <v>756</v>
      </c>
      <c r="K7" s="772">
        <f>+[4]손익총괄!K7+F7</f>
        <v>794.92849999999999</v>
      </c>
      <c r="L7" s="747">
        <f t="shared" ref="L7:L36" si="1">+K7-J7</f>
        <v>38.928499999999985</v>
      </c>
      <c r="M7" s="748">
        <f>+[4]손익총괄!M7+H7</f>
        <v>956.87300000000005</v>
      </c>
      <c r="N7" s="749">
        <f t="shared" ref="N7:N36" si="2">+K7-M7</f>
        <v>-161.94450000000006</v>
      </c>
      <c r="O7" s="100"/>
      <c r="P7" s="103"/>
      <c r="Q7" s="104" t="s">
        <v>105</v>
      </c>
      <c r="R7" s="104"/>
      <c r="S7" s="100"/>
      <c r="T7" s="100"/>
      <c r="U7" s="100"/>
      <c r="V7" s="100"/>
      <c r="W7" s="100"/>
      <c r="X7" s="105"/>
      <c r="Y7" s="598"/>
      <c r="Z7" s="790" t="s">
        <v>207</v>
      </c>
      <c r="AA7" s="733" t="str">
        <f>+D7</f>
        <v>레미콘</v>
      </c>
      <c r="AB7" s="734">
        <f>+E7</f>
        <v>286</v>
      </c>
      <c r="AC7" s="735">
        <f t="shared" ref="AC7" si="3">+F7</f>
        <v>298.48649999999998</v>
      </c>
      <c r="AD7" s="736">
        <f>+AC7-AB7</f>
        <v>12.486499999999978</v>
      </c>
      <c r="AE7" s="737">
        <f t="shared" si="0"/>
        <v>364.29050000000001</v>
      </c>
      <c r="AF7" s="738">
        <f>+AC7-AE7</f>
        <v>-65.80400000000003</v>
      </c>
      <c r="AG7" s="739">
        <f t="shared" ref="AG7" si="4">+J7</f>
        <v>756</v>
      </c>
      <c r="AH7" s="735">
        <f t="shared" ref="AH7" si="5">+K7</f>
        <v>794.92849999999999</v>
      </c>
      <c r="AI7" s="736">
        <f>+AH7-AG7</f>
        <v>38.928499999999985</v>
      </c>
      <c r="AJ7" s="737">
        <f t="shared" ref="AJ7" si="6">+M7</f>
        <v>956.87300000000005</v>
      </c>
      <c r="AK7" s="734">
        <f>+AH7-AJ7</f>
        <v>-161.94450000000006</v>
      </c>
    </row>
    <row r="8" spans="2:38" ht="21.75" customHeight="1" x14ac:dyDescent="0.3">
      <c r="B8" s="598"/>
      <c r="C8" s="101"/>
      <c r="D8" s="106" t="s">
        <v>86</v>
      </c>
      <c r="E8" s="773">
        <f>+'[1]3월'!$AA$7</f>
        <v>7300</v>
      </c>
      <c r="F8" s="774">
        <f>+'[2]3월'!$AO$7</f>
        <v>8665.0679999999993</v>
      </c>
      <c r="G8" s="750">
        <f>+F8-E8</f>
        <v>1365.0679999999993</v>
      </c>
      <c r="H8" s="751">
        <f>+'[3]3월'!$AO$7</f>
        <v>9838.5779999999995</v>
      </c>
      <c r="I8" s="752">
        <f>+F8-H8</f>
        <v>-1173.5100000000002</v>
      </c>
      <c r="J8" s="773">
        <f>+[4]손익총괄!J8+E8</f>
        <v>20600</v>
      </c>
      <c r="K8" s="774">
        <f>+[4]손익총괄!K8+F8</f>
        <v>21735.562999999998</v>
      </c>
      <c r="L8" s="750">
        <f t="shared" si="1"/>
        <v>1135.5629999999983</v>
      </c>
      <c r="M8" s="751">
        <f>+[4]손익총괄!M8+H8</f>
        <v>25167.705000000002</v>
      </c>
      <c r="N8" s="752">
        <f t="shared" si="2"/>
        <v>-3432.1420000000035</v>
      </c>
      <c r="O8" s="100"/>
      <c r="P8" s="103"/>
      <c r="Q8" s="339" t="s">
        <v>70</v>
      </c>
      <c r="R8" s="340"/>
      <c r="S8" s="341" t="s">
        <v>15</v>
      </c>
      <c r="T8" s="342" t="s">
        <v>84</v>
      </c>
      <c r="U8" s="343" t="s">
        <v>71</v>
      </c>
      <c r="V8" s="342" t="s">
        <v>52</v>
      </c>
      <c r="W8" s="344" t="s">
        <v>72</v>
      </c>
      <c r="X8" s="105"/>
      <c r="Y8" s="598"/>
      <c r="Z8" s="790"/>
      <c r="AA8" s="668" t="str">
        <f t="shared" ref="AA8:AA9" si="7">+D8</f>
        <v>철강재</v>
      </c>
      <c r="AB8" s="727">
        <f>+E8/1000</f>
        <v>7.3</v>
      </c>
      <c r="AC8" s="728">
        <f>+F8/1000</f>
        <v>8.6650679999999998</v>
      </c>
      <c r="AD8" s="729">
        <f t="shared" ref="AD8:AD20" si="8">+AC8-AB8</f>
        <v>1.3650679999999999</v>
      </c>
      <c r="AE8" s="730">
        <f>+H8/1000</f>
        <v>9.838578</v>
      </c>
      <c r="AF8" s="731">
        <f t="shared" ref="AF8:AF20" si="9">+AC8-AE8</f>
        <v>-1.1735100000000003</v>
      </c>
      <c r="AG8" s="732">
        <f>+J8/1000</f>
        <v>20.6</v>
      </c>
      <c r="AH8" s="728">
        <f>+K8/1000</f>
        <v>21.735562999999999</v>
      </c>
      <c r="AI8" s="729">
        <f t="shared" ref="AI8:AI20" si="10">+AH8-AG8</f>
        <v>1.1355629999999977</v>
      </c>
      <c r="AJ8" s="730">
        <f>+M8/1000</f>
        <v>25.167705000000002</v>
      </c>
      <c r="AK8" s="727">
        <f t="shared" ref="AK8:AK20" si="11">+AH8-AJ8</f>
        <v>-3.4321420000000025</v>
      </c>
    </row>
    <row r="9" spans="2:38" ht="21.75" customHeight="1" x14ac:dyDescent="0.3">
      <c r="B9" s="598"/>
      <c r="C9" s="101"/>
      <c r="D9" s="106" t="s">
        <v>1</v>
      </c>
      <c r="E9" s="773">
        <f>+'[1]3월'!$AE$7/1000</f>
        <v>56.647025266354056</v>
      </c>
      <c r="F9" s="774">
        <f>+'[2]3월'!$AN$7/1000</f>
        <v>84.927999999999997</v>
      </c>
      <c r="G9" s="750">
        <f t="shared" ref="G9:G36" si="12">+F9-E9</f>
        <v>28.280974733645941</v>
      </c>
      <c r="H9" s="751">
        <f>+'[3]3월'!$AN$7/1000</f>
        <v>56.46</v>
      </c>
      <c r="I9" s="752">
        <f t="shared" ref="I9:I36" si="13">+F9-H9</f>
        <v>28.467999999999996</v>
      </c>
      <c r="J9" s="773">
        <f>+[4]손익총괄!J9+E9</f>
        <v>200.13807710144482</v>
      </c>
      <c r="K9" s="774">
        <f>+[4]손익총괄!K9+F9</f>
        <v>234.71699999999998</v>
      </c>
      <c r="L9" s="750">
        <f t="shared" si="1"/>
        <v>34.578922898555163</v>
      </c>
      <c r="M9" s="751">
        <f>+[4]손익총괄!M9+H9</f>
        <v>187.09300000000002</v>
      </c>
      <c r="N9" s="752">
        <f t="shared" si="2"/>
        <v>47.623999999999967</v>
      </c>
      <c r="O9" s="100"/>
      <c r="P9" s="103"/>
      <c r="Q9" s="107" t="s">
        <v>66</v>
      </c>
      <c r="R9" s="302" t="s">
        <v>19</v>
      </c>
      <c r="S9" s="315">
        <f>+[5]수도권!$T$5/1000</f>
        <v>108.5</v>
      </c>
      <c r="T9" s="108">
        <f>+[5]수도권!$U$5/1000</f>
        <v>110.047</v>
      </c>
      <c r="U9" s="747">
        <f>+T9-S9</f>
        <v>1.546999999999997</v>
      </c>
      <c r="V9" s="748">
        <f>+[6]수도권!$T$5/1000</f>
        <v>134.352</v>
      </c>
      <c r="W9" s="749">
        <f>+T9-V9</f>
        <v>-24.305000000000007</v>
      </c>
      <c r="X9" s="105"/>
      <c r="Y9" s="598"/>
      <c r="Z9" s="798"/>
      <c r="AA9" s="670" t="str">
        <f t="shared" si="7"/>
        <v>골재</v>
      </c>
      <c r="AB9" s="676">
        <f t="shared" ref="AB9" si="14">+E9</f>
        <v>56.647025266354056</v>
      </c>
      <c r="AC9" s="682">
        <f t="shared" ref="AC9" si="15">+F9</f>
        <v>84.927999999999997</v>
      </c>
      <c r="AD9" s="679">
        <f t="shared" si="8"/>
        <v>28.280974733645941</v>
      </c>
      <c r="AE9" s="672">
        <f t="shared" ref="AE9" si="16">+H9</f>
        <v>56.46</v>
      </c>
      <c r="AF9" s="688">
        <f t="shared" si="9"/>
        <v>28.467999999999996</v>
      </c>
      <c r="AG9" s="685">
        <f t="shared" ref="AG9" si="17">+J9</f>
        <v>200.13807710144482</v>
      </c>
      <c r="AH9" s="682">
        <f t="shared" ref="AH9" si="18">+K9</f>
        <v>234.71699999999998</v>
      </c>
      <c r="AI9" s="679">
        <f t="shared" si="10"/>
        <v>34.578922898555163</v>
      </c>
      <c r="AJ9" s="672">
        <f t="shared" ref="AJ9" si="19">+M9</f>
        <v>187.09300000000002</v>
      </c>
      <c r="AK9" s="676">
        <f t="shared" si="11"/>
        <v>47.623999999999967</v>
      </c>
    </row>
    <row r="10" spans="2:38" ht="21.75" customHeight="1" x14ac:dyDescent="0.3">
      <c r="B10" s="598"/>
      <c r="C10" s="109" t="s">
        <v>2</v>
      </c>
      <c r="D10" s="110" t="s">
        <v>53</v>
      </c>
      <c r="E10" s="775">
        <f>+'[1]3월'!$Z$8/1000</f>
        <v>29068.740135335109</v>
      </c>
      <c r="F10" s="776">
        <f>+'[2]3월'!$Z$8/1000</f>
        <v>30505.251965000003</v>
      </c>
      <c r="G10" s="777">
        <f t="shared" si="12"/>
        <v>1436.5118296648943</v>
      </c>
      <c r="H10" s="778">
        <f>+'[3]3월'!$Z$8/1000</f>
        <v>34465.760652999998</v>
      </c>
      <c r="I10" s="779">
        <f t="shared" si="13"/>
        <v>-3960.5086879999944</v>
      </c>
      <c r="J10" s="775">
        <f>+[4]손익총괄!J10+E10</f>
        <v>76183.360114594674</v>
      </c>
      <c r="K10" s="776">
        <f>+[4]손익총괄!K10+F10</f>
        <v>80602.440437999991</v>
      </c>
      <c r="L10" s="777">
        <f t="shared" si="1"/>
        <v>4419.0803234053164</v>
      </c>
      <c r="M10" s="778">
        <f>+[4]손익총괄!M10+H10</f>
        <v>89505.51654099999</v>
      </c>
      <c r="N10" s="779">
        <f t="shared" si="2"/>
        <v>-8903.0761029999994</v>
      </c>
      <c r="O10" s="100"/>
      <c r="P10" s="103"/>
      <c r="Q10" s="111"/>
      <c r="R10" s="303" t="s">
        <v>20</v>
      </c>
      <c r="S10" s="316">
        <f>+[5]영남권!$T$5/1000</f>
        <v>125</v>
      </c>
      <c r="T10" s="112">
        <f>+[5]영남권!$U$5/1000</f>
        <v>134.5</v>
      </c>
      <c r="U10" s="750">
        <f t="shared" ref="U10:U20" si="20">+T10-S10</f>
        <v>9.5</v>
      </c>
      <c r="V10" s="751">
        <f>+[6]영남권!$T$5/1000</f>
        <v>163.0325</v>
      </c>
      <c r="W10" s="752">
        <f t="shared" ref="W10:W20" si="21">+T10-V10</f>
        <v>-28.532499999999999</v>
      </c>
      <c r="X10" s="105"/>
      <c r="Y10" s="598"/>
      <c r="Z10" s="790" t="s">
        <v>208</v>
      </c>
      <c r="AA10" s="733" t="str">
        <f>+D10</f>
        <v>레미콘</v>
      </c>
      <c r="AB10" s="734">
        <f>+E10/100</f>
        <v>290.68740135335111</v>
      </c>
      <c r="AC10" s="735">
        <f t="shared" ref="AC10:AC13" si="22">+F10/100</f>
        <v>305.05251965000002</v>
      </c>
      <c r="AD10" s="736">
        <f t="shared" si="8"/>
        <v>14.365118296648916</v>
      </c>
      <c r="AE10" s="737">
        <f t="shared" ref="AE10:AE13" si="23">+H10/100</f>
        <v>344.65760652999995</v>
      </c>
      <c r="AF10" s="738">
        <f t="shared" si="9"/>
        <v>-39.605086879999931</v>
      </c>
      <c r="AG10" s="739">
        <f t="shared" ref="AG10:AG13" si="24">+J10/100</f>
        <v>761.83360114594677</v>
      </c>
      <c r="AH10" s="735">
        <f t="shared" ref="AH10:AH13" si="25">+K10/100</f>
        <v>806.02440437999985</v>
      </c>
      <c r="AI10" s="736">
        <f t="shared" si="10"/>
        <v>44.190803234053078</v>
      </c>
      <c r="AJ10" s="737">
        <f t="shared" ref="AJ10:AJ13" si="26">+M10/100</f>
        <v>895.05516540999986</v>
      </c>
      <c r="AK10" s="734">
        <f t="shared" si="11"/>
        <v>-89.030761030000008</v>
      </c>
    </row>
    <row r="11" spans="2:38" ht="21.75" customHeight="1" x14ac:dyDescent="0.3">
      <c r="B11" s="598"/>
      <c r="C11" s="101"/>
      <c r="D11" s="106" t="s">
        <v>3</v>
      </c>
      <c r="E11" s="773">
        <f>+'[1]3월'!$AA$8/1000</f>
        <v>8929.3157894736851</v>
      </c>
      <c r="F11" s="774">
        <f>+'[2]3월'!$AO$8/1000</f>
        <v>8759.917786</v>
      </c>
      <c r="G11" s="750">
        <f>+F11-E11</f>
        <v>-169.39800347368509</v>
      </c>
      <c r="H11" s="751">
        <f>+'[3]3월'!$AO$8/1000</f>
        <v>11359.969265</v>
      </c>
      <c r="I11" s="752">
        <f>+F11-H11</f>
        <v>-2600.0514789999997</v>
      </c>
      <c r="J11" s="773">
        <f>+[4]손익총괄!J11+E11</f>
        <v>25207.456842105268</v>
      </c>
      <c r="K11" s="774">
        <f>+[4]손익총괄!K11+F11</f>
        <v>22933.532928000001</v>
      </c>
      <c r="L11" s="750">
        <f t="shared" si="1"/>
        <v>-2273.9239141052676</v>
      </c>
      <c r="M11" s="751">
        <f>+[4]손익총괄!M11+H11</f>
        <v>29963.074561000001</v>
      </c>
      <c r="N11" s="752">
        <f t="shared" si="2"/>
        <v>-7029.5416330000007</v>
      </c>
      <c r="O11" s="100"/>
      <c r="P11" s="103"/>
      <c r="Q11" s="111"/>
      <c r="R11" s="304" t="s">
        <v>170</v>
      </c>
      <c r="S11" s="317">
        <f>+[5]중부권!$T$5/1000</f>
        <v>52.5</v>
      </c>
      <c r="T11" s="113">
        <f>+[5]중부권!$U$5/1000</f>
        <v>53.939500000000002</v>
      </c>
      <c r="U11" s="753">
        <f t="shared" si="20"/>
        <v>1.4395000000000024</v>
      </c>
      <c r="V11" s="754">
        <f>+[6]중부권!$T$5/1000</f>
        <v>66.906000000000006</v>
      </c>
      <c r="W11" s="755">
        <f t="shared" si="21"/>
        <v>-12.966500000000003</v>
      </c>
      <c r="X11" s="105"/>
      <c r="Y11" s="598"/>
      <c r="Z11" s="790"/>
      <c r="AA11" s="668" t="str">
        <f t="shared" ref="AA11:AA13" si="27">+D11</f>
        <v>건자재</v>
      </c>
      <c r="AB11" s="675">
        <f t="shared" ref="AB11:AB13" si="28">+E11/100</f>
        <v>89.293157894736851</v>
      </c>
      <c r="AC11" s="681">
        <f t="shared" si="22"/>
        <v>87.599177859999998</v>
      </c>
      <c r="AD11" s="678">
        <f t="shared" si="8"/>
        <v>-1.6939800347368532</v>
      </c>
      <c r="AE11" s="671">
        <f t="shared" si="23"/>
        <v>113.59969264999999</v>
      </c>
      <c r="AF11" s="687">
        <f t="shared" si="9"/>
        <v>-26.000514789999997</v>
      </c>
      <c r="AG11" s="684">
        <f t="shared" si="24"/>
        <v>252.07456842105267</v>
      </c>
      <c r="AH11" s="681">
        <f t="shared" si="25"/>
        <v>229.33532928</v>
      </c>
      <c r="AI11" s="678">
        <f t="shared" si="10"/>
        <v>-22.739239141052678</v>
      </c>
      <c r="AJ11" s="671">
        <f t="shared" si="26"/>
        <v>299.63074561000002</v>
      </c>
      <c r="AK11" s="675">
        <f t="shared" si="11"/>
        <v>-70.295416330000023</v>
      </c>
    </row>
    <row r="12" spans="2:38" ht="21.75" customHeight="1" x14ac:dyDescent="0.3">
      <c r="B12" s="598"/>
      <c r="C12" s="101"/>
      <c r="D12" s="106" t="s">
        <v>1</v>
      </c>
      <c r="E12" s="773">
        <f>+'[1]3월'!$AE$8/1000</f>
        <v>1271.8174694116242</v>
      </c>
      <c r="F12" s="774">
        <f>+'[2]3월'!$AN$8/1000</f>
        <v>1765.0026720000001</v>
      </c>
      <c r="G12" s="750">
        <f t="shared" si="12"/>
        <v>493.18520258837589</v>
      </c>
      <c r="H12" s="751">
        <f>+'[3]3월'!$AN$8/1000</f>
        <v>1014.7881</v>
      </c>
      <c r="I12" s="752">
        <f t="shared" si="13"/>
        <v>750.21457200000009</v>
      </c>
      <c r="J12" s="773">
        <f>+[4]손익총괄!J12+E12</f>
        <v>4274.4968038310089</v>
      </c>
      <c r="K12" s="774">
        <f>+[4]손익총괄!K12+F12</f>
        <v>4781.6091720000004</v>
      </c>
      <c r="L12" s="750">
        <f t="shared" si="1"/>
        <v>507.11236816899145</v>
      </c>
      <c r="M12" s="751">
        <f>+[4]손익총괄!M12+H12</f>
        <v>3527.6313</v>
      </c>
      <c r="N12" s="752">
        <f t="shared" si="2"/>
        <v>1253.9778720000004</v>
      </c>
      <c r="O12" s="100"/>
      <c r="P12" s="103"/>
      <c r="Q12" s="114" t="s">
        <v>73</v>
      </c>
      <c r="R12" s="305"/>
      <c r="S12" s="318">
        <f>SUM(S9:S11)</f>
        <v>286</v>
      </c>
      <c r="T12" s="115">
        <f>SUM(T9:T11)</f>
        <v>298.48649999999998</v>
      </c>
      <c r="U12" s="756">
        <f t="shared" si="20"/>
        <v>12.486499999999978</v>
      </c>
      <c r="V12" s="757">
        <f>SUM(V9:V11)</f>
        <v>364.29050000000001</v>
      </c>
      <c r="W12" s="758">
        <f t="shared" si="21"/>
        <v>-65.80400000000003</v>
      </c>
      <c r="X12" s="105"/>
      <c r="Z12" s="790"/>
      <c r="AA12" s="668" t="str">
        <f t="shared" si="27"/>
        <v>골재</v>
      </c>
      <c r="AB12" s="675">
        <f t="shared" si="28"/>
        <v>12.718174694116241</v>
      </c>
      <c r="AC12" s="681">
        <f t="shared" si="22"/>
        <v>17.65002672</v>
      </c>
      <c r="AD12" s="678">
        <f t="shared" si="8"/>
        <v>4.9318520258837584</v>
      </c>
      <c r="AE12" s="671">
        <f t="shared" si="23"/>
        <v>10.147881</v>
      </c>
      <c r="AF12" s="687">
        <f t="shared" si="9"/>
        <v>7.5021457199999997</v>
      </c>
      <c r="AG12" s="684">
        <f t="shared" si="24"/>
        <v>42.744968038310091</v>
      </c>
      <c r="AH12" s="681">
        <f t="shared" si="25"/>
        <v>47.816091720000003</v>
      </c>
      <c r="AI12" s="678">
        <f t="shared" si="10"/>
        <v>5.0711236816899117</v>
      </c>
      <c r="AJ12" s="671">
        <f t="shared" si="26"/>
        <v>35.276313000000002</v>
      </c>
      <c r="AK12" s="675">
        <f t="shared" si="11"/>
        <v>12.539778720000001</v>
      </c>
    </row>
    <row r="13" spans="2:38" ht="21.75" customHeight="1" x14ac:dyDescent="0.3">
      <c r="B13" s="598"/>
      <c r="C13" s="101"/>
      <c r="D13" s="116" t="s">
        <v>4</v>
      </c>
      <c r="E13" s="780">
        <f>+'[1]3월'!$E$8/1000-E10-E11-E12</f>
        <v>164.90750033332915</v>
      </c>
      <c r="F13" s="781">
        <f>+'[2]3월'!$F$8/1000-F10-F11-F12</f>
        <v>164.55386799999587</v>
      </c>
      <c r="G13" s="753">
        <f t="shared" si="12"/>
        <v>-0.35363233333328026</v>
      </c>
      <c r="H13" s="754">
        <f>+'[3]3월'!$F$8/1000-H10-H11-H12</f>
        <v>197.66134799999941</v>
      </c>
      <c r="I13" s="755">
        <f t="shared" si="13"/>
        <v>-33.107480000003534</v>
      </c>
      <c r="J13" s="780">
        <f>+[4]손익총괄!J13+E13</f>
        <v>494.72250099998791</v>
      </c>
      <c r="K13" s="781">
        <f>+[4]손익총괄!K13+F13</f>
        <v>493.55453799999714</v>
      </c>
      <c r="L13" s="753">
        <f t="shared" si="1"/>
        <v>-1.1679629999907775</v>
      </c>
      <c r="M13" s="754">
        <f>+[4]손익총괄!M13+H13</f>
        <v>545.8715430000002</v>
      </c>
      <c r="N13" s="755">
        <f t="shared" si="2"/>
        <v>-52.317005000003064</v>
      </c>
      <c r="O13" s="100"/>
      <c r="P13" s="103"/>
      <c r="Q13" s="107" t="s">
        <v>74</v>
      </c>
      <c r="R13" s="302" t="s">
        <v>19</v>
      </c>
      <c r="S13" s="315">
        <f>+[5]수도권!$T$61</f>
        <v>99587.16016668301</v>
      </c>
      <c r="T13" s="108">
        <f>+[5]수도권!$U$61</f>
        <v>101292.86384498632</v>
      </c>
      <c r="U13" s="747">
        <f t="shared" si="20"/>
        <v>1705.7036783033109</v>
      </c>
      <c r="V13" s="748">
        <f>+[6]수도권!$Q$85</f>
        <v>90214.451950314309</v>
      </c>
      <c r="W13" s="749">
        <f t="shared" si="21"/>
        <v>11078.411894672012</v>
      </c>
      <c r="X13" s="105"/>
      <c r="Z13" s="790"/>
      <c r="AA13" s="668" t="str">
        <f t="shared" si="27"/>
        <v>기타</v>
      </c>
      <c r="AB13" s="675">
        <f t="shared" si="28"/>
        <v>1.6490750033332915</v>
      </c>
      <c r="AC13" s="681">
        <f t="shared" si="22"/>
        <v>1.6455386799999587</v>
      </c>
      <c r="AD13" s="678">
        <f t="shared" si="8"/>
        <v>-3.5363233333327582E-3</v>
      </c>
      <c r="AE13" s="671">
        <f t="shared" si="23"/>
        <v>1.9766134799999941</v>
      </c>
      <c r="AF13" s="687">
        <f t="shared" si="9"/>
        <v>-0.33107480000003542</v>
      </c>
      <c r="AG13" s="684">
        <f t="shared" si="24"/>
        <v>4.9472250099998796</v>
      </c>
      <c r="AH13" s="681">
        <f t="shared" si="25"/>
        <v>4.9355453799999713</v>
      </c>
      <c r="AI13" s="678">
        <f t="shared" si="10"/>
        <v>-1.1679629999908236E-2</v>
      </c>
      <c r="AJ13" s="671">
        <f t="shared" si="26"/>
        <v>5.4587154300000016</v>
      </c>
      <c r="AK13" s="675">
        <f t="shared" si="11"/>
        <v>-0.52317005000003025</v>
      </c>
    </row>
    <row r="14" spans="2:38" ht="21.75" customHeight="1" x14ac:dyDescent="0.3">
      <c r="B14" s="598"/>
      <c r="C14" s="117" t="s">
        <v>8</v>
      </c>
      <c r="D14" s="118"/>
      <c r="E14" s="780">
        <f>SUM(E10:E13)</f>
        <v>39434.780894553747</v>
      </c>
      <c r="F14" s="781">
        <f>SUM(F10:F13)</f>
        <v>41194.726290999999</v>
      </c>
      <c r="G14" s="753">
        <f t="shared" si="12"/>
        <v>1759.9453964462518</v>
      </c>
      <c r="H14" s="754">
        <f>SUM(H10:H13)</f>
        <v>47038.179365999997</v>
      </c>
      <c r="I14" s="755">
        <f t="shared" si="13"/>
        <v>-5843.4530749999976</v>
      </c>
      <c r="J14" s="780">
        <f>SUM(J10:J13)</f>
        <v>106160.03626153093</v>
      </c>
      <c r="K14" s="781">
        <f>SUM(K10:K13)</f>
        <v>108811.13707599998</v>
      </c>
      <c r="L14" s="753">
        <f t="shared" si="1"/>
        <v>2651.1008144690568</v>
      </c>
      <c r="M14" s="754">
        <f>SUM(M10:M13)</f>
        <v>123542.09394499999</v>
      </c>
      <c r="N14" s="755">
        <f t="shared" si="2"/>
        <v>-14730.956869000001</v>
      </c>
      <c r="O14" s="100"/>
      <c r="P14" s="103"/>
      <c r="Q14" s="111"/>
      <c r="R14" s="303" t="s">
        <v>20</v>
      </c>
      <c r="S14" s="316">
        <f>+[5]영남권!$T$61</f>
        <v>101799.62933000001</v>
      </c>
      <c r="T14" s="112">
        <f>+[5]영남권!$U$61</f>
        <v>101364.12572580043</v>
      </c>
      <c r="U14" s="750">
        <f t="shared" si="20"/>
        <v>-435.50360419957724</v>
      </c>
      <c r="V14" s="751">
        <f>+[6]영남권!$Q$85</f>
        <v>97096.926104321508</v>
      </c>
      <c r="W14" s="752">
        <f t="shared" si="21"/>
        <v>4267.1996214789251</v>
      </c>
      <c r="X14" s="105"/>
      <c r="Y14" s="598"/>
      <c r="Z14" s="696"/>
      <c r="AA14" s="706" t="s">
        <v>210</v>
      </c>
      <c r="AB14" s="707">
        <f>SUM(AB10:AB13)</f>
        <v>394.34780894553745</v>
      </c>
      <c r="AC14" s="724">
        <f t="shared" ref="AC14:AJ14" si="29">SUM(AC10:AC13)</f>
        <v>411.94726290999995</v>
      </c>
      <c r="AD14" s="708">
        <f t="shared" si="8"/>
        <v>17.599453964462498</v>
      </c>
      <c r="AE14" s="709">
        <f t="shared" si="29"/>
        <v>470.38179365999991</v>
      </c>
      <c r="AF14" s="710">
        <f t="shared" si="9"/>
        <v>-58.434530749999965</v>
      </c>
      <c r="AG14" s="711">
        <f t="shared" si="29"/>
        <v>1061.6003626153095</v>
      </c>
      <c r="AH14" s="724">
        <f t="shared" si="29"/>
        <v>1088.1113707599998</v>
      </c>
      <c r="AI14" s="708">
        <f t="shared" si="10"/>
        <v>26.511008144690322</v>
      </c>
      <c r="AJ14" s="709">
        <f t="shared" si="29"/>
        <v>1235.4209394499999</v>
      </c>
      <c r="AK14" s="707">
        <f t="shared" si="11"/>
        <v>-147.30956869000011</v>
      </c>
    </row>
    <row r="15" spans="2:38" ht="21.75" customHeight="1" x14ac:dyDescent="0.3">
      <c r="C15" s="101" t="s">
        <v>5</v>
      </c>
      <c r="D15" s="110" t="s">
        <v>53</v>
      </c>
      <c r="E15" s="775">
        <f>+('[1]3월'!$Z$10+'[1]3월'!$Z$19)/1000</f>
        <v>24470.105629095855</v>
      </c>
      <c r="F15" s="776">
        <f>+('[2]3월'!$Z$10+'[2]3월'!$Z$19)/1000</f>
        <v>26174.702234000008</v>
      </c>
      <c r="G15" s="777">
        <f t="shared" si="12"/>
        <v>1704.5966049041526</v>
      </c>
      <c r="H15" s="778">
        <f>+('[3]3월'!$Z$10+'[3]3월'!$Z$19)/1000</f>
        <v>28231.32185100999</v>
      </c>
      <c r="I15" s="779">
        <f t="shared" si="13"/>
        <v>-2056.6196170099829</v>
      </c>
      <c r="J15" s="775">
        <f>+[4]손익총괄!J15+E15</f>
        <v>65799.017354875585</v>
      </c>
      <c r="K15" s="776">
        <f>+[4]손익총괄!K15+F15</f>
        <v>70916.89882100001</v>
      </c>
      <c r="L15" s="777">
        <f t="shared" si="1"/>
        <v>5117.8814661244251</v>
      </c>
      <c r="M15" s="778">
        <f>+[4]손익총괄!M15+H15</f>
        <v>75054.710357000004</v>
      </c>
      <c r="N15" s="779">
        <f t="shared" si="2"/>
        <v>-4137.8115359999938</v>
      </c>
      <c r="O15" s="100"/>
      <c r="P15" s="103"/>
      <c r="Q15" s="111"/>
      <c r="R15" s="304" t="s">
        <v>169</v>
      </c>
      <c r="S15" s="317">
        <f>+[5]중부권!$T$61</f>
        <v>105496.75411428572</v>
      </c>
      <c r="T15" s="113">
        <f>+[5]중부권!$U$61</f>
        <v>106231.06464189674</v>
      </c>
      <c r="U15" s="753">
        <f t="shared" si="20"/>
        <v>734.31052761101455</v>
      </c>
      <c r="V15" s="754">
        <f>+[6]중부권!$Q$85</f>
        <v>97398.179539072167</v>
      </c>
      <c r="W15" s="755">
        <f t="shared" si="21"/>
        <v>8832.8851028245699</v>
      </c>
      <c r="X15" s="105"/>
      <c r="Z15" s="791" t="s">
        <v>209</v>
      </c>
      <c r="AA15" s="740" t="str">
        <f>+D30</f>
        <v>레미콘</v>
      </c>
      <c r="AB15" s="741">
        <f>+E30/100</f>
        <v>39.126893122392538</v>
      </c>
      <c r="AC15" s="742">
        <f t="shared" ref="AC15:AC19" si="30">+F30/100</f>
        <v>36.918985699999958</v>
      </c>
      <c r="AD15" s="743">
        <f t="shared" si="8"/>
        <v>-2.2079074223925801</v>
      </c>
      <c r="AE15" s="744">
        <f t="shared" ref="AE15:AE19" si="31">+H30/100</f>
        <v>55.973248949900068</v>
      </c>
      <c r="AF15" s="745">
        <f t="shared" si="9"/>
        <v>-19.05426324990011</v>
      </c>
      <c r="AG15" s="746">
        <f t="shared" ref="AG15:AH15" si="32">+J30/100</f>
        <v>83.751049757190884</v>
      </c>
      <c r="AH15" s="742">
        <f t="shared" si="32"/>
        <v>77.13387566999981</v>
      </c>
      <c r="AI15" s="743">
        <f t="shared" si="10"/>
        <v>-6.6171740871910742</v>
      </c>
      <c r="AJ15" s="744">
        <f t="shared" ref="AJ15:AJ19" si="33">+M30/100</f>
        <v>124.66070050999986</v>
      </c>
      <c r="AK15" s="741">
        <f t="shared" si="11"/>
        <v>-47.526824840000046</v>
      </c>
    </row>
    <row r="16" spans="2:38" ht="21.75" customHeight="1" x14ac:dyDescent="0.3">
      <c r="C16" s="101"/>
      <c r="D16" s="106" t="s">
        <v>3</v>
      </c>
      <c r="E16" s="773">
        <f>+('[1]3월'!$AA$10+'[1]3월'!$AA$19)/1000</f>
        <v>8700.442286315787</v>
      </c>
      <c r="F16" s="774">
        <f>+('[2]3월'!$AO$10+'[2]3월'!$AO$19)/1000</f>
        <v>8596.6222280000002</v>
      </c>
      <c r="G16" s="750">
        <f>+F16-E16</f>
        <v>-103.82005831578681</v>
      </c>
      <c r="H16" s="751">
        <f>+('[3]3월'!$AO$10+'[3]3월'!$AO$19)/1000</f>
        <v>11153.67561</v>
      </c>
      <c r="I16" s="752">
        <f>+F16-H16</f>
        <v>-2557.0533820000001</v>
      </c>
      <c r="J16" s="773">
        <f>+[4]손익총괄!J16+E16</f>
        <v>24562.005693136838</v>
      </c>
      <c r="K16" s="774">
        <f>+[4]손익총괄!K16+F16</f>
        <v>22399.724484999999</v>
      </c>
      <c r="L16" s="750">
        <f t="shared" si="1"/>
        <v>-2162.2812081368393</v>
      </c>
      <c r="M16" s="751">
        <f>+[4]손익총괄!M16+H16</f>
        <v>29387.996647</v>
      </c>
      <c r="N16" s="752">
        <f t="shared" si="2"/>
        <v>-6988.2721620000011</v>
      </c>
      <c r="O16" s="100"/>
      <c r="P16" s="103"/>
      <c r="Q16" s="114" t="s">
        <v>73</v>
      </c>
      <c r="R16" s="305"/>
      <c r="S16" s="318">
        <f>+[5]합계!$T$61</f>
        <v>101638.95152215073</v>
      </c>
      <c r="T16" s="115">
        <f>+[5]합계!$U$61</f>
        <v>102216.1111960061</v>
      </c>
      <c r="U16" s="756">
        <f>+T16-S16</f>
        <v>577.15967385536351</v>
      </c>
      <c r="V16" s="757">
        <f>+[6]합계!$Q$85</f>
        <v>94616.76586851808</v>
      </c>
      <c r="W16" s="758">
        <f>+T16-V16</f>
        <v>7599.3453274880158</v>
      </c>
      <c r="X16" s="105"/>
      <c r="Z16" s="792"/>
      <c r="AA16" s="698" t="str">
        <f t="shared" ref="AA16" si="34">+D31</f>
        <v>%</v>
      </c>
      <c r="AB16" s="699">
        <f>+E31</f>
        <v>0.1346012690616441</v>
      </c>
      <c r="AC16" s="700">
        <f>+F31</f>
        <v>0.12102501478223721</v>
      </c>
      <c r="AD16" s="701">
        <f t="shared" si="8"/>
        <v>-1.3576254279406896E-2</v>
      </c>
      <c r="AE16" s="702">
        <f>+H31</f>
        <v>0.16240247680425995</v>
      </c>
      <c r="AF16" s="703">
        <f t="shared" si="9"/>
        <v>-4.1377462022022748E-2</v>
      </c>
      <c r="AG16" s="704">
        <f>+J31</f>
        <v>0.10993352043177529</v>
      </c>
      <c r="AH16" s="700">
        <f>+K31</f>
        <v>9.5696700063730419E-2</v>
      </c>
      <c r="AI16" s="701">
        <f t="shared" si="10"/>
        <v>-1.423682036804487E-2</v>
      </c>
      <c r="AJ16" s="702">
        <f>+M31</f>
        <v>0.13927711422445818</v>
      </c>
      <c r="AK16" s="699">
        <f t="shared" si="11"/>
        <v>-4.3580414160727762E-2</v>
      </c>
      <c r="AL16" s="705"/>
    </row>
    <row r="17" spans="2:37" ht="21.75" customHeight="1" x14ac:dyDescent="0.3">
      <c r="C17" s="101"/>
      <c r="D17" s="106" t="s">
        <v>1</v>
      </c>
      <c r="E17" s="773">
        <f>+('[1]3월'!$AE$10+'[1]3월'!$AE$19)/1000</f>
        <v>1177.9719818112801</v>
      </c>
      <c r="F17" s="774">
        <f>+('[2]3월'!$AN$10+'[2]3월'!$AN$19)/1000</f>
        <v>1564.45980601</v>
      </c>
      <c r="G17" s="750">
        <f t="shared" si="12"/>
        <v>386.48782419871986</v>
      </c>
      <c r="H17" s="751">
        <f>+('[3]3월'!$AN$10+'[3]3월'!$AN$19)/1000</f>
        <v>831.37837199000001</v>
      </c>
      <c r="I17" s="752">
        <f t="shared" si="13"/>
        <v>733.08143401999996</v>
      </c>
      <c r="J17" s="773">
        <f>+[4]손익총괄!J17+E17</f>
        <v>3968.9272812707959</v>
      </c>
      <c r="K17" s="774">
        <f>+[4]손익총괄!K17+F17</f>
        <v>4229.31046401</v>
      </c>
      <c r="L17" s="750">
        <f t="shared" si="1"/>
        <v>260.38318273920413</v>
      </c>
      <c r="M17" s="751">
        <f>+[4]손익총괄!M17+H17</f>
        <v>3155.43311799</v>
      </c>
      <c r="N17" s="752">
        <f t="shared" si="2"/>
        <v>1073.87734602</v>
      </c>
      <c r="O17" s="100"/>
      <c r="P17" s="103"/>
      <c r="Q17" s="297" t="s">
        <v>75</v>
      </c>
      <c r="R17" s="306" t="s">
        <v>19</v>
      </c>
      <c r="S17" s="319">
        <f>+[5]수도권!$Q$90</f>
        <v>21095.806861439618</v>
      </c>
      <c r="T17" s="119">
        <f>+[5]수도권!$R$90</f>
        <v>19077.909134726156</v>
      </c>
      <c r="U17" s="759">
        <f t="shared" si="20"/>
        <v>-2017.8977267134615</v>
      </c>
      <c r="V17" s="760">
        <f>+[6]수도권!$Q$90</f>
        <v>16629.535461621315</v>
      </c>
      <c r="W17" s="761">
        <f t="shared" si="21"/>
        <v>2448.3736731048411</v>
      </c>
      <c r="X17" s="105"/>
      <c r="Z17" s="792"/>
      <c r="AA17" s="669" t="str">
        <f t="shared" ref="AA17" si="35">+D32</f>
        <v>건자재</v>
      </c>
      <c r="AB17" s="677">
        <f t="shared" ref="AB17:AB19" si="36">+E32/100</f>
        <v>0.94407923157898066</v>
      </c>
      <c r="AC17" s="683">
        <f t="shared" si="30"/>
        <v>0.31655345999999812</v>
      </c>
      <c r="AD17" s="680">
        <f t="shared" si="8"/>
        <v>-0.62752577157898259</v>
      </c>
      <c r="AE17" s="673">
        <f t="shared" si="31"/>
        <v>0.5457789699999952</v>
      </c>
      <c r="AF17" s="689">
        <f t="shared" si="9"/>
        <v>-0.22922550999999708</v>
      </c>
      <c r="AG17" s="686">
        <f t="shared" ref="AG17:AH17" si="37">+J32/100</f>
        <v>2.6033959896842997</v>
      </c>
      <c r="AH17" s="683">
        <f t="shared" si="37"/>
        <v>1.4876723600000172</v>
      </c>
      <c r="AI17" s="680">
        <f t="shared" si="10"/>
        <v>-1.1157236296842825</v>
      </c>
      <c r="AJ17" s="673">
        <f t="shared" si="33"/>
        <v>2.0620407400000134</v>
      </c>
      <c r="AK17" s="677">
        <f t="shared" si="11"/>
        <v>-0.57436837999999613</v>
      </c>
    </row>
    <row r="18" spans="2:37" ht="21.75" customHeight="1" x14ac:dyDescent="0.3">
      <c r="C18" s="101"/>
      <c r="D18" s="116" t="s">
        <v>4</v>
      </c>
      <c r="E18" s="780">
        <f>+('[1]3월'!$E$10+'[1]3월'!$E$19)/1000-E15-E16-E17</f>
        <v>49.561637999996265</v>
      </c>
      <c r="F18" s="781">
        <f>+('[2]3월'!$F$10+'[2]3월'!$F$19)/1000-F15-F16-F17</f>
        <v>14.536915999997063</v>
      </c>
      <c r="G18" s="753">
        <f t="shared" si="12"/>
        <v>-35.024721999999201</v>
      </c>
      <c r="H18" s="754">
        <f>+('[3]3월'!$F$10+'[3]3월'!$F$19)/1000-H15-H16-H17</f>
        <v>-17.724032999991095</v>
      </c>
      <c r="I18" s="755">
        <f t="shared" si="13"/>
        <v>32.260948999988159</v>
      </c>
      <c r="J18" s="780">
        <f>+[4]손익총괄!J18+E18</f>
        <v>107.32467299999416</v>
      </c>
      <c r="K18" s="781">
        <f>+[4]손익총괄!K18+F18</f>
        <v>71.477030000003651</v>
      </c>
      <c r="L18" s="753">
        <f t="shared" si="1"/>
        <v>-35.847642999990512</v>
      </c>
      <c r="M18" s="754">
        <f>+[4]손익총괄!M18+H18</f>
        <v>31.449464000012313</v>
      </c>
      <c r="N18" s="755">
        <f t="shared" si="2"/>
        <v>40.027565999991339</v>
      </c>
      <c r="O18" s="100"/>
      <c r="P18" s="103"/>
      <c r="Q18" s="298"/>
      <c r="R18" s="307" t="s">
        <v>20</v>
      </c>
      <c r="S18" s="320">
        <f>+[5]영남권!$Q$90</f>
        <v>26231.975362047277</v>
      </c>
      <c r="T18" s="120">
        <f>+[5]영남권!$R$90</f>
        <v>22198.399905777347</v>
      </c>
      <c r="U18" s="762">
        <f t="shared" si="20"/>
        <v>-4033.5754562699294</v>
      </c>
      <c r="V18" s="763">
        <f>+[6]영남권!$Q$90</f>
        <v>26639.264600391951</v>
      </c>
      <c r="W18" s="764">
        <f t="shared" si="21"/>
        <v>-4440.8646946146036</v>
      </c>
      <c r="X18" s="105"/>
      <c r="Z18" s="792"/>
      <c r="AA18" s="669" t="str">
        <f t="shared" ref="AA18" si="38">+D33</f>
        <v>골재</v>
      </c>
      <c r="AB18" s="677">
        <f t="shared" si="36"/>
        <v>-0.33719614955211469</v>
      </c>
      <c r="AC18" s="683">
        <f t="shared" si="30"/>
        <v>1.5586759530898646</v>
      </c>
      <c r="AD18" s="680">
        <f t="shared" si="8"/>
        <v>1.8958721026419794</v>
      </c>
      <c r="AE18" s="673">
        <f t="shared" si="31"/>
        <v>1.6304314600999998</v>
      </c>
      <c r="AF18" s="689">
        <f t="shared" si="9"/>
        <v>-7.1755507010135222E-2</v>
      </c>
      <c r="AG18" s="686">
        <f t="shared" ref="AG18:AH18" si="39">+J33/100</f>
        <v>1.0398590000465748</v>
      </c>
      <c r="AH18" s="683">
        <f t="shared" si="39"/>
        <v>4.1912069286161469</v>
      </c>
      <c r="AI18" s="680">
        <f t="shared" si="10"/>
        <v>3.1513479285695718</v>
      </c>
      <c r="AJ18" s="673">
        <f t="shared" si="33"/>
        <v>3.1548240101</v>
      </c>
      <c r="AK18" s="677">
        <f t="shared" si="11"/>
        <v>1.0363829185161468</v>
      </c>
    </row>
    <row r="19" spans="2:37" ht="21.75" customHeight="1" x14ac:dyDescent="0.3">
      <c r="C19" s="101" t="s">
        <v>8</v>
      </c>
      <c r="D19" s="121"/>
      <c r="E19" s="773">
        <f>SUM(E15:E18)</f>
        <v>34398.081535222918</v>
      </c>
      <c r="F19" s="774">
        <f>SUM(F15:F18)</f>
        <v>36350.321184010005</v>
      </c>
      <c r="G19" s="750">
        <f t="shared" si="12"/>
        <v>1952.2396487870865</v>
      </c>
      <c r="H19" s="751">
        <f>SUM(H15:H18)</f>
        <v>40198.6518</v>
      </c>
      <c r="I19" s="752">
        <f t="shared" si="13"/>
        <v>-3848.3306159899948</v>
      </c>
      <c r="J19" s="773">
        <f>SUM(J15:J18)</f>
        <v>94437.275002283219</v>
      </c>
      <c r="K19" s="774">
        <f>SUM(K15:K18)</f>
        <v>97617.410800010024</v>
      </c>
      <c r="L19" s="750">
        <f t="shared" si="1"/>
        <v>3180.1357977268053</v>
      </c>
      <c r="M19" s="751">
        <f>SUM(M15:M18)</f>
        <v>107629.58958599002</v>
      </c>
      <c r="N19" s="752">
        <f t="shared" si="2"/>
        <v>-10012.178785979995</v>
      </c>
      <c r="O19" s="100"/>
      <c r="P19" s="103"/>
      <c r="Q19" s="298"/>
      <c r="R19" s="308" t="s">
        <v>169</v>
      </c>
      <c r="S19" s="321">
        <f>+[5]중부권!$Q$90</f>
        <v>29745.743523124111</v>
      </c>
      <c r="T19" s="122">
        <f>+[5]중부권!$R$90</f>
        <v>29414.591963004656</v>
      </c>
      <c r="U19" s="765">
        <f t="shared" si="20"/>
        <v>-331.1515601194551</v>
      </c>
      <c r="V19" s="766">
        <f>+[6]중부권!$Q$90</f>
        <v>29128.006155328068</v>
      </c>
      <c r="W19" s="767">
        <f t="shared" si="21"/>
        <v>286.58580767658714</v>
      </c>
      <c r="X19" s="105"/>
      <c r="Z19" s="792"/>
      <c r="AA19" s="669" t="str">
        <f t="shared" ref="AA19" si="40">+D34</f>
        <v>기타</v>
      </c>
      <c r="AB19" s="677">
        <f t="shared" si="36"/>
        <v>-10.783692568903925</v>
      </c>
      <c r="AC19" s="683">
        <f t="shared" si="30"/>
        <v>-30.027273963205133</v>
      </c>
      <c r="AD19" s="680">
        <f t="shared" si="8"/>
        <v>-19.243581394301209</v>
      </c>
      <c r="AE19" s="673">
        <f t="shared" si="31"/>
        <v>-10.741646780000094</v>
      </c>
      <c r="AF19" s="689">
        <f t="shared" si="9"/>
        <v>-19.285627183205037</v>
      </c>
      <c r="AG19" s="686">
        <f t="shared" ref="AG19:AH19" si="41">+J34/100</f>
        <v>-34.279632405016038</v>
      </c>
      <c r="AH19" s="683">
        <f t="shared" si="41"/>
        <v>-51.302564278742665</v>
      </c>
      <c r="AI19" s="680">
        <f t="shared" si="10"/>
        <v>-17.022931873726627</v>
      </c>
      <c r="AJ19" s="673">
        <f t="shared" si="33"/>
        <v>-29.674638490000117</v>
      </c>
      <c r="AK19" s="677">
        <f t="shared" si="11"/>
        <v>-21.627925788742548</v>
      </c>
    </row>
    <row r="20" spans="2:37" ht="21.75" customHeight="1" x14ac:dyDescent="0.3">
      <c r="C20" s="109" t="s">
        <v>18</v>
      </c>
      <c r="D20" s="110" t="s">
        <v>53</v>
      </c>
      <c r="E20" s="775">
        <f t="shared" ref="E20:F23" si="42">+E10-E15</f>
        <v>4598.6345062392538</v>
      </c>
      <c r="F20" s="776">
        <f t="shared" si="42"/>
        <v>4330.5497309999955</v>
      </c>
      <c r="G20" s="777">
        <f t="shared" si="12"/>
        <v>-268.08477523925831</v>
      </c>
      <c r="H20" s="778">
        <f t="shared" ref="H20" si="43">+H10-H15</f>
        <v>6234.4388019900071</v>
      </c>
      <c r="I20" s="779">
        <f t="shared" si="13"/>
        <v>-1903.8890709900115</v>
      </c>
      <c r="J20" s="775">
        <f t="shared" ref="J20:K20" si="44">+J10-J15</f>
        <v>10384.342759719089</v>
      </c>
      <c r="K20" s="776">
        <f t="shared" si="44"/>
        <v>9685.5416169999808</v>
      </c>
      <c r="L20" s="777">
        <f t="shared" si="1"/>
        <v>-698.80114271910861</v>
      </c>
      <c r="M20" s="778">
        <f t="shared" ref="M20" si="45">+M10-M15</f>
        <v>14450.806183999986</v>
      </c>
      <c r="N20" s="779">
        <f t="shared" si="2"/>
        <v>-4765.2645670000056</v>
      </c>
      <c r="O20" s="100"/>
      <c r="P20" s="103"/>
      <c r="Q20" s="299" t="s">
        <v>73</v>
      </c>
      <c r="R20" s="309"/>
      <c r="S20" s="322">
        <f>+[5]합계!$Q$90</f>
        <v>24928.473775126316</v>
      </c>
      <c r="T20" s="123">
        <f>+[5]합계!$R$90</f>
        <v>22348.202412363986</v>
      </c>
      <c r="U20" s="768">
        <f t="shared" si="20"/>
        <v>-2580.2713627623307</v>
      </c>
      <c r="V20" s="769">
        <f>+[6]합계!$Q$90</f>
        <v>23396.958233177429</v>
      </c>
      <c r="W20" s="770">
        <f t="shared" si="21"/>
        <v>-1048.7558208134433</v>
      </c>
      <c r="X20" s="105"/>
      <c r="Z20" s="792"/>
      <c r="AA20" s="712" t="s">
        <v>210</v>
      </c>
      <c r="AB20" s="713">
        <f>+AB15+AB17+AB18+AB19</f>
        <v>28.950083635515483</v>
      </c>
      <c r="AC20" s="725">
        <f>+AC15+AC17+AC18+AC19</f>
        <v>8.7669411498846941</v>
      </c>
      <c r="AD20" s="714">
        <f t="shared" si="8"/>
        <v>-20.183142485630789</v>
      </c>
      <c r="AE20" s="715">
        <f>+AE15+AE17+AE18+AE19</f>
        <v>47.407812599999964</v>
      </c>
      <c r="AF20" s="716">
        <f t="shared" si="9"/>
        <v>-38.64087145011527</v>
      </c>
      <c r="AG20" s="717">
        <f t="shared" ref="AG20:AH20" si="46">+AG15+AG17+AG18+AG19</f>
        <v>53.114672341905724</v>
      </c>
      <c r="AH20" s="725">
        <f t="shared" si="46"/>
        <v>31.510190679873318</v>
      </c>
      <c r="AI20" s="714">
        <f t="shared" si="10"/>
        <v>-21.604481662032406</v>
      </c>
      <c r="AJ20" s="715">
        <f>+AJ15+AJ17+AJ18+AJ19</f>
        <v>100.20292677009974</v>
      </c>
      <c r="AK20" s="713">
        <f t="shared" si="11"/>
        <v>-68.692736090226418</v>
      </c>
    </row>
    <row r="21" spans="2:37" ht="21.75" customHeight="1" thickBot="1" x14ac:dyDescent="0.35">
      <c r="C21" s="101"/>
      <c r="D21" s="106" t="s">
        <v>3</v>
      </c>
      <c r="E21" s="773">
        <f t="shared" si="42"/>
        <v>228.87350315789809</v>
      </c>
      <c r="F21" s="774">
        <f t="shared" si="42"/>
        <v>163.2955579999998</v>
      </c>
      <c r="G21" s="750">
        <f>+F21-E21</f>
        <v>-65.577945157898284</v>
      </c>
      <c r="H21" s="751">
        <f t="shared" ref="H21" si="47">+H11-H16</f>
        <v>206.29365499999949</v>
      </c>
      <c r="I21" s="752">
        <f>+F21-H21</f>
        <v>-42.998096999999689</v>
      </c>
      <c r="J21" s="773">
        <f t="shared" ref="J21:K21" si="48">+J11-J16</f>
        <v>645.45114896843006</v>
      </c>
      <c r="K21" s="774">
        <f t="shared" si="48"/>
        <v>533.80844300000172</v>
      </c>
      <c r="L21" s="750">
        <f t="shared" si="1"/>
        <v>-111.64270596842834</v>
      </c>
      <c r="M21" s="751">
        <f t="shared" ref="M21" si="49">+M11-M16</f>
        <v>575.07791400000133</v>
      </c>
      <c r="N21" s="752">
        <f t="shared" si="2"/>
        <v>-41.269470999999612</v>
      </c>
      <c r="O21" s="100"/>
      <c r="P21" s="103"/>
      <c r="Q21" s="157" t="s">
        <v>106</v>
      </c>
      <c r="R21" s="158"/>
      <c r="S21" s="159"/>
      <c r="T21" s="165"/>
      <c r="U21" s="159"/>
      <c r="X21" s="105"/>
      <c r="Z21" s="697"/>
      <c r="AA21" s="718" t="str">
        <f t="shared" ref="AA21:AK21" si="50">+D36</f>
        <v>%</v>
      </c>
      <c r="AB21" s="719">
        <f t="shared" si="50"/>
        <v>7.3412563678054349E-2</v>
      </c>
      <c r="AC21" s="726">
        <f t="shared" si="50"/>
        <v>2.1281707488368582E-2</v>
      </c>
      <c r="AD21" s="720">
        <f t="shared" si="50"/>
        <v>-5.213085618968577E-2</v>
      </c>
      <c r="AE21" s="721">
        <f t="shared" si="50"/>
        <v>0.10078581535038567</v>
      </c>
      <c r="AF21" s="722">
        <f t="shared" si="50"/>
        <v>-7.9504107862017087E-2</v>
      </c>
      <c r="AG21" s="723">
        <f t="shared" si="50"/>
        <v>5.003264336784409E-2</v>
      </c>
      <c r="AH21" s="726">
        <f t="shared" si="50"/>
        <v>2.8958608030963565E-2</v>
      </c>
      <c r="AI21" s="720">
        <f t="shared" si="50"/>
        <v>-2.1074035336880525E-2</v>
      </c>
      <c r="AJ21" s="721">
        <f t="shared" si="50"/>
        <v>8.1108327996050764E-2</v>
      </c>
      <c r="AK21" s="719">
        <f t="shared" si="50"/>
        <v>-5.2149719965087202E-2</v>
      </c>
    </row>
    <row r="22" spans="2:37" ht="21.75" customHeight="1" x14ac:dyDescent="0.3">
      <c r="C22" s="101"/>
      <c r="D22" s="106" t="s">
        <v>1</v>
      </c>
      <c r="E22" s="773">
        <f t="shared" si="42"/>
        <v>93.845487600344086</v>
      </c>
      <c r="F22" s="774">
        <f t="shared" si="42"/>
        <v>200.54286599000011</v>
      </c>
      <c r="G22" s="750">
        <f t="shared" si="12"/>
        <v>106.69737838965602</v>
      </c>
      <c r="H22" s="751">
        <f t="shared" ref="H22" si="51">+H12-H17</f>
        <v>183.40972800999998</v>
      </c>
      <c r="I22" s="752">
        <f t="shared" si="13"/>
        <v>17.133137980000129</v>
      </c>
      <c r="J22" s="773">
        <f t="shared" ref="J22:K22" si="52">+J12-J17</f>
        <v>305.56952256021304</v>
      </c>
      <c r="K22" s="774">
        <f t="shared" si="52"/>
        <v>552.29870799000037</v>
      </c>
      <c r="L22" s="750">
        <f t="shared" si="1"/>
        <v>246.72918542978732</v>
      </c>
      <c r="M22" s="751">
        <f t="shared" ref="M22" si="53">+M12-M17</f>
        <v>372.19818200999998</v>
      </c>
      <c r="N22" s="752">
        <f t="shared" si="2"/>
        <v>180.10052598000038</v>
      </c>
      <c r="O22" s="100"/>
      <c r="P22" s="103"/>
      <c r="Q22" s="345" t="s">
        <v>11</v>
      </c>
      <c r="R22" s="346"/>
      <c r="S22" s="347" t="s">
        <v>15</v>
      </c>
      <c r="T22" s="348" t="s">
        <v>16</v>
      </c>
      <c r="U22" s="349" t="s">
        <v>113</v>
      </c>
      <c r="V22" s="348" t="s">
        <v>17</v>
      </c>
      <c r="W22" s="350" t="s">
        <v>114</v>
      </c>
      <c r="X22" s="105"/>
    </row>
    <row r="23" spans="2:37" ht="21.75" customHeight="1" x14ac:dyDescent="0.3">
      <c r="C23" s="101"/>
      <c r="D23" s="116" t="s">
        <v>4</v>
      </c>
      <c r="E23" s="780">
        <f t="shared" si="42"/>
        <v>115.34586233333289</v>
      </c>
      <c r="F23" s="781">
        <f t="shared" si="42"/>
        <v>150.01695199999881</v>
      </c>
      <c r="G23" s="753">
        <f t="shared" si="12"/>
        <v>34.671089666665921</v>
      </c>
      <c r="H23" s="754">
        <f t="shared" ref="H23" si="54">+H13-H18</f>
        <v>215.3853809999905</v>
      </c>
      <c r="I23" s="755">
        <f t="shared" si="13"/>
        <v>-65.368428999991693</v>
      </c>
      <c r="J23" s="780">
        <f t="shared" ref="J23:K23" si="55">+J13-J18</f>
        <v>387.39782799999375</v>
      </c>
      <c r="K23" s="781">
        <f t="shared" si="55"/>
        <v>422.07750799999349</v>
      </c>
      <c r="L23" s="753">
        <f t="shared" si="1"/>
        <v>34.679679999999735</v>
      </c>
      <c r="M23" s="754">
        <f t="shared" ref="M23" si="56">+M13-M18</f>
        <v>514.42207899998789</v>
      </c>
      <c r="N23" s="755">
        <f t="shared" si="2"/>
        <v>-92.344570999994403</v>
      </c>
      <c r="O23" s="100"/>
      <c r="P23" s="103"/>
      <c r="Q23" s="160" t="s">
        <v>107</v>
      </c>
      <c r="R23" s="161"/>
      <c r="S23" s="331">
        <f>+'[7]3월'!$F$10</f>
        <v>978767.12328767125</v>
      </c>
      <c r="T23" s="337">
        <f>+'[7]3월'!$G$10</f>
        <v>873530.5235919673</v>
      </c>
      <c r="U23" s="334">
        <f>+T23-S23</f>
        <v>-105236.59969570395</v>
      </c>
      <c r="V23" s="313">
        <f>+'[8]3월'!$G$10</f>
        <v>1030973.3939193247</v>
      </c>
      <c r="W23" s="310">
        <f>+T23-V23</f>
        <v>-157442.87032735744</v>
      </c>
      <c r="X23" s="105"/>
    </row>
    <row r="24" spans="2:37" ht="21.75" customHeight="1" x14ac:dyDescent="0.3">
      <c r="C24" s="117" t="s">
        <v>8</v>
      </c>
      <c r="D24" s="118"/>
      <c r="E24" s="780">
        <f>SUM(E20:E23)</f>
        <v>5036.6993593308289</v>
      </c>
      <c r="F24" s="781">
        <f>SUM(F20:F23)</f>
        <v>4844.4051069899942</v>
      </c>
      <c r="G24" s="753">
        <f t="shared" si="12"/>
        <v>-192.29425234083465</v>
      </c>
      <c r="H24" s="754">
        <f>SUM(H20:H23)</f>
        <v>6839.527565999997</v>
      </c>
      <c r="I24" s="755">
        <f t="shared" si="13"/>
        <v>-1995.1224590100028</v>
      </c>
      <c r="J24" s="780">
        <f>SUM(J20:J23)</f>
        <v>11722.761259247727</v>
      </c>
      <c r="K24" s="781">
        <f>SUM(K20:K23)</f>
        <v>11193.726275989977</v>
      </c>
      <c r="L24" s="753">
        <f t="shared" si="1"/>
        <v>-529.03498325775035</v>
      </c>
      <c r="M24" s="754">
        <f>SUM(M20:M23)</f>
        <v>15912.504359009976</v>
      </c>
      <c r="N24" s="755">
        <f t="shared" si="2"/>
        <v>-4718.778083019999</v>
      </c>
      <c r="O24" s="100"/>
      <c r="P24" s="103"/>
      <c r="Q24" s="162" t="s">
        <v>108</v>
      </c>
      <c r="R24" s="163"/>
      <c r="S24" s="332">
        <f>+'[7]3월'!$F$15</f>
        <v>2.3347095871238628E-2</v>
      </c>
      <c r="T24" s="338">
        <f>+'[7]3월'!$G$15</f>
        <v>1.8797000201944851E-2</v>
      </c>
      <c r="U24" s="335">
        <f>+T24-S24</f>
        <v>-4.5500956692937772E-3</v>
      </c>
      <c r="V24" s="314">
        <f>+'[8]3월'!$G$15</f>
        <v>1.7714369754910125E-2</v>
      </c>
      <c r="W24" s="311">
        <f>+T24-V24</f>
        <v>1.0826304470347263E-3</v>
      </c>
      <c r="X24" s="105"/>
    </row>
    <row r="25" spans="2:37" ht="21.75" customHeight="1" x14ac:dyDescent="0.3">
      <c r="C25" s="109" t="s">
        <v>6</v>
      </c>
      <c r="D25" s="110" t="s">
        <v>53</v>
      </c>
      <c r="E25" s="775">
        <f>+('[1]3월'!$Z$13+'[1]3월'!$Z$20)/1000</f>
        <v>685.94519400000001</v>
      </c>
      <c r="F25" s="776">
        <f>+('[2]3월'!$Z$13+'[2]3월'!$Z$20)/1000</f>
        <v>638.651161</v>
      </c>
      <c r="G25" s="777">
        <f t="shared" si="12"/>
        <v>-47.294033000000013</v>
      </c>
      <c r="H25" s="778">
        <f>+('[3]3월'!$Z$13+'[3]3월'!$Z$20)/1000</f>
        <v>637.11390699999993</v>
      </c>
      <c r="I25" s="779">
        <f t="shared" si="13"/>
        <v>1.5372540000000754</v>
      </c>
      <c r="J25" s="775">
        <f>+[4]손익총괄!J25+E25</f>
        <v>2009.2377839999999</v>
      </c>
      <c r="K25" s="776">
        <f>+[4]손익총괄!K25+F25</f>
        <v>1972.1540499999999</v>
      </c>
      <c r="L25" s="777">
        <f t="shared" si="1"/>
        <v>-37.083734000000049</v>
      </c>
      <c r="M25" s="778">
        <f>+[4]손익총괄!M25+H25</f>
        <v>1984.7361330000003</v>
      </c>
      <c r="N25" s="779">
        <f t="shared" si="2"/>
        <v>-12.582083000000466</v>
      </c>
      <c r="O25" s="100"/>
      <c r="P25" s="103"/>
      <c r="Q25" s="157" t="s">
        <v>109</v>
      </c>
      <c r="R25" s="164"/>
      <c r="S25" s="75"/>
      <c r="T25" s="165"/>
      <c r="U25" s="75"/>
      <c r="X25" s="105"/>
    </row>
    <row r="26" spans="2:37" ht="21.75" customHeight="1" x14ac:dyDescent="0.3">
      <c r="C26" s="101"/>
      <c r="D26" s="106" t="s">
        <v>85</v>
      </c>
      <c r="E26" s="773">
        <f>+('[1]3월'!$AA$13+'[1]3월'!$AA$20)/1000</f>
        <v>134.46558000000002</v>
      </c>
      <c r="F26" s="774">
        <f>+('[2]3월'!$AO$13+'[2]3월'!$AO$20)/1000</f>
        <v>131.64021199999999</v>
      </c>
      <c r="G26" s="750">
        <f>+F26-E26</f>
        <v>-2.8253680000000259</v>
      </c>
      <c r="H26" s="751">
        <f>+('[3]3월'!$AO$13+'[3]3월'!$AO$20)/1000</f>
        <v>151.71575799999997</v>
      </c>
      <c r="I26" s="752">
        <f>+F26-H26</f>
        <v>-20.075545999999974</v>
      </c>
      <c r="J26" s="773">
        <f>+[4]손익총괄!J26+E26</f>
        <v>385.11155000000008</v>
      </c>
      <c r="K26" s="774">
        <f>+[4]손익총괄!K26+F26</f>
        <v>385.04120699999999</v>
      </c>
      <c r="L26" s="750">
        <f t="shared" si="1"/>
        <v>-7.0343000000093525E-2</v>
      </c>
      <c r="M26" s="751">
        <f>+[4]손익총괄!M26+H26</f>
        <v>368.87383999999997</v>
      </c>
      <c r="N26" s="752">
        <f t="shared" si="2"/>
        <v>16.167367000000013</v>
      </c>
      <c r="O26" s="100"/>
      <c r="P26" s="103"/>
      <c r="Q26" s="345" t="s">
        <v>11</v>
      </c>
      <c r="R26" s="346"/>
      <c r="S26" s="347" t="s">
        <v>15</v>
      </c>
      <c r="T26" s="348" t="s">
        <v>16</v>
      </c>
      <c r="U26" s="349" t="s">
        <v>113</v>
      </c>
      <c r="V26" s="348" t="s">
        <v>17</v>
      </c>
      <c r="W26" s="350" t="s">
        <v>114</v>
      </c>
      <c r="X26" s="105"/>
    </row>
    <row r="27" spans="2:37" ht="21.75" customHeight="1" x14ac:dyDescent="0.3">
      <c r="C27" s="101"/>
      <c r="D27" s="106" t="s">
        <v>1</v>
      </c>
      <c r="E27" s="773">
        <f>+('[1]3월'!$AE$13+'[1]3월'!$AE$20+'[1]3월'!$AE$22)/1000</f>
        <v>127.56510255555555</v>
      </c>
      <c r="F27" s="774">
        <f>+('[2]3월'!$AN$13+'[2]3월'!$AN$20+'[2]3월'!$AN$22)/1000</f>
        <v>44.675270681013643</v>
      </c>
      <c r="G27" s="750">
        <f t="shared" si="12"/>
        <v>-82.889831874541912</v>
      </c>
      <c r="H27" s="751">
        <f>+('[3]3월'!$AN$13+'[3]3월'!$AN$20+'[3]3월'!$AN$22)/1000</f>
        <v>20.366581999999994</v>
      </c>
      <c r="I27" s="752">
        <f t="shared" si="13"/>
        <v>24.308688681013649</v>
      </c>
      <c r="J27" s="773">
        <f>+[4]손익총괄!J27+E27</f>
        <v>201.58362255555556</v>
      </c>
      <c r="K27" s="774">
        <f>+[4]손익총괄!K27+F27</f>
        <v>133.17801512838568</v>
      </c>
      <c r="L27" s="750">
        <f t="shared" si="1"/>
        <v>-68.405607427169883</v>
      </c>
      <c r="M27" s="751">
        <f>+[4]손익총괄!M27+H27</f>
        <v>56.715780999999993</v>
      </c>
      <c r="N27" s="752">
        <f t="shared" si="2"/>
        <v>76.462234128385688</v>
      </c>
      <c r="O27" s="100"/>
      <c r="P27" s="103"/>
      <c r="Q27" s="1" t="s">
        <v>110</v>
      </c>
      <c r="R27" s="300" t="s">
        <v>111</v>
      </c>
      <c r="S27" s="331">
        <f>(+'[9]서부산크라샤(당월)'!$N$66+'[9]부산모래장(당월)'!$Q$48+'[9]부산크라샤(당월)'!$N$66)/1000</f>
        <v>28.647025266354063</v>
      </c>
      <c r="T27" s="337">
        <f>(+'[9]서부산크라샤(당월)'!$O$66+'[9]부산모래장(당월)'!$R$48+'[9]부산크라샤(당월)'!$O$66)/1000</f>
        <v>49.65</v>
      </c>
      <c r="U27" s="334">
        <f>+T27-S27</f>
        <v>21.002974733645935</v>
      </c>
      <c r="V27" s="313">
        <f>('[10]부산골재(당월)'!$R$48+'[10]서부산골재(당월)'!$O$66+'[10]부산크라샤(당월)'!$O$66)/1000</f>
        <v>34.244</v>
      </c>
      <c r="W27" s="310">
        <f>+T27-V27</f>
        <v>15.405999999999999</v>
      </c>
      <c r="X27" s="105"/>
    </row>
    <row r="28" spans="2:37" ht="21.75" customHeight="1" x14ac:dyDescent="0.3">
      <c r="B28" s="98"/>
      <c r="C28" s="101"/>
      <c r="D28" s="116" t="s">
        <v>4</v>
      </c>
      <c r="E28" s="780">
        <f>+('[1]3월'!$E$13+'[1]3월'!$E$20)/1000-E25-E26-E27+('[1]3월'!$E$22/1000)</f>
        <v>1193.7151192237254</v>
      </c>
      <c r="F28" s="781">
        <f>+('[2]3월'!$F$13+'[2]3월'!$F$20)/1000-F25-F26-F27+'[2]3월'!$F$22/1000</f>
        <v>3152.744348320512</v>
      </c>
      <c r="G28" s="753">
        <f t="shared" si="12"/>
        <v>1959.0292290967866</v>
      </c>
      <c r="H28" s="754">
        <f>+('[3]3월'!$F$13+'[3]3월'!$F$20)/1000-H25-H26-H27+'[3]3월'!$F$22/1000</f>
        <v>1289.5500589999999</v>
      </c>
      <c r="I28" s="755">
        <f t="shared" si="13"/>
        <v>1863.1942893205121</v>
      </c>
      <c r="J28" s="780">
        <f>+[4]손익총괄!J28+E28</f>
        <v>3815.3610685015974</v>
      </c>
      <c r="K28" s="781">
        <f>+[4]손익총괄!K28+F28</f>
        <v>5552.3339358742596</v>
      </c>
      <c r="L28" s="753">
        <f t="shared" si="1"/>
        <v>1736.9728673726622</v>
      </c>
      <c r="M28" s="754">
        <f>+[4]손익총괄!M28+H28</f>
        <v>3481.8859279999997</v>
      </c>
      <c r="N28" s="755">
        <f t="shared" si="2"/>
        <v>2070.4480078742599</v>
      </c>
      <c r="O28" s="100"/>
      <c r="P28" s="103"/>
      <c r="Q28" s="2"/>
      <c r="R28" s="301" t="s">
        <v>112</v>
      </c>
      <c r="S28" s="333">
        <f>(+'[9]서부산크라샤(당월)'!$N$59+'[9]부산모래장(당월)'!$Q$47+'[9]부산크라샤(당월)'!$N$59)/1000</f>
        <v>28</v>
      </c>
      <c r="T28" s="154">
        <f>(+'[9]서부산크라샤(당월)'!$O$59+'[9]부산모래장(당월)'!$R$47+'[9]부산크라샤(당월)'!$O$59)/1000</f>
        <v>35.277999999999999</v>
      </c>
      <c r="U28" s="336">
        <f>+T28-S28</f>
        <v>7.2779999999999987</v>
      </c>
      <c r="V28" s="73">
        <f>+('[10]부산골재(당월)'!$R$47+'[10]서부산골재(당월)'!$O$59+'[10]부산크라샤(당월)'!$O$59)/1000</f>
        <v>22.216000000000001</v>
      </c>
      <c r="W28" s="312">
        <f>+T28-V28</f>
        <v>13.061999999999998</v>
      </c>
      <c r="X28" s="105"/>
    </row>
    <row r="29" spans="2:37" ht="21.75" customHeight="1" x14ac:dyDescent="0.3">
      <c r="C29" s="117" t="s">
        <v>8</v>
      </c>
      <c r="D29" s="118"/>
      <c r="E29" s="780">
        <f>SUM(E25:E28)</f>
        <v>2141.6909957792809</v>
      </c>
      <c r="F29" s="781">
        <f>SUM(F25:F28)</f>
        <v>3967.7109920015255</v>
      </c>
      <c r="G29" s="753">
        <f t="shared" si="12"/>
        <v>1826.0199962222446</v>
      </c>
      <c r="H29" s="754">
        <f>SUM(H25:H28)</f>
        <v>2098.746306</v>
      </c>
      <c r="I29" s="755">
        <f t="shared" si="13"/>
        <v>1868.9646860015255</v>
      </c>
      <c r="J29" s="780">
        <f>SUM(J25:J28)</f>
        <v>6411.2940250571528</v>
      </c>
      <c r="K29" s="781">
        <f>SUM(K25:K28)</f>
        <v>8042.7072080026446</v>
      </c>
      <c r="L29" s="753">
        <f t="shared" si="1"/>
        <v>1631.4131829454918</v>
      </c>
      <c r="M29" s="754">
        <f>SUM(M25:M28)</f>
        <v>5892.2116820000001</v>
      </c>
      <c r="N29" s="755">
        <f t="shared" si="2"/>
        <v>2150.4955260026445</v>
      </c>
      <c r="O29" s="100"/>
      <c r="P29" s="103"/>
      <c r="Q29" s="809" t="s">
        <v>141</v>
      </c>
      <c r="R29" s="810"/>
      <c r="S29" s="333">
        <f>SUM(S27:S28)</f>
        <v>56.647025266354063</v>
      </c>
      <c r="T29" s="154">
        <f>SUM(T27:T28)</f>
        <v>84.927999999999997</v>
      </c>
      <c r="U29" s="336">
        <f>+T29-S29</f>
        <v>28.280974733645934</v>
      </c>
      <c r="V29" s="73">
        <f>SUM(V27:V28)</f>
        <v>56.46</v>
      </c>
      <c r="W29" s="312">
        <f>+T29-V29</f>
        <v>28.467999999999996</v>
      </c>
      <c r="X29" s="105"/>
    </row>
    <row r="30" spans="2:37" ht="21.75" customHeight="1" x14ac:dyDescent="0.3">
      <c r="B30" s="598"/>
      <c r="C30" s="101" t="s">
        <v>7</v>
      </c>
      <c r="D30" s="110" t="s">
        <v>53</v>
      </c>
      <c r="E30" s="775">
        <f>+E20-E25</f>
        <v>3912.6893122392539</v>
      </c>
      <c r="F30" s="782">
        <f>+F20-F25</f>
        <v>3691.8985699999957</v>
      </c>
      <c r="G30" s="777">
        <f t="shared" si="12"/>
        <v>-220.79074223925818</v>
      </c>
      <c r="H30" s="778">
        <f>+H20-H25</f>
        <v>5597.3248949900071</v>
      </c>
      <c r="I30" s="779">
        <f t="shared" si="13"/>
        <v>-1905.4263249900114</v>
      </c>
      <c r="J30" s="775">
        <f>+J20-J25</f>
        <v>8375.1049757190885</v>
      </c>
      <c r="K30" s="782">
        <f>+K20-K25</f>
        <v>7713.3875669999807</v>
      </c>
      <c r="L30" s="777">
        <f t="shared" si="1"/>
        <v>-661.71740871910788</v>
      </c>
      <c r="M30" s="778">
        <f>+M20-M25</f>
        <v>12466.070050999986</v>
      </c>
      <c r="N30" s="779">
        <f t="shared" si="2"/>
        <v>-4752.6824840000054</v>
      </c>
      <c r="O30" s="100"/>
      <c r="P30" s="103"/>
      <c r="Q30" s="157" t="s">
        <v>184</v>
      </c>
      <c r="X30" s="105"/>
      <c r="Z30" s="598"/>
      <c r="AA30" s="598"/>
    </row>
    <row r="31" spans="2:37" ht="21.75" customHeight="1" x14ac:dyDescent="0.3">
      <c r="B31" s="598"/>
      <c r="C31" s="101"/>
      <c r="D31" s="124" t="s">
        <v>10</v>
      </c>
      <c r="E31" s="323">
        <f>+E30/E10</f>
        <v>0.1346012690616441</v>
      </c>
      <c r="F31" s="329">
        <f>+F30/F10</f>
        <v>0.12102501478223721</v>
      </c>
      <c r="G31" s="326">
        <f t="shared" si="12"/>
        <v>-1.3576254279406896E-2</v>
      </c>
      <c r="H31" s="125">
        <f>+H30/H10</f>
        <v>0.16240247680425995</v>
      </c>
      <c r="I31" s="126">
        <f t="shared" si="13"/>
        <v>-4.1377462022022748E-2</v>
      </c>
      <c r="J31" s="323">
        <f>+J30/J10</f>
        <v>0.10993352043177529</v>
      </c>
      <c r="K31" s="329">
        <f>+K30/K10</f>
        <v>9.5696700063730419E-2</v>
      </c>
      <c r="L31" s="326">
        <f t="shared" si="1"/>
        <v>-1.423682036804487E-2</v>
      </c>
      <c r="M31" s="125">
        <f>+M30/M10</f>
        <v>0.13927711422445818</v>
      </c>
      <c r="N31" s="126">
        <f t="shared" si="2"/>
        <v>-4.3580414160727762E-2</v>
      </c>
      <c r="O31" s="100"/>
      <c r="P31" s="103"/>
      <c r="Q31" s="345" t="s">
        <v>11</v>
      </c>
      <c r="R31" s="346"/>
      <c r="S31" s="347" t="s">
        <v>15</v>
      </c>
      <c r="T31" s="348" t="s">
        <v>16</v>
      </c>
      <c r="U31" s="349" t="s">
        <v>113</v>
      </c>
      <c r="V31" s="348" t="s">
        <v>17</v>
      </c>
      <c r="W31" s="350" t="s">
        <v>114</v>
      </c>
      <c r="X31" s="105"/>
    </row>
    <row r="32" spans="2:37" ht="21.75" customHeight="1" x14ac:dyDescent="0.3">
      <c r="B32" s="598"/>
      <c r="C32" s="101"/>
      <c r="D32" s="106" t="s">
        <v>3</v>
      </c>
      <c r="E32" s="773">
        <f t="shared" ref="E32:F34" si="57">+E21-E26</f>
        <v>94.407923157898068</v>
      </c>
      <c r="F32" s="774">
        <f t="shared" si="57"/>
        <v>31.65534599999981</v>
      </c>
      <c r="G32" s="750">
        <f>+F32-E32</f>
        <v>-62.752577157898259</v>
      </c>
      <c r="H32" s="751">
        <f t="shared" ref="H32" si="58">+H21-H26</f>
        <v>54.577896999999524</v>
      </c>
      <c r="I32" s="752">
        <f>+F32-H32</f>
        <v>-22.922550999999714</v>
      </c>
      <c r="J32" s="773">
        <f t="shared" ref="J32:J34" si="59">+J21-J26</f>
        <v>260.33959896842998</v>
      </c>
      <c r="K32" s="774">
        <f t="shared" ref="K32" si="60">+K21-K26</f>
        <v>148.76723600000173</v>
      </c>
      <c r="L32" s="750">
        <f t="shared" si="1"/>
        <v>-111.57236296842825</v>
      </c>
      <c r="M32" s="751">
        <f t="shared" ref="M32" si="61">+M21-M26</f>
        <v>206.20407400000136</v>
      </c>
      <c r="N32" s="752">
        <f t="shared" si="2"/>
        <v>-57.436837999999625</v>
      </c>
      <c r="O32" s="100"/>
      <c r="P32" s="103"/>
      <c r="Q32" s="811" t="s">
        <v>168</v>
      </c>
      <c r="R32" s="812"/>
      <c r="S32" s="603">
        <f>+'사업장별(당월)'!T33</f>
        <v>75.360274999999987</v>
      </c>
      <c r="T32" s="604">
        <f>+'사업장별(당월)'!U33</f>
        <v>75.121656999999999</v>
      </c>
      <c r="U32" s="605">
        <f>+T32-S32</f>
        <v>-0.23861799999998823</v>
      </c>
      <c r="V32" s="606">
        <f>+'사업장별(당월)'!W33</f>
        <v>66.104033000000001</v>
      </c>
      <c r="W32" s="607">
        <f>+T32-V32</f>
        <v>9.0176239999999979</v>
      </c>
      <c r="X32" s="105"/>
      <c r="Z32" s="598"/>
      <c r="AA32" s="598"/>
    </row>
    <row r="33" spans="2:31" ht="21.75" customHeight="1" x14ac:dyDescent="0.3">
      <c r="B33" s="598"/>
      <c r="C33" s="101"/>
      <c r="D33" s="106" t="s">
        <v>1</v>
      </c>
      <c r="E33" s="773">
        <f t="shared" si="57"/>
        <v>-33.719614955211469</v>
      </c>
      <c r="F33" s="774">
        <f t="shared" si="57"/>
        <v>155.86759530898647</v>
      </c>
      <c r="G33" s="750">
        <f t="shared" si="12"/>
        <v>189.58721026419795</v>
      </c>
      <c r="H33" s="751">
        <f t="shared" ref="H33" si="62">+H22-H27</f>
        <v>163.04314600999999</v>
      </c>
      <c r="I33" s="752">
        <f t="shared" si="13"/>
        <v>-7.1755507010135204</v>
      </c>
      <c r="J33" s="773">
        <f t="shared" si="59"/>
        <v>103.98590000465748</v>
      </c>
      <c r="K33" s="774">
        <f t="shared" ref="K33" si="63">+K22-K27</f>
        <v>419.12069286161466</v>
      </c>
      <c r="L33" s="750">
        <f t="shared" si="1"/>
        <v>315.13479285695718</v>
      </c>
      <c r="M33" s="751">
        <f t="shared" ref="M33" si="64">+M22-M27</f>
        <v>315.48240100999999</v>
      </c>
      <c r="N33" s="752">
        <f t="shared" si="2"/>
        <v>103.63829185161467</v>
      </c>
      <c r="O33" s="100"/>
      <c r="P33" s="103"/>
      <c r="Q33" s="813" t="s">
        <v>59</v>
      </c>
      <c r="R33" s="814"/>
      <c r="S33" s="192">
        <f>+'사업장별(당월)'!T34</f>
        <v>74.623417333333336</v>
      </c>
      <c r="T33" s="613">
        <f>+'사업장별(당월)'!U34</f>
        <v>74.495594999999994</v>
      </c>
      <c r="U33" s="205">
        <f>+T33-S33</f>
        <v>-0.12782233333334148</v>
      </c>
      <c r="V33" s="614">
        <f>+'사업장별(당월)'!W34</f>
        <v>125.50124000000002</v>
      </c>
      <c r="W33" s="222">
        <f>+T33-V33</f>
        <v>-51.00564500000003</v>
      </c>
      <c r="X33" s="105"/>
      <c r="Z33" s="598"/>
      <c r="AA33" s="598"/>
    </row>
    <row r="34" spans="2:31" ht="21.75" customHeight="1" x14ac:dyDescent="0.3">
      <c r="B34" s="598"/>
      <c r="C34" s="101"/>
      <c r="D34" s="116" t="s">
        <v>4</v>
      </c>
      <c r="E34" s="780">
        <f t="shared" si="57"/>
        <v>-1078.3692568903925</v>
      </c>
      <c r="F34" s="781">
        <f t="shared" si="57"/>
        <v>-3002.7273963205134</v>
      </c>
      <c r="G34" s="753">
        <f t="shared" si="12"/>
        <v>-1924.3581394301209</v>
      </c>
      <c r="H34" s="754">
        <f t="shared" ref="H34" si="65">+H23-H28</f>
        <v>-1074.1646780000094</v>
      </c>
      <c r="I34" s="755">
        <f t="shared" si="13"/>
        <v>-1928.562718320504</v>
      </c>
      <c r="J34" s="780">
        <f t="shared" si="59"/>
        <v>-3427.9632405016037</v>
      </c>
      <c r="K34" s="781">
        <f t="shared" ref="K34" si="66">+K23-K28</f>
        <v>-5130.2564278742666</v>
      </c>
      <c r="L34" s="753">
        <f t="shared" si="1"/>
        <v>-1702.2931873726629</v>
      </c>
      <c r="M34" s="754">
        <f t="shared" ref="M34" si="67">+M23-M28</f>
        <v>-2967.4638490000116</v>
      </c>
      <c r="N34" s="755">
        <f t="shared" si="2"/>
        <v>-2162.792578874255</v>
      </c>
      <c r="O34" s="100"/>
      <c r="P34" s="103"/>
      <c r="Q34" s="625" t="s">
        <v>38</v>
      </c>
      <c r="R34" s="626"/>
      <c r="S34" s="620">
        <f>+'사업장별(당월)'!T35</f>
        <v>-1156.8522227792655</v>
      </c>
      <c r="T34" s="621">
        <f>+'사업장별(당월)'!U35</f>
        <v>-1237.794913320512</v>
      </c>
      <c r="U34" s="622">
        <f>+T34-S34</f>
        <v>-80.94269054124652</v>
      </c>
      <c r="V34" s="623">
        <f>+'사업장별(당월)'!W35</f>
        <v>-986.92285000000015</v>
      </c>
      <c r="W34" s="624">
        <f>+T34-V34</f>
        <v>-250.87206332051187</v>
      </c>
      <c r="X34" s="105"/>
      <c r="Z34" s="598"/>
      <c r="AA34" s="598"/>
    </row>
    <row r="35" spans="2:31" ht="21.75" customHeight="1" x14ac:dyDescent="0.3">
      <c r="B35" s="598"/>
      <c r="C35" s="101" t="s">
        <v>8</v>
      </c>
      <c r="D35" s="121"/>
      <c r="E35" s="773">
        <f>SUM(E30,E32:E34)</f>
        <v>2895.008363551548</v>
      </c>
      <c r="F35" s="783">
        <f>SUM(F30,F32:F34)</f>
        <v>876.69411498846875</v>
      </c>
      <c r="G35" s="750">
        <f t="shared" si="12"/>
        <v>-2018.3142485630792</v>
      </c>
      <c r="H35" s="751">
        <f>SUM(H30,H32:H34)</f>
        <v>4740.781259999997</v>
      </c>
      <c r="I35" s="752">
        <f t="shared" si="13"/>
        <v>-3864.0871450115283</v>
      </c>
      <c r="J35" s="773">
        <f>SUM(J30,J32:J34)</f>
        <v>5311.4672341905734</v>
      </c>
      <c r="K35" s="783">
        <f>SUM(K30,K32:K34)</f>
        <v>3151.0190679873303</v>
      </c>
      <c r="L35" s="750">
        <f t="shared" si="1"/>
        <v>-2160.4481662032431</v>
      </c>
      <c r="M35" s="751">
        <f>SUM(M30,M32:M34)</f>
        <v>10020.292677009977</v>
      </c>
      <c r="N35" s="752">
        <f t="shared" si="2"/>
        <v>-6869.2736090226463</v>
      </c>
      <c r="O35" s="100"/>
      <c r="P35" s="103"/>
      <c r="Q35" s="627" t="s">
        <v>166</v>
      </c>
      <c r="R35" s="628"/>
      <c r="S35" s="615">
        <f>+S36-S32-S33-S34</f>
        <v>-71.500726444456859</v>
      </c>
      <c r="T35" s="616">
        <f>+T36-T32-T33-T34</f>
        <v>-1914.5497350000069</v>
      </c>
      <c r="U35" s="617">
        <f>+T35-S35</f>
        <v>-1843.04900855555</v>
      </c>
      <c r="V35" s="618">
        <f>+V36-V32-V33-V34</f>
        <v>-278.84710100000007</v>
      </c>
      <c r="W35" s="619">
        <f>+T35-V35</f>
        <v>-1635.7026340000068</v>
      </c>
      <c r="X35" s="105"/>
      <c r="Z35" s="598"/>
      <c r="AA35" s="598"/>
      <c r="AD35" s="99"/>
      <c r="AE35" s="598"/>
    </row>
    <row r="36" spans="2:31" ht="21.75" customHeight="1" thickBot="1" x14ac:dyDescent="0.35">
      <c r="C36" s="127"/>
      <c r="D36" s="128" t="s">
        <v>9</v>
      </c>
      <c r="E36" s="324">
        <f>+E35/E14</f>
        <v>7.3412563678054349E-2</v>
      </c>
      <c r="F36" s="330">
        <f>+F35/F14</f>
        <v>2.1281707488368582E-2</v>
      </c>
      <c r="G36" s="327">
        <f t="shared" si="12"/>
        <v>-5.213085618968577E-2</v>
      </c>
      <c r="H36" s="129">
        <f>+H35/H14</f>
        <v>0.10078581535038567</v>
      </c>
      <c r="I36" s="130">
        <f t="shared" si="13"/>
        <v>-7.9504107862017087E-2</v>
      </c>
      <c r="J36" s="324">
        <f>+J35/J14</f>
        <v>5.003264336784409E-2</v>
      </c>
      <c r="K36" s="330">
        <f>+K35/K14</f>
        <v>2.8958608030963565E-2</v>
      </c>
      <c r="L36" s="327">
        <f t="shared" si="1"/>
        <v>-2.1074035336880525E-2</v>
      </c>
      <c r="M36" s="129">
        <f>+M35/M14</f>
        <v>8.1108327996050764E-2</v>
      </c>
      <c r="N36" s="130">
        <f t="shared" si="2"/>
        <v>-5.2149719965087202E-2</v>
      </c>
      <c r="O36" s="100"/>
      <c r="P36" s="131"/>
      <c r="Q36" s="801" t="s">
        <v>165</v>
      </c>
      <c r="R36" s="802"/>
      <c r="S36" s="608">
        <f>+'사업장별(당월)'!T41</f>
        <v>-1078.3692568903891</v>
      </c>
      <c r="T36" s="609">
        <f>+'사업장별(당월)'!U41</f>
        <v>-3002.7273963205189</v>
      </c>
      <c r="U36" s="610">
        <f>+T36-S36</f>
        <v>-1924.3581394301298</v>
      </c>
      <c r="V36" s="611">
        <f>+'사업장별(당월)'!W41</f>
        <v>-1074.1646780000001</v>
      </c>
      <c r="W36" s="612">
        <f>+T36-V36</f>
        <v>-1928.5627183205188</v>
      </c>
      <c r="X36" s="132"/>
      <c r="AA36" s="598"/>
    </row>
    <row r="37" spans="2:31" ht="20.100000000000001" customHeight="1" thickTop="1" x14ac:dyDescent="0.3">
      <c r="F37" s="598"/>
    </row>
    <row r="38" spans="2:31" x14ac:dyDescent="0.3">
      <c r="E38" s="99">
        <f>+'[1]3월'!$E$26/1000</f>
        <v>2895.0083635515521</v>
      </c>
      <c r="F38" s="351">
        <f>+'[2]3월'!$F$26/1000</f>
        <v>876.69411498846762</v>
      </c>
      <c r="H38" s="351">
        <f>+'[3]3월'!$F$26/1000</f>
        <v>4740.7812600000034</v>
      </c>
      <c r="J38" s="600">
        <f>+[4]손익총괄!J38+E38</f>
        <v>5311.4672341905753</v>
      </c>
      <c r="K38" s="600">
        <f>+[4]손익총괄!K38+F38</f>
        <v>3151.0190679873385</v>
      </c>
      <c r="L38" s="601"/>
      <c r="M38" s="600">
        <f>+[4]손익총괄!M38+H38</f>
        <v>10020.292677010002</v>
      </c>
      <c r="N38" s="601"/>
      <c r="O38" s="601"/>
    </row>
    <row r="39" spans="2:31" x14ac:dyDescent="0.3">
      <c r="E39" t="b">
        <f>+E35=E38</f>
        <v>1</v>
      </c>
      <c r="F39" t="b">
        <f>+F35=F38</f>
        <v>0</v>
      </c>
      <c r="H39" t="b">
        <f>+H35=H38</f>
        <v>1</v>
      </c>
      <c r="J39" t="b">
        <f>+J35=J38</f>
        <v>0</v>
      </c>
      <c r="K39" t="b">
        <f>+K35=K38</f>
        <v>0</v>
      </c>
      <c r="M39" t="b">
        <f>+M35=M38</f>
        <v>1</v>
      </c>
    </row>
    <row r="40" spans="2:31" x14ac:dyDescent="0.3">
      <c r="E40" s="602">
        <f>+E35-E38</f>
        <v>-4.0927261579781771E-12</v>
      </c>
      <c r="F40" s="602">
        <f>+F35-F38</f>
        <v>1.1368683772161603E-12</v>
      </c>
      <c r="G40" s="599"/>
      <c r="H40" s="602">
        <f>+H35-H38</f>
        <v>0</v>
      </c>
      <c r="I40" s="599"/>
      <c r="J40" s="602">
        <f>+J35-J38</f>
        <v>0</v>
      </c>
      <c r="K40" s="602">
        <f>+K35-K38</f>
        <v>-8.1854523159563541E-12</v>
      </c>
      <c r="L40" s="599"/>
      <c r="M40" s="602">
        <f>+M35-M38</f>
        <v>-2.5465851649641991E-11</v>
      </c>
      <c r="N40" s="599"/>
      <c r="O40" s="99"/>
      <c r="P40" s="99"/>
    </row>
    <row r="42" spans="2:31" x14ac:dyDescent="0.3">
      <c r="E42" s="98"/>
      <c r="F42" s="98"/>
      <c r="G42" s="98"/>
    </row>
  </sheetData>
  <mergeCells count="12">
    <mergeCell ref="Q36:R36"/>
    <mergeCell ref="C5:D6"/>
    <mergeCell ref="P5:X6"/>
    <mergeCell ref="Q29:R29"/>
    <mergeCell ref="Q32:R32"/>
    <mergeCell ref="Q33:R33"/>
    <mergeCell ref="Z10:Z13"/>
    <mergeCell ref="Z15:Z20"/>
    <mergeCell ref="AB5:AF5"/>
    <mergeCell ref="AG5:AK5"/>
    <mergeCell ref="Z7:Z9"/>
    <mergeCell ref="Z5:AA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249977111117893"/>
    <pageSetUpPr fitToPage="1"/>
  </sheetPr>
  <dimension ref="A1:AL57"/>
  <sheetViews>
    <sheetView showGridLines="0" showZeros="0" tabSelected="1" view="pageBreakPreview" topLeftCell="F16" zoomScale="85" zoomScaleNormal="85" zoomScaleSheetLayoutView="85" workbookViewId="0">
      <selection activeCell="Y29" sqref="Y29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 x14ac:dyDescent="0.3">
      <c r="H1" s="4"/>
      <c r="K1" s="6"/>
      <c r="L1" s="6"/>
      <c r="P1" s="6"/>
      <c r="Q1" s="6"/>
    </row>
    <row r="2" spans="2:36" ht="18" customHeight="1" x14ac:dyDescent="0.3">
      <c r="H2" s="7"/>
      <c r="AD2" s="5"/>
      <c r="AG2" s="5"/>
    </row>
    <row r="3" spans="2:36" ht="26.25" x14ac:dyDescent="0.3">
      <c r="H3" s="4" t="s">
        <v>216</v>
      </c>
      <c r="AD3" s="5"/>
      <c r="AG3" s="5"/>
    </row>
    <row r="4" spans="2:36" ht="18" customHeight="1" x14ac:dyDescent="0.3">
      <c r="H4" s="7"/>
      <c r="AD4" s="5"/>
      <c r="AG4" s="5" t="s">
        <v>94</v>
      </c>
    </row>
    <row r="5" spans="2:36" s="8" customFormat="1" ht="19.5" customHeight="1" x14ac:dyDescent="0.3">
      <c r="H5" s="815" t="s">
        <v>48</v>
      </c>
      <c r="I5" s="816"/>
      <c r="J5" s="173" t="s">
        <v>66</v>
      </c>
      <c r="K5" s="174"/>
      <c r="L5" s="174"/>
      <c r="M5" s="174"/>
      <c r="N5" s="175"/>
      <c r="O5" s="173" t="s">
        <v>67</v>
      </c>
      <c r="P5" s="174"/>
      <c r="Q5" s="174"/>
      <c r="R5" s="174"/>
      <c r="S5" s="175"/>
      <c r="T5" s="173" t="s">
        <v>119</v>
      </c>
      <c r="U5" s="174"/>
      <c r="V5" s="174"/>
      <c r="W5" s="174"/>
      <c r="X5" s="175"/>
      <c r="Y5" s="173" t="s">
        <v>68</v>
      </c>
      <c r="Z5" s="174"/>
      <c r="AA5" s="175"/>
      <c r="AB5" s="173" t="s">
        <v>44</v>
      </c>
      <c r="AC5" s="174"/>
      <c r="AD5" s="175"/>
      <c r="AE5" s="173" t="s">
        <v>69</v>
      </c>
      <c r="AF5" s="174"/>
      <c r="AG5" s="175"/>
    </row>
    <row r="6" spans="2:36" s="8" customFormat="1" ht="19.5" customHeight="1" x14ac:dyDescent="0.3">
      <c r="H6" s="817"/>
      <c r="I6" s="818"/>
      <c r="J6" s="176" t="s">
        <v>49</v>
      </c>
      <c r="K6" s="177" t="s">
        <v>50</v>
      </c>
      <c r="L6" s="178" t="s">
        <v>51</v>
      </c>
      <c r="M6" s="177" t="s">
        <v>52</v>
      </c>
      <c r="N6" s="179" t="s">
        <v>51</v>
      </c>
      <c r="O6" s="176" t="s">
        <v>15</v>
      </c>
      <c r="P6" s="177" t="s">
        <v>16</v>
      </c>
      <c r="Q6" s="178" t="s">
        <v>36</v>
      </c>
      <c r="R6" s="177" t="s">
        <v>17</v>
      </c>
      <c r="S6" s="179" t="s">
        <v>36</v>
      </c>
      <c r="T6" s="176" t="s">
        <v>15</v>
      </c>
      <c r="U6" s="177" t="s">
        <v>16</v>
      </c>
      <c r="V6" s="178" t="s">
        <v>36</v>
      </c>
      <c r="W6" s="177" t="s">
        <v>17</v>
      </c>
      <c r="X6" s="179" t="s">
        <v>36</v>
      </c>
      <c r="Y6" s="180" t="s">
        <v>15</v>
      </c>
      <c r="Z6" s="181" t="s">
        <v>16</v>
      </c>
      <c r="AA6" s="182" t="s">
        <v>17</v>
      </c>
      <c r="AB6" s="183" t="s">
        <v>15</v>
      </c>
      <c r="AC6" s="181" t="s">
        <v>16</v>
      </c>
      <c r="AD6" s="179" t="s">
        <v>17</v>
      </c>
      <c r="AE6" s="183" t="s">
        <v>15</v>
      </c>
      <c r="AF6" s="181" t="s">
        <v>16</v>
      </c>
      <c r="AG6" s="179" t="s">
        <v>17</v>
      </c>
    </row>
    <row r="7" spans="2:36" s="8" customFormat="1" ht="19.5" customHeight="1" x14ac:dyDescent="0.3">
      <c r="B7" s="8" t="s">
        <v>22</v>
      </c>
      <c r="G7" s="786" t="str">
        <f>+I7</f>
        <v>안양</v>
      </c>
      <c r="H7" s="78" t="s">
        <v>53</v>
      </c>
      <c r="I7" s="79" t="s">
        <v>22</v>
      </c>
      <c r="J7" s="36">
        <f>+IFERROR(HLOOKUP($B7,'[1]3월'!$D$6:$BN$259,2,),)/1000</f>
        <v>41</v>
      </c>
      <c r="K7" s="37">
        <f>+IFERROR(HLOOKUP($B7,'[2]3월'!$F$6:$CP$99,2,),)/1000</f>
        <v>40.978000000000002</v>
      </c>
      <c r="L7" s="38">
        <f t="shared" ref="L7:L26" si="0">+K7-J7</f>
        <v>-2.1999999999998465E-2</v>
      </c>
      <c r="M7" s="39">
        <f>+IFERROR(HLOOKUP($B7,'[3]3월'!$F$6:$CC$57,2,),)/1000</f>
        <v>44.44</v>
      </c>
      <c r="N7" s="40">
        <f>+K7-M7</f>
        <v>-3.4619999999999962</v>
      </c>
      <c r="O7" s="36">
        <f>+IFERROR(HLOOKUP($B7,'[1]3월'!$D$6:$BN$259,3,),)/1000</f>
        <v>4131.0229500000005</v>
      </c>
      <c r="P7" s="37">
        <f>+IFERROR(HLOOKUP($B7,'[2]3월'!$F$6:$CP$99,3,),)/1000</f>
        <v>4078.374914</v>
      </c>
      <c r="Q7" s="38">
        <f>+P7-O7</f>
        <v>-52.648036000000502</v>
      </c>
      <c r="R7" s="39">
        <f>+IFERROR(HLOOKUP($B7,'[3]3월'!$F$6:$CC$57,3,),)/1000</f>
        <v>4017.1086570000002</v>
      </c>
      <c r="S7" s="40">
        <f>+P7-R7</f>
        <v>61.266256999999769</v>
      </c>
      <c r="T7" s="36">
        <f>+IFERROR(HLOOKUP($B7,'[1]3월'!$D$6:$BN$259,16,),)/1000</f>
        <v>542.32382606475073</v>
      </c>
      <c r="U7" s="37">
        <f>+IFERROR(HLOOKUP($B7,'[2]3월'!$F$6:$CP$99,16,),)/1000</f>
        <v>402.62875999999977</v>
      </c>
      <c r="V7" s="41">
        <f>+U7-T7</f>
        <v>-139.69506606475096</v>
      </c>
      <c r="W7" s="42">
        <f>+IFERROR(HLOOKUP($B7,'[3]3월'!$F$6:$CC$57,16,),)/1000</f>
        <v>373.48677199000014</v>
      </c>
      <c r="X7" s="40">
        <f>+U7-W7</f>
        <v>29.141988009999636</v>
      </c>
      <c r="Y7" s="36">
        <f>+[5]안양!$Q$85</f>
        <v>100756.65731707319</v>
      </c>
      <c r="Z7" s="37">
        <f>+[5]안양!$R$85</f>
        <v>99525.963053345695</v>
      </c>
      <c r="AA7" s="43">
        <f>+[6]안양!$Q$85</f>
        <v>90393.984180918094</v>
      </c>
      <c r="AB7" s="44">
        <f>+[5]안양!$Q$89</f>
        <v>79758.169995030854</v>
      </c>
      <c r="AC7" s="37">
        <f>+[5]안양!$R$89</f>
        <v>82835.122194026932</v>
      </c>
      <c r="AD7" s="45">
        <f>+[6]안양!$Q$89</f>
        <v>76169.730405831026</v>
      </c>
      <c r="AE7" s="44">
        <f>+Y7-AB7</f>
        <v>20998.487322042332</v>
      </c>
      <c r="AF7" s="37">
        <f>+Z7-AC7</f>
        <v>16690.840859318763</v>
      </c>
      <c r="AG7" s="45">
        <f>+AA7-AD7</f>
        <v>14224.253775087069</v>
      </c>
      <c r="AH7" s="18"/>
      <c r="AI7" s="19"/>
    </row>
    <row r="8" spans="2:36" s="8" customFormat="1" ht="19.5" customHeight="1" x14ac:dyDescent="0.3">
      <c r="B8" s="8" t="s">
        <v>23</v>
      </c>
      <c r="G8" s="9" t="str">
        <f t="shared" ref="G8:G26" si="1">+I8</f>
        <v>인천</v>
      </c>
      <c r="H8" s="80" t="s">
        <v>54</v>
      </c>
      <c r="I8" s="81" t="s">
        <v>23</v>
      </c>
      <c r="J8" s="46">
        <f>+IFERROR(HLOOKUP($B8,'[1]3월'!$D$6:$BN$259,2,),)/1000</f>
        <v>28</v>
      </c>
      <c r="K8" s="47">
        <f>+IFERROR(HLOOKUP($B8,'[2]3월'!$F$6:$CP$99,2,),)/1000</f>
        <v>31.815999999999999</v>
      </c>
      <c r="L8" s="48">
        <f t="shared" si="0"/>
        <v>3.8159999999999989</v>
      </c>
      <c r="M8" s="49">
        <f>+IFERROR(HLOOKUP($B8,'[3]3월'!$F$6:$CC$57,2,),)/1000</f>
        <v>42.673999999999999</v>
      </c>
      <c r="N8" s="50">
        <f t="shared" ref="N8:N26" si="2">+K8-M8</f>
        <v>-10.858000000000001</v>
      </c>
      <c r="O8" s="46">
        <f>+IFERROR(HLOOKUP($B8,'[1]3월'!$D$6:$BN$259,3,),)/1000</f>
        <v>2879.3244499999996</v>
      </c>
      <c r="P8" s="47">
        <f>+IFERROR(HLOOKUP($B8,'[2]3월'!$F$6:$CP$99,3,),)/1000</f>
        <v>3319.8121000000001</v>
      </c>
      <c r="Q8" s="48">
        <f t="shared" ref="Q8:Q26" si="3">+P8-O8</f>
        <v>440.48765000000049</v>
      </c>
      <c r="R8" s="49">
        <f>+IFERROR(HLOOKUP($B8,'[3]3월'!$F$6:$CC$57,3,),)/1000</f>
        <v>3907.1918810000002</v>
      </c>
      <c r="S8" s="50">
        <f t="shared" ref="S8:S26" si="4">+P8-R8</f>
        <v>-587.37978100000009</v>
      </c>
      <c r="T8" s="46">
        <f>+IFERROR(HLOOKUP($B8,'[1]3월'!$D$6:$BN$259,16,),)/1000</f>
        <v>268.98682690382191</v>
      </c>
      <c r="U8" s="47">
        <f>+IFERROR(HLOOKUP($B8,'[2]3월'!$F$6:$CP$99,16,),)/1000</f>
        <v>383.64318999999989</v>
      </c>
      <c r="V8" s="48">
        <f t="shared" ref="V8:V26" si="5">+U8-T8</f>
        <v>114.65636309617798</v>
      </c>
      <c r="W8" s="49">
        <f>+IFERROR(HLOOKUP($B8,'[3]3월'!$F$6:$CC$57,16,),)/1000</f>
        <v>403.17202499999979</v>
      </c>
      <c r="X8" s="50">
        <f t="shared" ref="X8:X26" si="6">+U8-W8</f>
        <v>-19.528834999999901</v>
      </c>
      <c r="Y8" s="46">
        <f>+[5]인천!$Q$85</f>
        <v>102833.01607142856</v>
      </c>
      <c r="Z8" s="47">
        <f>+[5]인천!$R$85</f>
        <v>104344.1067387478</v>
      </c>
      <c r="AA8" s="51">
        <f>+[6]인천!$Q$85</f>
        <v>91552.937834161901</v>
      </c>
      <c r="AB8" s="52">
        <f>+[5]인천!$Q$89</f>
        <v>82089.821504371197</v>
      </c>
      <c r="AC8" s="47">
        <f>+[5]인천!$R$89</f>
        <v>83563.839922066501</v>
      </c>
      <c r="AD8" s="53">
        <f>+[6]인천!$Q$89</f>
        <v>75174.237946721696</v>
      </c>
      <c r="AE8" s="52">
        <f t="shared" ref="AE8:AE27" si="7">+Y8-AB8</f>
        <v>20743.194567057362</v>
      </c>
      <c r="AF8" s="47">
        <f t="shared" ref="AF8:AF27" si="8">+Z8-AC8</f>
        <v>20780.266816681295</v>
      </c>
      <c r="AG8" s="53">
        <f t="shared" ref="AG8:AG27" si="9">+AA8-AD8</f>
        <v>16378.699887440205</v>
      </c>
      <c r="AH8" s="18"/>
      <c r="AI8" s="19"/>
      <c r="AJ8" s="97"/>
    </row>
    <row r="9" spans="2:36" s="8" customFormat="1" ht="19.5" customHeight="1" x14ac:dyDescent="0.3">
      <c r="B9" s="8" t="s">
        <v>24</v>
      </c>
      <c r="G9" s="9" t="str">
        <f t="shared" si="1"/>
        <v>파주</v>
      </c>
      <c r="H9" s="80"/>
      <c r="I9" s="81" t="s">
        <v>24</v>
      </c>
      <c r="J9" s="46">
        <f>+IFERROR(HLOOKUP($B9,'[1]3월'!$D$6:$BN$259,2,),)/1000</f>
        <v>27</v>
      </c>
      <c r="K9" s="47">
        <f>+IFERROR(HLOOKUP($B9,'[2]3월'!$F$6:$CP$99,2,),)/1000</f>
        <v>24.852</v>
      </c>
      <c r="L9" s="48">
        <f t="shared" si="0"/>
        <v>-2.1479999999999997</v>
      </c>
      <c r="M9" s="49">
        <f>+IFERROR(HLOOKUP($B9,'[3]3월'!$F$6:$CC$57,2,),)/1000</f>
        <v>25.552</v>
      </c>
      <c r="N9" s="50">
        <f t="shared" si="2"/>
        <v>-0.69999999999999929</v>
      </c>
      <c r="O9" s="46">
        <f>+IFERROR(HLOOKUP($B9,'[1]3월'!$D$6:$BN$259,3,),)/1000</f>
        <v>2619.6719780851072</v>
      </c>
      <c r="P9" s="47">
        <f>+IFERROR(HLOOKUP($B9,'[2]3월'!$F$6:$CP$99,3,),)/1000</f>
        <v>2542.4369660000002</v>
      </c>
      <c r="Q9" s="48">
        <f t="shared" si="3"/>
        <v>-77.235012085106973</v>
      </c>
      <c r="R9" s="49">
        <f>+IFERROR(HLOOKUP($B9,'[3]3월'!$F$6:$CC$57,3,),)/1000</f>
        <v>2311.8426750000003</v>
      </c>
      <c r="S9" s="50">
        <f t="shared" si="4"/>
        <v>230.59429099999988</v>
      </c>
      <c r="T9" s="46">
        <f>+IFERROR(HLOOKUP($B9,'[1]3월'!$D$6:$BN$259,16,),)/1000</f>
        <v>318.60083319053075</v>
      </c>
      <c r="U9" s="47">
        <f>+IFERROR(HLOOKUP($B9,'[2]3월'!$F$6:$CP$99,16,),)/1000</f>
        <v>246.07782100000031</v>
      </c>
      <c r="V9" s="48">
        <f t="shared" si="5"/>
        <v>-72.523012190530437</v>
      </c>
      <c r="W9" s="49">
        <f>+IFERROR(HLOOKUP($B9,'[3]3월'!$F$6:$CC$57,16,),)/1000</f>
        <v>194.96662800000027</v>
      </c>
      <c r="X9" s="50">
        <f t="shared" si="6"/>
        <v>51.111193000000043</v>
      </c>
      <c r="Y9" s="46">
        <f>+[5]파주!$Q$85</f>
        <v>97024.888077226191</v>
      </c>
      <c r="Z9" s="47">
        <f>+[5]파주!$R$85</f>
        <v>102308.18901506001</v>
      </c>
      <c r="AA9" s="51">
        <f>+[6]파주!$Q$85</f>
        <v>90248.343544123214</v>
      </c>
      <c r="AB9" s="52">
        <f>+[5]파주!$Q$89</f>
        <v>76459.395326164871</v>
      </c>
      <c r="AC9" s="47">
        <f>+[5]파주!$R$89</f>
        <v>83204.70849436392</v>
      </c>
      <c r="AD9" s="53">
        <f>+[6]파주!$Q$89</f>
        <v>73041.20662162728</v>
      </c>
      <c r="AE9" s="52">
        <f t="shared" si="7"/>
        <v>20565.49275106132</v>
      </c>
      <c r="AF9" s="47">
        <f t="shared" si="8"/>
        <v>19103.480520696088</v>
      </c>
      <c r="AG9" s="53">
        <f t="shared" si="9"/>
        <v>17207.136922495934</v>
      </c>
      <c r="AH9" s="18"/>
      <c r="AI9" s="19"/>
      <c r="AJ9" s="97"/>
    </row>
    <row r="10" spans="2:36" s="8" customFormat="1" ht="19.5" customHeight="1" x14ac:dyDescent="0.3">
      <c r="B10" s="8" t="s">
        <v>175</v>
      </c>
      <c r="G10" s="9" t="str">
        <f t="shared" si="1"/>
        <v>김포</v>
      </c>
      <c r="H10" s="80"/>
      <c r="I10" s="81" t="s">
        <v>172</v>
      </c>
      <c r="J10" s="46">
        <f>+IFERROR(HLOOKUP($B10,'[1]3월'!$D$6:$BN$259,2,),)/1000</f>
        <v>12.5</v>
      </c>
      <c r="K10" s="47">
        <f>+IFERROR(HLOOKUP($B10,'[2]3월'!$F$6:$CP$99,2,),)/1000</f>
        <v>12.401</v>
      </c>
      <c r="L10" s="48">
        <f t="shared" si="0"/>
        <v>-9.9000000000000199E-2</v>
      </c>
      <c r="M10" s="49">
        <f>+IFERROR(HLOOKUP($B10,'[3]3월'!$F$6:$CC$57,2,),)/1000</f>
        <v>21.686</v>
      </c>
      <c r="N10" s="50">
        <f t="shared" si="2"/>
        <v>-9.2850000000000001</v>
      </c>
      <c r="O10" s="46">
        <f>+IFERROR(HLOOKUP($B10,'[1]3월'!$D$6:$BN$259,3,),)/1000</f>
        <v>1175.1875</v>
      </c>
      <c r="P10" s="47">
        <f>+IFERROR(HLOOKUP($B10,'[2]3월'!$F$6:$CP$99,3,),)/1000</f>
        <v>1206.2439360000001</v>
      </c>
      <c r="Q10" s="48">
        <f t="shared" si="3"/>
        <v>31.056436000000076</v>
      </c>
      <c r="R10" s="49">
        <f>+IFERROR(HLOOKUP($B10,'[3]3월'!$F$6:$CC$57,3,),)/1000</f>
        <v>1891.971078</v>
      </c>
      <c r="S10" s="50">
        <f t="shared" si="4"/>
        <v>-685.72714199999996</v>
      </c>
      <c r="T10" s="46">
        <f>+IFERROR(HLOOKUP($B10,'[1]3월'!$D$6:$BN$259,16,),)/1000</f>
        <v>118.9771372173127</v>
      </c>
      <c r="U10" s="47">
        <f>+IFERROR(HLOOKUP($B10,'[2]3월'!$F$6:$CP$99,16,),)/1000</f>
        <v>115.38405200000003</v>
      </c>
      <c r="V10" s="48">
        <f t="shared" si="5"/>
        <v>-3.5930852173126766</v>
      </c>
      <c r="W10" s="49">
        <f>+IFERROR(HLOOKUP($B10,'[3]3월'!$F$6:$CC$57,16,),)/1000</f>
        <v>294.49631100000005</v>
      </c>
      <c r="X10" s="50">
        <f t="shared" si="6"/>
        <v>-179.11225900000002</v>
      </c>
      <c r="Y10" s="46">
        <f>+[5]김포!$Q$85</f>
        <v>94015</v>
      </c>
      <c r="Z10" s="47">
        <f>+[5]김포!$R$85</f>
        <v>97269.892428029983</v>
      </c>
      <c r="AA10" s="51">
        <f>+[6]김포!$Q$85</f>
        <v>87095.130381245574</v>
      </c>
      <c r="AB10" s="52">
        <f>+[5]김포!$Q$89</f>
        <v>70664.655031503877</v>
      </c>
      <c r="AC10" s="47">
        <f>+[5]김포!$R$89</f>
        <v>74721.474074671394</v>
      </c>
      <c r="AD10" s="53">
        <f>+[6]김포!$Q$89</f>
        <v>65547.122377456777</v>
      </c>
      <c r="AE10" s="52">
        <f t="shared" si="7"/>
        <v>23350.344968496123</v>
      </c>
      <c r="AF10" s="47">
        <f t="shared" si="8"/>
        <v>22548.418353358589</v>
      </c>
      <c r="AG10" s="53">
        <f t="shared" si="9"/>
        <v>21548.008003788796</v>
      </c>
      <c r="AH10" s="18"/>
      <c r="AI10" s="19"/>
      <c r="AJ10" s="97"/>
    </row>
    <row r="11" spans="2:36" s="8" customFormat="1" ht="19.5" customHeight="1" x14ac:dyDescent="0.3">
      <c r="B11" s="8" t="s">
        <v>25</v>
      </c>
      <c r="G11" s="8" t="str">
        <f t="shared" si="1"/>
        <v>부산</v>
      </c>
      <c r="H11" s="80"/>
      <c r="I11" s="82" t="s">
        <v>25</v>
      </c>
      <c r="J11" s="63">
        <f>+IFERROR(HLOOKUP($B11,'[1]3월'!$D$6:$BN$259,2,),)/1000</f>
        <v>19</v>
      </c>
      <c r="K11" s="64">
        <f>+IFERROR(HLOOKUP($B11,'[2]3월'!$F$6:$CP$99,2,),)/1000</f>
        <v>21.643000000000001</v>
      </c>
      <c r="L11" s="65">
        <f t="shared" si="0"/>
        <v>2.6430000000000007</v>
      </c>
      <c r="M11" s="66">
        <f>+IFERROR(HLOOKUP($B11,'[3]3월'!$F$6:$CC$57,2,),)/1000</f>
        <v>26.724</v>
      </c>
      <c r="N11" s="67">
        <f t="shared" si="2"/>
        <v>-5.0809999999999995</v>
      </c>
      <c r="O11" s="63">
        <f>+IFERROR(HLOOKUP($B11,'[1]3월'!$D$6:$BN$259,3,),)/1000</f>
        <v>2044.4048162500001</v>
      </c>
      <c r="P11" s="64">
        <f>+IFERROR(HLOOKUP($B11,'[2]3월'!$F$6:$CP$99,3,),)/1000</f>
        <v>2301.596642</v>
      </c>
      <c r="Q11" s="65">
        <f t="shared" si="3"/>
        <v>257.19182574999991</v>
      </c>
      <c r="R11" s="66">
        <f>+IFERROR(HLOOKUP($B11,'[3]3월'!$F$6:$CC$57,3,),)/1000</f>
        <v>2712.1276000000003</v>
      </c>
      <c r="S11" s="67">
        <f t="shared" si="4"/>
        <v>-410.53095800000028</v>
      </c>
      <c r="T11" s="63">
        <f>+IFERROR(HLOOKUP($B11,'[1]3월'!$D$6:$BN$259,16,),)/1000</f>
        <v>283.18565316630048</v>
      </c>
      <c r="U11" s="64">
        <f>+IFERROR(HLOOKUP($B11,'[2]3월'!$F$6:$CP$99,16,),)/1000</f>
        <v>237.07459099999988</v>
      </c>
      <c r="V11" s="65">
        <f t="shared" si="5"/>
        <v>-46.111062166300599</v>
      </c>
      <c r="W11" s="66">
        <f>+IFERROR(HLOOKUP($B11,'[3]3월'!$F$6:$CC$57,16,),)/1000</f>
        <v>536.21260700000005</v>
      </c>
      <c r="X11" s="67">
        <f t="shared" si="6"/>
        <v>-299.13801600000016</v>
      </c>
      <c r="Y11" s="63">
        <f>+[5]부산!$Q$85</f>
        <v>107600.25348684211</v>
      </c>
      <c r="Z11" s="64">
        <f>+[5]부산!$R$85</f>
        <v>106343.69736173359</v>
      </c>
      <c r="AA11" s="68">
        <f>+[6]부산!$Q$85</f>
        <v>101486.58883400689</v>
      </c>
      <c r="AB11" s="69">
        <f>+[5]부산!$Q$89</f>
        <v>78387.597380865234</v>
      </c>
      <c r="AC11" s="64">
        <f>+[5]부산!$R$89</f>
        <v>84400.454806770998</v>
      </c>
      <c r="AD11" s="70">
        <f>+[6]부산!$Q$89</f>
        <v>73440.19464086341</v>
      </c>
      <c r="AE11" s="69">
        <f t="shared" si="7"/>
        <v>29212.656105976872</v>
      </c>
      <c r="AF11" s="64">
        <f t="shared" si="8"/>
        <v>21943.242554962591</v>
      </c>
      <c r="AG11" s="70">
        <f t="shared" si="9"/>
        <v>28046.394193143482</v>
      </c>
      <c r="AH11" s="18"/>
      <c r="AI11" s="19"/>
      <c r="AJ11" s="97"/>
    </row>
    <row r="12" spans="2:36" s="8" customFormat="1" ht="19.5" customHeight="1" x14ac:dyDescent="0.3">
      <c r="B12" s="8" t="s">
        <v>26</v>
      </c>
      <c r="G12" s="8" t="str">
        <f t="shared" si="1"/>
        <v>서부산</v>
      </c>
      <c r="H12" s="80"/>
      <c r="I12" s="81" t="s">
        <v>26</v>
      </c>
      <c r="J12" s="46">
        <f>+IFERROR(HLOOKUP($B12,'[1]3월'!$D$6:$BN$259,2,),)/1000</f>
        <v>24</v>
      </c>
      <c r="K12" s="47">
        <f>+IFERROR(HLOOKUP($B12,'[2]3월'!$F$6:$CP$99,2,),)/1000</f>
        <v>23.103999999999999</v>
      </c>
      <c r="L12" s="48">
        <f t="shared" si="0"/>
        <v>-0.8960000000000008</v>
      </c>
      <c r="M12" s="49">
        <f>+IFERROR(HLOOKUP($B12,'[3]3월'!$F$6:$CC$57,2,),)/1000</f>
        <v>24.087</v>
      </c>
      <c r="N12" s="50">
        <f t="shared" si="2"/>
        <v>-0.98300000000000054</v>
      </c>
      <c r="O12" s="46">
        <f>+IFERROR(HLOOKUP($B12,'[1]3월'!$D$6:$BN$259,3,),)/1000</f>
        <v>2488.25668</v>
      </c>
      <c r="P12" s="47">
        <f>+IFERROR(HLOOKUP($B12,'[2]3월'!$F$6:$CP$99,3,),)/1000</f>
        <v>2353.7109</v>
      </c>
      <c r="Q12" s="48">
        <f t="shared" si="3"/>
        <v>-134.54577999999992</v>
      </c>
      <c r="R12" s="49">
        <f>+IFERROR(HLOOKUP($B12,'[3]3월'!$F$6:$CC$57,3,),)/1000</f>
        <v>2411.6617000000001</v>
      </c>
      <c r="S12" s="50">
        <f t="shared" si="4"/>
        <v>-57.950800000000072</v>
      </c>
      <c r="T12" s="46">
        <f>+IFERROR(HLOOKUP($B12,'[1]3월'!$D$6:$BN$259,16,),)/1000</f>
        <v>420.79331275072354</v>
      </c>
      <c r="U12" s="47">
        <f>+IFERROR(HLOOKUP($B12,'[2]3월'!$F$6:$CP$99,16,),)/1000</f>
        <v>346.17788299999995</v>
      </c>
      <c r="V12" s="48">
        <f t="shared" si="5"/>
        <v>-74.615429750723592</v>
      </c>
      <c r="W12" s="49">
        <f>+IFERROR(HLOOKUP($B12,'[3]3월'!$F$6:$CC$57,16,),)/1000</f>
        <v>565.70032200000003</v>
      </c>
      <c r="X12" s="50">
        <f t="shared" si="6"/>
        <v>-219.52243900000008</v>
      </c>
      <c r="Y12" s="46">
        <f>+[5]서부산!$Q$85</f>
        <v>103677.36166666666</v>
      </c>
      <c r="Z12" s="47">
        <f>+[5]서부산!$R$85</f>
        <v>101874.60612880887</v>
      </c>
      <c r="AA12" s="51">
        <f>+[6]서부산!$Q$85</f>
        <v>100122.95844231329</v>
      </c>
      <c r="AB12" s="52">
        <f>+[5]서부산!$Q$89</f>
        <v>78686.696246497639</v>
      </c>
      <c r="AC12" s="47">
        <f>+[5]서부산!$R$89</f>
        <v>78936.835612880881</v>
      </c>
      <c r="AD12" s="53">
        <f>+[6]서부산!$Q$89</f>
        <v>69676.893718603402</v>
      </c>
      <c r="AE12" s="52">
        <f t="shared" si="7"/>
        <v>24990.665420169025</v>
      </c>
      <c r="AF12" s="47">
        <f t="shared" si="8"/>
        <v>22937.770515927987</v>
      </c>
      <c r="AG12" s="53">
        <f t="shared" si="9"/>
        <v>30446.064723709889</v>
      </c>
      <c r="AH12" s="18"/>
      <c r="AI12" s="19"/>
      <c r="AJ12" s="97"/>
    </row>
    <row r="13" spans="2:36" s="8" customFormat="1" ht="19.5" customHeight="1" x14ac:dyDescent="0.3">
      <c r="B13" s="8" t="s">
        <v>27</v>
      </c>
      <c r="G13" s="8" t="str">
        <f t="shared" si="1"/>
        <v>김해</v>
      </c>
      <c r="H13" s="80"/>
      <c r="I13" s="81" t="s">
        <v>27</v>
      </c>
      <c r="J13" s="46">
        <f>+IFERROR(HLOOKUP($B13,'[1]3월'!$D$6:$BN$259,2,),)/1000</f>
        <v>12</v>
      </c>
      <c r="K13" s="47">
        <f>+IFERROR(HLOOKUP($B13,'[2]3월'!$F$6:$CP$99,2,),)/1000</f>
        <v>14.128</v>
      </c>
      <c r="L13" s="48">
        <f t="shared" si="0"/>
        <v>2.1280000000000001</v>
      </c>
      <c r="M13" s="49">
        <f>+IFERROR(HLOOKUP($B13,'[3]3월'!$F$6:$CC$57,2,),)/1000</f>
        <v>15.829000000000001</v>
      </c>
      <c r="N13" s="50">
        <f t="shared" si="2"/>
        <v>-1.7010000000000005</v>
      </c>
      <c r="O13" s="46">
        <f>+IFERROR(HLOOKUP($B13,'[1]3월'!$D$6:$BN$259,3,),)/1000</f>
        <v>1212.0023999999999</v>
      </c>
      <c r="P13" s="47">
        <f>+IFERROR(HLOOKUP($B13,'[2]3월'!$F$6:$CP$99,3,),)/1000</f>
        <v>1362.6295</v>
      </c>
      <c r="Q13" s="48">
        <f t="shared" si="3"/>
        <v>150.62710000000015</v>
      </c>
      <c r="R13" s="49">
        <f>+IFERROR(HLOOKUP($B13,'[3]3월'!$F$6:$CC$57,3,),)/1000</f>
        <v>1540.5558999999998</v>
      </c>
      <c r="S13" s="50">
        <f t="shared" si="4"/>
        <v>-177.92639999999983</v>
      </c>
      <c r="T13" s="46">
        <f>+IFERROR(HLOOKUP($B13,'[1]3월'!$D$6:$BN$259,16,),)/1000</f>
        <v>142.69555450283352</v>
      </c>
      <c r="U13" s="47">
        <f>+IFERROR(HLOOKUP($B13,'[2]3월'!$F$6:$CP$99,16,),)/1000</f>
        <v>100.67252699999989</v>
      </c>
      <c r="V13" s="48">
        <f t="shared" si="5"/>
        <v>-42.023027502833628</v>
      </c>
      <c r="W13" s="49">
        <f>+IFERROR(HLOOKUP($B13,'[3]3월'!$F$6:$CC$57,16,),)/1000</f>
        <v>243.72031699999985</v>
      </c>
      <c r="X13" s="50">
        <f t="shared" si="6"/>
        <v>-143.04778999999996</v>
      </c>
      <c r="Y13" s="46">
        <f>+[5]김해!$Q$85</f>
        <v>101000.2</v>
      </c>
      <c r="Z13" s="47">
        <f>+[5]김해!$R$85</f>
        <v>96687.288882361579</v>
      </c>
      <c r="AA13" s="51">
        <f>+[6]김해!$Q$85</f>
        <v>97324.903657843199</v>
      </c>
      <c r="AB13" s="52">
        <f>+[5]김해!$Q$89</f>
        <v>76392.309122042672</v>
      </c>
      <c r="AC13" s="47">
        <f>+[5]김해!$R$89</f>
        <v>79530.474445586719</v>
      </c>
      <c r="AD13" s="53">
        <f>+[6]김해!$Q$89</f>
        <v>73868.047634089336</v>
      </c>
      <c r="AE13" s="52">
        <f t="shared" si="7"/>
        <v>24607.890877957325</v>
      </c>
      <c r="AF13" s="47">
        <f t="shared" si="8"/>
        <v>17156.814436774861</v>
      </c>
      <c r="AG13" s="53">
        <f t="shared" si="9"/>
        <v>23456.856023753862</v>
      </c>
      <c r="AH13" s="18"/>
      <c r="AI13" s="19"/>
      <c r="AJ13" s="97"/>
    </row>
    <row r="14" spans="2:36" s="8" customFormat="1" ht="19.5" customHeight="1" x14ac:dyDescent="0.3">
      <c r="B14" s="8" t="s">
        <v>28</v>
      </c>
      <c r="G14" s="8" t="str">
        <f t="shared" si="1"/>
        <v>정관</v>
      </c>
      <c r="H14" s="80"/>
      <c r="I14" s="81" t="s">
        <v>28</v>
      </c>
      <c r="J14" s="46">
        <f>+IFERROR(HLOOKUP($B14,'[1]3월'!$D$6:$BN$259,2,),)/1000</f>
        <v>18</v>
      </c>
      <c r="K14" s="47">
        <f>+IFERROR(HLOOKUP($B14,'[2]3월'!$F$6:$CP$99,2,),)/1000</f>
        <v>20.677</v>
      </c>
      <c r="L14" s="48">
        <f t="shared" si="0"/>
        <v>2.6769999999999996</v>
      </c>
      <c r="M14" s="49">
        <f>+IFERROR(HLOOKUP($B14,'[3]3월'!$F$6:$CC$57,2,),)/1000</f>
        <v>23.172999999999998</v>
      </c>
      <c r="N14" s="50">
        <f t="shared" si="2"/>
        <v>-2.4959999999999987</v>
      </c>
      <c r="O14" s="46">
        <f>+IFERROR(HLOOKUP($B14,'[1]3월'!$D$6:$BN$259,3,),)/1000</f>
        <v>1872</v>
      </c>
      <c r="P14" s="47">
        <f>+IFERROR(HLOOKUP($B14,'[2]3월'!$F$6:$CP$99,3,),)/1000</f>
        <v>2137.7737000000002</v>
      </c>
      <c r="Q14" s="48">
        <f t="shared" si="3"/>
        <v>265.77370000000019</v>
      </c>
      <c r="R14" s="49">
        <f>+IFERROR(HLOOKUP($B14,'[3]3월'!$F$6:$CC$57,3,),)/1000</f>
        <v>2297.1177000000002</v>
      </c>
      <c r="S14" s="50">
        <f t="shared" si="4"/>
        <v>-159.34400000000005</v>
      </c>
      <c r="T14" s="46">
        <f>+IFERROR(HLOOKUP($B14,'[1]3월'!$D$6:$BN$259,16,),)/1000</f>
        <v>245.91392819196605</v>
      </c>
      <c r="U14" s="47">
        <f>+IFERROR(HLOOKUP($B14,'[2]3월'!$F$6:$CP$99,16,),)/1000</f>
        <v>246.30265899999992</v>
      </c>
      <c r="V14" s="48">
        <f t="shared" si="5"/>
        <v>0.38873080803386983</v>
      </c>
      <c r="W14" s="49">
        <f>+IFERROR(HLOOKUP($B14,'[3]3월'!$F$6:$CC$57,16,),)/1000</f>
        <v>379.50503600000036</v>
      </c>
      <c r="X14" s="50">
        <f t="shared" si="6"/>
        <v>-133.20237700000044</v>
      </c>
      <c r="Y14" s="46">
        <f>+[5]정관!$Q$85</f>
        <v>104000</v>
      </c>
      <c r="Z14" s="47">
        <f>+[5]정관!$R$85</f>
        <v>103388.96841901631</v>
      </c>
      <c r="AA14" s="51">
        <f>+[6]정관!$Q$85</f>
        <v>99129.05968152592</v>
      </c>
      <c r="AB14" s="52">
        <f>+[5]정관!$Q$89</f>
        <v>77839.34331032286</v>
      </c>
      <c r="AC14" s="47">
        <f>+[5]정관!$R$89</f>
        <v>82316.124933520288</v>
      </c>
      <c r="AD14" s="53">
        <f>+[6]정관!$Q$89</f>
        <v>74933.675398092615</v>
      </c>
      <c r="AE14" s="52">
        <f t="shared" si="7"/>
        <v>26160.65668967714</v>
      </c>
      <c r="AF14" s="47">
        <f t="shared" si="8"/>
        <v>21072.843485496021</v>
      </c>
      <c r="AG14" s="53">
        <f t="shared" si="9"/>
        <v>24195.384283433305</v>
      </c>
      <c r="AH14" s="18"/>
      <c r="AI14" s="19"/>
      <c r="AJ14" s="97"/>
    </row>
    <row r="15" spans="2:36" s="8" customFormat="1" ht="19.5" customHeight="1" x14ac:dyDescent="0.3">
      <c r="B15" s="8" t="s">
        <v>29</v>
      </c>
      <c r="G15" s="8" t="str">
        <f t="shared" si="1"/>
        <v>양산</v>
      </c>
      <c r="H15" s="80"/>
      <c r="I15" s="81" t="s">
        <v>29</v>
      </c>
      <c r="J15" s="46">
        <f>+IFERROR(HLOOKUP($B15,'[1]3월'!$D$6:$BN$259,2,),)/1000</f>
        <v>11</v>
      </c>
      <c r="K15" s="47">
        <f>+IFERROR(HLOOKUP($B15,'[2]3월'!$F$6:$CP$99,2,),)/1000</f>
        <v>13.47</v>
      </c>
      <c r="L15" s="48">
        <f t="shared" si="0"/>
        <v>2.4700000000000006</v>
      </c>
      <c r="M15" s="49">
        <f>+IFERROR(HLOOKUP($B15,'[3]3월'!$F$6:$CC$57,2,),)/1000</f>
        <v>18.102</v>
      </c>
      <c r="N15" s="50">
        <f t="shared" si="2"/>
        <v>-4.6319999999999997</v>
      </c>
      <c r="O15" s="46">
        <f>+IFERROR(HLOOKUP($B15,'[1]3월'!$D$6:$BN$259,3,),)/1000</f>
        <v>1063.8694700000001</v>
      </c>
      <c r="P15" s="47">
        <f>+IFERROR(HLOOKUP($B15,'[2]3월'!$F$6:$CP$99,3,),)/1000</f>
        <v>1230.1272799999999</v>
      </c>
      <c r="Q15" s="48">
        <f t="shared" si="3"/>
        <v>166.25780999999984</v>
      </c>
      <c r="R15" s="49">
        <f>+IFERROR(HLOOKUP($B15,'[3]3월'!$F$6:$CC$57,3,),)/1000</f>
        <v>1686.4853999999998</v>
      </c>
      <c r="S15" s="50">
        <f t="shared" si="4"/>
        <v>-456.35811999999987</v>
      </c>
      <c r="T15" s="46">
        <f>+IFERROR(HLOOKUP($B15,'[1]3월'!$D$6:$BN$259,16,),)/1000</f>
        <v>118.04823830331384</v>
      </c>
      <c r="U15" s="47">
        <f>+IFERROR(HLOOKUP($B15,'[2]3월'!$F$6:$CP$99,16,),)/1000</f>
        <v>132.96660900000006</v>
      </c>
      <c r="V15" s="48">
        <f t="shared" si="5"/>
        <v>14.918370696686225</v>
      </c>
      <c r="W15" s="49">
        <f>+IFERROR(HLOOKUP($B15,'[3]3월'!$F$6:$CC$57,16,),)/1000</f>
        <v>312.72785599999986</v>
      </c>
      <c r="X15" s="50">
        <f t="shared" si="6"/>
        <v>-179.7612469999998</v>
      </c>
      <c r="Y15" s="46">
        <f>+[5]양산!$Q$85</f>
        <v>96715.406363636372</v>
      </c>
      <c r="Z15" s="47">
        <f>+[5]양산!$R$85</f>
        <v>91323.480326651814</v>
      </c>
      <c r="AA15" s="51">
        <f>+[6]양산!$Q$85</f>
        <v>93165.694398409018</v>
      </c>
      <c r="AB15" s="52">
        <f>+[5]양산!$Q$89</f>
        <v>71493.41591181999</v>
      </c>
      <c r="AC15" s="47">
        <f>+[5]양산!$R$89</f>
        <v>71355.877654046024</v>
      </c>
      <c r="AD15" s="53">
        <f>+[6]양산!$Q$89</f>
        <v>67449.58662026294</v>
      </c>
      <c r="AE15" s="52">
        <f t="shared" si="7"/>
        <v>25221.990451816382</v>
      </c>
      <c r="AF15" s="47">
        <f t="shared" si="8"/>
        <v>19967.60267260579</v>
      </c>
      <c r="AG15" s="53">
        <f t="shared" si="9"/>
        <v>25716.107778146077</v>
      </c>
      <c r="AH15" s="18"/>
      <c r="AI15" s="19"/>
      <c r="AJ15" s="97"/>
    </row>
    <row r="16" spans="2:36" s="8" customFormat="1" ht="19.5" customHeight="1" x14ac:dyDescent="0.3">
      <c r="B16" s="8" t="s">
        <v>30</v>
      </c>
      <c r="G16" s="8" t="str">
        <f t="shared" si="1"/>
        <v>창원</v>
      </c>
      <c r="H16" s="80"/>
      <c r="I16" s="81" t="s">
        <v>30</v>
      </c>
      <c r="J16" s="46">
        <f>+IFERROR(HLOOKUP($B16,'[1]3월'!$D$6:$BN$259,2,),)/1000</f>
        <v>18</v>
      </c>
      <c r="K16" s="47">
        <f>+IFERROR(HLOOKUP($B16,'[2]3월'!$F$6:$CP$99,2,),)/1000</f>
        <v>18.722999999999999</v>
      </c>
      <c r="L16" s="48">
        <f t="shared" si="0"/>
        <v>0.72299999999999898</v>
      </c>
      <c r="M16" s="49">
        <f>+IFERROR(HLOOKUP($B16,'[3]3월'!$F$6:$CC$57,2,),)/1000</f>
        <v>22.044</v>
      </c>
      <c r="N16" s="50">
        <f t="shared" si="2"/>
        <v>-3.3210000000000015</v>
      </c>
      <c r="O16" s="46">
        <f>+IFERROR(HLOOKUP($B16,'[1]3월'!$D$6:$BN$259,3,),)/1000</f>
        <v>1793.4425000000001</v>
      </c>
      <c r="P16" s="47">
        <f>+IFERROR(HLOOKUP($B16,'[2]3월'!$F$6:$CP$99,3,),)/1000</f>
        <v>1905.079</v>
      </c>
      <c r="Q16" s="48">
        <f t="shared" si="3"/>
        <v>111.63649999999984</v>
      </c>
      <c r="R16" s="49">
        <f>+IFERROR(HLOOKUP($B16,'[3]3월'!$F$6:$CC$57,3,),)/1000</f>
        <v>2043.2435</v>
      </c>
      <c r="S16" s="50">
        <f t="shared" si="4"/>
        <v>-138.16450000000009</v>
      </c>
      <c r="T16" s="46">
        <f>+IFERROR(HLOOKUP($B16,'[1]3월'!$D$6:$BN$259,16,),)/1000</f>
        <v>296.12376918190239</v>
      </c>
      <c r="U16" s="47">
        <f>+IFERROR(HLOOKUP($B16,'[2]3월'!$F$6:$CP$99,16,),)/1000</f>
        <v>321.83746799999994</v>
      </c>
      <c r="V16" s="48">
        <f t="shared" si="5"/>
        <v>25.713698818097555</v>
      </c>
      <c r="W16" s="49">
        <f>+IFERROR(HLOOKUP($B16,'[3]3월'!$F$6:$CC$57,16,),)/1000</f>
        <v>425.86196599999994</v>
      </c>
      <c r="X16" s="50">
        <f t="shared" si="6"/>
        <v>-104.02449799999999</v>
      </c>
      <c r="Y16" s="46">
        <f>+[5]창원!$Q$85</f>
        <v>99635.694444444438</v>
      </c>
      <c r="Z16" s="47">
        <f>+[5]창원!$R$85</f>
        <v>101750.73439085616</v>
      </c>
      <c r="AA16" s="51">
        <f>+[6]창원!$Q$85</f>
        <v>92689.325893667221</v>
      </c>
      <c r="AB16" s="52">
        <f>+[5]창원!$Q$89</f>
        <v>71886.301467903671</v>
      </c>
      <c r="AC16" s="47">
        <f>+[5]창원!$R$89</f>
        <v>74990.256262351118</v>
      </c>
      <c r="AD16" s="53">
        <f>+[6]창원!$Q$89</f>
        <v>66107.698874977315</v>
      </c>
      <c r="AE16" s="52">
        <f t="shared" si="7"/>
        <v>27749.392976540767</v>
      </c>
      <c r="AF16" s="47">
        <f t="shared" si="8"/>
        <v>26760.478128505041</v>
      </c>
      <c r="AG16" s="53">
        <f t="shared" si="9"/>
        <v>26581.627018689906</v>
      </c>
      <c r="AH16" s="18"/>
      <c r="AI16" s="19"/>
      <c r="AJ16" s="97"/>
    </row>
    <row r="17" spans="2:38" s="8" customFormat="1" ht="19.5" customHeight="1" x14ac:dyDescent="0.3">
      <c r="B17" s="8" t="s">
        <v>96</v>
      </c>
      <c r="G17" s="8" t="str">
        <f t="shared" si="1"/>
        <v>대구</v>
      </c>
      <c r="H17" s="80"/>
      <c r="I17" s="81" t="s">
        <v>87</v>
      </c>
      <c r="J17" s="46">
        <f>+IFERROR(HLOOKUP($B17,'[1]3월'!$D$6:$BN$259,2,),)/1000</f>
        <v>16</v>
      </c>
      <c r="K17" s="47">
        <f>+IFERROR(HLOOKUP($B17,'[2]3월'!$F$6:$CP$99,2,),)/1000</f>
        <v>15.571999999999999</v>
      </c>
      <c r="L17" s="48">
        <f t="shared" si="0"/>
        <v>-0.42800000000000082</v>
      </c>
      <c r="M17" s="49">
        <f>+IFERROR(HLOOKUP($B17,'[3]3월'!$F$6:$CC$57,2,),)/1000</f>
        <v>21.704499999999999</v>
      </c>
      <c r="N17" s="50">
        <f t="shared" si="2"/>
        <v>-6.1325000000000003</v>
      </c>
      <c r="O17" s="46">
        <f>+IFERROR(HLOOKUP($B17,'[1]3월'!$D$6:$BN$259,3,),)/1000</f>
        <v>1564.8000000000002</v>
      </c>
      <c r="P17" s="47">
        <f>+IFERROR(HLOOKUP($B17,'[2]3월'!$F$6:$CP$99,3,),)/1000</f>
        <v>1576.5958419999999</v>
      </c>
      <c r="Q17" s="48">
        <f t="shared" si="3"/>
        <v>11.795841999999766</v>
      </c>
      <c r="R17" s="49">
        <f>+IFERROR(HLOOKUP($B17,'[3]3월'!$F$6:$CC$57,3,),)/1000</f>
        <v>2074.4209999999998</v>
      </c>
      <c r="S17" s="50">
        <f t="shared" si="4"/>
        <v>-497.82515799999987</v>
      </c>
      <c r="T17" s="46">
        <f>+IFERROR(HLOOKUP($B17,'[1]3월'!$D$6:$BN$259,16,),)/1000</f>
        <v>253.15821331724507</v>
      </c>
      <c r="U17" s="47">
        <f>+IFERROR(HLOOKUP($B17,'[2]3월'!$F$6:$CP$99,16,),)/1000</f>
        <v>198.15277300000014</v>
      </c>
      <c r="V17" s="48">
        <f t="shared" si="5"/>
        <v>-55.005440317244933</v>
      </c>
      <c r="W17" s="49">
        <f>+IFERROR(HLOOKUP($B17,'[3]3월'!$F$6:$CC$57,16,),)/1000</f>
        <v>445.24218099999985</v>
      </c>
      <c r="X17" s="50">
        <f t="shared" si="6"/>
        <v>-247.08940799999971</v>
      </c>
      <c r="Y17" s="46">
        <f>+[5]대구!$Q$85</f>
        <v>97800.000000000015</v>
      </c>
      <c r="Z17" s="47">
        <f>+[5]대구!$R$85</f>
        <v>101245.55882352941</v>
      </c>
      <c r="AA17" s="51">
        <f>+[6]대구!$Q$85</f>
        <v>95589.95676600466</v>
      </c>
      <c r="AB17" s="52">
        <f>+[5]대구!$Q$89</f>
        <v>70142.003124116047</v>
      </c>
      <c r="AC17" s="47">
        <f>+[5]대구!$R$89</f>
        <v>77193.439892114067</v>
      </c>
      <c r="AD17" s="53">
        <f>+[6]대구!$Q$89</f>
        <v>66842.167017219457</v>
      </c>
      <c r="AE17" s="52">
        <f t="shared" si="7"/>
        <v>27657.996875883968</v>
      </c>
      <c r="AF17" s="47">
        <f t="shared" si="8"/>
        <v>24052.118931415345</v>
      </c>
      <c r="AG17" s="53">
        <f t="shared" si="9"/>
        <v>28747.789748785202</v>
      </c>
      <c r="AH17" s="18"/>
      <c r="AI17" s="19"/>
      <c r="AJ17" s="97"/>
    </row>
    <row r="18" spans="2:38" s="8" customFormat="1" ht="19.5" customHeight="1" x14ac:dyDescent="0.3">
      <c r="B18" s="8" t="s">
        <v>98</v>
      </c>
      <c r="G18" s="9" t="str">
        <f t="shared" si="1"/>
        <v>울산</v>
      </c>
      <c r="H18" s="80"/>
      <c r="I18" s="83" t="s">
        <v>88</v>
      </c>
      <c r="J18" s="10">
        <f>+IFERROR(HLOOKUP($B18,'[1]3월'!$D$6:$BN$259,2,),)/1000</f>
        <v>7</v>
      </c>
      <c r="K18" s="11">
        <f>+IFERROR(HLOOKUP($B18,'[2]3월'!$F$6:$CP$99,2,),)/1000</f>
        <v>7.1829999999999998</v>
      </c>
      <c r="L18" s="12">
        <f t="shared" si="0"/>
        <v>0.18299999999999983</v>
      </c>
      <c r="M18" s="13">
        <f>+IFERROR(HLOOKUP($B18,'[3]3월'!$F$6:$CC$57,2,),)/1000</f>
        <v>11.369</v>
      </c>
      <c r="N18" s="14">
        <f t="shared" si="2"/>
        <v>-4.1859999999999999</v>
      </c>
      <c r="O18" s="10">
        <f>+IFERROR(HLOOKUP($B18,'[1]3월'!$D$6:$BN$259,3,),)/1000</f>
        <v>686.17780000000005</v>
      </c>
      <c r="P18" s="11">
        <f>+IFERROR(HLOOKUP($B18,'[2]3월'!$F$6:$CP$99,3,),)/1000</f>
        <v>760.2083419999999</v>
      </c>
      <c r="Q18" s="12">
        <f t="shared" si="3"/>
        <v>74.030541999999855</v>
      </c>
      <c r="R18" s="13">
        <f>+IFERROR(HLOOKUP($B18,'[3]3월'!$F$6:$CC$57,3,),)/1000</f>
        <v>1063.213</v>
      </c>
      <c r="S18" s="14">
        <f t="shared" si="4"/>
        <v>-303.00465800000006</v>
      </c>
      <c r="T18" s="10">
        <f>+IFERROR(HLOOKUP($B18,'[1]3월'!$D$6:$BN$259,16,),)/1000</f>
        <v>-8.9297030610637886</v>
      </c>
      <c r="U18" s="11">
        <f>+IFERROR(HLOOKUP($B18,'[2]3월'!$F$6:$CP$99,16,),)/1000</f>
        <v>30.862732999999988</v>
      </c>
      <c r="V18" s="12">
        <f t="shared" si="5"/>
        <v>39.792436061063775</v>
      </c>
      <c r="W18" s="13">
        <f>+IFERROR(HLOOKUP($B18,'[3]3월'!$F$6:$CC$57,16,),)/1000</f>
        <v>122.99233500000007</v>
      </c>
      <c r="X18" s="14">
        <f t="shared" si="6"/>
        <v>-92.129602000000077</v>
      </c>
      <c r="Y18" s="10">
        <f>+[5]울산!$Q$85</f>
        <v>98025.400000000009</v>
      </c>
      <c r="Z18" s="11">
        <f>+[5]울산!$R$85</f>
        <v>105834.37867186412</v>
      </c>
      <c r="AA18" s="15">
        <f>+[6]울산!$Q$85</f>
        <v>93554.315080630869</v>
      </c>
      <c r="AB18" s="16">
        <f>+[5]울산!$Q$89</f>
        <v>78234.677907605932</v>
      </c>
      <c r="AC18" s="11">
        <f>+[5]울산!$R$89</f>
        <v>83954.887902330753</v>
      </c>
      <c r="AD18" s="17">
        <f>+[6]울산!$Q$89</f>
        <v>71298.056173820878</v>
      </c>
      <c r="AE18" s="16">
        <f t="shared" si="7"/>
        <v>19790.722092394077</v>
      </c>
      <c r="AF18" s="11">
        <f t="shared" si="8"/>
        <v>21879.490769533368</v>
      </c>
      <c r="AG18" s="17">
        <f t="shared" si="9"/>
        <v>22256.258906809991</v>
      </c>
      <c r="AH18" s="18"/>
      <c r="AI18" s="19"/>
      <c r="AJ18" s="97"/>
    </row>
    <row r="19" spans="2:38" s="8" customFormat="1" ht="19.5" customHeight="1" x14ac:dyDescent="0.3">
      <c r="B19" s="8" t="s">
        <v>93</v>
      </c>
      <c r="G19" s="9" t="str">
        <f t="shared" si="1"/>
        <v>아산</v>
      </c>
      <c r="H19" s="80"/>
      <c r="I19" s="81" t="s">
        <v>31</v>
      </c>
      <c r="J19" s="46">
        <f>+IFERROR(HLOOKUP($B19,'[1]3월'!$D$6:$BN$259,2,),)/1000</f>
        <v>24</v>
      </c>
      <c r="K19" s="47">
        <f>+IFERROR(HLOOKUP($B19,'[2]3월'!$F$6:$CP$99,2,),)/1000</f>
        <v>27.771999999999998</v>
      </c>
      <c r="L19" s="48">
        <f t="shared" si="0"/>
        <v>3.7719999999999985</v>
      </c>
      <c r="M19" s="49">
        <f>+IFERROR(HLOOKUP($B19,'[3]3월'!$F$6:$CC$57,2,),)/1000</f>
        <v>30.829000000000001</v>
      </c>
      <c r="N19" s="50">
        <f t="shared" si="2"/>
        <v>-3.0570000000000022</v>
      </c>
      <c r="O19" s="46">
        <f>+IFERROR(HLOOKUP($B19,'[1]3월'!$D$6:$BN$259,3,),)/1000</f>
        <v>2423.9893999999999</v>
      </c>
      <c r="P19" s="47">
        <f>+IFERROR(HLOOKUP($B19,'[2]3월'!$F$6:$CP$99,3,),)/1000</f>
        <v>2853.2172</v>
      </c>
      <c r="Q19" s="48">
        <f t="shared" si="3"/>
        <v>429.22780000000012</v>
      </c>
      <c r="R19" s="49">
        <f>+IFERROR(HLOOKUP($B19,'[3]3월'!$F$6:$CC$57,3,),)/1000</f>
        <v>2876.1871499999997</v>
      </c>
      <c r="S19" s="50">
        <f t="shared" si="4"/>
        <v>-22.969949999999699</v>
      </c>
      <c r="T19" s="46">
        <f>+IFERROR(HLOOKUP($B19,'[1]3월'!$D$6:$BN$259,16,),)/1000</f>
        <v>374.64057389918116</v>
      </c>
      <c r="U19" s="47">
        <f>+IFERROR(HLOOKUP($B19,'[2]3월'!$F$6:$CP$99,16,),)/1000</f>
        <v>386.5277320000003</v>
      </c>
      <c r="V19" s="48">
        <f t="shared" si="5"/>
        <v>11.887158100819136</v>
      </c>
      <c r="W19" s="49">
        <f>+IFERROR(HLOOKUP($B19,'[3]3월'!$F$6:$CC$57,16,),)/1000</f>
        <v>532.67521499999987</v>
      </c>
      <c r="X19" s="50">
        <f t="shared" si="6"/>
        <v>-146.14748299999957</v>
      </c>
      <c r="Y19" s="46">
        <f>+[5]아산!$Q$85</f>
        <v>100999.55833333332</v>
      </c>
      <c r="Z19" s="47">
        <f>+[5]아산!$R$85</f>
        <v>102685.23800904979</v>
      </c>
      <c r="AA19" s="51">
        <f>+[6]아산!$Q$85</f>
        <v>93236.814327119195</v>
      </c>
      <c r="AB19" s="52">
        <f>+[5]아산!$Q$89</f>
        <v>76007.141155999445</v>
      </c>
      <c r="AC19" s="47">
        <f>+[5]아산!$R$89</f>
        <v>79375.61665158371</v>
      </c>
      <c r="AD19" s="53">
        <f>+[6]아산!$Q$89</f>
        <v>67429.619994990528</v>
      </c>
      <c r="AE19" s="52">
        <f t="shared" si="7"/>
        <v>24992.417177333875</v>
      </c>
      <c r="AF19" s="47">
        <f t="shared" si="8"/>
        <v>23309.62135746608</v>
      </c>
      <c r="AG19" s="53">
        <f t="shared" si="9"/>
        <v>25807.194332128667</v>
      </c>
      <c r="AH19" s="18"/>
      <c r="AI19" s="19"/>
      <c r="AJ19" s="97"/>
    </row>
    <row r="20" spans="2:38" s="8" customFormat="1" ht="19.5" customHeight="1" x14ac:dyDescent="0.3">
      <c r="B20" s="8" t="s">
        <v>89</v>
      </c>
      <c r="G20" s="9" t="str">
        <f t="shared" si="1"/>
        <v>전주</v>
      </c>
      <c r="H20" s="80"/>
      <c r="I20" s="81" t="s">
        <v>89</v>
      </c>
      <c r="J20" s="46">
        <f>+IFERROR(HLOOKUP($B20,'[1]3월'!$D$6:$BN$259,2,),)/1000</f>
        <v>12</v>
      </c>
      <c r="K20" s="47">
        <f>+IFERROR(HLOOKUP($B20,'[2]3월'!$F$6:$CP$99,2,),)/1000</f>
        <v>7.133</v>
      </c>
      <c r="L20" s="48">
        <f t="shared" si="0"/>
        <v>-4.867</v>
      </c>
      <c r="M20" s="49">
        <f>+IFERROR(HLOOKUP($B20,'[3]3월'!$F$6:$CC$57,2,),)/1000</f>
        <v>11.945</v>
      </c>
      <c r="N20" s="50">
        <f t="shared" si="2"/>
        <v>-4.8120000000000003</v>
      </c>
      <c r="O20" s="46">
        <f>+IFERROR(HLOOKUP($B20,'[1]3월'!$D$6:$BN$259,3,),)/1000</f>
        <v>1245.3258960000001</v>
      </c>
      <c r="P20" s="47">
        <f>+IFERROR(HLOOKUP($B20,'[2]3월'!$F$6:$CP$99,3,),)/1000</f>
        <v>668.37119299999995</v>
      </c>
      <c r="Q20" s="48">
        <f t="shared" si="3"/>
        <v>-576.95470300000011</v>
      </c>
      <c r="R20" s="49">
        <f>+IFERROR(HLOOKUP($B20,'[3]3월'!$F$6:$CC$57,3,),)/1000</f>
        <v>1080.1422090000001</v>
      </c>
      <c r="S20" s="50">
        <f t="shared" si="4"/>
        <v>-411.77101600000015</v>
      </c>
      <c r="T20" s="46">
        <f>+IFERROR(HLOOKUP($B20,'[1]3월'!$D$6:$BN$259,16,),)/1000</f>
        <v>196.65841138196004</v>
      </c>
      <c r="U20" s="47">
        <f>+IFERROR(HLOOKUP($B20,'[2]3월'!$F$6:$CP$99,16,),)/1000</f>
        <v>10.438929999999978</v>
      </c>
      <c r="V20" s="48">
        <f t="shared" si="5"/>
        <v>-186.21948138196007</v>
      </c>
      <c r="W20" s="49">
        <f>+IFERROR(HLOOKUP($B20,'[3]3월'!$F$6:$CC$57,16,),)/1000</f>
        <v>141.11614600000013</v>
      </c>
      <c r="X20" s="50">
        <f t="shared" si="6"/>
        <v>-130.67721600000016</v>
      </c>
      <c r="Y20" s="46">
        <f>+[5]전주!$Q$85</f>
        <v>103777.158</v>
      </c>
      <c r="Z20" s="47">
        <f>+[5]전주!$R$85</f>
        <v>93701.274779195286</v>
      </c>
      <c r="AA20" s="51">
        <f>+[6]전주!$Q$85</f>
        <v>90426.304646295524</v>
      </c>
      <c r="AB20" s="52">
        <f>+[5]전주!$Q$89</f>
        <v>74508.816788932148</v>
      </c>
      <c r="AC20" s="47">
        <f>+[5]전주!$R$89</f>
        <v>71268.038660876875</v>
      </c>
      <c r="AD20" s="53">
        <f>+[6]전주!$Q$89</f>
        <v>66717.704897446631</v>
      </c>
      <c r="AE20" s="52">
        <f t="shared" si="7"/>
        <v>29268.341211067847</v>
      </c>
      <c r="AF20" s="47">
        <f t="shared" si="8"/>
        <v>22433.236118318411</v>
      </c>
      <c r="AG20" s="53">
        <f t="shared" si="9"/>
        <v>23708.599748848894</v>
      </c>
      <c r="AH20" s="18"/>
      <c r="AI20" s="19"/>
      <c r="AJ20" s="97"/>
    </row>
    <row r="21" spans="2:38" s="8" customFormat="1" ht="19.5" customHeight="1" x14ac:dyDescent="0.3">
      <c r="B21" s="8" t="s">
        <v>90</v>
      </c>
      <c r="G21" s="9" t="str">
        <f t="shared" si="1"/>
        <v>군산</v>
      </c>
      <c r="H21" s="80"/>
      <c r="I21" s="81" t="s">
        <v>90</v>
      </c>
      <c r="J21" s="46">
        <f>+IFERROR(HLOOKUP($B21,'[1]3월'!$D$6:$BN$259,2,),)/1000</f>
        <v>7.5</v>
      </c>
      <c r="K21" s="47">
        <f>+IFERROR(HLOOKUP($B21,'[2]3월'!$F$6:$CP$99,2,),)/1000</f>
        <v>8.9779999999999998</v>
      </c>
      <c r="L21" s="48">
        <f t="shared" si="0"/>
        <v>1.4779999999999998</v>
      </c>
      <c r="M21" s="49">
        <f>+IFERROR(HLOOKUP($B21,'[3]3월'!$F$6:$CC$57,2,),)/1000</f>
        <v>8.9964999999999993</v>
      </c>
      <c r="N21" s="50">
        <f t="shared" si="2"/>
        <v>-1.8499999999999517E-2</v>
      </c>
      <c r="O21" s="46">
        <f>+IFERROR(HLOOKUP($B21,'[1]3월'!$D$6:$BN$259,3,),)/1000</f>
        <v>822.96429500000011</v>
      </c>
      <c r="P21" s="47">
        <f>+IFERROR(HLOOKUP($B21,'[2]3월'!$F$6:$CP$99,3,),)/1000</f>
        <v>1017.8315499999999</v>
      </c>
      <c r="Q21" s="48">
        <f t="shared" si="3"/>
        <v>194.86725499999977</v>
      </c>
      <c r="R21" s="49">
        <f>+IFERROR(HLOOKUP($B21,'[3]3월'!$F$6:$CC$57,3,),)/1000</f>
        <v>873.91434900000002</v>
      </c>
      <c r="S21" s="50">
        <f t="shared" si="4"/>
        <v>143.91720099999986</v>
      </c>
      <c r="T21" s="46">
        <f>+IFERROR(HLOOKUP($B21,'[1]3월'!$D$6:$BN$259,16,),)/1000</f>
        <v>222.08147638520086</v>
      </c>
      <c r="U21" s="47">
        <f>+IFERROR(HLOOKUP($B21,'[2]3월'!$F$6:$CP$99,16,),)/1000</f>
        <v>313.98710700000009</v>
      </c>
      <c r="V21" s="48">
        <f t="shared" si="5"/>
        <v>91.905630614799236</v>
      </c>
      <c r="W21" s="49">
        <f>+IFERROR(HLOOKUP($B21,'[3]3월'!$F$6:$CC$57,16,),)/1000</f>
        <v>220.37512000000012</v>
      </c>
      <c r="X21" s="50">
        <f t="shared" si="6"/>
        <v>93.611986999999971</v>
      </c>
      <c r="Y21" s="46">
        <f>+[5]군산!$Q$85</f>
        <v>109728.57266666669</v>
      </c>
      <c r="Z21" s="47">
        <f>+[5]군산!$R$85</f>
        <v>113442.5537875392</v>
      </c>
      <c r="AA21" s="51">
        <f>+[6]군산!$Q$85</f>
        <v>97056.907763992596</v>
      </c>
      <c r="AB21" s="52">
        <f>+[5]군산!$Q$89</f>
        <v>69726.728672541838</v>
      </c>
      <c r="AC21" s="47">
        <f>+[5]군산!$R$89</f>
        <v>70413.768713581347</v>
      </c>
      <c r="AD21" s="53">
        <f>+[6]군산!$Q$89</f>
        <v>64107.545388199622</v>
      </c>
      <c r="AE21" s="52">
        <f t="shared" si="7"/>
        <v>40001.843994124851</v>
      </c>
      <c r="AF21" s="47">
        <f t="shared" si="8"/>
        <v>43028.785073957857</v>
      </c>
      <c r="AG21" s="53">
        <f t="shared" si="9"/>
        <v>32949.362375792974</v>
      </c>
      <c r="AH21" s="18"/>
      <c r="AI21" s="19"/>
      <c r="AJ21" s="97"/>
    </row>
    <row r="22" spans="2:38" s="8" customFormat="1" ht="19.5" customHeight="1" x14ac:dyDescent="0.3">
      <c r="B22" s="8" t="s">
        <v>91</v>
      </c>
      <c r="G22" s="9" t="str">
        <f t="shared" si="1"/>
        <v>원주</v>
      </c>
      <c r="H22" s="80"/>
      <c r="I22" s="81" t="s">
        <v>91</v>
      </c>
      <c r="J22" s="46">
        <f>+IFERROR(HLOOKUP($B22,'[1]3월'!$D$6:$BN$259,2,),)/1000</f>
        <v>5</v>
      </c>
      <c r="K22" s="47">
        <f>+IFERROR(HLOOKUP($B22,'[2]3월'!$F$6:$CP$99,2,),)/1000</f>
        <v>6.2084999999999999</v>
      </c>
      <c r="L22" s="48">
        <f t="shared" si="0"/>
        <v>1.2084999999999999</v>
      </c>
      <c r="M22" s="49">
        <f>+IFERROR(HLOOKUP($B22,'[3]3월'!$F$6:$CC$57,2,),)/1000</f>
        <v>7.0214999999999996</v>
      </c>
      <c r="N22" s="50">
        <f t="shared" si="2"/>
        <v>-0.81299999999999972</v>
      </c>
      <c r="O22" s="46">
        <f>+IFERROR(HLOOKUP($B22,'[1]3월'!$D$6:$BN$259,3,),)/1000</f>
        <v>539.5</v>
      </c>
      <c r="P22" s="47">
        <f>+IFERROR(HLOOKUP($B22,'[2]3월'!$F$6:$CP$99,3,),)/1000</f>
        <v>692.2704</v>
      </c>
      <c r="Q22" s="48">
        <f t="shared" si="3"/>
        <v>152.7704</v>
      </c>
      <c r="R22" s="49">
        <f>+IFERROR(HLOOKUP($B22,'[3]3월'!$F$6:$CC$57,3,),)/1000</f>
        <v>709.56991799999992</v>
      </c>
      <c r="S22" s="50">
        <f t="shared" si="4"/>
        <v>-17.299517999999921</v>
      </c>
      <c r="T22" s="46">
        <f>+IFERROR(HLOOKUP($B22,'[1]3월'!$D$6:$BN$259,16,),)/1000</f>
        <v>77.071971087742952</v>
      </c>
      <c r="U22" s="47">
        <f>+IFERROR(HLOOKUP($B22,'[2]3월'!$F$6:$CP$99,16,),)/1000</f>
        <v>145.91854499999999</v>
      </c>
      <c r="V22" s="48">
        <f t="shared" si="5"/>
        <v>68.846573912257043</v>
      </c>
      <c r="W22" s="49">
        <f>+IFERROR(HLOOKUP($B22,'[3]3월'!$F$6:$CC$57,16,),)/1000</f>
        <v>170.60458599999998</v>
      </c>
      <c r="X22" s="50">
        <f t="shared" si="6"/>
        <v>-24.686040999999989</v>
      </c>
      <c r="Y22" s="46">
        <f>+[5]원주!$Q$85</f>
        <v>107900</v>
      </c>
      <c r="Z22" s="47">
        <f>+[5]원주!$R$85</f>
        <v>111513.96567007818</v>
      </c>
      <c r="AA22" s="51">
        <f>+[6]원주!$Q$85</f>
        <v>101026.22260894786</v>
      </c>
      <c r="AB22" s="52">
        <f>+[5]원주!$Q$89</f>
        <v>75191.704897925287</v>
      </c>
      <c r="AC22" s="47">
        <f>+[5]원주!$R$89</f>
        <v>73875.971955838497</v>
      </c>
      <c r="AD22" s="53">
        <f>+[6]원주!$Q$89</f>
        <v>64707.622652454505</v>
      </c>
      <c r="AE22" s="52">
        <f t="shared" si="7"/>
        <v>32708.295102074713</v>
      </c>
      <c r="AF22" s="47">
        <f t="shared" si="8"/>
        <v>37637.993714239681</v>
      </c>
      <c r="AG22" s="53">
        <f t="shared" si="9"/>
        <v>36318.599956493359</v>
      </c>
      <c r="AH22" s="18"/>
      <c r="AI22" s="19"/>
      <c r="AJ22" s="97"/>
    </row>
    <row r="23" spans="2:38" s="8" customFormat="1" ht="19.5" customHeight="1" x14ac:dyDescent="0.3">
      <c r="B23" s="8" t="s">
        <v>92</v>
      </c>
      <c r="G23" s="8" t="str">
        <f t="shared" si="1"/>
        <v>제주</v>
      </c>
      <c r="H23" s="80"/>
      <c r="I23" s="81" t="s">
        <v>92</v>
      </c>
      <c r="J23" s="46">
        <f>+IFERROR(HLOOKUP($B23,'[1]3월'!$D$6:$BN$259,2,),)/1000</f>
        <v>4</v>
      </c>
      <c r="K23" s="47">
        <f>+IFERROR(HLOOKUP($B23,'[2]3월'!$F$6:$CP$99,2,),)/1000</f>
        <v>3.8479999999999999</v>
      </c>
      <c r="L23" s="48">
        <f t="shared" si="0"/>
        <v>-0.15200000000000014</v>
      </c>
      <c r="M23" s="49">
        <f>+IFERROR(HLOOKUP($B23,'[3]3월'!$F$6:$CC$57,2,),)/1000</f>
        <v>8.1140000000000008</v>
      </c>
      <c r="N23" s="50">
        <f t="shared" si="2"/>
        <v>-4.2660000000000009</v>
      </c>
      <c r="O23" s="46">
        <f>+IFERROR(HLOOKUP($B23,'[1]3월'!$D$6:$BN$259,3,),)/1000</f>
        <v>506.8</v>
      </c>
      <c r="P23" s="47">
        <f>+IFERROR(HLOOKUP($B23,'[2]3월'!$F$6:$CP$99,3,),)/1000</f>
        <v>498.97250000000003</v>
      </c>
      <c r="Q23" s="48">
        <f t="shared" si="3"/>
        <v>-7.8274999999999864</v>
      </c>
      <c r="R23" s="49">
        <f>+IFERROR(HLOOKUP($B23,'[3]3월'!$F$6:$CC$57,3,),)/1000</f>
        <v>969.006936</v>
      </c>
      <c r="S23" s="50">
        <f t="shared" si="4"/>
        <v>-470.03443599999997</v>
      </c>
      <c r="T23" s="46">
        <f>+IFERROR(HLOOKUP($B23,'[1]3월'!$D$6:$BN$259,16,),)/1000</f>
        <v>42.359289755531428</v>
      </c>
      <c r="U23" s="47">
        <f>+IFERROR(HLOOKUP($B23,'[2]3월'!$F$6:$CP$99,16,),)/1000</f>
        <v>73.245190000000022</v>
      </c>
      <c r="V23" s="48">
        <f t="shared" si="5"/>
        <v>30.885900244468594</v>
      </c>
      <c r="W23" s="49">
        <f>+IFERROR(HLOOKUP($B23,'[3]3월'!$F$6:$CC$57,16,),)/1000</f>
        <v>234.46947200000005</v>
      </c>
      <c r="X23" s="50">
        <f t="shared" si="6"/>
        <v>-161.22428200000002</v>
      </c>
      <c r="Y23" s="46">
        <f>+[5]제주!$Q$85</f>
        <v>126700</v>
      </c>
      <c r="Z23" s="47">
        <f>+[5]제주!$R$85</f>
        <v>129670.60810810809</v>
      </c>
      <c r="AA23" s="51">
        <f>+[6]제주!$Q$85</f>
        <v>119468.40263452219</v>
      </c>
      <c r="AB23" s="52">
        <f>+[5]제주!$Q$89</f>
        <v>89935.469322780293</v>
      </c>
      <c r="AC23" s="47">
        <f>+[5]제주!$R$89</f>
        <v>88327.903326403335</v>
      </c>
      <c r="AD23" s="53">
        <f>+[6]제주!$Q$89</f>
        <v>81150.679836004478</v>
      </c>
      <c r="AE23" s="52">
        <f t="shared" si="7"/>
        <v>36764.530677219707</v>
      </c>
      <c r="AF23" s="47">
        <f t="shared" si="8"/>
        <v>41342.704781704757</v>
      </c>
      <c r="AG23" s="53">
        <f t="shared" si="9"/>
        <v>38317.722798517716</v>
      </c>
      <c r="AH23" s="18"/>
      <c r="AI23" s="19"/>
      <c r="AJ23" s="97"/>
    </row>
    <row r="24" spans="2:38" s="8" customFormat="1" ht="19.5" customHeight="1" x14ac:dyDescent="0.3">
      <c r="G24" s="96" t="str">
        <f t="shared" si="1"/>
        <v>수도권</v>
      </c>
      <c r="H24" s="80"/>
      <c r="I24" s="84" t="s">
        <v>55</v>
      </c>
      <c r="J24" s="23">
        <f>SUM(J7:J10)</f>
        <v>108.5</v>
      </c>
      <c r="K24" s="20">
        <f>SUM(K7:K10)</f>
        <v>110.047</v>
      </c>
      <c r="L24" s="21">
        <f t="shared" si="0"/>
        <v>1.546999999999997</v>
      </c>
      <c r="M24" s="25">
        <f>SUM(M7:M10)</f>
        <v>134.352</v>
      </c>
      <c r="N24" s="22">
        <f t="shared" si="2"/>
        <v>-24.305000000000007</v>
      </c>
      <c r="O24" s="23">
        <f>SUM(O7:O10)</f>
        <v>10805.206878085108</v>
      </c>
      <c r="P24" s="20">
        <f>SUM(P7:P10)</f>
        <v>11146.867916000001</v>
      </c>
      <c r="Q24" s="21">
        <f t="shared" si="3"/>
        <v>341.66103791489331</v>
      </c>
      <c r="R24" s="25">
        <f>SUM(R7:R10)</f>
        <v>12128.114291000002</v>
      </c>
      <c r="S24" s="22">
        <f t="shared" si="4"/>
        <v>-981.24637500000063</v>
      </c>
      <c r="T24" s="23">
        <f>SUM(T7:T10)</f>
        <v>1248.888623376416</v>
      </c>
      <c r="U24" s="20">
        <f>SUM(U7:U10)</f>
        <v>1147.733823</v>
      </c>
      <c r="V24" s="21">
        <f t="shared" si="5"/>
        <v>-101.15480037641601</v>
      </c>
      <c r="W24" s="25">
        <f>SUM(W7:W10)</f>
        <v>1266.1217359900002</v>
      </c>
      <c r="X24" s="22">
        <f t="shared" si="6"/>
        <v>-118.38791299000013</v>
      </c>
      <c r="Y24" s="23">
        <f>+[5]수도권!$Q$85</f>
        <v>99587.16016668301</v>
      </c>
      <c r="Z24" s="20">
        <f>+[5]수도권!$R$85</f>
        <v>101292.86384498632</v>
      </c>
      <c r="AA24" s="24">
        <f>+[6]수도권!$Q$85</f>
        <v>90214.451950314309</v>
      </c>
      <c r="AB24" s="29">
        <f>+[5]수도권!$Q$89</f>
        <v>78491.353305243392</v>
      </c>
      <c r="AC24" s="20">
        <f>+[5]수도권!$R$89</f>
        <v>82214.954710260165</v>
      </c>
      <c r="AD24" s="30">
        <f>+[6]수도권!$Q$89</f>
        <v>73584.916488692994</v>
      </c>
      <c r="AE24" s="29">
        <f t="shared" si="7"/>
        <v>21095.806861439618</v>
      </c>
      <c r="AF24" s="20">
        <f t="shared" si="8"/>
        <v>19077.909134726156</v>
      </c>
      <c r="AG24" s="30">
        <f t="shared" si="9"/>
        <v>16629.535461621315</v>
      </c>
      <c r="AH24" s="18"/>
      <c r="AI24" s="19"/>
      <c r="AJ24" s="97"/>
    </row>
    <row r="25" spans="2:38" s="8" customFormat="1" ht="19.5" customHeight="1" x14ac:dyDescent="0.3">
      <c r="G25" s="8" t="str">
        <f t="shared" si="1"/>
        <v>영남권</v>
      </c>
      <c r="H25" s="80"/>
      <c r="I25" s="84" t="s">
        <v>56</v>
      </c>
      <c r="J25" s="23">
        <f>SUM(J11:J18)</f>
        <v>125</v>
      </c>
      <c r="K25" s="20">
        <f>SUM(K11:K18)</f>
        <v>134.5</v>
      </c>
      <c r="L25" s="21">
        <f t="shared" si="0"/>
        <v>9.5</v>
      </c>
      <c r="M25" s="25">
        <f>SUM(M11:M18)</f>
        <v>163.0325</v>
      </c>
      <c r="N25" s="22">
        <f t="shared" si="2"/>
        <v>-28.532499999999999</v>
      </c>
      <c r="O25" s="23">
        <f>SUM(O11:O18)</f>
        <v>12724.953666249998</v>
      </c>
      <c r="P25" s="20">
        <f>SUM(P11:P18)</f>
        <v>13627.721206000002</v>
      </c>
      <c r="Q25" s="21">
        <f t="shared" si="3"/>
        <v>902.76753975000429</v>
      </c>
      <c r="R25" s="25">
        <f>SUM(R11:R18)</f>
        <v>15828.825800000001</v>
      </c>
      <c r="S25" s="22">
        <f t="shared" si="4"/>
        <v>-2201.1045939999985</v>
      </c>
      <c r="T25" s="23">
        <f>SUM(T11:T18)</f>
        <v>1750.988966353221</v>
      </c>
      <c r="U25" s="20">
        <f>SUM(U11:U18)</f>
        <v>1614.047243</v>
      </c>
      <c r="V25" s="21">
        <f t="shared" si="5"/>
        <v>-136.94172335322105</v>
      </c>
      <c r="W25" s="25">
        <f>SUM(W11:W18)</f>
        <v>3031.9626200000002</v>
      </c>
      <c r="X25" s="22">
        <f t="shared" si="6"/>
        <v>-1417.9153770000003</v>
      </c>
      <c r="Y25" s="23">
        <f>+[5]영남권!$Q$85</f>
        <v>101799.62933000001</v>
      </c>
      <c r="Z25" s="20">
        <f>+[5]영남권!$R$85</f>
        <v>101364.12572580043</v>
      </c>
      <c r="AA25" s="24">
        <f>+[6]영남권!$Q$85</f>
        <v>97096.926104321508</v>
      </c>
      <c r="AB25" s="29">
        <f>+[5]영남권!$Q$89</f>
        <v>75567.653967952734</v>
      </c>
      <c r="AC25" s="20">
        <f>+[5]영남권!$R$89</f>
        <v>79165.725820023086</v>
      </c>
      <c r="AD25" s="30">
        <f>+[6]영남권!$Q$89</f>
        <v>70457.661503929558</v>
      </c>
      <c r="AE25" s="29">
        <f t="shared" si="7"/>
        <v>26231.975362047277</v>
      </c>
      <c r="AF25" s="20">
        <f t="shared" si="8"/>
        <v>22198.399905777347</v>
      </c>
      <c r="AG25" s="30">
        <f t="shared" si="9"/>
        <v>26639.264600391951</v>
      </c>
      <c r="AH25" s="18"/>
      <c r="AI25" s="19"/>
      <c r="AJ25" s="97"/>
    </row>
    <row r="26" spans="2:38" s="8" customFormat="1" ht="19.5" customHeight="1" x14ac:dyDescent="0.3">
      <c r="G26" s="8" t="str">
        <f t="shared" si="1"/>
        <v>중부권</v>
      </c>
      <c r="H26" s="80"/>
      <c r="I26" s="84" t="s">
        <v>171</v>
      </c>
      <c r="J26" s="23">
        <f>SUM(J19:J23)</f>
        <v>52.5</v>
      </c>
      <c r="K26" s="20">
        <f>SUM(K19:K23)</f>
        <v>53.939500000000002</v>
      </c>
      <c r="L26" s="21">
        <f t="shared" si="0"/>
        <v>1.4395000000000024</v>
      </c>
      <c r="M26" s="25">
        <f>SUM(M19:M23)</f>
        <v>66.906000000000006</v>
      </c>
      <c r="N26" s="22">
        <f t="shared" si="2"/>
        <v>-12.966500000000003</v>
      </c>
      <c r="O26" s="23">
        <f>SUM(O19:O23)</f>
        <v>5538.5795909999997</v>
      </c>
      <c r="P26" s="20">
        <f>SUM(P19:P23)</f>
        <v>5730.6628430000001</v>
      </c>
      <c r="Q26" s="21">
        <f t="shared" si="3"/>
        <v>192.08325200000036</v>
      </c>
      <c r="R26" s="25">
        <f>SUM(R19:R23)</f>
        <v>6508.8205619999999</v>
      </c>
      <c r="S26" s="22">
        <f t="shared" si="4"/>
        <v>-778.15771899999982</v>
      </c>
      <c r="T26" s="23">
        <f>SUM(T19:T23)</f>
        <v>912.81172250961652</v>
      </c>
      <c r="U26" s="20">
        <f>SUM(U19:U23)</f>
        <v>930.11750400000039</v>
      </c>
      <c r="V26" s="21">
        <f t="shared" si="5"/>
        <v>17.305781490383879</v>
      </c>
      <c r="W26" s="25">
        <f>SUM(W19:W23)</f>
        <v>1299.2405390000001</v>
      </c>
      <c r="X26" s="22">
        <f t="shared" si="6"/>
        <v>-369.12303499999973</v>
      </c>
      <c r="Y26" s="23">
        <f>+[5]중부권!$Q$85</f>
        <v>105496.75411428572</v>
      </c>
      <c r="Z26" s="20">
        <f>+[5]중부권!$R$85</f>
        <v>106231.06464189674</v>
      </c>
      <c r="AA26" s="24">
        <f>+[6]중부권!$Q$85</f>
        <v>97398.179539072167</v>
      </c>
      <c r="AB26" s="29">
        <f>+[5]중부권!$Q$89</f>
        <v>75751.010591161612</v>
      </c>
      <c r="AC26" s="20">
        <f>+[5]중부권!$R$89</f>
        <v>76816.472678892082</v>
      </c>
      <c r="AD26" s="30">
        <f>+[6]중부권!$Q$89</f>
        <v>68270.173383744099</v>
      </c>
      <c r="AE26" s="29">
        <f t="shared" si="7"/>
        <v>29745.743523124111</v>
      </c>
      <c r="AF26" s="20">
        <f t="shared" si="8"/>
        <v>29414.591963004656</v>
      </c>
      <c r="AG26" s="30">
        <f t="shared" si="9"/>
        <v>29128.006155328068</v>
      </c>
      <c r="AH26" s="18"/>
      <c r="AI26" s="19"/>
      <c r="AJ26" s="97"/>
    </row>
    <row r="27" spans="2:38" s="3" customFormat="1" ht="19.5" customHeight="1" x14ac:dyDescent="0.3">
      <c r="B27" s="26"/>
      <c r="G27" s="9">
        <f>+K27/J27</f>
        <v>1.0436590909090908</v>
      </c>
      <c r="H27" s="630" t="s">
        <v>115</v>
      </c>
      <c r="I27" s="631"/>
      <c r="J27" s="632">
        <f>SUM(J24:J26)</f>
        <v>286</v>
      </c>
      <c r="K27" s="633">
        <f>SUM(K24:K26)</f>
        <v>298.48649999999998</v>
      </c>
      <c r="L27" s="634">
        <f t="shared" ref="L27:L32" si="10">+K27-J27</f>
        <v>12.486499999999978</v>
      </c>
      <c r="M27" s="635">
        <f>SUM(M24:M26)</f>
        <v>364.29050000000001</v>
      </c>
      <c r="N27" s="636">
        <f t="shared" ref="N27:N32" si="11">+K27-M27</f>
        <v>-65.80400000000003</v>
      </c>
      <c r="O27" s="632">
        <f>SUM(O24:O26)</f>
        <v>29068.740135335109</v>
      </c>
      <c r="P27" s="633">
        <f>SUM(P24:P26)</f>
        <v>30505.251965000003</v>
      </c>
      <c r="Q27" s="634">
        <f t="shared" ref="Q27:Q43" si="12">+P27-O27</f>
        <v>1436.5118296648943</v>
      </c>
      <c r="R27" s="635">
        <f>SUM(R24:R26)</f>
        <v>34465.760653000005</v>
      </c>
      <c r="S27" s="636">
        <f t="shared" ref="S27:S34" si="13">+P27-R27</f>
        <v>-3960.5086880000017</v>
      </c>
      <c r="T27" s="632">
        <f>SUM(T24:T26)</f>
        <v>3912.6893122392539</v>
      </c>
      <c r="U27" s="633">
        <f>SUM(U24:U26)</f>
        <v>3691.8985700000003</v>
      </c>
      <c r="V27" s="634">
        <f t="shared" ref="V27:V32" si="14">+U27-T27</f>
        <v>-220.79074223925363</v>
      </c>
      <c r="W27" s="635">
        <f>SUM(W24:W26)</f>
        <v>5597.3248949900008</v>
      </c>
      <c r="X27" s="636">
        <f t="shared" ref="X27:X32" si="15">+U27-W27</f>
        <v>-1905.4263249900005</v>
      </c>
      <c r="Y27" s="632">
        <f>+[5]합계!$Q$85</f>
        <v>101638.95152215073</v>
      </c>
      <c r="Z27" s="633">
        <f>+[5]합계!$R$85</f>
        <v>102216.1111960061</v>
      </c>
      <c r="AA27" s="637">
        <f>+[6]합계!$Q$85</f>
        <v>94616.76586851808</v>
      </c>
      <c r="AB27" s="638">
        <f>+[5]합계!$Q$89</f>
        <v>76710.477747024415</v>
      </c>
      <c r="AC27" s="633">
        <f>+[5]합계!$R$89</f>
        <v>79867.908783642109</v>
      </c>
      <c r="AD27" s="639">
        <f>+[6]합계!$Q$89</f>
        <v>71219.80763534065</v>
      </c>
      <c r="AE27" s="638">
        <f t="shared" si="7"/>
        <v>24928.473775126316</v>
      </c>
      <c r="AF27" s="633">
        <f t="shared" si="8"/>
        <v>22348.202412363986</v>
      </c>
      <c r="AG27" s="639">
        <f t="shared" si="9"/>
        <v>23396.958233177429</v>
      </c>
      <c r="AH27" s="27"/>
      <c r="AI27" s="28"/>
      <c r="AJ27" s="97"/>
      <c r="AL27" s="26"/>
    </row>
    <row r="28" spans="2:38" s="8" customFormat="1" ht="19.5" customHeight="1" x14ac:dyDescent="0.3">
      <c r="B28" s="8" t="s">
        <v>194</v>
      </c>
      <c r="E28" s="8" t="s">
        <v>203</v>
      </c>
      <c r="G28" s="8" t="s">
        <v>3</v>
      </c>
      <c r="H28" s="820" t="s">
        <v>63</v>
      </c>
      <c r="I28" s="821"/>
      <c r="J28" s="168">
        <f>+IFERROR(HLOOKUP($B28,'[1]3월'!$D$6:$BN$259,2,),)</f>
        <v>7300</v>
      </c>
      <c r="K28" s="169">
        <f>+IFERROR(HLOOKUP($E28,'[2]3월'!$F$6:$CP$99,2,),)</f>
        <v>8665.0679999999993</v>
      </c>
      <c r="L28" s="170">
        <f>+K28-J28</f>
        <v>1365.0679999999993</v>
      </c>
      <c r="M28" s="171">
        <f>+IFERROR(HLOOKUP($E28,'[3]3월'!$F$6:$CC$57,2,),)</f>
        <v>9838.5779999999995</v>
      </c>
      <c r="N28" s="172">
        <f>+K28-M28</f>
        <v>-1173.5100000000002</v>
      </c>
      <c r="O28" s="168">
        <f>+IFERROR(HLOOKUP($B28,'[1]3월'!$D$6:$BN$259,3,),)/1000</f>
        <v>8929.3157894736851</v>
      </c>
      <c r="P28" s="169">
        <f>+IFERROR(HLOOKUP($E28,'[2]3월'!$F$6:$CP$99,3,),)/1000</f>
        <v>8759.917786</v>
      </c>
      <c r="Q28" s="170">
        <f>+P28-O28</f>
        <v>-169.39800347368509</v>
      </c>
      <c r="R28" s="171">
        <f>+IFERROR(HLOOKUP($E28,'[3]3월'!$F$6:$CC$57,3,),)/1000</f>
        <v>11359.969265</v>
      </c>
      <c r="S28" s="172">
        <f t="shared" si="13"/>
        <v>-2600.0514789999997</v>
      </c>
      <c r="T28" s="168">
        <f>+IFERROR(HLOOKUP($B28,'[1]3월'!$D$6:$BN$259,16,),)/1000</f>
        <v>94.407923157896903</v>
      </c>
      <c r="U28" s="169">
        <f>+IFERROR(HLOOKUP($E28,'[2]3월'!$F$6:$CP$99,16,),)/1000</f>
        <v>31.6553460000002</v>
      </c>
      <c r="V28" s="170">
        <f t="shared" si="14"/>
        <v>-62.752577157896702</v>
      </c>
      <c r="W28" s="171">
        <f>+IFERROR(HLOOKUP($E28,'[3]3월'!$F$6:$CC$57,16,),)/1000</f>
        <v>54.577897000001208</v>
      </c>
      <c r="X28" s="172">
        <f t="shared" si="15"/>
        <v>-22.922551000001008</v>
      </c>
      <c r="Y28" s="650" t="s">
        <v>174</v>
      </c>
      <c r="Z28" s="651"/>
      <c r="AA28" s="651"/>
      <c r="AB28" s="651"/>
      <c r="AC28" s="651"/>
      <c r="AD28" s="651"/>
      <c r="AE28" s="651"/>
      <c r="AF28" s="651"/>
      <c r="AG28" s="652"/>
      <c r="AH28" s="18"/>
      <c r="AI28" s="19"/>
    </row>
    <row r="29" spans="2:38" s="8" customFormat="1" ht="19.5" customHeight="1" x14ac:dyDescent="0.3">
      <c r="B29" s="8" t="s">
        <v>195</v>
      </c>
      <c r="F29" s="79" t="s">
        <v>61</v>
      </c>
      <c r="G29" s="786" t="str">
        <f>+I29</f>
        <v>부산모래장</v>
      </c>
      <c r="H29" s="86" t="s">
        <v>60</v>
      </c>
      <c r="I29" s="79" t="s">
        <v>231</v>
      </c>
      <c r="J29" s="56">
        <f>+IFERROR(HLOOKUP($B29,'[1]3월'!$D$6:$BN$259,2,),)/1000</f>
        <v>14.876697431329175</v>
      </c>
      <c r="K29" s="57">
        <f>+IFERROR(HLOOKUP($F29,'[2]3월'!$F$6:$CP$99,2,),)/1000</f>
        <v>20.277999999999999</v>
      </c>
      <c r="L29" s="38">
        <f t="shared" si="10"/>
        <v>5.4013025686708236</v>
      </c>
      <c r="M29" s="38">
        <f>+IFERROR(HLOOKUP($F29,'[3]3월'!$F$6:$CC$57,2,),)/1000</f>
        <v>16.091999999999999</v>
      </c>
      <c r="N29" s="58">
        <f t="shared" si="11"/>
        <v>4.1859999999999999</v>
      </c>
      <c r="O29" s="56">
        <f>+IFERROR(HLOOKUP($B29,'[1]3월'!$D$6:$BN$259,3,),)/1000</f>
        <v>522.36152710826991</v>
      </c>
      <c r="P29" s="57">
        <f>+IFERROR(HLOOKUP($F29,'[2]3월'!$F$6:$CP$99,3,),)/1000</f>
        <v>667.14967200000001</v>
      </c>
      <c r="Q29" s="38">
        <f t="shared" si="12"/>
        <v>144.7881448917301</v>
      </c>
      <c r="R29" s="38">
        <f>+IFERROR(HLOOKUP($F29,'[3]3월'!$F$6:$CC$57,3,),)/1000</f>
        <v>541.57209999999998</v>
      </c>
      <c r="S29" s="58">
        <f t="shared" si="13"/>
        <v>125.57757200000003</v>
      </c>
      <c r="T29" s="56">
        <f>+IFERROR(HLOOKUP($B29,'[1]3월'!$D$6:$BN$259,21,),)/1000</f>
        <v>24.013512017725475</v>
      </c>
      <c r="U29" s="57">
        <f>+IFERROR(HLOOKUP($F29,'[2]3월'!$F$6:$CP$99,21,),)/1000</f>
        <v>62.624015596628816</v>
      </c>
      <c r="V29" s="38">
        <f t="shared" si="14"/>
        <v>38.610503578903341</v>
      </c>
      <c r="W29" s="38">
        <f>+IFERROR(HLOOKUP($F29,'[3]3월'!$F$6:$CC$57,16,),)/1000</f>
        <v>58.33298400999994</v>
      </c>
      <c r="X29" s="58">
        <f t="shared" si="15"/>
        <v>4.2910315866288755</v>
      </c>
      <c r="Y29" s="587" t="s">
        <v>228</v>
      </c>
      <c r="Z29" s="588"/>
      <c r="AA29" s="588"/>
      <c r="AB29" s="588"/>
      <c r="AC29" s="588"/>
      <c r="AD29" s="588"/>
      <c r="AE29" s="588"/>
      <c r="AF29" s="588"/>
      <c r="AG29" s="51"/>
      <c r="AH29" s="18"/>
      <c r="AI29" s="19"/>
    </row>
    <row r="30" spans="2:38" s="8" customFormat="1" ht="19.5" customHeight="1" x14ac:dyDescent="0.3">
      <c r="B30" s="8" t="s">
        <v>196</v>
      </c>
      <c r="F30" s="81" t="s">
        <v>62</v>
      </c>
      <c r="G30" s="786" t="str">
        <f t="shared" ref="G30:G31" si="16">+I30</f>
        <v>서부산CR</v>
      </c>
      <c r="H30" s="85"/>
      <c r="I30" s="81" t="s">
        <v>232</v>
      </c>
      <c r="J30" s="54">
        <f>+IFERROR(HLOOKUP($B30,'[1]3월'!$D$6:$BN$259,2,),)/1000</f>
        <v>0</v>
      </c>
      <c r="K30" s="59">
        <f>+IFERROR(HLOOKUP($F30,'[2]3월'!$F$6:$CP$99,2,),)/1000</f>
        <v>21.556000000000001</v>
      </c>
      <c r="L30" s="48">
        <f t="shared" si="10"/>
        <v>21.556000000000001</v>
      </c>
      <c r="M30" s="48">
        <f>+IFERROR(HLOOKUP($F30,'[3]3월'!$F$6:$CC$57,2,),)/1000</f>
        <v>40.368000000000002</v>
      </c>
      <c r="N30" s="60">
        <f t="shared" si="11"/>
        <v>-18.812000000000001</v>
      </c>
      <c r="O30" s="54">
        <f>+IFERROR(HLOOKUP($B30,'[1]3월'!$D$6:$BN$259,3,),)/1000</f>
        <v>0</v>
      </c>
      <c r="P30" s="59">
        <f>+IFERROR(HLOOKUP($F30,'[2]3월'!$F$6:$CP$99,3,),)/1000</f>
        <v>310.084</v>
      </c>
      <c r="Q30" s="48">
        <f t="shared" si="12"/>
        <v>310.084</v>
      </c>
      <c r="R30" s="48">
        <f>+IFERROR(HLOOKUP($F30,'[3]3월'!$F$6:$CC$57,3,),)/1000</f>
        <v>473.21600000000001</v>
      </c>
      <c r="S30" s="60">
        <f t="shared" si="13"/>
        <v>-163.13200000000001</v>
      </c>
      <c r="T30" s="54">
        <f>+IFERROR(HLOOKUP($B30,'[1]3월'!$D$6:$BN$259,21,),)/1000</f>
        <v>-92.380352555555547</v>
      </c>
      <c r="U30" s="59">
        <f>+IFERROR(HLOOKUP($F30,'[2]3월'!$F$6:$CP$99,21,),)/1000</f>
        <v>45.274559542357501</v>
      </c>
      <c r="V30" s="48">
        <f t="shared" si="14"/>
        <v>137.65491209791304</v>
      </c>
      <c r="W30" s="48">
        <f>+IFERROR(HLOOKUP($F30,'[3]3월'!$F$6:$CC$57,16,),)/1000</f>
        <v>116.42739700000007</v>
      </c>
      <c r="X30" s="60">
        <f t="shared" si="15"/>
        <v>-71.152837457642562</v>
      </c>
      <c r="Y30" s="629"/>
      <c r="Z30" s="588"/>
      <c r="AA30" s="588"/>
      <c r="AB30" s="588"/>
      <c r="AC30" s="588"/>
      <c r="AD30" s="588"/>
      <c r="AE30" s="588"/>
      <c r="AF30" s="588"/>
      <c r="AG30" s="51"/>
      <c r="AH30" s="18"/>
      <c r="AI30" s="19"/>
      <c r="AJ30" s="99"/>
      <c r="AK30" s="99"/>
      <c r="AL30" s="99"/>
    </row>
    <row r="31" spans="2:38" s="8" customFormat="1" ht="19.5" customHeight="1" x14ac:dyDescent="0.3">
      <c r="B31" s="8" t="s">
        <v>176</v>
      </c>
      <c r="F31" s="83" t="s">
        <v>176</v>
      </c>
      <c r="G31" s="786" t="str">
        <f t="shared" si="16"/>
        <v>부산CR</v>
      </c>
      <c r="H31" s="85"/>
      <c r="I31" s="83" t="s">
        <v>233</v>
      </c>
      <c r="J31" s="54">
        <f>+IFERROR(HLOOKUP($B31,'[1]3월'!$D$6:$BN$259,2,),)/1000</f>
        <v>41.770327835024887</v>
      </c>
      <c r="K31" s="59">
        <f>+IFERROR(HLOOKUP($F31,'[2]3월'!$F$6:$CP$99,2,),)/1000</f>
        <v>43.094000000000001</v>
      </c>
      <c r="L31" s="48">
        <f t="shared" si="10"/>
        <v>1.3236721649751146</v>
      </c>
      <c r="M31" s="48">
        <f>+IFERROR(HLOOKUP($F31,'[3]3월'!$F$6:$CC$57,2,),)/1000</f>
        <v>0</v>
      </c>
      <c r="N31" s="60">
        <f t="shared" si="11"/>
        <v>43.094000000000001</v>
      </c>
      <c r="O31" s="54">
        <f>+IFERROR(HLOOKUP($B31,'[1]3월'!$D$6:$BN$259,3,),)/1000</f>
        <v>749.45594230335439</v>
      </c>
      <c r="P31" s="59">
        <f>+IFERROR(HLOOKUP($F31,'[2]3월'!$F$6:$CP$99,3,),)/1000</f>
        <v>787.76900000000001</v>
      </c>
      <c r="Q31" s="48">
        <f t="shared" si="12"/>
        <v>38.313057696645615</v>
      </c>
      <c r="R31" s="48">
        <f>+IFERROR(HLOOKUP($F31,'[3]3월'!$F$6:$CC$57,3,),)/1000</f>
        <v>0</v>
      </c>
      <c r="S31" s="60">
        <f t="shared" si="13"/>
        <v>787.76900000000001</v>
      </c>
      <c r="T31" s="54">
        <f>+IFERROR(HLOOKUP($B31,'[1]3월'!$D$6:$BN$259,21,),)/1000</f>
        <v>34.647225582618759</v>
      </c>
      <c r="U31" s="59">
        <f>+IFERROR(HLOOKUP($F31,'[2]3월'!$F$6:$CP$99,21,),)/1000</f>
        <v>47.969020170000121</v>
      </c>
      <c r="V31" s="48">
        <f t="shared" si="14"/>
        <v>13.321794587381362</v>
      </c>
      <c r="W31" s="48">
        <f>+IFERROR(HLOOKUP($F31,'[3]3월'!$F$6:$CC$57,16,),)/1000</f>
        <v>-11.717234999999999</v>
      </c>
      <c r="X31" s="60">
        <f t="shared" si="15"/>
        <v>59.686255170000123</v>
      </c>
      <c r="Y31" s="629"/>
      <c r="Z31" s="588"/>
      <c r="AA31" s="588"/>
      <c r="AB31" s="588"/>
      <c r="AC31" s="588"/>
      <c r="AD31" s="588"/>
      <c r="AE31" s="588"/>
      <c r="AF31" s="588"/>
      <c r="AG31" s="51"/>
      <c r="AH31" s="18"/>
      <c r="AI31" s="19"/>
      <c r="AJ31" s="99"/>
      <c r="AK31" s="99"/>
      <c r="AL31" s="99"/>
    </row>
    <row r="32" spans="2:38" s="3" customFormat="1" ht="19.5" customHeight="1" x14ac:dyDescent="0.3">
      <c r="H32" s="147" t="s">
        <v>42</v>
      </c>
      <c r="I32" s="148"/>
      <c r="J32" s="149">
        <f>SUM(J29:J31)</f>
        <v>56.647025266354063</v>
      </c>
      <c r="K32" s="153">
        <f>SUM(K29:K31)</f>
        <v>84.927999999999997</v>
      </c>
      <c r="L32" s="151">
        <f t="shared" si="10"/>
        <v>28.280974733645934</v>
      </c>
      <c r="M32" s="151">
        <f>SUM(M29:M31)</f>
        <v>56.46</v>
      </c>
      <c r="N32" s="152">
        <f t="shared" si="11"/>
        <v>28.467999999999996</v>
      </c>
      <c r="O32" s="149">
        <f>SUM(O29:O31)</f>
        <v>1271.8174694116242</v>
      </c>
      <c r="P32" s="153">
        <f>SUM(P29:P31)</f>
        <v>1765.0026720000001</v>
      </c>
      <c r="Q32" s="151">
        <f t="shared" si="12"/>
        <v>493.18520258837589</v>
      </c>
      <c r="R32" s="151">
        <f>SUM(R29:R31)</f>
        <v>1014.7881</v>
      </c>
      <c r="S32" s="152">
        <f t="shared" si="13"/>
        <v>750.21457200000009</v>
      </c>
      <c r="T32" s="149">
        <f>SUM(T29:T31)</f>
        <v>-33.719614955211313</v>
      </c>
      <c r="U32" s="153">
        <f>SUM(U29:U31)</f>
        <v>155.86759530898644</v>
      </c>
      <c r="V32" s="151">
        <f t="shared" si="14"/>
        <v>189.58721026419775</v>
      </c>
      <c r="W32" s="151">
        <f>SUM(W29:W31)</f>
        <v>163.04314601000002</v>
      </c>
      <c r="X32" s="152">
        <f t="shared" si="15"/>
        <v>-7.1755507010135773</v>
      </c>
      <c r="Y32" s="629"/>
      <c r="Z32" s="588"/>
      <c r="AA32" s="588"/>
      <c r="AB32" s="588"/>
      <c r="AC32" s="588"/>
      <c r="AD32" s="588"/>
      <c r="AE32" s="588"/>
      <c r="AF32" s="588"/>
      <c r="AG32" s="51"/>
      <c r="AH32" s="27"/>
      <c r="AI32" s="28"/>
    </row>
    <row r="33" spans="2:38" s="8" customFormat="1" ht="19.5" customHeight="1" x14ac:dyDescent="0.3">
      <c r="B33" s="8" t="s">
        <v>199</v>
      </c>
      <c r="C33" s="8" t="s">
        <v>198</v>
      </c>
      <c r="D33" t="s">
        <v>197</v>
      </c>
      <c r="E33" t="s">
        <v>100</v>
      </c>
      <c r="F33"/>
      <c r="G33" s="8" t="str">
        <f>+I33</f>
        <v>레미콘임대</v>
      </c>
      <c r="H33" s="89" t="s">
        <v>64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(IFERROR(HLOOKUP($B33,'[1]3월'!$D$6:$BN$259,3,),)++IFERROR(HLOOKUP($C33,'[1]3월'!$D$6:$BN$259,3,),)+IFERROR(HLOOKUP($D33,'[1]3월'!$D$6:$BN$259,3,),))/1000</f>
        <v>90.84</v>
      </c>
      <c r="P33" s="47">
        <f>+IFERROR(HLOOKUP($E33,'[2]3월'!$F$6:$CP$99,3,),)/1000</f>
        <v>90.84</v>
      </c>
      <c r="Q33" s="49">
        <f t="shared" si="12"/>
        <v>0</v>
      </c>
      <c r="R33" s="48">
        <f>+IFERROR(HLOOKUP($E33,'[3]3월'!$F$6:$CC$57,3,),)/1000</f>
        <v>78.34</v>
      </c>
      <c r="S33" s="60">
        <f t="shared" si="13"/>
        <v>12.5</v>
      </c>
      <c r="T33" s="46">
        <f>(IFERROR(HLOOKUP($B33,'[1]3월'!$D$6:$BN$259,21,),)++IFERROR(HLOOKUP($C33,'[1]3월'!$D$6:$BN$259,21,),)+IFERROR(HLOOKUP($D33,'[1]3월'!$D$6:$BN$259,21,),))/1000</f>
        <v>75.360274999999987</v>
      </c>
      <c r="U33" s="47">
        <f>+IFERROR(HLOOKUP($E33,'[2]3월'!$F$6:$CP$99,16,),)/1000</f>
        <v>75.121656999999999</v>
      </c>
      <c r="V33" s="49">
        <f t="shared" ref="V33:V40" si="17">+U33-T33</f>
        <v>-0.23861799999998823</v>
      </c>
      <c r="W33" s="48">
        <f>+IFERROR(HLOOKUP($E33,'[3]3월'!$F$6:$CC$57,16,),)/1000</f>
        <v>66.104033000000001</v>
      </c>
      <c r="X33" s="60">
        <f t="shared" ref="X33:X39" si="18">+U33-W33</f>
        <v>9.0176239999999979</v>
      </c>
      <c r="Y33" s="629"/>
      <c r="Z33" s="588"/>
      <c r="AA33" s="588"/>
      <c r="AB33" s="588"/>
      <c r="AC33" s="588"/>
      <c r="AD33" s="588"/>
      <c r="AE33" s="588"/>
      <c r="AF33" s="588"/>
      <c r="AG33" s="51"/>
      <c r="AH33" s="18"/>
      <c r="AI33" s="19"/>
    </row>
    <row r="34" spans="2:38" s="8" customFormat="1" ht="19.5" customHeight="1" x14ac:dyDescent="0.3">
      <c r="B34" s="8" t="s">
        <v>200</v>
      </c>
      <c r="C34" s="8" t="s">
        <v>201</v>
      </c>
      <c r="D34"/>
      <c r="E34" t="s">
        <v>40</v>
      </c>
      <c r="F34"/>
      <c r="G34" s="8" t="str">
        <f t="shared" ref="G34:G39" si="19">+I34</f>
        <v>임대</v>
      </c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20">+K34-M34</f>
        <v>0</v>
      </c>
      <c r="O34" s="46">
        <f>(+IFERROR(HLOOKUP($B34,'[1]3월'!$D$6:$BN$259,3,),)+IFERROR(HLOOKUP($C34,'[1]3월'!$D$6:$BN$259,3,),))/1000</f>
        <v>72.297500333333332</v>
      </c>
      <c r="P34" s="47">
        <f>+IFERROR(HLOOKUP($E34,'[2]3월'!$F$6:$CP$99,3,),)/1000</f>
        <v>72.011467999999994</v>
      </c>
      <c r="Q34" s="49">
        <f>+P34-O34</f>
        <v>-0.28603233333333833</v>
      </c>
      <c r="R34" s="48">
        <f>+IFERROR(HLOOKUP($E34,'[3]3월'!$F$6:$CC$57,3,),)/1000</f>
        <v>117.522448</v>
      </c>
      <c r="S34" s="60">
        <f t="shared" si="13"/>
        <v>-45.510980000000004</v>
      </c>
      <c r="T34" s="46">
        <f>(+IFERROR(HLOOKUP($B34,'[1]3월'!$D$6:$BN$259,21,),)+IFERROR(HLOOKUP($C34,'[1]3월'!$D$6:$BN$259,21,),))/1000</f>
        <v>74.623417333333336</v>
      </c>
      <c r="U34" s="47">
        <f>+IFERROR(HLOOKUP($E34,'[2]3월'!$F$6:$CP$99,16,),)/1000</f>
        <v>74.495594999999994</v>
      </c>
      <c r="V34" s="49">
        <f t="shared" si="17"/>
        <v>-0.12782233333334148</v>
      </c>
      <c r="W34" s="48">
        <f>+IFERROR(HLOOKUP($E34,'[3]3월'!$F$6:$CC$57,16,),)/1000</f>
        <v>125.50124000000002</v>
      </c>
      <c r="X34" s="60">
        <f t="shared" si="18"/>
        <v>-51.00564500000003</v>
      </c>
      <c r="Y34" s="629"/>
      <c r="Z34" s="588"/>
      <c r="AA34" s="588"/>
      <c r="AB34" s="588"/>
      <c r="AC34" s="588"/>
      <c r="AD34" s="588"/>
      <c r="AE34" s="588"/>
      <c r="AF34" s="588"/>
      <c r="AG34" s="51"/>
      <c r="AH34" s="18"/>
      <c r="AI34" s="19"/>
    </row>
    <row r="35" spans="2:38" s="8" customFormat="1" ht="19.5" customHeight="1" x14ac:dyDescent="0.3">
      <c r="B35" s="8" t="s">
        <v>202</v>
      </c>
      <c r="D35"/>
      <c r="E35"/>
      <c r="F35"/>
      <c r="G35" s="8" t="str">
        <f t="shared" si="19"/>
        <v>공통비</v>
      </c>
      <c r="H35" s="87"/>
      <c r="I35" s="88" t="s">
        <v>65</v>
      </c>
      <c r="J35" s="46"/>
      <c r="K35" s="47"/>
      <c r="L35" s="49">
        <f>+K35-J35</f>
        <v>0</v>
      </c>
      <c r="M35" s="48"/>
      <c r="N35" s="60">
        <f t="shared" si="20"/>
        <v>0</v>
      </c>
      <c r="O35" s="46"/>
      <c r="P35" s="47"/>
      <c r="Q35" s="49">
        <f t="shared" ref="Q35:Q40" si="21">+P35-O35</f>
        <v>0</v>
      </c>
      <c r="R35" s="48"/>
      <c r="S35" s="60">
        <f t="shared" ref="S35:S40" si="22">+P35-R35</f>
        <v>0</v>
      </c>
      <c r="T35" s="46">
        <f>-'[1]3월'!$Z$22/1000</f>
        <v>-1156.8522227792655</v>
      </c>
      <c r="U35" s="47">
        <f>+-'[2]3월'!$Z$22/1000</f>
        <v>-1237.794913320512</v>
      </c>
      <c r="V35" s="49">
        <f t="shared" si="17"/>
        <v>-80.94269054124652</v>
      </c>
      <c r="W35" s="48">
        <f>+-'[3]3월'!$Z$22/1000</f>
        <v>-986.92285000000015</v>
      </c>
      <c r="X35" s="60">
        <f t="shared" si="18"/>
        <v>-250.87206332051187</v>
      </c>
      <c r="Y35" s="629"/>
      <c r="Z35" s="588"/>
      <c r="AA35" s="588"/>
      <c r="AB35" s="588"/>
      <c r="AC35" s="588"/>
      <c r="AD35" s="588"/>
      <c r="AE35" s="588"/>
      <c r="AF35" s="588"/>
      <c r="AG35" s="51"/>
      <c r="AH35" s="18"/>
      <c r="AI35" s="19"/>
      <c r="AK35" s="597"/>
      <c r="AL35" s="99"/>
    </row>
    <row r="36" spans="2:38" s="8" customFormat="1" ht="19.5" customHeight="1" x14ac:dyDescent="0.3">
      <c r="D36"/>
      <c r="E36"/>
      <c r="F36"/>
      <c r="G36" s="8" t="str">
        <f t="shared" si="19"/>
        <v>OPC 소급분</v>
      </c>
      <c r="H36" s="87"/>
      <c r="I36" s="88" t="s">
        <v>116</v>
      </c>
      <c r="J36" s="46"/>
      <c r="K36" s="47"/>
      <c r="L36" s="49"/>
      <c r="M36" s="48"/>
      <c r="N36" s="60">
        <f t="shared" si="20"/>
        <v>0</v>
      </c>
      <c r="O36" s="46"/>
      <c r="P36" s="47"/>
      <c r="Q36" s="49">
        <f t="shared" si="21"/>
        <v>0</v>
      </c>
      <c r="R36" s="48"/>
      <c r="S36" s="60">
        <f t="shared" si="22"/>
        <v>0</v>
      </c>
      <c r="T36" s="46">
        <f>+'[1]3월'!$AS$26/1000</f>
        <v>0</v>
      </c>
      <c r="U36" s="47">
        <f>-'[2]3월'!$BD$26/1000</f>
        <v>0</v>
      </c>
      <c r="V36" s="49">
        <f t="shared" si="17"/>
        <v>0</v>
      </c>
      <c r="W36" s="48">
        <f>-'[3]3월'!$BD$26/1000</f>
        <v>0</v>
      </c>
      <c r="X36" s="60">
        <f t="shared" si="18"/>
        <v>0</v>
      </c>
      <c r="Y36" s="629"/>
      <c r="Z36" s="588"/>
      <c r="AA36" s="588"/>
      <c r="AB36" s="588"/>
      <c r="AC36" s="588"/>
      <c r="AD36" s="588"/>
      <c r="AE36" s="588"/>
      <c r="AF36" s="588"/>
      <c r="AG36" s="51"/>
      <c r="AH36" s="18"/>
      <c r="AI36" s="19"/>
      <c r="AK36" s="99"/>
      <c r="AL36" s="99"/>
    </row>
    <row r="37" spans="2:38" s="8" customFormat="1" ht="19.5" customHeight="1" x14ac:dyDescent="0.3">
      <c r="D37"/>
      <c r="E37"/>
      <c r="F37"/>
      <c r="G37" s="8" t="str">
        <f t="shared" si="19"/>
        <v>대손</v>
      </c>
      <c r="H37" s="87"/>
      <c r="I37" s="88" t="s">
        <v>117</v>
      </c>
      <c r="J37" s="46"/>
      <c r="K37" s="47"/>
      <c r="L37" s="49"/>
      <c r="M37" s="48"/>
      <c r="N37" s="60">
        <f t="shared" si="20"/>
        <v>0</v>
      </c>
      <c r="O37" s="46"/>
      <c r="P37" s="47"/>
      <c r="Q37" s="49">
        <f t="shared" si="21"/>
        <v>0</v>
      </c>
      <c r="R37" s="48"/>
      <c r="S37" s="60">
        <f t="shared" si="22"/>
        <v>0</v>
      </c>
      <c r="T37" s="46"/>
      <c r="U37" s="47">
        <f>'[2]3월'!$BE$26/1000</f>
        <v>-1906.569074</v>
      </c>
      <c r="V37" s="49">
        <f t="shared" si="17"/>
        <v>-1906.569074</v>
      </c>
      <c r="W37" s="48">
        <f>'[3]3월'!$BE$26/1000</f>
        <v>-278.35280399999999</v>
      </c>
      <c r="X37" s="60">
        <f t="shared" si="18"/>
        <v>-1628.2162699999999</v>
      </c>
      <c r="Y37" s="587"/>
      <c r="Z37" s="588"/>
      <c r="AA37" s="588"/>
      <c r="AB37" s="588"/>
      <c r="AC37" s="588"/>
      <c r="AD37" s="588"/>
      <c r="AE37" s="588"/>
      <c r="AF37" s="588"/>
      <c r="AG37" s="51"/>
      <c r="AH37" s="18"/>
      <c r="AI37" s="19"/>
      <c r="AK37" s="99"/>
      <c r="AL37" s="99"/>
    </row>
    <row r="38" spans="2:38" s="8" customFormat="1" ht="19.5" customHeight="1" x14ac:dyDescent="0.3">
      <c r="D38"/>
      <c r="E38"/>
      <c r="F38"/>
      <c r="G38" s="8" t="str">
        <f t="shared" si="19"/>
        <v>미운영 공장</v>
      </c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20"/>
        <v>0</v>
      </c>
      <c r="O38" s="46"/>
      <c r="P38" s="47"/>
      <c r="Q38" s="49">
        <f t="shared" si="21"/>
        <v>0</v>
      </c>
      <c r="R38" s="48"/>
      <c r="S38" s="60">
        <f t="shared" si="22"/>
        <v>0</v>
      </c>
      <c r="T38" s="46">
        <f>SUM('[1]3월'!$AM$26:$AQ$26)/1000</f>
        <v>-3.4117974444596393</v>
      </c>
      <c r="U38" s="47">
        <f>+'[2]3월'!$BF$26/1000</f>
        <v>-1.614152</v>
      </c>
      <c r="V38" s="49">
        <f t="shared" si="17"/>
        <v>1.7976454444596393</v>
      </c>
      <c r="W38" s="48">
        <f>+'[3]3월'!$BF$26/1000</f>
        <v>-21.326463</v>
      </c>
      <c r="X38" s="60">
        <f>+U38-W38</f>
        <v>19.712311</v>
      </c>
      <c r="Y38" s="587"/>
      <c r="Z38" s="588"/>
      <c r="AA38" s="588"/>
      <c r="AB38" s="588"/>
      <c r="AC38" s="588"/>
      <c r="AD38" s="588"/>
      <c r="AE38" s="588"/>
      <c r="AF38" s="588"/>
      <c r="AG38" s="51"/>
      <c r="AH38" s="18"/>
      <c r="AI38" s="19"/>
      <c r="AK38" s="99"/>
      <c r="AL38" s="99"/>
    </row>
    <row r="39" spans="2:38" s="8" customFormat="1" ht="19.5" customHeight="1" x14ac:dyDescent="0.3">
      <c r="B39" t="s">
        <v>39</v>
      </c>
      <c r="D39"/>
      <c r="G39" s="8" t="str">
        <f t="shared" si="19"/>
        <v>기타</v>
      </c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20"/>
        <v>0</v>
      </c>
      <c r="O39" s="46">
        <f>IFERROR(HLOOKUP($B39,'[1]3월'!$D$6:$BN$259,3,),)/1000</f>
        <v>1.77</v>
      </c>
      <c r="P39" s="47">
        <f>+('[2]3월'!$F$8-SUM('[2]3월'!$Z$8,'[2]3월'!$AH$8,'[2]3월'!$AN$8,'[2]3월'!$AO$8,'[2]3월'!$BA$8,'[2]3월'!$BD$8,'[2]3월'!$BE$8,'[2]3월'!$BF$8))/1000</f>
        <v>1.70239999999851</v>
      </c>
      <c r="Q39" s="55">
        <f t="shared" si="21"/>
        <v>-6.7600000001490024E-2</v>
      </c>
      <c r="R39" s="61">
        <f>+('[3]3월'!$F$8-SUM('[3]3월'!$Z$8,'[3]3월'!$AH$8,'[3]3월'!$AN$8,'[3]3월'!$AO$8,'[3]3월'!$BA$8,'[3]3월'!$BD$8,'[3]3월'!$BE$8,'[3]3월'!$BF$8))/1000</f>
        <v>1.7988999999985098</v>
      </c>
      <c r="S39" s="62">
        <f t="shared" si="22"/>
        <v>-9.6499999999999808E-2</v>
      </c>
      <c r="T39" s="46">
        <f>+('[1]3월'!$E$26-'[1]3월'!$Z$26-'[1]3월'!$AA$26-'[1]3월'!$AE$26-'[1]3월'!$AL$26-'[1]3월'!$AM$26-'[1]3월'!$AN$26-'[1]3월'!$AO$26-'[1]3월'!$AP$26-'[1]3월'!$AQ$26-'[1]3월'!$AS$26)/1000</f>
        <v>-68.088928999997265</v>
      </c>
      <c r="U39" s="47">
        <f>+('[2]3월'!$F$26-SUM('[2]3월'!$Z$26,'[2]3월'!$AH$26,'[2]3월'!$AN$26,'[2]3월'!$AO$26,'[2]3월'!$BA$26,'[2]3월'!$BD$26,'[2]3월'!$BE$26,'[2]3월'!$BF$26))/1000</f>
        <v>-6.3665090000068307</v>
      </c>
      <c r="V39" s="49">
        <f t="shared" si="17"/>
        <v>61.722419999990436</v>
      </c>
      <c r="W39" s="61">
        <f>+('[3]3월'!$F$26-SUM('[3]3월'!$Z$26,'[3]3월'!$AH$26,'[3]3월'!$AN$26,'[3]3월'!$AO$26,'[3]3월'!$BA$26,'[3]3월'!$BD$26,'[3]3월'!$BE$26,'[3]3월'!$BF$26))/1000</f>
        <v>20.8321660000002</v>
      </c>
      <c r="X39" s="60">
        <f t="shared" si="18"/>
        <v>-27.198675000007029</v>
      </c>
      <c r="Y39" s="596"/>
      <c r="Z39" s="588"/>
      <c r="AA39" s="588"/>
      <c r="AB39" s="588"/>
      <c r="AC39" s="588"/>
      <c r="AD39" s="588"/>
      <c r="AE39" s="588"/>
      <c r="AF39" s="588"/>
      <c r="AG39" s="51"/>
      <c r="AH39" s="18"/>
      <c r="AI39" s="19"/>
    </row>
    <row r="40" spans="2:38" s="8" customFormat="1" ht="19.5" customHeight="1" x14ac:dyDescent="0.3">
      <c r="H40" s="87"/>
      <c r="I40" s="88"/>
      <c r="J40" s="46"/>
      <c r="K40" s="47"/>
      <c r="L40" s="55"/>
      <c r="M40" s="61"/>
      <c r="N40" s="62">
        <f t="shared" si="20"/>
        <v>0</v>
      </c>
      <c r="O40" s="46"/>
      <c r="P40" s="47"/>
      <c r="Q40" s="55">
        <f t="shared" si="21"/>
        <v>0</v>
      </c>
      <c r="R40" s="61"/>
      <c r="S40" s="62">
        <f t="shared" si="22"/>
        <v>0</v>
      </c>
      <c r="T40" s="46"/>
      <c r="U40" s="47"/>
      <c r="V40" s="49">
        <f t="shared" si="17"/>
        <v>0</v>
      </c>
      <c r="W40" s="61"/>
      <c r="X40" s="60"/>
      <c r="Y40" s="587"/>
      <c r="Z40" s="588"/>
      <c r="AA40" s="588"/>
      <c r="AB40" s="588"/>
      <c r="AC40" s="588"/>
      <c r="AD40" s="588"/>
      <c r="AE40" s="588"/>
      <c r="AF40" s="588"/>
      <c r="AG40" s="51"/>
      <c r="AH40" s="31"/>
    </row>
    <row r="41" spans="2:38" s="3" customFormat="1" ht="19.5" customHeight="1" x14ac:dyDescent="0.3">
      <c r="D41" s="658"/>
      <c r="H41" s="147" t="s">
        <v>118</v>
      </c>
      <c r="I41" s="148"/>
      <c r="J41" s="647">
        <f>SUM(J33:J40)</f>
        <v>0</v>
      </c>
      <c r="K41" s="648">
        <f>SUM(K33:K40)</f>
        <v>0</v>
      </c>
      <c r="L41" s="648">
        <f>+K41-J41</f>
        <v>0</v>
      </c>
      <c r="M41" s="648">
        <f>SUM(M33:M40)</f>
        <v>0</v>
      </c>
      <c r="N41" s="649">
        <f t="shared" si="20"/>
        <v>0</v>
      </c>
      <c r="O41" s="149">
        <f>SUM(O33:O40)</f>
        <v>164.90750033333333</v>
      </c>
      <c r="P41" s="150">
        <f>SUM(P33:P40)</f>
        <v>164.55386799999852</v>
      </c>
      <c r="Q41" s="154">
        <f t="shared" si="12"/>
        <v>-0.35363233333481503</v>
      </c>
      <c r="R41" s="155">
        <f>SUM(R33:R40)</f>
        <v>197.6613479999985</v>
      </c>
      <c r="S41" s="156">
        <f>+P41-R41</f>
        <v>-33.107479999999981</v>
      </c>
      <c r="T41" s="149">
        <f>SUM(T33:T40)</f>
        <v>-1078.3692568903891</v>
      </c>
      <c r="U41" s="150">
        <f>SUM(U33:U40)</f>
        <v>-3002.7273963205189</v>
      </c>
      <c r="V41" s="154">
        <f>+U41-T41</f>
        <v>-1924.3581394301298</v>
      </c>
      <c r="W41" s="155">
        <f>SUM(W33:W40)</f>
        <v>-1074.1646780000001</v>
      </c>
      <c r="X41" s="156">
        <f>+U41-W41</f>
        <v>-1928.5627183205188</v>
      </c>
      <c r="Y41" s="589"/>
      <c r="Z41" s="590"/>
      <c r="AA41" s="590"/>
      <c r="AB41" s="590"/>
      <c r="AC41" s="590"/>
      <c r="AD41" s="590"/>
      <c r="AE41" s="590"/>
      <c r="AF41" s="590"/>
      <c r="AG41" s="591"/>
      <c r="AH41" s="26"/>
    </row>
    <row r="42" spans="2:38" s="8" customFormat="1" ht="19.5" customHeight="1" x14ac:dyDescent="0.3"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>
        <v>19</v>
      </c>
      <c r="V42" s="32">
        <v>12.4</v>
      </c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 x14ac:dyDescent="0.3">
      <c r="G43" s="665">
        <f>+P43/O43</f>
        <v>1.0446292677814601</v>
      </c>
      <c r="H43" s="640" t="s">
        <v>41</v>
      </c>
      <c r="I43" s="641"/>
      <c r="J43" s="653"/>
      <c r="K43" s="654"/>
      <c r="L43" s="654"/>
      <c r="M43" s="654"/>
      <c r="N43" s="655"/>
      <c r="O43" s="642">
        <f>+O27+O32+O28+O41</f>
        <v>39434.780894553754</v>
      </c>
      <c r="P43" s="643">
        <f>+P27+P32+P28+P41</f>
        <v>41194.726290999999</v>
      </c>
      <c r="Q43" s="644">
        <f t="shared" si="12"/>
        <v>1759.9453964462446</v>
      </c>
      <c r="R43" s="645">
        <f>+R27+R32+R28+R41</f>
        <v>47038.179366000004</v>
      </c>
      <c r="S43" s="646">
        <f>+P43-R43</f>
        <v>-5843.4530750000049</v>
      </c>
      <c r="T43" s="642">
        <f>+T27+T32+T28+T41</f>
        <v>2895.0083635515502</v>
      </c>
      <c r="U43" s="643">
        <f>+U27+U32+U28+U41</f>
        <v>876.69411498846785</v>
      </c>
      <c r="V43" s="644">
        <f>+U43-T43</f>
        <v>-2018.3142485630824</v>
      </c>
      <c r="W43" s="645">
        <f>+W27+W32+W28+W41</f>
        <v>4740.7812600000016</v>
      </c>
      <c r="X43" s="646">
        <f>+U43-W43</f>
        <v>-3864.0871450115337</v>
      </c>
      <c r="Y43" s="822"/>
      <c r="Z43" s="823"/>
      <c r="AA43" s="823"/>
      <c r="AB43" s="823"/>
      <c r="AC43" s="823"/>
      <c r="AD43" s="823"/>
      <c r="AE43" s="823"/>
      <c r="AF43" s="823"/>
      <c r="AG43" s="824"/>
      <c r="AH43" s="26"/>
    </row>
    <row r="44" spans="2:38" s="34" customFormat="1" x14ac:dyDescent="0.3">
      <c r="G44" s="662">
        <f>+U43/T43</f>
        <v>0.30282956209250927</v>
      </c>
      <c r="T44" s="662">
        <f>+T43/O43</f>
        <v>7.3412563678054391E-2</v>
      </c>
      <c r="U44" s="662">
        <f>+U43/P43</f>
        <v>2.1281707488368558E-2</v>
      </c>
      <c r="AC44" s="35"/>
      <c r="AF44" s="35"/>
    </row>
    <row r="45" spans="2:38" s="34" customFormat="1" ht="17.25" thickBot="1" x14ac:dyDescent="0.35">
      <c r="AC45" s="35"/>
      <c r="AF45" s="35"/>
    </row>
    <row r="46" spans="2:38" s="34" customFormat="1" x14ac:dyDescent="0.3">
      <c r="I46" s="819" t="s">
        <v>101</v>
      </c>
      <c r="J46" s="139">
        <f>+'[1]3월'!$Z$7/1000</f>
        <v>286</v>
      </c>
      <c r="K46" s="140">
        <f>+'[2]3월'!$AI$7/1000</f>
        <v>298.48649999999998</v>
      </c>
      <c r="L46" s="140"/>
      <c r="M46" s="140">
        <f>+'[3]3월'!$Z$7/1000</f>
        <v>364.29050000000001</v>
      </c>
      <c r="N46" s="140"/>
      <c r="O46" s="140">
        <f>+'[1]3월'!$E$8/1000</f>
        <v>39434.780894553747</v>
      </c>
      <c r="P46" s="140">
        <f>+'[2]3월'!$F$8/1000</f>
        <v>41194.726290999999</v>
      </c>
      <c r="Q46" s="140"/>
      <c r="R46" s="140">
        <f>+'[3]3월'!$F$8/1000</f>
        <v>47038.179365999997</v>
      </c>
      <c r="S46" s="140"/>
      <c r="T46" s="145">
        <f>+'[1]3월'!$E$26/1000</f>
        <v>2895.0083635515521</v>
      </c>
      <c r="U46" s="140">
        <f>+'[2]3월'!$F$26/1000</f>
        <v>876.69411498846762</v>
      </c>
      <c r="V46" s="140"/>
      <c r="W46" s="140">
        <f>+'[3]3월'!$F$26/1000</f>
        <v>4740.7812600000034</v>
      </c>
      <c r="X46" s="141"/>
      <c r="AC46" s="35"/>
      <c r="AF46" s="35"/>
    </row>
    <row r="47" spans="2:38" s="34" customFormat="1" ht="17.25" thickBot="1" x14ac:dyDescent="0.35">
      <c r="I47" s="819"/>
      <c r="J47" s="144">
        <f>+J46-J27</f>
        <v>0</v>
      </c>
      <c r="K47" s="142">
        <f>+K46-K27</f>
        <v>0</v>
      </c>
      <c r="L47" s="142"/>
      <c r="M47" s="142">
        <f>+M46-M27</f>
        <v>0</v>
      </c>
      <c r="N47" s="142"/>
      <c r="O47" s="146">
        <f>+O46-O43</f>
        <v>0</v>
      </c>
      <c r="P47" s="146">
        <f>+P46-P43</f>
        <v>0</v>
      </c>
      <c r="Q47" s="142"/>
      <c r="R47" s="146">
        <f>+R46-R43</f>
        <v>0</v>
      </c>
      <c r="S47" s="142"/>
      <c r="T47" s="146">
        <f>+T46-T43</f>
        <v>0</v>
      </c>
      <c r="U47" s="146">
        <f>+U46-U43</f>
        <v>0</v>
      </c>
      <c r="V47" s="142"/>
      <c r="W47" s="142">
        <f>+W46-W43</f>
        <v>0</v>
      </c>
      <c r="X47" s="143"/>
      <c r="AC47" s="35"/>
      <c r="AF47" s="35"/>
      <c r="AG47" s="34" t="s">
        <v>102</v>
      </c>
    </row>
    <row r="48" spans="2:38" x14ac:dyDescent="0.3">
      <c r="T48" s="659"/>
      <c r="U48" s="659"/>
      <c r="V48" s="659"/>
    </row>
    <row r="49" spans="10:33" x14ac:dyDescent="0.3">
      <c r="T49" s="659"/>
      <c r="U49" s="659"/>
      <c r="V49" s="659"/>
    </row>
    <row r="50" spans="10:33" x14ac:dyDescent="0.3">
      <c r="T50" s="659"/>
      <c r="U50" s="659"/>
      <c r="V50" s="659"/>
    </row>
    <row r="51" spans="10:33" x14ac:dyDescent="0.3">
      <c r="T51" s="660"/>
      <c r="U51" s="660"/>
      <c r="V51" s="659"/>
    </row>
    <row r="52" spans="10:33" x14ac:dyDescent="0.3">
      <c r="T52" s="660"/>
      <c r="U52" s="660"/>
      <c r="V52" s="659"/>
    </row>
    <row r="54" spans="10:33" x14ac:dyDescent="0.3">
      <c r="J54" s="599"/>
      <c r="K54" s="599"/>
      <c r="L54" s="599"/>
      <c r="M54" s="599"/>
      <c r="N54" s="599"/>
      <c r="O54" s="599"/>
      <c r="P54" s="599"/>
      <c r="Q54" s="599"/>
      <c r="R54" s="599"/>
      <c r="S54" s="599"/>
      <c r="T54" s="599"/>
      <c r="U54" s="599"/>
      <c r="V54" s="599"/>
      <c r="W54" s="599"/>
      <c r="X54" s="599"/>
      <c r="Y54" s="599"/>
      <c r="Z54" s="599"/>
      <c r="AA54" s="599"/>
      <c r="AB54" s="599"/>
      <c r="AC54" s="599"/>
      <c r="AD54" s="599"/>
      <c r="AE54" s="599"/>
      <c r="AF54" s="599"/>
      <c r="AG54" s="599"/>
    </row>
    <row r="55" spans="10:33" x14ac:dyDescent="0.3">
      <c r="J55" s="599"/>
      <c r="K55" s="599"/>
      <c r="L55" s="599"/>
      <c r="M55" s="599"/>
      <c r="N55" s="599"/>
      <c r="O55" s="599"/>
      <c r="P55" s="599"/>
      <c r="Q55" s="599"/>
      <c r="R55" s="599"/>
      <c r="S55" s="599"/>
      <c r="T55" s="599"/>
      <c r="U55" s="599"/>
      <c r="V55" s="599"/>
      <c r="W55" s="599"/>
      <c r="X55" s="599"/>
      <c r="Y55" s="599"/>
      <c r="Z55" s="599"/>
      <c r="AA55" s="599"/>
      <c r="AB55" s="599"/>
      <c r="AC55" s="599"/>
      <c r="AD55" s="599"/>
      <c r="AE55" s="599"/>
      <c r="AF55" s="599"/>
      <c r="AG55" s="599"/>
    </row>
    <row r="56" spans="10:33" x14ac:dyDescent="0.3">
      <c r="J56" s="599"/>
      <c r="K56" s="599"/>
      <c r="L56" s="599"/>
      <c r="M56" s="599"/>
      <c r="N56" s="599"/>
      <c r="O56" s="599"/>
      <c r="P56" s="599"/>
      <c r="Q56" s="599"/>
      <c r="R56" s="599"/>
      <c r="S56" s="599"/>
      <c r="T56" s="599"/>
      <c r="U56" s="599"/>
      <c r="V56" s="599"/>
      <c r="W56" s="599"/>
      <c r="X56" s="599"/>
      <c r="Y56" s="599"/>
      <c r="Z56" s="599"/>
      <c r="AA56" s="599"/>
      <c r="AB56" s="599"/>
      <c r="AC56" s="599"/>
      <c r="AD56" s="599"/>
      <c r="AE56" s="599"/>
      <c r="AF56" s="599"/>
      <c r="AG56" s="599"/>
    </row>
    <row r="57" spans="10:33" x14ac:dyDescent="0.3">
      <c r="J57" s="599"/>
      <c r="K57" s="599"/>
      <c r="L57" s="599"/>
      <c r="M57" s="599"/>
      <c r="N57" s="599"/>
      <c r="O57" s="599"/>
      <c r="P57" s="599"/>
      <c r="Q57" s="599"/>
      <c r="R57" s="599"/>
      <c r="S57" s="599"/>
      <c r="T57" s="599"/>
      <c r="U57" s="599"/>
      <c r="V57" s="599"/>
      <c r="W57" s="599"/>
      <c r="X57" s="599"/>
      <c r="Y57" s="599"/>
      <c r="Z57" s="599"/>
      <c r="AA57" s="599"/>
      <c r="AB57" s="599"/>
      <c r="AC57" s="599"/>
      <c r="AD57" s="599"/>
      <c r="AE57" s="599"/>
      <c r="AF57" s="599"/>
      <c r="AG57" s="599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27E8-E3FD-4F59-8665-50753CDC460A}">
  <sheetPr>
    <tabColor theme="1" tint="0.249977111117893"/>
    <pageSetUpPr fitToPage="1"/>
  </sheetPr>
  <dimension ref="A1:AL57"/>
  <sheetViews>
    <sheetView showGridLines="0" showZeros="0" view="pageBreakPreview" topLeftCell="F12" zoomScale="85" zoomScaleNormal="85" zoomScaleSheetLayoutView="85" workbookViewId="0">
      <selection activeCell="I12" sqref="I12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 x14ac:dyDescent="0.3">
      <c r="H1" s="4"/>
      <c r="K1" s="6"/>
      <c r="L1" s="6"/>
      <c r="P1" s="6"/>
      <c r="Q1" s="6"/>
    </row>
    <row r="2" spans="2:36" ht="18" customHeight="1" x14ac:dyDescent="0.3">
      <c r="H2" s="7"/>
      <c r="AD2" s="5"/>
      <c r="AG2" s="5"/>
    </row>
    <row r="3" spans="2:36" ht="26.25" x14ac:dyDescent="0.3">
      <c r="H3" s="4" t="s">
        <v>217</v>
      </c>
      <c r="AD3" s="5"/>
      <c r="AG3" s="5"/>
    </row>
    <row r="4" spans="2:36" ht="18" customHeight="1" x14ac:dyDescent="0.3">
      <c r="H4" s="7"/>
      <c r="AD4" s="5"/>
      <c r="AG4" s="5" t="s">
        <v>94</v>
      </c>
    </row>
    <row r="5" spans="2:36" s="8" customFormat="1" ht="19.5" customHeight="1" x14ac:dyDescent="0.3">
      <c r="H5" s="815" t="s">
        <v>11</v>
      </c>
      <c r="I5" s="816"/>
      <c r="J5" s="173" t="s">
        <v>0</v>
      </c>
      <c r="K5" s="174"/>
      <c r="L5" s="174"/>
      <c r="M5" s="174"/>
      <c r="N5" s="175"/>
      <c r="O5" s="173" t="s">
        <v>2</v>
      </c>
      <c r="P5" s="174"/>
      <c r="Q5" s="174"/>
      <c r="R5" s="174"/>
      <c r="S5" s="175"/>
      <c r="T5" s="173" t="s">
        <v>119</v>
      </c>
      <c r="U5" s="174"/>
      <c r="V5" s="174"/>
      <c r="W5" s="174"/>
      <c r="X5" s="175"/>
      <c r="Y5" s="173" t="s">
        <v>21</v>
      </c>
      <c r="Z5" s="174"/>
      <c r="AA5" s="175"/>
      <c r="AB5" s="173" t="s">
        <v>44</v>
      </c>
      <c r="AC5" s="174"/>
      <c r="AD5" s="175"/>
      <c r="AE5" s="173" t="s">
        <v>69</v>
      </c>
      <c r="AF5" s="174"/>
      <c r="AG5" s="175"/>
    </row>
    <row r="6" spans="2:36" s="8" customFormat="1" ht="19.5" customHeight="1" x14ac:dyDescent="0.3">
      <c r="H6" s="817"/>
      <c r="I6" s="818"/>
      <c r="J6" s="176" t="s">
        <v>12</v>
      </c>
      <c r="K6" s="177" t="s">
        <v>13</v>
      </c>
      <c r="L6" s="178" t="s">
        <v>37</v>
      </c>
      <c r="M6" s="177" t="s">
        <v>14</v>
      </c>
      <c r="N6" s="179" t="s">
        <v>37</v>
      </c>
      <c r="O6" s="176" t="s">
        <v>15</v>
      </c>
      <c r="P6" s="177" t="s">
        <v>16</v>
      </c>
      <c r="Q6" s="178" t="s">
        <v>36</v>
      </c>
      <c r="R6" s="177" t="s">
        <v>17</v>
      </c>
      <c r="S6" s="179" t="s">
        <v>36</v>
      </c>
      <c r="T6" s="176" t="s">
        <v>15</v>
      </c>
      <c r="U6" s="177" t="s">
        <v>16</v>
      </c>
      <c r="V6" s="178" t="s">
        <v>36</v>
      </c>
      <c r="W6" s="177" t="s">
        <v>17</v>
      </c>
      <c r="X6" s="179" t="s">
        <v>36</v>
      </c>
      <c r="Y6" s="180" t="s">
        <v>15</v>
      </c>
      <c r="Z6" s="181" t="s">
        <v>16</v>
      </c>
      <c r="AA6" s="182" t="s">
        <v>17</v>
      </c>
      <c r="AB6" s="183" t="s">
        <v>15</v>
      </c>
      <c r="AC6" s="181" t="s">
        <v>16</v>
      </c>
      <c r="AD6" s="179" t="s">
        <v>17</v>
      </c>
      <c r="AE6" s="183" t="s">
        <v>15</v>
      </c>
      <c r="AF6" s="181" t="s">
        <v>16</v>
      </c>
      <c r="AG6" s="179" t="s">
        <v>17</v>
      </c>
    </row>
    <row r="7" spans="2:36" s="8" customFormat="1" ht="19.5" customHeight="1" x14ac:dyDescent="0.3">
      <c r="B7" s="8" t="s">
        <v>22</v>
      </c>
      <c r="F7" s="784"/>
      <c r="G7" s="784"/>
      <c r="H7" s="78" t="s">
        <v>53</v>
      </c>
      <c r="I7" s="79" t="s">
        <v>22</v>
      </c>
      <c r="J7" s="36">
        <f>+'사업장별(당월)'!J7+'[4]사업장별(누계)'!J7</f>
        <v>114</v>
      </c>
      <c r="K7" s="37">
        <f>+'사업장별(당월)'!K7+'[4]사업장별(누계)'!K7</f>
        <v>124.45100000000002</v>
      </c>
      <c r="L7" s="38">
        <f t="shared" ref="L7:L32" si="0">+K7-J7</f>
        <v>10.451000000000022</v>
      </c>
      <c r="M7" s="39">
        <f>+'사업장별(당월)'!M7+'[4]사업장별(누계)'!M7</f>
        <v>133.29300000000001</v>
      </c>
      <c r="N7" s="40">
        <f>+K7-M7</f>
        <v>-8.8419999999999845</v>
      </c>
      <c r="O7" s="36">
        <f>+'사업장별(당월)'!O7+'[4]사업장별(누계)'!O7</f>
        <v>11192.550450000001</v>
      </c>
      <c r="P7" s="37">
        <f>+'사업장별(당월)'!P7+'[4]사업장별(누계)'!P7</f>
        <v>12223.781814</v>
      </c>
      <c r="Q7" s="38">
        <f>+P7-O7</f>
        <v>1031.2313639999993</v>
      </c>
      <c r="R7" s="39">
        <f>+'사업장별(당월)'!R7+'[4]사업장별(누계)'!R7</f>
        <v>12041.664016999999</v>
      </c>
      <c r="S7" s="40">
        <f>+P7-R7</f>
        <v>182.11779700000079</v>
      </c>
      <c r="T7" s="36">
        <f>+'사업장별(당월)'!T7+'[4]사업장별(누계)'!T7</f>
        <v>1164.903400891289</v>
      </c>
      <c r="U7" s="37">
        <f>+'사업장별(당월)'!U7+'[4]사업장별(누계)'!U7</f>
        <v>1191.1608039999999</v>
      </c>
      <c r="V7" s="41">
        <f>+U7-T7</f>
        <v>26.257403108710832</v>
      </c>
      <c r="W7" s="42">
        <f>+'사업장별(당월)'!W7+'[4]사업장별(누계)'!W7</f>
        <v>1394.5361759900006</v>
      </c>
      <c r="X7" s="40">
        <f>+U7-W7</f>
        <v>-203.37537199000076</v>
      </c>
      <c r="Y7" s="36">
        <f>+[11]안양!$Q$85</f>
        <v>98180.267105263163</v>
      </c>
      <c r="Z7" s="37">
        <f>+[11]안양!$R$85</f>
        <v>98221.643972326448</v>
      </c>
      <c r="AA7" s="43">
        <f>+[12]안양!$Q$85</f>
        <v>90319.022736664934</v>
      </c>
      <c r="AB7" s="44">
        <f>+[11]안양!$Q$89</f>
        <v>79919.909028485199</v>
      </c>
      <c r="AC7" s="37">
        <f>+[11]안양!$R$89</f>
        <v>81295.712062663195</v>
      </c>
      <c r="AD7" s="45">
        <f>+[12]안양!$Q$89</f>
        <v>73635.949517100496</v>
      </c>
      <c r="AE7" s="44">
        <f>+Y7-AB7</f>
        <v>18260.358076777964</v>
      </c>
      <c r="AF7" s="37">
        <f>+Z7-AC7</f>
        <v>16925.931909663253</v>
      </c>
      <c r="AG7" s="45">
        <f>+AA7-AD7</f>
        <v>16683.073219564438</v>
      </c>
      <c r="AH7" s="18"/>
      <c r="AI7" s="19"/>
    </row>
    <row r="8" spans="2:36" s="8" customFormat="1" ht="19.5" customHeight="1" x14ac:dyDescent="0.3">
      <c r="B8" s="8" t="s">
        <v>23</v>
      </c>
      <c r="G8" s="9"/>
      <c r="H8" s="80" t="s">
        <v>54</v>
      </c>
      <c r="I8" s="81" t="s">
        <v>23</v>
      </c>
      <c r="J8" s="46">
        <f>+'사업장별(당월)'!J8+'[4]사업장별(누계)'!J8</f>
        <v>80</v>
      </c>
      <c r="K8" s="47">
        <f>+'사업장별(당월)'!K8+'[4]사업장별(누계)'!K8</f>
        <v>83.656000000000006</v>
      </c>
      <c r="L8" s="48">
        <f t="shared" si="0"/>
        <v>3.6560000000000059</v>
      </c>
      <c r="M8" s="49">
        <f>+'사업장별(당월)'!M8+'[4]사업장별(누계)'!M8</f>
        <v>105.474</v>
      </c>
      <c r="N8" s="50">
        <f t="shared" ref="N8:N32" si="1">+K8-M8</f>
        <v>-21.817999999999998</v>
      </c>
      <c r="O8" s="46">
        <f>+'사업장별(당월)'!O8+'[4]사업장별(누계)'!O8</f>
        <v>7957.9825099999998</v>
      </c>
      <c r="P8" s="47">
        <f>+'사업장별(당월)'!P8+'[4]사업장별(누계)'!P8</f>
        <v>8443.3819490000005</v>
      </c>
      <c r="Q8" s="48">
        <f t="shared" ref="Q8:Q43" si="2">+P8-O8</f>
        <v>485.39943900000071</v>
      </c>
      <c r="R8" s="49">
        <f>+'사업장별(당월)'!R8+'[4]사업장별(누계)'!R8</f>
        <v>9553.4930010000007</v>
      </c>
      <c r="S8" s="50">
        <f t="shared" ref="S8:S40" si="3">+P8-R8</f>
        <v>-1110.1110520000002</v>
      </c>
      <c r="T8" s="46">
        <f>+'사업장별(당월)'!T8+'[4]사업장별(누계)'!T8</f>
        <v>466.8225260649707</v>
      </c>
      <c r="U8" s="47">
        <f>+'사업장별(당월)'!U8+'[4]사업장별(누계)'!U8</f>
        <v>624.52589400000056</v>
      </c>
      <c r="V8" s="48">
        <f t="shared" ref="V8:V40" si="4">+U8-T8</f>
        <v>157.70336793502986</v>
      </c>
      <c r="W8" s="49">
        <f>+'사업장별(당월)'!W8+'[4]사업장별(누계)'!W8</f>
        <v>805.21397699999943</v>
      </c>
      <c r="X8" s="50">
        <f t="shared" ref="X8:X39" si="5">+U8-W8</f>
        <v>-180.68808299999887</v>
      </c>
      <c r="Y8" s="46">
        <f>+[11]인천!$Q$85</f>
        <v>99474.781374999991</v>
      </c>
      <c r="Z8" s="47">
        <f>+[11]인천!$R$85</f>
        <v>100929.78326718943</v>
      </c>
      <c r="AA8" s="51">
        <f>+[12]인천!$Q$85</f>
        <v>90569.088674767423</v>
      </c>
      <c r="AB8" s="52">
        <f>+[11]인천!$Q$89</f>
        <v>82054.945307115398</v>
      </c>
      <c r="AC8" s="47">
        <f>+[11]인천!$R$89</f>
        <v>83319.25650739776</v>
      </c>
      <c r="AD8" s="53">
        <f>+[12]인천!$Q$89</f>
        <v>74511.012263649478</v>
      </c>
      <c r="AE8" s="52">
        <f t="shared" ref="AE8:AG27" si="6">+Y8-AB8</f>
        <v>17419.836067884593</v>
      </c>
      <c r="AF8" s="47">
        <f t="shared" si="6"/>
        <v>17610.526759791668</v>
      </c>
      <c r="AG8" s="53">
        <f t="shared" si="6"/>
        <v>16058.076411117945</v>
      </c>
      <c r="AH8" s="18"/>
      <c r="AI8" s="19"/>
      <c r="AJ8" s="97"/>
    </row>
    <row r="9" spans="2:36" s="8" customFormat="1" ht="19.5" customHeight="1" x14ac:dyDescent="0.3">
      <c r="B9" s="8" t="s">
        <v>24</v>
      </c>
      <c r="G9" s="9"/>
      <c r="H9" s="80"/>
      <c r="I9" s="81" t="s">
        <v>24</v>
      </c>
      <c r="J9" s="46">
        <f>+'사업장별(당월)'!J9+'[4]사업장별(누계)'!J9</f>
        <v>68</v>
      </c>
      <c r="K9" s="47">
        <f>+'사업장별(당월)'!K9+'[4]사업장별(누계)'!K9</f>
        <v>66.204000000000008</v>
      </c>
      <c r="L9" s="48">
        <f t="shared" si="0"/>
        <v>-1.7959999999999923</v>
      </c>
      <c r="M9" s="49">
        <f>+'사업장별(당월)'!M9+'[4]사업장별(누계)'!M9</f>
        <v>69.881</v>
      </c>
      <c r="N9" s="50">
        <f t="shared" si="1"/>
        <v>-3.6769999999999925</v>
      </c>
      <c r="O9" s="46">
        <f>+'사업장별(당월)'!O9+'[4]사업장별(누계)'!O9</f>
        <v>6557.4778733446765</v>
      </c>
      <c r="P9" s="47">
        <f>+'사업장별(당월)'!P9+'[4]사업장별(누계)'!P9</f>
        <v>6763.0588109999999</v>
      </c>
      <c r="Q9" s="48">
        <f t="shared" si="2"/>
        <v>205.5809376553234</v>
      </c>
      <c r="R9" s="49">
        <f>+'사업장별(당월)'!R9+'[4]사업장별(누계)'!R9</f>
        <v>6213.3584989999999</v>
      </c>
      <c r="S9" s="50">
        <f t="shared" si="3"/>
        <v>549.70031199999994</v>
      </c>
      <c r="T9" s="46">
        <f>+'사업장별(당월)'!T9+'[4]사업장별(누계)'!T9</f>
        <v>632.69682044302647</v>
      </c>
      <c r="U9" s="47">
        <f>+'사업장별(당월)'!U9+'[4]사업장별(누계)'!U9</f>
        <v>487.94201200000026</v>
      </c>
      <c r="V9" s="48">
        <f t="shared" si="4"/>
        <v>-144.75480844302621</v>
      </c>
      <c r="W9" s="49">
        <f>+'사업장별(당월)'!W9+'[4]사업장별(누계)'!W9</f>
        <v>362.7215680100004</v>
      </c>
      <c r="X9" s="50">
        <f t="shared" si="5"/>
        <v>125.22044398999986</v>
      </c>
      <c r="Y9" s="46">
        <f>+[11]파주!$Q$85</f>
        <v>96433.498137421702</v>
      </c>
      <c r="Z9" s="47">
        <f>+[11]파주!$R$85</f>
        <v>102161.73863945578</v>
      </c>
      <c r="AA9" s="51">
        <f>+[12]파주!$Q$85</f>
        <v>88883.920902505299</v>
      </c>
      <c r="AB9" s="52">
        <f>+[11]파주!$Q$89</f>
        <v>77347.606952182177</v>
      </c>
      <c r="AC9" s="47">
        <f>+[11]파주!$R$89</f>
        <v>83825.434222061027</v>
      </c>
      <c r="AD9" s="53">
        <f>+[12]파주!$Q$89</f>
        <v>73697.260756743723</v>
      </c>
      <c r="AE9" s="52">
        <f t="shared" si="6"/>
        <v>19085.891185239525</v>
      </c>
      <c r="AF9" s="47">
        <f t="shared" si="6"/>
        <v>18336.304417394756</v>
      </c>
      <c r="AG9" s="53">
        <f t="shared" si="6"/>
        <v>15186.660145761576</v>
      </c>
      <c r="AH9" s="18"/>
      <c r="AI9" s="19"/>
      <c r="AJ9" s="97"/>
    </row>
    <row r="10" spans="2:36" s="8" customFormat="1" ht="19.5" customHeight="1" x14ac:dyDescent="0.3">
      <c r="B10" s="8" t="s">
        <v>175</v>
      </c>
      <c r="G10" s="9"/>
      <c r="H10" s="80"/>
      <c r="I10" s="81" t="s">
        <v>172</v>
      </c>
      <c r="J10" s="46">
        <f>+'사업장별(당월)'!J10+'[4]사업장별(누계)'!J10</f>
        <v>30.5</v>
      </c>
      <c r="K10" s="47">
        <f>+'사업장별(당월)'!K10+'[4]사업장별(누계)'!K10</f>
        <v>23.558999999999997</v>
      </c>
      <c r="L10" s="48">
        <f t="shared" si="0"/>
        <v>-6.9410000000000025</v>
      </c>
      <c r="M10" s="49">
        <f>+'사업장별(당월)'!M10+'[4]사업장별(누계)'!M10</f>
        <v>42.215499999999999</v>
      </c>
      <c r="N10" s="50">
        <f t="shared" si="1"/>
        <v>-18.656500000000001</v>
      </c>
      <c r="O10" s="46">
        <f>+'사업장별(당월)'!O10+'[4]사업장별(누계)'!O10</f>
        <v>2841.2685000000001</v>
      </c>
      <c r="P10" s="47">
        <f>+'사업장별(당월)'!P10+'[4]사업장별(누계)'!P10</f>
        <v>2263.1289269999997</v>
      </c>
      <c r="Q10" s="48">
        <f t="shared" si="2"/>
        <v>-578.13957300000038</v>
      </c>
      <c r="R10" s="49">
        <f>+'사업장별(당월)'!R10+'[4]사업장별(누계)'!R10</f>
        <v>3636.2373689999999</v>
      </c>
      <c r="S10" s="50">
        <f t="shared" si="3"/>
        <v>-1373.1084420000002</v>
      </c>
      <c r="T10" s="46">
        <f>+'사업장별(당월)'!T10+'[4]사업장별(누계)'!T10</f>
        <v>132.60506915218133</v>
      </c>
      <c r="U10" s="47">
        <f>+'사업장별(당월)'!U10+'[4]사업장별(누계)'!U10</f>
        <v>-5.5885100000000136</v>
      </c>
      <c r="V10" s="48">
        <f t="shared" si="4"/>
        <v>-138.19357915218134</v>
      </c>
      <c r="W10" s="49">
        <f>+'사업장별(당월)'!W10+'[4]사업장별(누계)'!W10</f>
        <v>366.43109200000004</v>
      </c>
      <c r="X10" s="50">
        <f t="shared" si="5"/>
        <v>-372.01960200000008</v>
      </c>
      <c r="Y10" s="46">
        <f>+[11]김포!$Q$85</f>
        <v>93156.344262295082</v>
      </c>
      <c r="Z10" s="47">
        <f>+[11]김포!$R$85</f>
        <v>96062.181204635184</v>
      </c>
      <c r="AA10" s="51">
        <f>+[12]김포!$Q$85</f>
        <v>86035.521789831808</v>
      </c>
      <c r="AB10" s="52">
        <f>+[11]김포!$Q$89</f>
        <v>72248.071823790058</v>
      </c>
      <c r="AC10" s="47">
        <f>+[11]김포!$R$89</f>
        <v>76381.196335411631</v>
      </c>
      <c r="AD10" s="53">
        <f>+[12]김포!$Q$89</f>
        <v>65968.884096127716</v>
      </c>
      <c r="AE10" s="52">
        <f t="shared" si="6"/>
        <v>20908.272438505024</v>
      </c>
      <c r="AF10" s="47">
        <f t="shared" si="6"/>
        <v>19680.984869223554</v>
      </c>
      <c r="AG10" s="53">
        <f t="shared" si="6"/>
        <v>20066.637693704091</v>
      </c>
      <c r="AH10" s="18"/>
      <c r="AI10" s="19"/>
      <c r="AJ10" s="97"/>
    </row>
    <row r="11" spans="2:36" s="8" customFormat="1" ht="19.5" customHeight="1" x14ac:dyDescent="0.3">
      <c r="B11" s="8" t="s">
        <v>25</v>
      </c>
      <c r="H11" s="80"/>
      <c r="I11" s="82" t="s">
        <v>25</v>
      </c>
      <c r="J11" s="63">
        <f>+'사업장별(당월)'!J11+'[4]사업장별(누계)'!J11</f>
        <v>53</v>
      </c>
      <c r="K11" s="64">
        <f>+'사업장별(당월)'!K11+'[4]사업장별(누계)'!K11</f>
        <v>62.108000000000004</v>
      </c>
      <c r="L11" s="65">
        <f t="shared" si="0"/>
        <v>9.1080000000000041</v>
      </c>
      <c r="M11" s="66">
        <f>+'사업장별(당월)'!M11+'[4]사업장별(누계)'!M11</f>
        <v>76.331999999999994</v>
      </c>
      <c r="N11" s="67">
        <f t="shared" si="1"/>
        <v>-14.22399999999999</v>
      </c>
      <c r="O11" s="63">
        <f>+'사업장별(당월)'!O11+'[4]사업장별(누계)'!O11</f>
        <v>5702.8014752500003</v>
      </c>
      <c r="P11" s="64">
        <f>+'사업장별(당월)'!P11+'[4]사업장별(누계)'!P11</f>
        <v>6695.4014079999997</v>
      </c>
      <c r="Q11" s="65">
        <f t="shared" si="2"/>
        <v>992.59993274999943</v>
      </c>
      <c r="R11" s="66">
        <f>+'사업장별(당월)'!R11+'[4]사업장별(누계)'!R11</f>
        <v>7796.9946</v>
      </c>
      <c r="S11" s="67">
        <f t="shared" si="3"/>
        <v>-1101.5931920000003</v>
      </c>
      <c r="T11" s="63">
        <f>+'사업장별(당월)'!T11+'[4]사업장별(누계)'!T11</f>
        <v>725.7529142792423</v>
      </c>
      <c r="U11" s="64">
        <f>+'사업장별(당월)'!U11+'[4]사업장별(누계)'!U11</f>
        <v>737.33396599999969</v>
      </c>
      <c r="V11" s="65">
        <f t="shared" si="4"/>
        <v>11.581051720757387</v>
      </c>
      <c r="W11" s="66">
        <f>+'사업장별(당월)'!W11+'[4]사업장별(누계)'!W11</f>
        <v>1517.0039209999998</v>
      </c>
      <c r="X11" s="67">
        <f t="shared" si="5"/>
        <v>-779.66995500000007</v>
      </c>
      <c r="Y11" s="63">
        <f>+[11]부산!$Q$85</f>
        <v>107600.02783490566</v>
      </c>
      <c r="Z11" s="64">
        <f>+[11]부산!$R$85</f>
        <v>107802.56018548334</v>
      </c>
      <c r="AA11" s="68">
        <f>+[12]부산!$Q$85</f>
        <v>102145.81826756799</v>
      </c>
      <c r="AB11" s="69">
        <f>+[11]부산!$Q$89</f>
        <v>78500.602746039396</v>
      </c>
      <c r="AC11" s="64">
        <f>+[11]부산!$R$89</f>
        <v>84406.22542991642</v>
      </c>
      <c r="AD11" s="70">
        <f>+[12]부산!$Q$89</f>
        <v>73184.55782548034</v>
      </c>
      <c r="AE11" s="69">
        <f t="shared" si="6"/>
        <v>29099.425088866265</v>
      </c>
      <c r="AF11" s="64">
        <f t="shared" si="6"/>
        <v>23396.334755566917</v>
      </c>
      <c r="AG11" s="70">
        <f t="shared" si="6"/>
        <v>28961.260442087645</v>
      </c>
      <c r="AH11" s="18"/>
      <c r="AI11" s="19"/>
      <c r="AJ11" s="97"/>
    </row>
    <row r="12" spans="2:36" s="8" customFormat="1" ht="19.5" customHeight="1" x14ac:dyDescent="0.3">
      <c r="B12" s="8" t="s">
        <v>26</v>
      </c>
      <c r="H12" s="80"/>
      <c r="I12" s="81" t="s">
        <v>26</v>
      </c>
      <c r="J12" s="46">
        <f>+'사업장별(당월)'!J12+'[4]사업장별(누계)'!J12</f>
        <v>64</v>
      </c>
      <c r="K12" s="47">
        <f>+'사업장별(당월)'!K12+'[4]사업장별(누계)'!K12</f>
        <v>63.855000000000004</v>
      </c>
      <c r="L12" s="48">
        <f t="shared" si="0"/>
        <v>-0.14499999999999602</v>
      </c>
      <c r="M12" s="49">
        <f>+'사업장별(당월)'!M12+'[4]사업장별(누계)'!M12</f>
        <v>69.296999999999997</v>
      </c>
      <c r="N12" s="50">
        <f t="shared" si="1"/>
        <v>-5.4419999999999931</v>
      </c>
      <c r="O12" s="46">
        <f>+'사업장별(당월)'!O12+'[4]사업장별(누계)'!O12</f>
        <v>6629.7964800000009</v>
      </c>
      <c r="P12" s="47">
        <f>+'사업장별(당월)'!P12+'[4]사업장별(누계)'!P12</f>
        <v>6421.5315200000005</v>
      </c>
      <c r="Q12" s="48">
        <f t="shared" si="2"/>
        <v>-208.26496000000043</v>
      </c>
      <c r="R12" s="49">
        <f>+'사업장별(당월)'!R12+'[4]사업장별(누계)'!R12</f>
        <v>6626.9685000000009</v>
      </c>
      <c r="S12" s="50">
        <f t="shared" si="3"/>
        <v>-205.4369800000004</v>
      </c>
      <c r="T12" s="46">
        <f>+'사업장별(당월)'!T12+'[4]사업장별(누계)'!T12</f>
        <v>1036.9187868248384</v>
      </c>
      <c r="U12" s="47">
        <f>+'사업장별(당월)'!U12+'[4]사업장별(누계)'!U12</f>
        <v>663.07388399999991</v>
      </c>
      <c r="V12" s="48">
        <f t="shared" si="4"/>
        <v>-373.84490282483853</v>
      </c>
      <c r="W12" s="49">
        <f>+'사업장별(당월)'!W12+'[4]사업장별(누계)'!W12</f>
        <v>1141.9587549999997</v>
      </c>
      <c r="X12" s="50">
        <f t="shared" si="5"/>
        <v>-478.88487099999975</v>
      </c>
      <c r="Y12" s="46">
        <f>+[11]서부산!$Q$85</f>
        <v>103590.57</v>
      </c>
      <c r="Z12" s="47">
        <f>+[11]서부산!$R$85</f>
        <v>100564.27092631743</v>
      </c>
      <c r="AA12" s="51">
        <f>+[12]서부산!$Q$85</f>
        <v>95631.390969306027</v>
      </c>
      <c r="AB12" s="52">
        <f>+[11]서부산!$Q$89</f>
        <v>78032.760900306341</v>
      </c>
      <c r="AC12" s="47">
        <f>+[11]서부산!$R$89</f>
        <v>80023.77542870566</v>
      </c>
      <c r="AD12" s="53">
        <f>+[12]서부산!$Q$89</f>
        <v>70387.245270767511</v>
      </c>
      <c r="AE12" s="52">
        <f t="shared" si="6"/>
        <v>25557.809099693666</v>
      </c>
      <c r="AF12" s="47">
        <f t="shared" si="6"/>
        <v>20540.495497611773</v>
      </c>
      <c r="AG12" s="53">
        <f t="shared" si="6"/>
        <v>25244.145698538516</v>
      </c>
      <c r="AH12" s="18"/>
      <c r="AI12" s="19"/>
      <c r="AJ12" s="97"/>
    </row>
    <row r="13" spans="2:36" s="8" customFormat="1" ht="19.5" customHeight="1" x14ac:dyDescent="0.3">
      <c r="B13" s="8" t="s">
        <v>27</v>
      </c>
      <c r="H13" s="80"/>
      <c r="I13" s="81" t="s">
        <v>27</v>
      </c>
      <c r="J13" s="46">
        <f>+'사업장별(당월)'!J13+'[4]사업장별(누계)'!J13</f>
        <v>33</v>
      </c>
      <c r="K13" s="47">
        <f>+'사업장별(당월)'!K13+'[4]사업장별(누계)'!K13</f>
        <v>35.106000000000002</v>
      </c>
      <c r="L13" s="48">
        <f t="shared" si="0"/>
        <v>2.1060000000000016</v>
      </c>
      <c r="M13" s="49">
        <f>+'사업장별(당월)'!M13+'[4]사업장별(누계)'!M13</f>
        <v>39.024000000000001</v>
      </c>
      <c r="N13" s="50">
        <f t="shared" si="1"/>
        <v>-3.9179999999999993</v>
      </c>
      <c r="O13" s="46">
        <f>+'사업장별(당월)'!O13+'[4]사업장별(누계)'!O13</f>
        <v>3332.9940000000001</v>
      </c>
      <c r="P13" s="47">
        <f>+'사업장별(당월)'!P13+'[4]사업장별(누계)'!P13</f>
        <v>3478.5254</v>
      </c>
      <c r="Q13" s="48">
        <f t="shared" si="2"/>
        <v>145.53139999999985</v>
      </c>
      <c r="R13" s="49">
        <f>+'사업장별(당월)'!R13+'[4]사업장별(누계)'!R13</f>
        <v>3719.4778999999999</v>
      </c>
      <c r="S13" s="50">
        <f t="shared" si="3"/>
        <v>-240.95249999999987</v>
      </c>
      <c r="T13" s="46">
        <f>+'사업장별(당월)'!T13+'[4]사업장별(누계)'!T13</f>
        <v>337.11235923164253</v>
      </c>
      <c r="U13" s="47">
        <f>+'사업장별(당월)'!U13+'[4]사업장별(누계)'!U13</f>
        <v>199.92358199999984</v>
      </c>
      <c r="V13" s="48">
        <f t="shared" si="4"/>
        <v>-137.18877723164269</v>
      </c>
      <c r="W13" s="49">
        <f>+'사업장별(당월)'!W13+'[4]사업장별(누계)'!W13</f>
        <v>446.21318699999989</v>
      </c>
      <c r="X13" s="50">
        <f t="shared" si="5"/>
        <v>-246.28960500000005</v>
      </c>
      <c r="Y13" s="46">
        <f>+[11]김해!$Q$85</f>
        <v>100999.81818181819</v>
      </c>
      <c r="Z13" s="47">
        <f>+[11]김해!$R$85</f>
        <v>99220.304186907248</v>
      </c>
      <c r="AA13" s="51">
        <f>+[12]김해!$Q$85</f>
        <v>95322.212807477015</v>
      </c>
      <c r="AB13" s="52">
        <f>+[11]김해!$Q$89</f>
        <v>76641.702545567532</v>
      </c>
      <c r="AC13" s="47">
        <f>+[11]김해!$R$89</f>
        <v>81004.577318991447</v>
      </c>
      <c r="AD13" s="53">
        <f>+[12]김해!$Q$89</f>
        <v>73142.156704154462</v>
      </c>
      <c r="AE13" s="52">
        <f t="shared" si="6"/>
        <v>24358.115636250659</v>
      </c>
      <c r="AF13" s="47">
        <f t="shared" si="6"/>
        <v>18215.726867915801</v>
      </c>
      <c r="AG13" s="53">
        <f t="shared" si="6"/>
        <v>22180.056103322553</v>
      </c>
      <c r="AH13" s="18"/>
      <c r="AI13" s="19"/>
      <c r="AJ13" s="97"/>
    </row>
    <row r="14" spans="2:36" s="8" customFormat="1" ht="19.5" customHeight="1" x14ac:dyDescent="0.3">
      <c r="B14" s="8" t="s">
        <v>28</v>
      </c>
      <c r="H14" s="80"/>
      <c r="I14" s="81" t="s">
        <v>28</v>
      </c>
      <c r="J14" s="46">
        <f>+'사업장별(당월)'!J14+'[4]사업장별(누계)'!J14</f>
        <v>52</v>
      </c>
      <c r="K14" s="47">
        <f>+'사업장별(당월)'!K14+'[4]사업장별(누계)'!K14</f>
        <v>57.172499999999999</v>
      </c>
      <c r="L14" s="48">
        <f t="shared" si="0"/>
        <v>5.1724999999999994</v>
      </c>
      <c r="M14" s="49">
        <f>+'사업장별(당월)'!M14+'[4]사업장별(누계)'!M14</f>
        <v>61.599999999999994</v>
      </c>
      <c r="N14" s="50">
        <f t="shared" si="1"/>
        <v>-4.4274999999999949</v>
      </c>
      <c r="O14" s="46">
        <f>+'사업장별(당월)'!O14+'[4]사업장별(누계)'!O14</f>
        <v>5408</v>
      </c>
      <c r="P14" s="47">
        <f>+'사업장별(당월)'!P14+'[4]사업장별(누계)'!P14</f>
        <v>5849.31675</v>
      </c>
      <c r="Q14" s="48">
        <f t="shared" si="2"/>
        <v>441.31674999999996</v>
      </c>
      <c r="R14" s="49">
        <f>+'사업장별(당월)'!R14+'[4]사업장별(누계)'!R14</f>
        <v>6096.0357199999999</v>
      </c>
      <c r="S14" s="50">
        <f t="shared" si="3"/>
        <v>-246.7189699999999</v>
      </c>
      <c r="T14" s="46">
        <f>+'사업장별(당월)'!T14+'[4]사업장별(누계)'!T14</f>
        <v>697.10379037432153</v>
      </c>
      <c r="U14" s="47">
        <f>+'사업장별(당월)'!U14+'[4]사업장별(누계)'!U14</f>
        <v>538.13684699999953</v>
      </c>
      <c r="V14" s="48">
        <f t="shared" si="4"/>
        <v>-158.966943374322</v>
      </c>
      <c r="W14" s="49">
        <f>+'사업장별(당월)'!W14+'[4]사업장별(누계)'!W14</f>
        <v>1002.3761910000003</v>
      </c>
      <c r="X14" s="50">
        <f t="shared" si="5"/>
        <v>-464.23934400000076</v>
      </c>
      <c r="Y14" s="46">
        <f>+[11]정관!$Q$85</f>
        <v>104000</v>
      </c>
      <c r="Z14" s="47">
        <f>+[11]정관!$R$85</f>
        <v>102309.96982815165</v>
      </c>
      <c r="AA14" s="51">
        <f>+[12]정관!$Q$85</f>
        <v>98961.618831168846</v>
      </c>
      <c r="AB14" s="52">
        <f>+[11]정관!$Q$89</f>
        <v>78572.545276989549</v>
      </c>
      <c r="AC14" s="47">
        <f>+[11]정관!$R$89</f>
        <v>82705.317405785318</v>
      </c>
      <c r="AD14" s="53">
        <f>+[12]정관!$Q$89</f>
        <v>73469.000859845226</v>
      </c>
      <c r="AE14" s="52">
        <f t="shared" si="6"/>
        <v>25427.454723010451</v>
      </c>
      <c r="AF14" s="47">
        <f t="shared" si="6"/>
        <v>19604.652422366329</v>
      </c>
      <c r="AG14" s="53">
        <f t="shared" si="6"/>
        <v>25492.61797132362</v>
      </c>
      <c r="AH14" s="18"/>
      <c r="AI14" s="19"/>
      <c r="AJ14" s="97"/>
    </row>
    <row r="15" spans="2:36" s="8" customFormat="1" ht="19.5" customHeight="1" x14ac:dyDescent="0.3">
      <c r="B15" s="8" t="s">
        <v>29</v>
      </c>
      <c r="H15" s="80"/>
      <c r="I15" s="81" t="s">
        <v>29</v>
      </c>
      <c r="J15" s="46">
        <f>+'사업장별(당월)'!J15+'[4]사업장별(누계)'!J15</f>
        <v>31</v>
      </c>
      <c r="K15" s="47">
        <f>+'사업장별(당월)'!K15+'[4]사업장별(누계)'!K15</f>
        <v>36.892000000000003</v>
      </c>
      <c r="L15" s="48">
        <f t="shared" si="0"/>
        <v>5.892000000000003</v>
      </c>
      <c r="M15" s="49">
        <f>+'사업장별(당월)'!M15+'[4]사업장별(누계)'!M15</f>
        <v>43.084000000000003</v>
      </c>
      <c r="N15" s="50">
        <f t="shared" si="1"/>
        <v>-6.1920000000000002</v>
      </c>
      <c r="O15" s="46">
        <f>+'사업장별(당월)'!O15+'[4]사업장별(누계)'!O15</f>
        <v>2987.555934</v>
      </c>
      <c r="P15" s="47">
        <f>+'사업장별(당월)'!P15+'[4]사업장별(누계)'!P15</f>
        <v>3466.62961</v>
      </c>
      <c r="Q15" s="48">
        <f t="shared" si="2"/>
        <v>479.07367599999998</v>
      </c>
      <c r="R15" s="49">
        <f>+'사업장별(당월)'!R15+'[4]사업장별(누계)'!R15</f>
        <v>4005.2567319999998</v>
      </c>
      <c r="S15" s="50">
        <f t="shared" si="3"/>
        <v>-538.62712199999987</v>
      </c>
      <c r="T15" s="46">
        <f>+'사업장별(당월)'!T15+'[4]사업장별(누계)'!T15</f>
        <v>329.78580105806907</v>
      </c>
      <c r="U15" s="47">
        <f>+'사업장별(당월)'!U15+'[4]사업장별(누계)'!U15</f>
        <v>383.7613960000001</v>
      </c>
      <c r="V15" s="48">
        <f t="shared" si="4"/>
        <v>53.975594941931035</v>
      </c>
      <c r="W15" s="49">
        <f>+'사업장별(당월)'!W15+'[4]사업장별(누계)'!W15</f>
        <v>639.5405169999998</v>
      </c>
      <c r="X15" s="50">
        <f t="shared" si="5"/>
        <v>-255.77912099999969</v>
      </c>
      <c r="Y15" s="46">
        <f>+[11]양산!$Q$85</f>
        <v>96372.772064516132</v>
      </c>
      <c r="Z15" s="47">
        <f>+[11]양산!$R$85</f>
        <v>93966.974140735139</v>
      </c>
      <c r="AA15" s="51">
        <f>+[12]양산!$Q$85</f>
        <v>92968.262491579357</v>
      </c>
      <c r="AB15" s="52">
        <f>+[11]양산!$Q$89</f>
        <v>71575.784564435045</v>
      </c>
      <c r="AC15" s="47">
        <f>+[11]양산!$R$89</f>
        <v>72203.263390436943</v>
      </c>
      <c r="AD15" s="53">
        <f>+[12]양산!$Q$89</f>
        <v>67836.714040181163</v>
      </c>
      <c r="AE15" s="52">
        <f t="shared" si="6"/>
        <v>24796.987500081086</v>
      </c>
      <c r="AF15" s="47">
        <f t="shared" si="6"/>
        <v>21763.710750298196</v>
      </c>
      <c r="AG15" s="53">
        <f t="shared" si="6"/>
        <v>25131.548451398194</v>
      </c>
      <c r="AH15" s="18"/>
      <c r="AI15" s="19"/>
      <c r="AJ15" s="97"/>
    </row>
    <row r="16" spans="2:36" s="8" customFormat="1" ht="19.5" customHeight="1" x14ac:dyDescent="0.3">
      <c r="B16" s="8" t="s">
        <v>30</v>
      </c>
      <c r="H16" s="80"/>
      <c r="I16" s="81" t="s">
        <v>30</v>
      </c>
      <c r="J16" s="46">
        <f>+'사업장별(당월)'!J16+'[4]사업장별(누계)'!J16</f>
        <v>46</v>
      </c>
      <c r="K16" s="47">
        <f>+'사업장별(당월)'!K16+'[4]사업장별(누계)'!K16</f>
        <v>51.491</v>
      </c>
      <c r="L16" s="48">
        <f t="shared" si="0"/>
        <v>5.4909999999999997</v>
      </c>
      <c r="M16" s="49">
        <f>+'사업장별(당월)'!M16+'[4]사업장별(누계)'!M16</f>
        <v>60.343000000000004</v>
      </c>
      <c r="N16" s="50">
        <f t="shared" si="1"/>
        <v>-8.8520000000000039</v>
      </c>
      <c r="O16" s="46">
        <f>+'사업장별(당월)'!O16+'[4]사업장별(누계)'!O16</f>
        <v>4581.8505000000005</v>
      </c>
      <c r="P16" s="47">
        <f>+'사업장별(당월)'!P16+'[4]사업장별(누계)'!P16</f>
        <v>5287.2833000000001</v>
      </c>
      <c r="Q16" s="48">
        <f t="shared" si="2"/>
        <v>705.43279999999959</v>
      </c>
      <c r="R16" s="49">
        <f>+'사업장별(당월)'!R16+'[4]사업장별(누계)'!R16</f>
        <v>5589.3901000000005</v>
      </c>
      <c r="S16" s="50">
        <f t="shared" si="3"/>
        <v>-302.10680000000048</v>
      </c>
      <c r="T16" s="46">
        <f>+'사업장별(당월)'!T16+'[4]사업장별(누계)'!T16</f>
        <v>678.42541275883059</v>
      </c>
      <c r="U16" s="47">
        <f>+'사업장별(당월)'!U16+'[4]사업장별(누계)'!U16</f>
        <v>842.19534899999996</v>
      </c>
      <c r="V16" s="48">
        <f t="shared" si="4"/>
        <v>163.76993624116938</v>
      </c>
      <c r="W16" s="49">
        <f>+'사업장별(당월)'!W16+'[4]사업장별(누계)'!W16</f>
        <v>1061.4460699999997</v>
      </c>
      <c r="X16" s="50">
        <f t="shared" si="5"/>
        <v>-219.25072099999977</v>
      </c>
      <c r="Y16" s="46">
        <f>+[11]창원!$Q$85</f>
        <v>99605.445652173919</v>
      </c>
      <c r="Z16" s="47">
        <f>+[11]창원!$R$85</f>
        <v>102683.6398593929</v>
      </c>
      <c r="AA16" s="51">
        <f>+[12]창원!$Q$85</f>
        <v>92626.984074374821</v>
      </c>
      <c r="AB16" s="52">
        <f>+[11]창원!$Q$89</f>
        <v>72182.277351408367</v>
      </c>
      <c r="AC16" s="47">
        <f>+[11]창원!$R$89</f>
        <v>75393.808900625212</v>
      </c>
      <c r="AD16" s="53">
        <f>+[12]창원!$Q$89</f>
        <v>66329.835225295392</v>
      </c>
      <c r="AE16" s="52">
        <f t="shared" si="6"/>
        <v>27423.168300765552</v>
      </c>
      <c r="AF16" s="47">
        <f t="shared" si="6"/>
        <v>27289.830958767692</v>
      </c>
      <c r="AG16" s="53">
        <f t="shared" si="6"/>
        <v>26297.148849079429</v>
      </c>
      <c r="AH16" s="18"/>
      <c r="AI16" s="19"/>
      <c r="AJ16" s="97"/>
    </row>
    <row r="17" spans="2:38" s="8" customFormat="1" ht="19.5" customHeight="1" x14ac:dyDescent="0.3">
      <c r="B17" s="8" t="s">
        <v>87</v>
      </c>
      <c r="H17" s="80"/>
      <c r="I17" s="81" t="s">
        <v>87</v>
      </c>
      <c r="J17" s="46">
        <f>+'사업장별(당월)'!J17+'[4]사업장별(누계)'!J17</f>
        <v>43</v>
      </c>
      <c r="K17" s="47">
        <f>+'사업장별(당월)'!K17+'[4]사업장별(누계)'!K17</f>
        <v>44.323499999999996</v>
      </c>
      <c r="L17" s="48">
        <f t="shared" si="0"/>
        <v>1.3234999999999957</v>
      </c>
      <c r="M17" s="49">
        <f>+'사업장별(당월)'!M17+'[4]사업장별(누계)'!M17</f>
        <v>63.897499999999994</v>
      </c>
      <c r="N17" s="50">
        <f t="shared" si="1"/>
        <v>-19.573999999999998</v>
      </c>
      <c r="O17" s="46">
        <f>+'사업장별(당월)'!O17+'[4]사업장별(누계)'!O17</f>
        <v>4205.3999999999996</v>
      </c>
      <c r="P17" s="47">
        <f>+'사업장별(당월)'!P17+'[4]사업장별(누계)'!P17</f>
        <v>4483.1214419999997</v>
      </c>
      <c r="Q17" s="48">
        <f t="shared" si="2"/>
        <v>277.72144200000002</v>
      </c>
      <c r="R17" s="49">
        <f>+'사업장별(당월)'!R17+'[4]사업장별(누계)'!R17</f>
        <v>5783.3633499999996</v>
      </c>
      <c r="S17" s="50">
        <f t="shared" si="3"/>
        <v>-1300.241908</v>
      </c>
      <c r="T17" s="46">
        <f>+'사업장별(당월)'!T17+'[4]사업장별(누계)'!T17</f>
        <v>610.41077592178897</v>
      </c>
      <c r="U17" s="47">
        <f>+'사업장별(당월)'!U17+'[4]사업장별(누계)'!U17</f>
        <v>620.05234100000007</v>
      </c>
      <c r="V17" s="48">
        <f t="shared" si="4"/>
        <v>9.6415650782111015</v>
      </c>
      <c r="W17" s="49">
        <f>+'사업장별(당월)'!W17+'[4]사업장별(누계)'!W17</f>
        <v>1017.9512619999999</v>
      </c>
      <c r="X17" s="50">
        <f t="shared" si="5"/>
        <v>-397.89892099999986</v>
      </c>
      <c r="Y17" s="46">
        <f>+[11]대구!$Q$85</f>
        <v>97800</v>
      </c>
      <c r="Z17" s="47">
        <f>+[11]대구!$R$85</f>
        <v>101145.47456766726</v>
      </c>
      <c r="AA17" s="51">
        <f>+[12]대구!$Q$85</f>
        <v>90505.613760137916</v>
      </c>
      <c r="AB17" s="52">
        <f>+[11]대구!$Q$89</f>
        <v>70957.761738727757</v>
      </c>
      <c r="AC17" s="47">
        <f>+[11]대구!$R$89</f>
        <v>75477.477323227198</v>
      </c>
      <c r="AD17" s="53">
        <f>+[12]대구!$Q$89</f>
        <v>66178.645396350301</v>
      </c>
      <c r="AE17" s="52">
        <f t="shared" si="6"/>
        <v>26842.238261272243</v>
      </c>
      <c r="AF17" s="47">
        <f t="shared" si="6"/>
        <v>25667.997244440063</v>
      </c>
      <c r="AG17" s="53">
        <f t="shared" si="6"/>
        <v>24326.968363787615</v>
      </c>
      <c r="AH17" s="18"/>
      <c r="AI17" s="19"/>
      <c r="AJ17" s="97"/>
    </row>
    <row r="18" spans="2:38" s="8" customFormat="1" ht="19.5" customHeight="1" x14ac:dyDescent="0.3">
      <c r="B18" s="8" t="s">
        <v>88</v>
      </c>
      <c r="G18" s="9"/>
      <c r="H18" s="80"/>
      <c r="I18" s="83" t="s">
        <v>88</v>
      </c>
      <c r="J18" s="10">
        <f>+'사업장별(당월)'!J18+'[4]사업장별(누계)'!J18</f>
        <v>16</v>
      </c>
      <c r="K18" s="11">
        <f>+'사업장별(당월)'!K18+'[4]사업장별(누계)'!K18</f>
        <v>17.354500000000002</v>
      </c>
      <c r="L18" s="12">
        <f t="shared" si="0"/>
        <v>1.3545000000000016</v>
      </c>
      <c r="M18" s="13">
        <f>+'사업장별(당월)'!M18+'[4]사업장별(누계)'!M18</f>
        <v>29.939499999999999</v>
      </c>
      <c r="N18" s="14">
        <f t="shared" si="1"/>
        <v>-12.584999999999997</v>
      </c>
      <c r="O18" s="10">
        <f>+'사업장별(당월)'!O18+'[4]사업장별(누계)'!O18</f>
        <v>1565.8749600000001</v>
      </c>
      <c r="P18" s="11">
        <f>+'사업장별(당월)'!P18+'[4]사업장별(누계)'!P18</f>
        <v>1808.5360919999998</v>
      </c>
      <c r="Q18" s="12">
        <f t="shared" si="2"/>
        <v>242.66113199999972</v>
      </c>
      <c r="R18" s="13">
        <f>+'사업장별(당월)'!R18+'[4]사업장별(누계)'!R18</f>
        <v>2821.4144500000002</v>
      </c>
      <c r="S18" s="14">
        <f t="shared" si="3"/>
        <v>-1012.8783580000004</v>
      </c>
      <c r="T18" s="10">
        <f>+'사업장별(당월)'!T18+'[4]사업장별(누계)'!T18</f>
        <v>-117.46497822654854</v>
      </c>
      <c r="U18" s="11">
        <f>+'사업장별(당월)'!U18+'[4]사업장별(누계)'!U18</f>
        <v>-37.876098999999954</v>
      </c>
      <c r="V18" s="12">
        <f t="shared" si="4"/>
        <v>79.588879226548585</v>
      </c>
      <c r="W18" s="13">
        <f>+'사업장별(당월)'!W18+'[4]사업장별(누계)'!W18</f>
        <v>226.12245000000001</v>
      </c>
      <c r="X18" s="14">
        <f t="shared" si="5"/>
        <v>-263.99854899999997</v>
      </c>
      <c r="Y18" s="10">
        <f>+[11]울산!$Q$85</f>
        <v>97867.184999999998</v>
      </c>
      <c r="Z18" s="11">
        <f>+[11]울산!$R$85</f>
        <v>104211.36258607276</v>
      </c>
      <c r="AA18" s="15">
        <f>+[12]울산!$Q$85</f>
        <v>94265.207571339473</v>
      </c>
      <c r="AB18" s="16">
        <f>+[11]울산!$Q$89</f>
        <v>79035.448943942596</v>
      </c>
      <c r="AC18" s="11">
        <f>+[11]울산!$R$89</f>
        <v>84458.858416496514</v>
      </c>
      <c r="AD18" s="17">
        <f>+[12]울산!$Q$89</f>
        <v>73614.915585180686</v>
      </c>
      <c r="AE18" s="16">
        <f t="shared" si="6"/>
        <v>18831.736056057402</v>
      </c>
      <c r="AF18" s="11">
        <f t="shared" si="6"/>
        <v>19752.504169576248</v>
      </c>
      <c r="AG18" s="17">
        <f t="shared" si="6"/>
        <v>20650.291986158787</v>
      </c>
      <c r="AH18" s="18"/>
      <c r="AI18" s="19"/>
      <c r="AJ18" s="97"/>
    </row>
    <row r="19" spans="2:38" s="8" customFormat="1" ht="19.5" customHeight="1" x14ac:dyDescent="0.3">
      <c r="B19" s="8" t="s">
        <v>93</v>
      </c>
      <c r="G19" s="9"/>
      <c r="H19" s="80"/>
      <c r="I19" s="81" t="s">
        <v>31</v>
      </c>
      <c r="J19" s="46">
        <f>+'사업장별(당월)'!J19+'[4]사업장별(누계)'!J19</f>
        <v>54</v>
      </c>
      <c r="K19" s="47">
        <f>+'사업장별(당월)'!K19+'[4]사업장별(누계)'!K19</f>
        <v>68.24199999999999</v>
      </c>
      <c r="L19" s="48">
        <f t="shared" si="0"/>
        <v>14.24199999999999</v>
      </c>
      <c r="M19" s="49">
        <f>+'사업장별(당월)'!M19+'[4]사업장별(누계)'!M19</f>
        <v>78.647999999999996</v>
      </c>
      <c r="N19" s="50">
        <f t="shared" si="1"/>
        <v>-10.406000000000006</v>
      </c>
      <c r="O19" s="46">
        <f>+'사업장별(당월)'!O19+'[4]사업장별(누계)'!O19</f>
        <v>5453.9843000000001</v>
      </c>
      <c r="P19" s="47">
        <f>+'사업장별(당월)'!P19+'[4]사업장별(누계)'!P19</f>
        <v>6832.5552510000007</v>
      </c>
      <c r="Q19" s="48">
        <f t="shared" si="2"/>
        <v>1378.5709510000006</v>
      </c>
      <c r="R19" s="49">
        <f>+'사업장별(당월)'!R19+'[4]사업장별(누계)'!R19</f>
        <v>7318.3110419999994</v>
      </c>
      <c r="S19" s="50">
        <f t="shared" si="3"/>
        <v>-485.75579099999868</v>
      </c>
      <c r="T19" s="46">
        <f>+'사업장별(당월)'!T19+'[4]사업장별(누계)'!T19</f>
        <v>627.50770456767793</v>
      </c>
      <c r="U19" s="47">
        <f>+'사업장별(당월)'!U19+'[4]사업장별(누계)'!U19</f>
        <v>580.27092800000048</v>
      </c>
      <c r="V19" s="48">
        <f t="shared" si="4"/>
        <v>-47.236776567677452</v>
      </c>
      <c r="W19" s="49">
        <f>+'사업장별(당월)'!W19+'[4]사업장별(누계)'!W19</f>
        <v>1140.0005379999993</v>
      </c>
      <c r="X19" s="50">
        <f t="shared" si="5"/>
        <v>-559.72960999999884</v>
      </c>
      <c r="Y19" s="46">
        <f>+[11]아산!$Q$85</f>
        <v>100999.70925925927</v>
      </c>
      <c r="Z19" s="47">
        <f>+[11]아산!$R$85</f>
        <v>100095.71555914532</v>
      </c>
      <c r="AA19" s="51">
        <f>+[12]아산!$Q$85</f>
        <v>93027.513441204515</v>
      </c>
      <c r="AB19" s="52">
        <f>+[11]아산!$Q$89</f>
        <v>77074.600230980315</v>
      </c>
      <c r="AC19" s="47">
        <f>+[11]아산!$R$89</f>
        <v>80525.584536097595</v>
      </c>
      <c r="AD19" s="53">
        <f>+[12]아산!$Q$89</f>
        <v>68198.725943000245</v>
      </c>
      <c r="AE19" s="52">
        <f t="shared" si="6"/>
        <v>23925.109028278952</v>
      </c>
      <c r="AF19" s="47">
        <f t="shared" si="6"/>
        <v>19570.131023047725</v>
      </c>
      <c r="AG19" s="53">
        <f t="shared" si="6"/>
        <v>24828.78749820427</v>
      </c>
      <c r="AH19" s="18"/>
      <c r="AI19" s="19"/>
      <c r="AJ19" s="97"/>
    </row>
    <row r="20" spans="2:38" s="8" customFormat="1" ht="19.5" customHeight="1" x14ac:dyDescent="0.3">
      <c r="B20" s="8" t="s">
        <v>89</v>
      </c>
      <c r="G20" s="9"/>
      <c r="H20" s="80"/>
      <c r="I20" s="81" t="s">
        <v>89</v>
      </c>
      <c r="J20" s="46">
        <f>+'사업장별(당월)'!J20+'[4]사업장별(누계)'!J20</f>
        <v>32</v>
      </c>
      <c r="K20" s="47">
        <f>+'사업장별(당월)'!K20+'[4]사업장별(누계)'!K20</f>
        <v>15.963000000000001</v>
      </c>
      <c r="L20" s="48">
        <f t="shared" si="0"/>
        <v>-16.036999999999999</v>
      </c>
      <c r="M20" s="49">
        <f>+'사업장별(당월)'!M20+'[4]사업장별(누계)'!M20</f>
        <v>28.244500000000002</v>
      </c>
      <c r="N20" s="50">
        <f t="shared" si="1"/>
        <v>-12.281500000000001</v>
      </c>
      <c r="O20" s="46">
        <f>+'사업장별(당월)'!O20+'[4]사업장별(누계)'!O20</f>
        <v>3260.2907970000006</v>
      </c>
      <c r="P20" s="47">
        <f>+'사업장별(당월)'!P20+'[4]사업장별(누계)'!P20</f>
        <v>1542.6619289999999</v>
      </c>
      <c r="Q20" s="48">
        <f t="shared" si="2"/>
        <v>-1717.6288680000007</v>
      </c>
      <c r="R20" s="49">
        <f>+'사업장별(당월)'!R20+'[4]사업장별(누계)'!R20</f>
        <v>2504.7447000000002</v>
      </c>
      <c r="S20" s="50">
        <f t="shared" si="3"/>
        <v>-962.08277100000032</v>
      </c>
      <c r="T20" s="46">
        <f>+'사업장별(당월)'!T20+'[4]사업장별(누계)'!T20</f>
        <v>423.25094730111471</v>
      </c>
      <c r="U20" s="47">
        <f>+'사업장별(당월)'!U20+'[4]사업장별(누계)'!U20</f>
        <v>-46.418492000000043</v>
      </c>
      <c r="V20" s="48">
        <f t="shared" si="4"/>
        <v>-469.66943930111472</v>
      </c>
      <c r="W20" s="49">
        <f>+'사업장별(당월)'!W20+'[4]사업장별(누계)'!W20</f>
        <v>166.62544100000014</v>
      </c>
      <c r="X20" s="50">
        <f t="shared" si="5"/>
        <v>-213.04393300000018</v>
      </c>
      <c r="Y20" s="46">
        <f>+[11]전주!$Q$85</f>
        <v>101884.08740625001</v>
      </c>
      <c r="Z20" s="47">
        <f>+[11]전주!$R$85</f>
        <v>96639.850216124789</v>
      </c>
      <c r="AA20" s="51">
        <f>+[12]전주!$Q$85</f>
        <v>88724.108131660643</v>
      </c>
      <c r="AB20" s="52">
        <f>+[11]전주!$Q$89</f>
        <v>74647.065188253153</v>
      </c>
      <c r="AC20" s="47">
        <f>+[11]전주!$R$89</f>
        <v>72806.241780950586</v>
      </c>
      <c r="AD20" s="53">
        <f>+[12]전주!$Q$89</f>
        <v>66438.649080445175</v>
      </c>
      <c r="AE20" s="52">
        <f t="shared" si="6"/>
        <v>27237.022217996855</v>
      </c>
      <c r="AF20" s="47">
        <f t="shared" si="6"/>
        <v>23833.608435174203</v>
      </c>
      <c r="AG20" s="53">
        <f t="shared" si="6"/>
        <v>22285.459051215468</v>
      </c>
      <c r="AH20" s="18"/>
      <c r="AI20" s="19"/>
      <c r="AJ20" s="97"/>
    </row>
    <row r="21" spans="2:38" s="8" customFormat="1" ht="19.5" customHeight="1" x14ac:dyDescent="0.3">
      <c r="B21" s="8" t="s">
        <v>90</v>
      </c>
      <c r="G21" s="9"/>
      <c r="H21" s="80"/>
      <c r="I21" s="81" t="s">
        <v>90</v>
      </c>
      <c r="J21" s="46">
        <f>+'사업장별(당월)'!J21+'[4]사업장별(누계)'!J21</f>
        <v>15.5</v>
      </c>
      <c r="K21" s="47">
        <f>+'사업장별(당월)'!K21+'[4]사업장별(누계)'!K21</f>
        <v>21.895000000000003</v>
      </c>
      <c r="L21" s="48">
        <f t="shared" si="0"/>
        <v>6.3950000000000031</v>
      </c>
      <c r="M21" s="49">
        <f>+'사업장별(당월)'!M21+'[4]사업장별(누계)'!M21</f>
        <v>22.1205</v>
      </c>
      <c r="N21" s="50">
        <f t="shared" si="1"/>
        <v>-0.2254999999999967</v>
      </c>
      <c r="O21" s="46">
        <f>+'사업장별(당월)'!O21+'[4]사업장별(누계)'!O21</f>
        <v>1690.3323350000001</v>
      </c>
      <c r="P21" s="47">
        <f>+'사업장별(당월)'!P21+'[4]사업장별(누계)'!P21</f>
        <v>2347.45181</v>
      </c>
      <c r="Q21" s="48">
        <f t="shared" si="2"/>
        <v>657.11947499999997</v>
      </c>
      <c r="R21" s="49">
        <f>+'사업장별(당월)'!R21+'[4]사업장별(누계)'!R21</f>
        <v>2061.4803120000001</v>
      </c>
      <c r="S21" s="50">
        <f t="shared" si="3"/>
        <v>285.97149799999988</v>
      </c>
      <c r="T21" s="46">
        <f>+'사업장별(당월)'!T21+'[4]사업장별(누계)'!T21</f>
        <v>355.97933532616707</v>
      </c>
      <c r="U21" s="47">
        <f>+'사업장별(당월)'!U21+'[4]사업장별(누계)'!U21</f>
        <v>575.76975100000016</v>
      </c>
      <c r="V21" s="48">
        <f t="shared" si="4"/>
        <v>219.79041567383308</v>
      </c>
      <c r="W21" s="49">
        <f>+'사업장별(당월)'!W21+'[4]사업장별(누계)'!W21</f>
        <v>420.31722900000005</v>
      </c>
      <c r="X21" s="50">
        <f t="shared" si="5"/>
        <v>155.4525220000001</v>
      </c>
      <c r="Y21" s="46">
        <f>+[11]군산!$Q$85</f>
        <v>109053.69903225808</v>
      </c>
      <c r="Z21" s="47">
        <f>+[11]군산!$R$85</f>
        <v>107228.68046334873</v>
      </c>
      <c r="AA21" s="51">
        <f>+[12]군산!$Q$85</f>
        <v>93143.397286425301</v>
      </c>
      <c r="AB21" s="52">
        <f>+[11]군산!$Q$89</f>
        <v>70074.399839818201</v>
      </c>
      <c r="AC21" s="47">
        <f>+[11]군산!$R$89</f>
        <v>70243.965019916664</v>
      </c>
      <c r="AD21" s="53">
        <f>+[12]군산!$Q$89</f>
        <v>63451.721385576384</v>
      </c>
      <c r="AE21" s="52">
        <f t="shared" si="6"/>
        <v>38979.299192439881</v>
      </c>
      <c r="AF21" s="47">
        <f t="shared" si="6"/>
        <v>36984.715443432069</v>
      </c>
      <c r="AG21" s="53">
        <f t="shared" si="6"/>
        <v>29691.675900848917</v>
      </c>
      <c r="AH21" s="18"/>
      <c r="AI21" s="19"/>
      <c r="AJ21" s="97"/>
    </row>
    <row r="22" spans="2:38" s="8" customFormat="1" ht="19.5" customHeight="1" x14ac:dyDescent="0.3">
      <c r="B22" s="8" t="s">
        <v>91</v>
      </c>
      <c r="G22" s="9"/>
      <c r="H22" s="80"/>
      <c r="I22" s="81" t="s">
        <v>91</v>
      </c>
      <c r="J22" s="46">
        <f>+'사업장별(당월)'!J22+'[4]사업장별(누계)'!J22</f>
        <v>12</v>
      </c>
      <c r="K22" s="47">
        <f>+'사업장별(당월)'!K22+'[4]사업장별(누계)'!K22</f>
        <v>13.148</v>
      </c>
      <c r="L22" s="48">
        <f t="shared" si="0"/>
        <v>1.1479999999999997</v>
      </c>
      <c r="M22" s="49">
        <f>+'사업장별(당월)'!M22+'[4]사업장별(누계)'!M22</f>
        <v>11.7265</v>
      </c>
      <c r="N22" s="50">
        <f t="shared" si="1"/>
        <v>1.4215</v>
      </c>
      <c r="O22" s="46">
        <f>+'사업장별(당월)'!O22+'[4]사업장별(누계)'!O22</f>
        <v>1294.8</v>
      </c>
      <c r="P22" s="47">
        <f>+'사업장별(당월)'!P22+'[4]사업장별(누계)'!P22</f>
        <v>1468.9101999999998</v>
      </c>
      <c r="Q22" s="48">
        <f t="shared" si="2"/>
        <v>174.11019999999985</v>
      </c>
      <c r="R22" s="49">
        <f>+'사업장별(당월)'!R22+'[4]사업장별(누계)'!R22</f>
        <v>1165.2837179999999</v>
      </c>
      <c r="S22" s="50">
        <f t="shared" si="3"/>
        <v>303.6264819999999</v>
      </c>
      <c r="T22" s="46">
        <f>+'사업장별(당월)'!T22+'[4]사업장별(누계)'!T22</f>
        <v>131.69105126166431</v>
      </c>
      <c r="U22" s="47">
        <f>+'사업장별(당월)'!U22+'[4]사업장별(누계)'!U22</f>
        <v>235.63579099999998</v>
      </c>
      <c r="V22" s="48">
        <f t="shared" si="4"/>
        <v>103.94473973833567</v>
      </c>
      <c r="W22" s="49">
        <f>+'사업장별(당월)'!W22+'[4]사업장별(누계)'!W22</f>
        <v>158.28419899999994</v>
      </c>
      <c r="X22" s="50">
        <f t="shared" si="5"/>
        <v>77.351592000000039</v>
      </c>
      <c r="Y22" s="46">
        <f>+[11]원주!$Q$85</f>
        <v>107900</v>
      </c>
      <c r="Z22" s="47">
        <f>+[11]원주!$R$85</f>
        <v>111742.69919939002</v>
      </c>
      <c r="AA22" s="51">
        <f>+[12]원주!$Q$85</f>
        <v>99335.383647256589</v>
      </c>
      <c r="AB22" s="52">
        <f>+[11]원주!$Q$89</f>
        <v>75324.1223262407</v>
      </c>
      <c r="AC22" s="47">
        <f>+[11]원주!$R$89</f>
        <v>74187.436599313776</v>
      </c>
      <c r="AD22" s="53">
        <f>+[12]원주!$Q$89</f>
        <v>65415.66949554129</v>
      </c>
      <c r="AE22" s="52">
        <f t="shared" si="6"/>
        <v>32575.8776737593</v>
      </c>
      <c r="AF22" s="47">
        <f t="shared" si="6"/>
        <v>37555.262600076239</v>
      </c>
      <c r="AG22" s="53">
        <f t="shared" si="6"/>
        <v>33919.7141517153</v>
      </c>
      <c r="AH22" s="18"/>
      <c r="AI22" s="19"/>
      <c r="AJ22" s="97"/>
    </row>
    <row r="23" spans="2:38" s="8" customFormat="1" ht="19.5" customHeight="1" x14ac:dyDescent="0.3">
      <c r="B23" s="8" t="s">
        <v>92</v>
      </c>
      <c r="H23" s="80"/>
      <c r="I23" s="81" t="s">
        <v>92</v>
      </c>
      <c r="J23" s="46">
        <f>+'사업장별(당월)'!J23+'[4]사업장별(누계)'!J23</f>
        <v>12</v>
      </c>
      <c r="K23" s="47">
        <f>+'사업장별(당월)'!K23+'[4]사업장별(누계)'!K23</f>
        <v>9.5079999999999991</v>
      </c>
      <c r="L23" s="48">
        <f t="shared" si="0"/>
        <v>-2.4920000000000009</v>
      </c>
      <c r="M23" s="49">
        <f>+'사업장별(당월)'!M23+'[4]사업장별(누계)'!M23</f>
        <v>21.753</v>
      </c>
      <c r="N23" s="50">
        <f t="shared" si="1"/>
        <v>-12.245000000000001</v>
      </c>
      <c r="O23" s="46">
        <f>+'사업장별(당월)'!O23+'[4]사업장별(누계)'!O23</f>
        <v>1520.4</v>
      </c>
      <c r="P23" s="47">
        <f>+'사업장별(당월)'!P23+'[4]사업장별(누계)'!P23</f>
        <v>1227.164225</v>
      </c>
      <c r="Q23" s="48">
        <f t="shared" si="2"/>
        <v>-293.2357750000001</v>
      </c>
      <c r="R23" s="49">
        <f>+'사업장별(당월)'!R23+'[4]사업장별(누계)'!R23</f>
        <v>2572.0425310000001</v>
      </c>
      <c r="S23" s="50">
        <f t="shared" si="3"/>
        <v>-1344.8783060000001</v>
      </c>
      <c r="T23" s="46">
        <f>+'사업장별(당월)'!T23+'[4]사업장별(누계)'!T23</f>
        <v>141.60325848881644</v>
      </c>
      <c r="U23" s="47">
        <f>+'사업장별(당월)'!U23+'[4]사업장별(누계)'!U23</f>
        <v>123.48812299999999</v>
      </c>
      <c r="V23" s="48">
        <f t="shared" si="4"/>
        <v>-18.115135488816449</v>
      </c>
      <c r="W23" s="49">
        <f>+'사업장별(당월)'!W23+'[4]사업장별(누계)'!W23</f>
        <v>599.32747800000016</v>
      </c>
      <c r="X23" s="50">
        <f t="shared" si="5"/>
        <v>-475.83935500000018</v>
      </c>
      <c r="Y23" s="46">
        <f>+[11]제주!$Q$85</f>
        <v>126700</v>
      </c>
      <c r="Z23" s="47">
        <f>+[11]제주!$R$85</f>
        <v>129066.49400504839</v>
      </c>
      <c r="AA23" s="51">
        <f>+[12]제주!$Q$85</f>
        <v>118252.77132381765</v>
      </c>
      <c r="AB23" s="52">
        <f>+[11]제주!$Q$89</f>
        <v>89935.469322780293</v>
      </c>
      <c r="AC23" s="47">
        <f>+[11]제주!$R$89</f>
        <v>89281.987701040693</v>
      </c>
      <c r="AD23" s="53">
        <f>+[12]제주!$Q$89</f>
        <v>79676.725415600275</v>
      </c>
      <c r="AE23" s="52">
        <f t="shared" si="6"/>
        <v>36764.530677219707</v>
      </c>
      <c r="AF23" s="47">
        <f t="shared" si="6"/>
        <v>39784.506304007693</v>
      </c>
      <c r="AG23" s="53">
        <f t="shared" si="6"/>
        <v>38576.045908217377</v>
      </c>
      <c r="AH23" s="18"/>
      <c r="AI23" s="19"/>
      <c r="AJ23" s="97"/>
    </row>
    <row r="24" spans="2:38" s="8" customFormat="1" ht="19.5" customHeight="1" x14ac:dyDescent="0.3">
      <c r="G24" s="96"/>
      <c r="H24" s="80"/>
      <c r="I24" s="84" t="s">
        <v>55</v>
      </c>
      <c r="J24" s="23">
        <f>SUM(J7:J10)</f>
        <v>292.5</v>
      </c>
      <c r="K24" s="20">
        <f>SUM(K7:K10)</f>
        <v>297.87</v>
      </c>
      <c r="L24" s="21">
        <f t="shared" si="0"/>
        <v>5.3700000000000045</v>
      </c>
      <c r="M24" s="25">
        <f>SUM(M7:M10)</f>
        <v>350.86350000000004</v>
      </c>
      <c r="N24" s="22">
        <f t="shared" si="1"/>
        <v>-52.99350000000004</v>
      </c>
      <c r="O24" s="23">
        <f>SUM(O7:O10)</f>
        <v>28549.279333344675</v>
      </c>
      <c r="P24" s="20">
        <f>SUM(P7:P10)</f>
        <v>29693.351500999997</v>
      </c>
      <c r="Q24" s="21">
        <f t="shared" si="2"/>
        <v>1144.0721676553221</v>
      </c>
      <c r="R24" s="25">
        <f>SUM(R7:R10)</f>
        <v>31444.752885999998</v>
      </c>
      <c r="S24" s="22">
        <f t="shared" si="3"/>
        <v>-1751.401385000001</v>
      </c>
      <c r="T24" s="23">
        <f>SUM(T7:T10)</f>
        <v>2397.0278165514674</v>
      </c>
      <c r="U24" s="20">
        <f>SUM(U7:U10)</f>
        <v>2298.0402000000008</v>
      </c>
      <c r="V24" s="21">
        <f t="shared" si="4"/>
        <v>-98.987616551466544</v>
      </c>
      <c r="W24" s="25">
        <f>SUM(W7:W10)</f>
        <v>2928.9028130000006</v>
      </c>
      <c r="X24" s="22">
        <f t="shared" si="5"/>
        <v>-630.86261299999978</v>
      </c>
      <c r="Y24" s="23">
        <f>+[11]수도권!$Q$85</f>
        <v>97604.373789212565</v>
      </c>
      <c r="Z24" s="20">
        <f>+[11]수도권!$R$85</f>
        <v>99686.691450425758</v>
      </c>
      <c r="AA24" s="24">
        <f>+[12]수도권!$Q$85</f>
        <v>89606.012443705156</v>
      </c>
      <c r="AB24" s="29">
        <f>+[11]수도권!$Q$89</f>
        <v>79105.875956206917</v>
      </c>
      <c r="AC24" s="20">
        <f>+[11]수도권!$R$89</f>
        <v>82036.997371495323</v>
      </c>
      <c r="AD24" s="30">
        <f>+[12]수도권!$Q$89</f>
        <v>72993.235739309792</v>
      </c>
      <c r="AE24" s="29">
        <f t="shared" si="6"/>
        <v>18498.497833005647</v>
      </c>
      <c r="AF24" s="20">
        <f t="shared" si="6"/>
        <v>17649.694078930435</v>
      </c>
      <c r="AG24" s="30">
        <f t="shared" si="6"/>
        <v>16612.776704395365</v>
      </c>
      <c r="AH24" s="18"/>
      <c r="AI24" s="19"/>
      <c r="AJ24" s="97"/>
    </row>
    <row r="25" spans="2:38" s="8" customFormat="1" ht="19.5" customHeight="1" x14ac:dyDescent="0.3">
      <c r="H25" s="80"/>
      <c r="I25" s="84" t="s">
        <v>56</v>
      </c>
      <c r="J25" s="23">
        <f>SUM(J11:J18)</f>
        <v>338</v>
      </c>
      <c r="K25" s="20">
        <f>SUM(K11:K18)</f>
        <v>368.30250000000001</v>
      </c>
      <c r="L25" s="21">
        <f t="shared" si="0"/>
        <v>30.302500000000009</v>
      </c>
      <c r="M25" s="25">
        <f>SUM(M11:M18)</f>
        <v>443.517</v>
      </c>
      <c r="N25" s="22">
        <f t="shared" si="1"/>
        <v>-75.214499999999987</v>
      </c>
      <c r="O25" s="23">
        <f>SUM(O11:O18)</f>
        <v>34414.273349250005</v>
      </c>
      <c r="P25" s="20">
        <f>SUM(P11:P18)</f>
        <v>37490.345521999996</v>
      </c>
      <c r="Q25" s="21">
        <f t="shared" si="2"/>
        <v>3076.0721727499913</v>
      </c>
      <c r="R25" s="25">
        <f>SUM(R11:R18)</f>
        <v>42438.901352000001</v>
      </c>
      <c r="S25" s="22">
        <f t="shared" si="3"/>
        <v>-4948.5558300000048</v>
      </c>
      <c r="T25" s="23">
        <f>SUM(T11:T18)</f>
        <v>4298.0448622221838</v>
      </c>
      <c r="U25" s="20">
        <f>SUM(U11:U18)</f>
        <v>3946.6012659999988</v>
      </c>
      <c r="V25" s="21">
        <f t="shared" si="4"/>
        <v>-351.44359622218508</v>
      </c>
      <c r="W25" s="25">
        <f>SUM(W11:W18)</f>
        <v>7052.6123529999986</v>
      </c>
      <c r="X25" s="22">
        <f t="shared" si="5"/>
        <v>-3106.0110869999999</v>
      </c>
      <c r="Y25" s="23">
        <f>+[11]영남권!$Q$85</f>
        <v>101817.37677292901</v>
      </c>
      <c r="Z25" s="20">
        <f>+[11]영남권!$R$85</f>
        <v>101808.70144556332</v>
      </c>
      <c r="AA25" s="24">
        <f>+[12]영남권!$Q$85</f>
        <v>95691.949810287595</v>
      </c>
      <c r="AB25" s="29">
        <f>+[11]영남권!$Q$89</f>
        <v>75812.31419851337</v>
      </c>
      <c r="AC25" s="20">
        <f>+[11]영남권!$R$89</f>
        <v>79506.664543717605</v>
      </c>
      <c r="AD25" s="30">
        <f>+[12]영남권!$Q$89</f>
        <v>70361.274696748005</v>
      </c>
      <c r="AE25" s="29">
        <f t="shared" si="6"/>
        <v>26005.062574415642</v>
      </c>
      <c r="AF25" s="20">
        <f t="shared" si="6"/>
        <v>22302.036901845713</v>
      </c>
      <c r="AG25" s="30">
        <f t="shared" si="6"/>
        <v>25330.67511353959</v>
      </c>
      <c r="AH25" s="18"/>
      <c r="AI25" s="19"/>
      <c r="AJ25" s="97"/>
    </row>
    <row r="26" spans="2:38" s="8" customFormat="1" ht="19.5" customHeight="1" x14ac:dyDescent="0.3">
      <c r="H26" s="80"/>
      <c r="I26" s="84" t="s">
        <v>170</v>
      </c>
      <c r="J26" s="23">
        <f>SUM(J19:J23)</f>
        <v>125.5</v>
      </c>
      <c r="K26" s="20">
        <f>SUM(K19:K23)</f>
        <v>128.756</v>
      </c>
      <c r="L26" s="21">
        <f t="shared" si="0"/>
        <v>3.2560000000000002</v>
      </c>
      <c r="M26" s="25">
        <f>SUM(M19:M23)</f>
        <v>162.49250000000001</v>
      </c>
      <c r="N26" s="22">
        <f t="shared" si="1"/>
        <v>-33.736500000000007</v>
      </c>
      <c r="O26" s="23">
        <f>SUM(O19:O23)</f>
        <v>13219.807432</v>
      </c>
      <c r="P26" s="20">
        <f>SUM(P19:P23)</f>
        <v>13418.743415000001</v>
      </c>
      <c r="Q26" s="21">
        <f t="shared" si="2"/>
        <v>198.93598300000122</v>
      </c>
      <c r="R26" s="25">
        <f>SUM(R19:R23)</f>
        <v>15621.862303000002</v>
      </c>
      <c r="S26" s="22">
        <f t="shared" si="3"/>
        <v>-2203.1188880000009</v>
      </c>
      <c r="T26" s="23">
        <f>SUM(T19:T23)</f>
        <v>1680.0322969454405</v>
      </c>
      <c r="U26" s="20">
        <f>SUM(U19:U23)</f>
        <v>1468.7461010000006</v>
      </c>
      <c r="V26" s="21">
        <f t="shared" si="4"/>
        <v>-211.28619594543989</v>
      </c>
      <c r="W26" s="25">
        <f>SUM(W19:W23)</f>
        <v>2484.5548849999996</v>
      </c>
      <c r="X26" s="22">
        <f t="shared" si="5"/>
        <v>-1015.8087839999989</v>
      </c>
      <c r="Y26" s="23">
        <f>+[11]중부권!$Q$85</f>
        <v>105337.11101195219</v>
      </c>
      <c r="Z26" s="20">
        <f>+[11]중부권!$R$85</f>
        <v>104210.41545416348</v>
      </c>
      <c r="AA26" s="24">
        <f>+[12]중부권!$Q$85</f>
        <v>96320.770500476836</v>
      </c>
      <c r="AB26" s="29">
        <f>+[11]중부권!$Q$89</f>
        <v>76653.408731493793</v>
      </c>
      <c r="AC26" s="20">
        <f>+[11]중부권!$R$89</f>
        <v>77821.036065191176</v>
      </c>
      <c r="AD26" s="30">
        <f>+[12]중부권!$Q$89</f>
        <v>68614.316882828512</v>
      </c>
      <c r="AE26" s="29">
        <f t="shared" si="6"/>
        <v>28683.702280458398</v>
      </c>
      <c r="AF26" s="20">
        <f t="shared" si="6"/>
        <v>26389.379388972302</v>
      </c>
      <c r="AG26" s="30">
        <f t="shared" si="6"/>
        <v>27706.453617648323</v>
      </c>
      <c r="AH26" s="18"/>
      <c r="AI26" s="19"/>
      <c r="AJ26" s="97"/>
    </row>
    <row r="27" spans="2:38" s="3" customFormat="1" ht="19.5" customHeight="1" x14ac:dyDescent="0.3">
      <c r="B27" s="26"/>
      <c r="G27" s="9"/>
      <c r="H27" s="630" t="s">
        <v>115</v>
      </c>
      <c r="I27" s="631"/>
      <c r="J27" s="632">
        <f>SUM(J24:J26)</f>
        <v>756</v>
      </c>
      <c r="K27" s="633">
        <f>SUM(K24:K26)</f>
        <v>794.92849999999999</v>
      </c>
      <c r="L27" s="634">
        <f t="shared" si="0"/>
        <v>38.928499999999985</v>
      </c>
      <c r="M27" s="635">
        <f>SUM(M24:M26)</f>
        <v>956.87300000000005</v>
      </c>
      <c r="N27" s="636">
        <f t="shared" si="1"/>
        <v>-161.94450000000006</v>
      </c>
      <c r="O27" s="632">
        <f>SUM(O24:O26)</f>
        <v>76183.360114594674</v>
      </c>
      <c r="P27" s="633">
        <f>SUM(P24:P26)</f>
        <v>80602.440437999991</v>
      </c>
      <c r="Q27" s="634">
        <f t="shared" si="2"/>
        <v>4419.0803234053164</v>
      </c>
      <c r="R27" s="635">
        <f>SUM(R24:R26)</f>
        <v>89505.516541000005</v>
      </c>
      <c r="S27" s="636">
        <f t="shared" si="3"/>
        <v>-8903.076103000014</v>
      </c>
      <c r="T27" s="632">
        <f>SUM(T24:T26)</f>
        <v>8375.1049757190922</v>
      </c>
      <c r="U27" s="633">
        <f>SUM(U24:U26)</f>
        <v>7713.3875669999998</v>
      </c>
      <c r="V27" s="634">
        <f t="shared" si="4"/>
        <v>-661.71740871909242</v>
      </c>
      <c r="W27" s="635">
        <f>SUM(W24:W26)</f>
        <v>12466.070050999999</v>
      </c>
      <c r="X27" s="636">
        <f t="shared" si="5"/>
        <v>-4752.682483999999</v>
      </c>
      <c r="Y27" s="632">
        <f>+[11]합계!$Q$85</f>
        <v>100771.64036322049</v>
      </c>
      <c r="Z27" s="633">
        <f>+[11]합계!$R$85</f>
        <v>101401.5891054043</v>
      </c>
      <c r="AA27" s="637">
        <f>+[12]합계!$Q$85</f>
        <v>93557.887843168472</v>
      </c>
      <c r="AB27" s="638">
        <f>+[11]합계!$Q$89</f>
        <v>77226.235068902824</v>
      </c>
      <c r="AC27" s="633">
        <f>+[11]합계!$R$89</f>
        <v>80182.545971308718</v>
      </c>
      <c r="AD27" s="639">
        <f>+[12]합계!$Q$89</f>
        <v>71043.329409640806</v>
      </c>
      <c r="AE27" s="638">
        <f t="shared" si="6"/>
        <v>23545.405294317665</v>
      </c>
      <c r="AF27" s="633">
        <f t="shared" si="6"/>
        <v>21219.043134095584</v>
      </c>
      <c r="AG27" s="639">
        <f t="shared" si="6"/>
        <v>22514.558433527665</v>
      </c>
      <c r="AH27" s="27"/>
      <c r="AI27" s="28"/>
      <c r="AJ27" s="97"/>
      <c r="AL27" s="26"/>
    </row>
    <row r="28" spans="2:38" s="8" customFormat="1" ht="19.5" customHeight="1" x14ac:dyDescent="0.3">
      <c r="B28" s="8" t="s">
        <v>3</v>
      </c>
      <c r="E28" s="8" t="s">
        <v>203</v>
      </c>
      <c r="H28" s="820" t="s">
        <v>3</v>
      </c>
      <c r="I28" s="821"/>
      <c r="J28" s="168">
        <f>+'사업장별(당월)'!J28+'[4]사업장별(누계)'!J28</f>
        <v>20600</v>
      </c>
      <c r="K28" s="169">
        <f>+'사업장별(당월)'!K28+'[4]사업장별(누계)'!K28</f>
        <v>21735.562999999998</v>
      </c>
      <c r="L28" s="170">
        <f>+K28-J28</f>
        <v>1135.5629999999983</v>
      </c>
      <c r="M28" s="171">
        <f>+'사업장별(당월)'!M28+'[4]사업장별(누계)'!M28</f>
        <v>25167.705000000002</v>
      </c>
      <c r="N28" s="172">
        <f>+K28-M28</f>
        <v>-3432.1420000000035</v>
      </c>
      <c r="O28" s="168">
        <f>+'사업장별(당월)'!O28+'[4]사업장별(누계)'!O28</f>
        <v>25207.456842105268</v>
      </c>
      <c r="P28" s="169">
        <f>+'사업장별(당월)'!P28+'[4]사업장별(누계)'!P28</f>
        <v>22933.532928000001</v>
      </c>
      <c r="Q28" s="170">
        <f>+P28-O28</f>
        <v>-2273.9239141052676</v>
      </c>
      <c r="R28" s="171">
        <f>+'사업장별(당월)'!R28+'[4]사업장별(누계)'!R28</f>
        <v>29963.074561000001</v>
      </c>
      <c r="S28" s="172">
        <f t="shared" si="3"/>
        <v>-7029.5416330000007</v>
      </c>
      <c r="T28" s="168">
        <f>+'사업장별(당월)'!T28+'[4]사업장별(누계)'!T28</f>
        <v>260.33959896842555</v>
      </c>
      <c r="U28" s="169">
        <f>+'사업장별(당월)'!U28+'[4]사업장별(누계)'!U28</f>
        <v>148.767236</v>
      </c>
      <c r="V28" s="170">
        <f t="shared" si="4"/>
        <v>-111.57236296842555</v>
      </c>
      <c r="W28" s="171">
        <f>+'사업장별(당월)'!W28+'[4]사업장별(누계)'!W28</f>
        <v>206.20407400000079</v>
      </c>
      <c r="X28" s="172">
        <f t="shared" si="5"/>
        <v>-57.43683800000079</v>
      </c>
      <c r="Y28" s="650" t="s">
        <v>174</v>
      </c>
      <c r="Z28" s="651"/>
      <c r="AA28" s="651"/>
      <c r="AB28" s="651"/>
      <c r="AC28" s="651"/>
      <c r="AD28" s="651"/>
      <c r="AE28" s="651"/>
      <c r="AF28" s="651"/>
      <c r="AG28" s="652"/>
      <c r="AH28" s="18"/>
      <c r="AI28" s="19"/>
    </row>
    <row r="29" spans="2:38" s="8" customFormat="1" ht="19.5" customHeight="1" x14ac:dyDescent="0.3">
      <c r="B29" s="8" t="s">
        <v>195</v>
      </c>
      <c r="H29" s="86" t="s">
        <v>1</v>
      </c>
      <c r="I29" s="79" t="s">
        <v>231</v>
      </c>
      <c r="J29" s="56">
        <f>+'사업장별(당월)'!J29+'[4]사업장별(누계)'!J29</f>
        <v>57.531465914483107</v>
      </c>
      <c r="K29" s="57">
        <f>+'사업장별(당월)'!K29+'[4]사업장별(누계)'!K29</f>
        <v>66.105999999999995</v>
      </c>
      <c r="L29" s="38">
        <f t="shared" si="0"/>
        <v>8.5745340855168877</v>
      </c>
      <c r="M29" s="38">
        <f>+'사업장별(당월)'!M29+'[4]사업장별(누계)'!M29</f>
        <v>73.989000000000004</v>
      </c>
      <c r="N29" s="58">
        <f t="shared" si="1"/>
        <v>-7.8830000000000098</v>
      </c>
      <c r="O29" s="56">
        <f>+'사업장별(당월)'!O29+'[4]사업장별(누계)'!O29</f>
        <v>1777.6373128362702</v>
      </c>
      <c r="P29" s="57">
        <f>+'사업장별(당월)'!P29+'[4]사업장별(누계)'!P29</f>
        <v>1982.7676719999999</v>
      </c>
      <c r="Q29" s="38">
        <f t="shared" si="2"/>
        <v>205.13035916372974</v>
      </c>
      <c r="R29" s="38">
        <f>+'사업장별(당월)'!R29+'[4]사업장별(누계)'!R29</f>
        <v>2200.9593</v>
      </c>
      <c r="S29" s="58">
        <f t="shared" si="3"/>
        <v>-218.19162800000004</v>
      </c>
      <c r="T29" s="56">
        <f>+'사업장별(당월)'!T29+'[4]사업장별(누계)'!T29</f>
        <v>74.963484373677019</v>
      </c>
      <c r="U29" s="57">
        <f>+'사업장별(당월)'!U29+'[4]사업장별(누계)'!U29</f>
        <v>153.75249523583781</v>
      </c>
      <c r="V29" s="38">
        <f t="shared" si="4"/>
        <v>78.789010862160794</v>
      </c>
      <c r="W29" s="38">
        <f>+'사업장별(당월)'!W29+'[4]사업장별(누계)'!W29</f>
        <v>100.01811500999985</v>
      </c>
      <c r="X29" s="58">
        <f t="shared" si="5"/>
        <v>53.734380225837967</v>
      </c>
      <c r="Y29" s="587" t="s">
        <v>229</v>
      </c>
      <c r="Z29" s="588"/>
      <c r="AA29" s="588"/>
      <c r="AB29" s="588"/>
      <c r="AC29" s="588"/>
      <c r="AD29" s="588"/>
      <c r="AE29" s="588"/>
      <c r="AF29" s="588"/>
      <c r="AG29" s="51"/>
      <c r="AH29" s="18"/>
      <c r="AI29" s="19"/>
    </row>
    <row r="30" spans="2:38" s="8" customFormat="1" ht="19.5" customHeight="1" x14ac:dyDescent="0.3">
      <c r="B30" s="8" t="s">
        <v>196</v>
      </c>
      <c r="H30" s="85"/>
      <c r="I30" s="81" t="s">
        <v>232</v>
      </c>
      <c r="J30" s="54">
        <f>+'사업장별(당월)'!J30+'[4]사업장별(누계)'!J30</f>
        <v>23.509599999999999</v>
      </c>
      <c r="K30" s="59">
        <f>+'사업장별(당월)'!K30+'[4]사업장별(누계)'!K30</f>
        <v>72.474000000000004</v>
      </c>
      <c r="L30" s="48">
        <f t="shared" si="0"/>
        <v>48.964400000000005</v>
      </c>
      <c r="M30" s="48">
        <f>+'사업장별(당월)'!M30+'[4]사업장별(누계)'!M30</f>
        <v>113.10400000000001</v>
      </c>
      <c r="N30" s="60">
        <f t="shared" si="1"/>
        <v>-40.63000000000001</v>
      </c>
      <c r="O30" s="54">
        <f>+'사업장별(당월)'!O30+'[4]사업장별(누계)'!O30</f>
        <v>366.51980000000003</v>
      </c>
      <c r="P30" s="59">
        <f>+'사업장별(당월)'!P30+'[4]사업장별(누계)'!P30</f>
        <v>1002.114</v>
      </c>
      <c r="Q30" s="48">
        <f t="shared" si="2"/>
        <v>635.5942</v>
      </c>
      <c r="R30" s="48">
        <f>+'사업장별(당월)'!R30+'[4]사업장별(누계)'!R30</f>
        <v>1326.672</v>
      </c>
      <c r="S30" s="60">
        <f t="shared" si="3"/>
        <v>-324.55799999999999</v>
      </c>
      <c r="T30" s="54">
        <f>+'사업장별(당월)'!T30+'[4]사업장별(누계)'!T30</f>
        <v>51.511146528417427</v>
      </c>
      <c r="U30" s="59">
        <f>+'사업장별(당월)'!U30+'[4]사업장별(누계)'!U30</f>
        <v>137.00128375577637</v>
      </c>
      <c r="V30" s="48">
        <f t="shared" si="4"/>
        <v>85.490137227358943</v>
      </c>
      <c r="W30" s="48">
        <f>+'사업장별(당월)'!W30+'[4]사업장별(누계)'!W30</f>
        <v>245.88794400000006</v>
      </c>
      <c r="X30" s="60">
        <f t="shared" si="5"/>
        <v>-108.88666024422369</v>
      </c>
      <c r="Y30" s="629" t="s">
        <v>230</v>
      </c>
      <c r="Z30" s="588"/>
      <c r="AA30" s="588"/>
      <c r="AB30" s="588"/>
      <c r="AC30" s="588"/>
      <c r="AD30" s="588"/>
      <c r="AE30" s="588"/>
      <c r="AF30" s="588"/>
      <c r="AG30" s="51"/>
      <c r="AH30" s="18"/>
      <c r="AI30" s="19"/>
      <c r="AJ30" s="99"/>
      <c r="AK30" s="99"/>
      <c r="AL30" s="99"/>
    </row>
    <row r="31" spans="2:38" s="8" customFormat="1" ht="19.5" customHeight="1" x14ac:dyDescent="0.3">
      <c r="B31" s="8" t="s">
        <v>176</v>
      </c>
      <c r="H31" s="85"/>
      <c r="I31" s="83" t="s">
        <v>233</v>
      </c>
      <c r="J31" s="54">
        <f>+'사업장별(당월)'!J31+'[4]사업장별(누계)'!J31</f>
        <v>119.09701118696171</v>
      </c>
      <c r="K31" s="59">
        <f>+'사업장별(당월)'!K31+'[4]사업장별(누계)'!K31</f>
        <v>96.137</v>
      </c>
      <c r="L31" s="48">
        <f t="shared" si="0"/>
        <v>-22.960011186961708</v>
      </c>
      <c r="M31" s="48">
        <f>+'사업장별(당월)'!M31+'[4]사업장별(누계)'!M31</f>
        <v>0</v>
      </c>
      <c r="N31" s="60">
        <f t="shared" si="1"/>
        <v>96.137</v>
      </c>
      <c r="O31" s="54">
        <f>+'사업장별(당월)'!O31+'[4]사업장별(누계)'!O31</f>
        <v>2130.3396909947392</v>
      </c>
      <c r="P31" s="59">
        <f>+'사업장별(당월)'!P31+'[4]사업장별(누계)'!P31</f>
        <v>1796.7275</v>
      </c>
      <c r="Q31" s="48">
        <f t="shared" si="2"/>
        <v>-333.61219099473919</v>
      </c>
      <c r="R31" s="48">
        <f>+'사업장별(당월)'!R31+'[4]사업장별(누계)'!R31</f>
        <v>0</v>
      </c>
      <c r="S31" s="60">
        <f t="shared" si="3"/>
        <v>1796.7275</v>
      </c>
      <c r="T31" s="54">
        <f>+'사업장별(당월)'!T31+'[4]사업장별(누계)'!T31</f>
        <v>-22.488730897436845</v>
      </c>
      <c r="U31" s="59">
        <f>+'사업장별(당월)'!U31+'[4]사업장별(누계)'!U31</f>
        <v>128.36691387000013</v>
      </c>
      <c r="V31" s="48">
        <f t="shared" si="4"/>
        <v>150.85564476743698</v>
      </c>
      <c r="W31" s="48">
        <f>+'사업장별(당월)'!W31+'[4]사업장별(누계)'!W31</f>
        <v>-30.423658</v>
      </c>
      <c r="X31" s="60">
        <f t="shared" si="5"/>
        <v>158.79057187000012</v>
      </c>
      <c r="Y31" s="629"/>
      <c r="Z31" s="588"/>
      <c r="AA31" s="588"/>
      <c r="AB31" s="588"/>
      <c r="AC31" s="588"/>
      <c r="AD31" s="588"/>
      <c r="AE31" s="588"/>
      <c r="AF31" s="588"/>
      <c r="AG31" s="51"/>
      <c r="AH31" s="18"/>
      <c r="AI31" s="19"/>
      <c r="AJ31" s="99"/>
      <c r="AK31" s="99"/>
      <c r="AL31" s="99"/>
    </row>
    <row r="32" spans="2:38" s="3" customFormat="1" ht="19.5" customHeight="1" x14ac:dyDescent="0.3">
      <c r="H32" s="147" t="s">
        <v>42</v>
      </c>
      <c r="I32" s="148"/>
      <c r="J32" s="149">
        <f>SUM(J29:J31)</f>
        <v>200.13807710144482</v>
      </c>
      <c r="K32" s="153">
        <f>SUM(K29:K31)</f>
        <v>234.71699999999998</v>
      </c>
      <c r="L32" s="151">
        <f t="shared" si="0"/>
        <v>34.578922898555163</v>
      </c>
      <c r="M32" s="151">
        <f>SUM(M29:M31)</f>
        <v>187.09300000000002</v>
      </c>
      <c r="N32" s="152">
        <f t="shared" si="1"/>
        <v>47.623999999999967</v>
      </c>
      <c r="O32" s="149">
        <f>SUM(O29:O31)</f>
        <v>4274.4968038310089</v>
      </c>
      <c r="P32" s="153">
        <f>SUM(P29:P31)</f>
        <v>4781.6091720000004</v>
      </c>
      <c r="Q32" s="151">
        <f t="shared" si="2"/>
        <v>507.11236816899145</v>
      </c>
      <c r="R32" s="151">
        <f>SUM(R29:R31)</f>
        <v>3527.6313</v>
      </c>
      <c r="S32" s="152">
        <f t="shared" si="3"/>
        <v>1253.9778720000004</v>
      </c>
      <c r="T32" s="149">
        <f>SUM(T29:T31)</f>
        <v>103.98590000465759</v>
      </c>
      <c r="U32" s="153">
        <f>SUM(U29:U31)</f>
        <v>419.12069286161432</v>
      </c>
      <c r="V32" s="151">
        <f t="shared" si="4"/>
        <v>315.13479285695672</v>
      </c>
      <c r="W32" s="151">
        <f>SUM(W29:W31)</f>
        <v>315.48240100999993</v>
      </c>
      <c r="X32" s="152">
        <f t="shared" si="5"/>
        <v>103.63829185161438</v>
      </c>
      <c r="Y32" s="629"/>
      <c r="Z32" s="588"/>
      <c r="AA32" s="588"/>
      <c r="AB32" s="588"/>
      <c r="AC32" s="588"/>
      <c r="AD32" s="588"/>
      <c r="AE32" s="588"/>
      <c r="AF32" s="588"/>
      <c r="AG32" s="51"/>
      <c r="AH32" s="27"/>
      <c r="AI32" s="28"/>
    </row>
    <row r="33" spans="2:38" s="8" customFormat="1" ht="19.5" customHeight="1" x14ac:dyDescent="0.3">
      <c r="B33" s="8" t="s">
        <v>199</v>
      </c>
      <c r="C33" s="8" t="s">
        <v>198</v>
      </c>
      <c r="D33" t="s">
        <v>197</v>
      </c>
      <c r="E33" t="s">
        <v>100</v>
      </c>
      <c r="F33"/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+'사업장별(당월)'!O33+'[4]사업장별(누계)'!O33</f>
        <v>272.52</v>
      </c>
      <c r="P33" s="47">
        <f>+'사업장별(당월)'!P33+'[4]사업장별(누계)'!P33</f>
        <v>272.52</v>
      </c>
      <c r="Q33" s="49">
        <f t="shared" si="2"/>
        <v>0</v>
      </c>
      <c r="R33" s="48">
        <f>+'사업장별(당월)'!R33+'[4]사업장별(누계)'!R33</f>
        <v>235.02</v>
      </c>
      <c r="S33" s="60">
        <f t="shared" si="3"/>
        <v>37.499999999999972</v>
      </c>
      <c r="T33" s="46">
        <f>+'사업장별(당월)'!T33+'[4]사업장별(누계)'!T33</f>
        <v>219.78132499999998</v>
      </c>
      <c r="U33" s="47">
        <f>+'사업장별(당월)'!U33+'[4]사업장별(누계)'!U33</f>
        <v>218.88359</v>
      </c>
      <c r="V33" s="49">
        <f t="shared" si="4"/>
        <v>-0.89773499999998307</v>
      </c>
      <c r="W33" s="48">
        <f>+'사업장별(당월)'!W33+'[4]사업장별(누계)'!W33</f>
        <v>188.95603499999999</v>
      </c>
      <c r="X33" s="60">
        <f t="shared" si="5"/>
        <v>29.927555000000012</v>
      </c>
      <c r="Y33" s="629"/>
      <c r="Z33" s="588"/>
      <c r="AA33" s="588"/>
      <c r="AB33" s="588"/>
      <c r="AC33" s="588"/>
      <c r="AD33" s="588"/>
      <c r="AE33" s="588"/>
      <c r="AF33" s="588"/>
      <c r="AG33" s="51"/>
      <c r="AH33" s="18"/>
      <c r="AI33" s="19"/>
    </row>
    <row r="34" spans="2:38" s="8" customFormat="1" ht="19.5" customHeight="1" x14ac:dyDescent="0.3">
      <c r="B34" s="8" t="s">
        <v>200</v>
      </c>
      <c r="C34" s="8" t="s">
        <v>201</v>
      </c>
      <c r="D34"/>
      <c r="E34" t="s">
        <v>40</v>
      </c>
      <c r="F34"/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7">+K34-M34</f>
        <v>0</v>
      </c>
      <c r="O34" s="46">
        <f>+'사업장별(당월)'!O34+'[4]사업장별(누계)'!O34</f>
        <v>216.89250099999998</v>
      </c>
      <c r="P34" s="47">
        <f>+'사업장별(당월)'!P34+'[4]사업장별(누계)'!P34</f>
        <v>215.92733799999996</v>
      </c>
      <c r="Q34" s="49">
        <f>+P34-O34</f>
        <v>-0.9651630000000182</v>
      </c>
      <c r="R34" s="48">
        <f>+'사업장별(당월)'!R34+'[4]사업장별(누계)'!R34</f>
        <v>305.69964300000004</v>
      </c>
      <c r="S34" s="60">
        <f t="shared" si="3"/>
        <v>-89.772305000000074</v>
      </c>
      <c r="T34" s="46">
        <f>+'사업장별(당월)'!T34+'[4]사업장별(누계)'!T34</f>
        <v>198.71433300000001</v>
      </c>
      <c r="U34" s="47">
        <f>+'사업장별(당월)'!U34+'[4]사업장별(누계)'!U34</f>
        <v>198.213594</v>
      </c>
      <c r="V34" s="49">
        <f t="shared" si="4"/>
        <v>-0.50073900000001004</v>
      </c>
      <c r="W34" s="48">
        <f>+'사업장별(당월)'!W34+'[4]사업장별(누계)'!W34</f>
        <v>189.57620200000002</v>
      </c>
      <c r="X34" s="60">
        <f t="shared" si="5"/>
        <v>8.6373919999999771</v>
      </c>
      <c r="Y34" s="629"/>
      <c r="Z34" s="588"/>
      <c r="AA34" s="588"/>
      <c r="AB34" s="588"/>
      <c r="AC34" s="588"/>
      <c r="AD34" s="588"/>
      <c r="AE34" s="588"/>
      <c r="AF34" s="588"/>
      <c r="AG34" s="51"/>
      <c r="AH34" s="18"/>
      <c r="AI34" s="19"/>
    </row>
    <row r="35" spans="2:38" s="8" customFormat="1" ht="19.5" customHeight="1" x14ac:dyDescent="0.3">
      <c r="B35" s="8" t="s">
        <v>202</v>
      </c>
      <c r="D35"/>
      <c r="E35"/>
      <c r="F35"/>
      <c r="G35"/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7"/>
        <v>0</v>
      </c>
      <c r="O35" s="46">
        <f>+'사업장별(당월)'!O35+'[4]사업장별(누계)'!O35</f>
        <v>0</v>
      </c>
      <c r="P35" s="47">
        <f>+'사업장별(당월)'!P35+'[4]사업장별(누계)'!P35</f>
        <v>0</v>
      </c>
      <c r="Q35" s="49">
        <f t="shared" ref="Q35:Q40" si="8">+P35-O35</f>
        <v>0</v>
      </c>
      <c r="R35" s="48">
        <f>+'사업장별(당월)'!R35+'[4]사업장별(누계)'!R35</f>
        <v>0</v>
      </c>
      <c r="S35" s="60">
        <f t="shared" si="3"/>
        <v>0</v>
      </c>
      <c r="T35" s="46">
        <f>+'사업장별(당월)'!T35+'[4]사업장별(누계)'!T35</f>
        <v>-3671.5609041682178</v>
      </c>
      <c r="U35" s="47">
        <f>+'사업장별(당월)'!U35+'[4]사업장별(누계)'!U35</f>
        <v>-3840.4110308742593</v>
      </c>
      <c r="V35" s="49">
        <f t="shared" si="4"/>
        <v>-168.85012670604146</v>
      </c>
      <c r="W35" s="48">
        <f>+'사업장별(당월)'!W35+'[4]사업장별(누계)'!W35</f>
        <v>-3011.9869660000004</v>
      </c>
      <c r="X35" s="60">
        <f t="shared" si="5"/>
        <v>-828.42406487425887</v>
      </c>
      <c r="Y35" s="629"/>
      <c r="Z35" s="588"/>
      <c r="AA35" s="588"/>
      <c r="AB35" s="588"/>
      <c r="AC35" s="588"/>
      <c r="AD35" s="588"/>
      <c r="AE35" s="588"/>
      <c r="AF35" s="588"/>
      <c r="AG35" s="51"/>
      <c r="AH35" s="18"/>
      <c r="AI35" s="19"/>
      <c r="AK35" s="597"/>
      <c r="AL35" s="99"/>
    </row>
    <row r="36" spans="2:38" s="8" customFormat="1" ht="19.5" customHeight="1" x14ac:dyDescent="0.3">
      <c r="D36"/>
      <c r="E36"/>
      <c r="F36"/>
      <c r="G36"/>
      <c r="H36" s="87"/>
      <c r="I36" s="88" t="s">
        <v>116</v>
      </c>
      <c r="J36" s="46"/>
      <c r="K36" s="47"/>
      <c r="L36" s="49"/>
      <c r="M36" s="48"/>
      <c r="N36" s="60">
        <f t="shared" si="7"/>
        <v>0</v>
      </c>
      <c r="O36" s="46">
        <f>+'사업장별(당월)'!O36+'[4]사업장별(누계)'!O36</f>
        <v>0</v>
      </c>
      <c r="P36" s="47">
        <f>+'사업장별(당월)'!P36+'[4]사업장별(누계)'!P36</f>
        <v>0</v>
      </c>
      <c r="Q36" s="49">
        <f t="shared" si="8"/>
        <v>0</v>
      </c>
      <c r="R36" s="48">
        <f>+'사업장별(당월)'!R36+'[4]사업장별(누계)'!R36</f>
        <v>0</v>
      </c>
      <c r="S36" s="60">
        <f t="shared" si="3"/>
        <v>0</v>
      </c>
      <c r="T36" s="46">
        <f>+'사업장별(당월)'!T36+'[4]사업장별(누계)'!T36</f>
        <v>0</v>
      </c>
      <c r="U36" s="47">
        <f>+'사업장별(당월)'!U36+'[4]사업장별(누계)'!U36</f>
        <v>0</v>
      </c>
      <c r="V36" s="49">
        <f t="shared" si="4"/>
        <v>0</v>
      </c>
      <c r="W36" s="48">
        <f>+'사업장별(당월)'!W36+'[4]사업장별(누계)'!W36</f>
        <v>0</v>
      </c>
      <c r="X36" s="60">
        <f t="shared" si="5"/>
        <v>0</v>
      </c>
      <c r="Y36" s="629"/>
      <c r="Z36" s="588"/>
      <c r="AA36" s="588"/>
      <c r="AB36" s="588"/>
      <c r="AC36" s="588"/>
      <c r="AD36" s="588"/>
      <c r="AE36" s="588"/>
      <c r="AF36" s="588"/>
      <c r="AG36" s="51"/>
      <c r="AH36" s="18"/>
      <c r="AI36" s="19"/>
      <c r="AK36" s="99"/>
      <c r="AL36" s="99"/>
    </row>
    <row r="37" spans="2:38" s="8" customFormat="1" ht="19.5" customHeight="1" x14ac:dyDescent="0.3">
      <c r="D37"/>
      <c r="E37"/>
      <c r="F37"/>
      <c r="G37"/>
      <c r="H37" s="87"/>
      <c r="I37" s="88" t="s">
        <v>117</v>
      </c>
      <c r="J37" s="46"/>
      <c r="K37" s="47"/>
      <c r="L37" s="49"/>
      <c r="M37" s="48"/>
      <c r="N37" s="60">
        <f t="shared" si="7"/>
        <v>0</v>
      </c>
      <c r="O37" s="46">
        <f>+'사업장별(당월)'!O37+'[4]사업장별(누계)'!O37</f>
        <v>0</v>
      </c>
      <c r="P37" s="47">
        <f>+'사업장별(당월)'!P37+'[4]사업장별(누계)'!P37</f>
        <v>0</v>
      </c>
      <c r="Q37" s="49">
        <f t="shared" si="8"/>
        <v>0</v>
      </c>
      <c r="R37" s="48">
        <f>+'사업장별(당월)'!R37+'[4]사업장별(누계)'!R37</f>
        <v>0</v>
      </c>
      <c r="S37" s="60">
        <f t="shared" si="3"/>
        <v>0</v>
      </c>
      <c r="T37" s="46">
        <f>+'사업장별(당월)'!T37+'[4]사업장별(누계)'!T37</f>
        <v>0</v>
      </c>
      <c r="U37" s="47">
        <f>+'사업장별(당월)'!U37+'[4]사업장별(누계)'!U37</f>
        <v>-1595.842547</v>
      </c>
      <c r="V37" s="49">
        <f t="shared" si="4"/>
        <v>-1595.842547</v>
      </c>
      <c r="W37" s="48">
        <f>+'사업장별(당월)'!W37+'[4]사업장별(누계)'!W37</f>
        <v>-278.35280399999999</v>
      </c>
      <c r="X37" s="60">
        <f t="shared" si="5"/>
        <v>-1317.4897430000001</v>
      </c>
      <c r="Y37" s="587"/>
      <c r="Z37" s="588"/>
      <c r="AA37" s="588"/>
      <c r="AB37" s="588"/>
      <c r="AC37" s="588"/>
      <c r="AD37" s="588"/>
      <c r="AE37" s="588"/>
      <c r="AF37" s="588"/>
      <c r="AG37" s="51"/>
      <c r="AH37" s="18"/>
      <c r="AI37" s="19"/>
      <c r="AK37" s="99"/>
      <c r="AL37" s="99"/>
    </row>
    <row r="38" spans="2:38" s="8" customFormat="1" ht="19.5" customHeight="1" x14ac:dyDescent="0.3">
      <c r="D38"/>
      <c r="E38"/>
      <c r="F38"/>
      <c r="G38"/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7"/>
        <v>0</v>
      </c>
      <c r="O38" s="46">
        <f>+'사업장별(당월)'!O38+'[4]사업장별(누계)'!O38</f>
        <v>0</v>
      </c>
      <c r="P38" s="47">
        <f>+'사업장별(당월)'!P38+'[4]사업장별(누계)'!P38</f>
        <v>0</v>
      </c>
      <c r="Q38" s="49">
        <f t="shared" si="8"/>
        <v>0</v>
      </c>
      <c r="R38" s="48">
        <f>+'사업장별(당월)'!R38+'[4]사업장별(누계)'!R38</f>
        <v>0</v>
      </c>
      <c r="S38" s="60">
        <f t="shared" si="3"/>
        <v>0</v>
      </c>
      <c r="T38" s="46">
        <f>+'사업장별(당월)'!T38+'[4]사업장별(누계)'!T38</f>
        <v>-74.838249333378926</v>
      </c>
      <c r="U38" s="47">
        <f>+'사업장별(당월)'!U38+'[4]사업장별(누계)'!U38</f>
        <v>-73.135676000000004</v>
      </c>
      <c r="V38" s="49">
        <f t="shared" si="4"/>
        <v>1.7025733333789219</v>
      </c>
      <c r="W38" s="48">
        <f>+'사업장별(당월)'!W38+'[4]사업장별(누계)'!W38</f>
        <v>-42.411558999999997</v>
      </c>
      <c r="X38" s="60">
        <f>+U38-W38</f>
        <v>-30.724117000000007</v>
      </c>
      <c r="Y38" s="587"/>
      <c r="Z38" s="588"/>
      <c r="AA38" s="588"/>
      <c r="AB38" s="588"/>
      <c r="AC38" s="588"/>
      <c r="AD38" s="588"/>
      <c r="AE38" s="588"/>
      <c r="AF38" s="588"/>
      <c r="AG38" s="51"/>
      <c r="AH38" s="18"/>
      <c r="AI38" s="19"/>
      <c r="AK38" s="99"/>
      <c r="AL38" s="99"/>
    </row>
    <row r="39" spans="2:38" s="8" customFormat="1" ht="19.5" customHeight="1" x14ac:dyDescent="0.3">
      <c r="B39" t="s">
        <v>39</v>
      </c>
      <c r="D39"/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7"/>
        <v>0</v>
      </c>
      <c r="O39" s="46">
        <f>+'사업장별(당월)'!O39+'[4]사업장별(누계)'!O39</f>
        <v>5.3100000000000005</v>
      </c>
      <c r="P39" s="47">
        <f>+'사업장별(당월)'!P39+'[4]사업장별(누계)'!P39</f>
        <v>5.1071999999955295</v>
      </c>
      <c r="Q39" s="55">
        <f t="shared" si="8"/>
        <v>-0.20280000000447096</v>
      </c>
      <c r="R39" s="61">
        <f>+'사업장별(당월)'!R39+'[4]사업장별(누계)'!R39</f>
        <v>5.1518999999985091</v>
      </c>
      <c r="S39" s="62">
        <f t="shared" si="3"/>
        <v>-4.4700000002979579E-2</v>
      </c>
      <c r="T39" s="46">
        <f>+'사업장별(당월)'!T39+'[4]사업장별(누계)'!T39</f>
        <v>-100.05974500000447</v>
      </c>
      <c r="U39" s="47">
        <f>+'사업장별(당월)'!U39+'[4]사업장별(누계)'!U39</f>
        <v>-37.964358000014911</v>
      </c>
      <c r="V39" s="49">
        <f t="shared" si="4"/>
        <v>62.095386999989557</v>
      </c>
      <c r="W39" s="61">
        <f>+'사업장별(당월)'!W39+'[4]사업장별(누계)'!W39</f>
        <v>-13.244756999999282</v>
      </c>
      <c r="X39" s="60">
        <f t="shared" si="5"/>
        <v>-24.719601000015629</v>
      </c>
      <c r="Y39" s="596"/>
      <c r="Z39" s="588"/>
      <c r="AA39" s="588"/>
      <c r="AB39" s="588"/>
      <c r="AC39" s="588"/>
      <c r="AD39" s="588"/>
      <c r="AE39" s="588"/>
      <c r="AF39" s="588"/>
      <c r="AG39" s="51"/>
      <c r="AH39" s="18"/>
      <c r="AI39" s="19"/>
    </row>
    <row r="40" spans="2:38" s="8" customFormat="1" ht="19.5" customHeight="1" x14ac:dyDescent="0.3">
      <c r="H40" s="87"/>
      <c r="I40" s="88"/>
      <c r="J40" s="46"/>
      <c r="K40" s="47"/>
      <c r="L40" s="55"/>
      <c r="M40" s="61"/>
      <c r="N40" s="62">
        <f t="shared" si="7"/>
        <v>0</v>
      </c>
      <c r="O40" s="46">
        <f>+'사업장별(당월)'!O40+'[4]사업장별(누계)'!O40</f>
        <v>0</v>
      </c>
      <c r="P40" s="47">
        <f>+'사업장별(당월)'!P40+'[4]사업장별(누계)'!P40</f>
        <v>0</v>
      </c>
      <c r="Q40" s="55">
        <f t="shared" si="8"/>
        <v>0</v>
      </c>
      <c r="R40" s="61">
        <f>+'사업장별(당월)'!R40+'[4]사업장별(누계)'!R40</f>
        <v>0</v>
      </c>
      <c r="S40" s="62">
        <f t="shared" si="3"/>
        <v>0</v>
      </c>
      <c r="T40" s="46">
        <f>+'사업장별(당월)'!T40+'[4]사업장별(누계)'!T40</f>
        <v>0</v>
      </c>
      <c r="U40" s="47">
        <f>+'사업장별(당월)'!U40+'[4]사업장별(누계)'!U40</f>
        <v>0</v>
      </c>
      <c r="V40" s="49">
        <f t="shared" si="4"/>
        <v>0</v>
      </c>
      <c r="W40" s="61">
        <f>+'사업장별(당월)'!W40+'[4]사업장별(누계)'!W40</f>
        <v>0</v>
      </c>
      <c r="X40" s="60"/>
      <c r="Y40" s="587"/>
      <c r="Z40" s="588"/>
      <c r="AA40" s="588"/>
      <c r="AB40" s="588"/>
      <c r="AC40" s="588"/>
      <c r="AD40" s="588"/>
      <c r="AE40" s="588"/>
      <c r="AF40" s="588"/>
      <c r="AG40" s="51"/>
      <c r="AH40" s="31"/>
    </row>
    <row r="41" spans="2:38" s="3" customFormat="1" ht="19.5" customHeight="1" x14ac:dyDescent="0.3">
      <c r="D41" s="658"/>
      <c r="H41" s="147" t="s">
        <v>118</v>
      </c>
      <c r="I41" s="148"/>
      <c r="J41" s="647">
        <f>SUM(J33:J40)</f>
        <v>0</v>
      </c>
      <c r="K41" s="648">
        <f>SUM(K33:K40)</f>
        <v>0</v>
      </c>
      <c r="L41" s="648">
        <f>+K41-J41</f>
        <v>0</v>
      </c>
      <c r="M41" s="648">
        <f>SUM(M33:M40)</f>
        <v>0</v>
      </c>
      <c r="N41" s="649">
        <f t="shared" si="7"/>
        <v>0</v>
      </c>
      <c r="O41" s="149">
        <f>SUM(O33:O40)</f>
        <v>494.72250099999997</v>
      </c>
      <c r="P41" s="150">
        <f>SUM(P33:P40)</f>
        <v>493.55453799999549</v>
      </c>
      <c r="Q41" s="154">
        <f t="shared" si="2"/>
        <v>-1.1679630000044767</v>
      </c>
      <c r="R41" s="155">
        <f>SUM(R33:R40)</f>
        <v>545.8715429999985</v>
      </c>
      <c r="S41" s="156">
        <f>+P41-R41</f>
        <v>-52.317005000003007</v>
      </c>
      <c r="T41" s="149">
        <f>SUM(T33:T40)</f>
        <v>-3427.9632405016014</v>
      </c>
      <c r="U41" s="150">
        <f>SUM(U33:U40)</f>
        <v>-5130.2564278742739</v>
      </c>
      <c r="V41" s="154">
        <f>+U41-T41</f>
        <v>-1702.2931873726725</v>
      </c>
      <c r="W41" s="155">
        <f>SUM(W33:W40)</f>
        <v>-2967.4638490000002</v>
      </c>
      <c r="X41" s="156">
        <f>+U41-W41</f>
        <v>-2162.7925788742737</v>
      </c>
      <c r="Y41" s="589"/>
      <c r="Z41" s="590"/>
      <c r="AA41" s="590"/>
      <c r="AB41" s="590"/>
      <c r="AC41" s="590"/>
      <c r="AD41" s="590"/>
      <c r="AE41" s="590"/>
      <c r="AF41" s="590"/>
      <c r="AG41" s="591"/>
      <c r="AH41" s="26"/>
    </row>
    <row r="42" spans="2:38" s="8" customFormat="1" ht="19.5" customHeight="1" x14ac:dyDescent="0.3"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/>
      <c r="V42" s="32"/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 x14ac:dyDescent="0.3">
      <c r="G43" s="665">
        <f>+P43/O43</f>
        <v>1.0249726818850919</v>
      </c>
      <c r="H43" s="640" t="s">
        <v>41</v>
      </c>
      <c r="I43" s="641"/>
      <c r="J43" s="653"/>
      <c r="K43" s="654"/>
      <c r="L43" s="654"/>
      <c r="M43" s="654"/>
      <c r="N43" s="655"/>
      <c r="O43" s="642">
        <f>+O27+O32+O28+O41</f>
        <v>106160.03626153094</v>
      </c>
      <c r="P43" s="643">
        <f>+P27+P32+P28+P41</f>
        <v>108811.13707599998</v>
      </c>
      <c r="Q43" s="644">
        <f t="shared" si="2"/>
        <v>2651.1008144690422</v>
      </c>
      <c r="R43" s="645">
        <f>+R27+R32+R28+R41</f>
        <v>123542.093945</v>
      </c>
      <c r="S43" s="646">
        <f>+P43-R43</f>
        <v>-14730.956869000016</v>
      </c>
      <c r="T43" s="642">
        <f>+T27+T32+T28+T41</f>
        <v>5311.4672341905734</v>
      </c>
      <c r="U43" s="643">
        <f>+U27+U32+U28+U41</f>
        <v>3151.0190679873394</v>
      </c>
      <c r="V43" s="644">
        <f>+U43-T43</f>
        <v>-2160.448166203234</v>
      </c>
      <c r="W43" s="645">
        <f>+W27+W32+W28+W41</f>
        <v>10020.29267701</v>
      </c>
      <c r="X43" s="646">
        <f>+U43-W43</f>
        <v>-6869.2736090226608</v>
      </c>
      <c r="Y43" s="822"/>
      <c r="Z43" s="823"/>
      <c r="AA43" s="823"/>
      <c r="AB43" s="823"/>
      <c r="AC43" s="823"/>
      <c r="AD43" s="823"/>
      <c r="AE43" s="823"/>
      <c r="AF43" s="823"/>
      <c r="AG43" s="824"/>
      <c r="AH43" s="26"/>
    </row>
    <row r="44" spans="2:38" s="34" customFormat="1" x14ac:dyDescent="0.3">
      <c r="G44" s="662">
        <f>+U43/T43</f>
        <v>0.59324833027375912</v>
      </c>
      <c r="T44" s="662">
        <f>+T43/O43</f>
        <v>5.0032643367844083E-2</v>
      </c>
      <c r="U44" s="662">
        <f>+U43/P43</f>
        <v>2.8958608030963649E-2</v>
      </c>
      <c r="AC44" s="35"/>
      <c r="AF44" s="35"/>
    </row>
    <row r="45" spans="2:38" s="34" customFormat="1" ht="17.25" thickBot="1" x14ac:dyDescent="0.35">
      <c r="AC45" s="35"/>
      <c r="AF45" s="35"/>
    </row>
    <row r="46" spans="2:38" s="34" customFormat="1" x14ac:dyDescent="0.3">
      <c r="I46" s="819" t="s">
        <v>101</v>
      </c>
      <c r="J46" s="139">
        <f>+'사업장별(당월)'!J46+'[4]사업장별(누계)'!J46</f>
        <v>756</v>
      </c>
      <c r="K46" s="140">
        <f>+'사업장별(당월)'!K46+'[4]사업장별(누계)'!K46</f>
        <v>794.92849999999999</v>
      </c>
      <c r="L46" s="140"/>
      <c r="M46" s="140">
        <f>+'사업장별(당월)'!M46+'[4]사업장별(누계)'!M46</f>
        <v>956.87300000000005</v>
      </c>
      <c r="N46" s="140"/>
      <c r="O46" s="140">
        <f>+'사업장별(당월)'!O46+'[4]사업장별(누계)'!O46</f>
        <v>106160.03626153094</v>
      </c>
      <c r="P46" s="140">
        <f>+'사업장별(당월)'!P46+'[4]사업장별(누계)'!P46</f>
        <v>108811.137076</v>
      </c>
      <c r="Q46" s="140"/>
      <c r="R46" s="140">
        <f>+'사업장별(당월)'!R46+'[4]사업장별(누계)'!R46</f>
        <v>123542.093945</v>
      </c>
      <c r="S46" s="140"/>
      <c r="T46" s="145">
        <f>+'사업장별(당월)'!T46+'[4]사업장별(누계)'!T46</f>
        <v>5311.4672341905753</v>
      </c>
      <c r="U46" s="140">
        <f>+'사업장별(당월)'!U46+'[4]사업장별(누계)'!U46</f>
        <v>3151.0190679873385</v>
      </c>
      <c r="V46" s="140"/>
      <c r="W46" s="140">
        <f>+'사업장별(당월)'!W46+'[4]사업장별(누계)'!W46</f>
        <v>10020.292677010002</v>
      </c>
      <c r="X46" s="141"/>
      <c r="AC46" s="35"/>
      <c r="AF46" s="35"/>
    </row>
    <row r="47" spans="2:38" s="34" customFormat="1" ht="17.25" thickBot="1" x14ac:dyDescent="0.35">
      <c r="I47" s="819"/>
      <c r="J47" s="144">
        <f>+J46-J27</f>
        <v>0</v>
      </c>
      <c r="K47" s="142">
        <f>+K46-K27</f>
        <v>0</v>
      </c>
      <c r="L47" s="142"/>
      <c r="M47" s="142">
        <f>+M46-M27</f>
        <v>0</v>
      </c>
      <c r="N47" s="142"/>
      <c r="O47" s="146">
        <f>+O46-O43</f>
        <v>0</v>
      </c>
      <c r="P47" s="146">
        <f>+P46-P43</f>
        <v>0</v>
      </c>
      <c r="Q47" s="142"/>
      <c r="R47" s="146">
        <f>+R46-R43</f>
        <v>0</v>
      </c>
      <c r="S47" s="142"/>
      <c r="T47" s="146">
        <f>+T46-T43</f>
        <v>0</v>
      </c>
      <c r="U47" s="146">
        <f>+U46-U43</f>
        <v>0</v>
      </c>
      <c r="V47" s="142"/>
      <c r="W47" s="142">
        <f>+W46-W43</f>
        <v>0</v>
      </c>
      <c r="X47" s="143"/>
      <c r="AC47" s="35"/>
      <c r="AF47" s="35"/>
      <c r="AG47" s="34" t="s">
        <v>102</v>
      </c>
    </row>
    <row r="48" spans="2:38" x14ac:dyDescent="0.3">
      <c r="T48" s="659"/>
      <c r="U48" s="659"/>
      <c r="V48" s="659"/>
    </row>
    <row r="49" spans="10:33" x14ac:dyDescent="0.3">
      <c r="T49" s="659"/>
      <c r="U49" s="659"/>
      <c r="V49" s="659"/>
    </row>
    <row r="50" spans="10:33" x14ac:dyDescent="0.3">
      <c r="T50" s="659"/>
      <c r="U50" s="659"/>
      <c r="V50" s="659"/>
    </row>
    <row r="51" spans="10:33" x14ac:dyDescent="0.3">
      <c r="T51" s="660"/>
      <c r="U51" s="660"/>
      <c r="V51" s="659"/>
    </row>
    <row r="52" spans="10:33" x14ac:dyDescent="0.3">
      <c r="T52" s="660"/>
      <c r="U52" s="660"/>
      <c r="V52" s="659"/>
    </row>
    <row r="54" spans="10:33" x14ac:dyDescent="0.3">
      <c r="J54" s="599"/>
      <c r="K54" s="599"/>
      <c r="L54" s="599"/>
      <c r="M54" s="599"/>
      <c r="N54" s="599"/>
      <c r="O54" s="599"/>
      <c r="P54" s="599"/>
      <c r="Q54" s="599"/>
      <c r="R54" s="599"/>
      <c r="S54" s="599"/>
      <c r="T54" s="599"/>
      <c r="U54" s="599"/>
      <c r="V54" s="599"/>
      <c r="W54" s="599"/>
      <c r="X54" s="599"/>
      <c r="Y54" s="599"/>
      <c r="Z54" s="599"/>
      <c r="AA54" s="599"/>
      <c r="AB54" s="599"/>
      <c r="AC54" s="599"/>
      <c r="AD54" s="599"/>
      <c r="AE54" s="599"/>
      <c r="AF54" s="599"/>
      <c r="AG54" s="599"/>
    </row>
    <row r="55" spans="10:33" x14ac:dyDescent="0.3">
      <c r="J55" s="599"/>
      <c r="K55" s="599"/>
      <c r="L55" s="599"/>
      <c r="M55" s="599"/>
      <c r="N55" s="599"/>
      <c r="O55" s="599"/>
      <c r="P55" s="599"/>
      <c r="Q55" s="599"/>
      <c r="R55" s="599"/>
      <c r="S55" s="599"/>
      <c r="T55" s="599"/>
      <c r="U55" s="599"/>
      <c r="V55" s="599"/>
      <c r="W55" s="599"/>
      <c r="X55" s="599"/>
      <c r="Y55" s="599"/>
      <c r="Z55" s="599"/>
      <c r="AA55" s="599"/>
      <c r="AB55" s="599"/>
      <c r="AC55" s="599"/>
      <c r="AD55" s="599"/>
      <c r="AE55" s="599"/>
      <c r="AF55" s="599"/>
      <c r="AG55" s="599"/>
    </row>
    <row r="56" spans="10:33" x14ac:dyDescent="0.3">
      <c r="J56" s="599"/>
      <c r="K56" s="599"/>
      <c r="L56" s="599"/>
      <c r="M56" s="599"/>
      <c r="N56" s="599"/>
      <c r="O56" s="599"/>
      <c r="P56" s="599"/>
      <c r="Q56" s="599"/>
      <c r="R56" s="599"/>
      <c r="S56" s="599"/>
      <c r="T56" s="599"/>
      <c r="U56" s="599"/>
      <c r="V56" s="599"/>
      <c r="W56" s="599"/>
      <c r="X56" s="599"/>
      <c r="Y56" s="599"/>
      <c r="Z56" s="599"/>
      <c r="AA56" s="599"/>
      <c r="AB56" s="599"/>
      <c r="AC56" s="599"/>
      <c r="AD56" s="599"/>
      <c r="AE56" s="599"/>
      <c r="AF56" s="599"/>
      <c r="AG56" s="599"/>
    </row>
    <row r="57" spans="10:33" x14ac:dyDescent="0.3">
      <c r="J57" s="599"/>
      <c r="K57" s="599"/>
      <c r="L57" s="599"/>
      <c r="M57" s="599"/>
      <c r="N57" s="599"/>
      <c r="O57" s="599"/>
      <c r="P57" s="599"/>
      <c r="Q57" s="599"/>
      <c r="R57" s="599"/>
      <c r="S57" s="599"/>
      <c r="T57" s="599"/>
      <c r="U57" s="599"/>
      <c r="V57" s="599"/>
      <c r="W57" s="599"/>
      <c r="X57" s="599"/>
      <c r="Y57" s="599"/>
      <c r="Z57" s="599"/>
      <c r="AA57" s="599"/>
      <c r="AB57" s="599"/>
      <c r="AC57" s="599"/>
      <c r="AD57" s="599"/>
      <c r="AE57" s="599"/>
      <c r="AF57" s="599"/>
      <c r="AG57" s="599"/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B5C6-6B54-4BD2-9BBC-FD101DF49F35}">
  <sheetPr>
    <tabColor theme="1" tint="0.249977111117893"/>
    <pageSetUpPr fitToPage="1"/>
  </sheetPr>
  <dimension ref="D1:Z52"/>
  <sheetViews>
    <sheetView showGridLines="0" showZeros="0" view="pageBreakPreview" zoomScale="60" zoomScaleNormal="85" workbookViewId="0">
      <pane xSplit="4" ySplit="7" topLeftCell="E8" activePane="bottomRight" state="frozen"/>
      <selection activeCell="N19" sqref="N19"/>
      <selection pane="topRight" activeCell="N19" sqref="N19"/>
      <selection pane="bottomLeft" activeCell="N19" sqref="N19"/>
      <selection pane="bottomRight" activeCell="N19" sqref="N19"/>
    </sheetView>
  </sheetViews>
  <sheetFormatPr defaultRowHeight="16.5" x14ac:dyDescent="0.3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4:26" ht="9.9499999999999993" customHeight="1" x14ac:dyDescent="0.3"/>
    <row r="2" spans="4:26" ht="9.9499999999999993" hidden="1" customHeight="1" x14ac:dyDescent="0.3"/>
    <row r="3" spans="4:26" ht="9.9499999999999993" customHeight="1" x14ac:dyDescent="0.3"/>
    <row r="4" spans="4:26" ht="31.5" x14ac:dyDescent="0.3">
      <c r="D4" s="184" t="s">
        <v>218</v>
      </c>
      <c r="F4" s="184"/>
      <c r="I4" s="184"/>
      <c r="J4" s="184"/>
    </row>
    <row r="5" spans="4:26" ht="21.95" customHeight="1" x14ac:dyDescent="0.3">
      <c r="W5" s="186" t="s">
        <v>149</v>
      </c>
    </row>
    <row r="6" spans="4:26" ht="24" customHeight="1" thickBot="1" x14ac:dyDescent="0.35">
      <c r="D6" s="825" t="s">
        <v>11</v>
      </c>
      <c r="E6" s="439" t="s">
        <v>143</v>
      </c>
      <c r="F6" s="440"/>
      <c r="G6" s="441"/>
      <c r="H6" s="439" t="s">
        <v>144</v>
      </c>
      <c r="I6" s="440"/>
      <c r="J6" s="440"/>
      <c r="K6" s="441"/>
      <c r="L6" s="439" t="s">
        <v>145</v>
      </c>
      <c r="M6" s="440"/>
      <c r="N6" s="440"/>
      <c r="O6" s="441"/>
      <c r="P6" s="439" t="s">
        <v>146</v>
      </c>
      <c r="Q6" s="440"/>
      <c r="R6" s="440"/>
      <c r="S6" s="441"/>
      <c r="T6" s="439" t="s">
        <v>147</v>
      </c>
      <c r="U6" s="440"/>
      <c r="V6" s="440"/>
      <c r="W6" s="441"/>
    </row>
    <row r="7" spans="4:26" ht="24" customHeight="1" x14ac:dyDescent="0.3">
      <c r="D7" s="826"/>
      <c r="E7" s="442" t="s">
        <v>12</v>
      </c>
      <c r="F7" s="443" t="s">
        <v>13</v>
      </c>
      <c r="G7" s="444" t="s">
        <v>37</v>
      </c>
      <c r="H7" s="442" t="s">
        <v>15</v>
      </c>
      <c r="I7" s="443" t="s">
        <v>16</v>
      </c>
      <c r="J7" s="445" t="s">
        <v>37</v>
      </c>
      <c r="K7" s="446" t="s">
        <v>148</v>
      </c>
      <c r="L7" s="442" t="s">
        <v>15</v>
      </c>
      <c r="M7" s="443" t="s">
        <v>16</v>
      </c>
      <c r="N7" s="445" t="s">
        <v>37</v>
      </c>
      <c r="O7" s="446" t="s">
        <v>148</v>
      </c>
      <c r="P7" s="442" t="s">
        <v>15</v>
      </c>
      <c r="Q7" s="443" t="s">
        <v>16</v>
      </c>
      <c r="R7" s="445" t="s">
        <v>37</v>
      </c>
      <c r="S7" s="446" t="s">
        <v>148</v>
      </c>
      <c r="T7" s="442" t="s">
        <v>15</v>
      </c>
      <c r="U7" s="443" t="s">
        <v>16</v>
      </c>
      <c r="V7" s="445" t="s">
        <v>37</v>
      </c>
      <c r="W7" s="446" t="s">
        <v>148</v>
      </c>
    </row>
    <row r="8" spans="4:26" ht="24" customHeight="1" x14ac:dyDescent="0.3">
      <c r="D8" s="470" t="s">
        <v>41</v>
      </c>
      <c r="E8" s="460">
        <f>+[5]합계!$H$86/1000</f>
        <v>3912.6893122392557</v>
      </c>
      <c r="F8" s="462">
        <f>+[5]합계!$I$86/1000</f>
        <v>3691.8985700000039</v>
      </c>
      <c r="G8" s="461">
        <f>+F8-E8</f>
        <v>-220.79074223925181</v>
      </c>
      <c r="H8" s="460">
        <f>+[5]합계!$T$5/1000</f>
        <v>286</v>
      </c>
      <c r="I8" s="462">
        <f>+[5]합계!$U$5/1000</f>
        <v>298.48649999999998</v>
      </c>
      <c r="J8" s="461">
        <f>+I8-H8</f>
        <v>12.486499999999978</v>
      </c>
      <c r="K8" s="464">
        <f>+[5]합계!$M$86/1000</f>
        <v>202.47834856141986</v>
      </c>
      <c r="L8" s="460">
        <f>+[5]합계!$Q$85</f>
        <v>101638.95152215073</v>
      </c>
      <c r="M8" s="462">
        <f>+[5]합계!$R$85</f>
        <v>102216.1111960061</v>
      </c>
      <c r="N8" s="461">
        <f>+M8-L8</f>
        <v>577.15967385536351</v>
      </c>
      <c r="O8" s="464">
        <f>+[5]합계!$K$86/1000</f>
        <v>171.851312949293</v>
      </c>
      <c r="P8" s="460">
        <f>+[5]합계!$Q$50</f>
        <v>84520.055145631428</v>
      </c>
      <c r="Q8" s="462">
        <f>+[5]합계!$R$50</f>
        <v>86679.656051596452</v>
      </c>
      <c r="R8" s="461">
        <f>+Q8-P8</f>
        <v>2159.6009059650241</v>
      </c>
      <c r="S8" s="464">
        <f>+[5]합계!$L$56/1000</f>
        <v>-582.8265506652383</v>
      </c>
      <c r="T8" s="460">
        <f>+([5]합계!$H$80+[5]합계!$H$85)/1000</f>
        <v>983.3150514452683</v>
      </c>
      <c r="U8" s="462">
        <f>+([5]합계!$I$80+[5]합계!$I$85)/1000</f>
        <v>995.6089045299999</v>
      </c>
      <c r="V8" s="461">
        <f>+U8-T8</f>
        <v>12.293853084731609</v>
      </c>
      <c r="W8" s="469">
        <f>+([5]합계!$L$80+[5]합계!$L$85)/1000</f>
        <v>-12.293853084731795</v>
      </c>
      <c r="Y8" s="6">
        <f>+G8-K8-O8-S8-W8</f>
        <v>5.4161120033313637E-12</v>
      </c>
      <c r="Z8" s="6">
        <f>+Y8*1000000</f>
        <v>5.4161120033313637E-6</v>
      </c>
    </row>
    <row r="9" spans="4:26" ht="24" customHeight="1" x14ac:dyDescent="0.3">
      <c r="D9" s="471" t="s">
        <v>19</v>
      </c>
      <c r="E9" s="465">
        <f>+[5]수도권!$H$86/1000</f>
        <v>1248.8886233764142</v>
      </c>
      <c r="F9" s="479">
        <f>+[5]수도권!$I$86/1000</f>
        <v>1147.7338229999998</v>
      </c>
      <c r="G9" s="466">
        <f t="shared" ref="G9:G28" si="0">+F9-E9</f>
        <v>-101.15480037641441</v>
      </c>
      <c r="H9" s="465">
        <f>+[5]수도권!$T$5/1000</f>
        <v>108.5</v>
      </c>
      <c r="I9" s="479">
        <f>+[5]수도권!$U$5/1000</f>
        <v>110.047</v>
      </c>
      <c r="J9" s="466">
        <f t="shared" ref="J9:J28" si="1">+I9-H9</f>
        <v>1.546999999999997</v>
      </c>
      <c r="K9" s="482">
        <f>+[5]수도권!$M$86/1000</f>
        <v>22.309321168593073</v>
      </c>
      <c r="L9" s="465">
        <f>+[5]수도권!$Q$85</f>
        <v>99587.16016668301</v>
      </c>
      <c r="M9" s="479">
        <f>+[5]수도권!$R$85</f>
        <v>101292.86384498632</v>
      </c>
      <c r="N9" s="466">
        <f t="shared" ref="N9:N28" si="2">+M9-L9</f>
        <v>1705.7036783033109</v>
      </c>
      <c r="O9" s="482">
        <f>+[5]수도권!$K$86/1000</f>
        <v>187.67687002003498</v>
      </c>
      <c r="P9" s="465">
        <f>+[5]수도권!$Q$50</f>
        <v>85031.685236275487</v>
      </c>
      <c r="Q9" s="479">
        <f>+[5]수도권!$R$50</f>
        <v>88083.759884413026</v>
      </c>
      <c r="R9" s="466">
        <f t="shared" ref="R9:R28" si="3">+Q9-P9</f>
        <v>3052.074648137539</v>
      </c>
      <c r="S9" s="482">
        <f>+[5]수도권!$L$56/1000</f>
        <v>-335.76684431784275</v>
      </c>
      <c r="T9" s="465">
        <f>+([5]수도권!$H$80+[5]수도권!$H$85)/1000</f>
        <v>330.38040657280004</v>
      </c>
      <c r="U9" s="479">
        <f>+([5]수도권!$I$80+[5]수도권!$I$85)/1000</f>
        <v>305.75455382000001</v>
      </c>
      <c r="V9" s="466">
        <f t="shared" ref="V9:V28" si="4">+U9-T9</f>
        <v>-24.625852752800029</v>
      </c>
      <c r="W9" s="482">
        <f>+([5]수도권!$L$80+[5]수도권!$L$85)/1000</f>
        <v>24.625852752800007</v>
      </c>
      <c r="Y9" s="6">
        <f t="shared" ref="Y9:Y28" si="5">+G9-K9-O9-S9-W9</f>
        <v>3.0553337637684308E-13</v>
      </c>
      <c r="Z9" s="6">
        <f t="shared" ref="Z9:Z28" si="6">+Y9*1000000</f>
        <v>3.0553337637684308E-7</v>
      </c>
    </row>
    <row r="10" spans="4:26" ht="24" customHeight="1" x14ac:dyDescent="0.3">
      <c r="D10" s="472" t="s">
        <v>20</v>
      </c>
      <c r="E10" s="467">
        <f>+[5]영남권!$H$86/1000</f>
        <v>1750.9889663532203</v>
      </c>
      <c r="F10" s="480">
        <f>+[5]영남권!$I$86/1000</f>
        <v>1614.047243</v>
      </c>
      <c r="G10" s="477">
        <f t="shared" si="0"/>
        <v>-136.94172335322037</v>
      </c>
      <c r="H10" s="467">
        <f>+[5]영남권!$T$5/1000</f>
        <v>125</v>
      </c>
      <c r="I10" s="480">
        <f>+[5]영남권!$U$5/1000</f>
        <v>134.5</v>
      </c>
      <c r="J10" s="477">
        <f t="shared" si="1"/>
        <v>9.5</v>
      </c>
      <c r="K10" s="483">
        <f>+[5]영남권!$M$86/1000</f>
        <v>160.80313874092909</v>
      </c>
      <c r="L10" s="467">
        <f>+[5]영남권!$Q$85</f>
        <v>101799.62933000001</v>
      </c>
      <c r="M10" s="480">
        <f>+[5]영남권!$R$85</f>
        <v>101364.12572580043</v>
      </c>
      <c r="N10" s="477">
        <f t="shared" si="2"/>
        <v>-435.50360419957724</v>
      </c>
      <c r="O10" s="483">
        <f>+[5]영남권!$K$86/1000</f>
        <v>-58.353127926701355</v>
      </c>
      <c r="P10" s="467">
        <f>+[5]영남권!$Q$50</f>
        <v>83975.142262043504</v>
      </c>
      <c r="Q10" s="480">
        <f>+[5]영남권!$R$50</f>
        <v>86000.194452511263</v>
      </c>
      <c r="R10" s="477">
        <f t="shared" si="3"/>
        <v>2025.0521904677589</v>
      </c>
      <c r="S10" s="483">
        <f>+[5]영남권!$L$56/1000</f>
        <v>-210.99572825879224</v>
      </c>
      <c r="T10" s="467">
        <f>+([5]영남권!$H$80+[5]영남권!$H$85)/1000</f>
        <v>477.07191714134302</v>
      </c>
      <c r="U10" s="480">
        <f>+([5]영남권!$I$80+[5]영남권!$I$85)/1000</f>
        <v>505.46792304999997</v>
      </c>
      <c r="V10" s="477">
        <f t="shared" si="4"/>
        <v>28.396005908656946</v>
      </c>
      <c r="W10" s="483">
        <f>+([5]영남권!$L$80+[5]영남권!$L$85)/1000</f>
        <v>-28.396005908657038</v>
      </c>
      <c r="Y10" s="6">
        <f t="shared" si="5"/>
        <v>1.2008172234345693E-12</v>
      </c>
      <c r="Z10" s="6">
        <f t="shared" si="6"/>
        <v>1.2008172234345693E-6</v>
      </c>
    </row>
    <row r="11" spans="4:26" ht="24" customHeight="1" x14ac:dyDescent="0.3">
      <c r="D11" s="473" t="s">
        <v>57</v>
      </c>
      <c r="E11" s="468">
        <f>+[5]중부권!$H$86/1000</f>
        <v>912.81172250961629</v>
      </c>
      <c r="F11" s="481">
        <f>+[5]중부권!$I$86/1000</f>
        <v>930.11750400000119</v>
      </c>
      <c r="G11" s="478">
        <f t="shared" si="0"/>
        <v>17.305781490384902</v>
      </c>
      <c r="H11" s="468">
        <f>+[5]중부권!$T$5/1000</f>
        <v>52.5</v>
      </c>
      <c r="I11" s="481">
        <f>+[5]중부권!$U$5/1000</f>
        <v>53.939500000000002</v>
      </c>
      <c r="J11" s="478">
        <f t="shared" si="1"/>
        <v>1.4395000000000024</v>
      </c>
      <c r="K11" s="484">
        <f>+[5]중부권!$M$86/1000</f>
        <v>26.255802072803753</v>
      </c>
      <c r="L11" s="468">
        <f>+[5]중부권!$Q$85</f>
        <v>105496.75411428572</v>
      </c>
      <c r="M11" s="481">
        <f>+[5]중부권!$R$85</f>
        <v>106231.06464189674</v>
      </c>
      <c r="N11" s="478">
        <f t="shared" si="2"/>
        <v>734.31052761101455</v>
      </c>
      <c r="O11" s="484">
        <f>+[5]중부권!$K$86/1000</f>
        <v>39.457809045914061</v>
      </c>
      <c r="P11" s="468">
        <f>+[5]중부권!$Q$50</f>
        <v>84760.097919223976</v>
      </c>
      <c r="Q11" s="481">
        <f>+[5]중부권!$R$50</f>
        <v>85502.348080125783</v>
      </c>
      <c r="R11" s="478">
        <f t="shared" si="3"/>
        <v>742.25016090180725</v>
      </c>
      <c r="S11" s="484">
        <f>+[5]중부권!$L$56/1000</f>
        <v>-39.884129699459493</v>
      </c>
      <c r="T11" s="468">
        <f>+([5]중부권!$H$80+[5]중부권!$H$85)/1000</f>
        <v>175.8627277311252</v>
      </c>
      <c r="U11" s="481">
        <f>+([5]중부권!$I$80+[5]중부권!$I$85)/1000</f>
        <v>184.38642765999998</v>
      </c>
      <c r="V11" s="478">
        <f t="shared" si="4"/>
        <v>8.5236999288747768</v>
      </c>
      <c r="W11" s="484">
        <f>+([5]중부권!$L$80+[5]중부권!$L$85)/1000</f>
        <v>-8.5236999288748088</v>
      </c>
      <c r="Y11" s="6">
        <f t="shared" si="5"/>
        <v>1.3891110484109959E-12</v>
      </c>
      <c r="Z11" s="6">
        <f t="shared" si="6"/>
        <v>1.3891110484109959E-6</v>
      </c>
    </row>
    <row r="12" spans="4:26" ht="24" customHeight="1" x14ac:dyDescent="0.3">
      <c r="D12" s="474" t="s">
        <v>22</v>
      </c>
      <c r="E12" s="447">
        <f>+[5]안양!$H$86/1000</f>
        <v>542.32382606475073</v>
      </c>
      <c r="F12" s="448">
        <f>+[5]안양!$I$86/1000</f>
        <v>402.62875999999977</v>
      </c>
      <c r="G12" s="449">
        <f t="shared" si="0"/>
        <v>-139.69506606475096</v>
      </c>
      <c r="H12" s="447">
        <f>+[5]안양!$T$5/1000</f>
        <v>41</v>
      </c>
      <c r="I12" s="448">
        <f>+[5]안양!$U$5/1000</f>
        <v>40.978000000000002</v>
      </c>
      <c r="J12" s="450">
        <f t="shared" si="1"/>
        <v>-2.1999999999998465E-2</v>
      </c>
      <c r="K12" s="74">
        <f>+[5]안양!$M$86/1000</f>
        <v>-0.3464941656228202</v>
      </c>
      <c r="L12" s="447">
        <f>+[5]안양!$Q$85</f>
        <v>100756.65731707319</v>
      </c>
      <c r="M12" s="448">
        <f>+[5]안양!$R$85</f>
        <v>99525.963053345695</v>
      </c>
      <c r="N12" s="450">
        <f t="shared" si="2"/>
        <v>-1230.6942637274915</v>
      </c>
      <c r="O12" s="74">
        <f>+[5]안양!$K$86/1000</f>
        <v>-50.43138953902514</v>
      </c>
      <c r="P12" s="447">
        <f>+[5]안양!$Q$50</f>
        <v>85006.922516035906</v>
      </c>
      <c r="Q12" s="448">
        <f>+[5]안양!$R$50</f>
        <v>87396.931314659378</v>
      </c>
      <c r="R12" s="450">
        <f t="shared" si="3"/>
        <v>2390.0087986234721</v>
      </c>
      <c r="S12" s="74">
        <f>+[5]안양!$L$56/1000</f>
        <v>-97.941702987880845</v>
      </c>
      <c r="T12" s="447">
        <f>+([5]안양!$H$80+[5]안양!$H$85)/1000</f>
        <v>103.41530077777776</v>
      </c>
      <c r="U12" s="448">
        <f>+([5]안양!$I$80+[5]안양!$I$85)/1000</f>
        <v>94.390780150000012</v>
      </c>
      <c r="V12" s="450">
        <f t="shared" si="4"/>
        <v>-9.024520627777747</v>
      </c>
      <c r="W12" s="74">
        <f>+([5]안양!$L$80+[5]안양!$L$85)/1000</f>
        <v>9.024520627777763</v>
      </c>
      <c r="Y12" s="6">
        <f t="shared" si="5"/>
        <v>8.3488771451811772E-14</v>
      </c>
      <c r="Z12" s="6">
        <f t="shared" si="6"/>
        <v>8.3488771451811772E-8</v>
      </c>
    </row>
    <row r="13" spans="4:26" ht="24" customHeight="1" x14ac:dyDescent="0.3">
      <c r="D13" s="475" t="s">
        <v>23</v>
      </c>
      <c r="E13" s="452">
        <f>+[5]인천!$H$86/1000</f>
        <v>268.98682690382191</v>
      </c>
      <c r="F13" s="453">
        <f>+[5]인천!$I$86/1000</f>
        <v>383.64318999999989</v>
      </c>
      <c r="G13" s="189">
        <f t="shared" si="0"/>
        <v>114.65636309617798</v>
      </c>
      <c r="H13" s="452">
        <f>+[5]인천!$T$5/1000</f>
        <v>28</v>
      </c>
      <c r="I13" s="453">
        <f>+[5]인천!$U$5/1000</f>
        <v>31.815999999999999</v>
      </c>
      <c r="J13" s="165">
        <f t="shared" si="1"/>
        <v>3.8159999999999989</v>
      </c>
      <c r="K13" s="454">
        <f>+[5]인천!$M$86/1000</f>
        <v>51.178783976099574</v>
      </c>
      <c r="L13" s="452">
        <f>+[5]인천!$Q$85</f>
        <v>102833.01607142856</v>
      </c>
      <c r="M13" s="453">
        <f>+[5]인천!$R$85</f>
        <v>104344.1067387478</v>
      </c>
      <c r="N13" s="165">
        <f t="shared" si="2"/>
        <v>1511.0906673192367</v>
      </c>
      <c r="O13" s="454">
        <f>+[5]인천!$K$86/1000</f>
        <v>48.07686067142884</v>
      </c>
      <c r="P13" s="452">
        <f>+[5]인천!$Q$50</f>
        <v>89421.385050438097</v>
      </c>
      <c r="Q13" s="453">
        <f>+[5]인천!$R$50</f>
        <v>89217.195022311615</v>
      </c>
      <c r="R13" s="165">
        <f t="shared" si="3"/>
        <v>-204.1900281264825</v>
      </c>
      <c r="S13" s="454">
        <f>+[5]인천!$L$56/1000</f>
        <v>6.5224269647380737</v>
      </c>
      <c r="T13" s="452">
        <f>+([5]인천!$H$80+[5]인천!$H$85)/1000</f>
        <v>106.53884168391113</v>
      </c>
      <c r="U13" s="453">
        <f>+([5]인천!$I$80+[5]인천!$I$85)/1000</f>
        <v>97.660550200000003</v>
      </c>
      <c r="V13" s="165">
        <f t="shared" si="4"/>
        <v>-8.8782914839111271</v>
      </c>
      <c r="W13" s="454">
        <f>+([5]인천!$L$80+[5]인천!$L$85)/1000</f>
        <v>8.8782914839111182</v>
      </c>
      <c r="Y13" s="6">
        <f t="shared" si="5"/>
        <v>3.7836400679225335E-13</v>
      </c>
      <c r="Z13" s="6">
        <f t="shared" si="6"/>
        <v>3.7836400679225335E-7</v>
      </c>
    </row>
    <row r="14" spans="4:26" ht="24" customHeight="1" x14ac:dyDescent="0.3">
      <c r="D14" s="475" t="s">
        <v>24</v>
      </c>
      <c r="E14" s="452">
        <f>+[5]파주!$H$86/1000</f>
        <v>318.60083319053075</v>
      </c>
      <c r="F14" s="453">
        <f>+[5]파주!$I$86/1000</f>
        <v>246.07782100000031</v>
      </c>
      <c r="G14" s="189">
        <f t="shared" si="0"/>
        <v>-72.523012190530437</v>
      </c>
      <c r="H14" s="452">
        <f>+[5]파주!$T$5/1000</f>
        <v>27</v>
      </c>
      <c r="I14" s="453">
        <f>+[5]파주!$U$5/1000</f>
        <v>24.852</v>
      </c>
      <c r="J14" s="165">
        <f t="shared" si="1"/>
        <v>-2.1479999999999997</v>
      </c>
      <c r="K14" s="454">
        <f>+[5]파주!$M$86/1000</f>
        <v>-30.756137180074933</v>
      </c>
      <c r="L14" s="452">
        <f>+[5]파주!$Q$85</f>
        <v>97024.888077226191</v>
      </c>
      <c r="M14" s="453">
        <f>+[5]파주!$R$85</f>
        <v>102308.18901506001</v>
      </c>
      <c r="N14" s="165">
        <f t="shared" si="2"/>
        <v>5283.3009378338174</v>
      </c>
      <c r="O14" s="454">
        <f>+[5]파주!$K$86/1000</f>
        <v>131.20549549016502</v>
      </c>
      <c r="P14" s="452">
        <f>+[5]파주!$Q$50</f>
        <v>82800.448012556313</v>
      </c>
      <c r="Q14" s="453">
        <f>+[5]파주!$R$50</f>
        <v>89868.166384863114</v>
      </c>
      <c r="R14" s="165">
        <f t="shared" si="3"/>
        <v>7067.718372306801</v>
      </c>
      <c r="S14" s="454">
        <f>+[5]파주!$L$56/1000</f>
        <v>-175.5052167761759</v>
      </c>
      <c r="T14" s="452">
        <f>+([5]파주!$H$80+[5]파주!$H$85)/1000</f>
        <v>65.459048555555555</v>
      </c>
      <c r="U14" s="453">
        <f>+([5]파주!$I$80+[5]파주!$I$85)/1000</f>
        <v>62.926202279999998</v>
      </c>
      <c r="V14" s="165">
        <f t="shared" si="4"/>
        <v>-2.5328462755555563</v>
      </c>
      <c r="W14" s="454">
        <f>+([5]파주!$L$80+[5]파주!$L$85)/1000</f>
        <v>2.5328462755555585</v>
      </c>
      <c r="Y14" s="6">
        <f t="shared" si="5"/>
        <v>-1.7275070263167436E-13</v>
      </c>
      <c r="Z14" s="6">
        <f t="shared" si="6"/>
        <v>-1.7275070263167436E-7</v>
      </c>
    </row>
    <row r="15" spans="4:26" ht="24" customHeight="1" x14ac:dyDescent="0.3">
      <c r="D15" s="475" t="s">
        <v>178</v>
      </c>
      <c r="E15" s="452">
        <f>+[5]김포!$H$86/1000</f>
        <v>118.9771372173127</v>
      </c>
      <c r="F15" s="453">
        <f>+[5]김포!$I$86/1000</f>
        <v>115.38405200000003</v>
      </c>
      <c r="G15" s="189">
        <f t="shared" si="0"/>
        <v>-3.5930852173126766</v>
      </c>
      <c r="H15" s="452">
        <f>+[5]김포!$T$5/1000</f>
        <v>12.5</v>
      </c>
      <c r="I15" s="453">
        <f>+[5]김포!$U$5/1000</f>
        <v>12.401</v>
      </c>
      <c r="J15" s="165">
        <f t="shared" si="1"/>
        <v>-9.9000000000000199E-2</v>
      </c>
      <c r="K15" s="454">
        <f>+[5]김포!$M$86/1000</f>
        <v>-1.3776392739611165</v>
      </c>
      <c r="L15" s="452">
        <f>+[5]김포!$Q$85</f>
        <v>94015</v>
      </c>
      <c r="M15" s="453">
        <f>+[5]김포!$R$85</f>
        <v>97269.892428029983</v>
      </c>
      <c r="N15" s="165">
        <f t="shared" si="2"/>
        <v>3254.8924280299834</v>
      </c>
      <c r="O15" s="454">
        <f>+[5]김포!$K$86/1000</f>
        <v>40.36392099999982</v>
      </c>
      <c r="P15" s="452">
        <f>+[5]김포!$Q$50</f>
        <v>80099.451778170536</v>
      </c>
      <c r="Q15" s="463">
        <f>+[5]김포!$R$50</f>
        <v>83870.88605757599</v>
      </c>
      <c r="R15" s="165">
        <f t="shared" si="3"/>
        <v>3771.4342794054537</v>
      </c>
      <c r="S15" s="454">
        <f>+[5]김포!$L$56/1000</f>
        <v>-46.769561308907001</v>
      </c>
      <c r="T15" s="452">
        <f>+([5]김포!$H$80+[5]김포!$H$85)/1000</f>
        <v>54.967215555555548</v>
      </c>
      <c r="U15" s="453">
        <f>+([5]김포!$I$80+[5]김포!$I$85)/1000</f>
        <v>50.777021189999999</v>
      </c>
      <c r="V15" s="165">
        <f t="shared" si="4"/>
        <v>-4.1901943655555485</v>
      </c>
      <c r="W15" s="454">
        <f>+([5]김포!$L$80+[5]김포!$L$85)/1000</f>
        <v>4.1901943655555494</v>
      </c>
      <c r="Y15" s="6">
        <f t="shared" si="5"/>
        <v>7.0166095156309893E-14</v>
      </c>
      <c r="Z15" s="6">
        <f t="shared" si="6"/>
        <v>7.0166095156309893E-8</v>
      </c>
    </row>
    <row r="16" spans="4:26" ht="24" customHeight="1" x14ac:dyDescent="0.3">
      <c r="D16" s="476" t="s">
        <v>25</v>
      </c>
      <c r="E16" s="455">
        <f>+[5]부산!$H$86/1000</f>
        <v>283.18565316630048</v>
      </c>
      <c r="F16" s="456">
        <f>+[5]부산!$I$86/1000</f>
        <v>237.07459099999988</v>
      </c>
      <c r="G16" s="457">
        <f t="shared" si="0"/>
        <v>-46.111062166300599</v>
      </c>
      <c r="H16" s="455">
        <f>+[5]부산!$T$5/1000</f>
        <v>19</v>
      </c>
      <c r="I16" s="456">
        <f>+[5]부산!$U$5/1000</f>
        <v>21.643000000000001</v>
      </c>
      <c r="J16" s="458">
        <f t="shared" si="1"/>
        <v>2.6430000000000007</v>
      </c>
      <c r="K16" s="459">
        <f>+[5]부산!$M$86/1000</f>
        <v>53.764732354764853</v>
      </c>
      <c r="L16" s="455">
        <f>+[5]부산!$Q$85</f>
        <v>107600.25348684211</v>
      </c>
      <c r="M16" s="456">
        <f>+[5]부산!$R$85</f>
        <v>106343.69736173359</v>
      </c>
      <c r="N16" s="458">
        <f t="shared" si="2"/>
        <v>-1256.5561251085164</v>
      </c>
      <c r="O16" s="459">
        <f>+[5]부산!$K$86/1000</f>
        <v>-27.195644215723622</v>
      </c>
      <c r="P16" s="455">
        <f>+[5]부산!$Q$50</f>
        <v>87257.940828966675</v>
      </c>
      <c r="Q16" s="456">
        <f>+[5]부산!$R$50</f>
        <v>91265.513117671217</v>
      </c>
      <c r="R16" s="458">
        <f t="shared" si="3"/>
        <v>4007.5722887045413</v>
      </c>
      <c r="S16" s="459">
        <f>+[5]부산!$L$56/1000</f>
        <v>-54.863722848675138</v>
      </c>
      <c r="T16" s="455">
        <f>+([5]부산!$H$80+[5]부산!$H$85)/1000</f>
        <v>103.31828733333333</v>
      </c>
      <c r="U16" s="456">
        <f>+([5]부산!$I$80+[5]부산!$I$85)/1000</f>
        <v>121.13471479000003</v>
      </c>
      <c r="V16" s="458">
        <f t="shared" si="4"/>
        <v>17.816427456666702</v>
      </c>
      <c r="W16" s="459">
        <f>+([5]부산!$L$80+[5]부산!$L$85)/1000</f>
        <v>-17.816427456666695</v>
      </c>
      <c r="Y16" s="6">
        <f t="shared" si="5"/>
        <v>0</v>
      </c>
      <c r="Z16" s="6">
        <f t="shared" si="6"/>
        <v>0</v>
      </c>
    </row>
    <row r="17" spans="4:26" ht="24" customHeight="1" x14ac:dyDescent="0.3">
      <c r="D17" s="475" t="s">
        <v>26</v>
      </c>
      <c r="E17" s="452">
        <f>+[5]서부산!$H$86/1000</f>
        <v>420.79331275072354</v>
      </c>
      <c r="F17" s="453">
        <f>+[5]서부산!$I$86/1000</f>
        <v>346.17788299999995</v>
      </c>
      <c r="G17" s="189">
        <f t="shared" si="0"/>
        <v>-74.615429750723592</v>
      </c>
      <c r="H17" s="452">
        <f>+[5]서부산!$T$5/1000</f>
        <v>24</v>
      </c>
      <c r="I17" s="453">
        <f>+[5]서부산!$U$5/1000</f>
        <v>23.103999999999999</v>
      </c>
      <c r="J17" s="165">
        <f t="shared" si="1"/>
        <v>-0.8960000000000008</v>
      </c>
      <c r="K17" s="454">
        <f>+[5]서부산!$M$86/1000</f>
        <v>-17.385309389804796</v>
      </c>
      <c r="L17" s="452">
        <f>+[5]서부산!$Q$85</f>
        <v>103677.36166666666</v>
      </c>
      <c r="M17" s="453">
        <f>+[5]서부산!$R$85</f>
        <v>101874.60612880887</v>
      </c>
      <c r="N17" s="165">
        <f t="shared" si="2"/>
        <v>-1802.7555378577963</v>
      </c>
      <c r="O17" s="454">
        <f>+[5]서부산!$K$86/1000</f>
        <v>-41.650863946666526</v>
      </c>
      <c r="P17" s="452">
        <f>+[5]서부산!$Q$50</f>
        <v>84274.114579830974</v>
      </c>
      <c r="Q17" s="453">
        <f>+[5]서부산!$R$50</f>
        <v>84981.89460699445</v>
      </c>
      <c r="R17" s="165">
        <f t="shared" si="3"/>
        <v>707.78002716347692</v>
      </c>
      <c r="S17" s="454">
        <f>+[5]서부산!$L$56/1000</f>
        <v>-0.68978173758551198</v>
      </c>
      <c r="T17" s="452">
        <f>+([5]서부산!$H$80+[5]서부산!$H$85)/1000</f>
        <v>44.884617333333338</v>
      </c>
      <c r="U17" s="453">
        <f>+([5]서부산!$I$80+[5]서부산!$I$85)/1000</f>
        <v>59.77409200999999</v>
      </c>
      <c r="V17" s="165">
        <f t="shared" si="4"/>
        <v>14.889474676666651</v>
      </c>
      <c r="W17" s="454">
        <f>+([5]서부산!$L$80+[5]서부산!$L$85)/1000</f>
        <v>-14.889474676666666</v>
      </c>
      <c r="Y17" s="6">
        <f t="shared" si="5"/>
        <v>-9.2370555648813024E-14</v>
      </c>
      <c r="Z17" s="6">
        <f t="shared" si="6"/>
        <v>-9.2370555648813024E-8</v>
      </c>
    </row>
    <row r="18" spans="4:26" ht="24" customHeight="1" x14ac:dyDescent="0.3">
      <c r="D18" s="475" t="s">
        <v>27</v>
      </c>
      <c r="E18" s="452">
        <f>+[5]김해!$H$86/1000</f>
        <v>142.69555450283352</v>
      </c>
      <c r="F18" s="453">
        <f>+[5]김해!$I$86/1000</f>
        <v>100.67252699999989</v>
      </c>
      <c r="G18" s="189">
        <f t="shared" si="0"/>
        <v>-42.023027502833628</v>
      </c>
      <c r="H18" s="452">
        <f>+[5]김해!$T$5/1000</f>
        <v>12</v>
      </c>
      <c r="I18" s="453">
        <f>+[5]김해!$U$5/1000</f>
        <v>14.128</v>
      </c>
      <c r="J18" s="165">
        <f t="shared" si="1"/>
        <v>2.1280000000000001</v>
      </c>
      <c r="K18" s="454">
        <f>+[5]김해!$M$86/1000</f>
        <v>25.945787071335769</v>
      </c>
      <c r="L18" s="452">
        <f>+[5]김해!$Q$85</f>
        <v>101000.2</v>
      </c>
      <c r="M18" s="453">
        <f>+[5]김해!$R$85</f>
        <v>96687.288882361579</v>
      </c>
      <c r="N18" s="165">
        <f t="shared" si="2"/>
        <v>-4312.9111176384176</v>
      </c>
      <c r="O18" s="454">
        <f>+[5]김해!$K$86/1000</f>
        <v>-58.733223599999967</v>
      </c>
      <c r="P18" s="452">
        <f>+[5]김해!$Q$50</f>
        <v>85311.209226615698</v>
      </c>
      <c r="Q18" s="453">
        <f>+[5]김해!$R$50</f>
        <v>85969.693567337352</v>
      </c>
      <c r="R18" s="165">
        <f t="shared" si="3"/>
        <v>658.48434072165401</v>
      </c>
      <c r="S18" s="454">
        <f>+[5]김해!$L$56/1000</f>
        <v>-5.3847174419473571</v>
      </c>
      <c r="T18" s="452">
        <f>+([5]김해!$H$80+[5]김해!$H$85)/1000</f>
        <v>45.572334777777776</v>
      </c>
      <c r="U18" s="453">
        <f>+([5]김해!$I$80+[5]김해!$I$85)/1000</f>
        <v>49.42320831</v>
      </c>
      <c r="V18" s="165">
        <f t="shared" si="4"/>
        <v>3.8508735322222236</v>
      </c>
      <c r="W18" s="454">
        <f>+([5]김해!$L$80+[5]김해!$L$85)/1000</f>
        <v>-3.8508735322222227</v>
      </c>
      <c r="Y18" s="6">
        <f t="shared" si="5"/>
        <v>1.4654943925052066E-13</v>
      </c>
      <c r="Z18" s="6">
        <f t="shared" si="6"/>
        <v>1.4654943925052066E-7</v>
      </c>
    </row>
    <row r="19" spans="4:26" ht="24" customHeight="1" x14ac:dyDescent="0.3">
      <c r="D19" s="475" t="s">
        <v>28</v>
      </c>
      <c r="E19" s="452">
        <f>+[5]정관!$H$86/1000</f>
        <v>245.91392819196605</v>
      </c>
      <c r="F19" s="453">
        <f>+[5]정관!$I$86/1000</f>
        <v>246.30265899999992</v>
      </c>
      <c r="G19" s="189">
        <f t="shared" si="0"/>
        <v>0.38873080803386983</v>
      </c>
      <c r="H19" s="452">
        <f>+[5]정관!$T$5/1000</f>
        <v>18</v>
      </c>
      <c r="I19" s="453">
        <f>+[5]정관!$U$5/1000</f>
        <v>20.677</v>
      </c>
      <c r="J19" s="165">
        <f t="shared" si="1"/>
        <v>2.6769999999999996</v>
      </c>
      <c r="K19" s="454">
        <f>+[5]정관!$M$86/1000</f>
        <v>46.926470966710127</v>
      </c>
      <c r="L19" s="452">
        <f>+[5]정관!$Q$85</f>
        <v>104000</v>
      </c>
      <c r="M19" s="453">
        <f>+[5]정관!$R$85</f>
        <v>103388.96841901631</v>
      </c>
      <c r="N19" s="165">
        <f t="shared" si="2"/>
        <v>-611.03158098369022</v>
      </c>
      <c r="O19" s="454">
        <f>+[5]정관!$K$86/1000</f>
        <v>-12.634299999999763</v>
      </c>
      <c r="P19" s="452">
        <f>+[5]정관!$Q$50</f>
        <v>86470.500199211747</v>
      </c>
      <c r="Q19" s="453">
        <f>+[5]정관!$R$50</f>
        <v>88230.008992892719</v>
      </c>
      <c r="R19" s="165">
        <f t="shared" si="3"/>
        <v>1759.5087936809723</v>
      </c>
      <c r="S19" s="454">
        <f>+[5]정관!$L$56/1000</f>
        <v>-29.643932770898765</v>
      </c>
      <c r="T19" s="452">
        <f>+([5]정관!$H$80+[5]정관!$H$85)/1000</f>
        <v>69.61706822222223</v>
      </c>
      <c r="U19" s="453">
        <f>+([5]정관!$I$80+[5]정관!$I$85)/1000</f>
        <v>73.876575610000003</v>
      </c>
      <c r="V19" s="165">
        <f t="shared" si="4"/>
        <v>4.2595073877777736</v>
      </c>
      <c r="W19" s="454">
        <f>+([5]정관!$L$80+[5]정관!$L$85)/1000</f>
        <v>-4.2595073877777772</v>
      </c>
      <c r="Y19" s="6">
        <f t="shared" si="5"/>
        <v>4.6185277824406512E-14</v>
      </c>
      <c r="Z19" s="6">
        <f t="shared" si="6"/>
        <v>4.6185277824406512E-8</v>
      </c>
    </row>
    <row r="20" spans="4:26" ht="24" customHeight="1" x14ac:dyDescent="0.3">
      <c r="D20" s="475" t="s">
        <v>29</v>
      </c>
      <c r="E20" s="452">
        <f>+[5]양산!$H$86/1000</f>
        <v>118.04823830331384</v>
      </c>
      <c r="F20" s="453">
        <f>+[5]양산!$I$86/1000</f>
        <v>132.96660900000006</v>
      </c>
      <c r="G20" s="189">
        <f t="shared" si="0"/>
        <v>14.918370696686225</v>
      </c>
      <c r="H20" s="452">
        <f>+[5]양산!$T$5/1000</f>
        <v>11</v>
      </c>
      <c r="I20" s="453">
        <f>+[5]양산!$U$5/1000</f>
        <v>13.47</v>
      </c>
      <c r="J20" s="165">
        <f t="shared" si="1"/>
        <v>2.4700000000000006</v>
      </c>
      <c r="K20" s="454">
        <f>+[5]양산!$M$86/1000</f>
        <v>38.560372209622905</v>
      </c>
      <c r="L20" s="452">
        <f>+[5]양산!$Q$85</f>
        <v>96715.406363636372</v>
      </c>
      <c r="M20" s="453">
        <f>+[5]양산!$R$85</f>
        <v>91323.480326651814</v>
      </c>
      <c r="N20" s="165">
        <f t="shared" si="2"/>
        <v>-5391.9260369845579</v>
      </c>
      <c r="O20" s="454">
        <f>+[5]양산!$K$86/1000</f>
        <v>-72.629243718181996</v>
      </c>
      <c r="P20" s="452">
        <f>+[5]양산!$Q$50</f>
        <v>81103.919639092725</v>
      </c>
      <c r="Q20" s="453">
        <f>+[5]양산!$R$50</f>
        <v>78606.51128433556</v>
      </c>
      <c r="R20" s="165">
        <f t="shared" si="3"/>
        <v>-2497.4083547571645</v>
      </c>
      <c r="S20" s="454">
        <f>+[5]양산!$L$56/1000</f>
        <v>33.92112881857868</v>
      </c>
      <c r="T20" s="452">
        <f>+([5]양산!$H$80+[5]양산!$H$85)/1000</f>
        <v>53.678115666666663</v>
      </c>
      <c r="U20" s="453">
        <f>+([5]양산!$I$80+[5]양산!$I$85)/1000</f>
        <v>38.612002279999999</v>
      </c>
      <c r="V20" s="165">
        <f t="shared" si="4"/>
        <v>-15.066113386666665</v>
      </c>
      <c r="W20" s="454">
        <f>+([5]양산!$L$80+[5]양산!$L$85)/1000</f>
        <v>15.06611338666667</v>
      </c>
      <c r="Y20" s="6">
        <f t="shared" si="5"/>
        <v>-3.3750779948604759E-14</v>
      </c>
      <c r="Z20" s="6">
        <f t="shared" si="6"/>
        <v>-3.3750779948604759E-8</v>
      </c>
    </row>
    <row r="21" spans="4:26" ht="24" customHeight="1" x14ac:dyDescent="0.3">
      <c r="D21" s="475" t="s">
        <v>30</v>
      </c>
      <c r="E21" s="452">
        <f>+[5]창원!$H$86/1000</f>
        <v>296.12376918190239</v>
      </c>
      <c r="F21" s="453">
        <f>+[5]창원!$I$86/1000</f>
        <v>321.83746799999994</v>
      </c>
      <c r="G21" s="189">
        <f t="shared" si="0"/>
        <v>25.713698818097555</v>
      </c>
      <c r="H21" s="452">
        <f>+[5]창원!$T$5/1000</f>
        <v>18</v>
      </c>
      <c r="I21" s="453">
        <f>+[5]창원!$U$5/1000</f>
        <v>18.722999999999999</v>
      </c>
      <c r="J21" s="165">
        <f t="shared" si="1"/>
        <v>0.72299999999999898</v>
      </c>
      <c r="K21" s="454">
        <f>+[5]창원!$M$86/1000</f>
        <v>14.772789256898992</v>
      </c>
      <c r="L21" s="452">
        <f>+[5]창원!$Q$85</f>
        <v>99635.694444444438</v>
      </c>
      <c r="M21" s="453">
        <f>+[5]창원!$R$85</f>
        <v>101750.73439085616</v>
      </c>
      <c r="N21" s="165">
        <f t="shared" si="2"/>
        <v>2115.0399464117218</v>
      </c>
      <c r="O21" s="454">
        <f>+[5]창원!$K$86/1000</f>
        <v>39.599892916666661</v>
      </c>
      <c r="P21" s="452">
        <f>+[5]창원!$Q$50</f>
        <v>79203.067533104186</v>
      </c>
      <c r="Q21" s="453">
        <f>+[5]창원!$R$50</f>
        <v>80564.206911285582</v>
      </c>
      <c r="R21" s="165">
        <f t="shared" si="3"/>
        <v>1361.1393781813968</v>
      </c>
      <c r="S21" s="454">
        <f>+[5]창원!$L$56/1000</f>
        <v>-25.484466707690469</v>
      </c>
      <c r="T21" s="452">
        <f>+([5]창원!$H$80+[5]창원!$H$85)/1000</f>
        <v>71.66351522222223</v>
      </c>
      <c r="U21" s="453">
        <f>+([5]창원!$I$80+[5]창원!$I$85)/1000</f>
        <v>74.838031870000009</v>
      </c>
      <c r="V21" s="165">
        <f t="shared" si="4"/>
        <v>3.1745166477777786</v>
      </c>
      <c r="W21" s="454">
        <f>+([5]창원!$L$80+[5]창원!$L$85)/1000</f>
        <v>-3.1745166477777764</v>
      </c>
      <c r="Y21" s="6">
        <f t="shared" si="5"/>
        <v>1.4699352846037073E-13</v>
      </c>
      <c r="Z21" s="6">
        <f t="shared" si="6"/>
        <v>1.4699352846037073E-7</v>
      </c>
    </row>
    <row r="22" spans="4:26" ht="24" customHeight="1" x14ac:dyDescent="0.3">
      <c r="D22" s="475" t="s">
        <v>95</v>
      </c>
      <c r="E22" s="452">
        <f>+[5]대구!$H$86/1000</f>
        <v>253.15821331724507</v>
      </c>
      <c r="F22" s="453">
        <f>+[5]대구!$I$86/1000</f>
        <v>198.15277300000014</v>
      </c>
      <c r="G22" s="189">
        <f t="shared" si="0"/>
        <v>-55.005440317244933</v>
      </c>
      <c r="H22" s="452">
        <f>+[5]대구!$T$5/1000</f>
        <v>16</v>
      </c>
      <c r="I22" s="453">
        <f>+[5]대구!$U$5/1000</f>
        <v>15.571999999999999</v>
      </c>
      <c r="J22" s="165">
        <f t="shared" si="1"/>
        <v>-0.42800000000000082</v>
      </c>
      <c r="K22" s="454">
        <f>+[5]대구!$M$86/1000</f>
        <v>-8.1416882618783415</v>
      </c>
      <c r="L22" s="452">
        <f>+[5]대구!$Q$85</f>
        <v>97800.000000000015</v>
      </c>
      <c r="M22" s="453">
        <f>+[5]대구!$R$85</f>
        <v>101245.55882352941</v>
      </c>
      <c r="N22" s="165">
        <f t="shared" si="2"/>
        <v>3445.5588235293981</v>
      </c>
      <c r="O22" s="454">
        <f>+[5]대구!$K$86/1000</f>
        <v>53.65424199999979</v>
      </c>
      <c r="P22" s="452">
        <f>+[5]대구!$Q$50</f>
        <v>78777.363874116039</v>
      </c>
      <c r="Q22" s="453">
        <f>+[5]대구!$R$50</f>
        <v>85274.60480349345</v>
      </c>
      <c r="R22" s="165">
        <f t="shared" si="3"/>
        <v>6497.2409293774108</v>
      </c>
      <c r="S22" s="454">
        <f>+[5]대구!$L$56/1000</f>
        <v>-101.1750465622648</v>
      </c>
      <c r="T22" s="452">
        <f>+([5]대구!$H$80+[5]대구!$H$85)/1000</f>
        <v>51.203964696898524</v>
      </c>
      <c r="U22" s="453">
        <f>+([5]대구!$I$80+[5]대구!$I$85)/1000</f>
        <v>50.54691219</v>
      </c>
      <c r="V22" s="165">
        <f t="shared" si="4"/>
        <v>-0.65705250689852335</v>
      </c>
      <c r="W22" s="454">
        <f>+([5]대구!$L$80+[5]대구!$L$85)/1000</f>
        <v>0.65705250689852412</v>
      </c>
      <c r="Y22" s="6">
        <f t="shared" si="5"/>
        <v>-1.1446399383885364E-13</v>
      </c>
      <c r="Z22" s="6">
        <f t="shared" si="6"/>
        <v>-1.1446399383885364E-7</v>
      </c>
    </row>
    <row r="23" spans="4:26" ht="24" customHeight="1" x14ac:dyDescent="0.3">
      <c r="D23" s="475" t="s">
        <v>97</v>
      </c>
      <c r="E23" s="452">
        <f>+[5]울산!$H$86/1000</f>
        <v>-8.9297030610637886</v>
      </c>
      <c r="F23" s="453">
        <f>+[5]울산!$I$86/1000</f>
        <v>30.862732999999988</v>
      </c>
      <c r="G23" s="189">
        <f t="shared" si="0"/>
        <v>39.792436061063775</v>
      </c>
      <c r="H23" s="452">
        <f>+[5]울산!$T$5/1000</f>
        <v>7</v>
      </c>
      <c r="I23" s="453">
        <f>+[5]울산!$U$5/1000</f>
        <v>7.1829999999999998</v>
      </c>
      <c r="J23" s="165">
        <f t="shared" si="1"/>
        <v>0.18299999999999983</v>
      </c>
      <c r="K23" s="454">
        <f>+[5]울산!$M$86/1000</f>
        <v>0.73734126878457029</v>
      </c>
      <c r="L23" s="452">
        <f>+[5]울산!$Q$85</f>
        <v>98025.400000000009</v>
      </c>
      <c r="M23" s="453">
        <f>+[5]울산!$R$85</f>
        <v>105834.37867186412</v>
      </c>
      <c r="N23" s="165">
        <f t="shared" si="2"/>
        <v>7808.9786718641117</v>
      </c>
      <c r="O23" s="454">
        <f>+[5]울산!$K$86/1000</f>
        <v>56.091893799999916</v>
      </c>
      <c r="P23" s="452">
        <f>+[5]울산!$Q$50</f>
        <v>93996.212738882139</v>
      </c>
      <c r="Q23" s="453">
        <f>+[5]울산!$R$50</f>
        <v>96418.161487236415</v>
      </c>
      <c r="R23" s="165">
        <f t="shared" si="3"/>
        <v>2421.9487483542762</v>
      </c>
      <c r="S23" s="454">
        <f>+[5]울산!$L$56/1000</f>
        <v>-16.90842690660963</v>
      </c>
      <c r="T23" s="452">
        <f>+([5]울산!$H$80+[5]울산!$H$85)/1000</f>
        <v>37.134013888888887</v>
      </c>
      <c r="U23" s="453">
        <f>+([5]울산!$I$80+[5]울산!$I$85)/1000</f>
        <v>37.262385989999999</v>
      </c>
      <c r="V23" s="165">
        <f t="shared" si="4"/>
        <v>0.12837210111111119</v>
      </c>
      <c r="W23" s="454">
        <f>+([5]울산!$L$80+[5]울산!$L$85)/1000</f>
        <v>-0.12837210111110903</v>
      </c>
      <c r="Y23" s="6">
        <f t="shared" si="5"/>
        <v>2.9809488211185453E-14</v>
      </c>
      <c r="Z23" s="6">
        <f t="shared" si="6"/>
        <v>2.9809488211185453E-8</v>
      </c>
    </row>
    <row r="24" spans="4:26" ht="24" customHeight="1" x14ac:dyDescent="0.3">
      <c r="D24" s="476" t="s">
        <v>31</v>
      </c>
      <c r="E24" s="455">
        <f>+[5]아산!$H$86/1000</f>
        <v>374.64057389918116</v>
      </c>
      <c r="F24" s="456">
        <f>+[5]아산!$I$86/1000</f>
        <v>386.5277320000003</v>
      </c>
      <c r="G24" s="457">
        <f t="shared" si="0"/>
        <v>11.887158100819136</v>
      </c>
      <c r="H24" s="455">
        <f>+[5]아산!$T$5/1000</f>
        <v>24</v>
      </c>
      <c r="I24" s="456">
        <f>+[5]아산!$U$5/1000</f>
        <v>27.771999999999998</v>
      </c>
      <c r="J24" s="458">
        <f t="shared" si="1"/>
        <v>3.7719999999999985</v>
      </c>
      <c r="K24" s="459">
        <f>+[5]아산!$M$86/1000</f>
        <v>66.957977484772158</v>
      </c>
      <c r="L24" s="455">
        <f>+[5]아산!$Q$85</f>
        <v>100999.55833333332</v>
      </c>
      <c r="M24" s="456">
        <f>+[5]아산!$R$85</f>
        <v>102685.23800904979</v>
      </c>
      <c r="N24" s="458">
        <f t="shared" si="2"/>
        <v>1685.6796757164702</v>
      </c>
      <c r="O24" s="459">
        <f>+[5]아산!$K$86/1000</f>
        <v>46.566901041667492</v>
      </c>
      <c r="P24" s="455">
        <f>+[5]아산!$Q$50</f>
        <v>82674.378337534115</v>
      </c>
      <c r="Q24" s="456">
        <f>+[5]아산!$R$50</f>
        <v>86390.587764705881</v>
      </c>
      <c r="R24" s="458">
        <f t="shared" si="3"/>
        <v>3716.2094271717651</v>
      </c>
      <c r="S24" s="459">
        <f>+[5]아산!$L$56/1000</f>
        <v>-102.66027910562032</v>
      </c>
      <c r="T24" s="455">
        <f>+([5]아산!$H$80+[5]아산!$H$85)/1000</f>
        <v>65.163745999999989</v>
      </c>
      <c r="U24" s="456">
        <f>+([5]아산!$I$80+[5]아산!$I$85)/1000</f>
        <v>64.14118732</v>
      </c>
      <c r="V24" s="458">
        <f t="shared" si="4"/>
        <v>-1.0225586799999888</v>
      </c>
      <c r="W24" s="459">
        <f>+([5]아산!$L$80+[5]아산!$L$85)/1000</f>
        <v>1.0225586799999946</v>
      </c>
      <c r="Y24" s="6">
        <f t="shared" si="5"/>
        <v>-1.9051427102567686E-13</v>
      </c>
      <c r="Z24" s="6">
        <f t="shared" si="6"/>
        <v>-1.9051427102567686E-7</v>
      </c>
    </row>
    <row r="25" spans="4:26" ht="24" customHeight="1" x14ac:dyDescent="0.3">
      <c r="D25" s="475" t="s">
        <v>34</v>
      </c>
      <c r="E25" s="452">
        <f>+[5]전주!$H$86/1000</f>
        <v>196.65841138196004</v>
      </c>
      <c r="F25" s="453">
        <f>+[5]전주!$I$86/1000</f>
        <v>10.438929999999978</v>
      </c>
      <c r="G25" s="189">
        <f t="shared" si="0"/>
        <v>-186.21948138196007</v>
      </c>
      <c r="H25" s="452">
        <f>+[5]전주!$T$5/1000</f>
        <v>12</v>
      </c>
      <c r="I25" s="453">
        <f>+[5]전주!$U$5/1000</f>
        <v>7.133</v>
      </c>
      <c r="J25" s="165">
        <f t="shared" si="1"/>
        <v>-4.867</v>
      </c>
      <c r="K25" s="454">
        <f>+[5]전주!$M$86/1000</f>
        <v>-100.52510298844439</v>
      </c>
      <c r="L25" s="452">
        <f>+[5]전주!$Q$85</f>
        <v>103777.158</v>
      </c>
      <c r="M25" s="453">
        <f>+[5]전주!$R$85</f>
        <v>93701.274779195286</v>
      </c>
      <c r="N25" s="165">
        <f t="shared" si="2"/>
        <v>-10075.88322080471</v>
      </c>
      <c r="O25" s="454">
        <f>+[5]전주!$K$86/1000</f>
        <v>-71.871275014000005</v>
      </c>
      <c r="P25" s="452">
        <f>+[5]전주!$Q$50</f>
        <v>83122.729607058864</v>
      </c>
      <c r="Q25" s="453">
        <f>+[5]전주!$R$50</f>
        <v>84066.918335901399</v>
      </c>
      <c r="R25" s="165">
        <f t="shared" si="3"/>
        <v>944.18872884253506</v>
      </c>
      <c r="S25" s="454">
        <f>+[5]전주!$L$56/1000</f>
        <v>-6.7259821228488867</v>
      </c>
      <c r="T25" s="452">
        <f>+([5]전주!$H$80+[5]전주!$H$85)/1000</f>
        <v>51.194729333333335</v>
      </c>
      <c r="U25" s="453">
        <f>+([5]전주!$I$80+[5]전주!$I$85)/1000</f>
        <v>58.291850590000003</v>
      </c>
      <c r="V25" s="165">
        <f t="shared" si="4"/>
        <v>7.0971212566666679</v>
      </c>
      <c r="W25" s="454">
        <f>+([5]전주!$L$80+[5]전주!$L$85)/1000</f>
        <v>-7.0971212566666617</v>
      </c>
      <c r="Y25" s="6">
        <f t="shared" si="5"/>
        <v>-1.2345680033831741E-13</v>
      </c>
      <c r="Z25" s="6">
        <f t="shared" si="6"/>
        <v>-1.2345680033831741E-7</v>
      </c>
    </row>
    <row r="26" spans="4:26" ht="24" customHeight="1" x14ac:dyDescent="0.3">
      <c r="D26" s="451" t="s">
        <v>33</v>
      </c>
      <c r="E26" s="452">
        <f>+[5]군산!$H$86/1000</f>
        <v>222.08147638520086</v>
      </c>
      <c r="F26" s="453">
        <f>+[5]군산!$I$86/1000</f>
        <v>313.98710700000009</v>
      </c>
      <c r="G26" s="189">
        <f t="shared" si="0"/>
        <v>91.905630614799236</v>
      </c>
      <c r="H26" s="452">
        <f>+[5]군산!$T$5/1000</f>
        <v>7.5</v>
      </c>
      <c r="I26" s="453">
        <f>+[5]군산!$U$5/1000</f>
        <v>8.9779999999999998</v>
      </c>
      <c r="J26" s="165">
        <f t="shared" si="1"/>
        <v>1.4779999999999998</v>
      </c>
      <c r="K26" s="454">
        <f>+[5]군산!$M$86/1000</f>
        <v>46.07262939224794</v>
      </c>
      <c r="L26" s="452">
        <f>+[5]군산!$Q$85</f>
        <v>109728.57266666669</v>
      </c>
      <c r="M26" s="453">
        <f>+[5]군산!$R$85</f>
        <v>113442.5537875392</v>
      </c>
      <c r="N26" s="165">
        <f t="shared" si="2"/>
        <v>3713.981120872515</v>
      </c>
      <c r="O26" s="454">
        <f>+[5]군산!$K$86/1000</f>
        <v>33.143567522666324</v>
      </c>
      <c r="P26" s="452">
        <f>+[5]군산!$Q$50</f>
        <v>77457.625059751022</v>
      </c>
      <c r="Q26" s="453">
        <f>+[5]군산!$R$50</f>
        <v>76137.452487673683</v>
      </c>
      <c r="R26" s="165">
        <f t="shared" si="3"/>
        <v>-1320.1725720773393</v>
      </c>
      <c r="S26" s="454">
        <f>+[5]군산!$L$56/1000</f>
        <v>11.781219473218238</v>
      </c>
      <c r="T26" s="452">
        <f>+([5]군산!$H$80+[5]군산!$H$85)/1000</f>
        <v>19.950630666666669</v>
      </c>
      <c r="U26" s="453">
        <f>+([5]군산!$I$80+[5]군산!$I$85)/1000</f>
        <v>19.04241644</v>
      </c>
      <c r="V26" s="165">
        <f t="shared" si="4"/>
        <v>-0.90821422666666862</v>
      </c>
      <c r="W26" s="454">
        <f>+([5]군산!$L$80+[5]군산!$L$85)/1000</f>
        <v>0.90821422666666718</v>
      </c>
      <c r="Y26" s="6">
        <f t="shared" si="5"/>
        <v>6.7168492989821971E-14</v>
      </c>
      <c r="Z26" s="6">
        <f t="shared" si="6"/>
        <v>6.7168492989821971E-8</v>
      </c>
    </row>
    <row r="27" spans="4:26" ht="24" customHeight="1" x14ac:dyDescent="0.3">
      <c r="D27" s="451" t="s">
        <v>32</v>
      </c>
      <c r="E27" s="452">
        <f>+[5]원주!$H$86/1000</f>
        <v>77.071971087742952</v>
      </c>
      <c r="F27" s="453">
        <f>+[5]원주!$I$86/1000</f>
        <v>145.91854499999999</v>
      </c>
      <c r="G27" s="189">
        <f t="shared" si="0"/>
        <v>68.846573912257043</v>
      </c>
      <c r="H27" s="452">
        <f>+[5]원주!$T$5/1000</f>
        <v>5</v>
      </c>
      <c r="I27" s="453">
        <f>+[5]원주!$U$5/1000</f>
        <v>6.2084999999999999</v>
      </c>
      <c r="J27" s="165">
        <f t="shared" si="1"/>
        <v>1.2084999999999999</v>
      </c>
      <c r="K27" s="454">
        <f>+[5]원주!$M$86/1000</f>
        <v>22.238072362203923</v>
      </c>
      <c r="L27" s="452">
        <f>+[5]원주!$Q$85</f>
        <v>107900</v>
      </c>
      <c r="M27" s="453">
        <f>+[5]원주!$R$85</f>
        <v>111513.96567007818</v>
      </c>
      <c r="N27" s="165">
        <f t="shared" si="2"/>
        <v>3613.9656700781779</v>
      </c>
      <c r="O27" s="454">
        <f>+[5]원주!$K$86/1000</f>
        <v>22.422850000000057</v>
      </c>
      <c r="P27" s="452">
        <f>+[5]원주!$Q$50</f>
        <v>89444.481226895849</v>
      </c>
      <c r="Q27" s="453">
        <f>+[5]원주!$R$50</f>
        <v>85346.942541703596</v>
      </c>
      <c r="R27" s="165">
        <f t="shared" si="3"/>
        <v>-4097.5386851922522</v>
      </c>
      <c r="S27" s="454">
        <f>+[5]원주!$L$56/1000</f>
        <v>25.423178962275323</v>
      </c>
      <c r="T27" s="452">
        <f>+([5]원주!$H$80+[5]원주!$H$85)/1000</f>
        <v>15.205622777777778</v>
      </c>
      <c r="U27" s="453">
        <f>+([5]원주!$I$80+[5]원주!$I$85)/1000</f>
        <v>16.443150190000001</v>
      </c>
      <c r="V27" s="165">
        <f t="shared" si="4"/>
        <v>1.2375274122222226</v>
      </c>
      <c r="W27" s="454">
        <f>+([5]원주!$L$80+[5]원주!$L$85)/1000</f>
        <v>-1.2375274122222217</v>
      </c>
      <c r="Y27" s="6">
        <f t="shared" si="5"/>
        <v>-3.8191672047105385E-14</v>
      </c>
      <c r="Z27" s="6">
        <f t="shared" si="6"/>
        <v>-3.8191672047105385E-8</v>
      </c>
    </row>
    <row r="28" spans="4:26" ht="24" customHeight="1" thickBot="1" x14ac:dyDescent="0.35">
      <c r="D28" s="500" t="s">
        <v>35</v>
      </c>
      <c r="E28" s="523">
        <f>+[5]제주!$H$86/1000</f>
        <v>42.359289755531428</v>
      </c>
      <c r="F28" s="656">
        <f>+[5]제주!$I$86/1000</f>
        <v>73.245190000000022</v>
      </c>
      <c r="G28" s="198">
        <f t="shared" si="0"/>
        <v>30.885900244468594</v>
      </c>
      <c r="H28" s="523">
        <f>+[5]제주!$T$5/1000</f>
        <v>4</v>
      </c>
      <c r="I28" s="656">
        <f>+[5]제주!$U$5/1000</f>
        <v>3.8479999999999999</v>
      </c>
      <c r="J28" s="199">
        <f t="shared" si="1"/>
        <v>-0.15200000000000014</v>
      </c>
      <c r="K28" s="657">
        <f>+[5]제주!$M$86/1000</f>
        <v>-2.5348769709373991</v>
      </c>
      <c r="L28" s="523">
        <f>+[5]제주!$Q$85</f>
        <v>126700</v>
      </c>
      <c r="M28" s="656">
        <f>+[5]제주!$R$85</f>
        <v>129670.60810810809</v>
      </c>
      <c r="N28" s="199">
        <f t="shared" si="2"/>
        <v>2970.608108108092</v>
      </c>
      <c r="O28" s="657">
        <f>+[5]제주!$K$86/1000</f>
        <v>11.430899999999937</v>
      </c>
      <c r="P28" s="523">
        <f>+[5]제주!$Q$50</f>
        <v>110023.1778227803</v>
      </c>
      <c r="Q28" s="656">
        <f>+[5]제주!$R$50</f>
        <v>103757.66346153847</v>
      </c>
      <c r="R28" s="199">
        <f t="shared" si="3"/>
        <v>-6265.5143612418324</v>
      </c>
      <c r="S28" s="657">
        <f>+[5]제주!$L$56/1000</f>
        <v>24.109701382058581</v>
      </c>
      <c r="T28" s="523">
        <f>+([5]제주!$H$80+[5]제주!$H$85)/1000</f>
        <v>24.347998953347428</v>
      </c>
      <c r="U28" s="656">
        <f>+([5]제주!$I$80+[5]제주!$I$85)/1000</f>
        <v>26.467823120000002</v>
      </c>
      <c r="V28" s="199">
        <f t="shared" si="4"/>
        <v>2.1198241666525739</v>
      </c>
      <c r="W28" s="657">
        <f>+([5]제주!$L$80+[5]제주!$L$85)/1000</f>
        <v>-2.1198241666525739</v>
      </c>
      <c r="Y28" s="6">
        <f t="shared" si="5"/>
        <v>4.6185277824406512E-14</v>
      </c>
      <c r="Z28" s="6">
        <f t="shared" si="6"/>
        <v>4.6185277824406512E-8</v>
      </c>
    </row>
    <row r="29" spans="4:26" ht="24" customHeight="1" x14ac:dyDescent="0.3"/>
    <row r="30" spans="4:26" ht="24" customHeight="1" x14ac:dyDescent="0.3"/>
    <row r="31" spans="4:26" ht="24" customHeight="1" x14ac:dyDescent="0.3"/>
    <row r="32" spans="4:26" ht="21.95" customHeight="1" x14ac:dyDescent="0.3">
      <c r="F32" s="592"/>
    </row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EF1B-105D-4AB3-9604-2DF289878442}">
  <sheetPr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activeCell="N19" sqref="N19"/>
      <selection pane="topRight" activeCell="N19" sqref="N19"/>
      <selection pane="bottomLeft" activeCell="N19" sqref="N19"/>
      <selection pane="bottomRight" activeCell="N19" sqref="N19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184" t="s">
        <v>219</v>
      </c>
      <c r="F4" s="184"/>
      <c r="I4" s="184"/>
    </row>
    <row r="5" spans="4:22" ht="21.95" customHeight="1" x14ac:dyDescent="0.3">
      <c r="V5" s="186" t="s">
        <v>150</v>
      </c>
    </row>
    <row r="6" spans="4:22" ht="24" customHeight="1" thickBot="1" x14ac:dyDescent="0.35">
      <c r="D6" s="825" t="s">
        <v>11</v>
      </c>
      <c r="E6" s="439" t="s">
        <v>21</v>
      </c>
      <c r="F6" s="440"/>
      <c r="G6" s="441"/>
      <c r="H6" s="439" t="s">
        <v>45</v>
      </c>
      <c r="I6" s="440"/>
      <c r="J6" s="441"/>
      <c r="K6" s="439" t="s">
        <v>46</v>
      </c>
      <c r="L6" s="440"/>
      <c r="M6" s="441"/>
      <c r="N6" s="439" t="s">
        <v>103</v>
      </c>
      <c r="O6" s="440"/>
      <c r="P6" s="441"/>
      <c r="Q6" s="439" t="s">
        <v>104</v>
      </c>
      <c r="R6" s="440"/>
      <c r="S6" s="441"/>
      <c r="T6" s="439" t="s">
        <v>69</v>
      </c>
      <c r="U6" s="440"/>
      <c r="V6" s="441"/>
    </row>
    <row r="7" spans="4:22" ht="24" customHeight="1" x14ac:dyDescent="0.3">
      <c r="D7" s="826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 x14ac:dyDescent="0.3">
      <c r="D8" s="470" t="s">
        <v>47</v>
      </c>
      <c r="E8" s="460">
        <f>+[5]합계!$Q$85</f>
        <v>101638.95152215073</v>
      </c>
      <c r="F8" s="462">
        <f>+[5]합계!$R$85</f>
        <v>102216.1111960061</v>
      </c>
      <c r="G8" s="487">
        <f>+F8-E8</f>
        <v>577.15967385536351</v>
      </c>
      <c r="H8" s="460">
        <f>+[5]합계!$Q$20</f>
        <v>59196.601760655125</v>
      </c>
      <c r="I8" s="462">
        <f>+[5]합계!$R$20</f>
        <v>62476.113508844028</v>
      </c>
      <c r="J8" s="487">
        <f>+I8-H8</f>
        <v>3279.5117481889029</v>
      </c>
      <c r="K8" s="460">
        <f>+[5]합계!$Q$21</f>
        <v>17314.050811544112</v>
      </c>
      <c r="L8" s="462">
        <f>+[5]합계!$R$21</f>
        <v>17193.777628676624</v>
      </c>
      <c r="M8" s="487">
        <f>+L8-K8</f>
        <v>-120.27318286748778</v>
      </c>
      <c r="N8" s="460">
        <f>+[5]합계!$Q$22</f>
        <v>199.8251748251748</v>
      </c>
      <c r="O8" s="462">
        <f>+[5]합계!$R$22</f>
        <v>198.01764612145962</v>
      </c>
      <c r="P8" s="487">
        <f>+O8-N8</f>
        <v>-1.8075287037151782</v>
      </c>
      <c r="Q8" s="460">
        <f>H8+K8+N8</f>
        <v>76710.477747024415</v>
      </c>
      <c r="R8" s="462">
        <f>I8+L8+O8</f>
        <v>79867.908783642109</v>
      </c>
      <c r="S8" s="487">
        <f>+R8-Q8</f>
        <v>3157.4310366176942</v>
      </c>
      <c r="T8" s="460">
        <f>+E8-Q8</f>
        <v>24928.473775126316</v>
      </c>
      <c r="U8" s="462">
        <f>+F8-R8</f>
        <v>22348.202412363986</v>
      </c>
      <c r="V8" s="487">
        <f>+U8-T8</f>
        <v>-2580.2713627623307</v>
      </c>
    </row>
    <row r="9" spans="4:22" ht="24" customHeight="1" x14ac:dyDescent="0.3">
      <c r="D9" s="471" t="s">
        <v>19</v>
      </c>
      <c r="E9" s="465">
        <f>+[5]수도권!$Q$85</f>
        <v>99587.16016668301</v>
      </c>
      <c r="F9" s="479">
        <f>+[5]수도권!$R$85</f>
        <v>101292.86384498632</v>
      </c>
      <c r="G9" s="488">
        <f t="shared" ref="G9:G28" si="0">+F9-E9</f>
        <v>1705.7036783033109</v>
      </c>
      <c r="H9" s="465">
        <f>+[5]수도권!$Q$20</f>
        <v>61060.091972745271</v>
      </c>
      <c r="I9" s="479">
        <f>+[5]수도권!$R$20</f>
        <v>64838.589911583236</v>
      </c>
      <c r="J9" s="488">
        <f t="shared" ref="J9:J28" si="1">+I9-H9</f>
        <v>3778.4979388379652</v>
      </c>
      <c r="K9" s="465">
        <f>+[5]수도권!$Q$21</f>
        <v>17184.441056000425</v>
      </c>
      <c r="L9" s="479">
        <f>+[5]수도권!$R$21</f>
        <v>17148.90584931893</v>
      </c>
      <c r="M9" s="488">
        <f t="shared" ref="M9:M28" si="2">+L9-K9</f>
        <v>-35.535206681495765</v>
      </c>
      <c r="N9" s="465">
        <f>+[5]수도권!$Q$22</f>
        <v>246.82027649769586</v>
      </c>
      <c r="O9" s="479">
        <f>+[5]수도권!$R$22</f>
        <v>227.45894935800155</v>
      </c>
      <c r="P9" s="488">
        <f t="shared" ref="P9:P28" si="3">+O9-N9</f>
        <v>-19.361327139694311</v>
      </c>
      <c r="Q9" s="465">
        <f t="shared" ref="Q9:Q28" si="4">H9+K9+N9</f>
        <v>78491.353305243392</v>
      </c>
      <c r="R9" s="479">
        <f t="shared" ref="R9:R28" si="5">I9+L9+O9</f>
        <v>82214.954710260165</v>
      </c>
      <c r="S9" s="488">
        <f t="shared" ref="S9:S28" si="6">+R9-Q9</f>
        <v>3723.6014050167723</v>
      </c>
      <c r="T9" s="465">
        <f t="shared" ref="T9:T28" si="7">+E9-Q9</f>
        <v>21095.806861439618</v>
      </c>
      <c r="U9" s="479">
        <f t="shared" ref="U9:U28" si="8">+F9-R9</f>
        <v>19077.909134726156</v>
      </c>
      <c r="V9" s="488">
        <f t="shared" ref="V9:V28" si="9">+U9-T9</f>
        <v>-2017.8977267134615</v>
      </c>
    </row>
    <row r="10" spans="4:22" ht="24" customHeight="1" x14ac:dyDescent="0.3">
      <c r="D10" s="472" t="s">
        <v>20</v>
      </c>
      <c r="E10" s="467">
        <f>+[5]영남권!$Q$85</f>
        <v>101799.62933000001</v>
      </c>
      <c r="F10" s="480">
        <f>+[5]영남권!$R$85</f>
        <v>101364.12572580043</v>
      </c>
      <c r="G10" s="489">
        <f t="shared" si="0"/>
        <v>-435.50360419957724</v>
      </c>
      <c r="H10" s="467">
        <f>+[5]영남권!$Q$20</f>
        <v>57908.407140344534</v>
      </c>
      <c r="I10" s="480">
        <f>+[5]영남권!$R$20</f>
        <v>61277.241051416655</v>
      </c>
      <c r="J10" s="489">
        <f t="shared" si="1"/>
        <v>3368.8339110721208</v>
      </c>
      <c r="K10" s="467">
        <f>+[5]영남권!$Q$21</f>
        <v>17495.886827608196</v>
      </c>
      <c r="L10" s="480">
        <f>+[5]영남권!$R$21</f>
        <v>17710.213723519119</v>
      </c>
      <c r="M10" s="489">
        <f t="shared" si="2"/>
        <v>214.32689591092276</v>
      </c>
      <c r="N10" s="467">
        <f>+[5]영남권!$Q$22</f>
        <v>163.36000000000001</v>
      </c>
      <c r="O10" s="480">
        <f>+[5]영남권!$R$22</f>
        <v>178.27104508730775</v>
      </c>
      <c r="P10" s="489">
        <f t="shared" si="3"/>
        <v>14.911045087307741</v>
      </c>
      <c r="Q10" s="467">
        <f t="shared" si="4"/>
        <v>75567.653967952734</v>
      </c>
      <c r="R10" s="480">
        <f t="shared" si="5"/>
        <v>79165.725820023086</v>
      </c>
      <c r="S10" s="489">
        <f t="shared" si="6"/>
        <v>3598.0718520703522</v>
      </c>
      <c r="T10" s="467">
        <f t="shared" si="7"/>
        <v>26231.975362047277</v>
      </c>
      <c r="U10" s="480">
        <f t="shared" si="8"/>
        <v>22198.399905777347</v>
      </c>
      <c r="V10" s="489">
        <f t="shared" si="9"/>
        <v>-4033.5754562699294</v>
      </c>
    </row>
    <row r="11" spans="4:22" ht="24" customHeight="1" x14ac:dyDescent="0.3">
      <c r="D11" s="473" t="s">
        <v>57</v>
      </c>
      <c r="E11" s="468">
        <f>+[5]중부권!$Q$85</f>
        <v>105496.75411428572</v>
      </c>
      <c r="F11" s="481">
        <f>+[5]중부권!$R$85</f>
        <v>106231.06464189674</v>
      </c>
      <c r="G11" s="490">
        <f t="shared" si="0"/>
        <v>734.31052761101455</v>
      </c>
      <c r="H11" s="468">
        <f>+[5]중부권!$Q$20</f>
        <v>58412.51870402741</v>
      </c>
      <c r="I11" s="481">
        <f>+[5]중부권!$R$20</f>
        <v>60634.283529181906</v>
      </c>
      <c r="J11" s="490">
        <f t="shared" si="1"/>
        <v>2221.7648251544961</v>
      </c>
      <c r="K11" s="468">
        <f>+[5]중부권!$Q$21</f>
        <v>17148.968077610385</v>
      </c>
      <c r="L11" s="481">
        <f>+[5]중부권!$R$21</f>
        <v>15995.114038760337</v>
      </c>
      <c r="M11" s="490">
        <f t="shared" si="2"/>
        <v>-1153.8540388500478</v>
      </c>
      <c r="N11" s="468">
        <f>+[5]중부권!$Q$22</f>
        <v>189.52380952380952</v>
      </c>
      <c r="O11" s="481">
        <f>+[5]중부권!$R$22</f>
        <v>187.0751109498423</v>
      </c>
      <c r="P11" s="490">
        <f t="shared" si="3"/>
        <v>-2.4486985739672207</v>
      </c>
      <c r="Q11" s="468">
        <f t="shared" si="4"/>
        <v>75751.010591161612</v>
      </c>
      <c r="R11" s="481">
        <f t="shared" si="5"/>
        <v>76816.472678892082</v>
      </c>
      <c r="S11" s="490">
        <f t="shared" si="6"/>
        <v>1065.4620877304696</v>
      </c>
      <c r="T11" s="468">
        <f t="shared" si="7"/>
        <v>29745.743523124111</v>
      </c>
      <c r="U11" s="481">
        <f t="shared" si="8"/>
        <v>29414.591963004656</v>
      </c>
      <c r="V11" s="490">
        <f t="shared" si="9"/>
        <v>-331.1515601194551</v>
      </c>
    </row>
    <row r="12" spans="4:22" ht="24" customHeight="1" x14ac:dyDescent="0.3">
      <c r="D12" s="485" t="s">
        <v>22</v>
      </c>
      <c r="E12" s="491">
        <f>+[5]안양!$Q$85</f>
        <v>100756.65731707319</v>
      </c>
      <c r="F12" s="492">
        <f>+[5]안양!$R$85</f>
        <v>99525.963053345695</v>
      </c>
      <c r="G12" s="493">
        <f t="shared" si="0"/>
        <v>-1230.6942637274915</v>
      </c>
      <c r="H12" s="491">
        <f>+[5]안양!$Q$20</f>
        <v>62917.824032258068</v>
      </c>
      <c r="I12" s="492">
        <f>+[5]안양!$R$20</f>
        <v>66515.798043138784</v>
      </c>
      <c r="J12" s="493">
        <f t="shared" si="1"/>
        <v>3597.9740108807164</v>
      </c>
      <c r="K12" s="491">
        <f>+[5]안양!$Q$21</f>
        <v>16657.419133504492</v>
      </c>
      <c r="L12" s="492">
        <f>+[5]안양!$R$21</f>
        <v>16127.113824907283</v>
      </c>
      <c r="M12" s="493">
        <f t="shared" si="2"/>
        <v>-530.30530859720966</v>
      </c>
      <c r="N12" s="491">
        <f>+[5]안양!$Q$22</f>
        <v>182.92682926829269</v>
      </c>
      <c r="O12" s="492">
        <f>+[5]안양!$R$22</f>
        <v>192.21032598087058</v>
      </c>
      <c r="P12" s="493">
        <f t="shared" si="3"/>
        <v>9.283496712577886</v>
      </c>
      <c r="Q12" s="491">
        <f t="shared" si="4"/>
        <v>79758.169995030854</v>
      </c>
      <c r="R12" s="492">
        <f t="shared" si="5"/>
        <v>82835.122194026932</v>
      </c>
      <c r="S12" s="493">
        <f t="shared" si="6"/>
        <v>3076.9521989960776</v>
      </c>
      <c r="T12" s="491">
        <f t="shared" si="7"/>
        <v>20998.487322042332</v>
      </c>
      <c r="U12" s="492">
        <f t="shared" si="8"/>
        <v>16690.840859318763</v>
      </c>
      <c r="V12" s="493">
        <f t="shared" si="9"/>
        <v>-4307.6464627235691</v>
      </c>
    </row>
    <row r="13" spans="4:22" ht="24" customHeight="1" x14ac:dyDescent="0.3">
      <c r="D13" s="451" t="s">
        <v>23</v>
      </c>
      <c r="E13" s="494">
        <f>+[5]인천!$Q$85</f>
        <v>102833.01607142856</v>
      </c>
      <c r="F13" s="495">
        <f>+[5]인천!$R$85</f>
        <v>104344.1067387478</v>
      </c>
      <c r="G13" s="496">
        <f t="shared" si="0"/>
        <v>1511.0906673192367</v>
      </c>
      <c r="H13" s="494">
        <f>+[5]인천!$Q$20</f>
        <v>64494.959079236192</v>
      </c>
      <c r="I13" s="495">
        <f>+[5]인천!$R$20</f>
        <v>66347.038621079759</v>
      </c>
      <c r="J13" s="496">
        <f t="shared" si="1"/>
        <v>1852.0795418435664</v>
      </c>
      <c r="K13" s="494">
        <f>+[5]인천!$Q$21</f>
        <v>17202.00528227786</v>
      </c>
      <c r="L13" s="495">
        <f>+[5]인천!$R$21</f>
        <v>16828.790836528187</v>
      </c>
      <c r="M13" s="496">
        <f t="shared" si="2"/>
        <v>-373.21444574967245</v>
      </c>
      <c r="N13" s="494">
        <f>+[5]인천!$Q$22</f>
        <v>392.85714285714283</v>
      </c>
      <c r="O13" s="495">
        <f>+[5]인천!$R$22</f>
        <v>388.0104644585507</v>
      </c>
      <c r="P13" s="496">
        <f t="shared" si="3"/>
        <v>-4.8466783985921325</v>
      </c>
      <c r="Q13" s="494">
        <f t="shared" si="4"/>
        <v>82089.821504371197</v>
      </c>
      <c r="R13" s="495">
        <f t="shared" si="5"/>
        <v>83563.839922066501</v>
      </c>
      <c r="S13" s="496">
        <f t="shared" si="6"/>
        <v>1474.0184176953044</v>
      </c>
      <c r="T13" s="494">
        <f t="shared" si="7"/>
        <v>20743.194567057362</v>
      </c>
      <c r="U13" s="495">
        <f t="shared" si="8"/>
        <v>20780.266816681295</v>
      </c>
      <c r="V13" s="496">
        <f t="shared" si="9"/>
        <v>37.072249623932294</v>
      </c>
    </row>
    <row r="14" spans="4:22" ht="24" customHeight="1" x14ac:dyDescent="0.3">
      <c r="D14" s="451" t="s">
        <v>24</v>
      </c>
      <c r="E14" s="494">
        <f>+[5]파주!$Q$85</f>
        <v>97024.888077226191</v>
      </c>
      <c r="F14" s="495">
        <f>+[5]파주!$R$85</f>
        <v>102308.18901506001</v>
      </c>
      <c r="G14" s="496">
        <f t="shared" si="0"/>
        <v>5283.3009378338174</v>
      </c>
      <c r="H14" s="494">
        <f>+[5]파주!$Q$20</f>
        <v>58245.22088172043</v>
      </c>
      <c r="I14" s="495">
        <f>+[5]파주!$R$20</f>
        <v>63808.342270531393</v>
      </c>
      <c r="J14" s="496">
        <f t="shared" si="1"/>
        <v>5563.1213888109633</v>
      </c>
      <c r="K14" s="494">
        <f>+[5]파주!$Q$21</f>
        <v>18011.674444444445</v>
      </c>
      <c r="L14" s="495">
        <f>+[5]파주!$R$21</f>
        <v>19231.242673107892</v>
      </c>
      <c r="M14" s="496">
        <f t="shared" si="2"/>
        <v>1219.5682286634474</v>
      </c>
      <c r="N14" s="494">
        <f>+[5]파주!$Q$22</f>
        <v>202.5</v>
      </c>
      <c r="O14" s="495">
        <f>+[5]파주!$R$22</f>
        <v>165.12355072463765</v>
      </c>
      <c r="P14" s="496">
        <f t="shared" si="3"/>
        <v>-37.376449275362347</v>
      </c>
      <c r="Q14" s="494">
        <f t="shared" si="4"/>
        <v>76459.395326164871</v>
      </c>
      <c r="R14" s="495">
        <f t="shared" si="5"/>
        <v>83204.70849436392</v>
      </c>
      <c r="S14" s="496">
        <f t="shared" si="6"/>
        <v>6745.313168199049</v>
      </c>
      <c r="T14" s="494">
        <f t="shared" si="7"/>
        <v>20565.49275106132</v>
      </c>
      <c r="U14" s="495">
        <f t="shared" si="8"/>
        <v>19103.480520696088</v>
      </c>
      <c r="V14" s="496">
        <f t="shared" si="9"/>
        <v>-1462.0122303652315</v>
      </c>
    </row>
    <row r="15" spans="4:22" ht="24" customHeight="1" x14ac:dyDescent="0.3">
      <c r="D15" s="451" t="s">
        <v>178</v>
      </c>
      <c r="E15" s="494">
        <f>+[5]김포!$Q$85</f>
        <v>94015</v>
      </c>
      <c r="F15" s="495">
        <f>+[5]김포!$R$85</f>
        <v>97269.892428029983</v>
      </c>
      <c r="G15" s="496">
        <f t="shared" si="0"/>
        <v>3254.8924280299834</v>
      </c>
      <c r="H15" s="494">
        <f>+[5]김포!$Q$20</f>
        <v>53352.750055617347</v>
      </c>
      <c r="I15" s="495">
        <f>+[5]김포!$R$20</f>
        <v>57488.440609628255</v>
      </c>
      <c r="J15" s="496">
        <f t="shared" si="1"/>
        <v>4135.6905540109074</v>
      </c>
      <c r="K15" s="494">
        <f>+[5]김포!$Q$21</f>
        <v>17086.904975886526</v>
      </c>
      <c r="L15" s="495">
        <f>+[5]김포!$R$21</f>
        <v>17176.20828965406</v>
      </c>
      <c r="M15" s="496">
        <f t="shared" si="2"/>
        <v>89.303313767533837</v>
      </c>
      <c r="N15" s="494">
        <f>+[5]김포!$Q$22</f>
        <v>225</v>
      </c>
      <c r="O15" s="495">
        <f>+[5]김포!$R$22</f>
        <v>56.825175389081522</v>
      </c>
      <c r="P15" s="496">
        <f t="shared" si="3"/>
        <v>-168.17482461091848</v>
      </c>
      <c r="Q15" s="494">
        <f t="shared" si="4"/>
        <v>70664.655031503877</v>
      </c>
      <c r="R15" s="495">
        <f t="shared" si="5"/>
        <v>74721.474074671394</v>
      </c>
      <c r="S15" s="496">
        <f t="shared" si="6"/>
        <v>4056.8190431675175</v>
      </c>
      <c r="T15" s="494">
        <f t="shared" si="7"/>
        <v>23350.344968496123</v>
      </c>
      <c r="U15" s="495">
        <f t="shared" si="8"/>
        <v>22548.418353358589</v>
      </c>
      <c r="V15" s="496">
        <f t="shared" si="9"/>
        <v>-801.9266151375341</v>
      </c>
    </row>
    <row r="16" spans="4:22" ht="24" customHeight="1" x14ac:dyDescent="0.3">
      <c r="D16" s="486" t="s">
        <v>25</v>
      </c>
      <c r="E16" s="497">
        <f>+[5]부산!$Q$85</f>
        <v>107600.25348684211</v>
      </c>
      <c r="F16" s="498">
        <f>+[5]부산!$R$85</f>
        <v>106343.69736173359</v>
      </c>
      <c r="G16" s="499">
        <f t="shared" si="0"/>
        <v>-1256.5561251085164</v>
      </c>
      <c r="H16" s="497">
        <f>+[5]부산!$Q$20</f>
        <v>59170.668798993895</v>
      </c>
      <c r="I16" s="498">
        <f>+[5]부산!$R$20</f>
        <v>65020.112287265591</v>
      </c>
      <c r="J16" s="499">
        <f t="shared" si="1"/>
        <v>5849.443488271696</v>
      </c>
      <c r="K16" s="497">
        <f>+[5]부산!$Q$21</f>
        <v>19164.297002923973</v>
      </c>
      <c r="L16" s="498">
        <f>+[5]부산!$R$21</f>
        <v>19380.342519505408</v>
      </c>
      <c r="M16" s="499">
        <f t="shared" si="2"/>
        <v>216.04551658143464</v>
      </c>
      <c r="N16" s="497">
        <f>+[5]부산!$Q$22</f>
        <v>52.631578947368418</v>
      </c>
      <c r="O16" s="498">
        <f>+[5]부산!$R$22</f>
        <v>0</v>
      </c>
      <c r="P16" s="499">
        <f t="shared" si="3"/>
        <v>-52.631578947368418</v>
      </c>
      <c r="Q16" s="497">
        <f t="shared" si="4"/>
        <v>78387.597380865234</v>
      </c>
      <c r="R16" s="498">
        <f t="shared" si="5"/>
        <v>84400.454806770998</v>
      </c>
      <c r="S16" s="499">
        <f t="shared" si="6"/>
        <v>6012.8574259057641</v>
      </c>
      <c r="T16" s="497">
        <f t="shared" si="7"/>
        <v>29212.656105976872</v>
      </c>
      <c r="U16" s="498">
        <f t="shared" si="8"/>
        <v>21943.242554962591</v>
      </c>
      <c r="V16" s="499">
        <f t="shared" si="9"/>
        <v>-7269.4135510142805</v>
      </c>
    </row>
    <row r="17" spans="4:22" ht="24" customHeight="1" x14ac:dyDescent="0.3">
      <c r="D17" s="451" t="s">
        <v>26</v>
      </c>
      <c r="E17" s="494">
        <f>+[5]서부산!$Q$85</f>
        <v>103677.36166666666</v>
      </c>
      <c r="F17" s="495">
        <f>+[5]서부산!$R$85</f>
        <v>101874.60612880887</v>
      </c>
      <c r="G17" s="496">
        <f t="shared" si="0"/>
        <v>-1802.7555378577963</v>
      </c>
      <c r="H17" s="494">
        <f>+[5]서부산!$Q$20</f>
        <v>62410.062569521695</v>
      </c>
      <c r="I17" s="495">
        <f>+[5]서부산!$R$20</f>
        <v>62815.212257617721</v>
      </c>
      <c r="J17" s="496">
        <f t="shared" si="1"/>
        <v>405.14968809602578</v>
      </c>
      <c r="K17" s="494">
        <f>+[5]서부산!$Q$21</f>
        <v>16193.300343642612</v>
      </c>
      <c r="L17" s="495">
        <f>+[5]서부산!$R$21</f>
        <v>15880.351411011083</v>
      </c>
      <c r="M17" s="496">
        <f t="shared" si="2"/>
        <v>-312.94893263152881</v>
      </c>
      <c r="N17" s="494">
        <f>+[5]서부산!$Q$22</f>
        <v>83.333333333333329</v>
      </c>
      <c r="O17" s="495">
        <f>+[5]서부산!$R$22</f>
        <v>241.27194425207753</v>
      </c>
      <c r="P17" s="496">
        <f t="shared" si="3"/>
        <v>157.93861091874419</v>
      </c>
      <c r="Q17" s="494">
        <f t="shared" si="4"/>
        <v>78686.696246497639</v>
      </c>
      <c r="R17" s="495">
        <f t="shared" si="5"/>
        <v>78936.835612880881</v>
      </c>
      <c r="S17" s="496">
        <f t="shared" si="6"/>
        <v>250.1393663832423</v>
      </c>
      <c r="T17" s="494">
        <f t="shared" si="7"/>
        <v>24990.665420169025</v>
      </c>
      <c r="U17" s="495">
        <f t="shared" si="8"/>
        <v>22937.770515927987</v>
      </c>
      <c r="V17" s="496">
        <f t="shared" si="9"/>
        <v>-2052.8949042410386</v>
      </c>
    </row>
    <row r="18" spans="4:22" ht="24" customHeight="1" x14ac:dyDescent="0.3">
      <c r="D18" s="451" t="s">
        <v>27</v>
      </c>
      <c r="E18" s="494">
        <f>+[5]김해!$Q$85</f>
        <v>101000.2</v>
      </c>
      <c r="F18" s="495">
        <f>+[5]김해!$R$85</f>
        <v>96687.288882361579</v>
      </c>
      <c r="G18" s="496">
        <f t="shared" si="0"/>
        <v>-4312.9111176384176</v>
      </c>
      <c r="H18" s="494">
        <f>+[5]김해!$Q$20</f>
        <v>58328.83571560993</v>
      </c>
      <c r="I18" s="495">
        <f>+[5]김해!$R$20</f>
        <v>59840.394184168013</v>
      </c>
      <c r="J18" s="496">
        <f t="shared" si="1"/>
        <v>1511.5584685580834</v>
      </c>
      <c r="K18" s="494">
        <f>+[5]김해!$Q$21</f>
        <v>17742.640073099417</v>
      </c>
      <c r="L18" s="495">
        <f>+[5]김해!$R$21</f>
        <v>19278.198707592892</v>
      </c>
      <c r="M18" s="496">
        <f t="shared" si="2"/>
        <v>1535.5586344934745</v>
      </c>
      <c r="N18" s="494">
        <f>+[5]김해!$Q$22</f>
        <v>320.83333333333331</v>
      </c>
      <c r="O18" s="495">
        <f>+[5]김해!$R$22</f>
        <v>411.88155382581874</v>
      </c>
      <c r="P18" s="496">
        <f t="shared" si="3"/>
        <v>91.048220492485427</v>
      </c>
      <c r="Q18" s="494">
        <f t="shared" si="4"/>
        <v>76392.309122042672</v>
      </c>
      <c r="R18" s="495">
        <f t="shared" si="5"/>
        <v>79530.474445586719</v>
      </c>
      <c r="S18" s="496">
        <f t="shared" si="6"/>
        <v>3138.1653235440463</v>
      </c>
      <c r="T18" s="494">
        <f t="shared" si="7"/>
        <v>24607.890877957325</v>
      </c>
      <c r="U18" s="495">
        <f t="shared" si="8"/>
        <v>17156.814436774861</v>
      </c>
      <c r="V18" s="496">
        <f t="shared" si="9"/>
        <v>-7451.0764411824639</v>
      </c>
    </row>
    <row r="19" spans="4:22" ht="24" customHeight="1" x14ac:dyDescent="0.3">
      <c r="D19" s="451" t="s">
        <v>28</v>
      </c>
      <c r="E19" s="494">
        <f>+[5]정관!$Q$85</f>
        <v>104000</v>
      </c>
      <c r="F19" s="495">
        <f>+[5]정관!$R$85</f>
        <v>103388.96841901631</v>
      </c>
      <c r="G19" s="496">
        <f t="shared" si="0"/>
        <v>-611.03158098369022</v>
      </c>
      <c r="H19" s="494">
        <f>+[5]정관!$Q$20</f>
        <v>59011.840532545088</v>
      </c>
      <c r="I19" s="495">
        <f>+[5]정관!$R$20</f>
        <v>63764.330561330571</v>
      </c>
      <c r="J19" s="496">
        <f t="shared" si="1"/>
        <v>4752.4900287854834</v>
      </c>
      <c r="K19" s="494">
        <f>+[5]정관!$Q$21</f>
        <v>18577.502777777776</v>
      </c>
      <c r="L19" s="495">
        <f>+[5]정관!$R$21</f>
        <v>18355.288884591209</v>
      </c>
      <c r="M19" s="496">
        <f t="shared" si="2"/>
        <v>-222.21389318656657</v>
      </c>
      <c r="N19" s="494">
        <f>+[5]정관!$Q$22</f>
        <v>250</v>
      </c>
      <c r="O19" s="495">
        <f>+[5]정관!$R$22</f>
        <v>196.50548759851085</v>
      </c>
      <c r="P19" s="496">
        <f t="shared" si="3"/>
        <v>-53.494512401489146</v>
      </c>
      <c r="Q19" s="494">
        <f t="shared" si="4"/>
        <v>77839.34331032286</v>
      </c>
      <c r="R19" s="495">
        <f t="shared" si="5"/>
        <v>82316.124933520288</v>
      </c>
      <c r="S19" s="496">
        <f t="shared" si="6"/>
        <v>4476.7816231974284</v>
      </c>
      <c r="T19" s="494">
        <f t="shared" si="7"/>
        <v>26160.65668967714</v>
      </c>
      <c r="U19" s="495">
        <f t="shared" si="8"/>
        <v>21072.843485496021</v>
      </c>
      <c r="V19" s="496">
        <f t="shared" si="9"/>
        <v>-5087.8132041811186</v>
      </c>
    </row>
    <row r="20" spans="4:22" ht="24" customHeight="1" x14ac:dyDescent="0.3">
      <c r="D20" s="451" t="s">
        <v>29</v>
      </c>
      <c r="E20" s="494">
        <f>+[5]양산!$Q$85</f>
        <v>96715.406363636372</v>
      </c>
      <c r="F20" s="495">
        <f>+[5]양산!$R$85</f>
        <v>91323.480326651814</v>
      </c>
      <c r="G20" s="496">
        <f t="shared" si="0"/>
        <v>-5391.9260369845579</v>
      </c>
      <c r="H20" s="494">
        <f>+[5]양산!$Q$20</f>
        <v>54388.938997944388</v>
      </c>
      <c r="I20" s="495">
        <f>+[5]양산!$R$20</f>
        <v>54798.478990348929</v>
      </c>
      <c r="J20" s="496">
        <f t="shared" si="1"/>
        <v>409.53999240454141</v>
      </c>
      <c r="K20" s="494">
        <f>+[5]양산!$Q$21</f>
        <v>17018.113277511966</v>
      </c>
      <c r="L20" s="495">
        <f>+[5]양산!$R$21</f>
        <v>16535.218040089083</v>
      </c>
      <c r="M20" s="496">
        <f t="shared" si="2"/>
        <v>-482.89523742288293</v>
      </c>
      <c r="N20" s="494">
        <f>+[5]양산!$Q$22</f>
        <v>86.36363636363636</v>
      </c>
      <c r="O20" s="495">
        <f>+[5]양산!$R$22</f>
        <v>22.180623608017822</v>
      </c>
      <c r="P20" s="496">
        <f t="shared" si="3"/>
        <v>-64.183012755618535</v>
      </c>
      <c r="Q20" s="494">
        <f t="shared" si="4"/>
        <v>71493.41591181999</v>
      </c>
      <c r="R20" s="495">
        <f t="shared" si="5"/>
        <v>71355.877654046024</v>
      </c>
      <c r="S20" s="496">
        <f t="shared" si="6"/>
        <v>-137.5382577739656</v>
      </c>
      <c r="T20" s="494">
        <f t="shared" si="7"/>
        <v>25221.990451816382</v>
      </c>
      <c r="U20" s="495">
        <f t="shared" si="8"/>
        <v>19967.60267260579</v>
      </c>
      <c r="V20" s="496">
        <f t="shared" si="9"/>
        <v>-5254.3877792105923</v>
      </c>
    </row>
    <row r="21" spans="4:22" ht="24" customHeight="1" x14ac:dyDescent="0.3">
      <c r="D21" s="451" t="s">
        <v>30</v>
      </c>
      <c r="E21" s="494">
        <f>+[5]창원!$Q$85</f>
        <v>99635.694444444438</v>
      </c>
      <c r="F21" s="495">
        <f>+[5]창원!$R$85</f>
        <v>101750.73439085616</v>
      </c>
      <c r="G21" s="496">
        <f t="shared" si="0"/>
        <v>2115.0399464117218</v>
      </c>
      <c r="H21" s="494">
        <f>+[5]창원!$Q$20</f>
        <v>55702.154304783093</v>
      </c>
      <c r="I21" s="495">
        <f>+[5]창원!$R$20</f>
        <v>59571.934038348554</v>
      </c>
      <c r="J21" s="496">
        <f t="shared" si="1"/>
        <v>3869.7797335654614</v>
      </c>
      <c r="K21" s="494">
        <f>+[5]창원!$Q$21</f>
        <v>16117.4804964539</v>
      </c>
      <c r="L21" s="495">
        <f>+[5]창원!$R$21</f>
        <v>15333.711531271698</v>
      </c>
      <c r="M21" s="496">
        <f t="shared" si="2"/>
        <v>-783.76896518220201</v>
      </c>
      <c r="N21" s="494">
        <f>+[5]창원!$Q$22</f>
        <v>66.666666666666671</v>
      </c>
      <c r="O21" s="495">
        <f>+[5]창원!$R$22</f>
        <v>84.610692730865779</v>
      </c>
      <c r="P21" s="496">
        <f t="shared" si="3"/>
        <v>17.944026064199107</v>
      </c>
      <c r="Q21" s="494">
        <f t="shared" si="4"/>
        <v>71886.301467903671</v>
      </c>
      <c r="R21" s="495">
        <f t="shared" si="5"/>
        <v>74990.256262351118</v>
      </c>
      <c r="S21" s="496">
        <f t="shared" si="6"/>
        <v>3103.9547944474471</v>
      </c>
      <c r="T21" s="494">
        <f t="shared" si="7"/>
        <v>27749.392976540767</v>
      </c>
      <c r="U21" s="495">
        <f t="shared" si="8"/>
        <v>26760.478128505041</v>
      </c>
      <c r="V21" s="496">
        <f t="shared" si="9"/>
        <v>-988.9148480357253</v>
      </c>
    </row>
    <row r="22" spans="4:22" ht="24" customHeight="1" x14ac:dyDescent="0.3">
      <c r="D22" s="451" t="s">
        <v>95</v>
      </c>
      <c r="E22" s="494">
        <f>+[5]대구!$Q$85</f>
        <v>97800.000000000015</v>
      </c>
      <c r="F22" s="495">
        <f>+[5]대구!$R$85</f>
        <v>101245.55882352941</v>
      </c>
      <c r="G22" s="496">
        <f t="shared" si="0"/>
        <v>3445.5588235293981</v>
      </c>
      <c r="H22" s="494">
        <f>+[5]대구!$Q$20</f>
        <v>53218.598644949379</v>
      </c>
      <c r="I22" s="495">
        <f>+[5]대구!$R$20</f>
        <v>59589.854803493457</v>
      </c>
      <c r="J22" s="496">
        <f t="shared" si="1"/>
        <v>6371.2561585440781</v>
      </c>
      <c r="K22" s="494">
        <f>+[5]대구!$Q$21</f>
        <v>16604.654479166671</v>
      </c>
      <c r="L22" s="495">
        <f>+[5]대구!$R$21</f>
        <v>17316.501412792193</v>
      </c>
      <c r="M22" s="496">
        <f t="shared" si="2"/>
        <v>711.84693362552207</v>
      </c>
      <c r="N22" s="494">
        <f>+[5]대구!$Q$22</f>
        <v>318.75</v>
      </c>
      <c r="O22" s="495">
        <f>+[5]대구!$R$22</f>
        <v>287.08367582840992</v>
      </c>
      <c r="P22" s="496">
        <f t="shared" si="3"/>
        <v>-31.666324171590077</v>
      </c>
      <c r="Q22" s="494">
        <f t="shared" si="4"/>
        <v>70142.003124116047</v>
      </c>
      <c r="R22" s="495">
        <f t="shared" si="5"/>
        <v>77193.439892114067</v>
      </c>
      <c r="S22" s="496">
        <f t="shared" si="6"/>
        <v>7051.4367679980205</v>
      </c>
      <c r="T22" s="494">
        <f t="shared" si="7"/>
        <v>27657.996875883968</v>
      </c>
      <c r="U22" s="495">
        <f t="shared" si="8"/>
        <v>24052.118931415345</v>
      </c>
      <c r="V22" s="496">
        <f t="shared" si="9"/>
        <v>-3605.8779444686224</v>
      </c>
    </row>
    <row r="23" spans="4:22" ht="24" customHeight="1" x14ac:dyDescent="0.3">
      <c r="D23" s="451" t="s">
        <v>97</v>
      </c>
      <c r="E23" s="494">
        <f>+[5]울산!$Q$85</f>
        <v>98025.400000000009</v>
      </c>
      <c r="F23" s="495">
        <f>+[5]울산!$R$85</f>
        <v>105834.37867186412</v>
      </c>
      <c r="G23" s="496">
        <f t="shared" si="0"/>
        <v>7808.9786718641117</v>
      </c>
      <c r="H23" s="494">
        <f>+[5]울산!$Q$20</f>
        <v>57413.262962550987</v>
      </c>
      <c r="I23" s="495">
        <f>+[5]울산!$R$20</f>
        <v>60727.030105438411</v>
      </c>
      <c r="J23" s="496">
        <f t="shared" si="1"/>
        <v>3313.7671428874237</v>
      </c>
      <c r="K23" s="494">
        <f>+[5]울산!$Q$21</f>
        <v>20561.414945054945</v>
      </c>
      <c r="L23" s="495">
        <f>+[5]울산!$R$21</f>
        <v>22903.241953385128</v>
      </c>
      <c r="M23" s="496">
        <f t="shared" si="2"/>
        <v>2341.8270083301832</v>
      </c>
      <c r="N23" s="494">
        <f>+[5]울산!$Q$22</f>
        <v>260</v>
      </c>
      <c r="O23" s="495">
        <f>+[5]울산!$R$22</f>
        <v>324.61584350721421</v>
      </c>
      <c r="P23" s="496">
        <f t="shared" si="3"/>
        <v>64.615843507214208</v>
      </c>
      <c r="Q23" s="494">
        <f t="shared" si="4"/>
        <v>78234.677907605932</v>
      </c>
      <c r="R23" s="495">
        <f t="shared" si="5"/>
        <v>83954.887902330753</v>
      </c>
      <c r="S23" s="496">
        <f t="shared" si="6"/>
        <v>5720.2099947248207</v>
      </c>
      <c r="T23" s="494">
        <f t="shared" si="7"/>
        <v>19790.722092394077</v>
      </c>
      <c r="U23" s="495">
        <f t="shared" si="8"/>
        <v>21879.490769533368</v>
      </c>
      <c r="V23" s="496">
        <f t="shared" si="9"/>
        <v>2088.768677139291</v>
      </c>
    </row>
    <row r="24" spans="4:22" ht="24" customHeight="1" x14ac:dyDescent="0.3">
      <c r="D24" s="486" t="s">
        <v>31</v>
      </c>
      <c r="E24" s="497">
        <f>+[5]아산!$Q$85</f>
        <v>100999.55833333332</v>
      </c>
      <c r="F24" s="498">
        <f>+[5]아산!$R$85</f>
        <v>102685.23800904979</v>
      </c>
      <c r="G24" s="499">
        <f t="shared" si="0"/>
        <v>1685.6796757164702</v>
      </c>
      <c r="H24" s="497">
        <f>+[5]아산!$Q$20</f>
        <v>56035.284152453351</v>
      </c>
      <c r="I24" s="498">
        <f>+[5]아산!$R$20</f>
        <v>61088.75833484163</v>
      </c>
      <c r="J24" s="499">
        <f t="shared" si="1"/>
        <v>5053.4741823882796</v>
      </c>
      <c r="K24" s="497">
        <f>+[5]아산!$Q$21</f>
        <v>19763.523670212766</v>
      </c>
      <c r="L24" s="498">
        <f>+[5]아산!$R$21</f>
        <v>18115.861067873306</v>
      </c>
      <c r="M24" s="499">
        <f t="shared" si="2"/>
        <v>-1647.6626023394601</v>
      </c>
      <c r="N24" s="497">
        <f>+[5]아산!$Q$22</f>
        <v>208.33333333333334</v>
      </c>
      <c r="O24" s="498">
        <f>+[5]아산!$R$22</f>
        <v>170.99724886877829</v>
      </c>
      <c r="P24" s="499">
        <f t="shared" si="3"/>
        <v>-37.336084464555057</v>
      </c>
      <c r="Q24" s="497">
        <f t="shared" si="4"/>
        <v>76007.141155999445</v>
      </c>
      <c r="R24" s="498">
        <f t="shared" si="5"/>
        <v>79375.61665158371</v>
      </c>
      <c r="S24" s="499">
        <f t="shared" si="6"/>
        <v>3368.4754955842654</v>
      </c>
      <c r="T24" s="497">
        <f t="shared" si="7"/>
        <v>24992.417177333875</v>
      </c>
      <c r="U24" s="498">
        <f t="shared" si="8"/>
        <v>23309.62135746608</v>
      </c>
      <c r="V24" s="499">
        <f t="shared" si="9"/>
        <v>-1682.7958198677952</v>
      </c>
    </row>
    <row r="25" spans="4:22" ht="24" customHeight="1" x14ac:dyDescent="0.3">
      <c r="D25" s="451" t="s">
        <v>34</v>
      </c>
      <c r="E25" s="494">
        <f>+[5]전주!$Q$85</f>
        <v>103777.158</v>
      </c>
      <c r="F25" s="495">
        <f>+[5]전주!$R$85</f>
        <v>93701.274779195286</v>
      </c>
      <c r="G25" s="496">
        <f t="shared" si="0"/>
        <v>-10075.88322080471</v>
      </c>
      <c r="H25" s="494">
        <f>+[5]전주!$Q$20</f>
        <v>58331.940565813871</v>
      </c>
      <c r="I25" s="495">
        <f>+[5]전주!$R$20</f>
        <v>56182.436895923798</v>
      </c>
      <c r="J25" s="496">
        <f t="shared" si="1"/>
        <v>-2149.5036698900731</v>
      </c>
      <c r="K25" s="494">
        <f>+[5]전주!$Q$21</f>
        <v>15926.876223118279</v>
      </c>
      <c r="L25" s="495">
        <f>+[5]전주!$R$21</f>
        <v>14880.316570948313</v>
      </c>
      <c r="M25" s="496">
        <f t="shared" si="2"/>
        <v>-1046.5596521699663</v>
      </c>
      <c r="N25" s="494">
        <f>+[5]전주!$Q$22</f>
        <v>250</v>
      </c>
      <c r="O25" s="495">
        <f>+[5]전주!$R$22</f>
        <v>205.28519400476256</v>
      </c>
      <c r="P25" s="496">
        <f t="shared" si="3"/>
        <v>-44.714805995237441</v>
      </c>
      <c r="Q25" s="494">
        <f t="shared" si="4"/>
        <v>74508.816788932148</v>
      </c>
      <c r="R25" s="495">
        <f t="shared" si="5"/>
        <v>71268.038660876875</v>
      </c>
      <c r="S25" s="496">
        <f t="shared" si="6"/>
        <v>-3240.7781280552736</v>
      </c>
      <c r="T25" s="494">
        <f t="shared" si="7"/>
        <v>29268.341211067847</v>
      </c>
      <c r="U25" s="495">
        <f t="shared" si="8"/>
        <v>22433.236118318411</v>
      </c>
      <c r="V25" s="496">
        <f t="shared" si="9"/>
        <v>-6835.1050927494362</v>
      </c>
    </row>
    <row r="26" spans="4:22" ht="24" customHeight="1" x14ac:dyDescent="0.3">
      <c r="D26" s="451" t="s">
        <v>33</v>
      </c>
      <c r="E26" s="494">
        <f>+[5]군산!$Q$85</f>
        <v>109728.57266666669</v>
      </c>
      <c r="F26" s="495">
        <f>+[5]군산!$R$85</f>
        <v>113442.5537875392</v>
      </c>
      <c r="G26" s="496">
        <f t="shared" si="0"/>
        <v>3713.981120872515</v>
      </c>
      <c r="H26" s="494">
        <f>+[5]군산!$Q$20</f>
        <v>56996.156559139781</v>
      </c>
      <c r="I26" s="495">
        <f>+[5]군산!$R$20</f>
        <v>57557.913715822498</v>
      </c>
      <c r="J26" s="496">
        <f t="shared" si="1"/>
        <v>561.75715668271732</v>
      </c>
      <c r="K26" s="494">
        <f>+[5]군산!$Q$21</f>
        <v>12670.57211340206</v>
      </c>
      <c r="L26" s="495">
        <f>+[5]군산!$R$21</f>
        <v>12808.660129986552</v>
      </c>
      <c r="M26" s="496">
        <f t="shared" si="2"/>
        <v>138.08801658449192</v>
      </c>
      <c r="N26" s="494">
        <f>+[5]군산!$Q$22</f>
        <v>60</v>
      </c>
      <c r="O26" s="495">
        <f>+[5]군산!$R$22</f>
        <v>47.194867772299411</v>
      </c>
      <c r="P26" s="496">
        <f t="shared" si="3"/>
        <v>-12.805132227700589</v>
      </c>
      <c r="Q26" s="494">
        <f t="shared" si="4"/>
        <v>69726.728672541838</v>
      </c>
      <c r="R26" s="495">
        <f t="shared" si="5"/>
        <v>70413.768713581347</v>
      </c>
      <c r="S26" s="496">
        <f t="shared" si="6"/>
        <v>687.04004103950865</v>
      </c>
      <c r="T26" s="494">
        <f t="shared" si="7"/>
        <v>40001.843994124851</v>
      </c>
      <c r="U26" s="495">
        <f t="shared" si="8"/>
        <v>43028.785073957857</v>
      </c>
      <c r="V26" s="496">
        <f t="shared" si="9"/>
        <v>3026.9410798330064</v>
      </c>
    </row>
    <row r="27" spans="4:22" ht="24" customHeight="1" x14ac:dyDescent="0.3">
      <c r="D27" s="451" t="s">
        <v>32</v>
      </c>
      <c r="E27" s="494">
        <f>+[5]원주!$Q$85</f>
        <v>107900</v>
      </c>
      <c r="F27" s="495">
        <f>+[5]원주!$R$85</f>
        <v>111513.96567007818</v>
      </c>
      <c r="G27" s="496">
        <f t="shared" si="0"/>
        <v>3613.9656700781779</v>
      </c>
      <c r="H27" s="494">
        <f>+[5]원주!$Q$20</f>
        <v>58993.943010752693</v>
      </c>
      <c r="I27" s="495">
        <f>+[5]원주!$R$20</f>
        <v>60805.204448384233</v>
      </c>
      <c r="J27" s="496">
        <f t="shared" si="1"/>
        <v>1811.2614376315396</v>
      </c>
      <c r="K27" s="494">
        <f>+[5]원주!$Q$21</f>
        <v>15897.761887172597</v>
      </c>
      <c r="L27" s="495">
        <f>+[5]원주!$R$21</f>
        <v>12754.946571037151</v>
      </c>
      <c r="M27" s="496">
        <f t="shared" si="2"/>
        <v>-3142.8153161354458</v>
      </c>
      <c r="N27" s="494">
        <f>+[5]원주!$Q$22</f>
        <v>300</v>
      </c>
      <c r="O27" s="495">
        <f>+[5]원주!$R$22</f>
        <v>315.82093641711663</v>
      </c>
      <c r="P27" s="496">
        <f t="shared" si="3"/>
        <v>15.820936417116627</v>
      </c>
      <c r="Q27" s="494">
        <f t="shared" si="4"/>
        <v>75191.704897925287</v>
      </c>
      <c r="R27" s="495">
        <f t="shared" si="5"/>
        <v>73875.971955838497</v>
      </c>
      <c r="S27" s="496">
        <f t="shared" si="6"/>
        <v>-1315.73294208679</v>
      </c>
      <c r="T27" s="494">
        <f t="shared" si="7"/>
        <v>32708.295102074713</v>
      </c>
      <c r="U27" s="495">
        <f t="shared" si="8"/>
        <v>37637.993714239681</v>
      </c>
      <c r="V27" s="496">
        <f t="shared" si="9"/>
        <v>4929.6986121649679</v>
      </c>
    </row>
    <row r="28" spans="4:22" ht="24" customHeight="1" x14ac:dyDescent="0.3">
      <c r="D28" s="500" t="s">
        <v>35</v>
      </c>
      <c r="E28" s="501">
        <f>+[5]제주!$Q$85</f>
        <v>126700</v>
      </c>
      <c r="F28" s="502">
        <f>+[5]제주!$R$85</f>
        <v>129670.60810810809</v>
      </c>
      <c r="G28" s="503">
        <f t="shared" si="0"/>
        <v>2970.608108108092</v>
      </c>
      <c r="H28" s="501">
        <f>+[5]제주!$Q$20</f>
        <v>74846.559066370042</v>
      </c>
      <c r="I28" s="502">
        <f>+[5]제주!$R$20</f>
        <v>72489.770010395019</v>
      </c>
      <c r="J28" s="503">
        <f t="shared" si="1"/>
        <v>-2356.7890559750231</v>
      </c>
      <c r="K28" s="501">
        <f>+[5]제주!$Q$21</f>
        <v>15088.910256410256</v>
      </c>
      <c r="L28" s="502">
        <f>+[5]제주!$R$21</f>
        <v>15452.607848232848</v>
      </c>
      <c r="M28" s="503">
        <f t="shared" si="2"/>
        <v>363.69759182259259</v>
      </c>
      <c r="N28" s="501">
        <f>+[5]제주!$Q$22</f>
        <v>0</v>
      </c>
      <c r="O28" s="502">
        <f>+[5]제주!$R$22</f>
        <v>385.52546777546775</v>
      </c>
      <c r="P28" s="503">
        <f t="shared" si="3"/>
        <v>385.52546777546775</v>
      </c>
      <c r="Q28" s="501">
        <f t="shared" si="4"/>
        <v>89935.469322780293</v>
      </c>
      <c r="R28" s="502">
        <f t="shared" si="5"/>
        <v>88327.903326403335</v>
      </c>
      <c r="S28" s="503">
        <f t="shared" si="6"/>
        <v>-1607.5659963769576</v>
      </c>
      <c r="T28" s="501">
        <f t="shared" si="7"/>
        <v>36764.530677219707</v>
      </c>
      <c r="U28" s="502">
        <f t="shared" si="8"/>
        <v>41342.704781704757</v>
      </c>
      <c r="V28" s="503">
        <f t="shared" si="9"/>
        <v>4578.1741044850496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5750-7275-4690-9C21-6D0EA41DA14A}">
  <sheetPr>
    <tabColor theme="1" tint="0.249977111117893"/>
    <pageSetUpPr fitToPage="1"/>
  </sheetPr>
  <dimension ref="D1:Y52"/>
  <sheetViews>
    <sheetView showGridLines="0" showZeros="0" view="pageBreakPreview" zoomScale="60" zoomScaleNormal="85" workbookViewId="0">
      <pane xSplit="4" ySplit="7" topLeftCell="E8" activePane="bottomRight" state="frozen"/>
      <selection activeCell="N19" sqref="N19"/>
      <selection pane="topRight" activeCell="N19" sqref="N19"/>
      <selection pane="bottomLeft" activeCell="N19" sqref="N19"/>
      <selection pane="bottomRight" activeCell="N19" sqref="N19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184" t="s">
        <v>220</v>
      </c>
      <c r="F4" s="184"/>
      <c r="I4" s="184"/>
    </row>
    <row r="5" spans="4:22" ht="21.95" customHeight="1" x14ac:dyDescent="0.3"/>
    <row r="6" spans="4:22" ht="24" customHeight="1" thickBot="1" x14ac:dyDescent="0.35">
      <c r="D6" s="825" t="s">
        <v>11</v>
      </c>
      <c r="E6" s="439" t="s">
        <v>156</v>
      </c>
      <c r="F6" s="440"/>
      <c r="G6" s="441"/>
      <c r="H6" s="439" t="s">
        <v>155</v>
      </c>
      <c r="I6" s="440"/>
      <c r="J6" s="441"/>
      <c r="K6" s="439" t="s">
        <v>154</v>
      </c>
      <c r="L6" s="440"/>
      <c r="M6" s="441"/>
      <c r="N6" s="439" t="s">
        <v>153</v>
      </c>
      <c r="O6" s="440"/>
      <c r="P6" s="441"/>
      <c r="Q6" s="439" t="s">
        <v>152</v>
      </c>
      <c r="R6" s="440"/>
      <c r="S6" s="441"/>
      <c r="T6" s="439" t="s">
        <v>151</v>
      </c>
      <c r="U6" s="440"/>
      <c r="V6" s="441"/>
    </row>
    <row r="7" spans="4:22" ht="24" customHeight="1" x14ac:dyDescent="0.3">
      <c r="D7" s="826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 x14ac:dyDescent="0.3">
      <c r="D8" s="470" t="s">
        <v>47</v>
      </c>
      <c r="E8" s="544">
        <f>+[5]합계!$G$9</f>
        <v>100322.7688601359</v>
      </c>
      <c r="F8" s="545">
        <f>+[5]합계!$H$9</f>
        <v>100330.17360486925</v>
      </c>
      <c r="G8" s="546">
        <f>+F8-E8</f>
        <v>7.404744733357802</v>
      </c>
      <c r="H8" s="544">
        <f>+[5]합계!$G$10</f>
        <v>91212.158258513664</v>
      </c>
      <c r="I8" s="545">
        <f>+[5]합계!$H$10</f>
        <v>93060.235703548708</v>
      </c>
      <c r="J8" s="546">
        <f>+I8-H8</f>
        <v>1848.0774450350436</v>
      </c>
      <c r="K8" s="544">
        <f>+[5]합계!$G$12</f>
        <v>64151.913933363117</v>
      </c>
      <c r="L8" s="545">
        <f>+[5]합계!$H$12</f>
        <v>63268.123044531319</v>
      </c>
      <c r="M8" s="546">
        <f>+L8-K8</f>
        <v>-883.79088883179793</v>
      </c>
      <c r="N8" s="544">
        <f>+[5]합계!$G$13</f>
        <v>39941.621957997471</v>
      </c>
      <c r="O8" s="545">
        <f>+[5]합계!$H$13</f>
        <v>39448.139081227899</v>
      </c>
      <c r="P8" s="546">
        <f>+O8-N8</f>
        <v>-493.48287676957261</v>
      </c>
      <c r="Q8" s="544">
        <f>+[5]합계!$G$16</f>
        <v>12683.605951132464</v>
      </c>
      <c r="R8" s="545">
        <f>+[5]합계!$H$16</f>
        <v>13399.310798932122</v>
      </c>
      <c r="S8" s="546">
        <f>+R8-Q8</f>
        <v>715.70484779965773</v>
      </c>
      <c r="T8" s="544">
        <f>+[5]합계!$G$17</f>
        <v>16024.835369400478</v>
      </c>
      <c r="U8" s="545">
        <f>+[5]합계!$H$17</f>
        <v>16278.082113881552</v>
      </c>
      <c r="V8" s="546">
        <f>+U8-T8</f>
        <v>253.24674448107362</v>
      </c>
    </row>
    <row r="9" spans="4:22" ht="24" customHeight="1" x14ac:dyDescent="0.3">
      <c r="D9" s="471" t="s">
        <v>19</v>
      </c>
      <c r="E9" s="547">
        <f>+[5]수도권!$G$9</f>
        <v>100000</v>
      </c>
      <c r="F9" s="548">
        <f>+[5]수도권!$H$9</f>
        <v>100000.48731874043</v>
      </c>
      <c r="G9" s="549">
        <f t="shared" ref="G9:G28" si="0">+F9-E9</f>
        <v>0.48731874043005519</v>
      </c>
      <c r="H9" s="547">
        <f>+[5]수도권!$G$10</f>
        <v>93102.49658669786</v>
      </c>
      <c r="I9" s="548">
        <f>+[5]수도권!$H$10</f>
        <v>98338.296811217195</v>
      </c>
      <c r="J9" s="549">
        <f t="shared" ref="J9:J28" si="1">+I9-H9</f>
        <v>5235.8002245193347</v>
      </c>
      <c r="K9" s="547">
        <f>+[5]수도권!$G$12</f>
        <v>64313.909649657151</v>
      </c>
      <c r="L9" s="548">
        <f>+[5]수도권!$H$12</f>
        <v>62371.810593997114</v>
      </c>
      <c r="M9" s="549">
        <f t="shared" ref="M9:M28" si="2">+L9-K9</f>
        <v>-1942.0990556600373</v>
      </c>
      <c r="N9" s="547">
        <f>+[5]수도권!$G$13</f>
        <v>45168.202817121943</v>
      </c>
      <c r="O9" s="548">
        <f>+[5]수도권!$H$13</f>
        <v>44418.109644088559</v>
      </c>
      <c r="P9" s="549">
        <f t="shared" ref="P9:P28" si="3">+O9-N9</f>
        <v>-750.09317303338321</v>
      </c>
      <c r="Q9" s="547">
        <f>+[5]수도권!$G$16</f>
        <v>15358.99022040624</v>
      </c>
      <c r="R9" s="548">
        <f>+[5]수도권!$H$16</f>
        <v>16436.234349828497</v>
      </c>
      <c r="S9" s="549">
        <f t="shared" ref="S9:S28" si="4">+R9-Q9</f>
        <v>1077.2441294222572</v>
      </c>
      <c r="T9" s="547">
        <f>+[5]수도권!$G$17</f>
        <v>14722.935767886333</v>
      </c>
      <c r="U9" s="548">
        <f>+[5]수도권!$H$17</f>
        <v>15306.411385491638</v>
      </c>
      <c r="V9" s="549">
        <f t="shared" ref="V9:V28" si="5">+U9-T9</f>
        <v>583.47561760530516</v>
      </c>
    </row>
    <row r="10" spans="4:22" ht="24" customHeight="1" x14ac:dyDescent="0.3">
      <c r="D10" s="472" t="s">
        <v>20</v>
      </c>
      <c r="E10" s="550">
        <f>+[5]영남권!$G$9</f>
        <v>100000</v>
      </c>
      <c r="F10" s="551">
        <f>+[5]영남권!$H$9</f>
        <v>99996.922408192157</v>
      </c>
      <c r="G10" s="552">
        <f t="shared" si="0"/>
        <v>-3.0775918078434188</v>
      </c>
      <c r="H10" s="550">
        <f>+[5]영남권!$G$10</f>
        <v>92100</v>
      </c>
      <c r="I10" s="551">
        <f>+[5]영남권!$H$10</f>
        <v>92989.295296136654</v>
      </c>
      <c r="J10" s="552">
        <f t="shared" si="1"/>
        <v>889.29529613665363</v>
      </c>
      <c r="K10" s="550">
        <f>+[5]영남권!$G$12</f>
        <v>63821.192343339811</v>
      </c>
      <c r="L10" s="551">
        <f>+[5]영남권!$H$12</f>
        <v>63373.838716517486</v>
      </c>
      <c r="M10" s="552">
        <f t="shared" si="2"/>
        <v>-447.35362682232517</v>
      </c>
      <c r="N10" s="550">
        <f>+[5]영남권!$G$13</f>
        <v>35338.530107354389</v>
      </c>
      <c r="O10" s="551">
        <f>+[5]영남권!$H$13</f>
        <v>35397.404192594797</v>
      </c>
      <c r="P10" s="552">
        <f t="shared" si="3"/>
        <v>58.874085240408021</v>
      </c>
      <c r="Q10" s="550">
        <f>+[5]영남권!$G$16</f>
        <v>10369.038594206686</v>
      </c>
      <c r="R10" s="551">
        <f>+[5]영남권!$H$16</f>
        <v>11092.086035352311</v>
      </c>
      <c r="S10" s="552">
        <f t="shared" si="4"/>
        <v>723.04744114562527</v>
      </c>
      <c r="T10" s="550">
        <f>+[5]영남권!$G$17</f>
        <v>17794.75983106955</v>
      </c>
      <c r="U10" s="551">
        <f>+[5]영남권!$H$17</f>
        <v>17823.217300157405</v>
      </c>
      <c r="V10" s="552">
        <f t="shared" si="5"/>
        <v>28.457469087854406</v>
      </c>
    </row>
    <row r="11" spans="4:22" ht="24" customHeight="1" x14ac:dyDescent="0.3">
      <c r="D11" s="473" t="s">
        <v>57</v>
      </c>
      <c r="E11" s="553">
        <f>+[5]중부권!$G$9</f>
        <v>101715.15525275785</v>
      </c>
      <c r="F11" s="554">
        <f>+[5]중부권!$H$9</f>
        <v>101695.48854218796</v>
      </c>
      <c r="G11" s="555">
        <f t="shared" si="0"/>
        <v>-19.666710569887073</v>
      </c>
      <c r="H11" s="553">
        <f>+[5]중부권!$G$10</f>
        <v>87463.033674819875</v>
      </c>
      <c r="I11" s="554">
        <f>+[5]중부권!$H$10</f>
        <v>94295.650049443255</v>
      </c>
      <c r="J11" s="555">
        <f t="shared" si="1"/>
        <v>6832.6163746233797</v>
      </c>
      <c r="K11" s="553">
        <f>+[5]중부권!$G$12</f>
        <v>64736.865570315444</v>
      </c>
      <c r="L11" s="554">
        <f>+[5]중부권!$H$12</f>
        <v>64425.798000532268</v>
      </c>
      <c r="M11" s="555">
        <f t="shared" si="2"/>
        <v>-311.06756978317571</v>
      </c>
      <c r="N11" s="553">
        <f>+[5]중부권!$G$13</f>
        <v>40329.953333860627</v>
      </c>
      <c r="O11" s="554">
        <f>+[5]중부권!$H$13</f>
        <v>40824.257030329733</v>
      </c>
      <c r="P11" s="555">
        <f t="shared" si="3"/>
        <v>494.30369646910549</v>
      </c>
      <c r="Q11" s="553">
        <f>+[5]중부권!$G$16</f>
        <v>12392.342786150528</v>
      </c>
      <c r="R11" s="554">
        <f>+[5]중부권!$H$16</f>
        <v>12721.195850023698</v>
      </c>
      <c r="S11" s="555">
        <f t="shared" si="4"/>
        <v>328.85306387316996</v>
      </c>
      <c r="T11" s="553">
        <f>+[5]중부권!$G$17</f>
        <v>14446.150836704974</v>
      </c>
      <c r="U11" s="554">
        <f>+[5]중부권!$H$17</f>
        <v>14427.482703213846</v>
      </c>
      <c r="V11" s="555">
        <f t="shared" si="5"/>
        <v>-18.668133491128174</v>
      </c>
    </row>
    <row r="12" spans="4:22" ht="24" customHeight="1" x14ac:dyDescent="0.3">
      <c r="D12" s="485" t="s">
        <v>22</v>
      </c>
      <c r="E12" s="556">
        <f>+[5]안양!$G$9</f>
        <v>100000</v>
      </c>
      <c r="F12" s="557">
        <f>+[5]안양!$H$9</f>
        <v>100001.43126187225</v>
      </c>
      <c r="G12" s="558">
        <f t="shared" si="0"/>
        <v>1.4312618722469779</v>
      </c>
      <c r="H12" s="556">
        <f>+[5]안양!$G$10</f>
        <v>87100</v>
      </c>
      <c r="I12" s="557">
        <f>+[5]안양!$H$10</f>
        <v>0</v>
      </c>
      <c r="J12" s="558">
        <f t="shared" si="1"/>
        <v>-87100</v>
      </c>
      <c r="K12" s="556">
        <f>+[5]안양!$G$12</f>
        <v>64000</v>
      </c>
      <c r="L12" s="557">
        <f>+[5]안양!$H$12</f>
        <v>60740.365292736707</v>
      </c>
      <c r="M12" s="558">
        <f t="shared" si="2"/>
        <v>-3259.6347072632925</v>
      </c>
      <c r="N12" s="556">
        <f>+[5]안양!$G$13</f>
        <v>45000</v>
      </c>
      <c r="O12" s="557">
        <f>+[5]안양!$H$13</f>
        <v>42998.356014256191</v>
      </c>
      <c r="P12" s="558">
        <f t="shared" si="3"/>
        <v>-2001.643985743809</v>
      </c>
      <c r="Q12" s="556">
        <f>+[5]안양!$G$16</f>
        <v>15333.333333333332</v>
      </c>
      <c r="R12" s="557">
        <f>+[5]안양!$H$16</f>
        <v>17314.051884365093</v>
      </c>
      <c r="S12" s="558">
        <f t="shared" si="4"/>
        <v>1980.7185510317613</v>
      </c>
      <c r="T12" s="556">
        <f>+[5]안양!$G$17</f>
        <v>15161.290322580648</v>
      </c>
      <c r="U12" s="557">
        <f>+[5]안양!$H$17</f>
        <v>16395.628494585948</v>
      </c>
      <c r="V12" s="558">
        <f t="shared" si="5"/>
        <v>1234.3381720053003</v>
      </c>
    </row>
    <row r="13" spans="4:22" ht="24" customHeight="1" x14ac:dyDescent="0.3">
      <c r="D13" s="451" t="s">
        <v>23</v>
      </c>
      <c r="E13" s="559">
        <f>+[5]인천!$G$9</f>
        <v>100000</v>
      </c>
      <c r="F13" s="560">
        <f>+[5]인천!$H$9</f>
        <v>99999.951551692619</v>
      </c>
      <c r="G13" s="561">
        <f t="shared" si="0"/>
        <v>-4.8448307381477207E-2</v>
      </c>
      <c r="H13" s="559">
        <f>+[5]인천!$G$10</f>
        <v>99500</v>
      </c>
      <c r="I13" s="560">
        <f>+[5]인천!$H$10</f>
        <v>0</v>
      </c>
      <c r="J13" s="561">
        <f t="shared" si="1"/>
        <v>-99500</v>
      </c>
      <c r="K13" s="559">
        <f>+[5]인천!$G$12</f>
        <v>64500</v>
      </c>
      <c r="L13" s="560">
        <f>+[5]인천!$H$12</f>
        <v>64361.854584244866</v>
      </c>
      <c r="M13" s="561">
        <f t="shared" si="2"/>
        <v>-138.14541575513431</v>
      </c>
      <c r="N13" s="559">
        <f>+[5]인천!$G$13</f>
        <v>45000</v>
      </c>
      <c r="O13" s="560">
        <f>+[5]인천!$H$13</f>
        <v>44461.139767933397</v>
      </c>
      <c r="P13" s="561">
        <f t="shared" si="3"/>
        <v>-538.8602320666032</v>
      </c>
      <c r="Q13" s="559">
        <f>+[5]인천!$G$16</f>
        <v>15733.333333333332</v>
      </c>
      <c r="R13" s="560">
        <f>+[5]인천!$H$16</f>
        <v>15867.211464846649</v>
      </c>
      <c r="S13" s="561">
        <f t="shared" si="4"/>
        <v>133.87813151331648</v>
      </c>
      <c r="T13" s="559">
        <f>+[5]인천!$G$17</f>
        <v>15504.138303445719</v>
      </c>
      <c r="U13" s="560">
        <f>+[5]인천!$H$17</f>
        <v>15644.378435980001</v>
      </c>
      <c r="V13" s="561">
        <f t="shared" si="5"/>
        <v>140.24013253428166</v>
      </c>
    </row>
    <row r="14" spans="4:22" ht="24" customHeight="1" x14ac:dyDescent="0.3">
      <c r="D14" s="451" t="s">
        <v>24</v>
      </c>
      <c r="E14" s="559">
        <f>+[5]파주!$G$9</f>
        <v>100000</v>
      </c>
      <c r="F14" s="560">
        <f>+[5]파주!$H$9</f>
        <v>99999.867650581553</v>
      </c>
      <c r="G14" s="561">
        <f t="shared" si="0"/>
        <v>-0.13234941844712012</v>
      </c>
      <c r="H14" s="559">
        <f>+[5]파주!$G$10</f>
        <v>0</v>
      </c>
      <c r="I14" s="560">
        <f>+[5]파주!$H$10</f>
        <v>98338.296811217195</v>
      </c>
      <c r="J14" s="561">
        <f t="shared" si="1"/>
        <v>98338.296811217195</v>
      </c>
      <c r="K14" s="559">
        <f>+[5]파주!$G$12</f>
        <v>64500</v>
      </c>
      <c r="L14" s="560">
        <f>+[5]파주!$H$12</f>
        <v>64431.63815055645</v>
      </c>
      <c r="M14" s="561">
        <f t="shared" si="2"/>
        <v>-68.361849443550454</v>
      </c>
      <c r="N14" s="559">
        <f>+[5]파주!$G$13</f>
        <v>45000</v>
      </c>
      <c r="O14" s="560">
        <f>+[5]파주!$H$13</f>
        <v>45438.789642528071</v>
      </c>
      <c r="P14" s="561">
        <f t="shared" si="3"/>
        <v>438.78964252807054</v>
      </c>
      <c r="Q14" s="559">
        <f>+[5]파주!$G$16</f>
        <v>15266.666666666666</v>
      </c>
      <c r="R14" s="560">
        <f>+[5]파주!$H$16</f>
        <v>16495.99195242198</v>
      </c>
      <c r="S14" s="561">
        <f t="shared" si="4"/>
        <v>1229.3252857553143</v>
      </c>
      <c r="T14" s="559">
        <f>+[5]파주!$G$17</f>
        <v>13419.354838709678</v>
      </c>
      <c r="U14" s="560">
        <f>+[5]파주!$H$17</f>
        <v>13510.175734705903</v>
      </c>
      <c r="V14" s="561">
        <f t="shared" si="5"/>
        <v>90.820895996224863</v>
      </c>
    </row>
    <row r="15" spans="4:22" ht="24" customHeight="1" x14ac:dyDescent="0.3">
      <c r="D15" s="451" t="s">
        <v>178</v>
      </c>
      <c r="E15" s="559">
        <f>+[5]김포!$G$9</f>
        <v>100000</v>
      </c>
      <c r="F15" s="560">
        <f>+[5]김포!$H$9</f>
        <v>99999.678087759938</v>
      </c>
      <c r="G15" s="561">
        <f t="shared" si="0"/>
        <v>-0.32191224006237462</v>
      </c>
      <c r="H15" s="559">
        <f>+[5]김포!$G$10</f>
        <v>0</v>
      </c>
      <c r="I15" s="560">
        <f>+[5]김포!$H$10</f>
        <v>0</v>
      </c>
      <c r="J15" s="561">
        <f t="shared" si="1"/>
        <v>0</v>
      </c>
      <c r="K15" s="559">
        <f>+[5]김포!$G$12</f>
        <v>64300</v>
      </c>
      <c r="L15" s="560">
        <f>+[5]김포!$H$12</f>
        <v>57426.522904063342</v>
      </c>
      <c r="M15" s="561">
        <f t="shared" si="2"/>
        <v>-6873.4770959366579</v>
      </c>
      <c r="N15" s="559">
        <f>+[5]김포!$G$13</f>
        <v>46000</v>
      </c>
      <c r="O15" s="560">
        <f>+[5]김포!$H$13</f>
        <v>46368.330781518926</v>
      </c>
      <c r="P15" s="561">
        <f t="shared" si="3"/>
        <v>368.33078151892551</v>
      </c>
      <c r="Q15" s="559">
        <f>+[5]김포!$G$16</f>
        <v>14666.666666666666</v>
      </c>
      <c r="R15" s="560">
        <f>+[5]김포!$H$16</f>
        <v>14699.51944914948</v>
      </c>
      <c r="S15" s="561">
        <f t="shared" si="4"/>
        <v>32.852782482814291</v>
      </c>
      <c r="T15" s="559">
        <f>+[5]김포!$G$17</f>
        <v>14436.32358393858</v>
      </c>
      <c r="U15" s="560">
        <f>+[5]김포!$H$17</f>
        <v>14756.263264196537</v>
      </c>
      <c r="V15" s="561">
        <f t="shared" si="5"/>
        <v>319.93968025795766</v>
      </c>
    </row>
    <row r="16" spans="4:22" ht="24" customHeight="1" x14ac:dyDescent="0.3">
      <c r="D16" s="486" t="s">
        <v>25</v>
      </c>
      <c r="E16" s="562">
        <f>+[5]부산!$G$9</f>
        <v>100000</v>
      </c>
      <c r="F16" s="563">
        <f>+[5]부산!$H$9</f>
        <v>100010.56296643023</v>
      </c>
      <c r="G16" s="564">
        <f t="shared" si="0"/>
        <v>10.56296643022506</v>
      </c>
      <c r="H16" s="562">
        <f>+[5]부산!$G$10</f>
        <v>92099.999999999985</v>
      </c>
      <c r="I16" s="563">
        <f>+[5]부산!$H$10</f>
        <v>93870.444189475907</v>
      </c>
      <c r="J16" s="564">
        <f t="shared" si="1"/>
        <v>1770.444189475922</v>
      </c>
      <c r="K16" s="562">
        <f>+[5]부산!$G$12</f>
        <v>65000</v>
      </c>
      <c r="L16" s="563">
        <f>+[5]부산!$H$12</f>
        <v>0</v>
      </c>
      <c r="M16" s="564">
        <f t="shared" si="2"/>
        <v>-65000</v>
      </c>
      <c r="N16" s="562">
        <f>+[5]부산!$G$13</f>
        <v>36500</v>
      </c>
      <c r="O16" s="563">
        <f>+[5]부산!$H$13</f>
        <v>36499.99657225026</v>
      </c>
      <c r="P16" s="564">
        <f t="shared" si="3"/>
        <v>-3.427749739785213E-3</v>
      </c>
      <c r="Q16" s="562">
        <f>+[5]부산!$G$16</f>
        <v>10739.024822122245</v>
      </c>
      <c r="R16" s="563">
        <f>+[5]부산!$H$16</f>
        <v>11934.914214768554</v>
      </c>
      <c r="S16" s="564">
        <f t="shared" si="4"/>
        <v>1195.8893926463097</v>
      </c>
      <c r="T16" s="562">
        <f>+[5]부산!$G$17</f>
        <v>18742.186591957652</v>
      </c>
      <c r="U16" s="563">
        <f>+[5]부산!$H$17</f>
        <v>18368.941436107223</v>
      </c>
      <c r="V16" s="564">
        <f t="shared" si="5"/>
        <v>-373.245155850429</v>
      </c>
    </row>
    <row r="17" spans="4:25" ht="24" customHeight="1" x14ac:dyDescent="0.3">
      <c r="D17" s="451" t="s">
        <v>26</v>
      </c>
      <c r="E17" s="559">
        <f>+[5]서부산!$G$9</f>
        <v>100000</v>
      </c>
      <c r="F17" s="560">
        <f>+[5]서부산!$H$9</f>
        <v>100006.16168618931</v>
      </c>
      <c r="G17" s="561">
        <f t="shared" si="0"/>
        <v>6.1616861893126043</v>
      </c>
      <c r="H17" s="559">
        <f>+[5]서부산!$G$10</f>
        <v>92100</v>
      </c>
      <c r="I17" s="560">
        <f>+[5]서부산!$H$10</f>
        <v>92184.680747495033</v>
      </c>
      <c r="J17" s="561">
        <f t="shared" si="1"/>
        <v>84.680747495032847</v>
      </c>
      <c r="K17" s="559">
        <f>+[5]서부산!$G$12</f>
        <v>65000</v>
      </c>
      <c r="L17" s="560">
        <f>+[5]서부산!$H$12</f>
        <v>64806.18683943979</v>
      </c>
      <c r="M17" s="561">
        <f t="shared" si="2"/>
        <v>-193.81316056021024</v>
      </c>
      <c r="N17" s="559">
        <f>+[5]서부산!$G$13</f>
        <v>35199.999999999993</v>
      </c>
      <c r="O17" s="560">
        <f>+[5]서부산!$H$13</f>
        <v>35364.613843437248</v>
      </c>
      <c r="P17" s="561">
        <f t="shared" si="3"/>
        <v>164.61384343725513</v>
      </c>
      <c r="Q17" s="559">
        <f>+[5]서부산!$G$16</f>
        <v>10666.666666666666</v>
      </c>
      <c r="R17" s="560">
        <f>+[5]서부산!$H$16</f>
        <v>11254.79159268894</v>
      </c>
      <c r="S17" s="561">
        <f t="shared" si="4"/>
        <v>588.12492602227394</v>
      </c>
      <c r="T17" s="559">
        <f>+[5]서부산!$G$17</f>
        <v>19086.925629867575</v>
      </c>
      <c r="U17" s="560">
        <f>+[5]서부산!$H$17</f>
        <v>19089.4079186007</v>
      </c>
      <c r="V17" s="561">
        <f t="shared" si="5"/>
        <v>2.482288733124733</v>
      </c>
    </row>
    <row r="18" spans="4:25" ht="24" customHeight="1" x14ac:dyDescent="0.3">
      <c r="D18" s="451" t="s">
        <v>27</v>
      </c>
      <c r="E18" s="559">
        <f>+[5]김해!$G$9</f>
        <v>100000</v>
      </c>
      <c r="F18" s="560">
        <f>+[5]김해!$H$9</f>
        <v>100007.8181542215</v>
      </c>
      <c r="G18" s="561">
        <f t="shared" si="0"/>
        <v>7.818154221502482</v>
      </c>
      <c r="H18" s="559">
        <f>+[5]김해!$G$10</f>
        <v>92100.000000000015</v>
      </c>
      <c r="I18" s="560">
        <f>+[5]김해!$H$10</f>
        <v>92099.145819272962</v>
      </c>
      <c r="J18" s="561">
        <f t="shared" si="1"/>
        <v>-0.85418072705215309</v>
      </c>
      <c r="K18" s="559">
        <f>+[5]김해!$G$12</f>
        <v>64000</v>
      </c>
      <c r="L18" s="560">
        <f>+[5]김해!$H$12</f>
        <v>61745.557407461281</v>
      </c>
      <c r="M18" s="561">
        <f t="shared" si="2"/>
        <v>-2254.4425925387186</v>
      </c>
      <c r="N18" s="559">
        <f>+[5]김해!$G$13</f>
        <v>35000</v>
      </c>
      <c r="O18" s="560">
        <f>+[5]김해!$H$13</f>
        <v>34999.889837425268</v>
      </c>
      <c r="P18" s="561">
        <f t="shared" si="3"/>
        <v>-0.11016257473238511</v>
      </c>
      <c r="Q18" s="559">
        <f>+[5]김해!$G$16</f>
        <v>9533.3333333333339</v>
      </c>
      <c r="R18" s="560">
        <f>+[5]김해!$H$16</f>
        <v>9839.8936738936736</v>
      </c>
      <c r="S18" s="561">
        <f t="shared" si="4"/>
        <v>306.56034056033968</v>
      </c>
      <c r="T18" s="559">
        <f>+[5]김해!$G$17</f>
        <v>18179.375335891316</v>
      </c>
      <c r="U18" s="560">
        <f>+[5]김해!$H$17</f>
        <v>16486.2932166143</v>
      </c>
      <c r="V18" s="561">
        <f t="shared" si="5"/>
        <v>-1693.0821192770163</v>
      </c>
    </row>
    <row r="19" spans="4:25" ht="24" customHeight="1" x14ac:dyDescent="0.3">
      <c r="D19" s="451" t="s">
        <v>28</v>
      </c>
      <c r="E19" s="559">
        <f>+[5]정관!$G$9</f>
        <v>100000</v>
      </c>
      <c r="F19" s="560">
        <f>+[5]정관!$H$9</f>
        <v>99999.930279291075</v>
      </c>
      <c r="G19" s="561">
        <f t="shared" si="0"/>
        <v>-6.9720708925160579E-2</v>
      </c>
      <c r="H19" s="559">
        <f>+[5]정관!$G$10</f>
        <v>92100.000000000015</v>
      </c>
      <c r="I19" s="560">
        <f>+[5]정관!$H$10</f>
        <v>92083.110692117785</v>
      </c>
      <c r="J19" s="561">
        <f t="shared" si="1"/>
        <v>-16.889307882229332</v>
      </c>
      <c r="K19" s="559">
        <f>+[5]정관!$G$12</f>
        <v>63499.999999999993</v>
      </c>
      <c r="L19" s="560">
        <f>+[5]정관!$H$12</f>
        <v>63292.453098833612</v>
      </c>
      <c r="M19" s="561">
        <f t="shared" si="2"/>
        <v>-207.54690116638085</v>
      </c>
      <c r="N19" s="559">
        <f>+[5]정관!$G$13</f>
        <v>35500</v>
      </c>
      <c r="O19" s="560">
        <f>+[5]정관!$H$13</f>
        <v>35500.000906989524</v>
      </c>
      <c r="P19" s="561">
        <f t="shared" si="3"/>
        <v>9.0698952408274636E-4</v>
      </c>
      <c r="Q19" s="559">
        <f>+[5]정관!$G$16</f>
        <v>10733.333333333332</v>
      </c>
      <c r="R19" s="560">
        <f>+[5]정관!$H$16</f>
        <v>11785.612720405043</v>
      </c>
      <c r="S19" s="561">
        <f t="shared" si="4"/>
        <v>1052.2793870717105</v>
      </c>
      <c r="T19" s="559">
        <f>+[5]정관!$G$17</f>
        <v>18315.171013635976</v>
      </c>
      <c r="U19" s="560">
        <f>+[5]정관!$H$17</f>
        <v>19462.753945208668</v>
      </c>
      <c r="V19" s="561">
        <f t="shared" si="5"/>
        <v>1147.5829315726915</v>
      </c>
    </row>
    <row r="20" spans="4:25" ht="24" customHeight="1" x14ac:dyDescent="0.3">
      <c r="D20" s="451" t="s">
        <v>29</v>
      </c>
      <c r="E20" s="559">
        <f>+[5]양산!$G$9</f>
        <v>100000.00000000001</v>
      </c>
      <c r="F20" s="560">
        <f>+[5]양산!$H$9</f>
        <v>99932.636450913182</v>
      </c>
      <c r="G20" s="561">
        <f t="shared" si="0"/>
        <v>-67.363549086832791</v>
      </c>
      <c r="H20" s="559">
        <f>+[5]양산!$G$10</f>
        <v>92100.000000000015</v>
      </c>
      <c r="I20" s="560">
        <f>+[5]양산!$H$10</f>
        <v>97590.460958435564</v>
      </c>
      <c r="J20" s="561">
        <f t="shared" si="1"/>
        <v>5490.4609584355494</v>
      </c>
      <c r="K20" s="559">
        <f>+[5]양산!$G$12</f>
        <v>63000.000000000007</v>
      </c>
      <c r="L20" s="560">
        <f>+[5]양산!$H$12</f>
        <v>63380.406018554757</v>
      </c>
      <c r="M20" s="561">
        <f t="shared" si="2"/>
        <v>380.40601855474961</v>
      </c>
      <c r="N20" s="559">
        <f>+[5]양산!$G$13</f>
        <v>36000</v>
      </c>
      <c r="O20" s="560">
        <f>+[5]양산!$H$13</f>
        <v>35999.988756397521</v>
      </c>
      <c r="P20" s="561">
        <f t="shared" si="3"/>
        <v>-1.1243602479225956E-2</v>
      </c>
      <c r="Q20" s="559">
        <f>+[5]양산!$G$16</f>
        <v>9066.6666666666661</v>
      </c>
      <c r="R20" s="560">
        <f>+[5]양산!$H$16</f>
        <v>9610.1479088252399</v>
      </c>
      <c r="S20" s="561">
        <f t="shared" si="4"/>
        <v>543.48124215857388</v>
      </c>
      <c r="T20" s="559">
        <f>+[5]양산!$G$17</f>
        <v>17371.770748472212</v>
      </c>
      <c r="U20" s="560">
        <f>+[5]양산!$H$17</f>
        <v>16609.012434839897</v>
      </c>
      <c r="V20" s="561">
        <f t="shared" si="5"/>
        <v>-762.75831363231555</v>
      </c>
    </row>
    <row r="21" spans="4:25" ht="24" customHeight="1" x14ac:dyDescent="0.3">
      <c r="D21" s="451" t="s">
        <v>30</v>
      </c>
      <c r="E21" s="559">
        <f>+[5]창원!$G$9</f>
        <v>100000</v>
      </c>
      <c r="F21" s="560">
        <f>+[5]창원!$H$9</f>
        <v>99998.93909510925</v>
      </c>
      <c r="G21" s="561">
        <f t="shared" si="0"/>
        <v>-1.0609048907499528</v>
      </c>
      <c r="H21" s="559">
        <f>+[5]창원!$G$10</f>
        <v>0</v>
      </c>
      <c r="I21" s="560">
        <f>+[5]창원!$H$10</f>
        <v>0</v>
      </c>
      <c r="J21" s="561">
        <f t="shared" si="1"/>
        <v>0</v>
      </c>
      <c r="K21" s="559">
        <f>+[5]창원!$G$12</f>
        <v>65000</v>
      </c>
      <c r="L21" s="560">
        <f>+[5]창원!$H$12</f>
        <v>64904.932278170847</v>
      </c>
      <c r="M21" s="561">
        <f t="shared" si="2"/>
        <v>-95.067721829153015</v>
      </c>
      <c r="N21" s="559">
        <f>+[5]창원!$G$13</f>
        <v>33000</v>
      </c>
      <c r="O21" s="560">
        <f>+[5]창원!$H$13</f>
        <v>33000.005942059375</v>
      </c>
      <c r="P21" s="561">
        <f t="shared" si="3"/>
        <v>5.9420593752292916E-3</v>
      </c>
      <c r="Q21" s="559">
        <f>+[5]창원!$G$16</f>
        <v>10400</v>
      </c>
      <c r="R21" s="560">
        <f>+[5]창원!$H$16</f>
        <v>11266.419075180944</v>
      </c>
      <c r="S21" s="561">
        <f t="shared" si="4"/>
        <v>866.41907518094376</v>
      </c>
      <c r="T21" s="559">
        <f>+[5]창원!$G$17</f>
        <v>17019.616516901086</v>
      </c>
      <c r="U21" s="560">
        <f>+[5]창원!$H$17</f>
        <v>17591.755196137157</v>
      </c>
      <c r="V21" s="561">
        <f t="shared" si="5"/>
        <v>572.13867923607177</v>
      </c>
      <c r="Y21" s="543"/>
    </row>
    <row r="22" spans="4:25" ht="24" customHeight="1" x14ac:dyDescent="0.3">
      <c r="D22" s="451" t="s">
        <v>95</v>
      </c>
      <c r="E22" s="559">
        <f>+[5]대구!$G$9</f>
        <v>100000</v>
      </c>
      <c r="F22" s="560">
        <f>+[5]대구!$H$9</f>
        <v>99999.781474410585</v>
      </c>
      <c r="G22" s="561">
        <f t="shared" si="0"/>
        <v>-0.2185255894146394</v>
      </c>
      <c r="H22" s="559">
        <f>+[5]대구!$G$10</f>
        <v>0</v>
      </c>
      <c r="I22" s="560">
        <f>+[5]대구!$H$10</f>
        <v>0</v>
      </c>
      <c r="J22" s="561">
        <f t="shared" si="1"/>
        <v>0</v>
      </c>
      <c r="K22" s="559">
        <f>+[5]대구!$G$12</f>
        <v>62500</v>
      </c>
      <c r="L22" s="560">
        <f>+[5]대구!$H$12</f>
        <v>62277.354477812929</v>
      </c>
      <c r="M22" s="561">
        <f t="shared" si="2"/>
        <v>-222.64552218707104</v>
      </c>
      <c r="N22" s="559">
        <f>+[5]대구!$G$13</f>
        <v>35500</v>
      </c>
      <c r="O22" s="560">
        <f>+[5]대구!$H$13</f>
        <v>35255.616164332983</v>
      </c>
      <c r="P22" s="561">
        <f t="shared" si="3"/>
        <v>-244.38383566701668</v>
      </c>
      <c r="Q22" s="559">
        <f>+[5]대구!$G$16</f>
        <v>10466.666666666664</v>
      </c>
      <c r="R22" s="560">
        <f>+[5]대구!$H$16</f>
        <v>10516.949870102408</v>
      </c>
      <c r="S22" s="561">
        <f t="shared" si="4"/>
        <v>50.283203435743417</v>
      </c>
      <c r="T22" s="559">
        <f>+[5]대구!$G$17</f>
        <v>14718.131256952169</v>
      </c>
      <c r="U22" s="560">
        <f>+[5]대구!$H$17</f>
        <v>15002.124475038256</v>
      </c>
      <c r="V22" s="561">
        <f t="shared" si="5"/>
        <v>283.99321808608693</v>
      </c>
    </row>
    <row r="23" spans="4:25" ht="24" customHeight="1" x14ac:dyDescent="0.3">
      <c r="D23" s="451" t="s">
        <v>97</v>
      </c>
      <c r="E23" s="559">
        <f>+[5]울산!$G$9</f>
        <v>100000</v>
      </c>
      <c r="F23" s="560">
        <f>+[5]울산!$H$9</f>
        <v>99994.93678678773</v>
      </c>
      <c r="G23" s="561">
        <f t="shared" si="0"/>
        <v>-5.0632132122700568</v>
      </c>
      <c r="H23" s="559">
        <f>+[5]울산!$G$10</f>
        <v>0</v>
      </c>
      <c r="I23" s="560">
        <f>+[5]울산!$H$10</f>
        <v>0</v>
      </c>
      <c r="J23" s="561">
        <f t="shared" si="1"/>
        <v>0</v>
      </c>
      <c r="K23" s="559">
        <f>+[5]울산!$G$12</f>
        <v>61300</v>
      </c>
      <c r="L23" s="560">
        <f>+[5]울산!$H$12</f>
        <v>60706.294381412314</v>
      </c>
      <c r="M23" s="561">
        <f t="shared" si="2"/>
        <v>-593.70561858768633</v>
      </c>
      <c r="N23" s="559">
        <f>+[5]울산!$G$13</f>
        <v>37000</v>
      </c>
      <c r="O23" s="560">
        <f>+[5]울산!$H$13</f>
        <v>37000.013851658739</v>
      </c>
      <c r="P23" s="561">
        <f t="shared" si="3"/>
        <v>1.3851658739440609E-2</v>
      </c>
      <c r="Q23" s="559">
        <f>+[5]울산!$G$16</f>
        <v>10546.666666666666</v>
      </c>
      <c r="R23" s="560">
        <f>+[5]울산!$H$16</f>
        <v>11468.585152848214</v>
      </c>
      <c r="S23" s="561">
        <f t="shared" si="4"/>
        <v>921.91848618154836</v>
      </c>
      <c r="T23" s="559">
        <f>+[5]울산!$G$17</f>
        <v>18685.562032802791</v>
      </c>
      <c r="U23" s="560">
        <f>+[5]울산!$H$17</f>
        <v>19139.366355934886</v>
      </c>
      <c r="V23" s="561">
        <f t="shared" si="5"/>
        <v>453.80432313209531</v>
      </c>
    </row>
    <row r="24" spans="4:25" ht="24" customHeight="1" x14ac:dyDescent="0.3">
      <c r="D24" s="486" t="s">
        <v>31</v>
      </c>
      <c r="E24" s="562">
        <f>+[5]아산!$G$9</f>
        <v>100000</v>
      </c>
      <c r="F24" s="563">
        <f>+[5]아산!$H$9</f>
        <v>100579.02966795258</v>
      </c>
      <c r="G24" s="564">
        <f t="shared" si="0"/>
        <v>579.02966795257817</v>
      </c>
      <c r="H24" s="562">
        <f>+[5]아산!$G$10</f>
        <v>87100.000000000015</v>
      </c>
      <c r="I24" s="563">
        <f>+[5]아산!$H$10</f>
        <v>0</v>
      </c>
      <c r="J24" s="564">
        <f t="shared" si="1"/>
        <v>-87100.000000000015</v>
      </c>
      <c r="K24" s="562">
        <f>+[5]아산!$G$12</f>
        <v>64500.000000000015</v>
      </c>
      <c r="L24" s="563">
        <f>+[5]아산!$H$12</f>
        <v>64307.082553569286</v>
      </c>
      <c r="M24" s="564">
        <f t="shared" si="2"/>
        <v>-192.91744643072889</v>
      </c>
      <c r="N24" s="562">
        <f>+[5]아산!$G$13</f>
        <v>42000</v>
      </c>
      <c r="O24" s="563">
        <f>+[5]아산!$H$13</f>
        <v>40946.299231570134</v>
      </c>
      <c r="P24" s="564">
        <f t="shared" si="3"/>
        <v>-1053.700768429866</v>
      </c>
      <c r="Q24" s="562">
        <f>+[5]아산!$G$16</f>
        <v>10933.333333333334</v>
      </c>
      <c r="R24" s="563">
        <f>+[5]아산!$H$16</f>
        <v>11446.15175638481</v>
      </c>
      <c r="S24" s="564">
        <f t="shared" si="4"/>
        <v>512.8184230514762</v>
      </c>
      <c r="T24" s="562">
        <f>+[5]아산!$G$17</f>
        <v>13742.253874325719</v>
      </c>
      <c r="U24" s="563">
        <f>+[5]아산!$H$17</f>
        <v>13468.054362902752</v>
      </c>
      <c r="V24" s="564">
        <f t="shared" si="5"/>
        <v>-274.19951142296668</v>
      </c>
    </row>
    <row r="25" spans="4:25" ht="24" customHeight="1" x14ac:dyDescent="0.3">
      <c r="D25" s="451" t="s">
        <v>34</v>
      </c>
      <c r="E25" s="559">
        <f>+[5]전주!$G$9</f>
        <v>100000</v>
      </c>
      <c r="F25" s="560">
        <f>+[5]전주!$H$9</f>
        <v>99909.294949331394</v>
      </c>
      <c r="G25" s="561">
        <f t="shared" si="0"/>
        <v>-90.705050668606418</v>
      </c>
      <c r="H25" s="559">
        <f>+[5]전주!$G$10</f>
        <v>0</v>
      </c>
      <c r="I25" s="560">
        <f>+[5]전주!$H$10</f>
        <v>92739.331905370651</v>
      </c>
      <c r="J25" s="561">
        <f t="shared" si="1"/>
        <v>92739.331905370651</v>
      </c>
      <c r="K25" s="559">
        <f>+[5]전주!$G$12</f>
        <v>65000</v>
      </c>
      <c r="L25" s="560">
        <f>+[5]전주!$H$12</f>
        <v>64556.310152693994</v>
      </c>
      <c r="M25" s="561">
        <f t="shared" si="2"/>
        <v>-443.68984730600641</v>
      </c>
      <c r="N25" s="559">
        <f>+[5]전주!$G$13</f>
        <v>36000</v>
      </c>
      <c r="O25" s="560">
        <f>+[5]전주!$H$13</f>
        <v>35999.97286578799</v>
      </c>
      <c r="P25" s="561">
        <f t="shared" si="3"/>
        <v>-2.7134212010423653E-2</v>
      </c>
      <c r="Q25" s="559">
        <f>+[5]전주!$G$16</f>
        <v>12533.333333333334</v>
      </c>
      <c r="R25" s="560">
        <f>+[5]전주!$H$16</f>
        <v>12756.914295434566</v>
      </c>
      <c r="S25" s="561">
        <f t="shared" si="4"/>
        <v>223.58096210123222</v>
      </c>
      <c r="T25" s="559">
        <f>+[5]전주!$G$17</f>
        <v>14400.037964047733</v>
      </c>
      <c r="U25" s="560">
        <f>+[5]전주!$H$17</f>
        <v>14819.913844712251</v>
      </c>
      <c r="V25" s="561">
        <f t="shared" si="5"/>
        <v>419.87588066451826</v>
      </c>
    </row>
    <row r="26" spans="4:25" ht="24" customHeight="1" x14ac:dyDescent="0.3">
      <c r="D26" s="451" t="s">
        <v>33</v>
      </c>
      <c r="E26" s="559">
        <f>+[5]군산!$G$9</f>
        <v>100000</v>
      </c>
      <c r="F26" s="560">
        <f>+[5]군산!$H$9</f>
        <v>99999.997305974073</v>
      </c>
      <c r="G26" s="561">
        <f t="shared" si="0"/>
        <v>-2.6940259267576039E-3</v>
      </c>
      <c r="H26" s="559">
        <f>+[5]군산!$G$10</f>
        <v>95000</v>
      </c>
      <c r="I26" s="560">
        <f>+[5]군산!$H$10</f>
        <v>94653.581273028554</v>
      </c>
      <c r="J26" s="561">
        <f t="shared" si="1"/>
        <v>-346.41872697144572</v>
      </c>
      <c r="K26" s="559">
        <f>+[5]군산!$G$12</f>
        <v>64900.000000000007</v>
      </c>
      <c r="L26" s="560">
        <f>+[5]군산!$H$12</f>
        <v>64848.856335603356</v>
      </c>
      <c r="M26" s="561">
        <f t="shared" si="2"/>
        <v>-51.143664396651729</v>
      </c>
      <c r="N26" s="559">
        <f>+[5]군산!$G$13</f>
        <v>37500</v>
      </c>
      <c r="O26" s="560">
        <f>+[5]군산!$H$13</f>
        <v>39249.531316964094</v>
      </c>
      <c r="P26" s="561">
        <f t="shared" si="3"/>
        <v>1749.531316964094</v>
      </c>
      <c r="Q26" s="559">
        <f>+[5]군산!$G$16</f>
        <v>13666.666666666666</v>
      </c>
      <c r="R26" s="560">
        <f>+[5]군산!$H$16</f>
        <v>13955.661310570824</v>
      </c>
      <c r="S26" s="561">
        <f t="shared" si="4"/>
        <v>288.99464390415778</v>
      </c>
      <c r="T26" s="559">
        <f>+[5]군산!$G$17</f>
        <v>14837.329653268933</v>
      </c>
      <c r="U26" s="560">
        <f>+[5]군산!$H$17</f>
        <v>15160.920046337147</v>
      </c>
      <c r="V26" s="561">
        <f t="shared" si="5"/>
        <v>323.59039306821433</v>
      </c>
    </row>
    <row r="27" spans="4:25" ht="24" customHeight="1" x14ac:dyDescent="0.3">
      <c r="D27" s="451" t="s">
        <v>32</v>
      </c>
      <c r="E27" s="559">
        <f>+[5]원주!$G$9</f>
        <v>100000</v>
      </c>
      <c r="F27" s="560">
        <f>+[5]원주!$H$9</f>
        <v>100051.02069234983</v>
      </c>
      <c r="G27" s="561">
        <f t="shared" si="0"/>
        <v>51.020692349833553</v>
      </c>
      <c r="H27" s="559">
        <f>+[5]원주!$G$10</f>
        <v>0</v>
      </c>
      <c r="I27" s="560">
        <f>+[5]원주!$H$10</f>
        <v>0</v>
      </c>
      <c r="J27" s="561">
        <f t="shared" si="1"/>
        <v>0</v>
      </c>
      <c r="K27" s="559">
        <f>+[5]원주!$G$12</f>
        <v>64000</v>
      </c>
      <c r="L27" s="560">
        <f>+[5]원주!$H$12</f>
        <v>62799.755113899257</v>
      </c>
      <c r="M27" s="561">
        <f t="shared" si="2"/>
        <v>-1200.2448861007433</v>
      </c>
      <c r="N27" s="559">
        <f>+[5]원주!$G$13</f>
        <v>49000</v>
      </c>
      <c r="O27" s="560">
        <f>+[5]원주!$H$13</f>
        <v>48999.991083373781</v>
      </c>
      <c r="P27" s="561">
        <f t="shared" si="3"/>
        <v>-8.9166262187063694E-3</v>
      </c>
      <c r="Q27" s="559">
        <f>+[5]원주!$G$16</f>
        <v>13666.666666666666</v>
      </c>
      <c r="R27" s="560">
        <f>+[5]원주!$H$16</f>
        <v>14046.720747083547</v>
      </c>
      <c r="S27" s="561">
        <f t="shared" si="4"/>
        <v>380.05408041688133</v>
      </c>
      <c r="T27" s="559">
        <f>+[5]원주!$G$17</f>
        <v>13419.354838709678</v>
      </c>
      <c r="U27" s="560">
        <f>+[5]원주!$H$17</f>
        <v>14101.665911314009</v>
      </c>
      <c r="V27" s="561">
        <f t="shared" si="5"/>
        <v>682.31107260433055</v>
      </c>
    </row>
    <row r="28" spans="4:25" ht="24" customHeight="1" x14ac:dyDescent="0.3">
      <c r="D28" s="500" t="s">
        <v>35</v>
      </c>
      <c r="E28" s="565">
        <f>+[5]제주!$G$9</f>
        <v>116999.99999999999</v>
      </c>
      <c r="F28" s="566">
        <f>+[5]제주!$H$9</f>
        <v>116991.49423385036</v>
      </c>
      <c r="G28" s="567">
        <f t="shared" si="0"/>
        <v>-8.5057661496248329</v>
      </c>
      <c r="H28" s="565">
        <f>+[5]제주!$G$10</f>
        <v>0</v>
      </c>
      <c r="I28" s="566">
        <f>+[5]제주!$H$10</f>
        <v>0</v>
      </c>
      <c r="J28" s="567">
        <f t="shared" si="1"/>
        <v>0</v>
      </c>
      <c r="K28" s="565">
        <f>+[5]제주!$G$12</f>
        <v>0</v>
      </c>
      <c r="L28" s="566">
        <f>+[5]제주!$H$12</f>
        <v>0</v>
      </c>
      <c r="M28" s="567">
        <f t="shared" si="2"/>
        <v>0</v>
      </c>
      <c r="N28" s="565">
        <f>+[5]제주!$G$13</f>
        <v>0</v>
      </c>
      <c r="O28" s="566">
        <f>+[5]제주!$H$13</f>
        <v>0</v>
      </c>
      <c r="P28" s="567">
        <f t="shared" si="3"/>
        <v>0</v>
      </c>
      <c r="Q28" s="565">
        <f>+[5]제주!$G$16</f>
        <v>18143.333333333336</v>
      </c>
      <c r="R28" s="566">
        <f>+[5]제주!$H$16</f>
        <v>17956.969949138969</v>
      </c>
      <c r="S28" s="567">
        <f t="shared" si="4"/>
        <v>-186.36338419436652</v>
      </c>
      <c r="T28" s="565">
        <f>+[5]제주!$G$17</f>
        <v>18593.79179380419</v>
      </c>
      <c r="U28" s="566">
        <f>+[5]제주!$H$17</f>
        <v>18829.162416426454</v>
      </c>
      <c r="V28" s="567">
        <f t="shared" si="5"/>
        <v>235.37062262226391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39AB-76B0-4EF2-A4A5-C7A0366BB8E0}">
  <sheetPr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activeCell="N19" sqref="N19"/>
      <selection pane="topRight" activeCell="N19" sqref="N19"/>
      <selection pane="bottomLeft" activeCell="N19" sqref="N19"/>
      <selection pane="bottomRight" activeCell="N19" sqref="N19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184" t="s">
        <v>221</v>
      </c>
      <c r="F4" s="184"/>
      <c r="I4" s="184"/>
    </row>
    <row r="5" spans="4:22" ht="21.95" customHeight="1" x14ac:dyDescent="0.3">
      <c r="V5" s="186" t="s">
        <v>157</v>
      </c>
    </row>
    <row r="6" spans="4:22" ht="24" customHeight="1" thickBot="1" x14ac:dyDescent="0.35">
      <c r="D6" s="825" t="s">
        <v>11</v>
      </c>
      <c r="E6" s="439" t="s">
        <v>158</v>
      </c>
      <c r="F6" s="440"/>
      <c r="G6" s="441"/>
      <c r="H6" s="439" t="s">
        <v>159</v>
      </c>
      <c r="I6" s="440"/>
      <c r="J6" s="441"/>
      <c r="K6" s="439" t="s">
        <v>160</v>
      </c>
      <c r="L6" s="440"/>
      <c r="M6" s="441"/>
      <c r="N6" s="439" t="s">
        <v>161</v>
      </c>
      <c r="O6" s="440"/>
      <c r="P6" s="441"/>
      <c r="Q6" s="439" t="s">
        <v>162</v>
      </c>
      <c r="R6" s="440"/>
      <c r="S6" s="441"/>
      <c r="T6" s="439" t="s">
        <v>163</v>
      </c>
      <c r="U6" s="440"/>
      <c r="V6" s="441"/>
    </row>
    <row r="7" spans="4:22" ht="24" customHeight="1" x14ac:dyDescent="0.3">
      <c r="D7" s="826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 x14ac:dyDescent="0.3">
      <c r="D8" s="470" t="s">
        <v>47</v>
      </c>
      <c r="E8" s="460">
        <f>+[5]합계!$E$9</f>
        <v>254.58041192709851</v>
      </c>
      <c r="F8" s="462">
        <f>+[5]합계!$F$9</f>
        <v>285.71730611491785</v>
      </c>
      <c r="G8" s="487">
        <f>+F8-E8</f>
        <v>31.136894187819337</v>
      </c>
      <c r="H8" s="460">
        <f>+[5]합계!$E$15</f>
        <v>351.53539946911451</v>
      </c>
      <c r="I8" s="462">
        <f>+[5]합계!$F$15</f>
        <v>370.34799721553588</v>
      </c>
      <c r="J8" s="487">
        <f>+I8-H8</f>
        <v>18.812597746421375</v>
      </c>
      <c r="K8" s="531">
        <f>+([5]합계!$E$10*0.4+[5]합계!$E$11+[5]합계!$E$12+[5]합계!$E$13+[5]합계!$E$14)/[5]합계!$E$15</f>
        <v>0.22921900145716587</v>
      </c>
      <c r="L8" s="532">
        <f>+([5]합계!$F$10*0.4+[5]합계!$F$11+[5]합계!$F$12+[5]합계!$F$13+[5]합계!$F$14)/[5]합계!$F$15</f>
        <v>0.191085147707731</v>
      </c>
      <c r="M8" s="533">
        <f>+L8-K8</f>
        <v>-3.8133853749434871E-2</v>
      </c>
      <c r="N8" s="460">
        <f>+[5]합계!$E$16</f>
        <v>823.58497034401455</v>
      </c>
      <c r="O8" s="462">
        <f>+[5]합계!$F$16</f>
        <v>813.09162069561307</v>
      </c>
      <c r="P8" s="487">
        <f>+O8-N8</f>
        <v>-10.493349648401477</v>
      </c>
      <c r="Q8" s="460">
        <f>+[5]합계!$E$17</f>
        <v>903.49553493196925</v>
      </c>
      <c r="R8" s="462">
        <f>+[5]합계!$F$17</f>
        <v>900.76453850528003</v>
      </c>
      <c r="S8" s="487">
        <f>+R8-Q8</f>
        <v>-2.7309964266892166</v>
      </c>
      <c r="T8" s="460">
        <f>+[5]합계!$E$19</f>
        <v>3.142365346561423</v>
      </c>
      <c r="U8" s="462">
        <f>+[5]합계!$F$19</f>
        <v>3.0898435231856944</v>
      </c>
      <c r="V8" s="487">
        <f>+U8-T8</f>
        <v>-5.2521823375728527E-2</v>
      </c>
    </row>
    <row r="9" spans="4:22" ht="24" customHeight="1" x14ac:dyDescent="0.3">
      <c r="D9" s="471" t="s">
        <v>19</v>
      </c>
      <c r="E9" s="465">
        <f>+[5]수도권!$E$9</f>
        <v>282.23082949308753</v>
      </c>
      <c r="F9" s="479">
        <f>+[5]수도권!$F$9</f>
        <v>311.23686806546289</v>
      </c>
      <c r="G9" s="488">
        <f t="shared" ref="G9:G28" si="0">+F9-E9</f>
        <v>29.00603857237536</v>
      </c>
      <c r="H9" s="465">
        <f>+[5]수도권!$E$15</f>
        <v>355.99195391705064</v>
      </c>
      <c r="I9" s="479">
        <f>+[5]수도권!$F$15</f>
        <v>372.99896816814623</v>
      </c>
      <c r="J9" s="488">
        <f t="shared" ref="J9:J28" si="1">+I9-H9</f>
        <v>17.007014251095598</v>
      </c>
      <c r="K9" s="537">
        <f>+([5]수도권!$E$10*0.4+[5]수도권!$E$11+[5]수도권!$E$12+[5]수도권!$E$13+[5]수도권!$E$14)/[5]수도권!$E$15</f>
        <v>0.19732318808945279</v>
      </c>
      <c r="L9" s="538">
        <f>+([5]수도권!$F$10*0.4+[5]수도권!$F$11+[5]수도권!$F$12+[5]수도권!$F$13+[5]수도권!$F$14)/[5]수도권!$F$15</f>
        <v>0.16451799117997856</v>
      </c>
      <c r="M9" s="534">
        <f t="shared" ref="M9:M28" si="2">+L9-K9</f>
        <v>-3.2805196909474227E-2</v>
      </c>
      <c r="N9" s="465">
        <f>+[5]수도권!$E$16</f>
        <v>848.34914285714285</v>
      </c>
      <c r="O9" s="479">
        <f>+[5]수도권!$F$16</f>
        <v>836.19561301989211</v>
      </c>
      <c r="P9" s="488">
        <f t="shared" ref="P9:P28" si="3">+O9-N9</f>
        <v>-12.153529837250744</v>
      </c>
      <c r="Q9" s="465">
        <f>+[5]수도권!$E$17</f>
        <v>884.48941935483867</v>
      </c>
      <c r="R9" s="479">
        <f>+[5]수도권!$F$17</f>
        <v>878.55652356720327</v>
      </c>
      <c r="S9" s="488">
        <f t="shared" ref="S9:S28" si="4">+R9-Q9</f>
        <v>-5.9328957876354025</v>
      </c>
      <c r="T9" s="465">
        <f>+[5]수도권!$E$19</f>
        <v>3.0823428571428573</v>
      </c>
      <c r="U9" s="479">
        <f>+[5]수도권!$F$19</f>
        <v>3.0806387452633865</v>
      </c>
      <c r="V9" s="488">
        <f t="shared" ref="V9:V28" si="5">+U9-T9</f>
        <v>-1.7041118794707266E-3</v>
      </c>
    </row>
    <row r="10" spans="4:22" ht="24" customHeight="1" x14ac:dyDescent="0.3">
      <c r="D10" s="472" t="s">
        <v>20</v>
      </c>
      <c r="E10" s="467">
        <f>+[5]영남권!$E$9</f>
        <v>227.88882248920154</v>
      </c>
      <c r="F10" s="480">
        <f>+[5]영남권!$F$9</f>
        <v>255.25205607059087</v>
      </c>
      <c r="G10" s="489">
        <f t="shared" si="0"/>
        <v>27.363233581389323</v>
      </c>
      <c r="H10" s="467">
        <f>+[5]영남권!$E$15</f>
        <v>346.73557798533415</v>
      </c>
      <c r="I10" s="480">
        <f>+[5]영남권!$F$15</f>
        <v>369.50249793365356</v>
      </c>
      <c r="J10" s="489">
        <f t="shared" si="1"/>
        <v>22.766919948319412</v>
      </c>
      <c r="K10" s="539">
        <f>+([5]영남권!$E$10*0.4+[5]영남권!$E$11+[5]영남권!$E$12+[5]영남권!$E$13+[5]영남권!$E$14)/[5]영남권!$E$15</f>
        <v>0.26609077809789733</v>
      </c>
      <c r="L10" s="540">
        <f>+([5]영남권!$F$10*0.4+[5]영남권!$F$11+[5]영남권!$F$12+[5]영남권!$F$13+[5]영남권!$F$14)/[5]영남권!$F$15</f>
        <v>0.22772436915626532</v>
      </c>
      <c r="M10" s="535">
        <f t="shared" si="2"/>
        <v>-3.8366408941632013E-2</v>
      </c>
      <c r="N10" s="467">
        <f>+[5]영남권!$E$16</f>
        <v>808.42815614710537</v>
      </c>
      <c r="O10" s="480">
        <f>+[5]영남권!$F$16</f>
        <v>811.34565992777061</v>
      </c>
      <c r="P10" s="489">
        <f t="shared" si="3"/>
        <v>2.9175037806652426</v>
      </c>
      <c r="Q10" s="467">
        <f>+[5]영남권!$E$17</f>
        <v>911.11120792434531</v>
      </c>
      <c r="R10" s="480">
        <f>+[5]영남권!$F$17</f>
        <v>903.25794556759365</v>
      </c>
      <c r="S10" s="489">
        <f t="shared" si="4"/>
        <v>-7.8532623567516566</v>
      </c>
      <c r="T10" s="467">
        <f>+[5]영남권!$E$19</f>
        <v>3.2679671129325363</v>
      </c>
      <c r="U10" s="480">
        <f>+[5]영남권!$F$19</f>
        <v>3.1666503592836661</v>
      </c>
      <c r="V10" s="489">
        <f t="shared" si="5"/>
        <v>-0.10131675364887016</v>
      </c>
    </row>
    <row r="11" spans="4:22" ht="24" customHeight="1" x14ac:dyDescent="0.3">
      <c r="D11" s="473" t="s">
        <v>57</v>
      </c>
      <c r="E11" s="468">
        <f>+[5]중부권!$E$9</f>
        <v>260.98761904761909</v>
      </c>
      <c r="F11" s="481">
        <f>+[5]중부권!$F$9</f>
        <v>309.59091206817942</v>
      </c>
      <c r="G11" s="490">
        <f t="shared" si="0"/>
        <v>48.603293020560329</v>
      </c>
      <c r="H11" s="468">
        <f>+[5]중부권!$E$15</f>
        <v>353.75333333333339</v>
      </c>
      <c r="I11" s="481">
        <f>+[5]중부권!$F$15</f>
        <v>367.03234004149567</v>
      </c>
      <c r="J11" s="490">
        <f t="shared" si="1"/>
        <v>13.279006708162285</v>
      </c>
      <c r="K11" s="541">
        <f>+([5]중부권!$E$10*0.4+[5]중부권!$E$11+[5]중부권!$E$12+[5]중부권!$E$13+[5]중부권!$E$14)/[5]중부권!$E$15</f>
        <v>0.20950578961396288</v>
      </c>
      <c r="L11" s="542">
        <f>+([5]중부권!$F$10*0.4+[5]중부권!$F$11+[5]중부권!$F$12+[5]중부권!$F$13+[5]중부권!$F$14)/[5]중부권!$F$15</f>
        <v>0.15419647571959647</v>
      </c>
      <c r="M11" s="536">
        <f t="shared" si="2"/>
        <v>-5.5309313894366413E-2</v>
      </c>
      <c r="N11" s="468">
        <f>+[5]중부권!$E$16</f>
        <v>808.49333333333345</v>
      </c>
      <c r="O11" s="481">
        <f>+[5]중부권!$F$16</f>
        <v>770.14354164922179</v>
      </c>
      <c r="P11" s="490">
        <f t="shared" si="3"/>
        <v>-38.349791684111665</v>
      </c>
      <c r="Q11" s="468">
        <f>+[5]중부권!$E$17</f>
        <v>924.64228571428578</v>
      </c>
      <c r="R11" s="481">
        <f>+[5]중부권!$F$17</f>
        <v>940.01004828760495</v>
      </c>
      <c r="S11" s="490">
        <f t="shared" si="4"/>
        <v>15.367762573319169</v>
      </c>
      <c r="T11" s="468">
        <f>+[5]중부권!$E$19</f>
        <v>2.9673599999999998</v>
      </c>
      <c r="U11" s="481">
        <f>+[5]중부권!$F$19</f>
        <v>2.9167558917390046</v>
      </c>
      <c r="V11" s="490">
        <f t="shared" si="5"/>
        <v>-5.0604108260995151E-2</v>
      </c>
    </row>
    <row r="12" spans="4:22" ht="24" customHeight="1" x14ac:dyDescent="0.3">
      <c r="D12" s="485" t="s">
        <v>22</v>
      </c>
      <c r="E12" s="447">
        <f>+[5]안양!$E$9</f>
        <v>299.79999999999995</v>
      </c>
      <c r="F12" s="448">
        <f>+[5]안양!$F$9</f>
        <v>328.27108627757144</v>
      </c>
      <c r="G12" s="449">
        <f t="shared" si="0"/>
        <v>28.471086277571487</v>
      </c>
      <c r="H12" s="447">
        <f>+[5]안양!$E$15</f>
        <v>365.99999999999994</v>
      </c>
      <c r="I12" s="448">
        <f>+[5]안양!$F$15</f>
        <v>371.8612285282058</v>
      </c>
      <c r="J12" s="449">
        <f t="shared" si="1"/>
        <v>5.8612285282058565</v>
      </c>
      <c r="K12" s="505">
        <f>+([5]안양!$E$10*0.4+[5]안양!$E$11+[5]안양!$E$12+[5]안양!$E$13+[5]안양!$E$14)/[5]안양!$E$15</f>
        <v>0.1677595628415301</v>
      </c>
      <c r="L12" s="506">
        <f>+([5]안양!$F$10*0.4+[5]안양!$F$11+[5]안양!$F$12+[5]안양!$F$13+[5]안양!$F$14)/[5]안양!$F$15</f>
        <v>0.11722153025514472</v>
      </c>
      <c r="M12" s="507">
        <f t="shared" si="2"/>
        <v>-5.0538032586385381E-2</v>
      </c>
      <c r="N12" s="447">
        <f>+[5]안양!$E$16</f>
        <v>848.09999999999991</v>
      </c>
      <c r="O12" s="448">
        <f>+[5]안양!$F$16</f>
        <v>857.12626878782044</v>
      </c>
      <c r="P12" s="449">
        <f t="shared" si="3"/>
        <v>9.026268787820527</v>
      </c>
      <c r="Q12" s="447">
        <f>+[5]안양!$E$17</f>
        <v>875</v>
      </c>
      <c r="R12" s="448">
        <f>+[5]안양!$F$17</f>
        <v>854.28935682217502</v>
      </c>
      <c r="S12" s="449">
        <f t="shared" si="4"/>
        <v>-20.710643177824977</v>
      </c>
      <c r="T12" s="508">
        <f>+[5]안양!$E$19</f>
        <v>3.29</v>
      </c>
      <c r="U12" s="509">
        <f>+[5]안양!$F$19</f>
        <v>3.1183644837009554</v>
      </c>
      <c r="V12" s="510">
        <f t="shared" si="5"/>
        <v>-0.17163551629904461</v>
      </c>
    </row>
    <row r="13" spans="4:22" ht="24" customHeight="1" x14ac:dyDescent="0.3">
      <c r="D13" s="451" t="s">
        <v>23</v>
      </c>
      <c r="E13" s="452">
        <f>+[5]인천!$E$9</f>
        <v>302.65000000000003</v>
      </c>
      <c r="F13" s="453">
        <f>+[5]인천!$F$9</f>
        <v>303.55666551442425</v>
      </c>
      <c r="G13" s="189">
        <f t="shared" si="0"/>
        <v>0.90666551442421905</v>
      </c>
      <c r="H13" s="452">
        <f>+[5]인천!$E$15</f>
        <v>369.08400000000006</v>
      </c>
      <c r="I13" s="453">
        <f>+[5]인천!$F$15</f>
        <v>379.07732512098573</v>
      </c>
      <c r="J13" s="189">
        <f t="shared" si="1"/>
        <v>9.9933251209856735</v>
      </c>
      <c r="K13" s="511">
        <f>+([5]인천!$E$10*0.4+[5]인천!$E$11+[5]인천!$E$12+[5]인천!$E$13+[5]인천!$E$14)/[5]인천!$E$15</f>
        <v>0.16212948813820158</v>
      </c>
      <c r="L13" s="512">
        <f>+([5]인천!$F$10*0.4+[5]인천!$F$11+[5]인천!$F$12+[5]인천!$F$13+[5]인천!$F$14)/[5]인천!$F$15</f>
        <v>0.19922230796172893</v>
      </c>
      <c r="M13" s="513">
        <f t="shared" si="2"/>
        <v>3.7092819823527357E-2</v>
      </c>
      <c r="N13" s="452">
        <f>+[5]인천!$E$16</f>
        <v>886.21399999999994</v>
      </c>
      <c r="O13" s="453">
        <f>+[5]인천!$F$16</f>
        <v>865.05012255672318</v>
      </c>
      <c r="P13" s="189">
        <f t="shared" si="3"/>
        <v>-21.16387744327676</v>
      </c>
      <c r="Q13" s="452">
        <f>+[5]인천!$E$17</f>
        <v>850.42399999999998</v>
      </c>
      <c r="R13" s="453">
        <f>+[5]인천!$F$17</f>
        <v>847.67315065049308</v>
      </c>
      <c r="S13" s="189">
        <f t="shared" si="4"/>
        <v>-2.7508493495068933</v>
      </c>
      <c r="T13" s="514">
        <f>+[5]인천!$E$19</f>
        <v>3.3220000000000001</v>
      </c>
      <c r="U13" s="515">
        <f>+[5]인천!$F$19</f>
        <v>3.2310728426874493</v>
      </c>
      <c r="V13" s="516">
        <f t="shared" si="5"/>
        <v>-9.0927157312550744E-2</v>
      </c>
    </row>
    <row r="14" spans="4:22" ht="24" customHeight="1" x14ac:dyDescent="0.3">
      <c r="D14" s="451" t="s">
        <v>24</v>
      </c>
      <c r="E14" s="452">
        <f>+[5]파주!$E$9</f>
        <v>269.20537037037042</v>
      </c>
      <c r="F14" s="453">
        <f>+[5]파주!$F$9</f>
        <v>316.03990217391299</v>
      </c>
      <c r="G14" s="189">
        <f t="shared" si="0"/>
        <v>46.834531803542575</v>
      </c>
      <c r="H14" s="452">
        <f>+[5]파주!$E$15</f>
        <v>348.51018518518526</v>
      </c>
      <c r="I14" s="453">
        <f>+[5]파주!$F$15</f>
        <v>390.73003945249587</v>
      </c>
      <c r="J14" s="189">
        <f t="shared" si="1"/>
        <v>42.219854267310609</v>
      </c>
      <c r="K14" s="511">
        <f>+([5]파주!$E$10*0.4+[5]파주!$E$11+[5]파주!$E$12+[5]파주!$E$13+[5]파주!$E$14)/[5]파주!$E$15</f>
        <v>0.22755379379421928</v>
      </c>
      <c r="L14" s="512">
        <f>+([5]파주!$F$10*0.4+[5]파주!$F$11+[5]파주!$F$12+[5]파주!$F$13+[5]파주!$F$14)/[5]파주!$F$15</f>
        <v>0.1866533544400038</v>
      </c>
      <c r="M14" s="513">
        <f t="shared" si="2"/>
        <v>-4.0900439354215473E-2</v>
      </c>
      <c r="N14" s="452">
        <f>+[5]파주!$E$16</f>
        <v>868.88111111111107</v>
      </c>
      <c r="O14" s="453">
        <f>+[5]파주!$F$16</f>
        <v>802.82651473429928</v>
      </c>
      <c r="P14" s="189">
        <f t="shared" si="3"/>
        <v>-66.054596376811787</v>
      </c>
      <c r="Q14" s="452">
        <f>+[5]파주!$E$17</f>
        <v>871.49</v>
      </c>
      <c r="R14" s="453">
        <f>+[5]파주!$F$17</f>
        <v>909.92289649758447</v>
      </c>
      <c r="S14" s="189">
        <f t="shared" si="4"/>
        <v>38.432896497584466</v>
      </c>
      <c r="T14" s="514">
        <f>+[5]파주!$E$19</f>
        <v>2.7880814814814818</v>
      </c>
      <c r="U14" s="515">
        <f>+[5]파주!$F$19</f>
        <v>3.092975120772945</v>
      </c>
      <c r="V14" s="516">
        <f t="shared" si="5"/>
        <v>0.30489363929146318</v>
      </c>
    </row>
    <row r="15" spans="4:22" ht="24" customHeight="1" x14ac:dyDescent="0.3">
      <c r="D15" s="451" t="s">
        <v>178</v>
      </c>
      <c r="E15" s="452">
        <f>+[5]김포!$E$9</f>
        <v>207</v>
      </c>
      <c r="F15" s="453">
        <f>+[5]김포!$F$9</f>
        <v>265.02782356261605</v>
      </c>
      <c r="G15" s="189">
        <f t="shared" si="0"/>
        <v>58.027823562616049</v>
      </c>
      <c r="H15" s="452">
        <f>+[5]김포!$E$15</f>
        <v>310</v>
      </c>
      <c r="I15" s="453">
        <f>+[5]김포!$F$15</f>
        <v>325.64503185227011</v>
      </c>
      <c r="J15" s="189">
        <f t="shared" si="1"/>
        <v>15.645031852270108</v>
      </c>
      <c r="K15" s="511">
        <f>+([5]김포!$E$10*0.4+[5]김포!$E$11+[5]김포!$E$12+[5]김포!$E$13+[5]김포!$E$14)/[5]김포!$E$15</f>
        <v>0.33225806451612905</v>
      </c>
      <c r="L15" s="512">
        <f>+([5]김포!$F$10*0.4+[5]김포!$F$11+[5]김포!$F$12+[5]김포!$F$13+[5]김포!$F$14)/[5]김포!$F$15</f>
        <v>0.18614504248648636</v>
      </c>
      <c r="M15" s="513">
        <f t="shared" si="2"/>
        <v>-0.14611302202964269</v>
      </c>
      <c r="N15" s="452">
        <f>+[5]김포!$E$16</f>
        <v>720</v>
      </c>
      <c r="O15" s="453">
        <f>+[5]김포!$F$16</f>
        <v>759.81936940569324</v>
      </c>
      <c r="P15" s="189">
        <f t="shared" si="3"/>
        <v>39.819369405693237</v>
      </c>
      <c r="Q15" s="452">
        <f>+[5]김포!$E$17</f>
        <v>1020</v>
      </c>
      <c r="R15" s="453">
        <f>+[5]김포!$F$17</f>
        <v>975.17740504798019</v>
      </c>
      <c r="S15" s="189">
        <f t="shared" si="4"/>
        <v>-44.822594952019813</v>
      </c>
      <c r="T15" s="514">
        <f>+[5]김포!$E$19</f>
        <v>2.5</v>
      </c>
      <c r="U15" s="515">
        <f>+[5]김포!$F$19</f>
        <v>2.5452221595032669</v>
      </c>
      <c r="V15" s="516">
        <f t="shared" si="5"/>
        <v>4.5222159503266912E-2</v>
      </c>
    </row>
    <row r="16" spans="4:22" ht="24" customHeight="1" x14ac:dyDescent="0.3">
      <c r="D16" s="486" t="s">
        <v>25</v>
      </c>
      <c r="E16" s="455">
        <f>+[5]부산!$E$9</f>
        <v>230.87951637632582</v>
      </c>
      <c r="F16" s="456">
        <f>+[5]부산!$F$9</f>
        <v>234.22462563307016</v>
      </c>
      <c r="G16" s="457">
        <f t="shared" si="0"/>
        <v>3.3451092567443368</v>
      </c>
      <c r="H16" s="455">
        <f>+[5]부산!$E$15</f>
        <v>348.68974990351427</v>
      </c>
      <c r="I16" s="456">
        <f>+[5]부산!$F$15</f>
        <v>382.53070036957627</v>
      </c>
      <c r="J16" s="457">
        <f t="shared" si="1"/>
        <v>33.840950466061997</v>
      </c>
      <c r="K16" s="517">
        <f>+([5]부산!$E$10*0.4+[5]부산!$E$11+[5]부산!$E$12+[5]부산!$E$13+[5]부산!$E$14)/[5]부산!$E$15</f>
        <v>0.26751461315020342</v>
      </c>
      <c r="L16" s="518">
        <f>+([5]부산!$F$10*0.4+[5]부산!$F$11+[5]부산!$F$12+[5]부산!$F$13+[5]부산!$F$14)/[5]부산!$F$15</f>
        <v>0.20278574498187096</v>
      </c>
      <c r="M16" s="519">
        <f t="shared" si="2"/>
        <v>-6.4728868168332454E-2</v>
      </c>
      <c r="N16" s="455">
        <f>+[5]부산!$E$16</f>
        <v>842.67904069346571</v>
      </c>
      <c r="O16" s="456">
        <f>+[5]부산!$F$16</f>
        <v>868.21303098051624</v>
      </c>
      <c r="P16" s="457">
        <f t="shared" si="3"/>
        <v>25.533990287050528</v>
      </c>
      <c r="Q16" s="455">
        <f>+[5]부산!$E$17</f>
        <v>886.94731694475445</v>
      </c>
      <c r="R16" s="456">
        <f>+[5]부산!$F$17</f>
        <v>847.65250718620246</v>
      </c>
      <c r="S16" s="457">
        <f t="shared" si="4"/>
        <v>-39.294809758551992</v>
      </c>
      <c r="T16" s="520">
        <f>+[5]부산!$E$19</f>
        <v>2.8621956377140565</v>
      </c>
      <c r="U16" s="521">
        <f>+[5]부산!$F$19</f>
        <v>3.4474818633937123</v>
      </c>
      <c r="V16" s="522">
        <f t="shared" si="5"/>
        <v>0.58528622567965582</v>
      </c>
    </row>
    <row r="17" spans="4:22" ht="24" customHeight="1" x14ac:dyDescent="0.3">
      <c r="D17" s="451" t="s">
        <v>26</v>
      </c>
      <c r="E17" s="452">
        <f>+[5]서부산!$E$9</f>
        <v>240.79999999999998</v>
      </c>
      <c r="F17" s="453">
        <f>+[5]서부산!$F$9</f>
        <v>263.57899714335173</v>
      </c>
      <c r="G17" s="189">
        <f t="shared" si="0"/>
        <v>22.778997143351745</v>
      </c>
      <c r="H17" s="452">
        <f>+[5]서부산!$E$15</f>
        <v>353.4</v>
      </c>
      <c r="I17" s="453">
        <f>+[5]서부산!$F$15</f>
        <v>364.46496364265926</v>
      </c>
      <c r="J17" s="189">
        <f t="shared" si="1"/>
        <v>11.064963642659279</v>
      </c>
      <c r="K17" s="511">
        <f>+([5]서부산!$E$10*0.4+[5]서부산!$E$11+[5]서부산!$E$12+[5]서부산!$E$13+[5]서부산!$E$14)/[5]서부산!$E$15</f>
        <v>0.21692133559705717</v>
      </c>
      <c r="L17" s="512">
        <f>+([5]서부산!$F$10*0.4+[5]서부산!$F$11+[5]서부산!$F$12+[5]서부산!$F$13+[5]서부산!$F$14)/[5]서부산!$F$15</f>
        <v>0.18945194028796908</v>
      </c>
      <c r="M17" s="513">
        <f t="shared" si="2"/>
        <v>-2.7469395309088096E-2</v>
      </c>
      <c r="N17" s="452">
        <f>+[5]서부산!$E$16</f>
        <v>815.1</v>
      </c>
      <c r="O17" s="453">
        <f>+[5]서부산!$F$16</f>
        <v>830.0757444598338</v>
      </c>
      <c r="P17" s="189">
        <f t="shared" si="3"/>
        <v>14.975744459833777</v>
      </c>
      <c r="Q17" s="452">
        <f>+[5]서부산!$E$17</f>
        <v>916.1</v>
      </c>
      <c r="R17" s="453">
        <f>+[5]서부산!$F$17</f>
        <v>900.65910664819944</v>
      </c>
      <c r="S17" s="189">
        <f t="shared" si="4"/>
        <v>-15.440893351800582</v>
      </c>
      <c r="T17" s="514">
        <f>+[5]서부산!$E$19</f>
        <v>4.54</v>
      </c>
      <c r="U17" s="515">
        <f>+[5]서부산!$F$19</f>
        <v>3.181795360110804</v>
      </c>
      <c r="V17" s="516">
        <f t="shared" si="5"/>
        <v>-1.358204639889196</v>
      </c>
    </row>
    <row r="18" spans="4:22" ht="24" customHeight="1" x14ac:dyDescent="0.3">
      <c r="D18" s="451" t="s">
        <v>27</v>
      </c>
      <c r="E18" s="452">
        <f>+[5]김해!$E$9</f>
        <v>161.91</v>
      </c>
      <c r="F18" s="453">
        <f>+[5]김해!$F$9</f>
        <v>197.94749963283891</v>
      </c>
      <c r="G18" s="189">
        <f t="shared" si="0"/>
        <v>36.037499632838916</v>
      </c>
      <c r="H18" s="452">
        <f>+[5]김해!$E$15</f>
        <v>343</v>
      </c>
      <c r="I18" s="453">
        <f>+[5]김해!$F$15</f>
        <v>355.45669261271848</v>
      </c>
      <c r="J18" s="189">
        <f t="shared" si="1"/>
        <v>12.456692612718484</v>
      </c>
      <c r="K18" s="511">
        <f>+([5]김해!$E$10*0.4+[5]김해!$E$11+[5]김해!$E$12+[5]김해!$E$13+[5]김해!$E$14)/[5]김해!$E$15</f>
        <v>0.25533527696793007</v>
      </c>
      <c r="L18" s="512">
        <f>+([5]김해!$F$10*0.4+[5]김해!$F$11+[5]김해!$F$12+[5]김해!$F$13+[5]김해!$F$14)/[5]김해!$F$15</f>
        <v>0.21613315145429915</v>
      </c>
      <c r="M18" s="513">
        <f t="shared" si="2"/>
        <v>-3.920212551363092E-2</v>
      </c>
      <c r="N18" s="452">
        <f>+[5]김해!$E$16</f>
        <v>830</v>
      </c>
      <c r="O18" s="453">
        <f>+[5]김해!$F$16</f>
        <v>741.73887501835827</v>
      </c>
      <c r="P18" s="189">
        <f t="shared" si="3"/>
        <v>-88.261124981641728</v>
      </c>
      <c r="Q18" s="452">
        <f>+[5]김해!$E$17</f>
        <v>890</v>
      </c>
      <c r="R18" s="453">
        <f>+[5]김해!$F$17</f>
        <v>978.04404464679078</v>
      </c>
      <c r="S18" s="189">
        <f t="shared" si="4"/>
        <v>88.04404464679078</v>
      </c>
      <c r="T18" s="514">
        <f>+[5]김해!$E$19</f>
        <v>3.3</v>
      </c>
      <c r="U18" s="515">
        <f>+[5]김해!$F$19</f>
        <v>3.5088228814803948</v>
      </c>
      <c r="V18" s="516">
        <f t="shared" si="5"/>
        <v>0.20882288148039496</v>
      </c>
    </row>
    <row r="19" spans="4:22" ht="24" customHeight="1" x14ac:dyDescent="0.3">
      <c r="D19" s="451" t="s">
        <v>28</v>
      </c>
      <c r="E19" s="452">
        <f>+[5]정관!$E$9</f>
        <v>205.8</v>
      </c>
      <c r="F19" s="453">
        <f>+[5]정관!$F$9</f>
        <v>266.98410336991753</v>
      </c>
      <c r="G19" s="189">
        <f t="shared" si="0"/>
        <v>61.184103369917523</v>
      </c>
      <c r="H19" s="452">
        <f>+[5]정관!$E$15</f>
        <v>356.9</v>
      </c>
      <c r="I19" s="453">
        <f>+[5]정관!$F$15</f>
        <v>377.01838079582291</v>
      </c>
      <c r="J19" s="189">
        <f t="shared" si="1"/>
        <v>20.118380795822929</v>
      </c>
      <c r="K19" s="511">
        <f>+([5]정관!$E$10*0.4+[5]정관!$E$11+[5]정관!$E$12+[5]정관!$E$13+[5]정관!$E$14)/[5]정관!$E$15</f>
        <v>0.29812272345194735</v>
      </c>
      <c r="L19" s="512">
        <f>+([5]정관!$F$10*0.4+[5]정관!$F$11+[5]정관!$F$12+[5]정관!$F$13+[5]정관!$F$14)/[5]정관!$F$15</f>
        <v>0.22605514217542511</v>
      </c>
      <c r="M19" s="513">
        <f t="shared" si="2"/>
        <v>-7.2067581276522241E-2</v>
      </c>
      <c r="N19" s="452">
        <f>+[5]정관!$E$16</f>
        <v>795</v>
      </c>
      <c r="O19" s="453">
        <f>+[5]정관!$F$16</f>
        <v>798.89276217183192</v>
      </c>
      <c r="P19" s="189">
        <f t="shared" si="3"/>
        <v>3.8927621718319187</v>
      </c>
      <c r="Q19" s="452">
        <f>+[5]정관!$E$17</f>
        <v>920</v>
      </c>
      <c r="R19" s="453">
        <f>+[5]정관!$F$17</f>
        <v>936.10501377943285</v>
      </c>
      <c r="S19" s="189">
        <f t="shared" si="4"/>
        <v>16.105013779432852</v>
      </c>
      <c r="T19" s="514">
        <f>+[5]정관!$E$19</f>
        <v>3.052095</v>
      </c>
      <c r="U19" s="515">
        <f>+[5]정관!$F$19</f>
        <v>2.6512503021805354</v>
      </c>
      <c r="V19" s="516">
        <f t="shared" si="5"/>
        <v>-0.40084469781946463</v>
      </c>
    </row>
    <row r="20" spans="4:22" ht="24" customHeight="1" x14ac:dyDescent="0.3">
      <c r="D20" s="451" t="s">
        <v>29</v>
      </c>
      <c r="E20" s="452">
        <f>+[5]양산!$E$9</f>
        <v>251.60654545454548</v>
      </c>
      <c r="F20" s="453">
        <f>+[5]양산!$F$9</f>
        <v>222.56986117297697</v>
      </c>
      <c r="G20" s="189">
        <f t="shared" si="0"/>
        <v>-29.036684281568512</v>
      </c>
      <c r="H20" s="452">
        <f>+[5]양산!$E$15</f>
        <v>332.25836363636364</v>
      </c>
      <c r="I20" s="453">
        <f>+[5]양산!$F$15</f>
        <v>355.46682925018558</v>
      </c>
      <c r="J20" s="189">
        <f t="shared" si="1"/>
        <v>23.208465613821943</v>
      </c>
      <c r="K20" s="511">
        <f>+([5]양산!$E$10*0.4+[5]양산!$E$11+[5]양산!$E$12+[5]양산!$E$13+[5]양산!$E$14)/[5]양산!$E$15</f>
        <v>0.22424498788182906</v>
      </c>
      <c r="L20" s="512">
        <f>+([5]양산!$F$10*0.4+[5]양산!$F$11+[5]양산!$F$12+[5]양산!$F$13+[5]양산!$F$14)/[5]양산!$F$15</f>
        <v>0.34350787064481103</v>
      </c>
      <c r="M20" s="513">
        <f t="shared" si="2"/>
        <v>0.11926288276298197</v>
      </c>
      <c r="N20" s="452">
        <f>+[5]양산!$E$16</f>
        <v>783.27272727272725</v>
      </c>
      <c r="O20" s="453">
        <f>+[5]양산!$F$16</f>
        <v>806.41685226429024</v>
      </c>
      <c r="P20" s="189">
        <f t="shared" si="3"/>
        <v>23.14412499156299</v>
      </c>
      <c r="Q20" s="452">
        <f>+[5]양산!$E$17</f>
        <v>908.48002545454517</v>
      </c>
      <c r="R20" s="453">
        <f>+[5]양산!$F$17</f>
        <v>877.35746102449878</v>
      </c>
      <c r="S20" s="189">
        <f t="shared" si="4"/>
        <v>-31.122564430046396</v>
      </c>
      <c r="T20" s="514">
        <f>+[5]양산!$E$19</f>
        <v>2.7062238181818175</v>
      </c>
      <c r="U20" s="515">
        <f>+[5]양산!$F$19</f>
        <v>2.9703853006681502</v>
      </c>
      <c r="V20" s="516">
        <f t="shared" si="5"/>
        <v>0.26416148248633275</v>
      </c>
    </row>
    <row r="21" spans="4:22" ht="24" customHeight="1" x14ac:dyDescent="0.3">
      <c r="D21" s="451" t="s">
        <v>30</v>
      </c>
      <c r="E21" s="452">
        <f>+[5]창원!$E$9</f>
        <v>239.1</v>
      </c>
      <c r="F21" s="453">
        <f>+[5]창원!$F$9</f>
        <v>278.80532393313024</v>
      </c>
      <c r="G21" s="189">
        <f t="shared" si="0"/>
        <v>39.705323933130245</v>
      </c>
      <c r="H21" s="452">
        <f>+[5]창원!$E$15</f>
        <v>342.90000000000003</v>
      </c>
      <c r="I21" s="453">
        <f>+[5]창원!$F$15</f>
        <v>363.10443892538569</v>
      </c>
      <c r="J21" s="189">
        <f t="shared" si="1"/>
        <v>20.204438925385659</v>
      </c>
      <c r="K21" s="511">
        <f>+([5]창원!$E$10*0.4+[5]창원!$E$11+[5]창원!$E$12+[5]창원!$E$13+[5]창원!$E$14)/[5]창원!$E$15</f>
        <v>0.30271216097987746</v>
      </c>
      <c r="L21" s="512">
        <f>+([5]창원!$F$10*0.4+[5]창원!$F$11+[5]창원!$F$12+[5]창원!$F$13+[5]창원!$F$14)/[5]창원!$F$15</f>
        <v>0.23216217141751352</v>
      </c>
      <c r="M21" s="513">
        <f t="shared" si="2"/>
        <v>-7.0549989562363941E-2</v>
      </c>
      <c r="N21" s="452">
        <f>+[5]창원!$E$16</f>
        <v>837.7</v>
      </c>
      <c r="O21" s="453">
        <f>+[5]창원!$F$16</f>
        <v>866.82601078886933</v>
      </c>
      <c r="P21" s="189">
        <f t="shared" si="3"/>
        <v>29.12601078886928</v>
      </c>
      <c r="Q21" s="452">
        <f>+[5]창원!$E$17</f>
        <v>880.59999999999991</v>
      </c>
      <c r="R21" s="453">
        <f>+[5]창원!$F$17</f>
        <v>845.85830262244269</v>
      </c>
      <c r="S21" s="189">
        <f t="shared" si="4"/>
        <v>-34.741697377557216</v>
      </c>
      <c r="T21" s="514">
        <f>+[5]창원!$E$19</f>
        <v>3.08</v>
      </c>
      <c r="U21" s="515">
        <f>+[5]창원!$F$19</f>
        <v>2.9876568925919984</v>
      </c>
      <c r="V21" s="516">
        <f t="shared" si="5"/>
        <v>-9.2343107408001668E-2</v>
      </c>
    </row>
    <row r="22" spans="4:22" ht="24" customHeight="1" x14ac:dyDescent="0.3">
      <c r="D22" s="451" t="s">
        <v>95</v>
      </c>
      <c r="E22" s="452">
        <f>+[5]대구!$E$9</f>
        <v>252</v>
      </c>
      <c r="F22" s="453">
        <f>+[5]대구!$F$9</f>
        <v>305.91729771384564</v>
      </c>
      <c r="G22" s="189">
        <f t="shared" si="0"/>
        <v>53.917297713845642</v>
      </c>
      <c r="H22" s="452">
        <f>+[5]대구!$E$15</f>
        <v>336</v>
      </c>
      <c r="I22" s="453">
        <f>+[5]대구!$F$15</f>
        <v>380.32265412278474</v>
      </c>
      <c r="J22" s="189">
        <f t="shared" si="1"/>
        <v>44.322654122784741</v>
      </c>
      <c r="K22" s="511">
        <f>+([5]대구!$E$10*0.4+[5]대구!$E$11+[5]대구!$E$12+[5]대구!$E$13+[5]대구!$E$14)/[5]대구!$E$15</f>
        <v>0.25</v>
      </c>
      <c r="L22" s="512">
        <f>+([5]대구!$F$10*0.4+[5]대구!$F$11+[5]대구!$F$12+[5]대구!$F$13+[5]대구!$F$14)/[5]대구!$F$15</f>
        <v>0.19563745572967572</v>
      </c>
      <c r="M22" s="513">
        <f t="shared" si="2"/>
        <v>-5.4362544270324276E-2</v>
      </c>
      <c r="N22" s="452">
        <f>+[5]대구!$E$16</f>
        <v>775.3511090757703</v>
      </c>
      <c r="O22" s="453">
        <f>+[5]대구!$F$16</f>
        <v>750.08701515540702</v>
      </c>
      <c r="P22" s="189">
        <f t="shared" si="3"/>
        <v>-25.26409392036328</v>
      </c>
      <c r="Q22" s="452">
        <f>+[5]대구!$E$17</f>
        <v>947.6513555370525</v>
      </c>
      <c r="R22" s="453">
        <f>+[5]대구!$F$17</f>
        <v>943.91792961726139</v>
      </c>
      <c r="S22" s="189">
        <f t="shared" si="4"/>
        <v>-3.7334259197911024</v>
      </c>
      <c r="T22" s="514">
        <f>+[5]대구!$E$19</f>
        <v>2.6880000000000002</v>
      </c>
      <c r="U22" s="515">
        <f>+[5]대구!$F$19</f>
        <v>3.5323240431543801</v>
      </c>
      <c r="V22" s="516">
        <f t="shared" si="5"/>
        <v>0.84432404315437992</v>
      </c>
    </row>
    <row r="23" spans="4:22" ht="24" customHeight="1" x14ac:dyDescent="0.3">
      <c r="D23" s="451" t="s">
        <v>97</v>
      </c>
      <c r="E23" s="452">
        <f>+[5]울산!$E$9</f>
        <v>224.20000000000002</v>
      </c>
      <c r="F23" s="453">
        <f>+[5]울산!$F$9</f>
        <v>257.53760682574909</v>
      </c>
      <c r="G23" s="189">
        <f t="shared" si="0"/>
        <v>33.337606825749077</v>
      </c>
      <c r="H23" s="452">
        <f>+[5]울산!$E$15</f>
        <v>356</v>
      </c>
      <c r="I23" s="453">
        <f>+[5]울산!$F$15</f>
        <v>370.47817702552709</v>
      </c>
      <c r="J23" s="189">
        <f t="shared" si="1"/>
        <v>14.478177025527089</v>
      </c>
      <c r="K23" s="511">
        <f>+([5]울산!$E$10*0.4+[5]울산!$E$11+[5]울산!$E$12+[5]울산!$E$13+[5]울산!$E$14)/[5]울산!$E$15</f>
        <v>0.37022471910112364</v>
      </c>
      <c r="L23" s="512">
        <f>+([5]울산!$F$10*0.4+[5]울산!$F$11+[5]울산!$F$12+[5]울산!$F$13+[5]울산!$F$14)/[5]울산!$F$15</f>
        <v>0.30485080418649341</v>
      </c>
      <c r="M23" s="513">
        <f t="shared" si="2"/>
        <v>-6.5373914914630238E-2</v>
      </c>
      <c r="N23" s="452">
        <f>+[5]울산!$E$16</f>
        <v>730</v>
      </c>
      <c r="O23" s="453">
        <f>+[5]울산!$F$16</f>
        <v>743.07685904550465</v>
      </c>
      <c r="P23" s="189">
        <f t="shared" si="3"/>
        <v>13.076859045504648</v>
      </c>
      <c r="Q23" s="452">
        <f>+[5]울산!$E$17</f>
        <v>972</v>
      </c>
      <c r="R23" s="453">
        <f>+[5]울산!$F$17</f>
        <v>954.77719200887896</v>
      </c>
      <c r="S23" s="189">
        <f t="shared" si="4"/>
        <v>-17.222807991121044</v>
      </c>
      <c r="T23" s="514">
        <f>+[5]울산!$E$19</f>
        <v>3.2</v>
      </c>
      <c r="U23" s="515">
        <f>+[5]울산!$F$19</f>
        <v>3.138367092119867</v>
      </c>
      <c r="V23" s="516">
        <f t="shared" si="5"/>
        <v>-6.1632907880133203E-2</v>
      </c>
    </row>
    <row r="24" spans="4:22" ht="24" customHeight="1" x14ac:dyDescent="0.3">
      <c r="D24" s="486" t="s">
        <v>31</v>
      </c>
      <c r="E24" s="455">
        <f>+[5]아산!$E$9</f>
        <v>231.38416666666666</v>
      </c>
      <c r="F24" s="456">
        <f>+[5]아산!$F$9</f>
        <v>337.71700090497711</v>
      </c>
      <c r="G24" s="457">
        <f t="shared" si="0"/>
        <v>106.33283423831045</v>
      </c>
      <c r="H24" s="455">
        <f>+[5]아산!$E$15</f>
        <v>361.30916666666661</v>
      </c>
      <c r="I24" s="456">
        <f>+[5]아산!$F$15</f>
        <v>386.13471058823501</v>
      </c>
      <c r="J24" s="457">
        <f t="shared" si="1"/>
        <v>24.825543921568396</v>
      </c>
      <c r="K24" s="517">
        <f>+([5]아산!$E$10*0.4+[5]아산!$E$11+[5]아산!$E$12+[5]아산!$E$13+[5]아산!$E$14)/[5]아산!$E$15</f>
        <v>0.25185632802931934</v>
      </c>
      <c r="L24" s="518">
        <f>+([5]아산!$F$10*0.4+[5]아산!$F$11+[5]아산!$F$12+[5]아산!$F$13+[5]아산!$F$14)/[5]아산!$F$15</f>
        <v>0.12539072079145303</v>
      </c>
      <c r="M24" s="519">
        <f t="shared" si="2"/>
        <v>-0.12646560723786632</v>
      </c>
      <c r="N24" s="455">
        <f>+[5]아산!$E$16</f>
        <v>854.9133333333333</v>
      </c>
      <c r="O24" s="456">
        <f>+[5]아산!$F$16</f>
        <v>800.81194570135744</v>
      </c>
      <c r="P24" s="457">
        <f t="shared" si="3"/>
        <v>-54.101387631975854</v>
      </c>
      <c r="Q24" s="455">
        <f>+[5]아산!$E$17</f>
        <v>864.74416666666662</v>
      </c>
      <c r="R24" s="456">
        <f>+[5]아산!$F$17</f>
        <v>902.33212669683337</v>
      </c>
      <c r="S24" s="457">
        <f t="shared" si="4"/>
        <v>37.587960030166755</v>
      </c>
      <c r="T24" s="520">
        <f>+[5]아산!$E$19</f>
        <v>3.0019333333333331</v>
      </c>
      <c r="U24" s="521">
        <f>+[5]아산!$F$19</f>
        <v>3.3093502262443435</v>
      </c>
      <c r="V24" s="522">
        <f t="shared" si="5"/>
        <v>0.30741689291101038</v>
      </c>
    </row>
    <row r="25" spans="4:22" ht="24" customHeight="1" x14ac:dyDescent="0.3">
      <c r="D25" s="451" t="s">
        <v>34</v>
      </c>
      <c r="E25" s="452">
        <f>+[5]전주!$E$9</f>
        <v>288.29000000000002</v>
      </c>
      <c r="F25" s="453">
        <f>+[5]전주!$F$9</f>
        <v>252.82785824345154</v>
      </c>
      <c r="G25" s="189">
        <f t="shared" si="0"/>
        <v>-35.462141756548476</v>
      </c>
      <c r="H25" s="452">
        <f>+[5]전주!$E$15</f>
        <v>355.04</v>
      </c>
      <c r="I25" s="453">
        <f>+[5]전주!$F$15</f>
        <v>328.98657655133781</v>
      </c>
      <c r="J25" s="189">
        <f t="shared" si="1"/>
        <v>-26.053423448662215</v>
      </c>
      <c r="K25" s="511">
        <f>+([5]전주!$E$10*0.4+[5]전주!$E$11+[5]전주!$E$12+[5]전주!$E$13+[5]전주!$E$14)/[5]전주!$E$15</f>
        <v>0.18800698512843622</v>
      </c>
      <c r="L25" s="512">
        <f>+([5]전주!$F$10*0.4+[5]전주!$F$11+[5]전주!$F$12+[5]전주!$F$13+[5]전주!$F$14)/[5]전주!$F$15</f>
        <v>0.22787390431524532</v>
      </c>
      <c r="M25" s="513">
        <f t="shared" si="2"/>
        <v>3.9866919186809097E-2</v>
      </c>
      <c r="N25" s="452">
        <f>+[5]전주!$E$16</f>
        <v>764.8900000000001</v>
      </c>
      <c r="O25" s="453">
        <f>+[5]전주!$F$16</f>
        <v>667.00728393332429</v>
      </c>
      <c r="P25" s="189">
        <f t="shared" si="3"/>
        <v>-97.882716066675812</v>
      </c>
      <c r="Q25" s="452">
        <f>+[5]전주!$E$17</f>
        <v>980.73</v>
      </c>
      <c r="R25" s="453">
        <f>+[5]전주!$F$17</f>
        <v>1076.3132091329317</v>
      </c>
      <c r="S25" s="189">
        <f t="shared" si="4"/>
        <v>95.583209132931643</v>
      </c>
      <c r="T25" s="514">
        <f>+[5]전주!$E$19</f>
        <v>3.01</v>
      </c>
      <c r="U25" s="515">
        <f>+[5]전주!$F$19</f>
        <v>2.4676075080543498</v>
      </c>
      <c r="V25" s="516">
        <f t="shared" si="5"/>
        <v>-0.54239249194564998</v>
      </c>
    </row>
    <row r="26" spans="4:22" ht="24" customHeight="1" x14ac:dyDescent="0.3">
      <c r="D26" s="451" t="s">
        <v>33</v>
      </c>
      <c r="E26" s="452">
        <f>+[5]군산!$E$9</f>
        <v>228.5</v>
      </c>
      <c r="F26" s="453">
        <f>+[5]군산!$F$9</f>
        <v>249.56859031824303</v>
      </c>
      <c r="G26" s="189">
        <f t="shared" si="0"/>
        <v>21.068590318243025</v>
      </c>
      <c r="H26" s="452">
        <f>+[5]군산!$E$15</f>
        <v>340.5</v>
      </c>
      <c r="I26" s="453">
        <f>+[5]군산!$F$15</f>
        <v>351.83446324518161</v>
      </c>
      <c r="J26" s="189">
        <f t="shared" si="1"/>
        <v>11.33446324518161</v>
      </c>
      <c r="K26" s="511">
        <f>+([5]군산!$E$10*0.4+[5]군산!$E$11+[5]군산!$E$12+[5]군산!$E$13+[5]군산!$E$14)/[5]군산!$E$15</f>
        <v>0.31130690161527164</v>
      </c>
      <c r="L26" s="512">
        <f>+([5]군산!$F$10*0.4+[5]군산!$F$11+[5]군산!$F$12+[5]군산!$F$13+[5]군산!$F$14)/[5]군산!$F$15</f>
        <v>0.27888743979158354</v>
      </c>
      <c r="M26" s="513">
        <f t="shared" si="2"/>
        <v>-3.24194618236881E-2</v>
      </c>
      <c r="N26" s="452">
        <f>+[5]군산!$E$16</f>
        <v>785</v>
      </c>
      <c r="O26" s="453">
        <f>+[5]군산!$F$16</f>
        <v>778.80154639175271</v>
      </c>
      <c r="P26" s="189">
        <f t="shared" si="3"/>
        <v>-6.1984536082472914</v>
      </c>
      <c r="Q26" s="452">
        <f>+[5]군산!$E$17</f>
        <v>935</v>
      </c>
      <c r="R26" s="453">
        <f>+[5]군산!$F$17</f>
        <v>913.63570147915766</v>
      </c>
      <c r="S26" s="189">
        <f t="shared" si="4"/>
        <v>-21.36429852084234</v>
      </c>
      <c r="T26" s="514">
        <f>+[5]군산!$E$19</f>
        <v>2.84</v>
      </c>
      <c r="U26" s="515">
        <f>+[5]군산!$F$19</f>
        <v>2.6915340654415059</v>
      </c>
      <c r="V26" s="516">
        <f t="shared" si="5"/>
        <v>-0.14846593455849399</v>
      </c>
    </row>
    <row r="27" spans="4:22" ht="24" customHeight="1" x14ac:dyDescent="0.3">
      <c r="D27" s="451" t="s">
        <v>32</v>
      </c>
      <c r="E27" s="452">
        <f>+[5]원주!$E$9</f>
        <v>318.60000000000002</v>
      </c>
      <c r="F27" s="453">
        <f>+[5]원주!$F$9</f>
        <v>311.05843339511665</v>
      </c>
      <c r="G27" s="189">
        <f t="shared" si="0"/>
        <v>-7.5415666048833714</v>
      </c>
      <c r="H27" s="452">
        <f>+[5]원주!$E$15</f>
        <v>340.8</v>
      </c>
      <c r="I27" s="453">
        <f>+[5]원주!$F$15</f>
        <v>358.29416391328891</v>
      </c>
      <c r="J27" s="189">
        <f t="shared" si="1"/>
        <v>17.494163913288901</v>
      </c>
      <c r="K27" s="511">
        <f>+([5]원주!$E$10*0.4+[5]원주!$E$11+[5]원주!$E$12+[5]원주!$E$13+[5]원주!$E$14)/[5]원주!$E$15</f>
        <v>6.5140845070422546E-2</v>
      </c>
      <c r="L27" s="512">
        <f>+([5]원주!$F$10*0.4+[5]원주!$F$11+[5]원주!$F$12+[5]원주!$F$13+[5]원주!$F$14)/[5]원주!$F$15</f>
        <v>0.1318350541975444</v>
      </c>
      <c r="M27" s="513">
        <f t="shared" si="2"/>
        <v>6.6694209127121859E-2</v>
      </c>
      <c r="N27" s="452">
        <f>+[5]원주!$E$16</f>
        <v>818.6</v>
      </c>
      <c r="O27" s="453">
        <f>+[5]원주!$F$16</f>
        <v>828.1527923281493</v>
      </c>
      <c r="P27" s="189">
        <f t="shared" si="3"/>
        <v>9.5527923281492804</v>
      </c>
      <c r="Q27" s="452">
        <f>+[5]원주!$E$17</f>
        <v>964.6</v>
      </c>
      <c r="R27" s="453">
        <f>+[5]원주!$F$17</f>
        <v>954.85292932548919</v>
      </c>
      <c r="S27" s="189">
        <f t="shared" si="4"/>
        <v>-9.7470706745108373</v>
      </c>
      <c r="T27" s="514">
        <f>+[5]원주!$E$19</f>
        <v>2.8479999999999999</v>
      </c>
      <c r="U27" s="515">
        <f>+[5]원주!$F$19</f>
        <v>2.6336110887259245</v>
      </c>
      <c r="V27" s="516">
        <f t="shared" si="5"/>
        <v>-0.21438891127407533</v>
      </c>
    </row>
    <row r="28" spans="4:22" ht="24" customHeight="1" x14ac:dyDescent="0.3">
      <c r="D28" s="500" t="s">
        <v>35</v>
      </c>
      <c r="E28" s="523">
        <f>+[5]제주!$E$9</f>
        <v>345.6</v>
      </c>
      <c r="F28" s="524">
        <f>+[5]제주!$F$9</f>
        <v>349.8149766112266</v>
      </c>
      <c r="G28" s="198">
        <f t="shared" si="0"/>
        <v>4.2149766112265752</v>
      </c>
      <c r="H28" s="523">
        <f>+[5]제주!$E$15</f>
        <v>345.6</v>
      </c>
      <c r="I28" s="524">
        <f>+[5]제주!$F$15</f>
        <v>349.8149766112266</v>
      </c>
      <c r="J28" s="198">
        <f t="shared" si="1"/>
        <v>4.2149766112265752</v>
      </c>
      <c r="K28" s="525">
        <f>+([5]제주!$E$10*0.4+[5]제주!$E$11+[5]제주!$E$12+[5]제주!$E$13+[5]제주!$E$14)/[5]제주!$E$15</f>
        <v>0</v>
      </c>
      <c r="L28" s="526">
        <f>+([5]제주!$F$10*0.4+[5]제주!$F$11+[5]제주!$F$12+[5]제주!$F$13+[5]제주!$F$14)/[5]제주!$F$15</f>
        <v>0</v>
      </c>
      <c r="M28" s="527">
        <f t="shared" si="2"/>
        <v>0</v>
      </c>
      <c r="N28" s="523">
        <f>+[5]제주!$E$16</f>
        <v>692.2</v>
      </c>
      <c r="O28" s="524">
        <f>+[5]제주!$F$16</f>
        <v>627.70400207900207</v>
      </c>
      <c r="P28" s="198">
        <f t="shared" si="3"/>
        <v>-64.495997920997979</v>
      </c>
      <c r="Q28" s="523">
        <f>+[5]제주!$E$17</f>
        <v>1046.4000000000001</v>
      </c>
      <c r="R28" s="524">
        <f>+[5]제주!$F$17</f>
        <v>994.858367983368</v>
      </c>
      <c r="S28" s="198">
        <f t="shared" si="4"/>
        <v>-51.541632016632093</v>
      </c>
      <c r="T28" s="528">
        <f>+[5]제주!$E$19</f>
        <v>3.02</v>
      </c>
      <c r="U28" s="529">
        <f>+[5]제주!$F$19</f>
        <v>1.9104417879417879</v>
      </c>
      <c r="V28" s="530">
        <f t="shared" si="5"/>
        <v>-1.1095582120582121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61FB-6B01-4C55-AA47-C5B05ACD7200}">
  <sheetPr>
    <tabColor theme="1" tint="0.249977111117893"/>
    <pageSetUpPr fitToPage="1"/>
  </sheetPr>
  <dimension ref="D3:AG55"/>
  <sheetViews>
    <sheetView showGridLines="0" view="pageBreakPreview" topLeftCell="A4" zoomScale="60" zoomScaleNormal="70" workbookViewId="0">
      <pane ySplit="6" topLeftCell="A10" activePane="bottomLeft" state="frozenSplit"/>
      <selection activeCell="N19" sqref="N19"/>
      <selection pane="bottomLeft" activeCell="G36" sqref="G36"/>
    </sheetView>
  </sheetViews>
  <sheetFormatPr defaultRowHeight="16.5" x14ac:dyDescent="0.3"/>
  <cols>
    <col min="1" max="3" width="5.625" style="6" customWidth="1"/>
    <col min="4" max="5" width="13" style="6" customWidth="1"/>
    <col min="6" max="15" width="15.75" style="6" customWidth="1"/>
    <col min="16" max="17" width="3.25" style="76" customWidth="1"/>
    <col min="18" max="18" width="9" style="6"/>
    <col min="19" max="20" width="10.25" style="6" hidden="1" customWidth="1"/>
    <col min="21" max="39" width="10.25" style="6" customWidth="1"/>
    <col min="40" max="16384" width="9" style="6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184" t="s">
        <v>222</v>
      </c>
      <c r="F6" s="184"/>
      <c r="G6" s="184"/>
      <c r="H6" s="184"/>
      <c r="I6" s="184"/>
      <c r="J6" s="184"/>
      <c r="K6" s="184"/>
      <c r="L6" s="184"/>
      <c r="M6" s="184"/>
    </row>
    <row r="7" spans="4:17" ht="21.95" customHeight="1" thickBot="1" x14ac:dyDescent="0.35">
      <c r="D7" s="185"/>
      <c r="O7" s="186" t="s">
        <v>76</v>
      </c>
    </row>
    <row r="8" spans="4:17" ht="25.5" customHeight="1" thickTop="1" x14ac:dyDescent="0.3">
      <c r="D8" s="827" t="s">
        <v>11</v>
      </c>
      <c r="E8" s="828"/>
      <c r="F8" s="837" t="s">
        <v>213</v>
      </c>
      <c r="G8" s="838"/>
      <c r="H8" s="838"/>
      <c r="I8" s="838"/>
      <c r="J8" s="839"/>
      <c r="K8" s="804" t="s">
        <v>204</v>
      </c>
      <c r="L8" s="804"/>
      <c r="M8" s="804"/>
      <c r="N8" s="804"/>
      <c r="O8" s="807"/>
      <c r="P8" s="187"/>
      <c r="Q8" s="187"/>
    </row>
    <row r="9" spans="4:17" ht="25.5" customHeight="1" x14ac:dyDescent="0.3">
      <c r="D9" s="829"/>
      <c r="E9" s="830"/>
      <c r="F9" s="569" t="s">
        <v>12</v>
      </c>
      <c r="G9" s="358" t="s">
        <v>13</v>
      </c>
      <c r="H9" s="367" t="s">
        <v>71</v>
      </c>
      <c r="I9" s="358" t="s">
        <v>14</v>
      </c>
      <c r="J9" s="570" t="s">
        <v>72</v>
      </c>
      <c r="K9" s="367" t="s">
        <v>12</v>
      </c>
      <c r="L9" s="358" t="s">
        <v>13</v>
      </c>
      <c r="M9" s="367" t="s">
        <v>71</v>
      </c>
      <c r="N9" s="358" t="s">
        <v>14</v>
      </c>
      <c r="O9" s="368" t="s">
        <v>72</v>
      </c>
      <c r="P9" s="187"/>
      <c r="Q9" s="187"/>
    </row>
    <row r="10" spans="4:17" ht="25.5" customHeight="1" x14ac:dyDescent="0.3">
      <c r="D10" s="71" t="s">
        <v>110</v>
      </c>
      <c r="E10" s="90" t="s">
        <v>86</v>
      </c>
      <c r="F10" s="571">
        <f>+IFERROR(HLOOKUP($F$8,[13]손익!$G$5:$AI$63,2,),)</f>
        <v>7300</v>
      </c>
      <c r="G10" s="359">
        <f>+'[7]3월'!$G$8</f>
        <v>8665.0679999999993</v>
      </c>
      <c r="H10" s="204">
        <f>+G10-F10</f>
        <v>1365.0679999999993</v>
      </c>
      <c r="I10" s="359">
        <f>+IFERROR(HLOOKUP($F$8,[8]월별!$E$2:$T$53,2,),)</f>
        <v>9838.5779999999995</v>
      </c>
      <c r="J10" s="572">
        <f>+G10-I10</f>
        <v>-1173.5100000000002</v>
      </c>
      <c r="K10" s="204">
        <f>+F10+[4]건자재!K10</f>
        <v>20600</v>
      </c>
      <c r="L10" s="359">
        <f>+G10+[4]건자재!L10</f>
        <v>21735.562999999998</v>
      </c>
      <c r="M10" s="204">
        <f>+L10-K10</f>
        <v>1135.5629999999983</v>
      </c>
      <c r="N10" s="359">
        <f>+I10+[4]건자재!N10</f>
        <v>25167.705000000002</v>
      </c>
      <c r="O10" s="352">
        <f>+L10-N10</f>
        <v>-3432.1420000000035</v>
      </c>
      <c r="P10" s="77"/>
      <c r="Q10" s="77"/>
    </row>
    <row r="11" spans="4:17" ht="25.5" customHeight="1" x14ac:dyDescent="0.3">
      <c r="D11" s="72" t="s">
        <v>21</v>
      </c>
      <c r="E11" s="357" t="s">
        <v>122</v>
      </c>
      <c r="F11" s="573">
        <f>+F12/F10*1000</f>
        <v>978767.12328767125</v>
      </c>
      <c r="G11" s="360">
        <f t="shared" ref="G11" si="0">+G12/G10*1000</f>
        <v>873530.5235919673</v>
      </c>
      <c r="H11" s="214">
        <f t="shared" ref="H11:H28" si="1">+G11-F11</f>
        <v>-105236.59969570395</v>
      </c>
      <c r="I11" s="360">
        <f>+I12/I10*1000</f>
        <v>1030973.3939193247</v>
      </c>
      <c r="J11" s="574">
        <f t="shared" ref="J11:J28" si="2">+G11-I11</f>
        <v>-157442.87032735744</v>
      </c>
      <c r="K11" s="214">
        <f>+K12/K10*1000</f>
        <v>977669.90291262139</v>
      </c>
      <c r="L11" s="360">
        <f>+L12/L10*1000</f>
        <v>891335.49059667799</v>
      </c>
      <c r="M11" s="214">
        <f t="shared" ref="M11:M28" si="3">+L11-K11</f>
        <v>-86334.412315943395</v>
      </c>
      <c r="N11" s="360">
        <f>+N12/N10*1000</f>
        <v>1048563.4746592907</v>
      </c>
      <c r="O11" s="212">
        <f t="shared" ref="O11:O28" si="4">+L11-N11</f>
        <v>-157227.98406261276</v>
      </c>
      <c r="P11" s="77"/>
      <c r="Q11" s="77"/>
    </row>
    <row r="12" spans="4:17" ht="25.5" customHeight="1" x14ac:dyDescent="0.3">
      <c r="D12" s="188" t="s">
        <v>77</v>
      </c>
      <c r="E12" s="91" t="s">
        <v>122</v>
      </c>
      <c r="F12" s="418">
        <f>+IFERROR(HLOOKUP($F$8,[13]손익!$G$5:$AI$63,22,),)</f>
        <v>7145000</v>
      </c>
      <c r="G12" s="361">
        <f>+'[7]3월'!$G$9</f>
        <v>7569201.3870000001</v>
      </c>
      <c r="H12" s="196">
        <f t="shared" si="1"/>
        <v>424201.3870000001</v>
      </c>
      <c r="I12" s="361">
        <f>+IFERROR(HLOOKUP($F$8,[8]월별!$E$2:$T$53,5,),)</f>
        <v>10143312.152000001</v>
      </c>
      <c r="J12" s="419">
        <f t="shared" si="2"/>
        <v>-2574110.7650000006</v>
      </c>
      <c r="K12" s="196">
        <f>+F12+[4]건자재!K12</f>
        <v>20140000</v>
      </c>
      <c r="L12" s="361">
        <f>+G12+[4]건자재!L12</f>
        <v>19373678.710000001</v>
      </c>
      <c r="M12" s="196">
        <f t="shared" si="3"/>
        <v>-766321.28999999911</v>
      </c>
      <c r="N12" s="361">
        <f>+I12+[4]건자재!N12</f>
        <v>26389936.204000004</v>
      </c>
      <c r="O12" s="219">
        <f t="shared" si="4"/>
        <v>-7016257.4940000027</v>
      </c>
      <c r="P12" s="77"/>
      <c r="Q12" s="77"/>
    </row>
    <row r="13" spans="4:17" ht="25.5" customHeight="1" x14ac:dyDescent="0.3">
      <c r="D13" s="188"/>
      <c r="E13" s="92" t="s">
        <v>123</v>
      </c>
      <c r="F13" s="575">
        <f>+IFERROR(HLOOKUP($F$8,[13]손익!$G$5:$AI$63,23,),)</f>
        <v>1784315.7894736845</v>
      </c>
      <c r="G13" s="362">
        <f>+'[7]3월'!$J$9</f>
        <v>1190716.3990000002</v>
      </c>
      <c r="H13" s="206">
        <f t="shared" si="1"/>
        <v>-593599.3904736843</v>
      </c>
      <c r="I13" s="362">
        <f>+IFERROR(HLOOKUP($F$8,[8]월별!$E$2:$T$53,6,),)</f>
        <v>1216657.1129999999</v>
      </c>
      <c r="J13" s="576">
        <f t="shared" si="2"/>
        <v>-25940.713999999687</v>
      </c>
      <c r="K13" s="206">
        <f>+F13+[4]건자재!K13</f>
        <v>5067456.8421052657</v>
      </c>
      <c r="L13" s="362">
        <f>+G13+[4]건자재!L13</f>
        <v>3559854.2180000003</v>
      </c>
      <c r="M13" s="206">
        <f t="shared" si="3"/>
        <v>-1507602.6241052654</v>
      </c>
      <c r="N13" s="362">
        <f>+I13+[4]건자재!N13</f>
        <v>3573138.3569999998</v>
      </c>
      <c r="O13" s="353">
        <f t="shared" si="4"/>
        <v>-13284.138999999501</v>
      </c>
      <c r="P13" s="77"/>
      <c r="Q13" s="77"/>
    </row>
    <row r="14" spans="4:17" ht="25.5" customHeight="1" x14ac:dyDescent="0.3">
      <c r="D14" s="188"/>
      <c r="E14" s="94" t="s">
        <v>58</v>
      </c>
      <c r="F14" s="416">
        <f>SUM(F12:F13)</f>
        <v>8929315.7894736845</v>
      </c>
      <c r="G14" s="363">
        <f>SUM(G12:G13)</f>
        <v>8759917.7860000003</v>
      </c>
      <c r="H14" s="205">
        <f t="shared" si="1"/>
        <v>-169398.00347368419</v>
      </c>
      <c r="I14" s="363">
        <f>SUM(I12:I13)</f>
        <v>11359969.265000001</v>
      </c>
      <c r="J14" s="417">
        <f t="shared" si="2"/>
        <v>-2600051.4790000003</v>
      </c>
      <c r="K14" s="205">
        <f>SUM(K12:K13)</f>
        <v>25207456.842105266</v>
      </c>
      <c r="L14" s="363">
        <f>SUM(L12:L13)</f>
        <v>22933532.928000003</v>
      </c>
      <c r="M14" s="205">
        <f t="shared" si="3"/>
        <v>-2273923.9141052626</v>
      </c>
      <c r="N14" s="363">
        <f>SUM(N12:N13)</f>
        <v>29963074.561000004</v>
      </c>
      <c r="O14" s="222">
        <f t="shared" si="4"/>
        <v>-7029541.6330000013</v>
      </c>
      <c r="P14" s="77"/>
      <c r="Q14" s="77"/>
    </row>
    <row r="15" spans="4:17" ht="25.5" customHeight="1" x14ac:dyDescent="0.3">
      <c r="D15" s="71" t="s">
        <v>5</v>
      </c>
      <c r="E15" s="90" t="s">
        <v>122</v>
      </c>
      <c r="F15" s="571">
        <f>+IFERROR(HLOOKUP($F$8,[13]손익!$G$5:$AI$63,25,),)</f>
        <v>6978185</v>
      </c>
      <c r="G15" s="359">
        <f>+'[7]3월'!$G$11</f>
        <v>7426923.1069999998</v>
      </c>
      <c r="H15" s="204">
        <f t="shared" si="1"/>
        <v>448738.10699999984</v>
      </c>
      <c r="I15" s="359">
        <f>+IFERROR(HLOOKUP($F$8,[8]월별!$E$2:$T$53,8,),)</f>
        <v>9963629.7699999996</v>
      </c>
      <c r="J15" s="572">
        <f t="shared" si="2"/>
        <v>-2536706.6629999997</v>
      </c>
      <c r="K15" s="204">
        <f>+F15+[4]건자재!K15</f>
        <v>19670795</v>
      </c>
      <c r="L15" s="359">
        <f>+G15+[4]건자재!L15</f>
        <v>18907043.357000001</v>
      </c>
      <c r="M15" s="204">
        <f t="shared" si="3"/>
        <v>-763751.64299999923</v>
      </c>
      <c r="N15" s="359">
        <f>+I15+[4]건자재!N15</f>
        <v>25892239.039999999</v>
      </c>
      <c r="O15" s="352">
        <f t="shared" si="4"/>
        <v>-6985195.6829999983</v>
      </c>
      <c r="P15" s="77"/>
      <c r="Q15" s="77"/>
    </row>
    <row r="16" spans="4:17" ht="25.5" customHeight="1" x14ac:dyDescent="0.3">
      <c r="D16" s="188"/>
      <c r="E16" s="92" t="s">
        <v>123</v>
      </c>
      <c r="F16" s="575">
        <f>+IFERROR(HLOOKUP($F$8,[13]손익!$G$5:$AI$63,26,),)</f>
        <v>1722257.2863157876</v>
      </c>
      <c r="G16" s="362">
        <f>+'[7]3월'!$J$11</f>
        <v>1169699.1210000003</v>
      </c>
      <c r="H16" s="206">
        <f t="shared" si="1"/>
        <v>-552558.16531578731</v>
      </c>
      <c r="I16" s="362">
        <f>+IFERROR(HLOOKUP($F$8,[8]월별!$E$2:$T$53,9,),)</f>
        <v>1190045.8399999999</v>
      </c>
      <c r="J16" s="576">
        <f t="shared" si="2"/>
        <v>-20346.718999999575</v>
      </c>
      <c r="K16" s="206">
        <f>+F16+[4]건자재!K16</f>
        <v>4891210.6931368401</v>
      </c>
      <c r="L16" s="362">
        <f>+G16+[4]건자재!L16</f>
        <v>3492681.1280000005</v>
      </c>
      <c r="M16" s="206">
        <f t="shared" si="3"/>
        <v>-1398529.5651368396</v>
      </c>
      <c r="N16" s="362">
        <f>+I16+[4]건자재!N16</f>
        <v>3495757.6069999998</v>
      </c>
      <c r="O16" s="353">
        <f t="shared" si="4"/>
        <v>-3076.4789999993518</v>
      </c>
      <c r="P16" s="77"/>
      <c r="Q16" s="77"/>
    </row>
    <row r="17" spans="4:17" ht="25.5" customHeight="1" x14ac:dyDescent="0.3">
      <c r="D17" s="72"/>
      <c r="E17" s="369" t="s">
        <v>43</v>
      </c>
      <c r="F17" s="577">
        <f>SUM(F15:F16)</f>
        <v>8700442.2863157876</v>
      </c>
      <c r="G17" s="370">
        <f>SUM(G15:G16)</f>
        <v>8596622.2280000001</v>
      </c>
      <c r="H17" s="371">
        <f t="shared" si="1"/>
        <v>-103820.05831578746</v>
      </c>
      <c r="I17" s="370">
        <f>SUM(I15:I16)</f>
        <v>11153675.609999999</v>
      </c>
      <c r="J17" s="578">
        <f t="shared" si="2"/>
        <v>-2557053.3819999993</v>
      </c>
      <c r="K17" s="371">
        <f>SUM(K15:K16)</f>
        <v>24562005.693136841</v>
      </c>
      <c r="L17" s="370">
        <f>SUM(L15:L16)</f>
        <v>22399724.484999999</v>
      </c>
      <c r="M17" s="371">
        <f t="shared" si="3"/>
        <v>-2162281.2081368417</v>
      </c>
      <c r="N17" s="370">
        <f>SUM(N15:N16)</f>
        <v>29387996.647</v>
      </c>
      <c r="O17" s="372">
        <f t="shared" si="4"/>
        <v>-6988272.1620000005</v>
      </c>
      <c r="P17" s="77"/>
      <c r="Q17" s="77"/>
    </row>
    <row r="18" spans="4:17" ht="25.5" customHeight="1" x14ac:dyDescent="0.3">
      <c r="D18" s="188" t="s">
        <v>18</v>
      </c>
      <c r="E18" s="91" t="s">
        <v>122</v>
      </c>
      <c r="F18" s="418">
        <f>+F12-F15</f>
        <v>166815</v>
      </c>
      <c r="G18" s="361">
        <f>+G12-G15</f>
        <v>142278.28000000026</v>
      </c>
      <c r="H18" s="196">
        <f t="shared" si="1"/>
        <v>-24536.719999999739</v>
      </c>
      <c r="I18" s="361">
        <f>+I12-I15</f>
        <v>179682.38200000115</v>
      </c>
      <c r="J18" s="419">
        <f t="shared" si="2"/>
        <v>-37404.102000000887</v>
      </c>
      <c r="K18" s="196">
        <f>+K12-K15</f>
        <v>469205</v>
      </c>
      <c r="L18" s="361">
        <f>+L12-L15</f>
        <v>466635.35300000012</v>
      </c>
      <c r="M18" s="196">
        <f t="shared" si="3"/>
        <v>-2569.6469999998808</v>
      </c>
      <c r="N18" s="361">
        <f>+N12-N15</f>
        <v>497697.16400000453</v>
      </c>
      <c r="O18" s="219">
        <f t="shared" si="4"/>
        <v>-31061.811000004411</v>
      </c>
      <c r="P18" s="77"/>
      <c r="Q18" s="77"/>
    </row>
    <row r="19" spans="4:17" ht="25.5" customHeight="1" x14ac:dyDescent="0.3">
      <c r="D19" s="188"/>
      <c r="E19" s="194" t="s">
        <v>9</v>
      </c>
      <c r="F19" s="579">
        <f>+F18/F12</f>
        <v>2.3347095871238628E-2</v>
      </c>
      <c r="G19" s="364">
        <f>+G18/G12</f>
        <v>1.8797000201944851E-2</v>
      </c>
      <c r="H19" s="197">
        <f t="shared" si="1"/>
        <v>-4.5500956692937772E-3</v>
      </c>
      <c r="I19" s="364">
        <f>+I18/I12</f>
        <v>1.7714369754910125E-2</v>
      </c>
      <c r="J19" s="580">
        <f t="shared" si="2"/>
        <v>1.0826304470347263E-3</v>
      </c>
      <c r="K19" s="197">
        <f>+K18/K12</f>
        <v>2.3297169811320753E-2</v>
      </c>
      <c r="L19" s="364">
        <f>+L18/L12</f>
        <v>2.4086047878926556E-2</v>
      </c>
      <c r="M19" s="197">
        <f t="shared" si="3"/>
        <v>7.888780676058027E-4</v>
      </c>
      <c r="N19" s="364">
        <f>+N18/N12</f>
        <v>1.8859354571860127E-2</v>
      </c>
      <c r="O19" s="354">
        <f t="shared" si="4"/>
        <v>5.2266933070664288E-3</v>
      </c>
      <c r="P19" s="77"/>
      <c r="Q19" s="77"/>
    </row>
    <row r="20" spans="4:17" ht="25.5" customHeight="1" x14ac:dyDescent="0.3">
      <c r="D20" s="188"/>
      <c r="E20" s="93" t="s">
        <v>123</v>
      </c>
      <c r="F20" s="416">
        <f>+F13-F16</f>
        <v>62058.503157896921</v>
      </c>
      <c r="G20" s="363">
        <f>+G13-G16</f>
        <v>21017.277999999933</v>
      </c>
      <c r="H20" s="205">
        <f t="shared" si="1"/>
        <v>-41041.225157896988</v>
      </c>
      <c r="I20" s="363">
        <f>+I13-I16</f>
        <v>26611.273000000045</v>
      </c>
      <c r="J20" s="417">
        <f t="shared" si="2"/>
        <v>-5593.9950000001118</v>
      </c>
      <c r="K20" s="205">
        <f>+K13-K16</f>
        <v>176246.14896842558</v>
      </c>
      <c r="L20" s="363">
        <f>+L13-L16</f>
        <v>67173.089999999851</v>
      </c>
      <c r="M20" s="205">
        <f t="shared" si="3"/>
        <v>-109073.05896842573</v>
      </c>
      <c r="N20" s="363">
        <f>+N13-N16</f>
        <v>77380.75</v>
      </c>
      <c r="O20" s="222">
        <f t="shared" si="4"/>
        <v>-10207.660000000149</v>
      </c>
      <c r="P20" s="77"/>
      <c r="Q20" s="77"/>
    </row>
    <row r="21" spans="4:17" ht="25.5" customHeight="1" x14ac:dyDescent="0.3">
      <c r="D21" s="188"/>
      <c r="E21" s="195" t="s">
        <v>9</v>
      </c>
      <c r="F21" s="581">
        <f>+F20/F13</f>
        <v>3.478000000000122E-2</v>
      </c>
      <c r="G21" s="365">
        <f>+G20/G13</f>
        <v>1.7650951996336726E-2</v>
      </c>
      <c r="H21" s="207">
        <f t="shared" si="1"/>
        <v>-1.7129048003664493E-2</v>
      </c>
      <c r="I21" s="365">
        <f>+I20/I13</f>
        <v>2.1872450927757858E-2</v>
      </c>
      <c r="J21" s="582">
        <f t="shared" si="2"/>
        <v>-4.2214989314211318E-3</v>
      </c>
      <c r="K21" s="207">
        <f>+K20/K13</f>
        <v>3.4780000000000873E-2</v>
      </c>
      <c r="L21" s="365">
        <f>+L20/L13</f>
        <v>1.8869618216483898E-2</v>
      </c>
      <c r="M21" s="207">
        <f t="shared" si="3"/>
        <v>-1.5910381783516975E-2</v>
      </c>
      <c r="N21" s="365">
        <f>+N20/N13</f>
        <v>2.1656242291431652E-2</v>
      </c>
      <c r="O21" s="355">
        <f t="shared" si="4"/>
        <v>-2.7866240749477543E-3</v>
      </c>
      <c r="P21" s="77"/>
      <c r="Q21" s="77"/>
    </row>
    <row r="22" spans="4:17" ht="25.5" customHeight="1" x14ac:dyDescent="0.3">
      <c r="D22" s="188"/>
      <c r="E22" s="94" t="s">
        <v>58</v>
      </c>
      <c r="F22" s="416">
        <f>SUM(F18,F20)</f>
        <v>228873.50315789692</v>
      </c>
      <c r="G22" s="363">
        <f>SUM(G18,G20)</f>
        <v>163295.55800000019</v>
      </c>
      <c r="H22" s="205">
        <f t="shared" si="1"/>
        <v>-65577.945157896727</v>
      </c>
      <c r="I22" s="363">
        <f>SUM(I18,I20)</f>
        <v>206293.65500000119</v>
      </c>
      <c r="J22" s="417">
        <f t="shared" si="2"/>
        <v>-42998.097000000998</v>
      </c>
      <c r="K22" s="205">
        <f>+K14-K17</f>
        <v>645451.14896842465</v>
      </c>
      <c r="L22" s="363">
        <f>+L14-L17</f>
        <v>533808.4430000037</v>
      </c>
      <c r="M22" s="205">
        <f t="shared" si="3"/>
        <v>-111642.70596842095</v>
      </c>
      <c r="N22" s="363">
        <f>+N14-N17</f>
        <v>575077.91400000453</v>
      </c>
      <c r="O22" s="222">
        <f t="shared" si="4"/>
        <v>-41269.471000000834</v>
      </c>
      <c r="P22" s="77"/>
      <c r="Q22" s="77"/>
    </row>
    <row r="23" spans="4:17" ht="25.5" customHeight="1" x14ac:dyDescent="0.3">
      <c r="D23" s="188"/>
      <c r="E23" s="373" t="s">
        <v>9</v>
      </c>
      <c r="F23" s="579">
        <f>+F22/F14</f>
        <v>2.5631695479703408E-2</v>
      </c>
      <c r="G23" s="364">
        <f>+G22/G14</f>
        <v>1.8641220384622476E-2</v>
      </c>
      <c r="H23" s="197">
        <f t="shared" si="1"/>
        <v>-6.9904750950809322E-3</v>
      </c>
      <c r="I23" s="364">
        <f>+I22/I14</f>
        <v>1.815970186077798E-2</v>
      </c>
      <c r="J23" s="580">
        <f t="shared" si="2"/>
        <v>4.8151852384449578E-4</v>
      </c>
      <c r="K23" s="197">
        <f>+K22/K14</f>
        <v>2.5605563980984212E-2</v>
      </c>
      <c r="L23" s="364">
        <f>+L22/L14</f>
        <v>2.3276328364927431E-2</v>
      </c>
      <c r="M23" s="197">
        <f t="shared" si="3"/>
        <v>-2.3292356160567809E-3</v>
      </c>
      <c r="N23" s="364">
        <f>+N22/N14</f>
        <v>1.9192887326340235E-2</v>
      </c>
      <c r="O23" s="354">
        <f t="shared" si="4"/>
        <v>4.0834410385871961E-3</v>
      </c>
      <c r="P23" s="77"/>
      <c r="Q23" s="77"/>
    </row>
    <row r="24" spans="4:17" ht="25.5" customHeight="1" x14ac:dyDescent="0.3">
      <c r="D24" s="71" t="s">
        <v>124</v>
      </c>
      <c r="E24" s="90" t="s">
        <v>125</v>
      </c>
      <c r="F24" s="571">
        <f>+IFERROR(HLOOKUP($F$8,[13]판매4!$G$4:$U$50,7,),)</f>
        <v>83504.47</v>
      </c>
      <c r="G24" s="359">
        <f>+'[7]3월'!$M$19</f>
        <v>87921.887999999992</v>
      </c>
      <c r="H24" s="204">
        <f t="shared" si="1"/>
        <v>4417.4179999999906</v>
      </c>
      <c r="I24" s="359">
        <f>+IFERROR(HLOOKUP($F$8,[8]월별!$E$2:$T$53,17,),)</f>
        <v>81444.191999999995</v>
      </c>
      <c r="J24" s="572">
        <f t="shared" si="2"/>
        <v>6477.6959999999963</v>
      </c>
      <c r="K24" s="204">
        <f>+F24+[4]건자재!K24</f>
        <v>247938.59</v>
      </c>
      <c r="L24" s="359">
        <f>+G24+[4]건자재!L24</f>
        <v>264784.81799999997</v>
      </c>
      <c r="M24" s="204">
        <f t="shared" si="3"/>
        <v>16846.227999999974</v>
      </c>
      <c r="N24" s="359">
        <f>+I24+[4]건자재!N24</f>
        <v>253789.48599999998</v>
      </c>
      <c r="O24" s="352">
        <f t="shared" si="4"/>
        <v>10995.331999999995</v>
      </c>
      <c r="P24" s="77"/>
      <c r="Q24" s="77"/>
    </row>
    <row r="25" spans="4:17" ht="25.5" customHeight="1" x14ac:dyDescent="0.3">
      <c r="D25" s="188"/>
      <c r="E25" s="92" t="s">
        <v>126</v>
      </c>
      <c r="F25" s="575">
        <f>+IFERROR(HLOOKUP($F$8,[13]판매4!$G$4:$U$50,31,),)+IFERROR(HLOOKUP($F$8,[13]판매4!$G$4:$U$50,34,),)</f>
        <v>50961.11</v>
      </c>
      <c r="G25" s="362">
        <f>+'[7]3월'!$M$37+'[7]3월'!$M$40</f>
        <v>43718.324000000001</v>
      </c>
      <c r="H25" s="206">
        <f t="shared" si="1"/>
        <v>-7242.7860000000001</v>
      </c>
      <c r="I25" s="362">
        <f>+IFERROR(HLOOKUP($F$8,[8]월별!$E$2:$T$53,35,),)+IFERROR(HLOOKUP($F$8,[8]월별!$E$2:$T$53,38,),)</f>
        <v>70271.565999999992</v>
      </c>
      <c r="J25" s="576">
        <f t="shared" si="2"/>
        <v>-26553.241999999991</v>
      </c>
      <c r="K25" s="206">
        <f>+F25+[4]건자재!K25</f>
        <v>137172.96000000002</v>
      </c>
      <c r="L25" s="362">
        <f>+G25+[4]건자재!L25</f>
        <v>120256.389</v>
      </c>
      <c r="M25" s="206">
        <f t="shared" si="3"/>
        <v>-16916.571000000025</v>
      </c>
      <c r="N25" s="362">
        <f>+I25+[4]건자재!N25</f>
        <v>115084.35399999999</v>
      </c>
      <c r="O25" s="353">
        <f t="shared" si="4"/>
        <v>5172.0350000000035</v>
      </c>
      <c r="P25" s="77"/>
      <c r="Q25" s="77"/>
    </row>
    <row r="26" spans="4:17" ht="25.5" customHeight="1" x14ac:dyDescent="0.3">
      <c r="D26" s="72"/>
      <c r="E26" s="369" t="s">
        <v>58</v>
      </c>
      <c r="F26" s="577">
        <f>SUM(F24:F25)</f>
        <v>134465.58000000002</v>
      </c>
      <c r="G26" s="370">
        <f>SUM(G24:G25)</f>
        <v>131640.212</v>
      </c>
      <c r="H26" s="371">
        <f t="shared" si="1"/>
        <v>-2825.3680000000168</v>
      </c>
      <c r="I26" s="370">
        <f>SUM(I24:I25)</f>
        <v>151715.75799999997</v>
      </c>
      <c r="J26" s="578">
        <f t="shared" si="2"/>
        <v>-20075.545999999973</v>
      </c>
      <c r="K26" s="371">
        <f>SUM(K24:K25)</f>
        <v>385111.55000000005</v>
      </c>
      <c r="L26" s="370">
        <f>SUM(L24:L25)</f>
        <v>385041.20699999994</v>
      </c>
      <c r="M26" s="371">
        <f t="shared" si="3"/>
        <v>-70.343000000109896</v>
      </c>
      <c r="N26" s="370">
        <f>SUM(N24:N25)</f>
        <v>368873.83999999997</v>
      </c>
      <c r="O26" s="372">
        <f t="shared" si="4"/>
        <v>16167.366999999969</v>
      </c>
      <c r="P26" s="77"/>
      <c r="Q26" s="77"/>
    </row>
    <row r="27" spans="4:17" ht="25.5" customHeight="1" x14ac:dyDescent="0.3">
      <c r="D27" s="188" t="s">
        <v>7</v>
      </c>
      <c r="E27" s="373"/>
      <c r="F27" s="418">
        <f>+F22-F26</f>
        <v>94407.923157896905</v>
      </c>
      <c r="G27" s="361">
        <f>+G22-G26</f>
        <v>31655.346000000194</v>
      </c>
      <c r="H27" s="196">
        <f t="shared" si="1"/>
        <v>-62752.577157896711</v>
      </c>
      <c r="I27" s="361">
        <f>+I22-I26</f>
        <v>54577.89700000122</v>
      </c>
      <c r="J27" s="419">
        <f t="shared" si="2"/>
        <v>-22922.551000001025</v>
      </c>
      <c r="K27" s="196">
        <f>+K22-K26</f>
        <v>260339.5989684246</v>
      </c>
      <c r="L27" s="361">
        <f>+L22-L26</f>
        <v>148767.23600000376</v>
      </c>
      <c r="M27" s="196">
        <f t="shared" si="3"/>
        <v>-111572.36296842084</v>
      </c>
      <c r="N27" s="361">
        <f>+N22-N26</f>
        <v>206204.07400000456</v>
      </c>
      <c r="O27" s="219">
        <f t="shared" si="4"/>
        <v>-57436.838000000804</v>
      </c>
      <c r="P27" s="77"/>
      <c r="Q27" s="77"/>
    </row>
    <row r="28" spans="4:17" ht="25.5" customHeight="1" thickBot="1" x14ac:dyDescent="0.35">
      <c r="D28" s="188"/>
      <c r="E28" s="568" t="s">
        <v>10</v>
      </c>
      <c r="F28" s="583">
        <f>+F27/F14</f>
        <v>1.0572805955545843E-2</v>
      </c>
      <c r="G28" s="584">
        <f>+G27/G14</f>
        <v>3.6136578873595597E-3</v>
      </c>
      <c r="H28" s="585">
        <f t="shared" si="1"/>
        <v>-6.9591480681862831E-3</v>
      </c>
      <c r="I28" s="584">
        <f>+I27/I14</f>
        <v>4.8044053400879702E-3</v>
      </c>
      <c r="J28" s="586">
        <f t="shared" si="2"/>
        <v>-1.1907474527284106E-3</v>
      </c>
      <c r="K28" s="208">
        <f>+K27/K14</f>
        <v>1.0327880380759651E-2</v>
      </c>
      <c r="L28" s="366">
        <f>+L27/L14</f>
        <v>6.4868869731959568E-3</v>
      </c>
      <c r="M28" s="208">
        <f t="shared" si="3"/>
        <v>-3.8409934075636937E-3</v>
      </c>
      <c r="N28" s="366">
        <f>+N27/N14</f>
        <v>6.8819397548875103E-3</v>
      </c>
      <c r="O28" s="356">
        <f t="shared" si="4"/>
        <v>-3.950527816915534E-4</v>
      </c>
      <c r="P28" s="77"/>
      <c r="Q28" s="77"/>
    </row>
    <row r="29" spans="4:17" ht="25.5" customHeight="1" thickTop="1" x14ac:dyDescent="0.3">
      <c r="D29" s="831" t="s">
        <v>129</v>
      </c>
      <c r="E29" s="832"/>
      <c r="F29" s="165"/>
      <c r="G29" s="165"/>
      <c r="H29" s="165"/>
      <c r="I29" s="165"/>
      <c r="J29" s="165"/>
      <c r="K29" s="165"/>
      <c r="L29" s="165"/>
      <c r="M29" s="165"/>
      <c r="N29" s="75"/>
      <c r="O29" s="189"/>
      <c r="P29" s="77"/>
      <c r="Q29" s="77"/>
    </row>
    <row r="30" spans="4:17" ht="25.5" customHeight="1" x14ac:dyDescent="0.3">
      <c r="D30" s="833"/>
      <c r="E30" s="834"/>
      <c r="F30" s="165"/>
      <c r="G30" s="165"/>
      <c r="H30" s="165"/>
      <c r="I30" s="165"/>
      <c r="J30" s="165"/>
      <c r="K30" s="165"/>
      <c r="L30" s="165"/>
      <c r="M30" s="165"/>
      <c r="N30" s="75"/>
      <c r="O30" s="189"/>
      <c r="P30" s="77"/>
      <c r="Q30" s="77"/>
    </row>
    <row r="31" spans="4:17" ht="25.5" customHeight="1" x14ac:dyDescent="0.3">
      <c r="D31" s="833"/>
      <c r="E31" s="834"/>
      <c r="F31" s="165"/>
      <c r="G31" s="165"/>
      <c r="H31" s="165"/>
      <c r="I31" s="165"/>
      <c r="J31" s="165"/>
      <c r="K31" s="165"/>
      <c r="L31" s="165"/>
      <c r="M31" s="165"/>
      <c r="N31" s="75"/>
      <c r="O31" s="189"/>
      <c r="P31" s="77"/>
      <c r="Q31" s="77"/>
    </row>
    <row r="32" spans="4:17" ht="25.5" customHeight="1" x14ac:dyDescent="0.3">
      <c r="D32" s="833"/>
      <c r="E32" s="834"/>
      <c r="F32" s="165"/>
      <c r="G32" s="165"/>
      <c r="H32" s="165"/>
      <c r="I32" s="165"/>
      <c r="J32" s="165"/>
      <c r="K32" s="165"/>
      <c r="L32" s="165"/>
      <c r="M32" s="165"/>
      <c r="N32" s="75"/>
      <c r="O32" s="189"/>
      <c r="P32" s="77"/>
      <c r="Q32" s="77"/>
    </row>
    <row r="33" spans="4:33" ht="25.5" customHeight="1" x14ac:dyDescent="0.3">
      <c r="D33" s="833"/>
      <c r="E33" s="834"/>
      <c r="F33" s="165"/>
      <c r="G33" s="165"/>
      <c r="H33" s="165"/>
      <c r="I33" s="165"/>
      <c r="J33" s="165"/>
      <c r="K33" s="165"/>
      <c r="L33" s="165"/>
      <c r="M33" s="165"/>
      <c r="N33" s="75"/>
      <c r="O33" s="189"/>
      <c r="P33" s="77"/>
      <c r="Q33" s="77"/>
    </row>
    <row r="34" spans="4:33" ht="25.5" customHeight="1" x14ac:dyDescent="0.3">
      <c r="D34" s="835"/>
      <c r="E34" s="836"/>
      <c r="F34" s="199"/>
      <c r="G34" s="199"/>
      <c r="H34" s="199"/>
      <c r="I34" s="199"/>
      <c r="J34" s="199"/>
      <c r="K34" s="199"/>
      <c r="L34" s="199"/>
      <c r="M34" s="199"/>
      <c r="N34" s="167"/>
      <c r="O34" s="198"/>
      <c r="R34" s="6" t="s">
        <v>164</v>
      </c>
    </row>
    <row r="35" spans="4:33" ht="21.95" customHeight="1" x14ac:dyDescent="0.3"/>
    <row r="36" spans="4:33" ht="21.95" customHeight="1" x14ac:dyDescent="0.3">
      <c r="F36" s="6">
        <f>+IFERROR(HLOOKUP($F$8,[13]손익!$G$5:$AJ$65,17,),)</f>
        <v>94407.923157896905</v>
      </c>
      <c r="G36" s="6">
        <f>+'[7]3월'!$M$41</f>
        <v>31655.346000000201</v>
      </c>
      <c r="I36" s="6">
        <f>+IFERROR(HLOOKUP($F$8,[8]월별!$E$2:$T$53,39,),)</f>
        <v>54577.897000001205</v>
      </c>
      <c r="K36" s="6">
        <f>+F36+[4]건자재!K36</f>
        <v>260339.59896842553</v>
      </c>
      <c r="L36" s="6">
        <f>+G36+[4]건자재!L36</f>
        <v>148767.23599999998</v>
      </c>
      <c r="N36" s="6">
        <f>+I36+[4]건자재!N36</f>
        <v>206204.07400000084</v>
      </c>
      <c r="R36" s="504"/>
      <c r="S36" s="593" t="s">
        <v>180</v>
      </c>
      <c r="T36" s="593" t="s">
        <v>179</v>
      </c>
      <c r="U36" s="593" t="s">
        <v>181</v>
      </c>
      <c r="V36" s="593" t="s">
        <v>173</v>
      </c>
      <c r="W36" s="593" t="s">
        <v>182</v>
      </c>
      <c r="X36" s="593" t="s">
        <v>183</v>
      </c>
      <c r="Y36" s="593" t="s">
        <v>185</v>
      </c>
      <c r="Z36" s="593" t="s">
        <v>189</v>
      </c>
      <c r="AA36" s="593" t="s">
        <v>190</v>
      </c>
      <c r="AB36" s="593" t="s">
        <v>191</v>
      </c>
      <c r="AC36" s="593" t="s">
        <v>192</v>
      </c>
      <c r="AD36" s="593" t="s">
        <v>193</v>
      </c>
      <c r="AE36" s="593" t="s">
        <v>180</v>
      </c>
      <c r="AF36" s="593" t="s">
        <v>205</v>
      </c>
      <c r="AG36" s="593" t="s">
        <v>213</v>
      </c>
    </row>
    <row r="37" spans="4:33" ht="21.95" customHeight="1" x14ac:dyDescent="0.3">
      <c r="F37" s="6" t="b">
        <f>+F27=F36</f>
        <v>1</v>
      </c>
      <c r="G37" s="6" t="b">
        <f>+G27=G36</f>
        <v>1</v>
      </c>
      <c r="I37" s="6" t="b">
        <f>+I27=I36</f>
        <v>1</v>
      </c>
      <c r="K37" s="6" t="b">
        <f>+K27=K36</f>
        <v>0</v>
      </c>
      <c r="L37" s="6" t="b">
        <f>+L27=L36</f>
        <v>0</v>
      </c>
      <c r="N37" s="6" t="b">
        <f>+N27=N36</f>
        <v>0</v>
      </c>
      <c r="R37" s="200" t="s">
        <v>121</v>
      </c>
      <c r="S37" s="210" t="s">
        <v>180</v>
      </c>
      <c r="T37" s="210" t="s">
        <v>179</v>
      </c>
      <c r="U37" s="210" t="s">
        <v>181</v>
      </c>
      <c r="V37" s="210" t="s">
        <v>173</v>
      </c>
      <c r="W37" s="210" t="s">
        <v>182</v>
      </c>
      <c r="X37" s="210" t="s">
        <v>183</v>
      </c>
      <c r="Y37" s="210" t="s">
        <v>185</v>
      </c>
      <c r="Z37" s="210" t="str">
        <f t="shared" ref="Z37:AE37" si="5">+Z36</f>
        <v>8월</v>
      </c>
      <c r="AA37" s="210" t="str">
        <f t="shared" si="5"/>
        <v>9월</v>
      </c>
      <c r="AB37" s="210" t="str">
        <f t="shared" si="5"/>
        <v>10월</v>
      </c>
      <c r="AC37" s="210" t="str">
        <f t="shared" si="5"/>
        <v>11월</v>
      </c>
      <c r="AD37" s="210" t="str">
        <f t="shared" si="5"/>
        <v>12월</v>
      </c>
      <c r="AE37" s="210" t="str">
        <f t="shared" si="5"/>
        <v>1월</v>
      </c>
      <c r="AF37" s="210" t="str">
        <f t="shared" ref="AF37:AG37" si="6">+AF36</f>
        <v>2월</v>
      </c>
      <c r="AG37" s="210" t="str">
        <f t="shared" si="6"/>
        <v>3월</v>
      </c>
    </row>
    <row r="38" spans="4:33" ht="21.95" customHeight="1" x14ac:dyDescent="0.3">
      <c r="K38" s="594">
        <f>+K27-K36</f>
        <v>-9.3132257461547852E-10</v>
      </c>
      <c r="L38" s="594">
        <f>+L27-L36</f>
        <v>3.7834979593753815E-9</v>
      </c>
      <c r="N38" s="99">
        <f>+N27-N36</f>
        <v>3.7252902984619141E-9</v>
      </c>
      <c r="R38" s="201" t="s">
        <v>127</v>
      </c>
      <c r="S38" s="74">
        <f>+IFERROR(HLOOKUP(S$36,[8]월별!$E$2:$S$67,42,),)</f>
        <v>1098907.8680546847</v>
      </c>
      <c r="T38" s="74">
        <f>+IFERROR(HLOOKUP(T$36,[8]월별!$E$2:$S$67,42,),)</f>
        <v>1027486.9738044508</v>
      </c>
      <c r="U38" s="74">
        <f>+IFERROR(HLOOKUP(U$36,[8]월별!$E$2:$S$67,42,),)</f>
        <v>1030973.3939193247</v>
      </c>
      <c r="V38" s="74">
        <f>+IFERROR(HLOOKUP(V$36,[8]월별!$E$2:$S$67,42,),)</f>
        <v>1048311.1321207784</v>
      </c>
      <c r="W38" s="74">
        <f>+IFERROR(HLOOKUP(W$36,[8]월별!$E$2:$S$67,42,),)</f>
        <v>1064717.6492676102</v>
      </c>
      <c r="X38" s="74">
        <f>+IFERROR(HLOOKUP(X$36,[8]월별!$E$2:$S$67,42,),)</f>
        <v>1043902.0889611768</v>
      </c>
      <c r="Y38" s="74">
        <f>+IFERROR(HLOOKUP(Y$36,[8]월별!$E$2:$S$67,42,),)</f>
        <v>1025254.3120930659</v>
      </c>
      <c r="Z38" s="74">
        <f>+IFERROR(HLOOKUP(Z$36,[8]월별!$E$2:$S$67,42,),)</f>
        <v>957693.63511625899</v>
      </c>
      <c r="AA38" s="74">
        <f>+IFERROR(HLOOKUP(AA$36,[8]월별!$E$2:$S$67,42,),)</f>
        <v>1007624.1816933632</v>
      </c>
      <c r="AB38" s="74">
        <f>+IFERROR(HLOOKUP(AB$36,[8]월별!$E$2:$S$67,42,),)</f>
        <v>964243.14311560732</v>
      </c>
      <c r="AC38" s="74">
        <f>+IFERROR(HLOOKUP(AC$36,[8]월별!$E$2:$S$67,42,),)</f>
        <v>985246.58044154115</v>
      </c>
      <c r="AD38" s="74">
        <f>+IFERROR(HLOOKUP(AD$36,[8]월별!$E$2:$S$67,42,),)</f>
        <v>951341.4287927025</v>
      </c>
      <c r="AE38" s="74">
        <f>+IFERROR(HLOOKUP(AE$36,[7]월별!$E$2:$S$67,42,),)</f>
        <v>920730.85338998202</v>
      </c>
      <c r="AF38" s="74">
        <f>+IFERROR(HLOOKUP(AF$36,[7]월별!$E$2:$S$67,42,),)</f>
        <v>886130.8859870329</v>
      </c>
      <c r="AG38" s="74">
        <f>+IFERROR(HLOOKUP(AG$36,[7]월별!$E$2:$S$67,42,),)</f>
        <v>873530.5235919673</v>
      </c>
    </row>
    <row r="39" spans="4:33" ht="21.95" customHeight="1" x14ac:dyDescent="0.3">
      <c r="R39" s="202" t="s">
        <v>128</v>
      </c>
      <c r="S39" s="203">
        <f>+IFERROR(HLOOKUP(S$36,[8]월별!$E$2:$S$67,43,),)</f>
        <v>1.9263299607757241E-2</v>
      </c>
      <c r="T39" s="203">
        <f>+IFERROR(HLOOKUP(T$36,[8]월별!$E$2:$S$67,43,),)</f>
        <v>2.0328430506478493E-2</v>
      </c>
      <c r="U39" s="203">
        <f>+IFERROR(HLOOKUP(U$36,[8]월별!$E$2:$S$67,43,),)</f>
        <v>1.815970186077798E-2</v>
      </c>
      <c r="V39" s="203">
        <f>+IFERROR(HLOOKUP(V$36,[8]월별!$E$2:$S$67,43,),)</f>
        <v>2.0783119934692784E-2</v>
      </c>
      <c r="W39" s="203">
        <f>+IFERROR(HLOOKUP(W$36,[8]월별!$E$2:$S$67,43,),)</f>
        <v>1.8530156032889104E-2</v>
      </c>
      <c r="X39" s="203">
        <f>+IFERROR(HLOOKUP(X$36,[8]월별!$E$2:$S$67,43,),)</f>
        <v>2.338088905753952E-2</v>
      </c>
      <c r="Y39" s="203">
        <f>+IFERROR(HLOOKUP(Y$36,[8]월별!$E$2:$S$67,43,),)</f>
        <v>2.4066421287530761E-2</v>
      </c>
      <c r="Z39" s="203">
        <f>+IFERROR(HLOOKUP(Z$36,[8]월별!$E$2:$S$67,43,),)</f>
        <v>2.751551238666371E-2</v>
      </c>
      <c r="AA39" s="203">
        <f>+IFERROR(HLOOKUP(AA$36,[8]월별!$E$2:$S$67,43,),)</f>
        <v>1.6738202604907604E-2</v>
      </c>
      <c r="AB39" s="203">
        <f>+IFERROR(HLOOKUP(AB$36,[8]월별!$E$2:$S$67,43,),)</f>
        <v>1.8118540365804674E-2</v>
      </c>
      <c r="AC39" s="203">
        <f>+IFERROR(HLOOKUP(AC$36,[8]월별!$E$2:$S$67,43,),)</f>
        <v>1.7419708473984639E-2</v>
      </c>
      <c r="AD39" s="203">
        <f>+IFERROR(HLOOKUP(AD$36,[8]월별!$E$2:$S$67,43,),)</f>
        <v>2.0746012557623313E-2</v>
      </c>
      <c r="AE39" s="203">
        <f>+IFERROR(HLOOKUP(AE$36,[8]월별!$E$2:$S$67,43,),)</f>
        <v>1.9263299607757241E-2</v>
      </c>
      <c r="AF39" s="203">
        <f>+IFERROR(HLOOKUP(AF$36,[8]월별!$E$2:$S$67,43,),)</f>
        <v>2.0328430506478493E-2</v>
      </c>
      <c r="AG39" s="203">
        <f>+IFERROR(HLOOKUP(AG$36,[8]월별!$E$2:$S$67,43,),)</f>
        <v>1.815970186077798E-2</v>
      </c>
    </row>
    <row r="40" spans="4:33" ht="21.95" customHeight="1" x14ac:dyDescent="0.3"/>
    <row r="41" spans="4:33" ht="21.95" customHeight="1" x14ac:dyDescent="0.3"/>
    <row r="42" spans="4:33" ht="21.95" customHeight="1" x14ac:dyDescent="0.3"/>
    <row r="43" spans="4:33" ht="21.95" customHeight="1" x14ac:dyDescent="0.3"/>
    <row r="44" spans="4:33" ht="21.95" customHeight="1" x14ac:dyDescent="0.3"/>
    <row r="45" spans="4:33" ht="21.95" customHeight="1" x14ac:dyDescent="0.3"/>
    <row r="46" spans="4:33" ht="21.95" customHeight="1" x14ac:dyDescent="0.3"/>
    <row r="47" spans="4:33" ht="21.95" customHeight="1" x14ac:dyDescent="0.3"/>
    <row r="48" spans="4:33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</sheetData>
  <mergeCells count="4">
    <mergeCell ref="D8:E9"/>
    <mergeCell ref="D29:E34"/>
    <mergeCell ref="K8:O8"/>
    <mergeCell ref="F8:J8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7A83-1708-4984-987D-736EDAE7F598}">
  <sheetPr>
    <tabColor theme="0" tint="-0.249977111117893"/>
    <pageSetUpPr fitToPage="1"/>
  </sheetPr>
  <dimension ref="A1:AG53"/>
  <sheetViews>
    <sheetView showGridLines="0" showZeros="0" view="pageBreakPreview" zoomScale="60" zoomScaleNormal="85" workbookViewId="0">
      <pane xSplit="6" ySplit="7" topLeftCell="G8" activePane="bottomRight" state="frozen"/>
      <selection activeCell="N19" sqref="N19"/>
      <selection pane="topRight" activeCell="N19" sqref="N19"/>
      <selection pane="bottomLeft" activeCell="N19" sqref="N19"/>
      <selection pane="bottomRight" activeCell="N19" sqref="N19"/>
    </sheetView>
  </sheetViews>
  <sheetFormatPr defaultRowHeight="16.5" x14ac:dyDescent="0.3"/>
  <cols>
    <col min="1" max="3" width="5.625" style="6" customWidth="1"/>
    <col min="4" max="4" width="3.125" style="6" customWidth="1"/>
    <col min="5" max="6" width="8.625" style="6" customWidth="1"/>
    <col min="7" max="30" width="10.625" style="6" customWidth="1"/>
    <col min="31" max="31" width="9" style="6"/>
    <col min="32" max="33" width="14.25" style="6" customWidth="1"/>
    <col min="34" max="16384" width="9" style="6"/>
  </cols>
  <sheetData>
    <row r="1" spans="1:33" ht="22.5" customHeight="1" x14ac:dyDescent="0.3">
      <c r="A1" s="423" t="s">
        <v>213</v>
      </c>
    </row>
    <row r="2" spans="1:33" ht="9.75" customHeight="1" x14ac:dyDescent="0.3"/>
    <row r="3" spans="1:33" ht="9.9499999999999993" customHeight="1" x14ac:dyDescent="0.3"/>
    <row r="4" spans="1:33" ht="31.5" x14ac:dyDescent="0.3">
      <c r="D4" s="184" t="s">
        <v>223</v>
      </c>
      <c r="F4" s="184"/>
      <c r="I4" s="184"/>
    </row>
    <row r="5" spans="1:33" ht="21.95" customHeight="1" thickBot="1" x14ac:dyDescent="0.35">
      <c r="J5" s="76"/>
      <c r="Y5" s="76"/>
      <c r="AB5" s="76"/>
      <c r="AD5" s="186" t="s">
        <v>167</v>
      </c>
    </row>
    <row r="6" spans="1:33" ht="24" customHeight="1" thickTop="1" x14ac:dyDescent="0.3">
      <c r="D6" s="296" t="s">
        <v>15</v>
      </c>
      <c r="E6" s="840" t="s">
        <v>11</v>
      </c>
      <c r="F6" s="841"/>
      <c r="G6" s="294" t="s">
        <v>140</v>
      </c>
      <c r="H6" s="293"/>
      <c r="I6" s="293"/>
      <c r="J6" s="293" t="s">
        <v>139</v>
      </c>
      <c r="K6" s="293"/>
      <c r="L6" s="295"/>
      <c r="M6" s="389" t="s">
        <v>138</v>
      </c>
      <c r="N6" s="390"/>
      <c r="O6" s="391"/>
      <c r="P6" s="294" t="s">
        <v>186</v>
      </c>
      <c r="Q6" s="293"/>
      <c r="R6" s="293"/>
      <c r="S6" s="293" t="s">
        <v>187</v>
      </c>
      <c r="T6" s="293"/>
      <c r="U6" s="295"/>
      <c r="V6" s="389" t="s">
        <v>188</v>
      </c>
      <c r="W6" s="390"/>
      <c r="X6" s="391"/>
      <c r="Y6" s="388" t="s">
        <v>137</v>
      </c>
      <c r="Z6" s="293"/>
      <c r="AA6" s="295"/>
      <c r="AB6" s="389" t="s">
        <v>136</v>
      </c>
      <c r="AC6" s="390"/>
      <c r="AD6" s="391"/>
    </row>
    <row r="7" spans="1:33" ht="24" customHeight="1" x14ac:dyDescent="0.3">
      <c r="D7" s="292"/>
      <c r="E7" s="842"/>
      <c r="F7" s="843"/>
      <c r="G7" s="288" t="s">
        <v>12</v>
      </c>
      <c r="H7" s="374" t="s">
        <v>13</v>
      </c>
      <c r="I7" s="291" t="s">
        <v>36</v>
      </c>
      <c r="J7" s="290" t="s">
        <v>15</v>
      </c>
      <c r="K7" s="374" t="s">
        <v>16</v>
      </c>
      <c r="L7" s="289" t="s">
        <v>36</v>
      </c>
      <c r="M7" s="392" t="s">
        <v>15</v>
      </c>
      <c r="N7" s="374" t="s">
        <v>16</v>
      </c>
      <c r="O7" s="393" t="s">
        <v>36</v>
      </c>
      <c r="P7" s="288" t="s">
        <v>12</v>
      </c>
      <c r="Q7" s="374" t="s">
        <v>13</v>
      </c>
      <c r="R7" s="291" t="s">
        <v>36</v>
      </c>
      <c r="S7" s="290" t="s">
        <v>15</v>
      </c>
      <c r="T7" s="374" t="s">
        <v>16</v>
      </c>
      <c r="U7" s="289" t="s">
        <v>36</v>
      </c>
      <c r="V7" s="392" t="s">
        <v>15</v>
      </c>
      <c r="W7" s="374" t="s">
        <v>16</v>
      </c>
      <c r="X7" s="393" t="s">
        <v>36</v>
      </c>
      <c r="Y7" s="289" t="s">
        <v>15</v>
      </c>
      <c r="Z7" s="374" t="s">
        <v>16</v>
      </c>
      <c r="AA7" s="289" t="s">
        <v>36</v>
      </c>
      <c r="AB7" s="392" t="s">
        <v>15</v>
      </c>
      <c r="AC7" s="374" t="s">
        <v>16</v>
      </c>
      <c r="AD7" s="393" t="s">
        <v>36</v>
      </c>
    </row>
    <row r="8" spans="1:33" ht="24" customHeight="1" x14ac:dyDescent="0.3">
      <c r="D8" s="77"/>
      <c r="E8" s="265" t="s">
        <v>110</v>
      </c>
      <c r="F8" s="264" t="s">
        <v>132</v>
      </c>
      <c r="G8" s="260">
        <f>+IFERROR(HLOOKUP($A$1,[14]손익요약!$G$5:$AL$106,3,),)</f>
        <v>0</v>
      </c>
      <c r="H8" s="375">
        <f>+'[9]서부산크라샤(당월)'!$F$66</f>
        <v>14548</v>
      </c>
      <c r="I8" s="263">
        <f>H8-G8</f>
        <v>14548</v>
      </c>
      <c r="J8" s="262">
        <f>+IFERROR(HLOOKUP($A$1,[14]손익요약!$G$5:$AL$106,6,),)</f>
        <v>0</v>
      </c>
      <c r="K8" s="375">
        <f>+'[9]서부산크라샤(당월)'!$I$66</f>
        <v>256</v>
      </c>
      <c r="L8" s="261">
        <f>K8-J8</f>
        <v>256</v>
      </c>
      <c r="M8" s="394">
        <f>+G8+J8</f>
        <v>0</v>
      </c>
      <c r="N8" s="375">
        <f>+H8+K8</f>
        <v>14804</v>
      </c>
      <c r="O8" s="395">
        <f>N8-M8</f>
        <v>14804</v>
      </c>
      <c r="P8" s="260">
        <f>+IFERROR(HLOOKUP($A$1,[15]손익요약!$G$5:$AL$106,3,),)</f>
        <v>10355.137027505783</v>
      </c>
      <c r="Q8" s="375">
        <f>+'[9]부산크라샤(당월)'!$F$66</f>
        <v>10278</v>
      </c>
      <c r="R8" s="263">
        <f>Q8-P8</f>
        <v>-77.137027505783408</v>
      </c>
      <c r="S8" s="262">
        <f>+IFERROR(HLOOKUP($A$1,[15]손익요약!$G$5:$AL$106,6,),)</f>
        <v>9415.1908075191022</v>
      </c>
      <c r="T8" s="375">
        <f>+'[9]부산크라샤(당월)'!$I$66</f>
        <v>14736</v>
      </c>
      <c r="U8" s="261">
        <f>T8-S8</f>
        <v>5320.8091924808978</v>
      </c>
      <c r="V8" s="394">
        <f>+P8+S8</f>
        <v>19770.327835024887</v>
      </c>
      <c r="W8" s="375">
        <f>+Q8+T8</f>
        <v>25014</v>
      </c>
      <c r="X8" s="395">
        <f>W8-V8</f>
        <v>5243.6721649751125</v>
      </c>
      <c r="Y8" s="261">
        <f>+IFERROR(HLOOKUP($A$1,[16]손익계획!$G$5:$AX$449,3,),)</f>
        <v>8876.6974313291757</v>
      </c>
      <c r="Z8" s="375">
        <f>+'[9]부산모래장(당월)'!$R$48</f>
        <v>9832</v>
      </c>
      <c r="AA8" s="261">
        <f>Z8-Y8</f>
        <v>955.30256867082426</v>
      </c>
      <c r="AB8" s="394">
        <f>+M8+V8+Y8</f>
        <v>28647.025266354063</v>
      </c>
      <c r="AC8" s="375">
        <f>+N8+W8+Z8</f>
        <v>49650</v>
      </c>
      <c r="AD8" s="395">
        <f>AC8-AB8</f>
        <v>21002.974733645937</v>
      </c>
    </row>
    <row r="9" spans="1:33" ht="24" customHeight="1" x14ac:dyDescent="0.3">
      <c r="D9" s="77"/>
      <c r="E9" s="282"/>
      <c r="F9" s="287" t="s">
        <v>10</v>
      </c>
      <c r="G9" s="283" t="e">
        <f>+G8/G$12</f>
        <v>#DIV/0!</v>
      </c>
      <c r="H9" s="376">
        <f>+H8/H$12</f>
        <v>0.75315800372747976</v>
      </c>
      <c r="I9" s="286" t="e">
        <f>+H9-G9</f>
        <v>#DIV/0!</v>
      </c>
      <c r="J9" s="285" t="e">
        <f>+J8/J$12</f>
        <v>#DIV/0!</v>
      </c>
      <c r="K9" s="376">
        <f>+K8/K$12</f>
        <v>0.11428571428571428</v>
      </c>
      <c r="L9" s="284" t="e">
        <f>+K9-J9</f>
        <v>#DIV/0!</v>
      </c>
      <c r="M9" s="396" t="e">
        <f>+M8/M$12</f>
        <v>#DIV/0!</v>
      </c>
      <c r="N9" s="376">
        <f>+N8/N$12</f>
        <v>0.68676934496195952</v>
      </c>
      <c r="O9" s="397" t="e">
        <f>+N9-M9</f>
        <v>#DIV/0!</v>
      </c>
      <c r="P9" s="283">
        <f>+P8/P$12</f>
        <v>0.63314278627508258</v>
      </c>
      <c r="Q9" s="376">
        <f>+Q8/Q$12</f>
        <v>0.56231535178903602</v>
      </c>
      <c r="R9" s="286">
        <f>+Q9-P9</f>
        <v>-7.0827434486046559E-2</v>
      </c>
      <c r="S9" s="285">
        <f>+S8/S$12</f>
        <v>0.37045524776204364</v>
      </c>
      <c r="T9" s="376">
        <f>+T8/T$12</f>
        <v>0.5938104448742747</v>
      </c>
      <c r="U9" s="284">
        <f>+T9-S9</f>
        <v>0.22335519711223106</v>
      </c>
      <c r="V9" s="396">
        <f>+V8/V$12</f>
        <v>0.47331033438639297</v>
      </c>
      <c r="W9" s="376">
        <f>+W8/W$12</f>
        <v>0.58045203508609089</v>
      </c>
      <c r="X9" s="397">
        <f>+W9-V9</f>
        <v>0.10714170069969792</v>
      </c>
      <c r="Y9" s="284">
        <f>+Y8/Y$12</f>
        <v>0.59668467899572497</v>
      </c>
      <c r="Z9" s="376">
        <f>+Z8/Z$12</f>
        <v>0.4848604398855903</v>
      </c>
      <c r="AA9" s="284">
        <f>+Z9-Y9</f>
        <v>-0.11182423911013467</v>
      </c>
      <c r="AB9" s="396">
        <f>+AB8/AB$12</f>
        <v>0.5057110259833747</v>
      </c>
      <c r="AC9" s="376">
        <f>+AC8/AC$12</f>
        <v>0.58461284853051998</v>
      </c>
      <c r="AD9" s="397">
        <f>+AC9-AB9</f>
        <v>7.8901822547145284E-2</v>
      </c>
    </row>
    <row r="10" spans="1:33" ht="24" customHeight="1" x14ac:dyDescent="0.3">
      <c r="D10" s="258"/>
      <c r="E10" s="282"/>
      <c r="F10" s="281" t="s">
        <v>135</v>
      </c>
      <c r="G10" s="277">
        <f>+IFERROR(HLOOKUP($A$1,[14]손익요약!$G$5:$AL$106,2,),)</f>
        <v>0</v>
      </c>
      <c r="H10" s="377">
        <f>+'[9]서부산크라샤(당월)'!$F$59</f>
        <v>4768</v>
      </c>
      <c r="I10" s="280">
        <f>H10-G10</f>
        <v>4768</v>
      </c>
      <c r="J10" s="279">
        <f>+IFERROR(HLOOKUP($A$1,[14]손익요약!$G$5:$AL$106,5,),)</f>
        <v>0</v>
      </c>
      <c r="K10" s="377">
        <f>+'[9]서부산크라샤(당월)'!$I$59</f>
        <v>1984</v>
      </c>
      <c r="L10" s="278">
        <f>K10-J10</f>
        <v>1984</v>
      </c>
      <c r="M10" s="398">
        <f>+G10+J10</f>
        <v>0</v>
      </c>
      <c r="N10" s="377">
        <f>+H10+K10</f>
        <v>6752</v>
      </c>
      <c r="O10" s="399">
        <f>N10-M10</f>
        <v>6752</v>
      </c>
      <c r="P10" s="277">
        <f>+IFERROR(HLOOKUP($A$1,[15]손익요약!$G$5:$AL$106,2,),)</f>
        <v>6000</v>
      </c>
      <c r="Q10" s="377">
        <f>+'[9]부산크라샤(당월)'!$F$59</f>
        <v>8000</v>
      </c>
      <c r="R10" s="280">
        <f>Q10-P10</f>
        <v>2000</v>
      </c>
      <c r="S10" s="279">
        <f>+IFERROR(HLOOKUP($A$1,[15]손익요약!$G$5:$AL$106,5,),)</f>
        <v>16000</v>
      </c>
      <c r="T10" s="377">
        <f>+'[9]부산크라샤(당월)'!$I$59</f>
        <v>10080</v>
      </c>
      <c r="U10" s="278">
        <f>T10-S10</f>
        <v>-5920</v>
      </c>
      <c r="V10" s="398">
        <f>+P10+S10</f>
        <v>22000</v>
      </c>
      <c r="W10" s="377">
        <f>+Q10+T10</f>
        <v>18080</v>
      </c>
      <c r="X10" s="399">
        <f>W10-V10</f>
        <v>-3920</v>
      </c>
      <c r="Y10" s="278">
        <f>+IFERROR(HLOOKUP($A$1,[16]손익계획!$G$5:$AX$449,2,),)</f>
        <v>6000</v>
      </c>
      <c r="Z10" s="377">
        <f>+'[9]부산모래장(당월)'!$R$47</f>
        <v>10446</v>
      </c>
      <c r="AA10" s="278">
        <f>Z10-Y10</f>
        <v>4446</v>
      </c>
      <c r="AB10" s="398">
        <f>+M10+V10+Y10</f>
        <v>28000</v>
      </c>
      <c r="AC10" s="377">
        <f>+N10+W10+Z10</f>
        <v>35278</v>
      </c>
      <c r="AD10" s="399">
        <f>AC10-AB10</f>
        <v>7278</v>
      </c>
    </row>
    <row r="11" spans="1:33" ht="24" customHeight="1" x14ac:dyDescent="0.3">
      <c r="D11" s="258"/>
      <c r="E11" s="259"/>
      <c r="F11" s="276" t="s">
        <v>10</v>
      </c>
      <c r="G11" s="272" t="e">
        <f>+G10/G$12</f>
        <v>#DIV/0!</v>
      </c>
      <c r="H11" s="378">
        <f>+H10/H$12</f>
        <v>0.24684199627252018</v>
      </c>
      <c r="I11" s="275" t="e">
        <f>+H11-G11</f>
        <v>#DIV/0!</v>
      </c>
      <c r="J11" s="274" t="e">
        <f>+J10/J$12</f>
        <v>#DIV/0!</v>
      </c>
      <c r="K11" s="378">
        <f>+K10/K$12</f>
        <v>0.88571428571428568</v>
      </c>
      <c r="L11" s="273" t="e">
        <f>+K11-J11</f>
        <v>#DIV/0!</v>
      </c>
      <c r="M11" s="400" t="e">
        <f>+M10/M$12</f>
        <v>#DIV/0!</v>
      </c>
      <c r="N11" s="378">
        <f>+N10/N$12</f>
        <v>0.31323065503804043</v>
      </c>
      <c r="O11" s="401" t="e">
        <f>+N11-M11</f>
        <v>#DIV/0!</v>
      </c>
      <c r="P11" s="272">
        <f>+P10/P$12</f>
        <v>0.36685721372491742</v>
      </c>
      <c r="Q11" s="378">
        <f>+Q10/Q$12</f>
        <v>0.43768464821096398</v>
      </c>
      <c r="R11" s="275">
        <f>+Q11-P11</f>
        <v>7.0827434486046559E-2</v>
      </c>
      <c r="S11" s="274">
        <f>+S10/S$12</f>
        <v>0.62954475223795636</v>
      </c>
      <c r="T11" s="378">
        <f>+T10/T$12</f>
        <v>0.40618955512572535</v>
      </c>
      <c r="U11" s="273">
        <f>+T11-S11</f>
        <v>-0.22335519711223101</v>
      </c>
      <c r="V11" s="400">
        <f>+V10/V$12</f>
        <v>0.52668966561360708</v>
      </c>
      <c r="W11" s="378">
        <f>+W10/W$12</f>
        <v>0.41954796491390911</v>
      </c>
      <c r="X11" s="401">
        <f>+W11-V11</f>
        <v>-0.10714170069969797</v>
      </c>
      <c r="Y11" s="273">
        <f>+Y10/Y$12</f>
        <v>0.40331532100427503</v>
      </c>
      <c r="Z11" s="378">
        <f>+Z10/Z$12</f>
        <v>0.51513956011440976</v>
      </c>
      <c r="AA11" s="273">
        <f>+Z11-Y11</f>
        <v>0.11182423911013473</v>
      </c>
      <c r="AB11" s="400">
        <f>+AB10/AB$12</f>
        <v>0.4942889740166253</v>
      </c>
      <c r="AC11" s="378">
        <f>+AC10/AC$12</f>
        <v>0.41538715146948002</v>
      </c>
      <c r="AD11" s="401">
        <f>+AC11-AB11</f>
        <v>-7.8901822547145284E-2</v>
      </c>
    </row>
    <row r="12" spans="1:33" ht="24" customHeight="1" x14ac:dyDescent="0.3">
      <c r="D12" s="258"/>
      <c r="E12" s="271"/>
      <c r="F12" s="270" t="s">
        <v>43</v>
      </c>
      <c r="G12" s="266">
        <f>G8+G10</f>
        <v>0</v>
      </c>
      <c r="H12" s="379">
        <f>H8+H10</f>
        <v>19316</v>
      </c>
      <c r="I12" s="269">
        <f t="shared" ref="I12:I32" si="0">H12-G12</f>
        <v>19316</v>
      </c>
      <c r="J12" s="268">
        <f>J8+J10</f>
        <v>0</v>
      </c>
      <c r="K12" s="379">
        <f>K8+K10</f>
        <v>2240</v>
      </c>
      <c r="L12" s="267">
        <f t="shared" ref="L12:L32" si="1">K12-J12</f>
        <v>2240</v>
      </c>
      <c r="M12" s="402">
        <f>M8+M10</f>
        <v>0</v>
      </c>
      <c r="N12" s="379">
        <f>N8+N10</f>
        <v>21556</v>
      </c>
      <c r="O12" s="403">
        <f t="shared" ref="O12:O32" si="2">N12-M12</f>
        <v>21556</v>
      </c>
      <c r="P12" s="266">
        <f>P8+P10</f>
        <v>16355.137027505783</v>
      </c>
      <c r="Q12" s="379">
        <f>Q8+Q10</f>
        <v>18278</v>
      </c>
      <c r="R12" s="269">
        <f t="shared" ref="R12:R32" si="3">Q12-P12</f>
        <v>1922.8629724942166</v>
      </c>
      <c r="S12" s="268">
        <f>S8+S10</f>
        <v>25415.190807519102</v>
      </c>
      <c r="T12" s="379">
        <f>T8+T10</f>
        <v>24816</v>
      </c>
      <c r="U12" s="267">
        <f t="shared" ref="U12:U32" si="4">T12-S12</f>
        <v>-599.19080751910224</v>
      </c>
      <c r="V12" s="402">
        <f>V8+V10</f>
        <v>41770.327835024887</v>
      </c>
      <c r="W12" s="379">
        <f>W8+W10</f>
        <v>43094</v>
      </c>
      <c r="X12" s="403">
        <f t="shared" ref="X12:X32" si="5">W12-V12</f>
        <v>1323.6721649751125</v>
      </c>
      <c r="Y12" s="267">
        <f>Y8+Y10</f>
        <v>14876.697431329176</v>
      </c>
      <c r="Z12" s="379">
        <f>Z8+Z10</f>
        <v>20278</v>
      </c>
      <c r="AA12" s="267">
        <f t="shared" ref="AA12:AA32" si="6">Z12-Y12</f>
        <v>5401.3025686708243</v>
      </c>
      <c r="AB12" s="402">
        <f>AB8+AB10</f>
        <v>56647.02526635406</v>
      </c>
      <c r="AC12" s="379">
        <f>AC8+AC10</f>
        <v>84928</v>
      </c>
      <c r="AD12" s="403">
        <f t="shared" ref="AD12:AD32" si="7">AC12-AB12</f>
        <v>28280.97473364594</v>
      </c>
      <c r="AF12" s="6">
        <f>+'사업장별(당월)'!J32*1000</f>
        <v>56647.025266354067</v>
      </c>
      <c r="AG12" s="6">
        <f>+'사업장별(당월)'!K32*1000</f>
        <v>84928</v>
      </c>
    </row>
    <row r="13" spans="1:33" ht="24" customHeight="1" x14ac:dyDescent="0.3">
      <c r="D13" s="258"/>
      <c r="E13" s="265" t="s">
        <v>77</v>
      </c>
      <c r="F13" s="264" t="s">
        <v>132</v>
      </c>
      <c r="G13" s="260">
        <f>+IFERROR(HLOOKUP($A$1,[14]손익요약!$G$5:$AL$106,15,),)</f>
        <v>0</v>
      </c>
      <c r="H13" s="375">
        <f>+'[9]서부산크라샤(당월)'!$F$72</f>
        <v>237044</v>
      </c>
      <c r="I13" s="263">
        <f t="shared" si="0"/>
        <v>237044</v>
      </c>
      <c r="J13" s="262">
        <f>+IFERROR(HLOOKUP($A$1,[14]손익요약!$G$5:$AL$106,18,),)</f>
        <v>0</v>
      </c>
      <c r="K13" s="375">
        <f>+'[9]서부산크라샤(당월)'!$I$72</f>
        <v>2304</v>
      </c>
      <c r="L13" s="261">
        <f t="shared" si="1"/>
        <v>2304</v>
      </c>
      <c r="M13" s="394">
        <f>+G13+J13</f>
        <v>0</v>
      </c>
      <c r="N13" s="375">
        <f>+H13+K13</f>
        <v>239348</v>
      </c>
      <c r="O13" s="395">
        <f t="shared" si="2"/>
        <v>239348</v>
      </c>
      <c r="P13" s="260">
        <f>+IFERROR(HLOOKUP($A$1,[15]손익요약!$G$5:$AL$106,12,),)</f>
        <v>165682.19244009253</v>
      </c>
      <c r="Q13" s="375">
        <f>+'[9]부산크라샤(당월)'!$F$72</f>
        <v>179865</v>
      </c>
      <c r="R13" s="263">
        <f t="shared" si="3"/>
        <v>14182.807559907465</v>
      </c>
      <c r="S13" s="262">
        <f>+IFERROR(HLOOKUP($A$1,[15]손익요약!$G$5:$AL$106,15,),)</f>
        <v>207773.74986326191</v>
      </c>
      <c r="T13" s="375">
        <f>+'[9]부산크라샤(당월)'!$I$72</f>
        <v>321408</v>
      </c>
      <c r="U13" s="261">
        <f t="shared" si="4"/>
        <v>113634.25013673809</v>
      </c>
      <c r="V13" s="394">
        <f>+P13+S13</f>
        <v>373455.94230335444</v>
      </c>
      <c r="W13" s="375">
        <f>+Q13+T13</f>
        <v>501273</v>
      </c>
      <c r="X13" s="395">
        <f t="shared" si="5"/>
        <v>127817.05769664556</v>
      </c>
      <c r="Y13" s="261">
        <f>+IFERROR(HLOOKUP($A$1,[16]손익계획!$G$5:$AX$449,6,),)</f>
        <v>312361.52710826986</v>
      </c>
      <c r="Z13" s="375">
        <f>+'[9]부산모래장(당월)'!$R$54</f>
        <v>316969.67200000002</v>
      </c>
      <c r="AA13" s="261">
        <f t="shared" si="6"/>
        <v>4608.1448917301605</v>
      </c>
      <c r="AB13" s="394">
        <f>+M13+V13+Y13</f>
        <v>685817.46941162436</v>
      </c>
      <c r="AC13" s="375">
        <f>+N13+W13+Z13</f>
        <v>1057590.672</v>
      </c>
      <c r="AD13" s="395">
        <f t="shared" si="7"/>
        <v>371773.20258837566</v>
      </c>
      <c r="AF13" s="6" t="b">
        <f>+AF12=AB12</f>
        <v>1</v>
      </c>
      <c r="AG13" s="6" t="b">
        <f>+AG12=AC12</f>
        <v>1</v>
      </c>
    </row>
    <row r="14" spans="1:33" ht="24" customHeight="1" x14ac:dyDescent="0.3">
      <c r="D14" s="258"/>
      <c r="E14" s="259"/>
      <c r="F14" s="257" t="s">
        <v>131</v>
      </c>
      <c r="G14" s="253" t="e">
        <f>+G13/G8*1000</f>
        <v>#DIV/0!</v>
      </c>
      <c r="H14" s="380">
        <f>+H13/H8*1000</f>
        <v>16293.923563376409</v>
      </c>
      <c r="I14" s="256" t="e">
        <f t="shared" si="0"/>
        <v>#DIV/0!</v>
      </c>
      <c r="J14" s="255" t="e">
        <f>+J13/J8*1000</f>
        <v>#DIV/0!</v>
      </c>
      <c r="K14" s="380">
        <f>+K13/K8*1000</f>
        <v>9000</v>
      </c>
      <c r="L14" s="254" t="e">
        <f t="shared" si="1"/>
        <v>#DIV/0!</v>
      </c>
      <c r="M14" s="404" t="e">
        <f>+M13/M8*1000</f>
        <v>#DIV/0!</v>
      </c>
      <c r="N14" s="380">
        <f>+N13/N8*1000</f>
        <v>16167.792488516618</v>
      </c>
      <c r="O14" s="405" t="e">
        <f t="shared" si="2"/>
        <v>#DIV/0!</v>
      </c>
      <c r="P14" s="253">
        <f>+P13/P8*1000</f>
        <v>16000</v>
      </c>
      <c r="Q14" s="380">
        <f>+Q13/Q8*1000</f>
        <v>17500</v>
      </c>
      <c r="R14" s="256">
        <f t="shared" si="3"/>
        <v>1500</v>
      </c>
      <c r="S14" s="255">
        <f>+S13/S8*1000</f>
        <v>22067.927683136375</v>
      </c>
      <c r="T14" s="380">
        <f>+T13/T8*1000</f>
        <v>21811.074918566774</v>
      </c>
      <c r="U14" s="254">
        <f t="shared" si="4"/>
        <v>-256.85276456960128</v>
      </c>
      <c r="V14" s="404">
        <f>+V13/V8*1000</f>
        <v>18889.719250974897</v>
      </c>
      <c r="W14" s="380">
        <f>+W13/W8*1000</f>
        <v>20039.697769249218</v>
      </c>
      <c r="X14" s="405">
        <f t="shared" si="5"/>
        <v>1149.9785182743217</v>
      </c>
      <c r="Y14" s="254">
        <f>+Y13/Y8*1000</f>
        <v>35188.93479525725</v>
      </c>
      <c r="Z14" s="380">
        <f>+Z13/Z8*1000</f>
        <v>32238.575264442639</v>
      </c>
      <c r="AA14" s="254">
        <f t="shared" si="6"/>
        <v>-2950.3595308146105</v>
      </c>
      <c r="AB14" s="404">
        <f>+AB13/AB8*1000</f>
        <v>23940.268248973029</v>
      </c>
      <c r="AC14" s="380">
        <f>+AC13/AC8*1000</f>
        <v>21300.91987915408</v>
      </c>
      <c r="AD14" s="405">
        <f t="shared" si="7"/>
        <v>-2639.3483698189484</v>
      </c>
    </row>
    <row r="15" spans="1:33" ht="24" customHeight="1" x14ac:dyDescent="0.3">
      <c r="D15" s="258"/>
      <c r="E15" s="663"/>
      <c r="F15" s="224" t="s">
        <v>135</v>
      </c>
      <c r="G15" s="248">
        <f>+IFERROR(HLOOKUP($A$1,[14]손익요약!$G$5:$AL$106,14,),)</f>
        <v>0</v>
      </c>
      <c r="H15" s="381">
        <f>+'[9]서부산크라샤(당월)'!$F$71</f>
        <v>54832</v>
      </c>
      <c r="I15" s="251">
        <f t="shared" si="0"/>
        <v>54832</v>
      </c>
      <c r="J15" s="250">
        <f>+IFERROR(HLOOKUP($A$1,[14]손익요약!$G$5:$AL$106,17,),)</f>
        <v>0</v>
      </c>
      <c r="K15" s="381">
        <f>+'[9]서부산크라샤(당월)'!$I$71</f>
        <v>15904</v>
      </c>
      <c r="L15" s="249">
        <f t="shared" si="1"/>
        <v>15904</v>
      </c>
      <c r="M15" s="406">
        <f>+G15+J15</f>
        <v>0</v>
      </c>
      <c r="N15" s="381">
        <f>+H15+K15</f>
        <v>70736</v>
      </c>
      <c r="O15" s="407">
        <f t="shared" si="2"/>
        <v>70736</v>
      </c>
      <c r="P15" s="248">
        <f>+IFERROR(HLOOKUP($A$1,[15]손익요약!$G$5:$AL$106,11,),)</f>
        <v>72000</v>
      </c>
      <c r="Q15" s="381">
        <f>+'[9]부산크라샤(당월)'!$F$71</f>
        <v>104000</v>
      </c>
      <c r="R15" s="251">
        <f t="shared" si="3"/>
        <v>32000</v>
      </c>
      <c r="S15" s="250">
        <f>+IFERROR(HLOOKUP($A$1,[15]손익요약!$G$5:$AL$106,14,),)</f>
        <v>304000</v>
      </c>
      <c r="T15" s="381">
        <f>+'[9]부산크라샤(당월)'!$I$71</f>
        <v>182496</v>
      </c>
      <c r="U15" s="249">
        <f t="shared" si="4"/>
        <v>-121504</v>
      </c>
      <c r="V15" s="406">
        <f>+P15+S15</f>
        <v>376000</v>
      </c>
      <c r="W15" s="381">
        <f>+Q15+T15</f>
        <v>286496</v>
      </c>
      <c r="X15" s="407">
        <f t="shared" si="5"/>
        <v>-89504</v>
      </c>
      <c r="Y15" s="249">
        <f>+IFERROR(HLOOKUP($A$1,[16]손익계획!$G$5:$AX$449,5,),)</f>
        <v>210000</v>
      </c>
      <c r="Z15" s="381">
        <f>+'[9]부산모래장(당월)'!$R$53</f>
        <v>350180</v>
      </c>
      <c r="AA15" s="249">
        <f t="shared" si="6"/>
        <v>140180</v>
      </c>
      <c r="AB15" s="406">
        <f>+M15+V15+Y15</f>
        <v>586000</v>
      </c>
      <c r="AC15" s="381">
        <f>+N15+W15+Z15</f>
        <v>707412</v>
      </c>
      <c r="AD15" s="407">
        <f t="shared" si="7"/>
        <v>121412</v>
      </c>
    </row>
    <row r="16" spans="1:33" ht="24" customHeight="1" x14ac:dyDescent="0.3">
      <c r="D16" s="76"/>
      <c r="E16" s="663"/>
      <c r="F16" s="257" t="s">
        <v>131</v>
      </c>
      <c r="G16" s="253">
        <f>IFERROR(G15/G10,)*1000</f>
        <v>0</v>
      </c>
      <c r="H16" s="380">
        <f>IFERROR(H15/H10,)*1000</f>
        <v>11500</v>
      </c>
      <c r="I16" s="256">
        <f t="shared" si="0"/>
        <v>11500</v>
      </c>
      <c r="J16" s="255">
        <f>IFERROR(J15/J10,)*1000</f>
        <v>0</v>
      </c>
      <c r="K16" s="380">
        <f>IFERROR(K15/K10,)*1000</f>
        <v>8016.1290322580644</v>
      </c>
      <c r="L16" s="254">
        <f t="shared" si="1"/>
        <v>8016.1290322580644</v>
      </c>
      <c r="M16" s="404">
        <f>IFERROR(M15/M10,)*1000</f>
        <v>0</v>
      </c>
      <c r="N16" s="380">
        <f>IFERROR(N15/N10,)*1000</f>
        <v>10476.303317535545</v>
      </c>
      <c r="O16" s="405">
        <f t="shared" si="2"/>
        <v>10476.303317535545</v>
      </c>
      <c r="P16" s="253">
        <f>IFERROR(P15/P10,)*1000</f>
        <v>12000</v>
      </c>
      <c r="Q16" s="380">
        <f>IFERROR(Q15/Q10,)*1000</f>
        <v>13000</v>
      </c>
      <c r="R16" s="256">
        <f t="shared" si="3"/>
        <v>1000</v>
      </c>
      <c r="S16" s="255">
        <f>IFERROR(S15/S10,)*1000</f>
        <v>19000</v>
      </c>
      <c r="T16" s="380">
        <f>IFERROR(T15/T10,)*1000</f>
        <v>18104.761904761905</v>
      </c>
      <c r="U16" s="254">
        <f t="shared" si="4"/>
        <v>-895.23809523809541</v>
      </c>
      <c r="V16" s="404">
        <f>IFERROR(V15/V10,)*1000</f>
        <v>17090.909090909088</v>
      </c>
      <c r="W16" s="380">
        <f>IFERROR(W15/W10,)*1000</f>
        <v>15846.017699115046</v>
      </c>
      <c r="X16" s="405">
        <f t="shared" si="5"/>
        <v>-1244.8913917940426</v>
      </c>
      <c r="Y16" s="254">
        <f>IFERROR(Y15/Y10,)*1000</f>
        <v>35000</v>
      </c>
      <c r="Z16" s="380">
        <f>IFERROR(Z15/Z10,)*1000</f>
        <v>33522.879571127705</v>
      </c>
      <c r="AA16" s="254">
        <f t="shared" si="6"/>
        <v>-1477.1204288722947</v>
      </c>
      <c r="AB16" s="404">
        <f>IFERROR(AB15/AB10,)*1000</f>
        <v>20928.571428571428</v>
      </c>
      <c r="AC16" s="380">
        <f>IFERROR(AC15/AC10,)*1000</f>
        <v>20052.497307103578</v>
      </c>
      <c r="AD16" s="405">
        <f t="shared" si="7"/>
        <v>-876.07412146784918</v>
      </c>
    </row>
    <row r="17" spans="4:33" ht="24" customHeight="1" x14ac:dyDescent="0.3">
      <c r="D17" s="76"/>
      <c r="E17" s="663"/>
      <c r="F17" s="252" t="s">
        <v>43</v>
      </c>
      <c r="G17" s="248">
        <f>G13+G15</f>
        <v>0</v>
      </c>
      <c r="H17" s="381">
        <f>H13+H15</f>
        <v>291876</v>
      </c>
      <c r="I17" s="251">
        <f t="shared" si="0"/>
        <v>291876</v>
      </c>
      <c r="J17" s="250">
        <f>J13+J15</f>
        <v>0</v>
      </c>
      <c r="K17" s="381">
        <f>K13+K15</f>
        <v>18208</v>
      </c>
      <c r="L17" s="249">
        <f t="shared" si="1"/>
        <v>18208</v>
      </c>
      <c r="M17" s="406">
        <f>M13+M15</f>
        <v>0</v>
      </c>
      <c r="N17" s="381">
        <f>N13+N15</f>
        <v>310084</v>
      </c>
      <c r="O17" s="407">
        <f t="shared" si="2"/>
        <v>310084</v>
      </c>
      <c r="P17" s="248">
        <f>P13+P15</f>
        <v>237682.19244009253</v>
      </c>
      <c r="Q17" s="381">
        <f>Q13+Q15</f>
        <v>283865</v>
      </c>
      <c r="R17" s="251">
        <f t="shared" si="3"/>
        <v>46182.807559907465</v>
      </c>
      <c r="S17" s="250">
        <f>S13+S15</f>
        <v>511773.74986326194</v>
      </c>
      <c r="T17" s="381">
        <f>T13+T15</f>
        <v>503904</v>
      </c>
      <c r="U17" s="249">
        <f t="shared" si="4"/>
        <v>-7869.749863261939</v>
      </c>
      <c r="V17" s="406">
        <f>V13+V15</f>
        <v>749455.94230335439</v>
      </c>
      <c r="W17" s="381">
        <f>W13+W15</f>
        <v>787769</v>
      </c>
      <c r="X17" s="407">
        <f t="shared" si="5"/>
        <v>38313.057696645614</v>
      </c>
      <c r="Y17" s="249">
        <f>Y13+Y15</f>
        <v>522361.52710826986</v>
      </c>
      <c r="Z17" s="381">
        <f>Z13+Z15</f>
        <v>667149.67200000002</v>
      </c>
      <c r="AA17" s="249">
        <f t="shared" si="6"/>
        <v>144788.14489173016</v>
      </c>
      <c r="AB17" s="406">
        <f>AB13+AB15</f>
        <v>1271817.4694116244</v>
      </c>
      <c r="AC17" s="381">
        <f>AC13+AC15</f>
        <v>1765002.672</v>
      </c>
      <c r="AD17" s="407">
        <f t="shared" si="7"/>
        <v>493185.20258837566</v>
      </c>
      <c r="AF17" s="6">
        <f>+'사업장별(당월)'!O32*1000</f>
        <v>1271817.4694116241</v>
      </c>
      <c r="AG17" s="6">
        <f>+'사업장별(당월)'!P32*1000</f>
        <v>1765002.672</v>
      </c>
    </row>
    <row r="18" spans="4:33" ht="24" customHeight="1" x14ac:dyDescent="0.3">
      <c r="D18" s="76"/>
      <c r="E18" s="247" t="s">
        <v>7</v>
      </c>
      <c r="F18" s="246" t="s">
        <v>134</v>
      </c>
      <c r="G18" s="785">
        <f>+IFERROR(HLOOKUP($A$1,[14]손익요약!$G$5:$AL$106,80,),)+[14]손익요약!$I$95</f>
        <v>-92380.352555555553</v>
      </c>
      <c r="H18" s="382">
        <f>+'[9]서부산크라샤(당월)'!$F$87</f>
        <v>46307.761666265345</v>
      </c>
      <c r="I18" s="233">
        <f t="shared" si="0"/>
        <v>138688.1142218209</v>
      </c>
      <c r="J18" s="232">
        <f>+IFERROR(HLOOKUP($A$1,[14]손익요약!$G$5:$AL$106,83,),)</f>
        <v>0</v>
      </c>
      <c r="K18" s="382">
        <f>+'[9]서부산크라샤(당월)'!$I$87</f>
        <v>886.89368268724502</v>
      </c>
      <c r="L18" s="231">
        <f t="shared" si="1"/>
        <v>886.89368268724502</v>
      </c>
      <c r="M18" s="408">
        <f>+G18+J18</f>
        <v>-92380.352555555553</v>
      </c>
      <c r="N18" s="382">
        <f>+H18+K18</f>
        <v>47194.65534895259</v>
      </c>
      <c r="O18" s="409">
        <f t="shared" si="2"/>
        <v>139575.00790450815</v>
      </c>
      <c r="P18" s="661">
        <f>+IFERROR(HLOOKUP($A$1,[15]손익요약!$G$5:$U$95,57,),)</f>
        <v>-10972.993519494838</v>
      </c>
      <c r="Q18" s="382">
        <f>+'[9]부산크라샤(당월)'!$F$87</f>
        <v>3995.3425691158818</v>
      </c>
      <c r="R18" s="233">
        <f t="shared" si="3"/>
        <v>14968.336088610718</v>
      </c>
      <c r="S18" s="232">
        <f>+IFERROR(HLOOKUP($A$1,[15]손익요약!$G$5:$AL$106,60,),)</f>
        <v>45589.854534581653</v>
      </c>
      <c r="T18" s="382">
        <f>+'[9]부산크라샤(당월)'!$I$87</f>
        <v>66817.204603973893</v>
      </c>
      <c r="U18" s="231">
        <f t="shared" si="4"/>
        <v>21227.35006939224</v>
      </c>
      <c r="V18" s="408">
        <f>+P18+S18</f>
        <v>34616.861015086819</v>
      </c>
      <c r="W18" s="382">
        <f>+Q18+T18</f>
        <v>70812.54717308977</v>
      </c>
      <c r="X18" s="409">
        <f t="shared" si="5"/>
        <v>36195.686158002951</v>
      </c>
      <c r="Y18" s="231">
        <f>+IFERROR(HLOOKUP($A$1,[16]손익계획!$G$5:$AX$449,25,),)</f>
        <v>15207.397938927104</v>
      </c>
      <c r="Z18" s="382">
        <f>+'[9]부산모래장(당월)'!$R$82</f>
        <v>32882.540999999997</v>
      </c>
      <c r="AA18" s="231">
        <f t="shared" si="6"/>
        <v>17675.143061072893</v>
      </c>
      <c r="AB18" s="408">
        <f t="shared" ref="AB18:AC19" si="8">+M18+V18+Y18</f>
        <v>-42556.09360154163</v>
      </c>
      <c r="AC18" s="382">
        <f t="shared" si="8"/>
        <v>150889.74352204235</v>
      </c>
      <c r="AD18" s="409">
        <f t="shared" si="7"/>
        <v>193445.83712358397</v>
      </c>
      <c r="AF18" s="6" t="b">
        <f>+AF17=AB17</f>
        <v>1</v>
      </c>
      <c r="AG18" s="6" t="b">
        <f>+AG17=AC17</f>
        <v>1</v>
      </c>
    </row>
    <row r="19" spans="4:33" ht="24" customHeight="1" x14ac:dyDescent="0.3">
      <c r="D19" s="76"/>
      <c r="E19" s="166"/>
      <c r="F19" s="245" t="s">
        <v>133</v>
      </c>
      <c r="G19" s="241">
        <f>+IFERROR(HLOOKUP($A$1,[14]손익요약!$G$5:$AL$106,79,),)</f>
        <v>0</v>
      </c>
      <c r="H19" s="383">
        <f>+'[9]서부산크라샤(당월)'!$F$86</f>
        <v>-6907.5181329223142</v>
      </c>
      <c r="I19" s="244">
        <f t="shared" si="0"/>
        <v>-6907.5181329223142</v>
      </c>
      <c r="J19" s="243">
        <f>+IFERROR(HLOOKUP($A$1,[14]손익요약!$G$5:$AL$106,82,),)</f>
        <v>0</v>
      </c>
      <c r="K19" s="383">
        <f>+'[9]서부산크라샤(당월)'!$I$86</f>
        <v>4987.4223263272324</v>
      </c>
      <c r="L19" s="242">
        <f t="shared" si="1"/>
        <v>4987.4223263272324</v>
      </c>
      <c r="M19" s="410">
        <f>+G19+J19</f>
        <v>0</v>
      </c>
      <c r="N19" s="383">
        <f>+H19+K19</f>
        <v>-1920.0958065950817</v>
      </c>
      <c r="O19" s="411">
        <f t="shared" si="2"/>
        <v>-1920.0958065950817</v>
      </c>
      <c r="P19" s="241">
        <f>+IFERROR(HLOOKUP($A$1,[15]손익요약!$G$5:$AL$106,56,),)</f>
        <v>-29701.031187369135</v>
      </c>
      <c r="Q19" s="383">
        <f>+'[9]부산크라샤(당월)'!$F$86</f>
        <v>-32055.563440283633</v>
      </c>
      <c r="R19" s="244">
        <f t="shared" si="3"/>
        <v>-2354.5322529144978</v>
      </c>
      <c r="S19" s="243">
        <f>+IFERROR(HLOOKUP($A$1,[15]손익요약!$G$5:$AL$106,59,),)</f>
        <v>29731.395754901132</v>
      </c>
      <c r="T19" s="383">
        <f>+'[9]부산크라샤(당월)'!$I$86</f>
        <v>9212.036437193834</v>
      </c>
      <c r="U19" s="242">
        <f t="shared" si="4"/>
        <v>-20519.359317707298</v>
      </c>
      <c r="V19" s="410">
        <f>+P19+S19</f>
        <v>30.364567531996727</v>
      </c>
      <c r="W19" s="383">
        <f>+Q19+T19</f>
        <v>-22843.527003089799</v>
      </c>
      <c r="X19" s="411">
        <f t="shared" si="5"/>
        <v>-22873.891570621796</v>
      </c>
      <c r="Y19" s="242">
        <f>+IFERROR(HLOOKUP($A$1,[16]손익계획!$G$5:$AX$449,24,),)</f>
        <v>8806.1140787983713</v>
      </c>
      <c r="Z19" s="383">
        <f>+'[9]부산모래장(당월)'!$I$81-'[9]부산모래장(당월)'!$R$82</f>
        <v>29741.474596628817</v>
      </c>
      <c r="AA19" s="242">
        <f t="shared" si="6"/>
        <v>20935.360517830446</v>
      </c>
      <c r="AB19" s="410">
        <f t="shared" si="8"/>
        <v>8836.4786463303681</v>
      </c>
      <c r="AC19" s="383">
        <f t="shared" si="8"/>
        <v>4977.8517869439384</v>
      </c>
      <c r="AD19" s="411">
        <f t="shared" si="7"/>
        <v>-3858.6268593864297</v>
      </c>
    </row>
    <row r="20" spans="4:33" ht="24" customHeight="1" x14ac:dyDescent="0.3">
      <c r="D20" s="76"/>
      <c r="E20" s="664"/>
      <c r="F20" s="240" t="s">
        <v>58</v>
      </c>
      <c r="G20" s="236">
        <f>G18+G19</f>
        <v>-92380.352555555553</v>
      </c>
      <c r="H20" s="384">
        <f>H18+H19</f>
        <v>39400.243533343033</v>
      </c>
      <c r="I20" s="239">
        <f t="shared" si="0"/>
        <v>131780.5960888986</v>
      </c>
      <c r="J20" s="238">
        <f>J18+J19</f>
        <v>0</v>
      </c>
      <c r="K20" s="384">
        <f>K18+K19</f>
        <v>5874.3160090144775</v>
      </c>
      <c r="L20" s="237">
        <f t="shared" si="1"/>
        <v>5874.3160090144775</v>
      </c>
      <c r="M20" s="412">
        <f>M18+M19</f>
        <v>-92380.352555555553</v>
      </c>
      <c r="N20" s="384">
        <f>N18+N19</f>
        <v>45274.559542357507</v>
      </c>
      <c r="O20" s="413">
        <f t="shared" si="2"/>
        <v>137654.91209791307</v>
      </c>
      <c r="P20" s="236">
        <f>P18+P19</f>
        <v>-40674.024706863973</v>
      </c>
      <c r="Q20" s="384">
        <f>Q18+Q19</f>
        <v>-28060.220871167752</v>
      </c>
      <c r="R20" s="239">
        <f t="shared" si="3"/>
        <v>12613.803835696221</v>
      </c>
      <c r="S20" s="238">
        <f>S18+S19</f>
        <v>75321.250289482792</v>
      </c>
      <c r="T20" s="384">
        <f>T18+T19</f>
        <v>76029.241041167727</v>
      </c>
      <c r="U20" s="237">
        <f t="shared" si="4"/>
        <v>707.99075168493437</v>
      </c>
      <c r="V20" s="412">
        <f>V18+V19</f>
        <v>34647.225582618819</v>
      </c>
      <c r="W20" s="384">
        <f>W18+W19</f>
        <v>47969.020169999974</v>
      </c>
      <c r="X20" s="413">
        <f t="shared" si="5"/>
        <v>13321.794587381155</v>
      </c>
      <c r="Y20" s="237">
        <f>Y18+Y19</f>
        <v>24013.512017725476</v>
      </c>
      <c r="Z20" s="384">
        <f>Z18+Z19</f>
        <v>62624.015596628815</v>
      </c>
      <c r="AA20" s="237">
        <f t="shared" si="6"/>
        <v>38610.503578903343</v>
      </c>
      <c r="AB20" s="412">
        <f>AB18+AB19</f>
        <v>-33719.614955211262</v>
      </c>
      <c r="AC20" s="384">
        <f>AC18+AC19</f>
        <v>155867.59530898629</v>
      </c>
      <c r="AD20" s="413">
        <f t="shared" si="7"/>
        <v>189587.21026419755</v>
      </c>
      <c r="AF20" s="6">
        <f>+'사업장별(당월)'!T32*1000</f>
        <v>-33719.614955211313</v>
      </c>
      <c r="AG20" s="6">
        <f>'사업장별(당월)'!U32*1000</f>
        <v>155867.59530898643</v>
      </c>
    </row>
    <row r="21" spans="4:33" ht="24" customHeight="1" x14ac:dyDescent="0.3">
      <c r="D21" s="76"/>
      <c r="E21" s="235" t="s">
        <v>132</v>
      </c>
      <c r="F21" s="234" t="s">
        <v>25</v>
      </c>
      <c r="G21" s="230">
        <f>+IFERROR(HLOOKUP($A$1,[14]손익!$G$5:$AB$252,3,),)</f>
        <v>0</v>
      </c>
      <c r="H21" s="382">
        <f>+'[9]서부산크라샤(당월)'!$F$60</f>
        <v>992</v>
      </c>
      <c r="I21" s="233">
        <f t="shared" si="0"/>
        <v>992</v>
      </c>
      <c r="J21" s="232">
        <f>+IFERROR(HLOOKUP($A$1,[14]손익!$G$5:$AB$252,12,),)</f>
        <v>0</v>
      </c>
      <c r="K21" s="382">
        <f>+'[9]서부산크라샤(당월)'!$I$60</f>
        <v>0</v>
      </c>
      <c r="L21" s="231">
        <f t="shared" si="1"/>
        <v>0</v>
      </c>
      <c r="M21" s="408">
        <f t="shared" ref="M21:N26" si="9">+G21+J21</f>
        <v>0</v>
      </c>
      <c r="N21" s="382">
        <f t="shared" si="9"/>
        <v>992</v>
      </c>
      <c r="O21" s="409">
        <f t="shared" si="2"/>
        <v>992</v>
      </c>
      <c r="P21" s="230">
        <f>+IFERROR(HLOOKUP($A$1,[15]손익!$G$5:$AB$252,3,),)</f>
        <v>10355.137027505783</v>
      </c>
      <c r="Q21" s="382">
        <f>+'[9]부산크라샤(당월)'!$F$60</f>
        <v>10278</v>
      </c>
      <c r="R21" s="233">
        <f t="shared" si="3"/>
        <v>-77.137027505783408</v>
      </c>
      <c r="S21" s="232">
        <f>+IFERROR(HLOOKUP($A$1,[15]손익!$G$5:$AB$252,12,),)</f>
        <v>7221.2811300997464</v>
      </c>
      <c r="T21" s="382">
        <f>+'[9]부산크라샤(당월)'!$I$60</f>
        <v>8000</v>
      </c>
      <c r="U21" s="231">
        <f t="shared" si="4"/>
        <v>778.71886990025359</v>
      </c>
      <c r="V21" s="408">
        <f t="shared" ref="V21:W26" si="10">+P21+S21</f>
        <v>17576.418157605531</v>
      </c>
      <c r="W21" s="382">
        <f t="shared" si="10"/>
        <v>18278</v>
      </c>
      <c r="X21" s="409">
        <f t="shared" si="5"/>
        <v>701.58184239446928</v>
      </c>
      <c r="Y21" s="231">
        <f>+IFERROR(HLOOKUP($A$1,[16]이송계획!$G$193:$U$216,16,),)</f>
        <v>4076.9771516088963</v>
      </c>
      <c r="Z21" s="382">
        <f>+'[9]부산모래장(당월)'!$R$64</f>
        <v>4600</v>
      </c>
      <c r="AA21" s="231">
        <f t="shared" si="6"/>
        <v>523.02284839110371</v>
      </c>
      <c r="AB21" s="408">
        <f t="shared" ref="AB21:AC26" si="11">+M21+V21+Y21</f>
        <v>21653.395309214426</v>
      </c>
      <c r="AC21" s="382">
        <f t="shared" si="11"/>
        <v>23870</v>
      </c>
      <c r="AD21" s="409">
        <f t="shared" si="7"/>
        <v>2216.6046907855743</v>
      </c>
      <c r="AF21" s="595" t="b">
        <f>+AF20=AB20</f>
        <v>1</v>
      </c>
      <c r="AG21" s="595" t="b">
        <f>+AG20=AC20</f>
        <v>1</v>
      </c>
    </row>
    <row r="22" spans="4:33" ht="24" customHeight="1" x14ac:dyDescent="0.3">
      <c r="D22" s="76"/>
      <c r="E22" s="166" t="s">
        <v>0</v>
      </c>
      <c r="F22" s="221" t="s">
        <v>26</v>
      </c>
      <c r="G22" s="226">
        <f>+IFERROR(HLOOKUP($A$1,[14]손익!$G$5:$AB$252,4,),)</f>
        <v>0</v>
      </c>
      <c r="H22" s="385">
        <f>+'[9]서부산크라샤(당월)'!$F$61</f>
        <v>12500</v>
      </c>
      <c r="I22" s="229">
        <f t="shared" si="0"/>
        <v>12500</v>
      </c>
      <c r="J22" s="228">
        <f>+IFERROR(HLOOKUP($A$1,[14]손익!$G$5:$AB$252,13,),)</f>
        <v>0</v>
      </c>
      <c r="K22" s="385">
        <f>+'[9]서부산크라샤(당월)'!$I$61</f>
        <v>0</v>
      </c>
      <c r="L22" s="227">
        <f t="shared" si="1"/>
        <v>0</v>
      </c>
      <c r="M22" s="414">
        <f t="shared" si="9"/>
        <v>0</v>
      </c>
      <c r="N22" s="385">
        <f t="shared" si="9"/>
        <v>12500</v>
      </c>
      <c r="O22" s="415">
        <f t="shared" si="2"/>
        <v>12500</v>
      </c>
      <c r="P22" s="226">
        <f>+IFERROR(HLOOKUP($A$1,[15]손익!$G$5:$AB$252,4,),)</f>
        <v>0</v>
      </c>
      <c r="Q22" s="385">
        <f>+'[9]부산크라샤(당월)'!$F$61</f>
        <v>0</v>
      </c>
      <c r="R22" s="229">
        <f t="shared" si="3"/>
        <v>0</v>
      </c>
      <c r="S22" s="228">
        <f>+IFERROR(HLOOKUP($A$1,[15]손익!$G$5:$AB$252,13,),)</f>
        <v>2193.9096774193549</v>
      </c>
      <c r="T22" s="385">
        <f>+'[9]부산크라샤(당월)'!$I$61</f>
        <v>5424</v>
      </c>
      <c r="U22" s="227">
        <f t="shared" si="4"/>
        <v>3230.0903225806451</v>
      </c>
      <c r="V22" s="414">
        <f t="shared" si="10"/>
        <v>2193.9096774193549</v>
      </c>
      <c r="W22" s="385">
        <f t="shared" si="10"/>
        <v>5424</v>
      </c>
      <c r="X22" s="415">
        <f t="shared" si="5"/>
        <v>3230.0903225806451</v>
      </c>
      <c r="Y22" s="227">
        <f>+IFERROR(HLOOKUP($A$1,[16]이송계획!$G$193:$U$216,17,),)</f>
        <v>0</v>
      </c>
      <c r="Z22" s="385">
        <f>+'[9]부산모래장(당월)'!$R$65</f>
        <v>1616</v>
      </c>
      <c r="AA22" s="227">
        <f t="shared" si="6"/>
        <v>1616</v>
      </c>
      <c r="AB22" s="414">
        <f t="shared" si="11"/>
        <v>2193.9096774193549</v>
      </c>
      <c r="AC22" s="385">
        <f t="shared" si="11"/>
        <v>19540</v>
      </c>
      <c r="AD22" s="415">
        <f t="shared" si="7"/>
        <v>17346.090322580647</v>
      </c>
      <c r="AF22" s="99">
        <f>+AB20-AF20</f>
        <v>0</v>
      </c>
      <c r="AG22" s="99">
        <f>+AC20-AG20</f>
        <v>0</v>
      </c>
    </row>
    <row r="23" spans="4:33" ht="24" customHeight="1" x14ac:dyDescent="0.3">
      <c r="D23" s="76"/>
      <c r="E23" s="166"/>
      <c r="F23" s="221" t="s">
        <v>27</v>
      </c>
      <c r="G23" s="226">
        <f>+IFERROR(HLOOKUP($A$1,[14]손익!$G$5:$AB$252,5,),)</f>
        <v>0</v>
      </c>
      <c r="H23" s="385">
        <f>+'[9]서부산크라샤(당월)'!$F$62</f>
        <v>1056</v>
      </c>
      <c r="I23" s="229">
        <f t="shared" si="0"/>
        <v>1056</v>
      </c>
      <c r="J23" s="228">
        <f>+IFERROR(HLOOKUP($A$1,[14]손익!$G$5:$AB$252,14,),)</f>
        <v>0</v>
      </c>
      <c r="K23" s="385">
        <f>+'[9]서부산크라샤(당월)'!$I$62</f>
        <v>0</v>
      </c>
      <c r="L23" s="227">
        <f t="shared" si="1"/>
        <v>0</v>
      </c>
      <c r="M23" s="414">
        <f t="shared" si="9"/>
        <v>0</v>
      </c>
      <c r="N23" s="385">
        <f t="shared" si="9"/>
        <v>1056</v>
      </c>
      <c r="O23" s="415">
        <f t="shared" si="2"/>
        <v>1056</v>
      </c>
      <c r="P23" s="226">
        <f>+IFERROR(HLOOKUP($A$1,[15]손익!$G$5:$AB$252,5,),)</f>
        <v>0</v>
      </c>
      <c r="Q23" s="385">
        <f>+'[9]부산크라샤(당월)'!$F$62</f>
        <v>0</v>
      </c>
      <c r="R23" s="229">
        <f t="shared" si="3"/>
        <v>0</v>
      </c>
      <c r="S23" s="228">
        <f>+IFERROR(HLOOKUP($A$1,[15]손익!$G$5:$AB$252,14,),)</f>
        <v>0</v>
      </c>
      <c r="T23" s="385">
        <f>+'[9]부산크라샤(당월)'!$I$62</f>
        <v>0</v>
      </c>
      <c r="U23" s="227">
        <f t="shared" si="4"/>
        <v>0</v>
      </c>
      <c r="V23" s="414">
        <f t="shared" si="10"/>
        <v>0</v>
      </c>
      <c r="W23" s="385">
        <f t="shared" si="10"/>
        <v>0</v>
      </c>
      <c r="X23" s="415">
        <f t="shared" si="5"/>
        <v>0</v>
      </c>
      <c r="Y23" s="227">
        <f>+IFERROR(HLOOKUP($A$1,[16]이송계획!$G$193:$U$216,18,),)</f>
        <v>0</v>
      </c>
      <c r="Z23" s="385">
        <f>+'[9]부산모래장(당월)'!$V$64</f>
        <v>0</v>
      </c>
      <c r="AA23" s="227">
        <f t="shared" si="6"/>
        <v>0</v>
      </c>
      <c r="AB23" s="414">
        <f t="shared" si="11"/>
        <v>0</v>
      </c>
      <c r="AC23" s="385">
        <f t="shared" si="11"/>
        <v>1056</v>
      </c>
      <c r="AD23" s="415">
        <f t="shared" si="7"/>
        <v>1056</v>
      </c>
    </row>
    <row r="24" spans="4:33" ht="24" customHeight="1" x14ac:dyDescent="0.3">
      <c r="D24" s="76"/>
      <c r="E24" s="166"/>
      <c r="F24" s="221" t="s">
        <v>28</v>
      </c>
      <c r="G24" s="226">
        <f>+IFERROR(HLOOKUP($A$1,[14]손익!$G$5:$AB$252,6,),)</f>
        <v>0</v>
      </c>
      <c r="H24" s="385">
        <f>+'[9]서부산크라샤(당월)'!$F$63</f>
        <v>0</v>
      </c>
      <c r="I24" s="229">
        <f t="shared" si="0"/>
        <v>0</v>
      </c>
      <c r="J24" s="228">
        <f>+IFERROR(HLOOKUP($A$1,[14]손익!$G$5:$AB$252,15,),)</f>
        <v>0</v>
      </c>
      <c r="K24" s="385">
        <f>+'[9]서부산크라샤(당월)'!$I$63</f>
        <v>0</v>
      </c>
      <c r="L24" s="227">
        <f t="shared" si="1"/>
        <v>0</v>
      </c>
      <c r="M24" s="414">
        <f t="shared" si="9"/>
        <v>0</v>
      </c>
      <c r="N24" s="385">
        <f t="shared" si="9"/>
        <v>0</v>
      </c>
      <c r="O24" s="415">
        <f t="shared" si="2"/>
        <v>0</v>
      </c>
      <c r="P24" s="226">
        <f>+IFERROR(HLOOKUP($A$1,[15]손익!$G$5:$AB$252,6,),)</f>
        <v>0</v>
      </c>
      <c r="Q24" s="385">
        <f>+'[9]부산크라샤(당월)'!$F$63</f>
        <v>0</v>
      </c>
      <c r="R24" s="229">
        <f t="shared" si="3"/>
        <v>0</v>
      </c>
      <c r="S24" s="228">
        <f>+IFERROR(HLOOKUP($A$1,[15]손익!$G$5:$AB$252,15,),)</f>
        <v>0</v>
      </c>
      <c r="T24" s="385">
        <f>+'[9]부산크라샤(당월)'!$I$63</f>
        <v>1312</v>
      </c>
      <c r="U24" s="227">
        <f t="shared" si="4"/>
        <v>1312</v>
      </c>
      <c r="V24" s="414">
        <f t="shared" si="10"/>
        <v>0</v>
      </c>
      <c r="W24" s="385">
        <f t="shared" si="10"/>
        <v>1312</v>
      </c>
      <c r="X24" s="415">
        <f t="shared" si="5"/>
        <v>1312</v>
      </c>
      <c r="Y24" s="227">
        <f>+IFERROR(HLOOKUP($A$1,[16]이송계획!$G$193:$U$216,19,),)</f>
        <v>4168.9510489510485</v>
      </c>
      <c r="Z24" s="385">
        <f>+'[9]부산모래장(당월)'!$V$65</f>
        <v>0</v>
      </c>
      <c r="AA24" s="227">
        <f t="shared" si="6"/>
        <v>-4168.9510489510485</v>
      </c>
      <c r="AB24" s="414">
        <f t="shared" si="11"/>
        <v>4168.9510489510485</v>
      </c>
      <c r="AC24" s="385">
        <f t="shared" si="11"/>
        <v>1312</v>
      </c>
      <c r="AD24" s="415">
        <f t="shared" si="7"/>
        <v>-2856.9510489510485</v>
      </c>
    </row>
    <row r="25" spans="4:33" ht="24" customHeight="1" x14ac:dyDescent="0.3">
      <c r="D25" s="76"/>
      <c r="E25" s="166"/>
      <c r="F25" s="221" t="s">
        <v>29</v>
      </c>
      <c r="G25" s="226">
        <f>+IFERROR(HLOOKUP($A$1,[14]손익!$G$5:$AB$252,7,),)</f>
        <v>0</v>
      </c>
      <c r="H25" s="385">
        <f>+'[9]서부산크라샤(당월)'!$F$64</f>
        <v>0</v>
      </c>
      <c r="I25" s="229">
        <f t="shared" si="0"/>
        <v>0</v>
      </c>
      <c r="J25" s="228">
        <f>+IFERROR(HLOOKUP($A$1,[14]손익!$G$5:$AB$252,16,),)</f>
        <v>0</v>
      </c>
      <c r="K25" s="385">
        <f>+'[9]서부산크라샤(당월)'!$I$64</f>
        <v>256</v>
      </c>
      <c r="L25" s="227">
        <f t="shared" si="1"/>
        <v>256</v>
      </c>
      <c r="M25" s="414">
        <f t="shared" si="9"/>
        <v>0</v>
      </c>
      <c r="N25" s="385">
        <f t="shared" si="9"/>
        <v>256</v>
      </c>
      <c r="O25" s="415">
        <f t="shared" si="2"/>
        <v>256</v>
      </c>
      <c r="P25" s="226">
        <f>+IFERROR(HLOOKUP($A$1,[15]손익!$G$5:$AB$252,7,),)</f>
        <v>0</v>
      </c>
      <c r="Q25" s="385">
        <f>+'[9]부산크라샤(당월)'!$F$64</f>
        <v>0</v>
      </c>
      <c r="R25" s="229">
        <f t="shared" si="3"/>
        <v>0</v>
      </c>
      <c r="S25" s="228">
        <f>+IFERROR(HLOOKUP($A$1,[15]손익!$G$5:$AB$252,16,),)</f>
        <v>0</v>
      </c>
      <c r="T25" s="385">
        <f>+'[9]부산크라샤(당월)'!$I$64</f>
        <v>0</v>
      </c>
      <c r="U25" s="227">
        <f t="shared" si="4"/>
        <v>0</v>
      </c>
      <c r="V25" s="414">
        <f t="shared" si="10"/>
        <v>0</v>
      </c>
      <c r="W25" s="385">
        <f t="shared" si="10"/>
        <v>0</v>
      </c>
      <c r="X25" s="415">
        <f t="shared" si="5"/>
        <v>0</v>
      </c>
      <c r="Y25" s="227">
        <f>+IFERROR(HLOOKUP($A$1,[16]이송계획!$G$193:$U$216,20,),)</f>
        <v>630.76923076923072</v>
      </c>
      <c r="Z25" s="385">
        <f>+'[9]부산모래장(당월)'!$R$66</f>
        <v>1088</v>
      </c>
      <c r="AA25" s="227">
        <f t="shared" si="6"/>
        <v>457.23076923076928</v>
      </c>
      <c r="AB25" s="414">
        <f t="shared" si="11"/>
        <v>630.76923076923072</v>
      </c>
      <c r="AC25" s="385">
        <f t="shared" si="11"/>
        <v>1344</v>
      </c>
      <c r="AD25" s="415">
        <f t="shared" si="7"/>
        <v>713.23076923076928</v>
      </c>
    </row>
    <row r="26" spans="4:33" ht="24" customHeight="1" x14ac:dyDescent="0.3">
      <c r="D26" s="76"/>
      <c r="E26" s="166"/>
      <c r="F26" s="221" t="s">
        <v>30</v>
      </c>
      <c r="G26" s="226">
        <f>+IFERROR(HLOOKUP($A$1,[14]손익!$G$5:$AB$252,8,),)</f>
        <v>0</v>
      </c>
      <c r="H26" s="385">
        <f>+'[9]서부산크라샤(당월)'!$F$65</f>
        <v>0</v>
      </c>
      <c r="I26" s="229">
        <f t="shared" si="0"/>
        <v>0</v>
      </c>
      <c r="J26" s="228">
        <f>+IFERROR(HLOOKUP($A$1,[14]손익!$G$5:$AB$252,17,),)</f>
        <v>0</v>
      </c>
      <c r="K26" s="385">
        <f>+'[9]서부산크라샤(당월)'!$I$65</f>
        <v>0</v>
      </c>
      <c r="L26" s="227">
        <f t="shared" si="1"/>
        <v>0</v>
      </c>
      <c r="M26" s="414">
        <f t="shared" si="9"/>
        <v>0</v>
      </c>
      <c r="N26" s="383">
        <f t="shared" si="9"/>
        <v>0</v>
      </c>
      <c r="O26" s="433">
        <f t="shared" si="2"/>
        <v>0</v>
      </c>
      <c r="P26" s="226">
        <f>+IFERROR(HLOOKUP($A$1,[15]손익!$G$5:$AB$252,8,),)</f>
        <v>0</v>
      </c>
      <c r="Q26" s="385">
        <f>+'[9]부산크라샤(당월)'!$F$65</f>
        <v>0</v>
      </c>
      <c r="R26" s="229">
        <f t="shared" si="3"/>
        <v>0</v>
      </c>
      <c r="S26" s="228">
        <f>+IFERROR(HLOOKUP($A$1,[15]손익!$G$5:$AB$252,17,),)</f>
        <v>0</v>
      </c>
      <c r="T26" s="385">
        <f>+'[9]부산크라샤(당월)'!$I$65</f>
        <v>0</v>
      </c>
      <c r="U26" s="227">
        <f t="shared" si="4"/>
        <v>0</v>
      </c>
      <c r="V26" s="414">
        <f t="shared" si="10"/>
        <v>0</v>
      </c>
      <c r="W26" s="383">
        <f t="shared" si="10"/>
        <v>0</v>
      </c>
      <c r="X26" s="433">
        <f t="shared" si="5"/>
        <v>0</v>
      </c>
      <c r="Y26" s="227">
        <f>+IFERROR(HLOOKUP($A$1,[16]이송계획!$G$193:$U$216,21,),)</f>
        <v>0</v>
      </c>
      <c r="Z26" s="385"/>
      <c r="AA26" s="227">
        <f t="shared" si="6"/>
        <v>0</v>
      </c>
      <c r="AB26" s="414">
        <f t="shared" si="11"/>
        <v>0</v>
      </c>
      <c r="AC26" s="383">
        <f t="shared" si="11"/>
        <v>0</v>
      </c>
      <c r="AD26" s="415">
        <f t="shared" si="7"/>
        <v>0</v>
      </c>
    </row>
    <row r="27" spans="4:33" ht="24" customHeight="1" x14ac:dyDescent="0.3">
      <c r="D27" s="76"/>
      <c r="E27" s="225" t="s">
        <v>132</v>
      </c>
      <c r="F27" s="224" t="s">
        <v>25</v>
      </c>
      <c r="G27" s="192">
        <f>+IFERROR(HLOOKUP($A$1,[14]손익!$G$5:$AB$252,31,),)</f>
        <v>0</v>
      </c>
      <c r="H27" s="386">
        <f t="shared" ref="H27:H32" si="12">IFERROR(H35/H21,)*1000</f>
        <v>12500</v>
      </c>
      <c r="I27" s="193">
        <f t="shared" si="0"/>
        <v>12500</v>
      </c>
      <c r="J27" s="223">
        <f>+IFERROR(HLOOKUP($A$1,[14]손익!$G$5:$AB$252,40,),)</f>
        <v>0</v>
      </c>
      <c r="K27" s="386">
        <f t="shared" ref="K27:K32" si="13">IFERROR(K35/K21,)*1000</f>
        <v>0</v>
      </c>
      <c r="L27" s="205">
        <f t="shared" si="1"/>
        <v>0</v>
      </c>
      <c r="M27" s="428">
        <f>+IFERROR(HLOOKUP($A$1,[14]손익!$G$5:$AB$252,48,),)</f>
        <v>0</v>
      </c>
      <c r="N27" s="424">
        <f t="shared" ref="N27:N32" si="14">IFERROR(N35/N21,)*1000</f>
        <v>12500</v>
      </c>
      <c r="O27" s="434">
        <f t="shared" si="2"/>
        <v>12500</v>
      </c>
      <c r="P27" s="192">
        <f>+IFERROR(HLOOKUP($A$1,[15]손익!$G$5:$AB$252,30,),)</f>
        <v>16000</v>
      </c>
      <c r="Q27" s="386">
        <f t="shared" ref="Q27:Q32" si="15">IFERROR(Q35/Q21,)*1000</f>
        <v>17500</v>
      </c>
      <c r="R27" s="193">
        <f t="shared" si="3"/>
        <v>1500</v>
      </c>
      <c r="S27" s="223">
        <f>+IFERROR(HLOOKUP($A$1,[15]손익!$G$5:$AB$252,39,),)</f>
        <v>23000</v>
      </c>
      <c r="T27" s="386">
        <f t="shared" ref="T27:T32" si="16">IFERROR(T35/T21,)*1000</f>
        <v>23500</v>
      </c>
      <c r="U27" s="205">
        <f t="shared" si="4"/>
        <v>500</v>
      </c>
      <c r="V27" s="428">
        <f>+IFERROR(HLOOKUP($A$1,[15]손익!$G$5:$AB$252,48,),)</f>
        <v>18875.953875097417</v>
      </c>
      <c r="W27" s="424">
        <f t="shared" ref="W27:W32" si="17">IFERROR(W35/W21,)*1000</f>
        <v>20126.107889265786</v>
      </c>
      <c r="X27" s="434">
        <f t="shared" si="5"/>
        <v>1250.154014168369</v>
      </c>
      <c r="Y27" s="205">
        <f t="shared" ref="Y27:Z32" si="18">IFERROR(Y35/Y21,)*1000</f>
        <v>35999.999999999993</v>
      </c>
      <c r="Z27" s="386">
        <f t="shared" si="18"/>
        <v>33317</v>
      </c>
      <c r="AA27" s="205">
        <f t="shared" si="6"/>
        <v>-2682.9999999999927</v>
      </c>
      <c r="AB27" s="416">
        <f t="shared" ref="AB27:AB32" si="19">+AB35/AB21*1000</f>
        <v>22100.129289500706</v>
      </c>
      <c r="AC27" s="386">
        <f t="shared" ref="AC27:AC32" si="20">IFERROR(AC35/AC21,)*1000</f>
        <v>22351.202346041053</v>
      </c>
      <c r="AD27" s="417">
        <f t="shared" si="7"/>
        <v>251.07305654034644</v>
      </c>
    </row>
    <row r="28" spans="4:33" ht="24" customHeight="1" x14ac:dyDescent="0.3">
      <c r="D28" s="76"/>
      <c r="E28" s="166" t="s">
        <v>131</v>
      </c>
      <c r="F28" s="221" t="s">
        <v>26</v>
      </c>
      <c r="G28" s="190">
        <f>+IFERROR(HLOOKUP($A$1,[14]손익!$G$5:$AB$252,32,),)</f>
        <v>0</v>
      </c>
      <c r="H28" s="95">
        <f t="shared" si="12"/>
        <v>17000</v>
      </c>
      <c r="I28" s="191">
        <f t="shared" si="0"/>
        <v>17000</v>
      </c>
      <c r="J28" s="220">
        <f>+IFERROR(HLOOKUP($A$1,[14]손익!$G$5:$AB$252,41,),)</f>
        <v>0</v>
      </c>
      <c r="K28" s="95">
        <f t="shared" si="13"/>
        <v>0</v>
      </c>
      <c r="L28" s="196">
        <f t="shared" si="1"/>
        <v>0</v>
      </c>
      <c r="M28" s="429">
        <f>+IFERROR(HLOOKUP($A$1,[14]손익!$G$5:$AB$252,49,),)</f>
        <v>0</v>
      </c>
      <c r="N28" s="425">
        <f t="shared" si="14"/>
        <v>17000</v>
      </c>
      <c r="O28" s="435">
        <f t="shared" si="2"/>
        <v>17000</v>
      </c>
      <c r="P28" s="190">
        <f>+IFERROR(HLOOKUP($A$1,[15]손익!$G$5:$AB$252,31,),)</f>
        <v>0</v>
      </c>
      <c r="Q28" s="95">
        <f t="shared" si="15"/>
        <v>0</v>
      </c>
      <c r="R28" s="191">
        <f t="shared" si="3"/>
        <v>0</v>
      </c>
      <c r="S28" s="220">
        <f>+IFERROR(HLOOKUP($A$1,[15]손익!$G$5:$AB$252,40,),)</f>
        <v>19000</v>
      </c>
      <c r="T28" s="95">
        <f t="shared" si="16"/>
        <v>20000</v>
      </c>
      <c r="U28" s="196">
        <f t="shared" si="4"/>
        <v>1000</v>
      </c>
      <c r="V28" s="429">
        <f>+IFERROR(HLOOKUP($A$1,[15]손익!$G$5:$AB$252,49,),)</f>
        <v>19000</v>
      </c>
      <c r="W28" s="425">
        <f t="shared" si="17"/>
        <v>20000</v>
      </c>
      <c r="X28" s="435">
        <f t="shared" si="5"/>
        <v>1000</v>
      </c>
      <c r="Y28" s="196">
        <f t="shared" si="18"/>
        <v>0</v>
      </c>
      <c r="Z28" s="95">
        <f t="shared" si="18"/>
        <v>28058.999999999996</v>
      </c>
      <c r="AA28" s="196">
        <f t="shared" si="6"/>
        <v>28058.999999999996</v>
      </c>
      <c r="AB28" s="418">
        <f t="shared" si="19"/>
        <v>19000</v>
      </c>
      <c r="AC28" s="95">
        <f t="shared" si="20"/>
        <v>18747.356397134085</v>
      </c>
      <c r="AD28" s="419">
        <f t="shared" si="7"/>
        <v>-252.64360286591545</v>
      </c>
    </row>
    <row r="29" spans="4:33" ht="24" customHeight="1" x14ac:dyDescent="0.3">
      <c r="D29" s="76"/>
      <c r="E29" s="166"/>
      <c r="F29" s="221" t="s">
        <v>27</v>
      </c>
      <c r="G29" s="190">
        <f>+IFERROR(HLOOKUP($A$1,[14]손익!$G$5:$AB$252,33,),)</f>
        <v>0</v>
      </c>
      <c r="H29" s="95">
        <f t="shared" si="12"/>
        <v>11500</v>
      </c>
      <c r="I29" s="191">
        <f t="shared" si="0"/>
        <v>11500</v>
      </c>
      <c r="J29" s="220">
        <f>+IFERROR(HLOOKUP($A$1,[14]손익!$G$5:$AB$252,42,),)</f>
        <v>0</v>
      </c>
      <c r="K29" s="95">
        <f t="shared" si="13"/>
        <v>0</v>
      </c>
      <c r="L29" s="196">
        <f t="shared" si="1"/>
        <v>0</v>
      </c>
      <c r="M29" s="430">
        <f>+IFERROR(HLOOKUP($A$1,[14]손익!$G$5:$AB$252,50,),)</f>
        <v>0</v>
      </c>
      <c r="N29" s="426">
        <f t="shared" si="14"/>
        <v>11500</v>
      </c>
      <c r="O29" s="435">
        <f t="shared" si="2"/>
        <v>11500</v>
      </c>
      <c r="P29" s="190">
        <f>+IFERROR(HLOOKUP($A$1,[15]손익!$G$5:$AB$252,32,),)</f>
        <v>0</v>
      </c>
      <c r="Q29" s="95">
        <f t="shared" si="15"/>
        <v>0</v>
      </c>
      <c r="R29" s="191">
        <f t="shared" si="3"/>
        <v>0</v>
      </c>
      <c r="S29" s="220">
        <f>+IFERROR(HLOOKUP($A$1,[15]손익!$G$5:$AB$252,41,),)</f>
        <v>0</v>
      </c>
      <c r="T29" s="95">
        <f t="shared" si="16"/>
        <v>0</v>
      </c>
      <c r="U29" s="196">
        <f t="shared" si="4"/>
        <v>0</v>
      </c>
      <c r="V29" s="430">
        <f>+IFERROR(HLOOKUP($A$1,[15]손익!$G$5:$AB$252,50,),)</f>
        <v>0</v>
      </c>
      <c r="W29" s="426">
        <f t="shared" si="17"/>
        <v>0</v>
      </c>
      <c r="X29" s="435">
        <f t="shared" si="5"/>
        <v>0</v>
      </c>
      <c r="Y29" s="196">
        <f t="shared" si="18"/>
        <v>0</v>
      </c>
      <c r="Z29" s="95">
        <f t="shared" si="18"/>
        <v>0</v>
      </c>
      <c r="AA29" s="196">
        <f t="shared" si="6"/>
        <v>0</v>
      </c>
      <c r="AB29" s="418" t="e">
        <f t="shared" si="19"/>
        <v>#DIV/0!</v>
      </c>
      <c r="AC29" s="95">
        <f t="shared" si="20"/>
        <v>46136.727272727272</v>
      </c>
      <c r="AD29" s="419" t="e">
        <f t="shared" si="7"/>
        <v>#DIV/0!</v>
      </c>
    </row>
    <row r="30" spans="4:33" ht="24" customHeight="1" x14ac:dyDescent="0.3">
      <c r="D30" s="76"/>
      <c r="E30" s="166"/>
      <c r="F30" s="221" t="s">
        <v>28</v>
      </c>
      <c r="G30" s="190">
        <f>+IFERROR(HLOOKUP($A$1,[14]손익!$G$5:$AB$252,34,),)</f>
        <v>0</v>
      </c>
      <c r="H30" s="95">
        <f t="shared" si="12"/>
        <v>0</v>
      </c>
      <c r="I30" s="191">
        <f t="shared" si="0"/>
        <v>0</v>
      </c>
      <c r="J30" s="220">
        <f>+IFERROR(HLOOKUP($A$1,[14]손익!$G$5:$AB$252,43,),)</f>
        <v>0</v>
      </c>
      <c r="K30" s="95">
        <f t="shared" si="13"/>
        <v>0</v>
      </c>
      <c r="L30" s="196">
        <f t="shared" si="1"/>
        <v>0</v>
      </c>
      <c r="M30" s="430">
        <f>+IFERROR(HLOOKUP($A$1,[14]손익!$G$5:$AB$252,51,),)</f>
        <v>0</v>
      </c>
      <c r="N30" s="55">
        <f t="shared" si="14"/>
        <v>0</v>
      </c>
      <c r="O30" s="436">
        <f t="shared" si="2"/>
        <v>0</v>
      </c>
      <c r="P30" s="190">
        <f>+IFERROR(HLOOKUP($A$1,[15]손익!$G$5:$AB$252,33,),)</f>
        <v>0</v>
      </c>
      <c r="Q30" s="95">
        <f t="shared" si="15"/>
        <v>0</v>
      </c>
      <c r="R30" s="191">
        <f t="shared" si="3"/>
        <v>0</v>
      </c>
      <c r="S30" s="220">
        <f>+IFERROR(HLOOKUP($A$1,[15]손익!$G$5:$AB$252,42,),)</f>
        <v>0</v>
      </c>
      <c r="T30" s="95">
        <f t="shared" si="16"/>
        <v>19000</v>
      </c>
      <c r="U30" s="196">
        <f t="shared" si="4"/>
        <v>19000</v>
      </c>
      <c r="V30" s="430">
        <f>+IFERROR(HLOOKUP($A$1,[15]손익!$G$5:$AB$252,51,),)</f>
        <v>0</v>
      </c>
      <c r="W30" s="55">
        <f t="shared" si="17"/>
        <v>19000</v>
      </c>
      <c r="X30" s="436">
        <f t="shared" si="5"/>
        <v>19000</v>
      </c>
      <c r="Y30" s="196">
        <f t="shared" si="18"/>
        <v>34500</v>
      </c>
      <c r="Z30" s="95">
        <f t="shared" si="18"/>
        <v>0</v>
      </c>
      <c r="AA30" s="196">
        <f t="shared" si="6"/>
        <v>-34500</v>
      </c>
      <c r="AB30" s="418">
        <f t="shared" si="19"/>
        <v>34500</v>
      </c>
      <c r="AC30" s="95">
        <f t="shared" si="20"/>
        <v>79841.268292682929</v>
      </c>
      <c r="AD30" s="419">
        <f t="shared" si="7"/>
        <v>45341.268292682929</v>
      </c>
    </row>
    <row r="31" spans="4:33" ht="24" customHeight="1" x14ac:dyDescent="0.3">
      <c r="D31" s="76"/>
      <c r="E31" s="166"/>
      <c r="F31" s="221" t="s">
        <v>29</v>
      </c>
      <c r="G31" s="190">
        <f>+IFERROR(HLOOKUP($A$1,[14]손익!$G$5:$AB$252,35,),)</f>
        <v>0</v>
      </c>
      <c r="H31" s="95">
        <f t="shared" si="12"/>
        <v>0</v>
      </c>
      <c r="I31" s="191">
        <f t="shared" si="0"/>
        <v>0</v>
      </c>
      <c r="J31" s="220">
        <f>+IFERROR(HLOOKUP($A$1,[14]손익!$G$5:$AB$252,44,),)</f>
        <v>0</v>
      </c>
      <c r="K31" s="95">
        <f t="shared" si="13"/>
        <v>9000</v>
      </c>
      <c r="L31" s="196">
        <f t="shared" si="1"/>
        <v>9000</v>
      </c>
      <c r="M31" s="430">
        <f>+IFERROR(HLOOKUP($A$1,[14]손익!$G$5:$AB$252,52,),)</f>
        <v>0</v>
      </c>
      <c r="N31" s="55">
        <f t="shared" si="14"/>
        <v>9000</v>
      </c>
      <c r="O31" s="436">
        <f t="shared" si="2"/>
        <v>9000</v>
      </c>
      <c r="P31" s="190">
        <f>+IFERROR(HLOOKUP($A$1,[15]손익!$G$5:$AB$252,34,),)</f>
        <v>0</v>
      </c>
      <c r="Q31" s="95">
        <f t="shared" si="15"/>
        <v>0</v>
      </c>
      <c r="R31" s="191">
        <f t="shared" si="3"/>
        <v>0</v>
      </c>
      <c r="S31" s="220">
        <f>+IFERROR(HLOOKUP($A$1,[15]손익!$G$5:$AB$252,43,),)</f>
        <v>0</v>
      </c>
      <c r="T31" s="95">
        <f t="shared" si="16"/>
        <v>0</v>
      </c>
      <c r="U31" s="196">
        <f t="shared" si="4"/>
        <v>0</v>
      </c>
      <c r="V31" s="430">
        <f>+IFERROR(HLOOKUP($A$1,[15]손익!$G$5:$AB$252,52,),)</f>
        <v>0</v>
      </c>
      <c r="W31" s="55">
        <f t="shared" si="17"/>
        <v>0</v>
      </c>
      <c r="X31" s="436">
        <f t="shared" si="5"/>
        <v>0</v>
      </c>
      <c r="Y31" s="196">
        <f t="shared" si="18"/>
        <v>34500</v>
      </c>
      <c r="Z31" s="95">
        <f t="shared" si="18"/>
        <v>1808.8235294117646</v>
      </c>
      <c r="AA31" s="196">
        <f t="shared" si="6"/>
        <v>-32691.176470588234</v>
      </c>
      <c r="AB31" s="418">
        <f t="shared" si="19"/>
        <v>34500</v>
      </c>
      <c r="AC31" s="95">
        <f t="shared" si="20"/>
        <v>3178.5714285714284</v>
      </c>
      <c r="AD31" s="419">
        <f t="shared" si="7"/>
        <v>-31321.428571428572</v>
      </c>
    </row>
    <row r="32" spans="4:33" ht="24" customHeight="1" thickBot="1" x14ac:dyDescent="0.35">
      <c r="D32" s="76"/>
      <c r="E32" s="218"/>
      <c r="F32" s="217" t="s">
        <v>30</v>
      </c>
      <c r="G32" s="213">
        <f>+IFERROR(HLOOKUP($A$1,[14]손익!$G$5:$AB$252,36,),)</f>
        <v>0</v>
      </c>
      <c r="H32" s="387">
        <f t="shared" si="12"/>
        <v>0</v>
      </c>
      <c r="I32" s="216">
        <f t="shared" si="0"/>
        <v>0</v>
      </c>
      <c r="J32" s="215">
        <f>+IFERROR(HLOOKUP($A$1,[14]손익!$G$5:$AB$252,45,),)</f>
        <v>0</v>
      </c>
      <c r="K32" s="387">
        <f t="shared" si="13"/>
        <v>0</v>
      </c>
      <c r="L32" s="214">
        <f t="shared" si="1"/>
        <v>0</v>
      </c>
      <c r="M32" s="431">
        <f>+IFERROR(HLOOKUP($A$1,[14]손익!$G$5:$AB$252,53,),)</f>
        <v>0</v>
      </c>
      <c r="N32" s="427">
        <f t="shared" si="14"/>
        <v>0</v>
      </c>
      <c r="O32" s="437">
        <f t="shared" si="2"/>
        <v>0</v>
      </c>
      <c r="P32" s="213">
        <f>+IFERROR(HLOOKUP($A$1,[15]손익!$G$5:$AB$252,35,),)</f>
        <v>0</v>
      </c>
      <c r="Q32" s="387">
        <f t="shared" si="15"/>
        <v>0</v>
      </c>
      <c r="R32" s="216">
        <f t="shared" si="3"/>
        <v>0</v>
      </c>
      <c r="S32" s="215">
        <f>+IFERROR(HLOOKUP($A$1,[15]손익!$G$5:$AB$252,44,),)</f>
        <v>0</v>
      </c>
      <c r="T32" s="387">
        <f t="shared" si="16"/>
        <v>0</v>
      </c>
      <c r="U32" s="214">
        <f t="shared" si="4"/>
        <v>0</v>
      </c>
      <c r="V32" s="431">
        <f>+IFERROR(HLOOKUP($A$1,[15]손익!$G$5:$AB$252,53,),)</f>
        <v>0</v>
      </c>
      <c r="W32" s="427">
        <f t="shared" si="17"/>
        <v>0</v>
      </c>
      <c r="X32" s="437">
        <f t="shared" si="5"/>
        <v>0</v>
      </c>
      <c r="Y32" s="214">
        <f t="shared" si="18"/>
        <v>0</v>
      </c>
      <c r="Z32" s="387">
        <f t="shared" si="18"/>
        <v>0</v>
      </c>
      <c r="AA32" s="214">
        <f t="shared" si="6"/>
        <v>0</v>
      </c>
      <c r="AB32" s="420" t="e">
        <f t="shared" si="19"/>
        <v>#DIV/0!</v>
      </c>
      <c r="AC32" s="421">
        <f t="shared" si="20"/>
        <v>0</v>
      </c>
      <c r="AD32" s="422" t="e">
        <f t="shared" si="7"/>
        <v>#DIV/0!</v>
      </c>
    </row>
    <row r="33" spans="5:30" ht="21.95" customHeight="1" thickTop="1" x14ac:dyDescent="0.3">
      <c r="E33" s="6" t="s">
        <v>130</v>
      </c>
      <c r="G33" s="211"/>
      <c r="H33" s="211"/>
      <c r="I33" s="211"/>
      <c r="J33" s="76"/>
      <c r="P33" s="211"/>
      <c r="Q33" s="211"/>
      <c r="R33" s="211"/>
      <c r="S33" s="76"/>
      <c r="Y33" s="76"/>
      <c r="AB33" s="76"/>
    </row>
    <row r="34" spans="5:30" ht="21.95" customHeight="1" x14ac:dyDescent="0.3">
      <c r="J34" s="76"/>
      <c r="S34" s="76"/>
      <c r="Y34" s="76"/>
      <c r="Z34" s="6" t="s">
        <v>164</v>
      </c>
      <c r="AB34" s="76"/>
    </row>
    <row r="35" spans="5:30" ht="21.95" customHeight="1" x14ac:dyDescent="0.3">
      <c r="E35" s="26" t="s">
        <v>132</v>
      </c>
      <c r="F35" s="432" t="s">
        <v>25</v>
      </c>
      <c r="G35" s="6">
        <f>+IFERROR(HLOOKUP($A$1,[14]손익!$G$5:$AB$252,59,),)</f>
        <v>0</v>
      </c>
      <c r="H35" s="6">
        <f>+IFERROR(VLOOKUP($F35,'[17]서부산(손익)'!$L$16:$R$29,4,),)/1000</f>
        <v>12400</v>
      </c>
      <c r="I35" s="6">
        <f t="shared" ref="I35:I41" si="21">+H35-G35</f>
        <v>12400</v>
      </c>
      <c r="J35" s="76">
        <f>+IFERROR(HLOOKUP($A$1,[14]손익!$G$5:$AB$252,68,),)</f>
        <v>0</v>
      </c>
      <c r="K35" s="6">
        <f>+IFERROR(VLOOKUP($F35,'[17]서부산(손익)'!$L$16:$R$29,3,),)/1000</f>
        <v>0</v>
      </c>
      <c r="L35" s="6">
        <f>+K35-J35</f>
        <v>0</v>
      </c>
      <c r="M35" s="6">
        <f>SUM(G35,J35)</f>
        <v>0</v>
      </c>
      <c r="N35" s="6">
        <f t="shared" ref="N35:N40" si="22">SUM(H35,K35)</f>
        <v>12400</v>
      </c>
      <c r="O35" s="6">
        <f t="shared" ref="O35:O41" si="23">+N35-M35</f>
        <v>12400</v>
      </c>
      <c r="P35" s="6">
        <f>+IFERROR(HLOOKUP($A$1,[15]손익!$G$5:$AB$252,57,),)</f>
        <v>165682.19244009253</v>
      </c>
      <c r="Q35" s="6">
        <f>+IFERROR(VLOOKUP($F35,'[17]부산크라샤(손익)'!$L$16:$R$29,3,),)/1000</f>
        <v>179865</v>
      </c>
      <c r="R35" s="6">
        <f t="shared" ref="R35:R41" si="24">+Q35-P35</f>
        <v>14182.807559907465</v>
      </c>
      <c r="S35" s="76">
        <f>+IFERROR(HLOOKUP($A$1,[15]손익!$G$5:$AB$252,66,),)</f>
        <v>166089.46599229416</v>
      </c>
      <c r="T35" s="6">
        <f>+IFERROR(VLOOKUP($F35,'[17]부산크라샤(손익)'!$L$16:$R$29,4,),)/1000</f>
        <v>188000</v>
      </c>
      <c r="U35" s="6">
        <f>+T35-S35</f>
        <v>21910.534007705835</v>
      </c>
      <c r="V35" s="6">
        <f>SUM(P35,S35)</f>
        <v>331771.6584323867</v>
      </c>
      <c r="W35" s="6">
        <f t="shared" ref="W35:W41" si="25">SUM(Q35,T35)</f>
        <v>367865</v>
      </c>
      <c r="X35" s="6">
        <f t="shared" ref="X35:X41" si="26">+W35-V35</f>
        <v>36093.341567613301</v>
      </c>
      <c r="Y35" s="438">
        <f>+IFERROR(HLOOKUP($A$1,[16]이송계획!$G$70:$W$100,16,),)+IFERROR(HLOOKUP($A$1,[16]이송계획!$G$70:$W$100,23,),)</f>
        <v>146771.17745792025</v>
      </c>
      <c r="Z35" s="6">
        <f>+'[9]부산모래장(당월)'!R76</f>
        <v>153258.20000000001</v>
      </c>
      <c r="AB35" s="76">
        <f t="shared" ref="AB35:AC41" si="27">+M35+V35+Y35</f>
        <v>478542.83589030697</v>
      </c>
      <c r="AC35" s="76">
        <f t="shared" si="27"/>
        <v>533523.19999999995</v>
      </c>
      <c r="AD35" s="6">
        <f t="shared" ref="AD35:AD41" si="28">+AC35-AB35</f>
        <v>54980.364109692979</v>
      </c>
    </row>
    <row r="36" spans="5:30" ht="21.95" customHeight="1" x14ac:dyDescent="0.3">
      <c r="E36" s="26" t="s">
        <v>77</v>
      </c>
      <c r="F36" s="432" t="s">
        <v>26</v>
      </c>
      <c r="G36" s="6">
        <f>+IFERROR(HLOOKUP($A$1,[14]손익!$G$5:$AB$252,60,),)</f>
        <v>0</v>
      </c>
      <c r="H36" s="6">
        <f>+IFERROR(VLOOKUP($F36,'[17]서부산(손익)'!$L$16:$R$29,4,),)/1000</f>
        <v>212500</v>
      </c>
      <c r="I36" s="6">
        <f t="shared" si="21"/>
        <v>212500</v>
      </c>
      <c r="J36" s="76">
        <f>+IFERROR(HLOOKUP($A$1,[14]손익!$G$5:$AB$252,69,),)</f>
        <v>0</v>
      </c>
      <c r="K36" s="6">
        <f>+IFERROR(VLOOKUP($F36,'[17]서부산(손익)'!$L$16:$R$29,3,),)/1000</f>
        <v>0</v>
      </c>
      <c r="L36" s="6">
        <f t="shared" ref="L36:L41" si="29">+K36-J36</f>
        <v>0</v>
      </c>
      <c r="M36" s="6">
        <f t="shared" ref="M36:N41" si="30">SUM(G36,J36)</f>
        <v>0</v>
      </c>
      <c r="N36" s="6">
        <f t="shared" si="22"/>
        <v>212500</v>
      </c>
      <c r="O36" s="6">
        <f t="shared" si="23"/>
        <v>212500</v>
      </c>
      <c r="P36" s="6">
        <f>+IFERROR(HLOOKUP($A$1,[15]손익!$G$5:$AB$252,58,),)</f>
        <v>0</v>
      </c>
      <c r="Q36" s="6">
        <f>+IFERROR(VLOOKUP($F36,'[17]부산크라샤(손익)'!$L$16:$R$29,3,),)/1000</f>
        <v>0</v>
      </c>
      <c r="R36" s="6">
        <f t="shared" si="24"/>
        <v>0</v>
      </c>
      <c r="S36" s="76">
        <f>+IFERROR(HLOOKUP($A$1,[15]손익!$G$5:$AB$252,67,),)</f>
        <v>41684.283870967745</v>
      </c>
      <c r="T36" s="6">
        <f>+IFERROR(VLOOKUP($F36,'[17]부산크라샤(손익)'!$L$16:$R$29,4,),)/1000</f>
        <v>108480</v>
      </c>
      <c r="U36" s="6">
        <f t="shared" ref="U36:U41" si="31">+T36-S36</f>
        <v>66795.716129032255</v>
      </c>
      <c r="V36" s="6">
        <f t="shared" ref="V36:V41" si="32">SUM(P36,S36)</f>
        <v>41684.283870967745</v>
      </c>
      <c r="W36" s="6">
        <f t="shared" si="25"/>
        <v>108480</v>
      </c>
      <c r="X36" s="6">
        <f>+W36-V36</f>
        <v>66795.716129032255</v>
      </c>
      <c r="Y36" s="438">
        <f>+IFERROR(HLOOKUP($A$1,[16]이송계획!$G$70:$W$100,17,),)+IFERROR(HLOOKUP($A$1,[16]이송계획!$G$70:$W$100,24,),)</f>
        <v>0</v>
      </c>
      <c r="Z36" s="6">
        <f>+'[9]부산모래장(당월)'!R77</f>
        <v>45343.343999999997</v>
      </c>
      <c r="AB36" s="6">
        <f t="shared" si="27"/>
        <v>41684.283870967745</v>
      </c>
      <c r="AC36" s="6">
        <f t="shared" si="27"/>
        <v>366323.34399999998</v>
      </c>
      <c r="AD36" s="6">
        <f t="shared" si="28"/>
        <v>324639.06012903224</v>
      </c>
    </row>
    <row r="37" spans="5:30" ht="21.95" customHeight="1" x14ac:dyDescent="0.3">
      <c r="F37" s="432" t="s">
        <v>27</v>
      </c>
      <c r="G37" s="6">
        <f>+IFERROR(HLOOKUP($A$1,[14]손익!$G$5:$AB$252,61,),)</f>
        <v>0</v>
      </c>
      <c r="H37" s="6">
        <f>+IFERROR(VLOOKUP($F37,'[17]서부산(손익)'!$L$16:$R$29,4,),)/1000</f>
        <v>12144</v>
      </c>
      <c r="I37" s="6">
        <f t="shared" si="21"/>
        <v>12144</v>
      </c>
      <c r="J37" s="76">
        <f>+IFERROR(HLOOKUP($A$1,[14]손익!$G$5:$AB$252,70,),)</f>
        <v>0</v>
      </c>
      <c r="K37" s="6">
        <f>+IFERROR(VLOOKUP($F37,'[17]서부산(손익)'!$L$16:$R$29,3,),)/1000</f>
        <v>0</v>
      </c>
      <c r="L37" s="6">
        <f t="shared" si="29"/>
        <v>0</v>
      </c>
      <c r="M37" s="6">
        <f t="shared" si="30"/>
        <v>0</v>
      </c>
      <c r="N37" s="6">
        <f t="shared" si="22"/>
        <v>12144</v>
      </c>
      <c r="O37" s="6">
        <f t="shared" si="23"/>
        <v>12144</v>
      </c>
      <c r="P37" s="6">
        <f>+IFERROR(HLOOKUP($A$1,[15]손익!$G$5:$AB$252,59,),)</f>
        <v>0</v>
      </c>
      <c r="Q37" s="6">
        <f>+IFERROR(VLOOKUP($F37,'[17]부산크라샤(손익)'!$L$16:$R$29,3,),)/1000</f>
        <v>0</v>
      </c>
      <c r="R37" s="6">
        <f t="shared" si="24"/>
        <v>0</v>
      </c>
      <c r="S37" s="76">
        <f>+IFERROR(HLOOKUP($A$1,[15]손익!$G$5:$AB$252,68,),)</f>
        <v>0</v>
      </c>
      <c r="T37" s="6">
        <f>+IFERROR(VLOOKUP($F37,'[17]부산크라샤(손익)'!$L$16:$R$29,4,),)/1000</f>
        <v>0</v>
      </c>
      <c r="U37" s="6">
        <f t="shared" si="31"/>
        <v>0</v>
      </c>
      <c r="V37" s="6">
        <f t="shared" si="32"/>
        <v>0</v>
      </c>
      <c r="W37" s="6">
        <f t="shared" si="25"/>
        <v>0</v>
      </c>
      <c r="X37" s="6">
        <f t="shared" si="26"/>
        <v>0</v>
      </c>
      <c r="Y37" s="438">
        <f>+IFERROR(HLOOKUP($A$1,[16]이송계획!$G$70:$W$100,18,),)+IFERROR(HLOOKUP($A$1,[16]이송계획!$G$70:$W$100,25,),)</f>
        <v>0</v>
      </c>
      <c r="Z37" s="6">
        <f>+'[9]부산모래장(당월)'!R78</f>
        <v>36576.383999999998</v>
      </c>
      <c r="AB37" s="6">
        <f t="shared" si="27"/>
        <v>0</v>
      </c>
      <c r="AC37" s="6">
        <f t="shared" si="27"/>
        <v>48720.383999999998</v>
      </c>
      <c r="AD37" s="6">
        <f t="shared" si="28"/>
        <v>48720.383999999998</v>
      </c>
    </row>
    <row r="38" spans="5:30" ht="21.95" customHeight="1" x14ac:dyDescent="0.3">
      <c r="F38" s="432" t="s">
        <v>28</v>
      </c>
      <c r="G38" s="6">
        <f>+IFERROR(HLOOKUP($A$1,[14]손익!$G$5:$AB$252,62,),)</f>
        <v>0</v>
      </c>
      <c r="H38" s="6">
        <f>+IFERROR(VLOOKUP($F38,'[17]서부산(손익)'!$L$16:$R$29,4,),)/1000</f>
        <v>0</v>
      </c>
      <c r="I38" s="6">
        <f t="shared" si="21"/>
        <v>0</v>
      </c>
      <c r="J38" s="76">
        <f>+IFERROR(HLOOKUP($A$1,[14]손익!$G$5:$AB$252,71,),)</f>
        <v>0</v>
      </c>
      <c r="K38" s="6">
        <f>+IFERROR(VLOOKUP($F38,'[17]서부산(손익)'!$L$16:$R$29,3,),)/1000</f>
        <v>0</v>
      </c>
      <c r="L38" s="6">
        <f t="shared" si="29"/>
        <v>0</v>
      </c>
      <c r="M38" s="6">
        <f t="shared" si="30"/>
        <v>0</v>
      </c>
      <c r="N38" s="6">
        <f t="shared" si="22"/>
        <v>0</v>
      </c>
      <c r="O38" s="6">
        <f t="shared" si="23"/>
        <v>0</v>
      </c>
      <c r="P38" s="6">
        <f>+IFERROR(HLOOKUP($A$1,[15]손익!$G$5:$AB$252,60,),)</f>
        <v>0</v>
      </c>
      <c r="Q38" s="6">
        <f>+IFERROR(VLOOKUP($F38,'[17]부산크라샤(손익)'!$L$16:$R$29,3,),)/1000</f>
        <v>0</v>
      </c>
      <c r="R38" s="6">
        <f t="shared" si="24"/>
        <v>0</v>
      </c>
      <c r="S38" s="76">
        <f>+IFERROR(HLOOKUP($A$1,[15]손익!$G$5:$AB$252,69,),)</f>
        <v>0</v>
      </c>
      <c r="T38" s="6">
        <f>+IFERROR(VLOOKUP($F38,'[17]부산크라샤(손익)'!$L$16:$R$29,4,),)/1000</f>
        <v>24928</v>
      </c>
      <c r="U38" s="6">
        <f t="shared" si="31"/>
        <v>24928</v>
      </c>
      <c r="V38" s="6">
        <f t="shared" si="32"/>
        <v>0</v>
      </c>
      <c r="W38" s="6">
        <f t="shared" si="25"/>
        <v>24928</v>
      </c>
      <c r="X38" s="6">
        <f t="shared" si="26"/>
        <v>24928</v>
      </c>
      <c r="Y38" s="438">
        <f>+IFERROR(HLOOKUP($A$1,[16]이송계획!$G$70:$W$100,19,),)+IFERROR(HLOOKUP($A$1,[16]이송계획!$G$70:$W$100,26,),)</f>
        <v>143828.81118881117</v>
      </c>
      <c r="Z38" s="6">
        <f>+'[9]부산모래장(당월)'!R79</f>
        <v>79823.744000000006</v>
      </c>
      <c r="AB38" s="6">
        <f t="shared" si="27"/>
        <v>143828.81118881117</v>
      </c>
      <c r="AC38" s="6">
        <f t="shared" si="27"/>
        <v>104751.74400000001</v>
      </c>
      <c r="AD38" s="6">
        <f t="shared" si="28"/>
        <v>-39077.067188811168</v>
      </c>
    </row>
    <row r="39" spans="5:30" ht="21.95" customHeight="1" x14ac:dyDescent="0.3">
      <c r="F39" s="432" t="s">
        <v>29</v>
      </c>
      <c r="G39" s="6">
        <f>+IFERROR(HLOOKUP($A$1,[14]손익!$G$5:$AB$252,63,),)</f>
        <v>0</v>
      </c>
      <c r="H39" s="6">
        <f>+IFERROR(VLOOKUP($F39,'[17]서부산(손익)'!$L$16:$R$29,4,),)/1000</f>
        <v>0</v>
      </c>
      <c r="I39" s="6">
        <f t="shared" si="21"/>
        <v>0</v>
      </c>
      <c r="J39" s="76">
        <f>+IFERROR(HLOOKUP($A$1,[14]손익!$G$5:$AB$252,72,),)</f>
        <v>0</v>
      </c>
      <c r="K39" s="6">
        <f>+IFERROR(VLOOKUP($F39,'[17]서부산(손익)'!$L$16:$R$29,3,),)/1000</f>
        <v>2304</v>
      </c>
      <c r="L39" s="6">
        <f t="shared" si="29"/>
        <v>2304</v>
      </c>
      <c r="M39" s="6">
        <f t="shared" si="30"/>
        <v>0</v>
      </c>
      <c r="N39" s="6">
        <f t="shared" si="22"/>
        <v>2304</v>
      </c>
      <c r="O39" s="6">
        <f t="shared" si="23"/>
        <v>2304</v>
      </c>
      <c r="P39" s="6">
        <f>+IFERROR(HLOOKUP($A$1,[15]손익!$G$5:$AB$252,61,),)</f>
        <v>0</v>
      </c>
      <c r="Q39" s="6">
        <f>+IFERROR(VLOOKUP($F39,'[17]부산크라샤(손익)'!$L$16:$R$29,3,),)/1000</f>
        <v>0</v>
      </c>
      <c r="R39" s="6">
        <f t="shared" si="24"/>
        <v>0</v>
      </c>
      <c r="S39" s="76">
        <f>+IFERROR(HLOOKUP($A$1,[15]손익!$G$5:$AB$252,70,),)</f>
        <v>0</v>
      </c>
      <c r="T39" s="6">
        <f>+IFERROR(VLOOKUP($F39,'[17]부산크라샤(손익)'!$L$16:$R$29,4,),)/1000</f>
        <v>0</v>
      </c>
      <c r="U39" s="6">
        <f t="shared" si="31"/>
        <v>0</v>
      </c>
      <c r="V39" s="6">
        <f t="shared" si="32"/>
        <v>0</v>
      </c>
      <c r="W39" s="6">
        <f t="shared" si="25"/>
        <v>0</v>
      </c>
      <c r="X39" s="6">
        <f t="shared" si="26"/>
        <v>0</v>
      </c>
      <c r="Y39" s="438">
        <f>+IFERROR(HLOOKUP($A$1,[16]이송계획!$G$70:$W$100,20,),)+IFERROR(HLOOKUP($A$1,[16]이송계획!$G$70:$W$100,27,),)</f>
        <v>21761.538461538461</v>
      </c>
      <c r="Z39" s="6">
        <f>+'[9]부산모래장(당월)'!R80</f>
        <v>1968</v>
      </c>
      <c r="AB39" s="6">
        <f t="shared" si="27"/>
        <v>21761.538461538461</v>
      </c>
      <c r="AC39" s="6">
        <f t="shared" si="27"/>
        <v>4272</v>
      </c>
      <c r="AD39" s="6">
        <f t="shared" si="28"/>
        <v>-17489.538461538461</v>
      </c>
    </row>
    <row r="40" spans="5:30" ht="21.95" customHeight="1" x14ac:dyDescent="0.3">
      <c r="F40" s="432" t="s">
        <v>30</v>
      </c>
      <c r="G40" s="6">
        <f>+IFERROR(HLOOKUP($A$1,[14]손익!$G$5:$AB$252,64,),)</f>
        <v>0</v>
      </c>
      <c r="H40" s="6">
        <f>+IFERROR(VLOOKUP($F40,'[17]서부산(손익)'!$L$16:$R$29,4,),)/1000</f>
        <v>0</v>
      </c>
      <c r="I40" s="6">
        <f t="shared" si="21"/>
        <v>0</v>
      </c>
      <c r="J40" s="76">
        <f>+IFERROR(HLOOKUP($A$1,[14]손익!$G$5:$AB$252,73,),)</f>
        <v>0</v>
      </c>
      <c r="K40" s="6">
        <f>+IFERROR(VLOOKUP($F40,'[17]서부산(손익)'!$L$16:$R$29,3,),)/1000</f>
        <v>0</v>
      </c>
      <c r="L40" s="6">
        <f t="shared" si="29"/>
        <v>0</v>
      </c>
      <c r="M40" s="6">
        <f t="shared" si="30"/>
        <v>0</v>
      </c>
      <c r="N40" s="6">
        <f t="shared" si="22"/>
        <v>0</v>
      </c>
      <c r="O40" s="6">
        <f t="shared" si="23"/>
        <v>0</v>
      </c>
      <c r="P40" s="6">
        <f>+IFERROR(HLOOKUP($A$1,[15]손익!$G$5:$AB$252,62,),)</f>
        <v>0</v>
      </c>
      <c r="Q40" s="6">
        <f>+IFERROR(VLOOKUP($F40,'[17]부산크라샤(손익)'!$L$16:$R$29,3,),)/1000</f>
        <v>0</v>
      </c>
      <c r="R40" s="6">
        <f t="shared" si="24"/>
        <v>0</v>
      </c>
      <c r="S40" s="76">
        <f>+IFERROR(HLOOKUP($A$1,[15]손익!$G$5:$AB$252,71,),)</f>
        <v>0</v>
      </c>
      <c r="T40" s="6">
        <f>+IFERROR(VLOOKUP($F40,'[17]부산크라샤(손익)'!$L$16:$R$29,4,),)/1000</f>
        <v>0</v>
      </c>
      <c r="U40" s="6">
        <f t="shared" si="31"/>
        <v>0</v>
      </c>
      <c r="V40" s="6">
        <f t="shared" si="32"/>
        <v>0</v>
      </c>
      <c r="W40" s="6">
        <f t="shared" si="25"/>
        <v>0</v>
      </c>
      <c r="X40" s="6">
        <f t="shared" si="26"/>
        <v>0</v>
      </c>
      <c r="Y40" s="438">
        <f>+IFERROR(HLOOKUP($A$1,[16]이송계획!$G$70:$W$100,21,),)+IFERROR(HLOOKUP($A$1,[16]이송계획!$G$70:$W$100,28,),)</f>
        <v>0</v>
      </c>
      <c r="AB40" s="6">
        <f t="shared" si="27"/>
        <v>0</v>
      </c>
      <c r="AC40" s="6">
        <f t="shared" si="27"/>
        <v>0</v>
      </c>
      <c r="AD40" s="6">
        <f t="shared" si="28"/>
        <v>0</v>
      </c>
    </row>
    <row r="41" spans="5:30" ht="21.95" customHeight="1" x14ac:dyDescent="0.3">
      <c r="F41" s="432" t="s">
        <v>8</v>
      </c>
      <c r="G41" s="6">
        <f>SUM(G35:G40)</f>
        <v>0</v>
      </c>
      <c r="H41" s="6">
        <f>SUM(H35:H40)</f>
        <v>237044</v>
      </c>
      <c r="I41" s="6">
        <f t="shared" si="21"/>
        <v>237044</v>
      </c>
      <c r="J41" s="76">
        <f>SUM(J35:J40)</f>
        <v>0</v>
      </c>
      <c r="K41" s="76">
        <f>SUM(K35:K40)</f>
        <v>2304</v>
      </c>
      <c r="L41" s="6">
        <f t="shared" si="29"/>
        <v>2304</v>
      </c>
      <c r="M41" s="6">
        <f t="shared" si="30"/>
        <v>0</v>
      </c>
      <c r="N41" s="6">
        <f t="shared" si="30"/>
        <v>239348</v>
      </c>
      <c r="O41" s="6">
        <f t="shared" si="23"/>
        <v>239348</v>
      </c>
      <c r="P41" s="6">
        <f>SUM(P35:P40)</f>
        <v>165682.19244009253</v>
      </c>
      <c r="Q41" s="6">
        <f>SUM(Q35:Q40)</f>
        <v>179865</v>
      </c>
      <c r="R41" s="6">
        <f t="shared" si="24"/>
        <v>14182.807559907465</v>
      </c>
      <c r="S41" s="76">
        <f>SUM(S35:S40)</f>
        <v>207773.74986326191</v>
      </c>
      <c r="T41" s="76">
        <f>SUM(T35:T40)</f>
        <v>321408</v>
      </c>
      <c r="U41" s="6">
        <f t="shared" si="31"/>
        <v>113634.25013673809</v>
      </c>
      <c r="V41" s="6">
        <f t="shared" si="32"/>
        <v>373455.94230335444</v>
      </c>
      <c r="W41" s="6">
        <f t="shared" si="25"/>
        <v>501273</v>
      </c>
      <c r="X41" s="6">
        <f t="shared" si="26"/>
        <v>127817.05769664556</v>
      </c>
      <c r="Y41" s="6">
        <f>SUM(Y35:Y40)</f>
        <v>312361.52710826986</v>
      </c>
      <c r="Z41" s="6">
        <f>SUM(Z35:Z40)</f>
        <v>316969.67200000002</v>
      </c>
      <c r="AB41" s="6">
        <f t="shared" si="27"/>
        <v>685817.46941162436</v>
      </c>
      <c r="AC41" s="6">
        <f t="shared" si="27"/>
        <v>1057590.672</v>
      </c>
      <c r="AD41" s="6">
        <f t="shared" si="28"/>
        <v>371773.20258837566</v>
      </c>
    </row>
    <row r="42" spans="5:30" ht="21.95" customHeight="1" x14ac:dyDescent="0.3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M42" s="6" t="b">
        <f>+M41=M13</f>
        <v>1</v>
      </c>
      <c r="N42" s="6" t="b">
        <f>+N41=N13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</row>
    <row r="43" spans="5:30" ht="21.95" customHeight="1" x14ac:dyDescent="0.3"/>
    <row r="44" spans="5:30" ht="21.95" customHeight="1" x14ac:dyDescent="0.3"/>
    <row r="45" spans="5:30" ht="21.95" customHeight="1" x14ac:dyDescent="0.3"/>
    <row r="46" spans="5:30" ht="21.95" customHeight="1" x14ac:dyDescent="0.3"/>
    <row r="47" spans="5:30" ht="21.95" customHeight="1" x14ac:dyDescent="0.3"/>
    <row r="48" spans="5:30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6ED8-5E52-4D82-B96B-B96DE3FEDC7F}">
  <sheetPr>
    <tabColor theme="0" tint="-0.249977111117893"/>
    <pageSetUpPr fitToPage="1"/>
  </sheetPr>
  <dimension ref="A1:AG53"/>
  <sheetViews>
    <sheetView showGridLines="0" showZeros="0" view="pageBreakPreview" zoomScale="60" zoomScaleNormal="85" workbookViewId="0">
      <pane xSplit="6" ySplit="7" topLeftCell="G20" activePane="bottomRight" state="frozen"/>
      <selection activeCell="N19" sqref="N19"/>
      <selection pane="topRight" activeCell="N19" sqref="N19"/>
      <selection pane="bottomLeft" activeCell="N19" sqref="N19"/>
      <selection pane="bottomRight" activeCell="N19" sqref="N19"/>
    </sheetView>
  </sheetViews>
  <sheetFormatPr defaultRowHeight="16.5" x14ac:dyDescent="0.3"/>
  <cols>
    <col min="1" max="3" width="5.625" style="6" customWidth="1"/>
    <col min="4" max="4" width="3.125" style="6" customWidth="1"/>
    <col min="5" max="6" width="8.625" style="6" customWidth="1"/>
    <col min="7" max="30" width="10.625" style="6" customWidth="1"/>
    <col min="31" max="31" width="9" style="6"/>
    <col min="32" max="33" width="14.25" style="6" customWidth="1"/>
    <col min="34" max="16384" width="9" style="6"/>
  </cols>
  <sheetData>
    <row r="1" spans="1:33" ht="22.5" customHeight="1" x14ac:dyDescent="0.3">
      <c r="A1" s="423" t="s">
        <v>225</v>
      </c>
    </row>
    <row r="2" spans="1:33" ht="9.75" customHeight="1" x14ac:dyDescent="0.3"/>
    <row r="3" spans="1:33" ht="9.9499999999999993" customHeight="1" x14ac:dyDescent="0.3"/>
    <row r="4" spans="1:33" ht="31.5" x14ac:dyDescent="0.3">
      <c r="D4" s="184" t="s">
        <v>226</v>
      </c>
      <c r="F4" s="184"/>
      <c r="I4" s="184"/>
    </row>
    <row r="5" spans="1:33" ht="21.95" customHeight="1" thickBot="1" x14ac:dyDescent="0.35">
      <c r="J5" s="76"/>
      <c r="Y5" s="76"/>
      <c r="AB5" s="76"/>
      <c r="AD5" s="186" t="s">
        <v>167</v>
      </c>
    </row>
    <row r="6" spans="1:33" ht="24" customHeight="1" thickTop="1" x14ac:dyDescent="0.3">
      <c r="D6" s="296" t="s">
        <v>15</v>
      </c>
      <c r="E6" s="840" t="s">
        <v>11</v>
      </c>
      <c r="F6" s="841"/>
      <c r="G6" s="294" t="s">
        <v>140</v>
      </c>
      <c r="H6" s="293"/>
      <c r="I6" s="293"/>
      <c r="J6" s="293" t="s">
        <v>139</v>
      </c>
      <c r="K6" s="293"/>
      <c r="L6" s="295"/>
      <c r="M6" s="389" t="s">
        <v>138</v>
      </c>
      <c r="N6" s="390"/>
      <c r="O6" s="391"/>
      <c r="P6" s="294" t="s">
        <v>186</v>
      </c>
      <c r="Q6" s="293"/>
      <c r="R6" s="293"/>
      <c r="S6" s="293" t="s">
        <v>187</v>
      </c>
      <c r="T6" s="293"/>
      <c r="U6" s="295"/>
      <c r="V6" s="389" t="s">
        <v>188</v>
      </c>
      <c r="W6" s="390"/>
      <c r="X6" s="391"/>
      <c r="Y6" s="388" t="s">
        <v>137</v>
      </c>
      <c r="Z6" s="293"/>
      <c r="AA6" s="295"/>
      <c r="AB6" s="389" t="s">
        <v>136</v>
      </c>
      <c r="AC6" s="390"/>
      <c r="AD6" s="391"/>
    </row>
    <row r="7" spans="1:33" ht="24" customHeight="1" x14ac:dyDescent="0.3">
      <c r="D7" s="292"/>
      <c r="E7" s="842"/>
      <c r="F7" s="843"/>
      <c r="G7" s="288" t="s">
        <v>12</v>
      </c>
      <c r="H7" s="374" t="s">
        <v>13</v>
      </c>
      <c r="I7" s="291" t="s">
        <v>36</v>
      </c>
      <c r="J7" s="290" t="s">
        <v>15</v>
      </c>
      <c r="K7" s="374" t="s">
        <v>16</v>
      </c>
      <c r="L7" s="289" t="s">
        <v>36</v>
      </c>
      <c r="M7" s="392" t="s">
        <v>15</v>
      </c>
      <c r="N7" s="374" t="s">
        <v>16</v>
      </c>
      <c r="O7" s="393" t="s">
        <v>36</v>
      </c>
      <c r="P7" s="288" t="s">
        <v>12</v>
      </c>
      <c r="Q7" s="374" t="s">
        <v>13</v>
      </c>
      <c r="R7" s="291" t="s">
        <v>36</v>
      </c>
      <c r="S7" s="290" t="s">
        <v>15</v>
      </c>
      <c r="T7" s="374" t="s">
        <v>16</v>
      </c>
      <c r="U7" s="289" t="s">
        <v>36</v>
      </c>
      <c r="V7" s="392" t="s">
        <v>15</v>
      </c>
      <c r="W7" s="374" t="s">
        <v>16</v>
      </c>
      <c r="X7" s="393" t="s">
        <v>36</v>
      </c>
      <c r="Y7" s="289" t="s">
        <v>15</v>
      </c>
      <c r="Z7" s="374" t="s">
        <v>16</v>
      </c>
      <c r="AA7" s="289" t="s">
        <v>36</v>
      </c>
      <c r="AB7" s="392" t="s">
        <v>15</v>
      </c>
      <c r="AC7" s="374" t="s">
        <v>16</v>
      </c>
      <c r="AD7" s="393" t="s">
        <v>36</v>
      </c>
    </row>
    <row r="8" spans="1:33" ht="24" customHeight="1" x14ac:dyDescent="0.3">
      <c r="D8" s="77"/>
      <c r="E8" s="265" t="s">
        <v>110</v>
      </c>
      <c r="F8" s="264" t="s">
        <v>132</v>
      </c>
      <c r="G8" s="260">
        <f>+'골재사업소(당월)'!G8+'[4]골재사업소(누계)'!G8</f>
        <v>21758</v>
      </c>
      <c r="H8" s="375">
        <f>+'골재사업소(당월)'!H8+'[4]골재사업소(누계)'!H8</f>
        <v>38378</v>
      </c>
      <c r="I8" s="263">
        <f>H8-G8</f>
        <v>16620</v>
      </c>
      <c r="J8" s="262">
        <f>+'골재사업소(당월)'!J8+'[4]골재사업소(누계)'!J8</f>
        <v>1751.6000000000001</v>
      </c>
      <c r="K8" s="375">
        <f>+'골재사업소(당월)'!K8+'[4]골재사업소(누계)'!K8</f>
        <v>1664</v>
      </c>
      <c r="L8" s="261">
        <f>K8-J8</f>
        <v>-87.600000000000136</v>
      </c>
      <c r="M8" s="394">
        <f>+G8+J8</f>
        <v>23509.599999999999</v>
      </c>
      <c r="N8" s="375">
        <f>+H8+K8</f>
        <v>40042</v>
      </c>
      <c r="O8" s="395">
        <f>N8-M8</f>
        <v>16532.400000000001</v>
      </c>
      <c r="P8" s="260">
        <f>+'골재사업소(당월)'!P8+'[4]골재사업소(누계)'!P8</f>
        <v>28988.04679938608</v>
      </c>
      <c r="Q8" s="375">
        <f>+'골재사업소(당월)'!Q8+'[4]골재사업소(누계)'!Q8</f>
        <v>31094</v>
      </c>
      <c r="R8" s="263">
        <f>Q8-P8</f>
        <v>2105.9532006139198</v>
      </c>
      <c r="S8" s="262">
        <f>+'골재사업소(당월)'!S8+'[4]골재사업소(누계)'!S8</f>
        <v>26108.964387575634</v>
      </c>
      <c r="T8" s="375">
        <f>+'골재사업소(당월)'!T8+'[4]골재사업소(누계)'!T8</f>
        <v>36419</v>
      </c>
      <c r="U8" s="261">
        <f>T8-S8</f>
        <v>10310.035612424366</v>
      </c>
      <c r="V8" s="394">
        <f>+P8+S8</f>
        <v>55097.01118696171</v>
      </c>
      <c r="W8" s="375">
        <f>+Q8+T8</f>
        <v>67513</v>
      </c>
      <c r="X8" s="395">
        <f>W8-V8</f>
        <v>12415.98881303829</v>
      </c>
      <c r="Y8" s="261">
        <f>+'골재사업소(당월)'!Y8+'[4]골재사업소(누계)'!Y8</f>
        <v>37031.465914483109</v>
      </c>
      <c r="Z8" s="375">
        <f>+'골재사업소(당월)'!Z8+'[4]골재사업소(누계)'!Z8</f>
        <v>39553</v>
      </c>
      <c r="AA8" s="261">
        <f>Z8-Y8</f>
        <v>2521.5340855168906</v>
      </c>
      <c r="AB8" s="394">
        <f>+M8+V8+Y8</f>
        <v>115638.07710144481</v>
      </c>
      <c r="AC8" s="375">
        <f>+N8+W8+Z8</f>
        <v>147108</v>
      </c>
      <c r="AD8" s="395">
        <f>AC8-AB8</f>
        <v>31469.922898555189</v>
      </c>
    </row>
    <row r="9" spans="1:33" ht="24" customHeight="1" x14ac:dyDescent="0.3">
      <c r="D9" s="77"/>
      <c r="E9" s="282"/>
      <c r="F9" s="287" t="s">
        <v>10</v>
      </c>
      <c r="G9" s="283">
        <f>+G8/G$12</f>
        <v>1</v>
      </c>
      <c r="H9" s="376">
        <f>+H8/H$12</f>
        <v>0.5859415554673425</v>
      </c>
      <c r="I9" s="286">
        <f>+H9-G9</f>
        <v>-0.4140584445326575</v>
      </c>
      <c r="J9" s="285">
        <f>+J8/J$12</f>
        <v>1</v>
      </c>
      <c r="K9" s="376">
        <f>+K8/K$12</f>
        <v>0.23853211009174313</v>
      </c>
      <c r="L9" s="284">
        <f>+K9-J9</f>
        <v>-0.76146788990825687</v>
      </c>
      <c r="M9" s="396">
        <f>+M8/M$12</f>
        <v>1</v>
      </c>
      <c r="N9" s="376">
        <f>+N8/N$12</f>
        <v>0.55250158677594718</v>
      </c>
      <c r="O9" s="397">
        <f>+N9-M9</f>
        <v>-0.44749841322405282</v>
      </c>
      <c r="P9" s="283">
        <f>+P8/P$12</f>
        <v>0.61692385136052985</v>
      </c>
      <c r="Q9" s="376">
        <f>+Q8/Q$12</f>
        <v>0.68419662896624567</v>
      </c>
      <c r="R9" s="286">
        <f>+Q9-P9</f>
        <v>6.7272777605715817E-2</v>
      </c>
      <c r="S9" s="285">
        <f>+S8/S$12</f>
        <v>0.36207654082013424</v>
      </c>
      <c r="T9" s="376">
        <f>+T8/T$12</f>
        <v>0.71845100708212506</v>
      </c>
      <c r="U9" s="284">
        <f>+T9-S9</f>
        <v>0.35637446626199082</v>
      </c>
      <c r="V9" s="396">
        <f>+V8/V$12</f>
        <v>0.46262295449605306</v>
      </c>
      <c r="W9" s="376">
        <f>+W8/W$12</f>
        <v>0.70225823564288459</v>
      </c>
      <c r="X9" s="397">
        <f>+W9-V9</f>
        <v>0.23963528114683152</v>
      </c>
      <c r="Y9" s="284">
        <f>+Y8/Y$12</f>
        <v>0.64367325472860437</v>
      </c>
      <c r="Z9" s="376">
        <f>+Z8/Z$12</f>
        <v>0.59832692947690069</v>
      </c>
      <c r="AA9" s="284">
        <f>+Z9-Y9</f>
        <v>-4.5346325251703679E-2</v>
      </c>
      <c r="AB9" s="396">
        <f>+AB8/AB$12</f>
        <v>0.57779148663865121</v>
      </c>
      <c r="AC9" s="376">
        <f>+AC8/AC$12</f>
        <v>0.62674625186927235</v>
      </c>
      <c r="AD9" s="397">
        <f>+AC9-AB9</f>
        <v>4.8954765230621144E-2</v>
      </c>
    </row>
    <row r="10" spans="1:33" ht="24" customHeight="1" x14ac:dyDescent="0.3">
      <c r="D10" s="258"/>
      <c r="E10" s="282"/>
      <c r="F10" s="281" t="s">
        <v>135</v>
      </c>
      <c r="G10" s="277">
        <f>+'골재사업소(당월)'!G10+'[4]골재사업소(누계)'!G10</f>
        <v>0</v>
      </c>
      <c r="H10" s="377">
        <f>+'골재사업소(당월)'!H10+'[4]골재사업소(누계)'!H10</f>
        <v>27120</v>
      </c>
      <c r="I10" s="280">
        <f>H10-G10</f>
        <v>27120</v>
      </c>
      <c r="J10" s="279">
        <f>+'골재사업소(당월)'!J10+'[4]골재사업소(누계)'!J10</f>
        <v>0</v>
      </c>
      <c r="K10" s="377">
        <f>+'골재사업소(당월)'!K10+'[4]골재사업소(누계)'!K10</f>
        <v>5312</v>
      </c>
      <c r="L10" s="278">
        <f>K10-J10</f>
        <v>5312</v>
      </c>
      <c r="M10" s="398">
        <f>+G10+J10</f>
        <v>0</v>
      </c>
      <c r="N10" s="377">
        <f>+H10+K10</f>
        <v>32432</v>
      </c>
      <c r="O10" s="399">
        <f>N10-M10</f>
        <v>32432</v>
      </c>
      <c r="P10" s="277">
        <f>+'골재사업소(당월)'!P10+'[4]골재사업소(누계)'!P10</f>
        <v>18000</v>
      </c>
      <c r="Q10" s="377">
        <f>+'골재사업소(당월)'!Q10+'[4]골재사업소(누계)'!Q10</f>
        <v>14352</v>
      </c>
      <c r="R10" s="280">
        <f>Q10-P10</f>
        <v>-3648</v>
      </c>
      <c r="S10" s="279">
        <f>+'골재사업소(당월)'!S10+'[4]골재사업소(누계)'!S10</f>
        <v>46000</v>
      </c>
      <c r="T10" s="377">
        <f>+'골재사업소(당월)'!T10+'[4]골재사업소(누계)'!T10</f>
        <v>14272</v>
      </c>
      <c r="U10" s="278">
        <f>T10-S10</f>
        <v>-31728</v>
      </c>
      <c r="V10" s="398">
        <f>+P10+S10</f>
        <v>64000</v>
      </c>
      <c r="W10" s="377">
        <f>+Q10+T10</f>
        <v>28624</v>
      </c>
      <c r="X10" s="399">
        <f>W10-V10</f>
        <v>-35376</v>
      </c>
      <c r="Y10" s="278">
        <f>+'골재사업소(당월)'!Y10+'[4]골재사업소(누계)'!Y10</f>
        <v>20500</v>
      </c>
      <c r="Z10" s="377">
        <f>+'골재사업소(당월)'!Z10+'[4]골재사업소(누계)'!Z10</f>
        <v>26553</v>
      </c>
      <c r="AA10" s="278">
        <f>Z10-Y10</f>
        <v>6053</v>
      </c>
      <c r="AB10" s="398">
        <f>+M10+V10+Y10</f>
        <v>84500</v>
      </c>
      <c r="AC10" s="377">
        <f>+N10+W10+Z10</f>
        <v>87609</v>
      </c>
      <c r="AD10" s="399">
        <f>AC10-AB10</f>
        <v>3109</v>
      </c>
    </row>
    <row r="11" spans="1:33" ht="24" customHeight="1" x14ac:dyDescent="0.3">
      <c r="D11" s="258"/>
      <c r="E11" s="259"/>
      <c r="F11" s="276" t="s">
        <v>10</v>
      </c>
      <c r="G11" s="272">
        <f>+G10/G$12</f>
        <v>0</v>
      </c>
      <c r="H11" s="378">
        <f>+H10/H$12</f>
        <v>0.4140584445326575</v>
      </c>
      <c r="I11" s="275">
        <f>+H11-G11</f>
        <v>0.4140584445326575</v>
      </c>
      <c r="J11" s="274">
        <f>+J10/J$12</f>
        <v>0</v>
      </c>
      <c r="K11" s="378">
        <f>+K10/K$12</f>
        <v>0.76146788990825687</v>
      </c>
      <c r="L11" s="273">
        <f>+K11-J11</f>
        <v>0.76146788990825687</v>
      </c>
      <c r="M11" s="400">
        <f>+M10/M$12</f>
        <v>0</v>
      </c>
      <c r="N11" s="378">
        <f>+N10/N$12</f>
        <v>0.44749841322405276</v>
      </c>
      <c r="O11" s="401">
        <f>+N11-M11</f>
        <v>0.44749841322405276</v>
      </c>
      <c r="P11" s="272">
        <f>+P10/P$12</f>
        <v>0.38307614863947009</v>
      </c>
      <c r="Q11" s="378">
        <f>+Q10/Q$12</f>
        <v>0.31580337103375433</v>
      </c>
      <c r="R11" s="275">
        <f>+Q11-P11</f>
        <v>-6.7272777605715761E-2</v>
      </c>
      <c r="S11" s="274">
        <f>+S10/S$12</f>
        <v>0.63792345917986581</v>
      </c>
      <c r="T11" s="378">
        <f>+T10/T$12</f>
        <v>0.28154899291787494</v>
      </c>
      <c r="U11" s="273">
        <f>+T11-S11</f>
        <v>-0.35637446626199087</v>
      </c>
      <c r="V11" s="400">
        <f>+V10/V$12</f>
        <v>0.53737704550394694</v>
      </c>
      <c r="W11" s="378">
        <f>+W10/W$12</f>
        <v>0.29774176435711536</v>
      </c>
      <c r="X11" s="401">
        <f>+W11-V11</f>
        <v>-0.23963528114683158</v>
      </c>
      <c r="Y11" s="273">
        <f>+Y10/Y$12</f>
        <v>0.35632674527139557</v>
      </c>
      <c r="Z11" s="378">
        <f>+Z10/Z$12</f>
        <v>0.40167307052309925</v>
      </c>
      <c r="AA11" s="273">
        <f>+Z11-Y11</f>
        <v>4.5346325251703679E-2</v>
      </c>
      <c r="AB11" s="400">
        <f>+AB10/AB$12</f>
        <v>0.42220851336134868</v>
      </c>
      <c r="AC11" s="378">
        <f>+AC10/AC$12</f>
        <v>0.37325374813072765</v>
      </c>
      <c r="AD11" s="401">
        <f>+AC11-AB11</f>
        <v>-4.8954765230621033E-2</v>
      </c>
    </row>
    <row r="12" spans="1:33" ht="24" customHeight="1" x14ac:dyDescent="0.3">
      <c r="D12" s="258"/>
      <c r="E12" s="271"/>
      <c r="F12" s="270" t="s">
        <v>43</v>
      </c>
      <c r="G12" s="266">
        <f>G8+G10</f>
        <v>21758</v>
      </c>
      <c r="H12" s="379">
        <f>H8+H10</f>
        <v>65498</v>
      </c>
      <c r="I12" s="269">
        <f t="shared" ref="I12:I32" si="0">H12-G12</f>
        <v>43740</v>
      </c>
      <c r="J12" s="268">
        <f>J8+J10</f>
        <v>1751.6000000000001</v>
      </c>
      <c r="K12" s="379">
        <f>K8+K10</f>
        <v>6976</v>
      </c>
      <c r="L12" s="267">
        <f t="shared" ref="L12:L32" si="1">K12-J12</f>
        <v>5224.3999999999996</v>
      </c>
      <c r="M12" s="402">
        <f>M8+M10</f>
        <v>23509.599999999999</v>
      </c>
      <c r="N12" s="379">
        <f>N8+N10</f>
        <v>72474</v>
      </c>
      <c r="O12" s="403">
        <f t="shared" ref="O12:O32" si="2">N12-M12</f>
        <v>48964.4</v>
      </c>
      <c r="P12" s="266">
        <f>P8+P10</f>
        <v>46988.04679938608</v>
      </c>
      <c r="Q12" s="379">
        <f>Q8+Q10</f>
        <v>45446</v>
      </c>
      <c r="R12" s="269">
        <f t="shared" ref="R12:R32" si="3">Q12-P12</f>
        <v>-1542.0467993860802</v>
      </c>
      <c r="S12" s="268">
        <f>S8+S10</f>
        <v>72108.96438757563</v>
      </c>
      <c r="T12" s="379">
        <f>T8+T10</f>
        <v>50691</v>
      </c>
      <c r="U12" s="267">
        <f t="shared" ref="U12:U32" si="4">T12-S12</f>
        <v>-21417.96438757563</v>
      </c>
      <c r="V12" s="402">
        <f>V8+V10</f>
        <v>119097.01118696171</v>
      </c>
      <c r="W12" s="379">
        <f>W8+W10</f>
        <v>96137</v>
      </c>
      <c r="X12" s="403">
        <f t="shared" ref="X12:X32" si="5">W12-V12</f>
        <v>-22960.01118696171</v>
      </c>
      <c r="Y12" s="267">
        <f>Y8+Y10</f>
        <v>57531.465914483109</v>
      </c>
      <c r="Z12" s="379">
        <f>Z8+Z10</f>
        <v>66106</v>
      </c>
      <c r="AA12" s="267">
        <f t="shared" ref="AA12:AA32" si="6">Z12-Y12</f>
        <v>8574.5340855168906</v>
      </c>
      <c r="AB12" s="402">
        <f>AB8+AB10</f>
        <v>200138.07710144483</v>
      </c>
      <c r="AC12" s="379">
        <f>AC8+AC10</f>
        <v>234717</v>
      </c>
      <c r="AD12" s="403">
        <f t="shared" ref="AD12:AD32" si="7">AC12-AB12</f>
        <v>34578.922898555174</v>
      </c>
      <c r="AF12" s="6">
        <f>+'골재사업소(당월)'!AF12+'[4]골재사업소(누계)'!AF12</f>
        <v>200138.0771014448</v>
      </c>
      <c r="AG12" s="6">
        <f>+'골재사업소(당월)'!AG12+'[4]골재사업소(누계)'!AG12</f>
        <v>234717</v>
      </c>
    </row>
    <row r="13" spans="1:33" ht="24" customHeight="1" x14ac:dyDescent="0.3">
      <c r="D13" s="258"/>
      <c r="E13" s="265" t="s">
        <v>77</v>
      </c>
      <c r="F13" s="264" t="s">
        <v>132</v>
      </c>
      <c r="G13" s="260">
        <f>+'골재사업소(당월)'!G13+'[4]골재사업소(누계)'!G13</f>
        <v>348128</v>
      </c>
      <c r="H13" s="375">
        <f>+'골재사업소(당월)'!H13+'[4]골재사업소(누계)'!H13</f>
        <v>623786</v>
      </c>
      <c r="I13" s="263">
        <f t="shared" si="0"/>
        <v>275658</v>
      </c>
      <c r="J13" s="262">
        <f>+'골재사업소(당월)'!J13+'[4]골재사업소(누계)'!J13</f>
        <v>18391.800000000003</v>
      </c>
      <c r="K13" s="375">
        <f>+'골재사업소(당월)'!K13+'[4]골재사업소(누계)'!K13</f>
        <v>15936</v>
      </c>
      <c r="L13" s="261">
        <f t="shared" si="1"/>
        <v>-2455.8000000000029</v>
      </c>
      <c r="M13" s="394">
        <f>+G13+J13</f>
        <v>366519.8</v>
      </c>
      <c r="N13" s="375">
        <f>+H13+K13</f>
        <v>639722</v>
      </c>
      <c r="O13" s="395">
        <f t="shared" si="2"/>
        <v>273202.2</v>
      </c>
      <c r="P13" s="260">
        <f>+'골재사업소(당월)'!P13+'[4]골재사업소(누계)'!P13</f>
        <v>463808.74879017728</v>
      </c>
      <c r="Q13" s="375">
        <f>+'골재사업소(당월)'!Q13+'[4]골재사업소(누계)'!Q13</f>
        <v>543177</v>
      </c>
      <c r="R13" s="263">
        <f t="shared" si="3"/>
        <v>79368.251209822716</v>
      </c>
      <c r="S13" s="262">
        <f>+'골재사업소(당월)'!S13+'[4]골재사업소(누계)'!S13</f>
        <v>576530.94220456213</v>
      </c>
      <c r="T13" s="375">
        <f>+'골재사업소(당월)'!T13+'[4]골재사업소(누계)'!T13</f>
        <v>804830.5</v>
      </c>
      <c r="U13" s="261">
        <f t="shared" si="4"/>
        <v>228299.55779543787</v>
      </c>
      <c r="V13" s="394">
        <f>+P13+S13</f>
        <v>1040339.6909947394</v>
      </c>
      <c r="W13" s="375">
        <f>+Q13+T13</f>
        <v>1348007.5</v>
      </c>
      <c r="X13" s="395">
        <f t="shared" si="5"/>
        <v>307667.80900526058</v>
      </c>
      <c r="Y13" s="261">
        <f>+'골재사업소(당월)'!Y13+'[4]골재사업소(누계)'!Y13</f>
        <v>1134887.3128362703</v>
      </c>
      <c r="Z13" s="375">
        <f>+'골재사업소(당월)'!Z13+'[4]골재사업소(누계)'!Z13</f>
        <v>1176937.672</v>
      </c>
      <c r="AA13" s="261">
        <f t="shared" si="6"/>
        <v>42050.359163729707</v>
      </c>
      <c r="AB13" s="394">
        <f>+M13+V13+Y13</f>
        <v>2541746.8038310097</v>
      </c>
      <c r="AC13" s="375">
        <f>+N13+W13+Z13</f>
        <v>3164667.1720000003</v>
      </c>
      <c r="AD13" s="395">
        <f t="shared" si="7"/>
        <v>622920.36816899059</v>
      </c>
      <c r="AF13" s="6" t="b">
        <f>+AF12=AB12</f>
        <v>1</v>
      </c>
      <c r="AG13" s="6" t="b">
        <f>+AG12=AC12</f>
        <v>1</v>
      </c>
    </row>
    <row r="14" spans="1:33" ht="24" customHeight="1" x14ac:dyDescent="0.3">
      <c r="D14" s="258"/>
      <c r="E14" s="259"/>
      <c r="F14" s="257" t="s">
        <v>131</v>
      </c>
      <c r="G14" s="253">
        <f>+G13/G8*1000</f>
        <v>16000</v>
      </c>
      <c r="H14" s="380">
        <f>+H13/H8*1000</f>
        <v>16253.73912137162</v>
      </c>
      <c r="I14" s="256">
        <f t="shared" si="0"/>
        <v>253.73912137162006</v>
      </c>
      <c r="J14" s="255">
        <f>+J13/J8*1000</f>
        <v>10500</v>
      </c>
      <c r="K14" s="380">
        <f>+K13/K8*1000</f>
        <v>9576.9230769230762</v>
      </c>
      <c r="L14" s="254">
        <f t="shared" si="1"/>
        <v>-923.07692307692378</v>
      </c>
      <c r="M14" s="404">
        <f>+M13/M8*1000</f>
        <v>15590.218463946643</v>
      </c>
      <c r="N14" s="380">
        <f>+N13/N8*1000</f>
        <v>15976.274911343089</v>
      </c>
      <c r="O14" s="405">
        <f t="shared" si="2"/>
        <v>386.05644739644595</v>
      </c>
      <c r="P14" s="253">
        <f>+P13/P8*1000</f>
        <v>16000</v>
      </c>
      <c r="Q14" s="380">
        <f>+Q13/Q8*1000</f>
        <v>17468.868592011324</v>
      </c>
      <c r="R14" s="256">
        <f t="shared" si="3"/>
        <v>1468.8685920113239</v>
      </c>
      <c r="S14" s="255">
        <f>+S13/S8*1000</f>
        <v>22081.72387254523</v>
      </c>
      <c r="T14" s="380">
        <f>+T13/T8*1000</f>
        <v>22099.19272906999</v>
      </c>
      <c r="U14" s="254">
        <f t="shared" si="4"/>
        <v>17.468856524759758</v>
      </c>
      <c r="V14" s="404">
        <f>+V13/V8*1000</f>
        <v>18881.962352994709</v>
      </c>
      <c r="W14" s="380">
        <f>+W13/W8*1000</f>
        <v>19966.636055278243</v>
      </c>
      <c r="X14" s="405">
        <f t="shared" si="5"/>
        <v>1084.6737022835332</v>
      </c>
      <c r="Y14" s="254">
        <f>+Y13/Y8*1000</f>
        <v>30646.567312702919</v>
      </c>
      <c r="Z14" s="380">
        <f>+Z13/Z8*1000</f>
        <v>29755.964705584913</v>
      </c>
      <c r="AA14" s="254">
        <f t="shared" si="6"/>
        <v>-890.60260711800584</v>
      </c>
      <c r="AB14" s="404">
        <f>+AB13/AB8*1000</f>
        <v>21980.189117129936</v>
      </c>
      <c r="AC14" s="380">
        <f>+AC13/AC8*1000</f>
        <v>21512.542975229084</v>
      </c>
      <c r="AD14" s="405">
        <f t="shared" si="7"/>
        <v>-467.64614190085194</v>
      </c>
    </row>
    <row r="15" spans="1:33" ht="24" customHeight="1" x14ac:dyDescent="0.3">
      <c r="D15" s="258"/>
      <c r="E15" s="666"/>
      <c r="F15" s="224" t="s">
        <v>135</v>
      </c>
      <c r="G15" s="248">
        <f>+'골재사업소(당월)'!G15+'[4]골재사업소(누계)'!G15</f>
        <v>0</v>
      </c>
      <c r="H15" s="381">
        <f>+'골재사업소(당월)'!H15+'[4]골재사업소(누계)'!H15</f>
        <v>319736</v>
      </c>
      <c r="I15" s="251">
        <f t="shared" si="0"/>
        <v>319736</v>
      </c>
      <c r="J15" s="250">
        <f>+'골재사업소(당월)'!J15+'[4]골재사업소(누계)'!J15</f>
        <v>0</v>
      </c>
      <c r="K15" s="381">
        <f>+'골재사업소(당월)'!K15+'[4]골재사업소(누계)'!K15</f>
        <v>42656</v>
      </c>
      <c r="L15" s="249">
        <f t="shared" si="1"/>
        <v>42656</v>
      </c>
      <c r="M15" s="406">
        <f>+G15+J15</f>
        <v>0</v>
      </c>
      <c r="N15" s="381">
        <f>+H15+K15</f>
        <v>362392</v>
      </c>
      <c r="O15" s="407">
        <f t="shared" si="2"/>
        <v>362392</v>
      </c>
      <c r="P15" s="248">
        <f>+'골재사업소(당월)'!P15+'[4]골재사업소(누계)'!P15</f>
        <v>216000</v>
      </c>
      <c r="Q15" s="381">
        <f>+'골재사업소(당월)'!Q15+'[4]골재사업소(누계)'!Q15</f>
        <v>186576</v>
      </c>
      <c r="R15" s="251">
        <f t="shared" si="3"/>
        <v>-29424</v>
      </c>
      <c r="S15" s="250">
        <f>+'골재사업소(당월)'!S15+'[4]골재사업소(누계)'!S15</f>
        <v>874000</v>
      </c>
      <c r="T15" s="381">
        <f>+'골재사업소(당월)'!T15+'[4]골재사업소(누계)'!T15</f>
        <v>262144</v>
      </c>
      <c r="U15" s="249">
        <f t="shared" si="4"/>
        <v>-611856</v>
      </c>
      <c r="V15" s="406">
        <f>+P15+S15</f>
        <v>1090000</v>
      </c>
      <c r="W15" s="381">
        <f>+Q15+T15</f>
        <v>448720</v>
      </c>
      <c r="X15" s="407">
        <f t="shared" si="5"/>
        <v>-641280</v>
      </c>
      <c r="Y15" s="249">
        <f>+'골재사업소(당월)'!Y15+'[4]골재사업소(누계)'!Y15</f>
        <v>642750</v>
      </c>
      <c r="Z15" s="381">
        <f>+'골재사업소(당월)'!Z15+'[4]골재사업소(누계)'!Z15</f>
        <v>805830</v>
      </c>
      <c r="AA15" s="249">
        <f t="shared" si="6"/>
        <v>163080</v>
      </c>
      <c r="AB15" s="406">
        <f>+M15+V15+Y15</f>
        <v>1732750</v>
      </c>
      <c r="AC15" s="381">
        <f>+N15+W15+Z15</f>
        <v>1616942</v>
      </c>
      <c r="AD15" s="407">
        <f t="shared" si="7"/>
        <v>-115808</v>
      </c>
    </row>
    <row r="16" spans="1:33" ht="24" customHeight="1" x14ac:dyDescent="0.3">
      <c r="D16" s="76"/>
      <c r="E16" s="666"/>
      <c r="F16" s="257" t="s">
        <v>131</v>
      </c>
      <c r="G16" s="253">
        <f>IFERROR(G15/G10,)*1000</f>
        <v>0</v>
      </c>
      <c r="H16" s="380">
        <f>IFERROR(H15/H10,)*1000</f>
        <v>11789.67551622419</v>
      </c>
      <c r="I16" s="256">
        <f t="shared" si="0"/>
        <v>11789.67551622419</v>
      </c>
      <c r="J16" s="255">
        <f>IFERROR(J15/J10,)*1000</f>
        <v>0</v>
      </c>
      <c r="K16" s="380">
        <f>IFERROR(K15/K10,)*1000</f>
        <v>8030.12048192771</v>
      </c>
      <c r="L16" s="254">
        <f t="shared" si="1"/>
        <v>8030.12048192771</v>
      </c>
      <c r="M16" s="404">
        <f>IFERROR(M15/M10,)*1000</f>
        <v>0</v>
      </c>
      <c r="N16" s="380">
        <f>IFERROR(N15/N10,)*1000</f>
        <v>11173.902318697583</v>
      </c>
      <c r="O16" s="405">
        <f t="shared" si="2"/>
        <v>11173.902318697583</v>
      </c>
      <c r="P16" s="253">
        <f>IFERROR(P15/P10,)*1000</f>
        <v>12000</v>
      </c>
      <c r="Q16" s="380">
        <f>IFERROR(Q15/Q10,)*1000</f>
        <v>13000</v>
      </c>
      <c r="R16" s="256">
        <f t="shared" si="3"/>
        <v>1000</v>
      </c>
      <c r="S16" s="255">
        <f>IFERROR(S15/S10,)*1000</f>
        <v>19000</v>
      </c>
      <c r="T16" s="380">
        <f>IFERROR(T15/T10,)*1000</f>
        <v>18367.713004484303</v>
      </c>
      <c r="U16" s="254">
        <f t="shared" si="4"/>
        <v>-632.28699551569662</v>
      </c>
      <c r="V16" s="404">
        <f>IFERROR(V15/V10,)*1000</f>
        <v>17031.25</v>
      </c>
      <c r="W16" s="380">
        <f>IFERROR(W15/W10,)*1000</f>
        <v>15676.3555058692</v>
      </c>
      <c r="X16" s="405">
        <f t="shared" si="5"/>
        <v>-1354.8944941308</v>
      </c>
      <c r="Y16" s="254">
        <f>IFERROR(Y15/Y10,)*1000</f>
        <v>31353.658536585368</v>
      </c>
      <c r="Z16" s="380">
        <f>IFERROR(Z15/Z10,)*1000</f>
        <v>30347.983278725569</v>
      </c>
      <c r="AA16" s="254">
        <f t="shared" si="6"/>
        <v>-1005.6752578597989</v>
      </c>
      <c r="AB16" s="404">
        <f>IFERROR(AB15/AB10,)*1000</f>
        <v>20505.917159763314</v>
      </c>
      <c r="AC16" s="380">
        <f>IFERROR(AC15/AC10,)*1000</f>
        <v>18456.345809220515</v>
      </c>
      <c r="AD16" s="405">
        <f t="shared" si="7"/>
        <v>-2049.5713505427993</v>
      </c>
    </row>
    <row r="17" spans="4:33" ht="24" customHeight="1" x14ac:dyDescent="0.3">
      <c r="D17" s="76"/>
      <c r="E17" s="666"/>
      <c r="F17" s="252" t="s">
        <v>43</v>
      </c>
      <c r="G17" s="248">
        <f>G13+G15</f>
        <v>348128</v>
      </c>
      <c r="H17" s="381">
        <f>H13+H15</f>
        <v>943522</v>
      </c>
      <c r="I17" s="251">
        <f t="shared" si="0"/>
        <v>595394</v>
      </c>
      <c r="J17" s="250">
        <f>J13+J15</f>
        <v>18391.800000000003</v>
      </c>
      <c r="K17" s="381">
        <f>K13+K15</f>
        <v>58592</v>
      </c>
      <c r="L17" s="249">
        <f t="shared" si="1"/>
        <v>40200.199999999997</v>
      </c>
      <c r="M17" s="406">
        <f>M13+M15</f>
        <v>366519.8</v>
      </c>
      <c r="N17" s="381">
        <f>N13+N15</f>
        <v>1002114</v>
      </c>
      <c r="O17" s="407">
        <f t="shared" si="2"/>
        <v>635594.19999999995</v>
      </c>
      <c r="P17" s="248">
        <f>P13+P15</f>
        <v>679808.74879017728</v>
      </c>
      <c r="Q17" s="381">
        <f>Q13+Q15</f>
        <v>729753</v>
      </c>
      <c r="R17" s="251">
        <f t="shared" si="3"/>
        <v>49944.251209822716</v>
      </c>
      <c r="S17" s="250">
        <f>S13+S15</f>
        <v>1450530.942204562</v>
      </c>
      <c r="T17" s="381">
        <f>T13+T15</f>
        <v>1066974.5</v>
      </c>
      <c r="U17" s="249">
        <f t="shared" si="4"/>
        <v>-383556.44220456202</v>
      </c>
      <c r="V17" s="406">
        <f>V13+V15</f>
        <v>2130339.6909947395</v>
      </c>
      <c r="W17" s="381">
        <f>W13+W15</f>
        <v>1796727.5</v>
      </c>
      <c r="X17" s="407">
        <f t="shared" si="5"/>
        <v>-333612.19099473953</v>
      </c>
      <c r="Y17" s="249">
        <f>Y13+Y15</f>
        <v>1777637.3128362703</v>
      </c>
      <c r="Z17" s="381">
        <f>Z13+Z15</f>
        <v>1982767.672</v>
      </c>
      <c r="AA17" s="249">
        <f t="shared" si="6"/>
        <v>205130.35916372971</v>
      </c>
      <c r="AB17" s="406">
        <f>AB13+AB15</f>
        <v>4274496.8038310092</v>
      </c>
      <c r="AC17" s="381">
        <f>AC13+AC15</f>
        <v>4781609.1720000003</v>
      </c>
      <c r="AD17" s="407">
        <f t="shared" si="7"/>
        <v>507112.36816899106</v>
      </c>
      <c r="AF17" s="6">
        <f>+'골재사업소(당월)'!AF17+'[4]골재사업소(누계)'!AF17</f>
        <v>4274496.8038310092</v>
      </c>
      <c r="AG17" s="6">
        <f>+'골재사업소(당월)'!AG17+'[4]골재사업소(누계)'!AG17</f>
        <v>4781609.1720000003</v>
      </c>
    </row>
    <row r="18" spans="4:33" ht="24" customHeight="1" x14ac:dyDescent="0.3">
      <c r="D18" s="76"/>
      <c r="E18" s="247" t="s">
        <v>7</v>
      </c>
      <c r="F18" s="246" t="s">
        <v>134</v>
      </c>
      <c r="G18" s="230">
        <f>+'골재사업소(당월)'!G18+'[4]골재사업소(누계)'!G18</f>
        <v>49477.844261381571</v>
      </c>
      <c r="H18" s="382">
        <f>+'골재사업소(당월)'!H18+'[4]골재사업소(누계)'!H18</f>
        <v>132783.0814518547</v>
      </c>
      <c r="I18" s="233">
        <f t="shared" si="0"/>
        <v>83305.237190473126</v>
      </c>
      <c r="J18" s="232">
        <f>+'골재사업소(당월)'!J18+'[4]골재사업소(누계)'!J18</f>
        <v>2033.3022670358764</v>
      </c>
      <c r="K18" s="382">
        <f>+'골재사업소(당월)'!K18+'[4]골재사업소(누계)'!K18</f>
        <v>7912.6041193428928</v>
      </c>
      <c r="L18" s="231">
        <f t="shared" si="1"/>
        <v>5879.3018523070168</v>
      </c>
      <c r="M18" s="408">
        <f>+G18+J18</f>
        <v>51511.146528417448</v>
      </c>
      <c r="N18" s="382">
        <f>+H18+K18</f>
        <v>140695.68557119759</v>
      </c>
      <c r="O18" s="409">
        <f t="shared" si="2"/>
        <v>89184.539042780147</v>
      </c>
      <c r="P18" s="661">
        <f>+'골재사업소(당월)'!P18+'[4]골재사업소(누계)'!P18</f>
        <v>-58935.252545994852</v>
      </c>
      <c r="Q18" s="382">
        <f>+'골재사업소(당월)'!Q18+'[4]골재사업소(누계)'!Q18</f>
        <v>367.96283332960684</v>
      </c>
      <c r="R18" s="233">
        <f t="shared" si="3"/>
        <v>59303.215379324458</v>
      </c>
      <c r="S18" s="232">
        <f>+'골재사업소(당월)'!S18+'[4]골재사업소(누계)'!S18</f>
        <v>101825.28306419322</v>
      </c>
      <c r="T18" s="382">
        <f>+'골재사업소(당월)'!T18+'[4]골재사업소(누계)'!T18</f>
        <v>174241.32707480399</v>
      </c>
      <c r="U18" s="231">
        <f t="shared" si="4"/>
        <v>72416.044010610771</v>
      </c>
      <c r="V18" s="408">
        <f>+P18+S18</f>
        <v>42890.030518198371</v>
      </c>
      <c r="W18" s="382">
        <f>+Q18+T18</f>
        <v>174609.28990813359</v>
      </c>
      <c r="X18" s="409">
        <f t="shared" si="5"/>
        <v>131719.25938993524</v>
      </c>
      <c r="Y18" s="231">
        <f>+'골재사업소(당월)'!Y18+'[4]골재사업소(누계)'!Y18</f>
        <v>46389.007524286011</v>
      </c>
      <c r="Z18" s="382">
        <f>+'골재사업소(당월)'!Z18+'[4]골재사업소(누계)'!Z18</f>
        <v>123025.382</v>
      </c>
      <c r="AA18" s="231">
        <f t="shared" si="6"/>
        <v>76636.374475713994</v>
      </c>
      <c r="AB18" s="408">
        <f t="shared" ref="AB18:AC19" si="8">+M18+V18+Y18</f>
        <v>140790.18457090182</v>
      </c>
      <c r="AC18" s="382">
        <f t="shared" si="8"/>
        <v>438330.3574793312</v>
      </c>
      <c r="AD18" s="409">
        <f t="shared" si="7"/>
        <v>297540.17290842941</v>
      </c>
      <c r="AF18" s="6" t="b">
        <f>+AF17=AB17</f>
        <v>1</v>
      </c>
      <c r="AG18" s="6" t="b">
        <f>+AG17=AC17</f>
        <v>1</v>
      </c>
    </row>
    <row r="19" spans="4:33" ht="24" customHeight="1" x14ac:dyDescent="0.3">
      <c r="D19" s="76"/>
      <c r="E19" s="166"/>
      <c r="F19" s="245" t="s">
        <v>133</v>
      </c>
      <c r="G19" s="241">
        <f>+'골재사업소(당월)'!G19+'[4]골재사업소(누계)'!G19</f>
        <v>0</v>
      </c>
      <c r="H19" s="383">
        <f>+'골재사업소(당월)'!H19+'[4]골재사업소(누계)'!H19</f>
        <v>-19177.206022931372</v>
      </c>
      <c r="I19" s="244">
        <f t="shared" si="0"/>
        <v>-19177.206022931372</v>
      </c>
      <c r="J19" s="243">
        <f>+'골재사업소(당월)'!J19+'[4]골재사업소(누계)'!J19</f>
        <v>0</v>
      </c>
      <c r="K19" s="383">
        <f>+'골재사업소(당월)'!K19+'[4]골재사업소(누계)'!K19</f>
        <v>15482.804217510176</v>
      </c>
      <c r="L19" s="242">
        <f t="shared" si="1"/>
        <v>15482.804217510176</v>
      </c>
      <c r="M19" s="410">
        <f>+G19+J19</f>
        <v>0</v>
      </c>
      <c r="N19" s="383">
        <f>+H19+K19</f>
        <v>-3694.4018054211956</v>
      </c>
      <c r="O19" s="411">
        <f t="shared" si="2"/>
        <v>-3694.4018054211956</v>
      </c>
      <c r="P19" s="241">
        <f>+'골재사업소(당월)'!P19+'[4]골재사업소(누계)'!P19</f>
        <v>-106915.33317176536</v>
      </c>
      <c r="Q19" s="383">
        <f>+'골재사업소(당월)'!Q19+'[4]골재사업소(누계)'!Q19</f>
        <v>-62210.050221191224</v>
      </c>
      <c r="R19" s="244">
        <f t="shared" si="3"/>
        <v>44705.282950574139</v>
      </c>
      <c r="S19" s="243">
        <f>+'골재사업소(당월)'!S19+'[4]골재사업소(누계)'!S19</f>
        <v>41536.571756130354</v>
      </c>
      <c r="T19" s="383">
        <f>+'골재사업소(당월)'!T19+'[4]골재사업소(누계)'!T19</f>
        <v>15967.674183057583</v>
      </c>
      <c r="U19" s="242">
        <f t="shared" si="4"/>
        <v>-25568.897573072769</v>
      </c>
      <c r="V19" s="410">
        <f>+P19+S19</f>
        <v>-65378.76141563501</v>
      </c>
      <c r="W19" s="383">
        <f>+Q19+T19</f>
        <v>-46242.37603813364</v>
      </c>
      <c r="X19" s="411">
        <f t="shared" si="5"/>
        <v>19136.38537750137</v>
      </c>
      <c r="Y19" s="242">
        <f>+'골재사업소(당월)'!Y19+'[4]골재사업소(누계)'!Y19</f>
        <v>28574.476849390976</v>
      </c>
      <c r="Z19" s="383">
        <f>+'골재사업소(당월)'!Z19+'[4]골재사업소(누계)'!Z19</f>
        <v>30727.113235837816</v>
      </c>
      <c r="AA19" s="242">
        <f t="shared" si="6"/>
        <v>2152.6363864468403</v>
      </c>
      <c r="AB19" s="410">
        <f t="shared" si="8"/>
        <v>-36804.284566244038</v>
      </c>
      <c r="AC19" s="383">
        <f t="shared" si="8"/>
        <v>-19209.664607717023</v>
      </c>
      <c r="AD19" s="411">
        <f t="shared" si="7"/>
        <v>17594.619958527015</v>
      </c>
    </row>
    <row r="20" spans="4:33" ht="24" customHeight="1" x14ac:dyDescent="0.3">
      <c r="D20" s="76"/>
      <c r="E20" s="667"/>
      <c r="F20" s="240" t="s">
        <v>58</v>
      </c>
      <c r="G20" s="236">
        <f>G18+G19</f>
        <v>49477.844261381571</v>
      </c>
      <c r="H20" s="384">
        <f>H18+H19</f>
        <v>113605.87542892332</v>
      </c>
      <c r="I20" s="239">
        <f t="shared" si="0"/>
        <v>64128.031167541747</v>
      </c>
      <c r="J20" s="238">
        <f>J18+J19</f>
        <v>2033.3022670358764</v>
      </c>
      <c r="K20" s="384">
        <f>K18+K19</f>
        <v>23395.40833685307</v>
      </c>
      <c r="L20" s="237">
        <f t="shared" si="1"/>
        <v>21362.106069817193</v>
      </c>
      <c r="M20" s="412">
        <f>M18+M19</f>
        <v>51511.146528417448</v>
      </c>
      <c r="N20" s="384">
        <f>N18+N19</f>
        <v>137001.2837657764</v>
      </c>
      <c r="O20" s="413">
        <f t="shared" si="2"/>
        <v>85490.137237358955</v>
      </c>
      <c r="P20" s="236">
        <f>P18+P19</f>
        <v>-165850.5857177602</v>
      </c>
      <c r="Q20" s="384">
        <f>Q18+Q19</f>
        <v>-61842.087387861618</v>
      </c>
      <c r="R20" s="239">
        <f t="shared" si="3"/>
        <v>104008.49832989858</v>
      </c>
      <c r="S20" s="238">
        <f>S18+S19</f>
        <v>143361.85482032358</v>
      </c>
      <c r="T20" s="384">
        <f>T18+T19</f>
        <v>190209.00125786159</v>
      </c>
      <c r="U20" s="237">
        <f t="shared" si="4"/>
        <v>46847.146437538002</v>
      </c>
      <c r="V20" s="412">
        <f>V18+V19</f>
        <v>-22488.730897436639</v>
      </c>
      <c r="W20" s="384">
        <f>W18+W19</f>
        <v>128366.91386999996</v>
      </c>
      <c r="X20" s="413">
        <f t="shared" si="5"/>
        <v>150855.64476743661</v>
      </c>
      <c r="Y20" s="237">
        <f>Y18+Y19</f>
        <v>74963.484373676984</v>
      </c>
      <c r="Z20" s="384">
        <f>Z18+Z19</f>
        <v>153752.49523583782</v>
      </c>
      <c r="AA20" s="237">
        <f t="shared" si="6"/>
        <v>78789.010862160838</v>
      </c>
      <c r="AB20" s="412">
        <f>AB18+AB19</f>
        <v>103985.90000465779</v>
      </c>
      <c r="AC20" s="384">
        <f>AC18+AC19</f>
        <v>419120.69287161418</v>
      </c>
      <c r="AD20" s="413">
        <f t="shared" si="7"/>
        <v>315134.79286695638</v>
      </c>
      <c r="AF20" s="6">
        <f>+'골재사업소(당월)'!AF20+'[4]골재사업소(누계)'!AF20</f>
        <v>103985.9000046576</v>
      </c>
      <c r="AG20" s="6">
        <f>+'골재사업소(당월)'!AG20+'[4]골재사업소(누계)'!AG20</f>
        <v>419120.69286161434</v>
      </c>
    </row>
    <row r="21" spans="4:33" ht="24" customHeight="1" x14ac:dyDescent="0.3">
      <c r="D21" s="76"/>
      <c r="E21" s="235" t="s">
        <v>132</v>
      </c>
      <c r="F21" s="234" t="s">
        <v>25</v>
      </c>
      <c r="G21" s="230">
        <f>+'골재사업소(당월)'!G21+'[4]골재사업소(누계)'!G21</f>
        <v>0</v>
      </c>
      <c r="H21" s="382">
        <f>+'골재사업소(당월)'!H21+'[4]골재사업소(누계)'!H21</f>
        <v>2864</v>
      </c>
      <c r="I21" s="233">
        <f t="shared" si="0"/>
        <v>2864</v>
      </c>
      <c r="J21" s="232">
        <f>+'골재사업소(당월)'!J21+'[4]골재사업소(누계)'!J21</f>
        <v>0</v>
      </c>
      <c r="K21" s="382">
        <f>+'골재사업소(당월)'!K21+'[4]골재사업소(누계)'!K21</f>
        <v>0</v>
      </c>
      <c r="L21" s="231">
        <f t="shared" si="1"/>
        <v>0</v>
      </c>
      <c r="M21" s="408">
        <f t="shared" ref="M21:N26" si="9">+G21+J21</f>
        <v>0</v>
      </c>
      <c r="N21" s="382">
        <f t="shared" si="9"/>
        <v>2864</v>
      </c>
      <c r="O21" s="409">
        <f t="shared" si="2"/>
        <v>2864</v>
      </c>
      <c r="P21" s="230">
        <f>+'골재사업소(당월)'!P21+'[4]골재사업소(누계)'!P21</f>
        <v>28988.04679938608</v>
      </c>
      <c r="Q21" s="382">
        <f>+'골재사업소(당월)'!Q21+'[4]골재사업소(누계)'!Q21</f>
        <v>30918</v>
      </c>
      <c r="R21" s="233">
        <f t="shared" si="3"/>
        <v>1929.9532006139198</v>
      </c>
      <c r="S21" s="232">
        <f>+'골재사업소(당월)'!S21+'[4]골재사업소(누계)'!S21</f>
        <v>20115.154710156276</v>
      </c>
      <c r="T21" s="382">
        <f>+'골재사업소(당월)'!T21+'[4]골재사업소(누계)'!T21</f>
        <v>22323</v>
      </c>
      <c r="U21" s="231">
        <f t="shared" si="4"/>
        <v>2207.8452898437245</v>
      </c>
      <c r="V21" s="408">
        <f t="shared" ref="V21:W26" si="10">+P21+S21</f>
        <v>49103.201509542356</v>
      </c>
      <c r="W21" s="382">
        <f t="shared" si="10"/>
        <v>53241</v>
      </c>
      <c r="X21" s="409">
        <f t="shared" si="5"/>
        <v>4137.7984904576442</v>
      </c>
      <c r="Y21" s="231">
        <f>+'골재사업소(당월)'!Y21+'[4]골재사업소(누계)'!Y21</f>
        <v>11320.102278119468</v>
      </c>
      <c r="Z21" s="382">
        <f>+'골재사업소(당월)'!Z21+'[4]골재사업소(누계)'!Z21</f>
        <v>13233</v>
      </c>
      <c r="AA21" s="231">
        <f t="shared" si="6"/>
        <v>1912.8977218805321</v>
      </c>
      <c r="AB21" s="408">
        <f t="shared" ref="AB21:AC26" si="11">+M21+V21+Y21</f>
        <v>60423.303787661825</v>
      </c>
      <c r="AC21" s="382">
        <f t="shared" si="11"/>
        <v>69338</v>
      </c>
      <c r="AD21" s="409">
        <f t="shared" si="7"/>
        <v>8914.6962123381745</v>
      </c>
      <c r="AF21" s="595" t="b">
        <f>+AF20=AB20</f>
        <v>1</v>
      </c>
      <c r="AG21" s="595" t="b">
        <f>+AG20=AC20</f>
        <v>0</v>
      </c>
    </row>
    <row r="22" spans="4:33" ht="24" customHeight="1" x14ac:dyDescent="0.3">
      <c r="D22" s="76"/>
      <c r="E22" s="166" t="s">
        <v>0</v>
      </c>
      <c r="F22" s="221" t="s">
        <v>26</v>
      </c>
      <c r="G22" s="226">
        <f>+'골재사업소(당월)'!G22+'[4]골재사업소(누계)'!G22</f>
        <v>21758</v>
      </c>
      <c r="H22" s="385">
        <f>+'골재사업소(당월)'!H22+'[4]골재사업소(누계)'!H22</f>
        <v>32650</v>
      </c>
      <c r="I22" s="229">
        <f t="shared" si="0"/>
        <v>10892</v>
      </c>
      <c r="J22" s="228">
        <f>+'골재사업소(당월)'!J22+'[4]골재사업소(누계)'!J22</f>
        <v>1751.6000000000001</v>
      </c>
      <c r="K22" s="385">
        <f>+'골재사업소(당월)'!K22+'[4]골재사업소(누계)'!K22</f>
        <v>640</v>
      </c>
      <c r="L22" s="227">
        <f t="shared" si="1"/>
        <v>-1111.6000000000001</v>
      </c>
      <c r="M22" s="414">
        <f t="shared" si="9"/>
        <v>23509.599999999999</v>
      </c>
      <c r="N22" s="385">
        <f t="shared" si="9"/>
        <v>33290</v>
      </c>
      <c r="O22" s="415">
        <f t="shared" si="2"/>
        <v>9780.4000000000015</v>
      </c>
      <c r="P22" s="226">
        <f>+'골재사업소(당월)'!P22+'[4]골재사업소(누계)'!P22</f>
        <v>0</v>
      </c>
      <c r="Q22" s="385">
        <f>+'골재사업소(당월)'!Q22+'[4]골재사업소(누계)'!Q22</f>
        <v>176</v>
      </c>
      <c r="R22" s="229">
        <f t="shared" si="3"/>
        <v>176</v>
      </c>
      <c r="S22" s="228">
        <f>+'골재사업소(당월)'!S22+'[4]골재사업소(누계)'!S22</f>
        <v>5993.8096774193555</v>
      </c>
      <c r="T22" s="385">
        <f>+'골재사업소(당월)'!T22+'[4]골재사업소(누계)'!T22</f>
        <v>12416</v>
      </c>
      <c r="U22" s="227">
        <f t="shared" si="4"/>
        <v>6422.1903225806445</v>
      </c>
      <c r="V22" s="414">
        <f t="shared" si="10"/>
        <v>5993.8096774193555</v>
      </c>
      <c r="W22" s="385">
        <f t="shared" si="10"/>
        <v>12592</v>
      </c>
      <c r="X22" s="415">
        <f t="shared" si="5"/>
        <v>6598.1903225806445</v>
      </c>
      <c r="Y22" s="227">
        <f>+'골재사업소(당월)'!Y22+'[4]골재사업소(누계)'!Y22</f>
        <v>6926.8251748251751</v>
      </c>
      <c r="Z22" s="385">
        <f>+'골재사업소(당월)'!Z22+'[4]골재사업소(누계)'!Z22</f>
        <v>9200</v>
      </c>
      <c r="AA22" s="227">
        <f t="shared" si="6"/>
        <v>2273.1748251748249</v>
      </c>
      <c r="AB22" s="414">
        <f t="shared" si="11"/>
        <v>36430.234852244525</v>
      </c>
      <c r="AC22" s="385">
        <f t="shared" si="11"/>
        <v>55082</v>
      </c>
      <c r="AD22" s="415">
        <f t="shared" si="7"/>
        <v>18651.765147755475</v>
      </c>
      <c r="AF22" s="99">
        <f>+AB20-AF20</f>
        <v>1.8917489796876907E-10</v>
      </c>
      <c r="AG22" s="99">
        <f>+AC20-AG20</f>
        <v>9.9998433142900467E-6</v>
      </c>
    </row>
    <row r="23" spans="4:33" ht="24" customHeight="1" x14ac:dyDescent="0.3">
      <c r="D23" s="76"/>
      <c r="E23" s="166"/>
      <c r="F23" s="221" t="s">
        <v>27</v>
      </c>
      <c r="G23" s="226">
        <f>+'골재사업소(당월)'!G23+'[4]골재사업소(누계)'!G23</f>
        <v>0</v>
      </c>
      <c r="H23" s="385">
        <f>+'골재사업소(당월)'!H23+'[4]골재사업소(누계)'!H23</f>
        <v>2704</v>
      </c>
      <c r="I23" s="229">
        <f t="shared" si="0"/>
        <v>2704</v>
      </c>
      <c r="J23" s="228">
        <f>+'골재사업소(당월)'!J23+'[4]골재사업소(누계)'!J23</f>
        <v>0</v>
      </c>
      <c r="K23" s="385">
        <f>+'골재사업소(당월)'!K23+'[4]골재사업소(누계)'!K23</f>
        <v>0</v>
      </c>
      <c r="L23" s="227">
        <f t="shared" si="1"/>
        <v>0</v>
      </c>
      <c r="M23" s="414">
        <f t="shared" si="9"/>
        <v>0</v>
      </c>
      <c r="N23" s="385">
        <f t="shared" si="9"/>
        <v>2704</v>
      </c>
      <c r="O23" s="415">
        <f t="shared" si="2"/>
        <v>2704</v>
      </c>
      <c r="P23" s="226">
        <f>+'골재사업소(당월)'!P23+'[4]골재사업소(누계)'!P23</f>
        <v>0</v>
      </c>
      <c r="Q23" s="385">
        <f>+'골재사업소(당월)'!Q23+'[4]골재사업소(누계)'!Q23</f>
        <v>0</v>
      </c>
      <c r="R23" s="229">
        <f t="shared" si="3"/>
        <v>0</v>
      </c>
      <c r="S23" s="228">
        <f>+'골재사업소(당월)'!S23+'[4]골재사업소(누계)'!S23</f>
        <v>0</v>
      </c>
      <c r="T23" s="385">
        <f>+'골재사업소(당월)'!T23+'[4]골재사업소(누계)'!T23</f>
        <v>0</v>
      </c>
      <c r="U23" s="227">
        <f t="shared" si="4"/>
        <v>0</v>
      </c>
      <c r="V23" s="414">
        <f t="shared" si="10"/>
        <v>0</v>
      </c>
      <c r="W23" s="385">
        <f t="shared" si="10"/>
        <v>0</v>
      </c>
      <c r="X23" s="415">
        <f t="shared" si="5"/>
        <v>0</v>
      </c>
      <c r="Y23" s="227">
        <f>+'골재사업소(당월)'!Y23+'[4]골재사업소(누계)'!Y23</f>
        <v>4118.8811188811187</v>
      </c>
      <c r="Z23" s="385">
        <f>+'골재사업소(당월)'!Z23+'[4]골재사업소(누계)'!Z23</f>
        <v>0</v>
      </c>
      <c r="AA23" s="227">
        <f t="shared" si="6"/>
        <v>-4118.8811188811187</v>
      </c>
      <c r="AB23" s="414">
        <f t="shared" si="11"/>
        <v>4118.8811188811187</v>
      </c>
      <c r="AC23" s="385">
        <f t="shared" si="11"/>
        <v>2704</v>
      </c>
      <c r="AD23" s="415">
        <f t="shared" si="7"/>
        <v>-1414.8811188811187</v>
      </c>
    </row>
    <row r="24" spans="4:33" ht="24" customHeight="1" x14ac:dyDescent="0.3">
      <c r="D24" s="76"/>
      <c r="E24" s="166"/>
      <c r="F24" s="221" t="s">
        <v>28</v>
      </c>
      <c r="G24" s="226">
        <f>+'골재사업소(당월)'!G24+'[4]골재사업소(누계)'!G24</f>
        <v>0</v>
      </c>
      <c r="H24" s="385">
        <f>+'골재사업소(당월)'!H24+'[4]골재사업소(누계)'!H24</f>
        <v>0</v>
      </c>
      <c r="I24" s="229">
        <f t="shared" si="0"/>
        <v>0</v>
      </c>
      <c r="J24" s="228">
        <f>+'골재사업소(당월)'!J24+'[4]골재사업소(누계)'!J24</f>
        <v>0</v>
      </c>
      <c r="K24" s="385">
        <f>+'골재사업소(당월)'!K24+'[4]골재사업소(누계)'!K24</f>
        <v>0</v>
      </c>
      <c r="L24" s="227">
        <f t="shared" si="1"/>
        <v>0</v>
      </c>
      <c r="M24" s="414">
        <f t="shared" si="9"/>
        <v>0</v>
      </c>
      <c r="N24" s="385">
        <f t="shared" si="9"/>
        <v>0</v>
      </c>
      <c r="O24" s="415">
        <f t="shared" si="2"/>
        <v>0</v>
      </c>
      <c r="P24" s="226">
        <f>+'골재사업소(당월)'!P24+'[4]골재사업소(누계)'!P24</f>
        <v>0</v>
      </c>
      <c r="Q24" s="385">
        <f>+'골재사업소(당월)'!Q24+'[4]골재사업소(누계)'!Q24</f>
        <v>0</v>
      </c>
      <c r="R24" s="229">
        <f t="shared" si="3"/>
        <v>0</v>
      </c>
      <c r="S24" s="228">
        <f>+'골재사업소(당월)'!S24+'[4]골재사업소(누계)'!S24</f>
        <v>0</v>
      </c>
      <c r="T24" s="385">
        <f>+'골재사업소(당월)'!T24+'[4]골재사업소(누계)'!T24</f>
        <v>1440</v>
      </c>
      <c r="U24" s="227">
        <f t="shared" si="4"/>
        <v>1440</v>
      </c>
      <c r="V24" s="414">
        <f t="shared" si="10"/>
        <v>0</v>
      </c>
      <c r="W24" s="385">
        <f t="shared" si="10"/>
        <v>1440</v>
      </c>
      <c r="X24" s="415">
        <f t="shared" si="5"/>
        <v>1440</v>
      </c>
      <c r="Y24" s="227">
        <f>+'골재사업소(당월)'!Y24+'[4]골재사업소(누계)'!Y24</f>
        <v>12043.636363636362</v>
      </c>
      <c r="Z24" s="385">
        <f>+'골재사업소(당월)'!Z24+'[4]골재사업소(누계)'!Z24</f>
        <v>0</v>
      </c>
      <c r="AA24" s="227">
        <f t="shared" si="6"/>
        <v>-12043.636363636362</v>
      </c>
      <c r="AB24" s="414">
        <f t="shared" si="11"/>
        <v>12043.636363636362</v>
      </c>
      <c r="AC24" s="385">
        <f t="shared" si="11"/>
        <v>1440</v>
      </c>
      <c r="AD24" s="415">
        <f t="shared" si="7"/>
        <v>-10603.636363636362</v>
      </c>
    </row>
    <row r="25" spans="4:33" ht="24" customHeight="1" x14ac:dyDescent="0.3">
      <c r="D25" s="76"/>
      <c r="E25" s="166"/>
      <c r="F25" s="221" t="s">
        <v>29</v>
      </c>
      <c r="G25" s="226">
        <f>+'골재사업소(당월)'!G25+'[4]골재사업소(누계)'!G25</f>
        <v>0</v>
      </c>
      <c r="H25" s="385">
        <f>+'골재사업소(당월)'!H25+'[4]골재사업소(누계)'!H25</f>
        <v>0</v>
      </c>
      <c r="I25" s="229">
        <f t="shared" si="0"/>
        <v>0</v>
      </c>
      <c r="J25" s="228">
        <f>+'골재사업소(당월)'!J25+'[4]골재사업소(누계)'!J25</f>
        <v>0</v>
      </c>
      <c r="K25" s="385">
        <f>+'골재사업소(당월)'!K25+'[4]골재사업소(누계)'!K25</f>
        <v>784</v>
      </c>
      <c r="L25" s="227">
        <f t="shared" si="1"/>
        <v>784</v>
      </c>
      <c r="M25" s="414">
        <f t="shared" si="9"/>
        <v>0</v>
      </c>
      <c r="N25" s="385">
        <f t="shared" si="9"/>
        <v>784</v>
      </c>
      <c r="O25" s="415">
        <f t="shared" si="2"/>
        <v>784</v>
      </c>
      <c r="P25" s="226">
        <f>+'골재사업소(당월)'!P25+'[4]골재사업소(누계)'!P25</f>
        <v>0</v>
      </c>
      <c r="Q25" s="385">
        <f>+'골재사업소(당월)'!Q25+'[4]골재사업소(누계)'!Q25</f>
        <v>0</v>
      </c>
      <c r="R25" s="229">
        <f t="shared" si="3"/>
        <v>0</v>
      </c>
      <c r="S25" s="228">
        <f>+'골재사업소(당월)'!S25+'[4]골재사업소(누계)'!S25</f>
        <v>0</v>
      </c>
      <c r="T25" s="385">
        <f>+'골재사업소(당월)'!T25+'[4]골재사업소(누계)'!T25</f>
        <v>240</v>
      </c>
      <c r="U25" s="227">
        <f t="shared" si="4"/>
        <v>240</v>
      </c>
      <c r="V25" s="414">
        <f t="shared" si="10"/>
        <v>0</v>
      </c>
      <c r="W25" s="385">
        <f t="shared" si="10"/>
        <v>240</v>
      </c>
      <c r="X25" s="415">
        <f t="shared" si="5"/>
        <v>240</v>
      </c>
      <c r="Y25" s="227">
        <f>+'골재사업소(당월)'!Y25+'[4]골재사업소(누계)'!Y25</f>
        <v>2622.0209790209792</v>
      </c>
      <c r="Z25" s="385">
        <f>+'골재사업소(당월)'!Z25+'[4]골재사업소(누계)'!Z25</f>
        <v>6256</v>
      </c>
      <c r="AA25" s="227">
        <f t="shared" si="6"/>
        <v>3633.9790209790208</v>
      </c>
      <c r="AB25" s="414">
        <f t="shared" si="11"/>
        <v>2622.0209790209792</v>
      </c>
      <c r="AC25" s="385">
        <f t="shared" si="11"/>
        <v>7280</v>
      </c>
      <c r="AD25" s="415">
        <f t="shared" si="7"/>
        <v>4657.9790209790208</v>
      </c>
    </row>
    <row r="26" spans="4:33" ht="24" customHeight="1" x14ac:dyDescent="0.3">
      <c r="D26" s="76"/>
      <c r="E26" s="166"/>
      <c r="F26" s="221" t="s">
        <v>30</v>
      </c>
      <c r="G26" s="226">
        <f>+'골재사업소(당월)'!G26+'[4]골재사업소(누계)'!G26</f>
        <v>0</v>
      </c>
      <c r="H26" s="385">
        <f>+'골재사업소(당월)'!H26+'[4]골재사업소(누계)'!H26</f>
        <v>160</v>
      </c>
      <c r="I26" s="229">
        <f t="shared" si="0"/>
        <v>160</v>
      </c>
      <c r="J26" s="228">
        <f>+'골재사업소(당월)'!J26+'[4]골재사업소(누계)'!J26</f>
        <v>0</v>
      </c>
      <c r="K26" s="385">
        <f>+'골재사업소(당월)'!K26+'[4]골재사업소(누계)'!K26</f>
        <v>240</v>
      </c>
      <c r="L26" s="227">
        <f t="shared" si="1"/>
        <v>240</v>
      </c>
      <c r="M26" s="414">
        <f t="shared" si="9"/>
        <v>0</v>
      </c>
      <c r="N26" s="383">
        <f t="shared" si="9"/>
        <v>400</v>
      </c>
      <c r="O26" s="433">
        <f t="shared" si="2"/>
        <v>400</v>
      </c>
      <c r="P26" s="226">
        <f>+'골재사업소(당월)'!P26+'[4]골재사업소(누계)'!P26</f>
        <v>0</v>
      </c>
      <c r="Q26" s="385">
        <f>+'골재사업소(당월)'!Q26+'[4]골재사업소(누계)'!Q26</f>
        <v>0</v>
      </c>
      <c r="R26" s="229">
        <f t="shared" si="3"/>
        <v>0</v>
      </c>
      <c r="S26" s="228">
        <f>+'골재사업소(당월)'!S26+'[4]골재사업소(누계)'!S26</f>
        <v>0</v>
      </c>
      <c r="T26" s="385">
        <f>+'골재사업소(당월)'!T26+'[4]골재사업소(누계)'!T26</f>
        <v>0</v>
      </c>
      <c r="U26" s="227">
        <f t="shared" si="4"/>
        <v>0</v>
      </c>
      <c r="V26" s="414">
        <f t="shared" si="10"/>
        <v>0</v>
      </c>
      <c r="W26" s="383">
        <f t="shared" si="10"/>
        <v>0</v>
      </c>
      <c r="X26" s="433">
        <f t="shared" si="5"/>
        <v>0</v>
      </c>
      <c r="Y26" s="227">
        <f>+'골재사업소(당월)'!Y26+'[4]골재사업소(누계)'!Y26</f>
        <v>0</v>
      </c>
      <c r="Z26" s="385">
        <f>+'골재사업소(당월)'!Z26+'[4]골재사업소(누계)'!Z26</f>
        <v>0</v>
      </c>
      <c r="AA26" s="227">
        <f t="shared" si="6"/>
        <v>0</v>
      </c>
      <c r="AB26" s="414">
        <f t="shared" si="11"/>
        <v>0</v>
      </c>
      <c r="AC26" s="383">
        <f t="shared" si="11"/>
        <v>400</v>
      </c>
      <c r="AD26" s="415">
        <f t="shared" si="7"/>
        <v>400</v>
      </c>
    </row>
    <row r="27" spans="4:33" ht="24" customHeight="1" x14ac:dyDescent="0.3">
      <c r="D27" s="76"/>
      <c r="E27" s="225" t="s">
        <v>132</v>
      </c>
      <c r="F27" s="224" t="s">
        <v>25</v>
      </c>
      <c r="G27" s="192">
        <f>IFERROR(G35/G21,)*1000</f>
        <v>0</v>
      </c>
      <c r="H27" s="386">
        <f t="shared" ref="H27:H32" si="12">IFERROR(H35/H21,)*1000</f>
        <v>12500</v>
      </c>
      <c r="I27" s="193">
        <f t="shared" si="0"/>
        <v>12500</v>
      </c>
      <c r="J27" s="223">
        <f t="shared" ref="J27:K27" si="13">IFERROR(J35/J21,)*1000</f>
        <v>0</v>
      </c>
      <c r="K27" s="386">
        <f t="shared" si="13"/>
        <v>0</v>
      </c>
      <c r="L27" s="205">
        <f t="shared" si="1"/>
        <v>0</v>
      </c>
      <c r="M27" s="428">
        <f>+IFERROR(HLOOKUP($A$1,[14]손익!$G$5:$AB$252,48,),)</f>
        <v>0</v>
      </c>
      <c r="N27" s="424">
        <f t="shared" ref="N27:N32" si="14">IFERROR(N35/N21,)*1000</f>
        <v>12500</v>
      </c>
      <c r="O27" s="434">
        <f t="shared" si="2"/>
        <v>12500</v>
      </c>
      <c r="P27" s="192">
        <f t="shared" ref="P27:Q27" si="15">IFERROR(P35/P21,)*1000</f>
        <v>16000</v>
      </c>
      <c r="Q27" s="386">
        <f t="shared" si="15"/>
        <v>17500</v>
      </c>
      <c r="R27" s="193">
        <f t="shared" si="3"/>
        <v>1500</v>
      </c>
      <c r="S27" s="223">
        <f t="shared" ref="S27:T27" si="16">IFERROR(S35/S21,)*1000</f>
        <v>23000</v>
      </c>
      <c r="T27" s="386">
        <f t="shared" si="16"/>
        <v>23500</v>
      </c>
      <c r="U27" s="205">
        <f t="shared" si="4"/>
        <v>500</v>
      </c>
      <c r="V27" s="428">
        <f>+IFERROR(HLOOKUP($A$1,[15]손익!$G$5:$AB$252,48,),)</f>
        <v>18875.953875097417</v>
      </c>
      <c r="W27" s="424">
        <f t="shared" ref="W27:W32" si="17">IFERROR(W35/W21,)*1000</f>
        <v>20015.692793148137</v>
      </c>
      <c r="X27" s="434">
        <f t="shared" si="5"/>
        <v>1139.7389180507198</v>
      </c>
      <c r="Y27" s="205">
        <f t="shared" ref="Y27:Z27" si="18">IFERROR(Y35/Y21,)*1000</f>
        <v>33054.533585920777</v>
      </c>
      <c r="Z27" s="386">
        <f t="shared" si="18"/>
        <v>32457.810020403536</v>
      </c>
      <c r="AA27" s="205">
        <f t="shared" si="6"/>
        <v>-596.72356551724079</v>
      </c>
      <c r="AB27" s="416">
        <f t="shared" ref="AB27:AB32" si="19">+AB35/AB21*1000</f>
        <v>21525.436818923405</v>
      </c>
      <c r="AC27" s="386">
        <f t="shared" ref="AC27:AC32" si="20">IFERROR(AC35/AC21,)*1000</f>
        <v>22079.807609103234</v>
      </c>
      <c r="AD27" s="417">
        <f t="shared" si="7"/>
        <v>554.37079017982978</v>
      </c>
    </row>
    <row r="28" spans="4:33" ht="24" customHeight="1" x14ac:dyDescent="0.3">
      <c r="D28" s="76"/>
      <c r="E28" s="166" t="s">
        <v>131</v>
      </c>
      <c r="F28" s="221" t="s">
        <v>26</v>
      </c>
      <c r="G28" s="190">
        <f t="shared" ref="G28" si="21">IFERROR(G36/G22,)*1000</f>
        <v>16000</v>
      </c>
      <c r="H28" s="95">
        <f t="shared" si="12"/>
        <v>17000</v>
      </c>
      <c r="I28" s="191">
        <f t="shared" si="0"/>
        <v>1000</v>
      </c>
      <c r="J28" s="220">
        <f t="shared" ref="J28:K28" si="22">IFERROR(J36/J22,)*1000</f>
        <v>10500</v>
      </c>
      <c r="K28" s="95">
        <f t="shared" si="22"/>
        <v>10500</v>
      </c>
      <c r="L28" s="196">
        <f t="shared" si="1"/>
        <v>0</v>
      </c>
      <c r="M28" s="429">
        <f>+IFERROR(HLOOKUP($A$1,[14]손익!$G$5:$AB$252,49,),)</f>
        <v>0</v>
      </c>
      <c r="N28" s="425">
        <f t="shared" si="14"/>
        <v>16875.037548813456</v>
      </c>
      <c r="O28" s="435">
        <f t="shared" si="2"/>
        <v>16875.037548813456</v>
      </c>
      <c r="P28" s="190">
        <f t="shared" ref="P28:Q28" si="23">IFERROR(P36/P22,)*1000</f>
        <v>0</v>
      </c>
      <c r="Q28" s="95">
        <f t="shared" si="23"/>
        <v>12000</v>
      </c>
      <c r="R28" s="191">
        <f t="shared" si="3"/>
        <v>12000</v>
      </c>
      <c r="S28" s="220">
        <f t="shared" ref="S28:T28" si="24">IFERROR(S36/S22,)*1000</f>
        <v>19000</v>
      </c>
      <c r="T28" s="95">
        <f t="shared" si="24"/>
        <v>20000</v>
      </c>
      <c r="U28" s="196">
        <f t="shared" si="4"/>
        <v>1000</v>
      </c>
      <c r="V28" s="429">
        <f>+IFERROR(HLOOKUP($A$1,[15]손익!$G$5:$AB$252,49,),)</f>
        <v>19000</v>
      </c>
      <c r="W28" s="425">
        <f t="shared" si="17"/>
        <v>19888.18297331639</v>
      </c>
      <c r="X28" s="435">
        <f t="shared" si="5"/>
        <v>888.18297331639042</v>
      </c>
      <c r="Y28" s="196">
        <f t="shared" ref="Y28:Z28" si="25">IFERROR(Y36/Y22,)*1000</f>
        <v>27999.999999999996</v>
      </c>
      <c r="Z28" s="95">
        <f t="shared" si="25"/>
        <v>28010.363478260868</v>
      </c>
      <c r="AA28" s="196">
        <f t="shared" si="6"/>
        <v>10.363478260871489</v>
      </c>
      <c r="AB28" s="418">
        <f t="shared" si="19"/>
        <v>18510.813655227499</v>
      </c>
      <c r="AC28" s="95">
        <f t="shared" si="20"/>
        <v>19423.719981119059</v>
      </c>
      <c r="AD28" s="419">
        <f t="shared" si="7"/>
        <v>912.90632589155939</v>
      </c>
    </row>
    <row r="29" spans="4:33" ht="24" customHeight="1" x14ac:dyDescent="0.3">
      <c r="D29" s="76"/>
      <c r="E29" s="166"/>
      <c r="F29" s="221" t="s">
        <v>27</v>
      </c>
      <c r="G29" s="190">
        <f t="shared" ref="G29" si="26">IFERROR(G37/G23,)*1000</f>
        <v>0</v>
      </c>
      <c r="H29" s="95">
        <f t="shared" si="12"/>
        <v>11500</v>
      </c>
      <c r="I29" s="191">
        <f t="shared" si="0"/>
        <v>11500</v>
      </c>
      <c r="J29" s="220">
        <f t="shared" ref="J29:K29" si="27">IFERROR(J37/J23,)*1000</f>
        <v>0</v>
      </c>
      <c r="K29" s="95">
        <f t="shared" si="27"/>
        <v>0</v>
      </c>
      <c r="L29" s="196">
        <f t="shared" si="1"/>
        <v>0</v>
      </c>
      <c r="M29" s="430">
        <f>+IFERROR(HLOOKUP($A$1,[14]손익!$G$5:$AB$252,50,),)</f>
        <v>0</v>
      </c>
      <c r="N29" s="426">
        <f t="shared" si="14"/>
        <v>11500</v>
      </c>
      <c r="O29" s="435">
        <f t="shared" si="2"/>
        <v>11500</v>
      </c>
      <c r="P29" s="190">
        <f t="shared" ref="P29:Q29" si="28">IFERROR(P37/P23,)*1000</f>
        <v>0</v>
      </c>
      <c r="Q29" s="95">
        <f t="shared" si="28"/>
        <v>0</v>
      </c>
      <c r="R29" s="191">
        <f t="shared" si="3"/>
        <v>0</v>
      </c>
      <c r="S29" s="220">
        <f t="shared" ref="S29:T29" si="29">IFERROR(S37/S23,)*1000</f>
        <v>0</v>
      </c>
      <c r="T29" s="95">
        <f t="shared" si="29"/>
        <v>0</v>
      </c>
      <c r="U29" s="196">
        <f t="shared" si="4"/>
        <v>0</v>
      </c>
      <c r="V29" s="430">
        <f>+IFERROR(HLOOKUP($A$1,[15]손익!$G$5:$AB$252,50,),)</f>
        <v>0</v>
      </c>
      <c r="W29" s="426">
        <f t="shared" si="17"/>
        <v>0</v>
      </c>
      <c r="X29" s="435">
        <f t="shared" si="5"/>
        <v>0</v>
      </c>
      <c r="Y29" s="196">
        <f t="shared" ref="Y29:Z29" si="30">IFERROR(Y37/Y23,)*1000</f>
        <v>27500</v>
      </c>
      <c r="Z29" s="95">
        <f t="shared" si="30"/>
        <v>0</v>
      </c>
      <c r="AA29" s="196">
        <f t="shared" si="6"/>
        <v>-27500</v>
      </c>
      <c r="AB29" s="418">
        <f t="shared" si="19"/>
        <v>27500</v>
      </c>
      <c r="AC29" s="95">
        <f t="shared" si="20"/>
        <v>77585.940828402352</v>
      </c>
      <c r="AD29" s="419">
        <f t="shared" si="7"/>
        <v>50085.940828402352</v>
      </c>
    </row>
    <row r="30" spans="4:33" ht="24" customHeight="1" x14ac:dyDescent="0.3">
      <c r="D30" s="76"/>
      <c r="E30" s="166"/>
      <c r="F30" s="221" t="s">
        <v>28</v>
      </c>
      <c r="G30" s="190">
        <f t="shared" ref="G30" si="31">IFERROR(G38/G24,)*1000</f>
        <v>0</v>
      </c>
      <c r="H30" s="95">
        <f t="shared" si="12"/>
        <v>0</v>
      </c>
      <c r="I30" s="191">
        <f t="shared" si="0"/>
        <v>0</v>
      </c>
      <c r="J30" s="220">
        <f t="shared" ref="J30:K30" si="32">IFERROR(J38/J24,)*1000</f>
        <v>0</v>
      </c>
      <c r="K30" s="95">
        <f t="shared" si="32"/>
        <v>0</v>
      </c>
      <c r="L30" s="196">
        <f t="shared" si="1"/>
        <v>0</v>
      </c>
      <c r="M30" s="430">
        <f>+IFERROR(HLOOKUP($A$1,[14]손익!$G$5:$AB$252,51,),)</f>
        <v>0</v>
      </c>
      <c r="N30" s="55">
        <f t="shared" si="14"/>
        <v>0</v>
      </c>
      <c r="O30" s="436">
        <f t="shared" si="2"/>
        <v>0</v>
      </c>
      <c r="P30" s="190">
        <f t="shared" ref="P30:Q30" si="33">IFERROR(P38/P24,)*1000</f>
        <v>0</v>
      </c>
      <c r="Q30" s="95">
        <f t="shared" si="33"/>
        <v>0</v>
      </c>
      <c r="R30" s="191">
        <f t="shared" si="3"/>
        <v>0</v>
      </c>
      <c r="S30" s="220">
        <f t="shared" ref="S30:T30" si="34">IFERROR(S38/S24,)*1000</f>
        <v>0</v>
      </c>
      <c r="T30" s="95">
        <f t="shared" si="34"/>
        <v>19000</v>
      </c>
      <c r="U30" s="196">
        <f t="shared" si="4"/>
        <v>19000</v>
      </c>
      <c r="V30" s="430">
        <f>+IFERROR(HLOOKUP($A$1,[15]손익!$G$5:$AB$252,51,),)</f>
        <v>0</v>
      </c>
      <c r="W30" s="55">
        <f t="shared" si="17"/>
        <v>19000</v>
      </c>
      <c r="X30" s="436">
        <f t="shared" si="5"/>
        <v>19000</v>
      </c>
      <c r="Y30" s="196">
        <f t="shared" ref="Y30:Z30" si="35">IFERROR(Y38/Y24,)*1000</f>
        <v>31000.000000000007</v>
      </c>
      <c r="Z30" s="95">
        <f t="shared" si="35"/>
        <v>0</v>
      </c>
      <c r="AA30" s="196">
        <f t="shared" si="6"/>
        <v>-31000.000000000007</v>
      </c>
      <c r="AB30" s="418">
        <f t="shared" si="19"/>
        <v>31000.000000000007</v>
      </c>
      <c r="AC30" s="95">
        <f t="shared" si="20"/>
        <v>212544.26666666666</v>
      </c>
      <c r="AD30" s="419">
        <f t="shared" si="7"/>
        <v>181544.26666666666</v>
      </c>
    </row>
    <row r="31" spans="4:33" ht="24" customHeight="1" x14ac:dyDescent="0.3">
      <c r="D31" s="76"/>
      <c r="E31" s="166"/>
      <c r="F31" s="221" t="s">
        <v>29</v>
      </c>
      <c r="G31" s="190">
        <f t="shared" ref="G31" si="36">IFERROR(G39/G25,)*1000</f>
        <v>0</v>
      </c>
      <c r="H31" s="95">
        <f t="shared" si="12"/>
        <v>0</v>
      </c>
      <c r="I31" s="191">
        <f t="shared" si="0"/>
        <v>0</v>
      </c>
      <c r="J31" s="220">
        <f t="shared" ref="J31:K31" si="37">IFERROR(J39/J25,)*1000</f>
        <v>0</v>
      </c>
      <c r="K31" s="95">
        <f t="shared" si="37"/>
        <v>9000</v>
      </c>
      <c r="L31" s="196">
        <f t="shared" si="1"/>
        <v>9000</v>
      </c>
      <c r="M31" s="430">
        <f>+IFERROR(HLOOKUP($A$1,[14]손익!$G$5:$AB$252,52,),)</f>
        <v>0</v>
      </c>
      <c r="N31" s="55">
        <f t="shared" si="14"/>
        <v>9000</v>
      </c>
      <c r="O31" s="436">
        <f t="shared" si="2"/>
        <v>9000</v>
      </c>
      <c r="P31" s="190">
        <f t="shared" ref="P31:Q31" si="38">IFERROR(P39/P25,)*1000</f>
        <v>0</v>
      </c>
      <c r="Q31" s="95">
        <f t="shared" si="38"/>
        <v>0</v>
      </c>
      <c r="R31" s="191">
        <f t="shared" si="3"/>
        <v>0</v>
      </c>
      <c r="S31" s="220">
        <f t="shared" ref="S31:T31" si="39">IFERROR(S39/S25,)*1000</f>
        <v>0</v>
      </c>
      <c r="T31" s="95">
        <f t="shared" si="39"/>
        <v>19000</v>
      </c>
      <c r="U31" s="196">
        <f t="shared" si="4"/>
        <v>19000</v>
      </c>
      <c r="V31" s="430">
        <f>+IFERROR(HLOOKUP($A$1,[15]손익!$G$5:$AB$252,52,),)</f>
        <v>0</v>
      </c>
      <c r="W31" s="55">
        <f t="shared" si="17"/>
        <v>19000</v>
      </c>
      <c r="X31" s="436">
        <f t="shared" si="5"/>
        <v>19000</v>
      </c>
      <c r="Y31" s="196">
        <f t="shared" ref="Y31:Z31" si="40">IFERROR(Y39/Y25,)*1000</f>
        <v>30561.74973129679</v>
      </c>
      <c r="Z31" s="95">
        <f t="shared" si="40"/>
        <v>5167.5191815856779</v>
      </c>
      <c r="AA31" s="196">
        <f t="shared" si="6"/>
        <v>-25394.230549711112</v>
      </c>
      <c r="AB31" s="418">
        <f t="shared" si="19"/>
        <v>30561.74973129679</v>
      </c>
      <c r="AC31" s="95">
        <f t="shared" si="20"/>
        <v>6036.2637362637361</v>
      </c>
      <c r="AD31" s="419">
        <f t="shared" si="7"/>
        <v>-24525.485995033054</v>
      </c>
    </row>
    <row r="32" spans="4:33" ht="24" customHeight="1" thickBot="1" x14ac:dyDescent="0.35">
      <c r="D32" s="76"/>
      <c r="E32" s="218"/>
      <c r="F32" s="217" t="s">
        <v>30</v>
      </c>
      <c r="G32" s="213">
        <f t="shared" ref="G32" si="41">IFERROR(G40/G26,)*1000</f>
        <v>0</v>
      </c>
      <c r="H32" s="387">
        <f t="shared" si="12"/>
        <v>11500</v>
      </c>
      <c r="I32" s="216">
        <f t="shared" si="0"/>
        <v>11500</v>
      </c>
      <c r="J32" s="215">
        <f t="shared" ref="J32:K32" si="42">IFERROR(J40/J26,)*1000</f>
        <v>0</v>
      </c>
      <c r="K32" s="387">
        <f t="shared" si="42"/>
        <v>9000</v>
      </c>
      <c r="L32" s="214">
        <f t="shared" si="1"/>
        <v>9000</v>
      </c>
      <c r="M32" s="431">
        <f>+IFERROR(HLOOKUP($A$1,[14]손익!$G$5:$AB$252,53,),)</f>
        <v>0</v>
      </c>
      <c r="N32" s="427">
        <f t="shared" si="14"/>
        <v>10000</v>
      </c>
      <c r="O32" s="437">
        <f t="shared" si="2"/>
        <v>10000</v>
      </c>
      <c r="P32" s="213">
        <f t="shared" ref="P32:Q32" si="43">IFERROR(P40/P26,)*1000</f>
        <v>0</v>
      </c>
      <c r="Q32" s="387">
        <f t="shared" si="43"/>
        <v>0</v>
      </c>
      <c r="R32" s="216">
        <f t="shared" si="3"/>
        <v>0</v>
      </c>
      <c r="S32" s="215">
        <f t="shared" ref="S32:T32" si="44">IFERROR(S40/S26,)*1000</f>
        <v>0</v>
      </c>
      <c r="T32" s="387">
        <f t="shared" si="44"/>
        <v>0</v>
      </c>
      <c r="U32" s="214">
        <f t="shared" si="4"/>
        <v>0</v>
      </c>
      <c r="V32" s="431">
        <f>+IFERROR(HLOOKUP($A$1,[15]손익!$G$5:$AB$252,53,),)</f>
        <v>0</v>
      </c>
      <c r="W32" s="427">
        <f t="shared" si="17"/>
        <v>0</v>
      </c>
      <c r="X32" s="437">
        <f t="shared" si="5"/>
        <v>0</v>
      </c>
      <c r="Y32" s="214">
        <f t="shared" ref="Y32:Z32" si="45">IFERROR(Y40/Y26,)*1000</f>
        <v>0</v>
      </c>
      <c r="Z32" s="387">
        <f t="shared" si="45"/>
        <v>0</v>
      </c>
      <c r="AA32" s="214">
        <f t="shared" si="6"/>
        <v>0</v>
      </c>
      <c r="AB32" s="420" t="e">
        <f t="shared" si="19"/>
        <v>#DIV/0!</v>
      </c>
      <c r="AC32" s="421">
        <f t="shared" si="20"/>
        <v>10000</v>
      </c>
      <c r="AD32" s="422" t="e">
        <f t="shared" si="7"/>
        <v>#DIV/0!</v>
      </c>
    </row>
    <row r="33" spans="5:30" ht="21.95" customHeight="1" thickTop="1" x14ac:dyDescent="0.3">
      <c r="E33" s="6" t="s">
        <v>130</v>
      </c>
      <c r="G33" s="211"/>
      <c r="H33" s="211"/>
      <c r="I33" s="211"/>
      <c r="J33" s="76"/>
      <c r="P33" s="211"/>
      <c r="Q33" s="211"/>
      <c r="R33" s="211"/>
      <c r="S33" s="76"/>
      <c r="Y33" s="76"/>
      <c r="AB33" s="76"/>
    </row>
    <row r="34" spans="5:30" ht="21.95" customHeight="1" x14ac:dyDescent="0.3">
      <c r="J34" s="76"/>
      <c r="S34" s="76"/>
      <c r="Y34" s="76"/>
      <c r="Z34" s="6" t="s">
        <v>164</v>
      </c>
      <c r="AB34" s="76"/>
    </row>
    <row r="35" spans="5:30" ht="21.95" customHeight="1" x14ac:dyDescent="0.3">
      <c r="E35" s="26" t="s">
        <v>132</v>
      </c>
      <c r="F35" s="432" t="s">
        <v>25</v>
      </c>
      <c r="G35" s="6">
        <f>+'골재사업소(당월)'!G35+'[4]골재사업소(누계)'!G35</f>
        <v>0</v>
      </c>
      <c r="H35" s="6">
        <f>+'골재사업소(당월)'!H35+'[4]골재사업소(누계)'!H35</f>
        <v>35800</v>
      </c>
      <c r="I35" s="6">
        <f t="shared" ref="I35:I41" si="46">+H35-G35</f>
        <v>35800</v>
      </c>
      <c r="J35" s="76">
        <f>+'골재사업소(당월)'!J35+'[4]골재사업소(누계)'!J35</f>
        <v>0</v>
      </c>
      <c r="K35" s="6">
        <f>+'골재사업소(당월)'!K35+'[4]골재사업소(누계)'!K35</f>
        <v>0</v>
      </c>
      <c r="L35" s="6">
        <f>+K35-J35</f>
        <v>0</v>
      </c>
      <c r="M35" s="6">
        <f>SUM(G35,J35)</f>
        <v>0</v>
      </c>
      <c r="N35" s="6">
        <f t="shared" ref="N35:N40" si="47">SUM(H35,K35)</f>
        <v>35800</v>
      </c>
      <c r="O35" s="6">
        <f t="shared" ref="O35:O41" si="48">+N35-M35</f>
        <v>35800</v>
      </c>
      <c r="P35" s="6">
        <f>+'골재사업소(당월)'!P35+'[4]골재사업소(누계)'!P35</f>
        <v>463808.74879017728</v>
      </c>
      <c r="Q35" s="6">
        <f>+'골재사업소(당월)'!Q35+'[4]골재사업소(누계)'!Q35</f>
        <v>541065</v>
      </c>
      <c r="R35" s="6">
        <f t="shared" ref="R35:R41" si="49">+Q35-P35</f>
        <v>77256.251209822716</v>
      </c>
      <c r="S35" s="76">
        <f>+'골재사업소(당월)'!S35+'[4]골재사업소(누계)'!S35</f>
        <v>462648.55833359435</v>
      </c>
      <c r="T35" s="6">
        <f>+'골재사업소(당월)'!T35+'[4]골재사업소(누계)'!T35</f>
        <v>524590.5</v>
      </c>
      <c r="U35" s="6">
        <f>+T35-S35</f>
        <v>61941.941666405648</v>
      </c>
      <c r="V35" s="6">
        <f>SUM(P35,S35)</f>
        <v>926457.30712377164</v>
      </c>
      <c r="W35" s="6">
        <f t="shared" ref="W35:W41" si="50">SUM(Q35,T35)</f>
        <v>1065655.5</v>
      </c>
      <c r="X35" s="6">
        <f t="shared" ref="X35:X41" si="51">+W35-V35</f>
        <v>139198.19287622836</v>
      </c>
      <c r="Y35" s="438">
        <f>+'골재사업소(당월)'!Y35+'[4]골재사업소(누계)'!Y35</f>
        <v>374180.70094815828</v>
      </c>
      <c r="Z35" s="6">
        <f>+'골재사업소(당월)'!Z35+'[4]골재사업소(누계)'!Z35</f>
        <v>429514.2</v>
      </c>
      <c r="AB35" s="76">
        <f t="shared" ref="AB35:AC41" si="52">+M35+V35+Y35</f>
        <v>1300638.0080719299</v>
      </c>
      <c r="AC35" s="76">
        <f t="shared" si="52"/>
        <v>1530969.7</v>
      </c>
      <c r="AD35" s="6">
        <f t="shared" ref="AD35:AD41" si="53">+AC35-AB35</f>
        <v>230331.69192807004</v>
      </c>
    </row>
    <row r="36" spans="5:30" ht="21.95" customHeight="1" x14ac:dyDescent="0.3">
      <c r="E36" s="26" t="s">
        <v>77</v>
      </c>
      <c r="F36" s="432" t="s">
        <v>26</v>
      </c>
      <c r="G36" s="6">
        <f>+'골재사업소(당월)'!G36+'[4]골재사업소(누계)'!G36</f>
        <v>348128</v>
      </c>
      <c r="H36" s="6">
        <f>+'골재사업소(당월)'!H36+'[4]골재사업소(누계)'!H36</f>
        <v>555050</v>
      </c>
      <c r="I36" s="6">
        <f t="shared" si="46"/>
        <v>206922</v>
      </c>
      <c r="J36" s="76">
        <f>+'골재사업소(당월)'!J36+'[4]골재사업소(누계)'!J36</f>
        <v>18391.800000000003</v>
      </c>
      <c r="K36" s="6">
        <f>+'골재사업소(당월)'!K36+'[4]골재사업소(누계)'!K36</f>
        <v>6720</v>
      </c>
      <c r="L36" s="6">
        <f t="shared" ref="L36:L41" si="54">+K36-J36</f>
        <v>-11671.800000000003</v>
      </c>
      <c r="M36" s="6">
        <f t="shared" ref="M36:N41" si="55">SUM(G36,J36)</f>
        <v>366519.8</v>
      </c>
      <c r="N36" s="6">
        <f t="shared" si="47"/>
        <v>561770</v>
      </c>
      <c r="O36" s="6">
        <f t="shared" si="48"/>
        <v>195250.2</v>
      </c>
      <c r="P36" s="6">
        <f>+'골재사업소(당월)'!P36+'[4]골재사업소(누계)'!P36</f>
        <v>0</v>
      </c>
      <c r="Q36" s="6">
        <f>+'골재사업소(당월)'!Q36+'[4]골재사업소(누계)'!Q36</f>
        <v>2112</v>
      </c>
      <c r="R36" s="6">
        <f t="shared" si="49"/>
        <v>2112</v>
      </c>
      <c r="S36" s="76">
        <f>+'골재사업소(당월)'!S36+'[4]골재사업소(누계)'!S36</f>
        <v>113882.38387096775</v>
      </c>
      <c r="T36" s="6">
        <f>+'골재사업소(당월)'!T36+'[4]골재사업소(누계)'!T36</f>
        <v>248320</v>
      </c>
      <c r="U36" s="6">
        <f t="shared" ref="U36:U41" si="56">+T36-S36</f>
        <v>134437.61612903225</v>
      </c>
      <c r="V36" s="6">
        <f t="shared" ref="V36:V41" si="57">SUM(P36,S36)</f>
        <v>113882.38387096775</v>
      </c>
      <c r="W36" s="6">
        <f t="shared" si="50"/>
        <v>250432</v>
      </c>
      <c r="X36" s="6">
        <f>+W36-V36</f>
        <v>136549.61612903225</v>
      </c>
      <c r="Y36" s="438">
        <f>+'골재사업소(당월)'!Y36+'[4]골재사업소(누계)'!Y36</f>
        <v>193951.10489510489</v>
      </c>
      <c r="Z36" s="6">
        <f>+'골재사업소(당월)'!Z36+'[4]골재사업소(누계)'!Z36</f>
        <v>257695.34399999998</v>
      </c>
      <c r="AB36" s="6">
        <f t="shared" si="52"/>
        <v>674353.2887660726</v>
      </c>
      <c r="AC36" s="6">
        <f t="shared" si="52"/>
        <v>1069897.344</v>
      </c>
      <c r="AD36" s="6">
        <f t="shared" si="53"/>
        <v>395544.05523392744</v>
      </c>
    </row>
    <row r="37" spans="5:30" ht="21.95" customHeight="1" x14ac:dyDescent="0.3">
      <c r="F37" s="432" t="s">
        <v>27</v>
      </c>
      <c r="G37" s="6">
        <f>+'골재사업소(당월)'!G37+'[4]골재사업소(누계)'!G37</f>
        <v>0</v>
      </c>
      <c r="H37" s="6">
        <f>+'골재사업소(당월)'!H37+'[4]골재사업소(누계)'!H37</f>
        <v>31096</v>
      </c>
      <c r="I37" s="6">
        <f t="shared" si="46"/>
        <v>31096</v>
      </c>
      <c r="J37" s="76">
        <f>+'골재사업소(당월)'!J37+'[4]골재사업소(누계)'!J37</f>
        <v>0</v>
      </c>
      <c r="K37" s="6">
        <f>+'골재사업소(당월)'!K37+'[4]골재사업소(누계)'!K37</f>
        <v>0</v>
      </c>
      <c r="L37" s="6">
        <f t="shared" si="54"/>
        <v>0</v>
      </c>
      <c r="M37" s="6">
        <f t="shared" si="55"/>
        <v>0</v>
      </c>
      <c r="N37" s="6">
        <f t="shared" si="47"/>
        <v>31096</v>
      </c>
      <c r="O37" s="6">
        <f t="shared" si="48"/>
        <v>31096</v>
      </c>
      <c r="P37" s="6">
        <f>+'골재사업소(당월)'!P37+'[4]골재사업소(누계)'!P37</f>
        <v>0</v>
      </c>
      <c r="Q37" s="6">
        <f>+'골재사업소(당월)'!Q37+'[4]골재사업소(누계)'!Q37</f>
        <v>0</v>
      </c>
      <c r="R37" s="6">
        <f t="shared" si="49"/>
        <v>0</v>
      </c>
      <c r="S37" s="76">
        <f>+'골재사업소(당월)'!S37+'[4]골재사업소(누계)'!S37</f>
        <v>0</v>
      </c>
      <c r="T37" s="6">
        <f>+'골재사업소(당월)'!T37+'[4]골재사업소(누계)'!T37</f>
        <v>0</v>
      </c>
      <c r="U37" s="6">
        <f t="shared" si="56"/>
        <v>0</v>
      </c>
      <c r="V37" s="6">
        <f t="shared" si="57"/>
        <v>0</v>
      </c>
      <c r="W37" s="6">
        <f t="shared" si="50"/>
        <v>0</v>
      </c>
      <c r="X37" s="6">
        <f t="shared" si="51"/>
        <v>0</v>
      </c>
      <c r="Y37" s="438">
        <f>+'골재사업소(당월)'!Y37+'[4]골재사업소(누계)'!Y37</f>
        <v>113269.23076923077</v>
      </c>
      <c r="Z37" s="6">
        <f>+'골재사업소(당월)'!Z37+'[4]골재사업소(누계)'!Z37</f>
        <v>178696.38399999999</v>
      </c>
      <c r="AB37" s="6">
        <f t="shared" si="52"/>
        <v>113269.23076923077</v>
      </c>
      <c r="AC37" s="6">
        <f t="shared" si="52"/>
        <v>209792.38399999999</v>
      </c>
      <c r="AD37" s="6">
        <f t="shared" si="53"/>
        <v>96523.153230769225</v>
      </c>
    </row>
    <row r="38" spans="5:30" ht="21.95" customHeight="1" x14ac:dyDescent="0.3">
      <c r="F38" s="432" t="s">
        <v>28</v>
      </c>
      <c r="G38" s="6">
        <f>+'골재사업소(당월)'!G38+'[4]골재사업소(누계)'!G38</f>
        <v>0</v>
      </c>
      <c r="H38" s="6">
        <f>+'골재사업소(당월)'!H38+'[4]골재사업소(누계)'!H38</f>
        <v>0</v>
      </c>
      <c r="I38" s="6">
        <f t="shared" si="46"/>
        <v>0</v>
      </c>
      <c r="J38" s="76">
        <f>+'골재사업소(당월)'!J38+'[4]골재사업소(누계)'!J38</f>
        <v>0</v>
      </c>
      <c r="K38" s="6">
        <f>+'골재사업소(당월)'!K38+'[4]골재사업소(누계)'!K38</f>
        <v>0</v>
      </c>
      <c r="L38" s="6">
        <f t="shared" si="54"/>
        <v>0</v>
      </c>
      <c r="M38" s="6">
        <f t="shared" si="55"/>
        <v>0</v>
      </c>
      <c r="N38" s="6">
        <f t="shared" si="47"/>
        <v>0</v>
      </c>
      <c r="O38" s="6">
        <f t="shared" si="48"/>
        <v>0</v>
      </c>
      <c r="P38" s="6">
        <f>+'골재사업소(당월)'!P38+'[4]골재사업소(누계)'!P38</f>
        <v>0</v>
      </c>
      <c r="Q38" s="6">
        <f>+'골재사업소(당월)'!Q38+'[4]골재사업소(누계)'!Q38</f>
        <v>0</v>
      </c>
      <c r="R38" s="6">
        <f t="shared" si="49"/>
        <v>0</v>
      </c>
      <c r="S38" s="76">
        <f>+'골재사업소(당월)'!S38+'[4]골재사업소(누계)'!S38</f>
        <v>0</v>
      </c>
      <c r="T38" s="6">
        <f>+'골재사업소(당월)'!T38+'[4]골재사업소(누계)'!T38</f>
        <v>27360</v>
      </c>
      <c r="U38" s="6">
        <f t="shared" si="56"/>
        <v>27360</v>
      </c>
      <c r="V38" s="6">
        <f t="shared" si="57"/>
        <v>0</v>
      </c>
      <c r="W38" s="6">
        <f t="shared" si="50"/>
        <v>27360</v>
      </c>
      <c r="X38" s="6">
        <f t="shared" si="51"/>
        <v>27360</v>
      </c>
      <c r="Y38" s="438">
        <f>+'골재사업소(당월)'!Y38+'[4]골재사업소(누계)'!Y38</f>
        <v>373352.72727272729</v>
      </c>
      <c r="Z38" s="6">
        <f>+'골재사업소(당월)'!Z38+'[4]골재사업소(누계)'!Z38</f>
        <v>278703.74400000001</v>
      </c>
      <c r="AB38" s="6">
        <f t="shared" si="52"/>
        <v>373352.72727272729</v>
      </c>
      <c r="AC38" s="6">
        <f t="shared" si="52"/>
        <v>306063.74400000001</v>
      </c>
      <c r="AD38" s="6">
        <f t="shared" si="53"/>
        <v>-67288.983272727288</v>
      </c>
    </row>
    <row r="39" spans="5:30" ht="21.95" customHeight="1" x14ac:dyDescent="0.3">
      <c r="F39" s="432" t="s">
        <v>29</v>
      </c>
      <c r="G39" s="6">
        <f>+'골재사업소(당월)'!G39+'[4]골재사업소(누계)'!G39</f>
        <v>0</v>
      </c>
      <c r="H39" s="6">
        <f>+'골재사업소(당월)'!H39+'[4]골재사업소(누계)'!H39</f>
        <v>0</v>
      </c>
      <c r="I39" s="6">
        <f t="shared" si="46"/>
        <v>0</v>
      </c>
      <c r="J39" s="76">
        <f>+'골재사업소(당월)'!J39+'[4]골재사업소(누계)'!J39</f>
        <v>0</v>
      </c>
      <c r="K39" s="6">
        <f>+'골재사업소(당월)'!K39+'[4]골재사업소(누계)'!K39</f>
        <v>7056</v>
      </c>
      <c r="L39" s="6">
        <f t="shared" si="54"/>
        <v>7056</v>
      </c>
      <c r="M39" s="6">
        <f t="shared" si="55"/>
        <v>0</v>
      </c>
      <c r="N39" s="6">
        <f t="shared" si="47"/>
        <v>7056</v>
      </c>
      <c r="O39" s="6">
        <f t="shared" si="48"/>
        <v>7056</v>
      </c>
      <c r="P39" s="6">
        <f>+'골재사업소(당월)'!P39+'[4]골재사업소(누계)'!P39</f>
        <v>0</v>
      </c>
      <c r="Q39" s="6">
        <f>+'골재사업소(당월)'!Q39+'[4]골재사업소(누계)'!Q39</f>
        <v>0</v>
      </c>
      <c r="R39" s="6">
        <f t="shared" si="49"/>
        <v>0</v>
      </c>
      <c r="S39" s="76">
        <f>+'골재사업소(당월)'!S39+'[4]골재사업소(누계)'!S39</f>
        <v>0</v>
      </c>
      <c r="T39" s="6">
        <f>+'골재사업소(당월)'!T39+'[4]골재사업소(누계)'!T39</f>
        <v>4560</v>
      </c>
      <c r="U39" s="6">
        <f t="shared" si="56"/>
        <v>4560</v>
      </c>
      <c r="V39" s="6">
        <f t="shared" si="57"/>
        <v>0</v>
      </c>
      <c r="W39" s="6">
        <f t="shared" si="50"/>
        <v>4560</v>
      </c>
      <c r="X39" s="6">
        <f t="shared" si="51"/>
        <v>4560</v>
      </c>
      <c r="Y39" s="438">
        <f>+'골재사업소(당월)'!Y39+'[4]골재사업소(누계)'!Y39</f>
        <v>80133.548951048957</v>
      </c>
      <c r="Z39" s="6">
        <f>+'골재사업소(당월)'!Z39+'[4]골재사업소(누계)'!Z39</f>
        <v>32328</v>
      </c>
      <c r="AB39" s="6">
        <f t="shared" si="52"/>
        <v>80133.548951048957</v>
      </c>
      <c r="AC39" s="6">
        <f t="shared" si="52"/>
        <v>43944</v>
      </c>
      <c r="AD39" s="6">
        <f t="shared" si="53"/>
        <v>-36189.548951048957</v>
      </c>
    </row>
    <row r="40" spans="5:30" ht="21.95" customHeight="1" x14ac:dyDescent="0.3">
      <c r="F40" s="432" t="s">
        <v>30</v>
      </c>
      <c r="G40" s="6">
        <f>+'골재사업소(당월)'!G40+'[4]골재사업소(누계)'!G40</f>
        <v>0</v>
      </c>
      <c r="H40" s="6">
        <f>+'골재사업소(당월)'!H40+'[4]골재사업소(누계)'!H40</f>
        <v>1840</v>
      </c>
      <c r="I40" s="6">
        <f t="shared" si="46"/>
        <v>1840</v>
      </c>
      <c r="J40" s="76">
        <f>+'골재사업소(당월)'!J40+'[4]골재사업소(누계)'!J40</f>
        <v>0</v>
      </c>
      <c r="K40" s="6">
        <f>+'골재사업소(당월)'!K40+'[4]골재사업소(누계)'!K40</f>
        <v>2160</v>
      </c>
      <c r="L40" s="6">
        <f t="shared" si="54"/>
        <v>2160</v>
      </c>
      <c r="M40" s="6">
        <f t="shared" si="55"/>
        <v>0</v>
      </c>
      <c r="N40" s="6">
        <f t="shared" si="47"/>
        <v>4000</v>
      </c>
      <c r="O40" s="6">
        <f t="shared" si="48"/>
        <v>4000</v>
      </c>
      <c r="P40" s="6">
        <f>+'골재사업소(당월)'!P40+'[4]골재사업소(누계)'!P40</f>
        <v>0</v>
      </c>
      <c r="Q40" s="6">
        <f>+'골재사업소(당월)'!Q40+'[4]골재사업소(누계)'!Q40</f>
        <v>0</v>
      </c>
      <c r="R40" s="6">
        <f t="shared" si="49"/>
        <v>0</v>
      </c>
      <c r="S40" s="76">
        <f>+'골재사업소(당월)'!S40+'[4]골재사업소(누계)'!S40</f>
        <v>0</v>
      </c>
      <c r="T40" s="6">
        <f>+'골재사업소(당월)'!T40+'[4]골재사업소(누계)'!T40</f>
        <v>0</v>
      </c>
      <c r="U40" s="6">
        <f t="shared" si="56"/>
        <v>0</v>
      </c>
      <c r="V40" s="6">
        <f t="shared" si="57"/>
        <v>0</v>
      </c>
      <c r="W40" s="6">
        <f t="shared" si="50"/>
        <v>0</v>
      </c>
      <c r="X40" s="6">
        <f t="shared" si="51"/>
        <v>0</v>
      </c>
      <c r="Y40" s="438">
        <f>+'골재사업소(당월)'!Y40+'[4]골재사업소(누계)'!Y40</f>
        <v>0</v>
      </c>
      <c r="Z40" s="6">
        <f>+'골재사업소(당월)'!Z40+'[4]골재사업소(누계)'!Z40</f>
        <v>0</v>
      </c>
      <c r="AB40" s="6">
        <f t="shared" si="52"/>
        <v>0</v>
      </c>
      <c r="AC40" s="6">
        <f t="shared" si="52"/>
        <v>4000</v>
      </c>
      <c r="AD40" s="6">
        <f t="shared" si="53"/>
        <v>4000</v>
      </c>
    </row>
    <row r="41" spans="5:30" ht="21.95" customHeight="1" x14ac:dyDescent="0.3">
      <c r="F41" s="432" t="s">
        <v>8</v>
      </c>
      <c r="G41" s="6">
        <f>SUM(G35:G40)</f>
        <v>348128</v>
      </c>
      <c r="H41" s="6">
        <f>SUM(H35:H40)</f>
        <v>623786</v>
      </c>
      <c r="I41" s="6">
        <f t="shared" si="46"/>
        <v>275658</v>
      </c>
      <c r="J41" s="76">
        <f>SUM(J35:J40)</f>
        <v>18391.800000000003</v>
      </c>
      <c r="K41" s="76">
        <f>SUM(K35:K40)</f>
        <v>15936</v>
      </c>
      <c r="L41" s="6">
        <f t="shared" si="54"/>
        <v>-2455.8000000000029</v>
      </c>
      <c r="M41" s="6">
        <f t="shared" si="55"/>
        <v>366519.8</v>
      </c>
      <c r="N41" s="6">
        <f t="shared" si="55"/>
        <v>639722</v>
      </c>
      <c r="O41" s="6">
        <f t="shared" si="48"/>
        <v>273202.2</v>
      </c>
      <c r="P41" s="6">
        <f>SUM(P35:P40)</f>
        <v>463808.74879017728</v>
      </c>
      <c r="Q41" s="6">
        <f>SUM(Q35:Q40)</f>
        <v>543177</v>
      </c>
      <c r="R41" s="6">
        <f t="shared" si="49"/>
        <v>79368.251209822716</v>
      </c>
      <c r="S41" s="76">
        <f>SUM(S35:S40)</f>
        <v>576530.94220456213</v>
      </c>
      <c r="T41" s="76">
        <f>SUM(T35:T40)</f>
        <v>804830.5</v>
      </c>
      <c r="U41" s="6">
        <f t="shared" si="56"/>
        <v>228299.55779543787</v>
      </c>
      <c r="V41" s="6">
        <f t="shared" si="57"/>
        <v>1040339.6909947394</v>
      </c>
      <c r="W41" s="6">
        <f t="shared" si="50"/>
        <v>1348007.5</v>
      </c>
      <c r="X41" s="6">
        <f t="shared" si="51"/>
        <v>307667.80900526058</v>
      </c>
      <c r="Y41" s="6">
        <f>SUM(Y35:Y40)</f>
        <v>1134887.3128362701</v>
      </c>
      <c r="Z41" s="6">
        <f>SUM(Z35:Z40)</f>
        <v>1176937.672</v>
      </c>
      <c r="AB41" s="6">
        <f t="shared" si="52"/>
        <v>2541746.8038310092</v>
      </c>
      <c r="AC41" s="6">
        <f t="shared" si="52"/>
        <v>3164667.1720000003</v>
      </c>
      <c r="AD41" s="6">
        <f t="shared" si="53"/>
        <v>622920.36816899106</v>
      </c>
    </row>
    <row r="42" spans="5:30" ht="21.95" customHeight="1" x14ac:dyDescent="0.3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M42" s="6" t="b">
        <f>+M41=M13</f>
        <v>1</v>
      </c>
      <c r="N42" s="6" t="b">
        <f>+N41=N13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</row>
    <row r="43" spans="5:30" ht="21.95" customHeight="1" x14ac:dyDescent="0.3"/>
    <row r="44" spans="5:30" ht="21.95" customHeight="1" x14ac:dyDescent="0.3"/>
    <row r="45" spans="5:30" ht="21.95" customHeight="1" x14ac:dyDescent="0.3"/>
    <row r="46" spans="5:30" ht="21.95" customHeight="1" x14ac:dyDescent="0.3"/>
    <row r="47" spans="5:30" ht="21.95" customHeight="1" x14ac:dyDescent="0.3"/>
    <row r="48" spans="5:30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10</vt:i4>
      </vt:variant>
    </vt:vector>
  </HeadingPairs>
  <TitlesOfParts>
    <vt:vector size="21" baseType="lpstr">
      <vt:lpstr>표지</vt:lpstr>
      <vt:lpstr>손익총괄</vt:lpstr>
      <vt:lpstr>사업장별(당월)</vt:lpstr>
      <vt:lpstr>사업장별(누계)</vt:lpstr>
      <vt:lpstr>영업이익</vt:lpstr>
      <vt:lpstr>공헌이익</vt:lpstr>
      <vt:lpstr>재료비단가</vt:lpstr>
      <vt:lpstr>원단위</vt:lpstr>
      <vt:lpstr>건자재</vt:lpstr>
      <vt:lpstr>골재사업소(당월)</vt:lpstr>
      <vt:lpstr>골재사업소(누계)</vt:lpstr>
      <vt:lpstr>건자재!Print_Area</vt:lpstr>
      <vt:lpstr>'골재사업소(누계)'!Print_Area</vt:lpstr>
      <vt:lpstr>'골재사업소(당월)'!Print_Area</vt:lpstr>
      <vt:lpstr>공헌이익!Print_Area</vt:lpstr>
      <vt:lpstr>'사업장별(누계)'!Print_Area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김 창환</cp:lastModifiedBy>
  <cp:lastPrinted>2024-04-21T23:24:02Z</cp:lastPrinted>
  <dcterms:created xsi:type="dcterms:W3CDTF">2018-12-20T00:38:36Z</dcterms:created>
  <dcterms:modified xsi:type="dcterms:W3CDTF">2025-04-18T07:49:01Z</dcterms:modified>
</cp:coreProperties>
</file>